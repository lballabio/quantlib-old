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externalReferences>
    <externalReference r:id="rId8"/>
  </externalReference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RateHelpers!$K$2:$K$65</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RateHelpers!$E$2:$E$65</definedName>
    <definedName name="RateHelpersIncluded">RateHelpers!$I$2:$I$65</definedName>
    <definedName name="RateHelpersPriority">RateHelpers!$J$2:$J$65</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SwapsFromBasis!$O$10:$Q$14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27" i="6" l="1"/>
  <c r="F16" i="12" l="1"/>
  <c r="F15" i="12"/>
  <c r="F14" i="12"/>
  <c r="F13" i="12"/>
  <c r="F12" i="12"/>
  <c r="F11" i="12"/>
  <c r="F10" i="12"/>
  <c r="F9" i="12"/>
  <c r="F8" i="12"/>
  <c r="F7" i="12"/>
  <c r="F6" i="12"/>
  <c r="F5" i="12"/>
  <c r="F4" i="12"/>
  <c r="F3" i="12"/>
  <c r="E6" i="7"/>
  <c r="C5" i="12"/>
  <c r="E7" i="7"/>
  <c r="E8" i="7"/>
  <c r="E9" i="7"/>
  <c r="E5" i="7"/>
  <c r="E4" i="7"/>
  <c r="E10" i="7"/>
  <c r="C3" i="12"/>
  <c r="E11" i="7"/>
  <c r="C4" i="12"/>
  <c r="C6" i="12" l="1"/>
  <c r="C13" i="12" s="1"/>
  <c r="C12" i="12"/>
  <c r="C11" i="12"/>
  <c r="C10" i="12"/>
  <c r="V538" i="12" l="1"/>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B7" i="12"/>
  <c r="B12" i="12"/>
  <c r="B16" i="12"/>
  <c r="B3" i="12"/>
  <c r="B6" i="12"/>
  <c r="B5" i="12"/>
  <c r="B8" i="12"/>
  <c r="B9" i="12"/>
  <c r="B4" i="12"/>
  <c r="B11" i="12"/>
  <c r="B14" i="12"/>
  <c r="B13" i="12"/>
  <c r="B10" i="12"/>
  <c r="B15" i="12"/>
  <c r="K4" i="11"/>
  <c r="C7" i="12"/>
  <c r="C14" i="12" l="1"/>
  <c r="C8" i="12"/>
  <c r="C9" i="12"/>
  <c r="C16" i="12" s="1"/>
  <c r="C15" i="12"/>
  <c r="L15" i="6"/>
  <c r="J2" i="11" l="1"/>
  <c r="K2" i="11" s="1"/>
  <c r="D6" i="11"/>
  <c r="F6" i="11" s="1"/>
  <c r="E6" i="1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E1" i="9"/>
  <c r="J6" i="11" l="1"/>
  <c r="H6" i="11"/>
  <c r="D7" i="11"/>
  <c r="E7"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B27" i="9"/>
  <c r="D27" i="9"/>
  <c r="G27" i="9" s="1"/>
  <c r="E27" i="9"/>
  <c r="B28" i="9"/>
  <c r="D28" i="9"/>
  <c r="G28" i="9" s="1"/>
  <c r="E28" i="9"/>
  <c r="B29" i="9"/>
  <c r="D29" i="9"/>
  <c r="G29" i="9" s="1"/>
  <c r="E29" i="9"/>
  <c r="B30" i="9"/>
  <c r="D30" i="9"/>
  <c r="G30" i="9" s="1"/>
  <c r="E30" i="9"/>
  <c r="B31" i="9"/>
  <c r="D31" i="9"/>
  <c r="G31" i="9" s="1"/>
  <c r="E31" i="9"/>
  <c r="B32" i="9"/>
  <c r="D32" i="9"/>
  <c r="G32" i="9" s="1"/>
  <c r="E32" i="9"/>
  <c r="B33" i="9"/>
  <c r="D33" i="9"/>
  <c r="G33" i="9" s="1"/>
  <c r="E33" i="9"/>
  <c r="B34" i="9"/>
  <c r="D34" i="9"/>
  <c r="G34" i="9" s="1"/>
  <c r="E34" i="9"/>
  <c r="B35" i="9"/>
  <c r="D35" i="9"/>
  <c r="G35" i="9" s="1"/>
  <c r="E35" i="9"/>
  <c r="B36" i="9"/>
  <c r="D36" i="9"/>
  <c r="G36" i="9" s="1"/>
  <c r="E36" i="9"/>
  <c r="B37" i="9"/>
  <c r="D37" i="9"/>
  <c r="G37" i="9" s="1"/>
  <c r="E37" i="9"/>
  <c r="B38" i="9"/>
  <c r="D38" i="9"/>
  <c r="G38" i="9" s="1"/>
  <c r="E38" i="9"/>
  <c r="B39" i="9"/>
  <c r="D39" i="9"/>
  <c r="G39" i="9" s="1"/>
  <c r="E39" i="9"/>
  <c r="B40" i="9"/>
  <c r="D40" i="9"/>
  <c r="G40" i="9" s="1"/>
  <c r="E40" i="9"/>
  <c r="B41" i="9"/>
  <c r="D41" i="9"/>
  <c r="G41" i="9" s="1"/>
  <c r="E41" i="9"/>
  <c r="B42" i="9"/>
  <c r="D42" i="9"/>
  <c r="G42" i="9" s="1"/>
  <c r="E42" i="9"/>
  <c r="B43" i="9"/>
  <c r="D43" i="9"/>
  <c r="G43" i="9" s="1"/>
  <c r="E43" i="9"/>
  <c r="B44" i="9"/>
  <c r="D44" i="9"/>
  <c r="G44" i="9" s="1"/>
  <c r="E44" i="9"/>
  <c r="B45" i="9"/>
  <c r="D45" i="9"/>
  <c r="G45" i="9" s="1"/>
  <c r="E45" i="9"/>
  <c r="B46" i="9"/>
  <c r="D46" i="9"/>
  <c r="G46" i="9" s="1"/>
  <c r="E46" i="9"/>
  <c r="B47" i="9"/>
  <c r="D47" i="9"/>
  <c r="G47" i="9" s="1"/>
  <c r="E47" i="9"/>
  <c r="D1" i="7"/>
  <c r="E1" i="7" s="1"/>
  <c r="D3" i="7"/>
  <c r="C4" i="7"/>
  <c r="D4" i="7"/>
  <c r="C5" i="7"/>
  <c r="D5" i="7"/>
  <c r="C6" i="7"/>
  <c r="D6" i="7"/>
  <c r="C7" i="7"/>
  <c r="D7" i="7"/>
  <c r="C8" i="7"/>
  <c r="D8" i="7"/>
  <c r="C9" i="7"/>
  <c r="D9" i="7"/>
  <c r="C10" i="7"/>
  <c r="D10" i="7"/>
  <c r="C11" i="7"/>
  <c r="D11" i="7"/>
  <c r="H45" i="9"/>
  <c r="H15" i="9"/>
  <c r="H42" i="9"/>
  <c r="H30" i="9"/>
  <c r="H46" i="9"/>
  <c r="H47" i="9"/>
  <c r="H20" i="9"/>
  <c r="H38" i="9"/>
  <c r="H6" i="9"/>
  <c r="H41" i="9"/>
  <c r="H43" i="9"/>
  <c r="H24" i="9"/>
  <c r="W19" i="12"/>
  <c r="H22" i="9"/>
  <c r="H35" i="9"/>
  <c r="H40" i="9"/>
  <c r="K6" i="11"/>
  <c r="H13" i="9"/>
  <c r="H25" i="9"/>
  <c r="H11" i="9"/>
  <c r="H23" i="9"/>
  <c r="H29" i="9"/>
  <c r="H16" i="9"/>
  <c r="H26" i="9"/>
  <c r="H32" i="9"/>
  <c r="H14" i="9"/>
  <c r="H4" i="9"/>
  <c r="H28" i="9"/>
  <c r="H33" i="9"/>
  <c r="H19" i="9"/>
  <c r="H12" i="9"/>
  <c r="H21" i="9"/>
  <c r="H39" i="9"/>
  <c r="H18" i="9"/>
  <c r="H9" i="9"/>
  <c r="H36" i="9"/>
  <c r="H34" i="9"/>
  <c r="H7" i="9"/>
  <c r="E3" i="7"/>
  <c r="H8" i="9"/>
  <c r="H10" i="9"/>
  <c r="H5" i="9"/>
  <c r="H17" i="9"/>
  <c r="H31" i="9"/>
  <c r="H3" i="9"/>
  <c r="H27" i="9"/>
  <c r="H37" i="9"/>
  <c r="H44" i="9"/>
  <c r="E8" i="4" l="1"/>
  <c r="E6" i="4"/>
  <c r="E4" i="4"/>
  <c r="E2" i="4"/>
  <c r="E10" i="4"/>
  <c r="E9" i="4"/>
  <c r="E3" i="4"/>
  <c r="E7" i="4"/>
  <c r="E5" i="4"/>
  <c r="E16" i="4"/>
  <c r="E12" i="4"/>
  <c r="E25" i="4"/>
  <c r="E21" i="4"/>
  <c r="E17" i="4"/>
  <c r="E13" i="4"/>
  <c r="E28" i="4"/>
  <c r="E20" i="4"/>
  <c r="E26" i="4"/>
  <c r="E22" i="4"/>
  <c r="E18" i="4"/>
  <c r="E14" i="4"/>
  <c r="E24" i="4"/>
  <c r="E27" i="4"/>
  <c r="E23" i="4"/>
  <c r="E19" i="4"/>
  <c r="E15" i="4"/>
  <c r="E11" i="4"/>
  <c r="E29" i="4"/>
  <c r="E8" i="1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J7" i="11"/>
  <c r="F7" i="11"/>
  <c r="H7" i="11"/>
  <c r="D8" i="11"/>
  <c r="F12" i="4"/>
  <c r="F24" i="4"/>
  <c r="F3" i="4"/>
  <c r="X19" i="12"/>
  <c r="F9" i="4"/>
  <c r="F8" i="4"/>
  <c r="F15" i="4"/>
  <c r="F29" i="4"/>
  <c r="F4" i="4"/>
  <c r="F22" i="4"/>
  <c r="F21" i="4"/>
  <c r="F25" i="4"/>
  <c r="K7" i="11"/>
  <c r="F17" i="4"/>
  <c r="F13" i="4"/>
  <c r="F11" i="4"/>
  <c r="F2" i="4"/>
  <c r="F28" i="4"/>
  <c r="F27" i="4"/>
  <c r="F19" i="4"/>
  <c r="F10" i="4"/>
  <c r="F23" i="4"/>
  <c r="F7" i="4"/>
  <c r="F14" i="4"/>
  <c r="F26" i="4"/>
  <c r="F20" i="4"/>
  <c r="F18" i="4"/>
  <c r="F16" i="4"/>
  <c r="W20" i="12"/>
  <c r="F6" i="4"/>
  <c r="F5" i="4"/>
  <c r="E14" i="12" l="1"/>
  <c r="E16" i="12"/>
  <c r="E11" i="12"/>
  <c r="E9" i="12"/>
  <c r="E7" i="12"/>
  <c r="E3" i="12"/>
  <c r="E4" i="12"/>
  <c r="E8" i="12"/>
  <c r="E15" i="12"/>
  <c r="E5" i="12"/>
  <c r="E13" i="12"/>
  <c r="E6" i="12"/>
  <c r="E10" i="12"/>
  <c r="E12" i="12"/>
  <c r="E30" i="4"/>
  <c r="H8" i="11"/>
  <c r="D9" i="11"/>
  <c r="F8" i="11"/>
  <c r="J8" i="11"/>
  <c r="I3" i="9"/>
  <c r="L7" i="11"/>
  <c r="F9" i="7"/>
  <c r="I32" i="9"/>
  <c r="I44" i="9"/>
  <c r="I4" i="9"/>
  <c r="F5" i="7"/>
  <c r="F6" i="7"/>
  <c r="I22" i="9"/>
  <c r="I10" i="9"/>
  <c r="I17" i="9"/>
  <c r="I18" i="9"/>
  <c r="F7" i="7"/>
  <c r="I27" i="9"/>
  <c r="F11" i="7"/>
  <c r="I5" i="9"/>
  <c r="I24" i="9"/>
  <c r="I35" i="9"/>
  <c r="I28" i="9"/>
  <c r="I21" i="9"/>
  <c r="I34" i="9"/>
  <c r="I43" i="9"/>
  <c r="K8" i="11"/>
  <c r="F30" i="4"/>
  <c r="I30" i="9"/>
  <c r="I42" i="9"/>
  <c r="I46" i="9"/>
  <c r="I40" i="9"/>
  <c r="X20" i="12"/>
  <c r="F10" i="7"/>
  <c r="W21" i="12"/>
  <c r="X21" i="12" s="1"/>
  <c r="L4" i="11"/>
  <c r="F3" i="7"/>
  <c r="E31" i="4" l="1"/>
  <c r="F9" i="11"/>
  <c r="H9" i="11"/>
  <c r="D10" i="11"/>
  <c r="J9" i="11"/>
  <c r="I36" i="9"/>
  <c r="I45" i="9"/>
  <c r="F31" i="4"/>
  <c r="I29" i="9"/>
  <c r="I8" i="9"/>
  <c r="I38" i="9"/>
  <c r="I19" i="9"/>
  <c r="F4" i="7"/>
  <c r="I33" i="9"/>
  <c r="I9" i="9"/>
  <c r="I31" i="9"/>
  <c r="I6" i="9"/>
  <c r="I47" i="9"/>
  <c r="I14" i="9"/>
  <c r="F8" i="7"/>
  <c r="I16" i="9"/>
  <c r="K9" i="11"/>
  <c r="L6" i="11"/>
  <c r="I41" i="9"/>
  <c r="L8" i="11"/>
  <c r="I26" i="9"/>
  <c r="I13" i="9"/>
  <c r="I25" i="9"/>
  <c r="I11" i="9"/>
  <c r="I37" i="9"/>
  <c r="I15" i="9"/>
  <c r="I20" i="9"/>
  <c r="I12" i="9"/>
  <c r="I39" i="9"/>
  <c r="I7" i="9"/>
  <c r="I23" i="9"/>
  <c r="E32" i="4" l="1"/>
  <c r="H10" i="11"/>
  <c r="D11" i="11"/>
  <c r="J10" i="11"/>
  <c r="F10" i="11"/>
  <c r="K10" i="11"/>
  <c r="F32" i="4"/>
  <c r="L9" i="11"/>
  <c r="E33" i="4" l="1"/>
  <c r="J11" i="11"/>
  <c r="D12" i="11"/>
  <c r="F11" i="11"/>
  <c r="H11" i="11"/>
  <c r="L10" i="11"/>
  <c r="F33" i="4"/>
  <c r="K11" i="11"/>
  <c r="E34" i="4" l="1"/>
  <c r="F12" i="11"/>
  <c r="H12" i="11"/>
  <c r="J12" i="11"/>
  <c r="D13" i="11"/>
  <c r="K12" i="11"/>
  <c r="F34" i="4"/>
  <c r="L11" i="11"/>
  <c r="E35" i="4" l="1"/>
  <c r="D14" i="11"/>
  <c r="F13" i="11"/>
  <c r="H13" i="11"/>
  <c r="J13" i="11"/>
  <c r="F35" i="4"/>
  <c r="K13" i="11"/>
  <c r="E36" i="4" l="1"/>
  <c r="H14" i="11"/>
  <c r="D15" i="11"/>
  <c r="J14" i="11"/>
  <c r="F14" i="11"/>
  <c r="F36" i="4"/>
  <c r="K14" i="11"/>
  <c r="L13" i="11"/>
  <c r="W22" i="12"/>
  <c r="L12" i="11"/>
  <c r="E37" i="4" l="1"/>
  <c r="H15" i="11"/>
  <c r="J15" i="11"/>
  <c r="D16" i="11"/>
  <c r="F15" i="11"/>
  <c r="L14" i="11"/>
  <c r="W23" i="12"/>
  <c r="X22" i="12"/>
  <c r="K15" i="11"/>
  <c r="F37" i="4"/>
  <c r="E38" i="4" l="1"/>
  <c r="D17" i="11"/>
  <c r="H16" i="11"/>
  <c r="F16" i="11"/>
  <c r="J16" i="11"/>
  <c r="X23" i="12"/>
  <c r="D18" i="11" l="1"/>
  <c r="J17" i="11"/>
  <c r="F17" i="11"/>
  <c r="H17" i="11"/>
  <c r="J18" i="11" l="1"/>
  <c r="D19" i="11"/>
  <c r="F18" i="11"/>
  <c r="H18" i="11"/>
  <c r="J19" i="11" l="1"/>
  <c r="D20" i="11"/>
  <c r="F19" i="11"/>
  <c r="H19" i="11"/>
  <c r="H20" i="11" l="1"/>
  <c r="J20" i="11"/>
  <c r="D21" i="11"/>
  <c r="F20" i="11"/>
  <c r="F21" i="11" l="1"/>
  <c r="H21" i="11"/>
  <c r="D22" i="11"/>
  <c r="J21" i="11"/>
  <c r="F38" i="4"/>
  <c r="K16" i="11"/>
  <c r="L16" i="11"/>
  <c r="L15" i="11"/>
  <c r="K17" i="11"/>
  <c r="K19" i="11"/>
  <c r="K18" i="11"/>
  <c r="W24" i="12"/>
  <c r="L17" i="11"/>
  <c r="L19" i="11"/>
  <c r="K20" i="11"/>
  <c r="L20" i="11"/>
  <c r="K21" i="11"/>
  <c r="L18" i="11"/>
  <c r="X24" i="12"/>
  <c r="W25" i="12"/>
  <c r="X25" i="12"/>
  <c r="W26" i="12"/>
  <c r="X26" i="12"/>
  <c r="W27" i="12"/>
  <c r="X27" i="12"/>
  <c r="W28" i="12"/>
  <c r="X28" i="12"/>
  <c r="W29" i="12"/>
  <c r="W30" i="12"/>
  <c r="X29" i="12"/>
  <c r="X30" i="12"/>
  <c r="W31" i="12"/>
  <c r="X31" i="12"/>
  <c r="W32" i="12"/>
  <c r="W33" i="12"/>
  <c r="X32" i="12"/>
  <c r="X33" i="12"/>
  <c r="W34" i="12"/>
  <c r="X34" i="12"/>
  <c r="W35" i="12"/>
  <c r="X35" i="12"/>
  <c r="W36" i="12"/>
  <c r="W37" i="12"/>
  <c r="X36" i="12"/>
  <c r="W38" i="12"/>
  <c r="X37" i="12"/>
  <c r="W39" i="12"/>
  <c r="X38" i="12"/>
  <c r="X39" i="12"/>
  <c r="W40" i="12"/>
  <c r="W41" i="12"/>
  <c r="X40" i="12"/>
  <c r="X41" i="12"/>
  <c r="W42" i="12"/>
  <c r="X42" i="12"/>
  <c r="W43" i="12"/>
  <c r="W44" i="12"/>
  <c r="X43" i="12"/>
  <c r="W45" i="12"/>
  <c r="X44" i="12"/>
  <c r="W46" i="12"/>
  <c r="X45" i="12"/>
  <c r="X46" i="12"/>
  <c r="W47" i="12"/>
  <c r="X47" i="12"/>
  <c r="W48" i="12"/>
  <c r="W49" i="12"/>
  <c r="X48" i="12"/>
  <c r="X49" i="12"/>
  <c r="W50" i="12"/>
  <c r="W51" i="12"/>
  <c r="X50" i="12"/>
  <c r="X51" i="12"/>
  <c r="W52" i="12"/>
  <c r="X52" i="12"/>
  <c r="W53" i="12"/>
  <c r="X53" i="12"/>
  <c r="W54" i="12"/>
  <c r="X54" i="12"/>
  <c r="W55" i="12"/>
  <c r="X55" i="12"/>
  <c r="W56" i="12"/>
  <c r="W57" i="12"/>
  <c r="X56" i="12"/>
  <c r="X57" i="12"/>
  <c r="W58" i="12"/>
  <c r="X58" i="12"/>
  <c r="W59" i="12"/>
  <c r="X59" i="12"/>
  <c r="W60" i="12"/>
  <c r="W61" i="12"/>
  <c r="X60" i="12"/>
  <c r="W62" i="12"/>
  <c r="X61" i="12"/>
  <c r="X62" i="12"/>
  <c r="W63" i="12"/>
  <c r="X63" i="12"/>
  <c r="W64" i="12"/>
  <c r="W65" i="12"/>
  <c r="X64" i="12"/>
  <c r="W66" i="12"/>
  <c r="X65" i="12"/>
  <c r="X66" i="12"/>
  <c r="W67" i="12"/>
  <c r="W68" i="12"/>
  <c r="X67" i="12"/>
  <c r="X68" i="12"/>
  <c r="W69" i="12"/>
  <c r="X69" i="12"/>
  <c r="W70" i="12"/>
  <c r="X70" i="12"/>
  <c r="W71" i="12"/>
  <c r="X71" i="12"/>
  <c r="W72" i="12"/>
  <c r="W73" i="12"/>
  <c r="X72" i="12"/>
  <c r="W74" i="12"/>
  <c r="X73" i="12"/>
  <c r="X74" i="12"/>
  <c r="W75" i="12"/>
  <c r="W76" i="12"/>
  <c r="X75" i="12"/>
  <c r="X76" i="12"/>
  <c r="W77" i="12"/>
  <c r="W78" i="12"/>
  <c r="X77" i="12"/>
  <c r="W79" i="12"/>
  <c r="X78" i="12"/>
  <c r="W80" i="12"/>
  <c r="X79" i="12"/>
  <c r="X80" i="12"/>
  <c r="W81" i="12"/>
  <c r="W82" i="12"/>
  <c r="X81" i="12"/>
  <c r="X82" i="12"/>
  <c r="W83" i="12"/>
  <c r="W84" i="12"/>
  <c r="X83" i="12"/>
  <c r="W85" i="12"/>
  <c r="X84" i="12"/>
  <c r="W86" i="12"/>
  <c r="X85" i="12"/>
  <c r="W87" i="12"/>
  <c r="X86" i="12"/>
  <c r="X87" i="12"/>
  <c r="W88" i="12"/>
  <c r="X88" i="12"/>
  <c r="W89" i="12"/>
  <c r="X89" i="12"/>
  <c r="W90" i="12"/>
  <c r="W91" i="12"/>
  <c r="X90" i="12"/>
  <c r="W92" i="12"/>
  <c r="X91" i="12"/>
  <c r="W93" i="12"/>
  <c r="X92" i="12"/>
  <c r="X93" i="12"/>
  <c r="W94" i="12"/>
  <c r="X94" i="12"/>
  <c r="W95" i="12"/>
  <c r="W96" i="12"/>
  <c r="X95" i="12"/>
  <c r="W97" i="12"/>
  <c r="X96" i="12"/>
  <c r="W98" i="12"/>
  <c r="X97" i="12"/>
  <c r="X98" i="12"/>
  <c r="W99" i="12"/>
  <c r="W100" i="12"/>
  <c r="X99" i="12"/>
  <c r="W101" i="12"/>
  <c r="X100" i="12"/>
  <c r="W102" i="12"/>
  <c r="X101" i="12"/>
  <c r="X102" i="12"/>
  <c r="W103" i="12"/>
  <c r="W104" i="12"/>
  <c r="X103" i="12"/>
  <c r="W105" i="12"/>
  <c r="X104" i="12"/>
  <c r="X105" i="12"/>
  <c r="W106" i="12"/>
  <c r="W107" i="12"/>
  <c r="X106" i="12"/>
  <c r="X107" i="12"/>
  <c r="W108" i="12"/>
  <c r="W109" i="12"/>
  <c r="X108" i="12"/>
  <c r="X109" i="12"/>
  <c r="W110" i="12"/>
  <c r="X110" i="12"/>
  <c r="W111" i="12"/>
  <c r="W112" i="12"/>
  <c r="X111" i="12"/>
  <c r="X112" i="12"/>
  <c r="W113" i="12"/>
  <c r="X113" i="12"/>
  <c r="W114" i="12"/>
  <c r="W115" i="12"/>
  <c r="X114" i="12"/>
  <c r="X115" i="12"/>
  <c r="W116" i="12"/>
  <c r="X116" i="12"/>
  <c r="W117" i="12"/>
  <c r="X117" i="12"/>
  <c r="W118" i="12"/>
  <c r="W119" i="12"/>
  <c r="X118" i="12"/>
  <c r="X119" i="12"/>
  <c r="W120" i="12"/>
  <c r="X120" i="12"/>
  <c r="W121" i="12"/>
  <c r="W122" i="12"/>
  <c r="X121" i="12"/>
  <c r="X122" i="12"/>
  <c r="W123" i="12"/>
  <c r="X123" i="12"/>
  <c r="W124" i="12"/>
  <c r="X124" i="12"/>
  <c r="W125" i="12"/>
  <c r="X125" i="12"/>
  <c r="W126" i="12"/>
  <c r="W127" i="12"/>
  <c r="X126" i="12"/>
  <c r="X127" i="12"/>
  <c r="W128" i="12"/>
  <c r="X128" i="12"/>
  <c r="W129" i="12"/>
  <c r="X129" i="12"/>
  <c r="W130" i="12"/>
  <c r="X130" i="12"/>
  <c r="W131" i="12"/>
  <c r="X131" i="12"/>
  <c r="W132" i="12"/>
  <c r="W133" i="12"/>
  <c r="X132" i="12"/>
  <c r="X133" i="12"/>
  <c r="W134" i="12"/>
  <c r="X134" i="12"/>
  <c r="W135" i="12"/>
  <c r="W136" i="12"/>
  <c r="X135" i="12"/>
  <c r="X136" i="12"/>
  <c r="W137" i="12"/>
  <c r="X137" i="12"/>
  <c r="W138" i="12"/>
  <c r="W139" i="12"/>
  <c r="X138" i="12"/>
  <c r="X139" i="12"/>
  <c r="W140" i="12"/>
  <c r="W141" i="12"/>
  <c r="X140" i="12"/>
  <c r="W142" i="12"/>
  <c r="X141" i="12"/>
  <c r="W143" i="12"/>
  <c r="X142" i="12"/>
  <c r="W144" i="12"/>
  <c r="X143" i="12"/>
  <c r="X144" i="12"/>
  <c r="W145" i="12"/>
  <c r="W146" i="12"/>
  <c r="X145" i="12"/>
  <c r="W147" i="12"/>
  <c r="X146" i="12"/>
  <c r="W148" i="12"/>
  <c r="X147" i="12"/>
  <c r="W149" i="12"/>
  <c r="X148" i="12"/>
  <c r="X149" i="12"/>
  <c r="W150" i="12"/>
  <c r="X150" i="12"/>
  <c r="W151" i="12"/>
  <c r="W152" i="12"/>
  <c r="X151" i="12"/>
  <c r="X152" i="12"/>
  <c r="W153" i="12"/>
  <c r="X153" i="12"/>
  <c r="W154" i="12"/>
  <c r="W155" i="12"/>
  <c r="X154" i="12"/>
  <c r="X155" i="12"/>
  <c r="W156" i="12"/>
  <c r="W157" i="12"/>
  <c r="X156" i="12"/>
  <c r="W158" i="12"/>
  <c r="X157" i="12"/>
  <c r="W159" i="12"/>
  <c r="X158" i="12"/>
  <c r="W160" i="12"/>
  <c r="X159" i="12"/>
  <c r="W161" i="12"/>
  <c r="X160" i="12"/>
  <c r="W162" i="12"/>
  <c r="X161" i="12"/>
  <c r="X162" i="12"/>
  <c r="W163" i="12"/>
  <c r="W164" i="12"/>
  <c r="X163" i="12"/>
  <c r="W165" i="12"/>
  <c r="X164" i="12"/>
  <c r="X165" i="12"/>
  <c r="W166" i="12"/>
  <c r="X166" i="12"/>
  <c r="W167" i="12"/>
  <c r="W168" i="12"/>
  <c r="X167" i="12"/>
  <c r="X168" i="12"/>
  <c r="W169" i="12"/>
  <c r="X169" i="12"/>
  <c r="W170" i="12"/>
  <c r="X170" i="12"/>
  <c r="W171" i="12"/>
  <c r="X171" i="12"/>
  <c r="W172" i="12"/>
  <c r="W173" i="12"/>
  <c r="X172" i="12"/>
  <c r="X173" i="12"/>
  <c r="W174" i="12"/>
  <c r="X174" i="12"/>
  <c r="W175" i="12"/>
  <c r="X175" i="12"/>
  <c r="W176" i="12"/>
  <c r="W177" i="12"/>
  <c r="X176" i="12"/>
  <c r="X177" i="12"/>
  <c r="W178" i="12"/>
  <c r="W179" i="12"/>
  <c r="X178" i="12"/>
  <c r="W180" i="12"/>
  <c r="X179" i="12"/>
  <c r="W181" i="12"/>
  <c r="X180" i="12"/>
  <c r="W182" i="12"/>
  <c r="X181" i="12"/>
  <c r="X182" i="12"/>
  <c r="W183" i="12"/>
  <c r="X183" i="12"/>
  <c r="W184" i="12"/>
  <c r="X184" i="12"/>
  <c r="W185" i="12"/>
  <c r="X185" i="12"/>
  <c r="W186" i="12"/>
  <c r="X186" i="12"/>
  <c r="W187" i="12"/>
  <c r="X187" i="12"/>
  <c r="W188" i="12"/>
  <c r="W189" i="12"/>
  <c r="X188" i="12"/>
  <c r="W190" i="12"/>
  <c r="X189" i="12"/>
  <c r="X190" i="12"/>
  <c r="W191" i="12"/>
  <c r="W192" i="12"/>
  <c r="X191" i="12"/>
  <c r="W193" i="12"/>
  <c r="X192" i="12"/>
  <c r="W194" i="12"/>
  <c r="X193" i="12"/>
  <c r="W195" i="12"/>
  <c r="X194" i="12"/>
  <c r="X195" i="12"/>
  <c r="W196" i="12"/>
  <c r="X196" i="12"/>
  <c r="W197" i="12"/>
  <c r="X197" i="12"/>
  <c r="W198" i="12"/>
  <c r="X198" i="12"/>
  <c r="W199" i="12"/>
  <c r="W200" i="12"/>
  <c r="X199" i="12"/>
  <c r="W201" i="12"/>
  <c r="X200" i="12"/>
  <c r="X201" i="12"/>
  <c r="W202" i="12"/>
  <c r="X202" i="12"/>
  <c r="W203" i="12"/>
  <c r="X203" i="12"/>
  <c r="W204" i="12"/>
  <c r="X204" i="12"/>
  <c r="W205" i="12"/>
  <c r="W206" i="12"/>
  <c r="X205" i="12"/>
  <c r="W207" i="12"/>
  <c r="X206" i="12"/>
  <c r="W208" i="12"/>
  <c r="X207" i="12"/>
  <c r="X208" i="12"/>
  <c r="W209" i="12"/>
  <c r="W210" i="12"/>
  <c r="X209" i="12"/>
  <c r="X210" i="12"/>
  <c r="W211" i="12"/>
  <c r="W212" i="12"/>
  <c r="X211" i="12"/>
  <c r="W213" i="12"/>
  <c r="X212" i="12"/>
  <c r="X213" i="12"/>
  <c r="W214" i="12"/>
  <c r="X214" i="12"/>
  <c r="W215" i="12"/>
  <c r="W216" i="12"/>
  <c r="X215" i="12"/>
  <c r="X216" i="12"/>
  <c r="W217" i="12"/>
  <c r="W218" i="12"/>
  <c r="X217" i="12"/>
  <c r="X218" i="12"/>
  <c r="W219" i="12"/>
  <c r="W220" i="12"/>
  <c r="X219" i="12"/>
  <c r="X220" i="12"/>
  <c r="W221" i="12"/>
  <c r="X221" i="12"/>
  <c r="W222" i="12"/>
  <c r="X222" i="12"/>
  <c r="W223" i="12"/>
  <c r="W224" i="12"/>
  <c r="X223" i="12"/>
  <c r="X224" i="12"/>
  <c r="W225" i="12"/>
  <c r="X225" i="12"/>
  <c r="W226" i="12"/>
  <c r="X226" i="12"/>
  <c r="W227" i="12"/>
  <c r="X227" i="12"/>
  <c r="W228" i="12"/>
  <c r="X228" i="12"/>
  <c r="W229" i="12"/>
  <c r="X229" i="12"/>
  <c r="W230" i="12"/>
  <c r="X230" i="12"/>
  <c r="W231" i="12"/>
  <c r="X231" i="12"/>
  <c r="W232" i="12"/>
  <c r="W233" i="12"/>
  <c r="X232" i="12"/>
  <c r="X233" i="12"/>
  <c r="W234" i="12"/>
  <c r="W235" i="12"/>
  <c r="X234" i="12"/>
  <c r="W236" i="12"/>
  <c r="X235" i="12"/>
  <c r="X236" i="12"/>
  <c r="W237" i="12"/>
  <c r="X237" i="12"/>
  <c r="W238" i="12"/>
  <c r="X238" i="12"/>
  <c r="W239" i="12"/>
  <c r="X239" i="12"/>
  <c r="W240" i="12"/>
  <c r="X240" i="12"/>
  <c r="W241" i="12"/>
  <c r="W242" i="12"/>
  <c r="X241" i="12"/>
  <c r="X242" i="12"/>
  <c r="W243" i="12"/>
  <c r="W244" i="12"/>
  <c r="X243" i="12"/>
  <c r="W245" i="12"/>
  <c r="X244" i="12"/>
  <c r="W246" i="12"/>
  <c r="X245" i="12"/>
  <c r="W247" i="12"/>
  <c r="X246" i="12"/>
  <c r="W248" i="12"/>
  <c r="X247" i="12"/>
  <c r="X248" i="12"/>
  <c r="W249" i="12"/>
  <c r="W250" i="12"/>
  <c r="X249" i="12"/>
  <c r="X250" i="12"/>
  <c r="W251" i="12"/>
  <c r="X251" i="12"/>
  <c r="W252" i="12"/>
  <c r="X252" i="12"/>
  <c r="W253" i="12"/>
  <c r="X253" i="12"/>
  <c r="W254" i="12"/>
  <c r="W255" i="12"/>
  <c r="X254" i="12"/>
  <c r="W256" i="12"/>
  <c r="X255" i="12"/>
  <c r="X256" i="12"/>
  <c r="W257" i="12"/>
  <c r="W258" i="12"/>
  <c r="X257" i="12"/>
  <c r="X258" i="12"/>
  <c r="W259" i="12"/>
  <c r="X259" i="12"/>
  <c r="W260" i="12"/>
  <c r="X260" i="12"/>
  <c r="W261" i="12"/>
  <c r="X261" i="12"/>
  <c r="W262" i="12"/>
  <c r="X262" i="12"/>
  <c r="W263" i="12"/>
  <c r="X263" i="12"/>
  <c r="W264" i="12"/>
  <c r="X264" i="12"/>
  <c r="W265" i="12"/>
  <c r="W266" i="12"/>
  <c r="X265" i="12"/>
  <c r="W267" i="12"/>
  <c r="X266" i="12"/>
  <c r="W268" i="12"/>
  <c r="X267" i="12"/>
  <c r="X268" i="12"/>
  <c r="W269" i="12"/>
  <c r="X269" i="12"/>
  <c r="W270" i="12"/>
  <c r="W271" i="12"/>
  <c r="X270" i="12"/>
  <c r="W272" i="12"/>
  <c r="X271" i="12"/>
  <c r="X272" i="12"/>
  <c r="W273" i="12"/>
  <c r="W274" i="12"/>
  <c r="X273" i="12"/>
  <c r="X274" i="12"/>
  <c r="W275" i="12"/>
  <c r="X275" i="12"/>
  <c r="W276" i="12"/>
  <c r="W277" i="12"/>
  <c r="X276" i="12"/>
  <c r="X277" i="12"/>
  <c r="W278" i="12"/>
  <c r="W279" i="12"/>
  <c r="X278" i="12"/>
  <c r="W280" i="12"/>
  <c r="X279" i="12"/>
  <c r="X280" i="12"/>
  <c r="W281" i="12"/>
  <c r="X281" i="12"/>
  <c r="W282" i="12"/>
  <c r="W283" i="12"/>
  <c r="X282" i="12"/>
  <c r="W284" i="12"/>
  <c r="X283" i="12"/>
  <c r="W285" i="12"/>
  <c r="X284" i="12"/>
  <c r="W286" i="12"/>
  <c r="X285" i="12"/>
  <c r="X286" i="12"/>
  <c r="W287" i="12"/>
  <c r="W288" i="12"/>
  <c r="X287" i="12"/>
  <c r="X288" i="12"/>
  <c r="W289" i="12"/>
  <c r="X289" i="12"/>
  <c r="W290" i="12"/>
  <c r="X290" i="12"/>
  <c r="W291" i="12"/>
  <c r="W292" i="12"/>
  <c r="X291" i="12"/>
  <c r="X292" i="12"/>
  <c r="W293" i="12"/>
  <c r="X293" i="12"/>
  <c r="W294" i="12"/>
  <c r="W295" i="12"/>
  <c r="X294" i="12"/>
  <c r="X295" i="12"/>
  <c r="W296" i="12"/>
  <c r="W297" i="12"/>
  <c r="X296" i="12"/>
  <c r="W298" i="12"/>
  <c r="X297" i="12"/>
  <c r="W299" i="12"/>
  <c r="X298" i="12"/>
  <c r="X299" i="12"/>
  <c r="W300" i="12"/>
  <c r="W301" i="12"/>
  <c r="X300" i="12"/>
  <c r="X301" i="12"/>
  <c r="W302" i="12"/>
  <c r="X302" i="12"/>
  <c r="W303" i="12"/>
  <c r="X303" i="12"/>
  <c r="W304" i="12"/>
  <c r="X304" i="12"/>
  <c r="W305" i="12"/>
  <c r="X305" i="12"/>
  <c r="W306" i="12"/>
  <c r="W307" i="12"/>
  <c r="X306" i="12"/>
  <c r="X307" i="12"/>
  <c r="W308" i="12"/>
  <c r="X308" i="12"/>
  <c r="W309" i="12"/>
  <c r="W310" i="12"/>
  <c r="X309" i="12"/>
  <c r="W311" i="12"/>
  <c r="X310" i="12"/>
  <c r="W312" i="12"/>
  <c r="X311" i="12"/>
  <c r="X312" i="12"/>
  <c r="W313" i="12"/>
  <c r="X313" i="12"/>
  <c r="W314" i="12"/>
  <c r="W315" i="12"/>
  <c r="X314" i="12"/>
  <c r="X315" i="12"/>
  <c r="W316" i="12"/>
  <c r="W317" i="12"/>
  <c r="X316" i="12"/>
  <c r="W318" i="12"/>
  <c r="X317" i="12"/>
  <c r="X318" i="12"/>
  <c r="W319" i="12"/>
  <c r="X319" i="12"/>
  <c r="W320" i="12"/>
  <c r="W321" i="12"/>
  <c r="X320" i="12"/>
  <c r="X321" i="12"/>
  <c r="W322" i="12"/>
  <c r="X322" i="12"/>
  <c r="W323" i="12"/>
  <c r="W324" i="12"/>
  <c r="X323" i="12"/>
  <c r="W325" i="12"/>
  <c r="X324" i="12"/>
  <c r="W326" i="12"/>
  <c r="X325" i="12"/>
  <c r="X326" i="12"/>
  <c r="W327" i="12"/>
  <c r="W328" i="12"/>
  <c r="X327" i="12"/>
  <c r="X328" i="12"/>
  <c r="W329" i="12"/>
  <c r="X329" i="12"/>
  <c r="W330" i="12"/>
  <c r="X330" i="12"/>
  <c r="W331" i="12"/>
  <c r="W332" i="12"/>
  <c r="X331" i="12"/>
  <c r="W333" i="12"/>
  <c r="X332" i="12"/>
  <c r="X333" i="12"/>
  <c r="W334" i="12"/>
  <c r="W335" i="12"/>
  <c r="X334" i="12"/>
  <c r="W336" i="12"/>
  <c r="X335" i="12"/>
  <c r="W337" i="12"/>
  <c r="X336" i="12"/>
  <c r="X337" i="12"/>
  <c r="W338" i="12"/>
  <c r="X338" i="12"/>
  <c r="W339" i="12"/>
  <c r="X339" i="12"/>
  <c r="W340" i="12"/>
  <c r="W341" i="12"/>
  <c r="X340" i="12"/>
  <c r="W342" i="12"/>
  <c r="X341" i="12"/>
  <c r="X342" i="12"/>
  <c r="W343" i="12"/>
  <c r="X343" i="12"/>
  <c r="W344" i="12"/>
  <c r="W345" i="12"/>
  <c r="X344" i="12"/>
  <c r="X345" i="12"/>
  <c r="W346" i="12"/>
  <c r="W347" i="12"/>
  <c r="X346" i="12"/>
  <c r="W348" i="12"/>
  <c r="X347" i="12"/>
  <c r="X348" i="12"/>
  <c r="W349" i="12"/>
  <c r="W350" i="12"/>
  <c r="X349" i="12"/>
  <c r="W351" i="12"/>
  <c r="X350" i="12"/>
  <c r="W352" i="12"/>
  <c r="X351" i="12"/>
  <c r="X352" i="12"/>
  <c r="W353" i="12"/>
  <c r="X353" i="12"/>
  <c r="W354" i="12"/>
  <c r="W355" i="12"/>
  <c r="X354" i="12"/>
  <c r="X355" i="12"/>
  <c r="W356" i="12"/>
  <c r="W357" i="12"/>
  <c r="X356" i="12"/>
  <c r="X357" i="12"/>
  <c r="W358" i="12"/>
  <c r="X358" i="12"/>
  <c r="W359" i="12"/>
  <c r="W360" i="12"/>
  <c r="X359" i="12"/>
  <c r="W361" i="12"/>
  <c r="X360" i="12"/>
  <c r="X361" i="12"/>
  <c r="W362" i="12"/>
  <c r="W363" i="12"/>
  <c r="X362" i="12"/>
  <c r="X363" i="12"/>
  <c r="W364" i="12"/>
  <c r="X364" i="12"/>
  <c r="W365" i="12"/>
  <c r="W366" i="12"/>
  <c r="X365" i="12"/>
  <c r="W367" i="12"/>
  <c r="X366" i="12"/>
  <c r="X367" i="12"/>
  <c r="W368" i="12"/>
  <c r="W369" i="12"/>
  <c r="X368" i="12"/>
  <c r="X369" i="12"/>
  <c r="W370" i="12"/>
  <c r="X370" i="12"/>
  <c r="W371" i="12"/>
  <c r="X371" i="12"/>
  <c r="W372" i="12"/>
  <c r="W373" i="12"/>
  <c r="X372" i="12"/>
  <c r="X373" i="12"/>
  <c r="W374" i="12"/>
  <c r="W375" i="12"/>
  <c r="X374" i="12"/>
  <c r="X375" i="12"/>
  <c r="W376" i="12"/>
  <c r="W377" i="12"/>
  <c r="X376" i="12"/>
  <c r="W378" i="12"/>
  <c r="X377" i="12"/>
  <c r="X378" i="12"/>
  <c r="W379" i="12"/>
  <c r="X379" i="12"/>
  <c r="W380" i="12"/>
  <c r="W381" i="12"/>
  <c r="X380" i="12"/>
  <c r="X381" i="12"/>
  <c r="W382" i="12"/>
  <c r="X382" i="12"/>
  <c r="W383" i="12"/>
  <c r="X383" i="12"/>
  <c r="W384" i="12"/>
  <c r="W385" i="12"/>
  <c r="X384" i="12"/>
  <c r="W386" i="12"/>
  <c r="X385" i="12"/>
  <c r="W387" i="12"/>
  <c r="X386" i="12"/>
  <c r="W388" i="12"/>
  <c r="X387" i="12"/>
  <c r="W389" i="12"/>
  <c r="X388" i="12"/>
  <c r="W390" i="12"/>
  <c r="X389" i="12"/>
  <c r="W391" i="12"/>
  <c r="X390" i="12"/>
  <c r="W392" i="12"/>
  <c r="X391" i="12"/>
  <c r="W393" i="12"/>
  <c r="X392" i="12"/>
  <c r="X393" i="12"/>
  <c r="W394" i="12"/>
  <c r="W395" i="12"/>
  <c r="X394" i="12"/>
  <c r="X395" i="12"/>
  <c r="W396" i="12"/>
  <c r="W397" i="12"/>
  <c r="X396" i="12"/>
  <c r="X397" i="12"/>
  <c r="W398" i="12"/>
  <c r="X398" i="12"/>
  <c r="W399" i="12"/>
  <c r="X399" i="12"/>
  <c r="W400" i="12"/>
  <c r="W401" i="12"/>
  <c r="X400" i="12"/>
  <c r="W402" i="12"/>
  <c r="X401" i="12"/>
  <c r="X402" i="12"/>
  <c r="W403" i="12"/>
  <c r="X403" i="12"/>
  <c r="W404" i="12"/>
  <c r="X404" i="12"/>
  <c r="W405" i="12"/>
  <c r="W406" i="12"/>
  <c r="X405" i="12"/>
  <c r="X406" i="12"/>
  <c r="W407" i="12"/>
  <c r="X407" i="12"/>
  <c r="W408" i="12"/>
  <c r="X408" i="12"/>
  <c r="W409" i="12"/>
  <c r="X409" i="12"/>
  <c r="W410" i="12"/>
  <c r="W411" i="12"/>
  <c r="X410" i="12"/>
  <c r="X411" i="12"/>
  <c r="W412" i="12"/>
  <c r="X412" i="12"/>
  <c r="W413" i="12"/>
  <c r="W414" i="12"/>
  <c r="X413" i="12"/>
  <c r="X414" i="12"/>
  <c r="W415" i="12"/>
  <c r="W416" i="12"/>
  <c r="X415" i="12"/>
  <c r="X416" i="12"/>
  <c r="W417" i="12"/>
  <c r="W418" i="12"/>
  <c r="X417" i="12"/>
  <c r="X418" i="12"/>
  <c r="W419" i="12"/>
  <c r="W420" i="12"/>
  <c r="X419" i="12"/>
  <c r="W421" i="12"/>
  <c r="X420" i="12"/>
  <c r="W422" i="12"/>
  <c r="X421" i="12"/>
  <c r="X422" i="12"/>
  <c r="W423" i="12"/>
  <c r="W424" i="12"/>
  <c r="X423" i="12"/>
  <c r="W425" i="12"/>
  <c r="X424" i="12"/>
  <c r="X425" i="12"/>
  <c r="W426" i="12"/>
  <c r="X426" i="12"/>
  <c r="W427" i="12"/>
  <c r="X427" i="12"/>
  <c r="W428" i="12"/>
  <c r="W429" i="12"/>
  <c r="X428" i="12"/>
  <c r="W430" i="12"/>
  <c r="X429" i="12"/>
  <c r="X430" i="12"/>
  <c r="W431" i="12"/>
  <c r="W432" i="12"/>
  <c r="X431" i="12"/>
  <c r="W433" i="12"/>
  <c r="X432" i="12"/>
  <c r="X433" i="12"/>
  <c r="W434" i="12"/>
  <c r="W435" i="12"/>
  <c r="X434" i="12"/>
  <c r="X435" i="12"/>
  <c r="W436" i="12"/>
  <c r="X436" i="12"/>
  <c r="W437" i="12"/>
  <c r="X437" i="12"/>
  <c r="W438" i="12"/>
  <c r="X438" i="12"/>
  <c r="W439" i="12"/>
  <c r="X439" i="12"/>
  <c r="W440" i="12"/>
  <c r="W441" i="12"/>
  <c r="X440" i="12"/>
  <c r="W442" i="12"/>
  <c r="X441" i="12"/>
  <c r="X442" i="12"/>
  <c r="W443" i="12"/>
  <c r="X443" i="12"/>
  <c r="W444" i="12"/>
  <c r="X444" i="12"/>
  <c r="W445" i="12"/>
  <c r="W446" i="12"/>
  <c r="X445" i="12"/>
  <c r="W447" i="12"/>
  <c r="X446" i="12"/>
  <c r="W448" i="12"/>
  <c r="X447" i="12"/>
  <c r="X448" i="12"/>
  <c r="W449" i="12"/>
  <c r="X449" i="12"/>
  <c r="W450" i="12"/>
  <c r="X450" i="12"/>
  <c r="W451" i="12"/>
  <c r="W452" i="12"/>
  <c r="X451" i="12"/>
  <c r="X452" i="12"/>
  <c r="W453" i="12"/>
  <c r="X453" i="12"/>
  <c r="W454" i="12"/>
  <c r="X454" i="12"/>
  <c r="W455" i="12"/>
  <c r="X455" i="12"/>
  <c r="W456" i="12"/>
  <c r="W457" i="12"/>
  <c r="X456" i="12"/>
  <c r="X457" i="12"/>
  <c r="W458" i="12"/>
  <c r="X458" i="12"/>
  <c r="W459" i="12"/>
  <c r="W460" i="12"/>
  <c r="X459" i="12"/>
  <c r="W461" i="12"/>
  <c r="X460" i="12"/>
  <c r="W462" i="12"/>
  <c r="X461" i="12"/>
  <c r="W463" i="12"/>
  <c r="X462" i="12"/>
  <c r="X463" i="12"/>
  <c r="W464" i="12"/>
  <c r="X464" i="12"/>
  <c r="W465" i="12"/>
  <c r="X465" i="12"/>
  <c r="W466" i="12"/>
  <c r="X466" i="12"/>
  <c r="W467" i="12"/>
  <c r="W468" i="12"/>
  <c r="X467" i="12"/>
  <c r="X468" i="12"/>
  <c r="W469" i="12"/>
  <c r="X469" i="12"/>
  <c r="W470" i="12"/>
  <c r="W471" i="12"/>
  <c r="X470" i="12"/>
  <c r="X471" i="12"/>
  <c r="W472" i="12"/>
  <c r="W473" i="12"/>
  <c r="X472" i="12"/>
  <c r="X473" i="12"/>
  <c r="W474" i="12"/>
  <c r="X474" i="12"/>
  <c r="W475" i="12"/>
  <c r="W476" i="12"/>
  <c r="X475" i="12"/>
  <c r="W477" i="12"/>
  <c r="X476" i="12"/>
  <c r="W478" i="12"/>
  <c r="X477" i="12"/>
  <c r="W479" i="12"/>
  <c r="X478" i="12"/>
  <c r="X479" i="12"/>
  <c r="W480" i="12"/>
  <c r="X480" i="12"/>
  <c r="W481" i="12"/>
  <c r="X481" i="12"/>
  <c r="W482" i="12"/>
  <c r="X482" i="12"/>
  <c r="W483" i="12"/>
  <c r="X483" i="12"/>
  <c r="W484" i="12"/>
  <c r="W485" i="12"/>
  <c r="X484" i="12"/>
  <c r="X485" i="12"/>
  <c r="W486" i="12"/>
  <c r="X486" i="12"/>
  <c r="W487" i="12"/>
  <c r="W488" i="12"/>
  <c r="X487" i="12"/>
  <c r="X488" i="12"/>
  <c r="W489" i="12"/>
  <c r="X489" i="12"/>
  <c r="W490" i="12"/>
  <c r="X490" i="12"/>
  <c r="W491" i="12"/>
  <c r="X491" i="12"/>
  <c r="W492" i="12"/>
  <c r="X492" i="12"/>
  <c r="W493" i="12"/>
  <c r="X493" i="12"/>
  <c r="W494" i="12"/>
  <c r="X494" i="12"/>
  <c r="W495" i="12"/>
  <c r="W496" i="12"/>
  <c r="X495" i="12"/>
  <c r="W497" i="12"/>
  <c r="X496" i="12"/>
  <c r="X497" i="12"/>
  <c r="W498" i="12"/>
  <c r="X498" i="12"/>
  <c r="W499" i="12"/>
  <c r="X499" i="12"/>
  <c r="W500" i="12"/>
  <c r="W501" i="12"/>
  <c r="X500" i="12"/>
  <c r="X501" i="12"/>
  <c r="W502" i="12"/>
  <c r="W503" i="12"/>
  <c r="X502" i="12"/>
  <c r="X503" i="12"/>
  <c r="W504" i="12"/>
  <c r="W505" i="12"/>
  <c r="X504" i="12"/>
  <c r="X505" i="12"/>
  <c r="W506" i="12"/>
  <c r="X506" i="12"/>
  <c r="W507" i="12"/>
  <c r="W508" i="12"/>
  <c r="X507" i="12"/>
  <c r="W509" i="12"/>
  <c r="X508" i="12"/>
  <c r="X509" i="12"/>
  <c r="W510" i="12"/>
  <c r="X510" i="12"/>
  <c r="W511" i="12"/>
  <c r="W512" i="12"/>
  <c r="X511" i="12"/>
  <c r="W513" i="12"/>
  <c r="X512" i="12"/>
  <c r="X513" i="12"/>
  <c r="W514" i="12"/>
  <c r="X514" i="12"/>
  <c r="W515" i="12"/>
  <c r="X515" i="12"/>
  <c r="W516" i="12"/>
  <c r="X516" i="12"/>
  <c r="W517" i="12"/>
  <c r="W518" i="12"/>
  <c r="X517" i="12"/>
  <c r="W519" i="12"/>
  <c r="X518" i="12"/>
  <c r="X519" i="12"/>
  <c r="W520" i="12"/>
  <c r="X520" i="12"/>
  <c r="W521" i="12"/>
  <c r="W522" i="12"/>
  <c r="X521" i="12"/>
  <c r="X522" i="12"/>
  <c r="W523" i="12"/>
  <c r="X523" i="12"/>
  <c r="W524" i="12"/>
  <c r="W525" i="12"/>
  <c r="X524" i="12"/>
  <c r="X525" i="12"/>
  <c r="W526" i="12"/>
  <c r="X526" i="12"/>
  <c r="W527" i="12"/>
  <c r="X527" i="12"/>
  <c r="W528" i="12"/>
  <c r="W529" i="12"/>
  <c r="X528" i="12"/>
  <c r="X529" i="12"/>
  <c r="W530" i="12"/>
  <c r="X530" i="12"/>
  <c r="W531" i="12"/>
  <c r="W532" i="12"/>
  <c r="X531" i="12"/>
  <c r="W533" i="12"/>
  <c r="X532" i="12"/>
  <c r="X533" i="12"/>
  <c r="W534" i="12"/>
  <c r="X534" i="12"/>
  <c r="W535" i="12"/>
  <c r="X535" i="12"/>
  <c r="W536" i="12"/>
  <c r="W537" i="12"/>
  <c r="X536" i="12"/>
  <c r="X537" i="12"/>
  <c r="W538" i="12"/>
  <c r="X538" i="12"/>
  <c r="W539" i="12"/>
  <c r="W540" i="12"/>
  <c r="X539" i="12"/>
  <c r="W541" i="12"/>
  <c r="X540" i="12"/>
  <c r="X541" i="12"/>
  <c r="W542" i="12"/>
  <c r="W543" i="12"/>
  <c r="X542" i="12"/>
  <c r="W544" i="12"/>
  <c r="X543" i="12"/>
  <c r="W545" i="12"/>
  <c r="X544" i="12"/>
  <c r="W546" i="12"/>
  <c r="X545" i="12"/>
  <c r="W547" i="12"/>
  <c r="X546" i="12"/>
  <c r="X547" i="12"/>
  <c r="W548" i="12"/>
  <c r="X548" i="12"/>
  <c r="W549" i="12"/>
  <c r="W550" i="12"/>
  <c r="X549" i="12"/>
  <c r="X550" i="12"/>
  <c r="W551" i="12"/>
  <c r="X551" i="12"/>
  <c r="W552" i="12"/>
  <c r="X552" i="12"/>
  <c r="W553" i="12"/>
  <c r="W554" i="12"/>
  <c r="X553" i="12"/>
  <c r="W555" i="12"/>
  <c r="X554" i="12"/>
  <c r="X555" i="12"/>
  <c r="W556" i="12"/>
  <c r="W557" i="12"/>
  <c r="X556" i="12"/>
  <c r="X557" i="12"/>
  <c r="W558" i="12"/>
  <c r="W559" i="12"/>
  <c r="X558" i="12"/>
  <c r="X559" i="12"/>
  <c r="W560" i="12"/>
  <c r="W561" i="12"/>
  <c r="X560" i="12"/>
  <c r="X561" i="12"/>
  <c r="W562" i="12"/>
  <c r="X562" i="12"/>
  <c r="W563" i="12"/>
  <c r="X563" i="12"/>
  <c r="W564" i="12"/>
  <c r="X564" i="12"/>
  <c r="W565" i="12"/>
  <c r="X565" i="12"/>
  <c r="W566" i="12"/>
  <c r="W567" i="12"/>
  <c r="X566" i="12"/>
  <c r="W568" i="12"/>
  <c r="X567" i="12"/>
  <c r="X568" i="12"/>
  <c r="W569" i="12"/>
  <c r="X569" i="12"/>
  <c r="W570" i="12"/>
  <c r="X570" i="12"/>
  <c r="W571" i="12"/>
  <c r="W572" i="12"/>
  <c r="X571" i="12"/>
  <c r="X572" i="12"/>
  <c r="W573" i="12"/>
  <c r="W574" i="12"/>
  <c r="X573" i="12"/>
  <c r="W575" i="12"/>
  <c r="X574" i="12"/>
  <c r="W576" i="12"/>
  <c r="X575" i="12"/>
  <c r="W577" i="12"/>
  <c r="X576" i="12"/>
  <c r="W578" i="12"/>
  <c r="X577" i="12"/>
  <c r="X578" i="12"/>
  <c r="W579" i="12"/>
  <c r="W580" i="12"/>
  <c r="X579" i="12"/>
  <c r="W581" i="12"/>
  <c r="X580" i="12"/>
  <c r="X581" i="12"/>
  <c r="W582" i="12"/>
  <c r="W583" i="12"/>
  <c r="X582" i="12"/>
  <c r="W584" i="12"/>
  <c r="X583" i="12"/>
  <c r="X584" i="12"/>
  <c r="W585" i="12"/>
  <c r="W586" i="12"/>
  <c r="X585" i="12"/>
  <c r="W587" i="12"/>
  <c r="X586" i="12"/>
  <c r="X587" i="12"/>
  <c r="W588" i="12"/>
  <c r="X588" i="12"/>
  <c r="W589" i="12"/>
  <c r="W590" i="12"/>
  <c r="X589" i="12"/>
  <c r="X590" i="12"/>
  <c r="W591" i="12"/>
  <c r="X591" i="12"/>
  <c r="W592" i="12"/>
  <c r="W593" i="12"/>
  <c r="X592" i="12"/>
  <c r="W594" i="12"/>
  <c r="X593" i="12"/>
  <c r="W595" i="12"/>
  <c r="X594" i="12"/>
  <c r="X595" i="12"/>
  <c r="W596" i="12"/>
  <c r="X596" i="12"/>
  <c r="W597" i="12"/>
  <c r="W598" i="12"/>
  <c r="X597" i="12"/>
  <c r="X598" i="12"/>
  <c r="W599" i="12"/>
  <c r="W600" i="12"/>
  <c r="X599" i="12"/>
  <c r="X600" i="12"/>
  <c r="W601" i="12"/>
  <c r="W602" i="12"/>
  <c r="X601" i="12"/>
  <c r="W603" i="12"/>
  <c r="X602" i="12"/>
  <c r="X603" i="12"/>
  <c r="W604" i="12"/>
  <c r="W605" i="12"/>
  <c r="X604" i="12"/>
  <c r="X605" i="12"/>
  <c r="W606" i="12"/>
  <c r="W607" i="12"/>
  <c r="X606" i="12"/>
  <c r="X607" i="12"/>
  <c r="W608" i="12"/>
  <c r="W609" i="12"/>
  <c r="X608" i="12"/>
  <c r="X609" i="12"/>
  <c r="W610" i="12"/>
  <c r="W611" i="12"/>
  <c r="X610" i="12"/>
  <c r="W612" i="12"/>
  <c r="X611" i="12"/>
  <c r="X612" i="12"/>
  <c r="W613" i="12"/>
  <c r="X613" i="12"/>
  <c r="W614" i="12"/>
  <c r="W615" i="12"/>
  <c r="X614" i="12"/>
  <c r="W616" i="12"/>
  <c r="X615" i="12"/>
  <c r="W617" i="12"/>
  <c r="X616" i="12"/>
  <c r="X617" i="12"/>
  <c r="W618" i="12"/>
  <c r="X618" i="12"/>
  <c r="W619" i="12"/>
  <c r="W620" i="12"/>
  <c r="X619" i="12"/>
  <c r="W621" i="12"/>
  <c r="X620" i="12"/>
  <c r="W622" i="12"/>
  <c r="X621" i="12"/>
  <c r="W623" i="12"/>
  <c r="X622" i="12"/>
  <c r="X623" i="12"/>
  <c r="W624" i="12"/>
  <c r="W625" i="12"/>
  <c r="X624" i="12"/>
  <c r="W626" i="12"/>
  <c r="X625" i="12"/>
  <c r="X626" i="12"/>
  <c r="W627" i="12"/>
  <c r="W628" i="12"/>
  <c r="X627" i="12"/>
  <c r="X628" i="12"/>
  <c r="W629" i="12"/>
  <c r="W630" i="12"/>
  <c r="X629" i="12"/>
  <c r="W631" i="12"/>
  <c r="X630" i="12"/>
  <c r="X631" i="12"/>
  <c r="W632" i="12"/>
  <c r="X632" i="12"/>
  <c r="W633" i="12"/>
  <c r="X633" i="12"/>
  <c r="W634" i="12"/>
  <c r="W635" i="12"/>
  <c r="X634" i="12"/>
  <c r="W636" i="12"/>
  <c r="X635" i="12"/>
  <c r="W637" i="12"/>
  <c r="X636" i="12"/>
  <c r="X637" i="12"/>
  <c r="W638" i="12"/>
  <c r="W639" i="12"/>
  <c r="X638" i="12"/>
  <c r="X639" i="12"/>
  <c r="W640" i="12"/>
  <c r="X640" i="12"/>
  <c r="W641" i="12"/>
  <c r="W642" i="12"/>
  <c r="X641" i="12"/>
  <c r="W643" i="12"/>
  <c r="X642" i="12"/>
  <c r="X643" i="12"/>
  <c r="W644" i="12"/>
  <c r="X644" i="12"/>
  <c r="W645" i="12"/>
  <c r="W646" i="12"/>
  <c r="X645" i="12"/>
  <c r="X646" i="12"/>
  <c r="W647" i="12"/>
  <c r="W648" i="12"/>
  <c r="X647" i="12"/>
  <c r="X648" i="12"/>
  <c r="W649" i="12"/>
  <c r="X649" i="12"/>
  <c r="W650" i="12"/>
  <c r="W651" i="12"/>
  <c r="X650" i="12"/>
  <c r="W652" i="12"/>
  <c r="X651" i="12"/>
  <c r="W653" i="12"/>
  <c r="X652" i="12"/>
  <c r="X653" i="12"/>
  <c r="W654" i="12"/>
  <c r="W655" i="12"/>
  <c r="X654" i="12"/>
  <c r="W656" i="12"/>
  <c r="X655" i="12"/>
  <c r="W657" i="12"/>
  <c r="X656" i="12"/>
  <c r="W658" i="12"/>
  <c r="X657" i="12"/>
  <c r="W659" i="12"/>
  <c r="X658" i="12"/>
  <c r="X659" i="12"/>
  <c r="W660" i="12"/>
  <c r="X660" i="12"/>
  <c r="W661" i="12"/>
  <c r="X661" i="12"/>
  <c r="W662" i="12"/>
  <c r="X662" i="12"/>
  <c r="W663" i="12"/>
  <c r="X663" i="12"/>
  <c r="W664" i="12"/>
  <c r="X664" i="12"/>
  <c r="W665" i="12"/>
  <c r="X665" i="12"/>
  <c r="W666" i="12"/>
  <c r="X666" i="12"/>
  <c r="W667" i="12"/>
  <c r="X667" i="12"/>
  <c r="W668" i="12"/>
  <c r="W669" i="12"/>
  <c r="X668" i="12"/>
  <c r="X669" i="12"/>
  <c r="W670" i="12"/>
  <c r="W671" i="12"/>
  <c r="X670" i="12"/>
  <c r="W672" i="12"/>
  <c r="X671" i="12"/>
  <c r="X672" i="12"/>
  <c r="W673" i="12"/>
  <c r="W674" i="12"/>
  <c r="X673" i="12"/>
  <c r="W675" i="12"/>
  <c r="X674" i="12"/>
  <c r="X675" i="12"/>
  <c r="W676" i="12"/>
  <c r="W677" i="12"/>
  <c r="X676" i="12"/>
  <c r="W678" i="12"/>
  <c r="X677" i="12"/>
  <c r="W679" i="12"/>
  <c r="X678" i="12"/>
  <c r="W680" i="12"/>
  <c r="X679" i="12"/>
  <c r="X680" i="12"/>
  <c r="W681" i="12"/>
  <c r="X681" i="12"/>
  <c r="W682" i="12"/>
  <c r="X682" i="12"/>
  <c r="W683" i="12"/>
  <c r="W684" i="12"/>
  <c r="X683" i="12"/>
  <c r="X684" i="12"/>
  <c r="W685" i="12"/>
  <c r="W686" i="12"/>
  <c r="X685" i="12"/>
  <c r="X686" i="12"/>
  <c r="W687" i="12"/>
  <c r="X687" i="12"/>
  <c r="W688" i="12"/>
  <c r="W689" i="12"/>
  <c r="X688" i="12"/>
  <c r="W690" i="12"/>
  <c r="X689" i="12"/>
  <c r="X690" i="12"/>
  <c r="W691" i="12"/>
  <c r="W692" i="12"/>
  <c r="X691" i="12"/>
  <c r="W693" i="12"/>
  <c r="X692" i="12"/>
  <c r="W694" i="12"/>
  <c r="X693" i="12"/>
  <c r="X694" i="12"/>
  <c r="W695" i="12"/>
  <c r="W696" i="12"/>
  <c r="X695" i="12"/>
  <c r="X696" i="12"/>
  <c r="W697" i="12"/>
  <c r="X697" i="12"/>
  <c r="W698" i="12"/>
  <c r="W699" i="12"/>
  <c r="X698" i="12"/>
  <c r="W700" i="12"/>
  <c r="X699" i="12"/>
  <c r="W701" i="12"/>
  <c r="X700" i="12"/>
  <c r="X701" i="12"/>
  <c r="W702" i="12"/>
  <c r="X702" i="12"/>
  <c r="W703" i="12"/>
  <c r="X703" i="12"/>
  <c r="W704" i="12"/>
  <c r="W705" i="12"/>
  <c r="X704" i="12"/>
  <c r="W706" i="12"/>
  <c r="X705" i="12"/>
  <c r="X706" i="12"/>
  <c r="W707" i="12"/>
  <c r="W708" i="12"/>
  <c r="X707" i="12"/>
  <c r="X708" i="12"/>
  <c r="W709" i="12"/>
  <c r="W710" i="12"/>
  <c r="X709" i="12"/>
  <c r="W711" i="12"/>
  <c r="X710" i="12"/>
  <c r="X711" i="12"/>
  <c r="W712" i="12"/>
  <c r="X712" i="12"/>
  <c r="W713" i="12"/>
  <c r="W714" i="12"/>
  <c r="X713" i="12"/>
  <c r="X714" i="12"/>
  <c r="W715" i="12"/>
  <c r="W716" i="12"/>
  <c r="X715" i="12"/>
  <c r="X716" i="12"/>
  <c r="W717" i="12"/>
  <c r="W718" i="12"/>
  <c r="X717" i="12"/>
  <c r="W719" i="12"/>
  <c r="X718" i="12"/>
  <c r="W720" i="12"/>
  <c r="X719" i="12"/>
  <c r="W721" i="12"/>
  <c r="X720" i="12"/>
  <c r="X721" i="12"/>
  <c r="W722" i="12"/>
  <c r="X722" i="12"/>
  <c r="W723" i="12"/>
  <c r="W724" i="12"/>
  <c r="X723" i="12"/>
  <c r="X724" i="12"/>
  <c r="W725" i="12"/>
  <c r="W726" i="12"/>
  <c r="X725" i="12"/>
  <c r="X726" i="12"/>
  <c r="W727" i="12"/>
  <c r="X727" i="12"/>
  <c r="W728" i="12"/>
  <c r="X728" i="12"/>
  <c r="W729" i="12"/>
  <c r="X729" i="12"/>
  <c r="W730" i="12"/>
  <c r="W731" i="12"/>
  <c r="X730" i="12"/>
  <c r="X731" i="12"/>
  <c r="W732" i="12"/>
  <c r="X732" i="12"/>
  <c r="W733" i="12"/>
  <c r="X733" i="12"/>
  <c r="W734" i="12"/>
  <c r="X734" i="12"/>
  <c r="W735" i="12"/>
  <c r="X735" i="12"/>
  <c r="W736" i="12"/>
  <c r="X736" i="12"/>
  <c r="W737" i="12"/>
  <c r="X737" i="12"/>
  <c r="W738" i="12"/>
  <c r="W739" i="12"/>
  <c r="X738" i="12"/>
  <c r="X739" i="12"/>
  <c r="W740" i="12"/>
  <c r="W741" i="12"/>
  <c r="X740" i="12"/>
  <c r="W742" i="12"/>
  <c r="X741" i="12"/>
  <c r="W743" i="12"/>
  <c r="X742" i="12"/>
  <c r="W744" i="12"/>
  <c r="X743" i="12"/>
  <c r="X744" i="12"/>
  <c r="W745" i="12"/>
  <c r="W746" i="12"/>
  <c r="X745" i="12"/>
  <c r="W747" i="12"/>
  <c r="X746" i="12"/>
  <c r="X747" i="12"/>
  <c r="W748" i="12"/>
  <c r="X748" i="12"/>
  <c r="W749" i="12"/>
  <c r="W750" i="12"/>
  <c r="X749" i="12"/>
  <c r="W751" i="12"/>
  <c r="X750" i="12"/>
  <c r="X751" i="12"/>
  <c r="W752" i="12"/>
  <c r="X752" i="12"/>
  <c r="W753" i="12"/>
  <c r="W754" i="12"/>
  <c r="X753" i="12"/>
  <c r="X754" i="12"/>
  <c r="W755" i="12"/>
  <c r="X755" i="12"/>
  <c r="W756" i="12"/>
  <c r="X756" i="12"/>
  <c r="W757" i="12"/>
  <c r="X757" i="12"/>
  <c r="W758" i="12"/>
  <c r="X758" i="12"/>
  <c r="W759" i="12"/>
  <c r="W760" i="12"/>
  <c r="X759" i="12"/>
  <c r="X760" i="12"/>
  <c r="W761" i="12"/>
  <c r="W762" i="12"/>
  <c r="X761" i="12"/>
  <c r="X762" i="12"/>
  <c r="W763" i="12"/>
  <c r="W764" i="12"/>
  <c r="X763" i="12"/>
  <c r="W765" i="12"/>
  <c r="X764" i="12"/>
  <c r="W766" i="12"/>
  <c r="X765" i="12"/>
  <c r="W767" i="12"/>
  <c r="X766" i="12"/>
  <c r="X767" i="12"/>
  <c r="W768" i="12"/>
  <c r="W769" i="12"/>
  <c r="X768" i="12"/>
  <c r="X769" i="12"/>
  <c r="W770" i="12"/>
  <c r="W771" i="12"/>
  <c r="X770" i="12"/>
  <c r="W772" i="12"/>
  <c r="X771" i="12"/>
  <c r="X772" i="12"/>
  <c r="W773" i="12"/>
  <c r="X773" i="12"/>
  <c r="W774" i="12"/>
  <c r="X774" i="12"/>
  <c r="W775" i="12"/>
  <c r="W776" i="12"/>
  <c r="X775" i="12"/>
  <c r="W777" i="12"/>
  <c r="X776" i="12"/>
  <c r="X777" i="12"/>
  <c r="W778" i="12"/>
  <c r="W779" i="12"/>
  <c r="X778" i="12"/>
  <c r="X779" i="12"/>
  <c r="W780" i="12"/>
  <c r="X780" i="12"/>
  <c r="W781" i="12"/>
  <c r="X781" i="12"/>
  <c r="W782" i="12"/>
  <c r="X782" i="12"/>
  <c r="W783" i="12"/>
  <c r="W784" i="12"/>
  <c r="X783" i="12"/>
  <c r="X784" i="12"/>
  <c r="W785" i="12"/>
  <c r="X785" i="12"/>
  <c r="W786" i="12"/>
  <c r="W787" i="12"/>
  <c r="X786" i="12"/>
  <c r="X787" i="12"/>
  <c r="W788" i="12"/>
  <c r="W789" i="12"/>
  <c r="X788" i="12"/>
  <c r="X789" i="12"/>
  <c r="W790" i="12"/>
  <c r="X790" i="12"/>
  <c r="W791" i="12"/>
  <c r="W792" i="12"/>
  <c r="X791" i="12"/>
  <c r="X792" i="12"/>
  <c r="W793" i="12"/>
  <c r="X793" i="12"/>
  <c r="W794" i="12"/>
  <c r="W795" i="12"/>
  <c r="X794" i="12"/>
  <c r="W796" i="12"/>
  <c r="X795" i="12"/>
  <c r="W797" i="12"/>
  <c r="X796" i="12"/>
  <c r="W798" i="12"/>
  <c r="X797" i="12"/>
  <c r="X798" i="12"/>
  <c r="W799" i="12"/>
  <c r="X799" i="12"/>
  <c r="W800" i="12"/>
  <c r="X800" i="12"/>
  <c r="W801" i="12"/>
  <c r="X801" i="12"/>
  <c r="W802" i="12"/>
  <c r="X802" i="12"/>
  <c r="W803" i="12"/>
  <c r="W804" i="12"/>
  <c r="X803" i="12"/>
  <c r="W805" i="12"/>
  <c r="X804" i="12"/>
  <c r="X805" i="12"/>
  <c r="W806" i="12"/>
  <c r="X806" i="12"/>
  <c r="W807" i="12"/>
  <c r="W808" i="12"/>
  <c r="X807" i="12"/>
  <c r="X808" i="12"/>
  <c r="W809" i="12"/>
  <c r="X809" i="12"/>
  <c r="W810" i="12"/>
  <c r="W811" i="12"/>
  <c r="X810" i="12"/>
  <c r="X811" i="12"/>
  <c r="W812" i="12"/>
  <c r="X812" i="12"/>
  <c r="W813" i="12"/>
  <c r="W814" i="12"/>
  <c r="X813" i="12"/>
  <c r="X814" i="12"/>
  <c r="W815" i="12"/>
  <c r="W816" i="12"/>
  <c r="X815" i="12"/>
  <c r="X816" i="12"/>
  <c r="W817" i="12"/>
  <c r="X817" i="12"/>
  <c r="W818" i="12"/>
  <c r="W819" i="12"/>
  <c r="X818" i="12"/>
  <c r="X819" i="12"/>
  <c r="W820" i="12"/>
  <c r="W821" i="12"/>
  <c r="X820" i="12"/>
  <c r="X821" i="12"/>
  <c r="W822" i="12"/>
  <c r="X822" i="12"/>
  <c r="W823" i="12"/>
  <c r="X823" i="12"/>
  <c r="W824" i="12"/>
  <c r="W825" i="12"/>
  <c r="X824" i="12"/>
  <c r="W826" i="12"/>
  <c r="X825" i="12"/>
  <c r="W827" i="12"/>
  <c r="X826" i="12"/>
  <c r="W828" i="12"/>
  <c r="X827" i="12"/>
  <c r="W829" i="12"/>
  <c r="X828" i="12"/>
  <c r="X829" i="12"/>
  <c r="W830" i="12"/>
  <c r="W831" i="12"/>
  <c r="X830" i="12"/>
  <c r="W832" i="12"/>
  <c r="X831" i="12"/>
  <c r="W833" i="12"/>
  <c r="X832" i="12"/>
  <c r="W834" i="12"/>
  <c r="X833" i="12"/>
  <c r="W835" i="12"/>
  <c r="X834" i="12"/>
  <c r="W836" i="12"/>
  <c r="X835" i="12"/>
  <c r="W837" i="12"/>
  <c r="X836" i="12"/>
  <c r="X837" i="12"/>
  <c r="W838" i="12"/>
  <c r="X838" i="12"/>
  <c r="W839" i="12"/>
  <c r="X839" i="12"/>
  <c r="W840" i="12"/>
  <c r="W841" i="12"/>
  <c r="X840" i="12"/>
  <c r="X841" i="12"/>
  <c r="W842" i="12"/>
  <c r="W843" i="12"/>
  <c r="X842" i="12"/>
  <c r="X843" i="12"/>
  <c r="W844" i="12"/>
  <c r="X844" i="12"/>
  <c r="W845" i="12"/>
  <c r="W846" i="12"/>
  <c r="X845" i="12"/>
  <c r="X846" i="12"/>
  <c r="W847" i="12"/>
  <c r="W848" i="12"/>
  <c r="X847" i="12"/>
  <c r="W849" i="12"/>
  <c r="X848" i="12"/>
  <c r="W850" i="12"/>
  <c r="X849" i="12"/>
  <c r="X850" i="12"/>
  <c r="W851" i="12"/>
  <c r="X851" i="12"/>
  <c r="W852" i="12"/>
  <c r="X852" i="12"/>
  <c r="W853" i="12"/>
  <c r="W854" i="12"/>
  <c r="X853" i="12"/>
  <c r="W855" i="12"/>
  <c r="X854" i="12"/>
  <c r="W856" i="12"/>
  <c r="X855" i="12"/>
  <c r="X856" i="12"/>
  <c r="W857" i="12"/>
  <c r="X857" i="12"/>
  <c r="W858" i="12"/>
  <c r="W859" i="12"/>
  <c r="X858" i="12"/>
  <c r="X859" i="12"/>
  <c r="W860" i="12"/>
  <c r="X860" i="12"/>
  <c r="W861" i="12"/>
  <c r="X861" i="12"/>
  <c r="W862" i="12"/>
  <c r="W863" i="12"/>
  <c r="X862" i="12"/>
  <c r="W864" i="12"/>
  <c r="X863" i="12"/>
  <c r="W865" i="12"/>
  <c r="X864" i="12"/>
  <c r="X865" i="12"/>
  <c r="W866" i="12"/>
  <c r="W867" i="12"/>
  <c r="X866" i="12"/>
  <c r="X867" i="12"/>
  <c r="W868" i="12"/>
  <c r="W869" i="12"/>
  <c r="X868" i="12"/>
  <c r="X869" i="12"/>
  <c r="W870" i="12"/>
  <c r="W871" i="12"/>
  <c r="X870" i="12"/>
  <c r="W872" i="12"/>
  <c r="X871" i="12"/>
  <c r="X872" i="12"/>
  <c r="W873" i="12"/>
  <c r="X873" i="12"/>
  <c r="W874" i="12"/>
  <c r="X874" i="12"/>
  <c r="W875" i="12"/>
  <c r="W876" i="12"/>
  <c r="X875" i="12"/>
  <c r="X876" i="12"/>
  <c r="W877" i="12"/>
  <c r="X877" i="12"/>
  <c r="W878" i="12"/>
  <c r="W879" i="12"/>
  <c r="X878" i="12"/>
  <c r="X879" i="12"/>
  <c r="W880" i="12"/>
  <c r="X880" i="12"/>
  <c r="W881" i="12"/>
  <c r="W882" i="12"/>
  <c r="X881" i="12"/>
  <c r="W883" i="12"/>
  <c r="X882" i="12"/>
  <c r="X883" i="12"/>
  <c r="W884" i="12"/>
  <c r="W885" i="12"/>
  <c r="X884" i="12"/>
  <c r="X885" i="12"/>
  <c r="W886" i="12"/>
  <c r="W887" i="12"/>
  <c r="X886" i="12"/>
  <c r="W888" i="12"/>
  <c r="X887" i="12"/>
  <c r="W889" i="12"/>
  <c r="X888" i="12"/>
  <c r="X889" i="12"/>
  <c r="W890" i="12"/>
  <c r="W891" i="12"/>
  <c r="X890" i="12"/>
  <c r="W892" i="12"/>
  <c r="X891" i="12"/>
  <c r="W893" i="12"/>
  <c r="X892" i="12"/>
  <c r="X893" i="12"/>
  <c r="W894" i="12"/>
  <c r="W895" i="12"/>
  <c r="X894" i="12"/>
  <c r="W896" i="12"/>
  <c r="X895" i="12"/>
  <c r="W897" i="12"/>
  <c r="X896" i="12"/>
  <c r="X897" i="12"/>
  <c r="W898" i="12"/>
  <c r="X898" i="12"/>
  <c r="W899" i="12"/>
  <c r="W900" i="12"/>
  <c r="X899" i="12"/>
  <c r="X900" i="12"/>
  <c r="W901" i="12"/>
  <c r="W902" i="12"/>
  <c r="X901" i="12"/>
  <c r="W903" i="12"/>
  <c r="X902" i="12"/>
  <c r="X903" i="12"/>
  <c r="W904" i="12"/>
  <c r="X904" i="12"/>
  <c r="W905" i="12"/>
  <c r="X905" i="12"/>
  <c r="W906" i="12"/>
  <c r="X906" i="12"/>
  <c r="W907" i="12"/>
  <c r="W908" i="12"/>
  <c r="X907" i="12"/>
  <c r="W909" i="12"/>
  <c r="X908" i="12"/>
  <c r="W910" i="12"/>
  <c r="X909" i="12"/>
  <c r="X910" i="12"/>
  <c r="W911" i="12"/>
  <c r="W912" i="12"/>
  <c r="X911" i="12"/>
  <c r="X912" i="12"/>
  <c r="W913" i="12"/>
  <c r="W914" i="12"/>
  <c r="X913" i="12"/>
  <c r="W915" i="12"/>
  <c r="X914" i="12"/>
  <c r="W916" i="12"/>
  <c r="X915" i="12"/>
  <c r="W917" i="12"/>
  <c r="X916" i="12"/>
  <c r="X917" i="12"/>
  <c r="W918" i="12"/>
  <c r="X918" i="12"/>
  <c r="W919" i="12"/>
  <c r="X919" i="12"/>
  <c r="W920" i="12"/>
  <c r="W921" i="12"/>
  <c r="X920" i="12"/>
  <c r="X921" i="12"/>
  <c r="W922" i="12"/>
  <c r="W923" i="12"/>
  <c r="X922" i="12"/>
  <c r="X923" i="12"/>
  <c r="W924" i="12"/>
  <c r="W925" i="12"/>
  <c r="X924" i="12"/>
  <c r="X925" i="12"/>
  <c r="W926" i="12"/>
  <c r="W927" i="12"/>
  <c r="X926" i="12"/>
  <c r="W928" i="12"/>
  <c r="X927" i="12"/>
  <c r="X928" i="12"/>
  <c r="W929" i="12"/>
  <c r="X929" i="12"/>
  <c r="W930" i="12"/>
  <c r="W931" i="12"/>
  <c r="X930" i="12"/>
  <c r="W932" i="12"/>
  <c r="X931" i="12"/>
  <c r="W933" i="12"/>
  <c r="X932" i="12"/>
  <c r="X933" i="12"/>
  <c r="W934" i="12"/>
  <c r="X934" i="12"/>
  <c r="W935" i="12"/>
  <c r="W936" i="12"/>
  <c r="X935" i="12"/>
  <c r="X936" i="12"/>
  <c r="W937" i="12"/>
  <c r="X937" i="12"/>
  <c r="W938" i="12"/>
  <c r="X938" i="12"/>
  <c r="W939" i="12"/>
  <c r="X939" i="12"/>
  <c r="W940" i="12"/>
  <c r="X940" i="12"/>
  <c r="W941" i="12"/>
  <c r="X941" i="12"/>
  <c r="W942" i="12"/>
  <c r="X942" i="12"/>
  <c r="W943" i="12"/>
  <c r="X943" i="12"/>
  <c r="W944" i="12"/>
  <c r="W945" i="12"/>
  <c r="X944" i="12"/>
  <c r="X945" i="12"/>
  <c r="W946" i="12"/>
  <c r="W947" i="12"/>
  <c r="X946" i="12"/>
  <c r="X947" i="12"/>
  <c r="W948" i="12"/>
  <c r="W949" i="12"/>
  <c r="X948" i="12"/>
  <c r="W950" i="12"/>
  <c r="X949" i="12"/>
  <c r="W951" i="12"/>
  <c r="X950" i="12"/>
  <c r="X951" i="12"/>
  <c r="W952" i="12"/>
  <c r="W953" i="12"/>
  <c r="X952" i="12"/>
  <c r="X953" i="12"/>
  <c r="W954" i="12"/>
  <c r="X954" i="12"/>
  <c r="W955" i="12"/>
  <c r="W956" i="12"/>
  <c r="X955" i="12"/>
  <c r="X956" i="12"/>
  <c r="W957" i="12"/>
  <c r="X957" i="12"/>
  <c r="W958" i="12"/>
  <c r="X958" i="12"/>
  <c r="W959" i="12"/>
  <c r="W960" i="12"/>
  <c r="X959" i="12"/>
  <c r="W961" i="12"/>
  <c r="X960" i="12"/>
  <c r="X961" i="12"/>
  <c r="W962" i="12"/>
  <c r="W963" i="12"/>
  <c r="X962" i="12"/>
  <c r="X963" i="12"/>
  <c r="W964" i="12"/>
  <c r="W965" i="12"/>
  <c r="X964" i="12"/>
  <c r="X965" i="12"/>
  <c r="W966" i="12"/>
  <c r="X966" i="12"/>
  <c r="W967" i="12"/>
  <c r="X967" i="12"/>
  <c r="W968" i="12"/>
  <c r="X968" i="12"/>
  <c r="W969" i="12"/>
  <c r="X969" i="12"/>
  <c r="W970" i="12"/>
  <c r="W971" i="12"/>
  <c r="X970" i="12"/>
  <c r="W972" i="12"/>
  <c r="X971" i="12"/>
  <c r="W973" i="12"/>
  <c r="X972" i="12"/>
  <c r="X973" i="12"/>
  <c r="W974" i="12"/>
  <c r="W975" i="12"/>
  <c r="X974" i="12"/>
  <c r="W976" i="12"/>
  <c r="X975" i="12"/>
  <c r="W977" i="12"/>
  <c r="X976" i="12"/>
  <c r="W978" i="12"/>
  <c r="X977" i="12"/>
  <c r="W979" i="12"/>
  <c r="X978" i="12"/>
  <c r="X979" i="12"/>
  <c r="W980" i="12"/>
  <c r="W981" i="12"/>
  <c r="X980" i="12"/>
  <c r="W982" i="12"/>
  <c r="X981" i="12"/>
  <c r="W983" i="12"/>
  <c r="X982" i="12"/>
  <c r="X983" i="12"/>
  <c r="W984" i="12"/>
  <c r="W985" i="12"/>
  <c r="X984" i="12"/>
  <c r="W986" i="12"/>
  <c r="X985" i="12"/>
  <c r="X986" i="12"/>
  <c r="W987" i="12"/>
  <c r="W988" i="12"/>
  <c r="X987" i="12"/>
  <c r="W989" i="12"/>
  <c r="X988" i="12"/>
  <c r="X989" i="12"/>
  <c r="W990" i="12"/>
  <c r="X990" i="12"/>
  <c r="W991" i="12"/>
  <c r="X991" i="12"/>
  <c r="W992" i="12"/>
  <c r="W993" i="12"/>
  <c r="X992" i="12"/>
  <c r="X993" i="12"/>
  <c r="W994" i="12"/>
  <c r="X994" i="12"/>
  <c r="W995" i="12"/>
  <c r="X995" i="12"/>
  <c r="W996" i="12"/>
  <c r="X996" i="12"/>
  <c r="W997" i="12"/>
  <c r="X997" i="12"/>
  <c r="W998" i="12"/>
  <c r="X998" i="12"/>
  <c r="W999" i="12"/>
  <c r="X999" i="12"/>
  <c r="W1000" i="12"/>
  <c r="W1001" i="12"/>
  <c r="X1000" i="12"/>
  <c r="X1001" i="12"/>
  <c r="W1002" i="12"/>
  <c r="X1002" i="12"/>
  <c r="W1003" i="12"/>
  <c r="X1003" i="12"/>
  <c r="W1004" i="12"/>
  <c r="X1004" i="12"/>
  <c r="W1005" i="12"/>
  <c r="W1006" i="12"/>
  <c r="X1005" i="12"/>
  <c r="X1006" i="12"/>
  <c r="W1007" i="12"/>
  <c r="X1007" i="12"/>
  <c r="W1008" i="12"/>
  <c r="X1008" i="12"/>
  <c r="W1009" i="12"/>
  <c r="X1009" i="12"/>
  <c r="W1010" i="12"/>
  <c r="W1011" i="12"/>
  <c r="X1010" i="12"/>
  <c r="X1011" i="12"/>
  <c r="W1012" i="12"/>
  <c r="X1012" i="12"/>
  <c r="W1013" i="12"/>
  <c r="X1013" i="12"/>
  <c r="W1014" i="12"/>
  <c r="W1015" i="12"/>
  <c r="X1014" i="12"/>
  <c r="W1016" i="12"/>
  <c r="X1015" i="12"/>
  <c r="X1016" i="12"/>
  <c r="W1017" i="12"/>
  <c r="W1018" i="12"/>
  <c r="X1017" i="12"/>
  <c r="W1019" i="12"/>
  <c r="X1018" i="12"/>
  <c r="X1019" i="12"/>
  <c r="W1020" i="12"/>
  <c r="W1021" i="12"/>
  <c r="X1020" i="12"/>
  <c r="X1021" i="12"/>
  <c r="W1022" i="12"/>
  <c r="W1023" i="12"/>
  <c r="X1022" i="12"/>
  <c r="X1023" i="12"/>
  <c r="W1024" i="12"/>
  <c r="X1024" i="12"/>
  <c r="W1025" i="12"/>
  <c r="X1025" i="12"/>
  <c r="W1026" i="12"/>
  <c r="X1026" i="12"/>
  <c r="W1027" i="12"/>
  <c r="X1027" i="12"/>
  <c r="W1028" i="12"/>
  <c r="W1029" i="12"/>
  <c r="X1028" i="12"/>
  <c r="W1030" i="12"/>
  <c r="X1029" i="12"/>
  <c r="X1030" i="12"/>
  <c r="W1031" i="12"/>
  <c r="X1031" i="12"/>
  <c r="W1032" i="12"/>
  <c r="X1032" i="12"/>
  <c r="W1033" i="12"/>
  <c r="X1033" i="12"/>
  <c r="W1034" i="12"/>
  <c r="W1035" i="12"/>
  <c r="X1034" i="12"/>
  <c r="X1035" i="12"/>
  <c r="W1036" i="12"/>
  <c r="W1037" i="12"/>
  <c r="X1036" i="12"/>
  <c r="W1038" i="12"/>
  <c r="X1037" i="12"/>
  <c r="X1038" i="12"/>
  <c r="W1039" i="12"/>
  <c r="W1040" i="12"/>
  <c r="X1039" i="12"/>
  <c r="X1040" i="12"/>
  <c r="W1041" i="12"/>
  <c r="X1041" i="12"/>
  <c r="W1042" i="12"/>
  <c r="W1043" i="12"/>
  <c r="X1042" i="12"/>
  <c r="X1043" i="12"/>
  <c r="W1044" i="12"/>
  <c r="X1044" i="12"/>
  <c r="W1045" i="12"/>
  <c r="X1045" i="12"/>
  <c r="W1046" i="12"/>
  <c r="W1047" i="12"/>
  <c r="X1046" i="12"/>
  <c r="W1048" i="12"/>
  <c r="X1047" i="12"/>
  <c r="X1048" i="12"/>
  <c r="W1049" i="12"/>
  <c r="W1050" i="12"/>
  <c r="X1049" i="12"/>
  <c r="W1051" i="12"/>
  <c r="X1050" i="12"/>
  <c r="X1051" i="12"/>
  <c r="W1052" i="12"/>
  <c r="W1053" i="12"/>
  <c r="X1052" i="12"/>
  <c r="X1053" i="12"/>
  <c r="W1054" i="12"/>
  <c r="W1055" i="12"/>
  <c r="X1054" i="12"/>
  <c r="W1056" i="12"/>
  <c r="X1055" i="12"/>
  <c r="W1057" i="12"/>
  <c r="X1056" i="12"/>
  <c r="X1057" i="12"/>
  <c r="W1058" i="12"/>
  <c r="X1058" i="12"/>
  <c r="W1059" i="12"/>
  <c r="W1060" i="12"/>
  <c r="X1059" i="12"/>
  <c r="X1060" i="12"/>
  <c r="W1061" i="12"/>
  <c r="X1061" i="12"/>
  <c r="W1062" i="12"/>
  <c r="X1062" i="12"/>
  <c r="W1063" i="12"/>
  <c r="X1063" i="12"/>
  <c r="W1064" i="12"/>
  <c r="X1064" i="12"/>
  <c r="W1065" i="12"/>
  <c r="X1065" i="12"/>
  <c r="W1066" i="12"/>
  <c r="X1066" i="12"/>
  <c r="W1067" i="12"/>
  <c r="X1067" i="12"/>
  <c r="W1068" i="12"/>
  <c r="W1069" i="12"/>
  <c r="X1068" i="12"/>
  <c r="W1070" i="12"/>
  <c r="X1069" i="12"/>
  <c r="X1070" i="12"/>
  <c r="W1071" i="12"/>
  <c r="W1072" i="12"/>
  <c r="X1071" i="12"/>
  <c r="W1073" i="12"/>
  <c r="X1072" i="12"/>
  <c r="X1073" i="12"/>
  <c r="W1074" i="12"/>
  <c r="W1075" i="12"/>
  <c r="X1074" i="12"/>
  <c r="X1075" i="12"/>
  <c r="W1076" i="12"/>
  <c r="W1077" i="12"/>
  <c r="X1076" i="12"/>
  <c r="W1078" i="12"/>
  <c r="X1077" i="12"/>
  <c r="W1079" i="12"/>
  <c r="X1078" i="12"/>
  <c r="W1080" i="12"/>
  <c r="X1079" i="12"/>
  <c r="W1081" i="12"/>
  <c r="X1080" i="12"/>
  <c r="X1081" i="12"/>
  <c r="W1082" i="12"/>
  <c r="W1083" i="12"/>
  <c r="X1082" i="12"/>
  <c r="X1083" i="12"/>
  <c r="W1084" i="12"/>
  <c r="W1085" i="12"/>
  <c r="X1084" i="12"/>
  <c r="W1086" i="12"/>
  <c r="X1085" i="12"/>
  <c r="X1086" i="12"/>
  <c r="W1087" i="12"/>
  <c r="X1087" i="12"/>
  <c r="W1088" i="12"/>
  <c r="X1088" i="12"/>
  <c r="W1089" i="12"/>
  <c r="X1089" i="12"/>
  <c r="W1090" i="12"/>
  <c r="X1090" i="12"/>
  <c r="W1091" i="12"/>
  <c r="X1091" i="12"/>
  <c r="W1092" i="12"/>
  <c r="X1092" i="12"/>
  <c r="W1093" i="12"/>
  <c r="W1094" i="12"/>
  <c r="X1093" i="12"/>
  <c r="X1094" i="12"/>
  <c r="W1095" i="12"/>
  <c r="W1096" i="12"/>
  <c r="X1095" i="12"/>
  <c r="X1096" i="12"/>
  <c r="W1097" i="12"/>
  <c r="X1097" i="12"/>
  <c r="W1098" i="12"/>
  <c r="X1098" i="12"/>
  <c r="W1099" i="12"/>
  <c r="X1099" i="12"/>
  <c r="W1100" i="12"/>
  <c r="W1101" i="12"/>
  <c r="X1100" i="12"/>
  <c r="W1102" i="12"/>
  <c r="X1101" i="12"/>
  <c r="X1102" i="12"/>
  <c r="W1103" i="12"/>
  <c r="W1104" i="12"/>
  <c r="X1103" i="12"/>
  <c r="X1104" i="12"/>
  <c r="W1105" i="12"/>
  <c r="W1106" i="12"/>
  <c r="X1105" i="12"/>
  <c r="X1106" i="12"/>
  <c r="W1107" i="12"/>
  <c r="W1108" i="12"/>
  <c r="X1107" i="12"/>
  <c r="W1109" i="12"/>
  <c r="X1108" i="12"/>
  <c r="X1109" i="12"/>
  <c r="W1110" i="12"/>
  <c r="X1110" i="12"/>
  <c r="W1111" i="12"/>
  <c r="X1111" i="12"/>
  <c r="W1112" i="12"/>
  <c r="X1112" i="12"/>
  <c r="W1113" i="12"/>
  <c r="X1113" i="12"/>
  <c r="W1114" i="12"/>
  <c r="W1115" i="12"/>
  <c r="X1114" i="12"/>
  <c r="X1115" i="12"/>
  <c r="W1116" i="12"/>
  <c r="X1116" i="12"/>
  <c r="W1117" i="12"/>
  <c r="W1118" i="12"/>
  <c r="X1117" i="12"/>
  <c r="W1119" i="12"/>
  <c r="X1118" i="12"/>
  <c r="W1120" i="12"/>
  <c r="X1119" i="12"/>
  <c r="X1120" i="12"/>
  <c r="W1121" i="12"/>
  <c r="W1122" i="12"/>
  <c r="X1121" i="12"/>
  <c r="X1122" i="12"/>
  <c r="W1123" i="12"/>
  <c r="W1124" i="12"/>
  <c r="X1123" i="12"/>
  <c r="W1125" i="12"/>
  <c r="X1124" i="12"/>
  <c r="X1125" i="12"/>
  <c r="W1126" i="12"/>
  <c r="W1127" i="12"/>
  <c r="X1126" i="12"/>
  <c r="X1127" i="12"/>
  <c r="W1128" i="12"/>
  <c r="X1128" i="12"/>
  <c r="W1129" i="12"/>
  <c r="W1130" i="12"/>
  <c r="X1129" i="12"/>
  <c r="X1130" i="12"/>
  <c r="W1131" i="12"/>
  <c r="X1131" i="12"/>
  <c r="W1132" i="12"/>
  <c r="W1133" i="12"/>
  <c r="X1132" i="12"/>
  <c r="X1133" i="12"/>
  <c r="W1134" i="12"/>
  <c r="W1135" i="12"/>
  <c r="X1134" i="12"/>
  <c r="W1136" i="12"/>
  <c r="X1135" i="12"/>
  <c r="W1137" i="12"/>
  <c r="X1136" i="12"/>
  <c r="X1137" i="12"/>
  <c r="W1138" i="12"/>
  <c r="X1138" i="12"/>
  <c r="W1139" i="12"/>
  <c r="W1140" i="12"/>
  <c r="X1139" i="12"/>
  <c r="W1141" i="12"/>
  <c r="X1140" i="12"/>
  <c r="W1142" i="12"/>
  <c r="X1141" i="12"/>
  <c r="X1142" i="12"/>
  <c r="W1143" i="12"/>
  <c r="W1144" i="12"/>
  <c r="X1143" i="12"/>
  <c r="W1145" i="12"/>
  <c r="X1144" i="12"/>
  <c r="X1145" i="12"/>
  <c r="W1146" i="12"/>
  <c r="X1146" i="12"/>
  <c r="W1147" i="12"/>
  <c r="X1147" i="12"/>
  <c r="W1148" i="12"/>
  <c r="W1149" i="12"/>
  <c r="X1148" i="12"/>
  <c r="X1149" i="12"/>
  <c r="W1150" i="12"/>
  <c r="X1150" i="12"/>
  <c r="W1151" i="12"/>
  <c r="X1151" i="12"/>
  <c r="W1152" i="12"/>
  <c r="W1153" i="12"/>
  <c r="X1152" i="12"/>
  <c r="W1154" i="12"/>
  <c r="X1153" i="12"/>
  <c r="X1154" i="12"/>
  <c r="W1155" i="12"/>
  <c r="W1156" i="12"/>
  <c r="X1155" i="12"/>
  <c r="W1157" i="12"/>
  <c r="X1156" i="12"/>
  <c r="W1158" i="12"/>
  <c r="X1157" i="12"/>
  <c r="X1158" i="12"/>
  <c r="W1159" i="12"/>
  <c r="X1159" i="12"/>
  <c r="W1160" i="12"/>
  <c r="X1160" i="12"/>
  <c r="W1161" i="12"/>
  <c r="X1161" i="12"/>
  <c r="W1162" i="12"/>
  <c r="X1162" i="12"/>
  <c r="W1163" i="12"/>
  <c r="X1163" i="12"/>
  <c r="W1164" i="12"/>
  <c r="W1165" i="12"/>
  <c r="X1164" i="12"/>
  <c r="X1165" i="12"/>
  <c r="W1166" i="12"/>
  <c r="W1167" i="12"/>
  <c r="X1166" i="12"/>
  <c r="W1168" i="12"/>
  <c r="X1167" i="12"/>
  <c r="X1168" i="12"/>
  <c r="W1169" i="12"/>
  <c r="X1169" i="12"/>
  <c r="W1170" i="12"/>
  <c r="W1171" i="12"/>
  <c r="X1170" i="12"/>
  <c r="W1172" i="12"/>
  <c r="X1171" i="12"/>
  <c r="X1172" i="12"/>
  <c r="W1173" i="12"/>
  <c r="W1174" i="12"/>
  <c r="X1173" i="12"/>
  <c r="W1175" i="12"/>
  <c r="X1174" i="12"/>
  <c r="W1176" i="12"/>
  <c r="X1175" i="12"/>
  <c r="X1176" i="12"/>
  <c r="W1177" i="12"/>
  <c r="W1178" i="12"/>
  <c r="X1177" i="12"/>
  <c r="X1178" i="12"/>
  <c r="W1179" i="12"/>
  <c r="X1179" i="12"/>
  <c r="W1180" i="12"/>
  <c r="X1180" i="12"/>
  <c r="W1181" i="12"/>
  <c r="X1181" i="12"/>
  <c r="W1182" i="12"/>
  <c r="W1183" i="12"/>
  <c r="X1182" i="12"/>
  <c r="W1184" i="12"/>
  <c r="X1183" i="12"/>
  <c r="X1184" i="12"/>
  <c r="W1185" i="12"/>
  <c r="X1185" i="12"/>
  <c r="W1186" i="12"/>
  <c r="W1187" i="12"/>
  <c r="X1186" i="12"/>
  <c r="W1188" i="12"/>
  <c r="X1187" i="12"/>
  <c r="W1189" i="12"/>
  <c r="X1188" i="12"/>
  <c r="W1190" i="12"/>
  <c r="X1189" i="12"/>
  <c r="W1191" i="12"/>
  <c r="X1190" i="12"/>
  <c r="W1192" i="12"/>
  <c r="X1191" i="12"/>
  <c r="X1192" i="12"/>
  <c r="W1193" i="12"/>
  <c r="X1193" i="12"/>
  <c r="W1194" i="12"/>
  <c r="W1195" i="12"/>
  <c r="X1194" i="12"/>
  <c r="X1195" i="12"/>
  <c r="W1196" i="12"/>
  <c r="X1196" i="12"/>
  <c r="W1197" i="12"/>
  <c r="X1197" i="12"/>
  <c r="W1198" i="12"/>
  <c r="X1198" i="12"/>
  <c r="W1199" i="12"/>
  <c r="X1199" i="12"/>
  <c r="W1200" i="12"/>
  <c r="X1200" i="12"/>
  <c r="W1201" i="12"/>
  <c r="W1202" i="12"/>
  <c r="X1201" i="12"/>
  <c r="W1203" i="12"/>
  <c r="X1202" i="12"/>
  <c r="W1204" i="12"/>
  <c r="X1203" i="12"/>
  <c r="X1204" i="12"/>
  <c r="W1205" i="12"/>
  <c r="X1205" i="12"/>
  <c r="W1206" i="12"/>
  <c r="W1207" i="12"/>
  <c r="X1206" i="12"/>
  <c r="X1207" i="12"/>
  <c r="W1208" i="12"/>
  <c r="W1209" i="12"/>
  <c r="X1208" i="12"/>
  <c r="X1209" i="12"/>
  <c r="W1210" i="12"/>
  <c r="W1211" i="12"/>
  <c r="X1210" i="12"/>
  <c r="X1211" i="12"/>
  <c r="W1212" i="12"/>
  <c r="X1212" i="12"/>
  <c r="W1213" i="12"/>
  <c r="X1213" i="12"/>
  <c r="W1214" i="12"/>
  <c r="W1215" i="12"/>
  <c r="X1214" i="12"/>
  <c r="X1215" i="12"/>
  <c r="W1216" i="12"/>
  <c r="X1216" i="12"/>
  <c r="W1217" i="12"/>
  <c r="W1218" i="12"/>
  <c r="X1217" i="12"/>
  <c r="W1219" i="12"/>
  <c r="X1218" i="12"/>
  <c r="W1220" i="12"/>
  <c r="X1219" i="12"/>
  <c r="X1220" i="12"/>
  <c r="W1221" i="12"/>
  <c r="W1222" i="12"/>
  <c r="X1221" i="12"/>
  <c r="X1222" i="12"/>
  <c r="W1223" i="12"/>
  <c r="X1223" i="12"/>
  <c r="W1224" i="12"/>
  <c r="X1224" i="12"/>
  <c r="W1225" i="12"/>
  <c r="X1225" i="12"/>
  <c r="W1226" i="12"/>
  <c r="W1227" i="12"/>
  <c r="X1226" i="12"/>
  <c r="X1227" i="12"/>
  <c r="W1228" i="12"/>
  <c r="W1229" i="12"/>
  <c r="X1228" i="12"/>
  <c r="X1229" i="12"/>
  <c r="W1230" i="12"/>
  <c r="X1230" i="12"/>
  <c r="W1231" i="12"/>
  <c r="W1232" i="12"/>
  <c r="X1231" i="12"/>
  <c r="X1232" i="12"/>
  <c r="W1233" i="12"/>
  <c r="W1234" i="12"/>
  <c r="X1233" i="12"/>
  <c r="X1234" i="12"/>
  <c r="W1235" i="12"/>
  <c r="X1235" i="12"/>
  <c r="W1236" i="12"/>
  <c r="X1236" i="12"/>
  <c r="W1237" i="12"/>
  <c r="X1237" i="12"/>
  <c r="W1238" i="12"/>
  <c r="X1238" i="12"/>
  <c r="W1239" i="12"/>
  <c r="W1240" i="12"/>
  <c r="X1239" i="12"/>
  <c r="W1241" i="12"/>
  <c r="X1240" i="12"/>
  <c r="W1242" i="12"/>
  <c r="X1241" i="12"/>
  <c r="X1242" i="12"/>
  <c r="W1243" i="12"/>
  <c r="X1243" i="12"/>
  <c r="W1244" i="12"/>
  <c r="X1244" i="12"/>
  <c r="W1245" i="12"/>
  <c r="X1245" i="12"/>
  <c r="W1246" i="12"/>
  <c r="X1246" i="12"/>
  <c r="W1247" i="12"/>
  <c r="W1248" i="12"/>
  <c r="X1247" i="12"/>
  <c r="W1249" i="12"/>
  <c r="X1248" i="12"/>
  <c r="W1250" i="12"/>
  <c r="X1249" i="12"/>
  <c r="W1251" i="12"/>
  <c r="X1250" i="12"/>
  <c r="X1251" i="12"/>
  <c r="W1252" i="12"/>
  <c r="W1253" i="12"/>
  <c r="X1252" i="12"/>
  <c r="W1254" i="12"/>
  <c r="X1253" i="12"/>
  <c r="X1254" i="12"/>
  <c r="W1255" i="12"/>
  <c r="X1255" i="12"/>
  <c r="W1256" i="12"/>
  <c r="W1257" i="12"/>
  <c r="X1256" i="12"/>
  <c r="X1257" i="12"/>
  <c r="W1258" i="12"/>
  <c r="W1259" i="12"/>
  <c r="X1258" i="12"/>
  <c r="X1259" i="12"/>
  <c r="W1260" i="12"/>
  <c r="W1261" i="12"/>
  <c r="X1260" i="12"/>
  <c r="W1262" i="12"/>
  <c r="X1261" i="12"/>
  <c r="X1262" i="12"/>
  <c r="W1263" i="12"/>
  <c r="W1264" i="12"/>
  <c r="X1263" i="12"/>
  <c r="W1265" i="12"/>
  <c r="X1264" i="12"/>
  <c r="X1265" i="12"/>
  <c r="W1266" i="12"/>
  <c r="X1266" i="12"/>
  <c r="W1267" i="12"/>
  <c r="W1268" i="12"/>
  <c r="X1267" i="12"/>
  <c r="X1268" i="12"/>
  <c r="W1269" i="12"/>
  <c r="X1269" i="12"/>
  <c r="W1270" i="12"/>
  <c r="X1270" i="12"/>
  <c r="W1271" i="12"/>
  <c r="X1271" i="12"/>
  <c r="W1272" i="12"/>
  <c r="W1273" i="12"/>
  <c r="X1272" i="12"/>
  <c r="X1273" i="12"/>
  <c r="W1274" i="12"/>
  <c r="W1275" i="12"/>
  <c r="X1274" i="12"/>
  <c r="W1276" i="12"/>
  <c r="X1275" i="12"/>
  <c r="W1277" i="12"/>
  <c r="X1276" i="12"/>
  <c r="W1278" i="12"/>
  <c r="X1277" i="12"/>
  <c r="W1279" i="12"/>
  <c r="X1278" i="12"/>
  <c r="X1279" i="12"/>
  <c r="W1280" i="12"/>
  <c r="W1281" i="12"/>
  <c r="X1280" i="12"/>
  <c r="W1282" i="12"/>
  <c r="X1281" i="12"/>
  <c r="W1283" i="12"/>
  <c r="X1282" i="12"/>
  <c r="W1284" i="12"/>
  <c r="X1283" i="12"/>
  <c r="X1284" i="12"/>
  <c r="W1285" i="12"/>
  <c r="W1286" i="12"/>
  <c r="X1285" i="12"/>
  <c r="W1287" i="12"/>
  <c r="X1286" i="12"/>
  <c r="X1287" i="12"/>
  <c r="W1288" i="12"/>
  <c r="X1288" i="12"/>
  <c r="W1289" i="12"/>
  <c r="W1290" i="12"/>
  <c r="X1289" i="12"/>
  <c r="W1291" i="12"/>
  <c r="X1290" i="12"/>
  <c r="X1291" i="12"/>
  <c r="W1292" i="12"/>
  <c r="X1292" i="12"/>
  <c r="W1293" i="12"/>
  <c r="W1294" i="12"/>
  <c r="X1293" i="12"/>
  <c r="W1295" i="12"/>
  <c r="X1294" i="12"/>
  <c r="W1296" i="12"/>
  <c r="X1295" i="12"/>
  <c r="X1296" i="12"/>
  <c r="W1297" i="12"/>
  <c r="W1298" i="12"/>
  <c r="X1297" i="12"/>
  <c r="W1299" i="12"/>
  <c r="X1298" i="12"/>
  <c r="W1300" i="12"/>
  <c r="X1299" i="12"/>
  <c r="W1301" i="12"/>
  <c r="X1300" i="12"/>
  <c r="W1302" i="12"/>
  <c r="X1301" i="12"/>
  <c r="W1303" i="12"/>
  <c r="X1302" i="12"/>
  <c r="X1303" i="12"/>
  <c r="W1304" i="12"/>
  <c r="X1304" i="12"/>
  <c r="W1305" i="12"/>
  <c r="W1306" i="12"/>
  <c r="X1305" i="12"/>
  <c r="W1307" i="12"/>
  <c r="X1306" i="12"/>
  <c r="W1308" i="12"/>
  <c r="X1307" i="12"/>
  <c r="W1309" i="12"/>
  <c r="X1308" i="12"/>
  <c r="W1310" i="12"/>
  <c r="X1309" i="12"/>
  <c r="X1310" i="12"/>
  <c r="W1311" i="12"/>
  <c r="W1312" i="12"/>
  <c r="X1311" i="12"/>
  <c r="W1313" i="12"/>
  <c r="X1312" i="12"/>
  <c r="X1313" i="12"/>
  <c r="W1314" i="12"/>
  <c r="W1315" i="12"/>
  <c r="X1314" i="12"/>
  <c r="W1316" i="12"/>
  <c r="X1315" i="12"/>
  <c r="W1317" i="12"/>
  <c r="X1316" i="12"/>
  <c r="W1318" i="12"/>
  <c r="X1317" i="12"/>
  <c r="X1318" i="12"/>
  <c r="W1319" i="12"/>
  <c r="W1320" i="12"/>
  <c r="X1319" i="12"/>
  <c r="W1321" i="12"/>
  <c r="X1320" i="12"/>
  <c r="X1321" i="12"/>
  <c r="W1322" i="12"/>
  <c r="W1323" i="12"/>
  <c r="X1322" i="12"/>
  <c r="W1324" i="12"/>
  <c r="X1323" i="12"/>
  <c r="W1325" i="12"/>
  <c r="X1324" i="12"/>
  <c r="X1325" i="12"/>
  <c r="W1326" i="12"/>
  <c r="X1326" i="12"/>
  <c r="W1327" i="12"/>
  <c r="W1328" i="12"/>
  <c r="X1327" i="12"/>
  <c r="X1328" i="12"/>
  <c r="W1329" i="12"/>
  <c r="X1329" i="12"/>
  <c r="W1330" i="12"/>
  <c r="X1330" i="12"/>
  <c r="W1331" i="12"/>
  <c r="W1332" i="12"/>
  <c r="X1331" i="12"/>
  <c r="W1333" i="12"/>
  <c r="X1332" i="12"/>
  <c r="W1334" i="12"/>
  <c r="X1333" i="12"/>
  <c r="X1334" i="12"/>
  <c r="W1335" i="12"/>
  <c r="X1335" i="12"/>
  <c r="W1336" i="12"/>
  <c r="X1336" i="12"/>
  <c r="W1337" i="12"/>
  <c r="W1338" i="12"/>
  <c r="X1337" i="12"/>
  <c r="W1339" i="12"/>
  <c r="X1338" i="12"/>
  <c r="X1339" i="12"/>
  <c r="W1340" i="12"/>
  <c r="X1340" i="12"/>
  <c r="W1341" i="12"/>
  <c r="W1342" i="12"/>
  <c r="X1341" i="12"/>
  <c r="W1343" i="12"/>
  <c r="X1342" i="12"/>
  <c r="X1343" i="12"/>
  <c r="W1344" i="12"/>
  <c r="X1344" i="12"/>
  <c r="W1345" i="12"/>
  <c r="X1345" i="12"/>
  <c r="W1346" i="12"/>
  <c r="X1346" i="12"/>
  <c r="W1347" i="12"/>
  <c r="W1348" i="12"/>
  <c r="X1347" i="12"/>
  <c r="W1349" i="12"/>
  <c r="X1348" i="12"/>
  <c r="X1349" i="12"/>
  <c r="W1350" i="12"/>
  <c r="W1351" i="12"/>
  <c r="X1350" i="12"/>
  <c r="X1351" i="12"/>
  <c r="W1352" i="12"/>
  <c r="X1352" i="12"/>
  <c r="W1353" i="12"/>
  <c r="W1354" i="12"/>
  <c r="X1353" i="12"/>
  <c r="W1355" i="12"/>
  <c r="X1354" i="12"/>
  <c r="W1356" i="12"/>
  <c r="X1355" i="12"/>
  <c r="X1356" i="12"/>
  <c r="W1357" i="12"/>
  <c r="W1358" i="12"/>
  <c r="X1357" i="12"/>
  <c r="W1359" i="12"/>
  <c r="X1358" i="12"/>
  <c r="W1360" i="12"/>
  <c r="X1359" i="12"/>
  <c r="W1361" i="12"/>
  <c r="X1360" i="12"/>
  <c r="X1361" i="12"/>
  <c r="W1362" i="12"/>
  <c r="X1362" i="12"/>
  <c r="W1363" i="12"/>
  <c r="X1363" i="12"/>
  <c r="W1364" i="12"/>
  <c r="X1364" i="12"/>
  <c r="W1365" i="12"/>
  <c r="W1366" i="12"/>
  <c r="X1365" i="12"/>
  <c r="X1366" i="12"/>
  <c r="W1367" i="12"/>
  <c r="X1367" i="12"/>
  <c r="W1368" i="12"/>
  <c r="X1368" i="12"/>
  <c r="W1369" i="12"/>
  <c r="W1370" i="12"/>
  <c r="X1369" i="12"/>
  <c r="X1370" i="12"/>
  <c r="W1371" i="12"/>
  <c r="X1371" i="12"/>
  <c r="W1372" i="12"/>
  <c r="X1372" i="12"/>
  <c r="W1373" i="12"/>
  <c r="X1373" i="12"/>
  <c r="W1374" i="12"/>
  <c r="W1375" i="12"/>
  <c r="X1374" i="12"/>
  <c r="X1375" i="12"/>
  <c r="W1376" i="12"/>
  <c r="W1377" i="12"/>
  <c r="X1376" i="12"/>
  <c r="X1377" i="12"/>
  <c r="W1378" i="12"/>
  <c r="W1379" i="12"/>
  <c r="X1378" i="12"/>
  <c r="W1380" i="12"/>
  <c r="X1379" i="12"/>
  <c r="X1380" i="12"/>
  <c r="W1381" i="12"/>
  <c r="W1382" i="12"/>
  <c r="X1381" i="12"/>
  <c r="W1383" i="12"/>
  <c r="X1382" i="12"/>
  <c r="X1383" i="12"/>
  <c r="W1384" i="12"/>
  <c r="W1385" i="12"/>
  <c r="X1384" i="12"/>
  <c r="X1385" i="12"/>
  <c r="W1386" i="12"/>
  <c r="X1386" i="12"/>
  <c r="W1387" i="12"/>
  <c r="W1388" i="12"/>
  <c r="X1387" i="12"/>
  <c r="W1389" i="12"/>
  <c r="X1388" i="12"/>
  <c r="W1390" i="12"/>
  <c r="X1389" i="12"/>
  <c r="X1390" i="12"/>
  <c r="W1391" i="12"/>
  <c r="W1392" i="12"/>
  <c r="X1391" i="12"/>
  <c r="W1393" i="12"/>
  <c r="X1392" i="12"/>
  <c r="X1393" i="12"/>
  <c r="W1394" i="12"/>
  <c r="W1395" i="12"/>
  <c r="X1394" i="12"/>
  <c r="W1396" i="12"/>
  <c r="X1395" i="12"/>
  <c r="W1397" i="12"/>
  <c r="X1396" i="12"/>
  <c r="W1398" i="12"/>
  <c r="X1397" i="12"/>
  <c r="W1399" i="12"/>
  <c r="X1398" i="12"/>
  <c r="X1399" i="12"/>
  <c r="W1400" i="12"/>
  <c r="X1400" i="12"/>
  <c r="W1401" i="12"/>
  <c r="X1401" i="12"/>
  <c r="W1402" i="12"/>
  <c r="W1403" i="12"/>
  <c r="X1402" i="12"/>
  <c r="X1403" i="12"/>
  <c r="W1404" i="12"/>
  <c r="W1405" i="12"/>
  <c r="X1404" i="12"/>
  <c r="X1405" i="12"/>
  <c r="W1406" i="12"/>
  <c r="X1406" i="12"/>
  <c r="W1407" i="12"/>
  <c r="X1407" i="12"/>
  <c r="W1408" i="12"/>
  <c r="X1408" i="12"/>
  <c r="W1409" i="12"/>
  <c r="W1410" i="12"/>
  <c r="X1409" i="12"/>
  <c r="W1411" i="12"/>
  <c r="X1410" i="12"/>
  <c r="X1411" i="12"/>
  <c r="W1412" i="12"/>
  <c r="X1412" i="12"/>
  <c r="W1413" i="12"/>
  <c r="W1414" i="12"/>
  <c r="X1413" i="12"/>
  <c r="X1414" i="12"/>
  <c r="W1415" i="12"/>
  <c r="W1416" i="12"/>
  <c r="X1415" i="12"/>
  <c r="X1416" i="12"/>
  <c r="W1417" i="12"/>
  <c r="X1417" i="12"/>
  <c r="W1418" i="12"/>
  <c r="W1419" i="12"/>
  <c r="X1418" i="12"/>
  <c r="X1419" i="12"/>
  <c r="W1420" i="12"/>
  <c r="W1421" i="12"/>
  <c r="X1420" i="12"/>
  <c r="W1422" i="12"/>
  <c r="X1421" i="12"/>
  <c r="X1422" i="12"/>
  <c r="W1423" i="12"/>
  <c r="X1423" i="12"/>
  <c r="W1424" i="12"/>
  <c r="W1425" i="12"/>
  <c r="X1424" i="12"/>
  <c r="X1425" i="12"/>
  <c r="W1426" i="12"/>
  <c r="W1427" i="12"/>
  <c r="X1426" i="12"/>
  <c r="X1427" i="12"/>
  <c r="W1428" i="12"/>
  <c r="W1429" i="12"/>
  <c r="X1428" i="12"/>
  <c r="W1430" i="12"/>
  <c r="X1429" i="12"/>
  <c r="W1431" i="12"/>
  <c r="X1430" i="12"/>
  <c r="X1431" i="12"/>
  <c r="W1432" i="12"/>
  <c r="X1432" i="12"/>
  <c r="W1433" i="12"/>
  <c r="W1434" i="12"/>
  <c r="X1433" i="12"/>
  <c r="X1434" i="12"/>
  <c r="W1435" i="12"/>
  <c r="X1435" i="12"/>
  <c r="W1436" i="12"/>
  <c r="X1436" i="12"/>
  <c r="W1437" i="12"/>
  <c r="W1438" i="12"/>
  <c r="X1437" i="12"/>
  <c r="W1439" i="12"/>
  <c r="X1438" i="12"/>
  <c r="X1439" i="12"/>
  <c r="W1440" i="12"/>
  <c r="W1441" i="12"/>
  <c r="X1440" i="12"/>
  <c r="X1441" i="12"/>
  <c r="W1442" i="12"/>
  <c r="W1443" i="12"/>
  <c r="X1442" i="12"/>
  <c r="W1444" i="12"/>
  <c r="X1443" i="12"/>
  <c r="W1445" i="12"/>
  <c r="X1444" i="12"/>
  <c r="W1446" i="12"/>
  <c r="X1445" i="12"/>
  <c r="W1447" i="12"/>
  <c r="X1446" i="12"/>
  <c r="W1448" i="12"/>
  <c r="X1447" i="12"/>
  <c r="W1449" i="12"/>
  <c r="X1448" i="12"/>
  <c r="X1449" i="12"/>
  <c r="W1450" i="12"/>
  <c r="X1450" i="12"/>
  <c r="W1451" i="12"/>
  <c r="W1452" i="12"/>
  <c r="X1451" i="12"/>
  <c r="W1453" i="12"/>
  <c r="X1452" i="12"/>
  <c r="X1453" i="12"/>
  <c r="W1454" i="12"/>
  <c r="W1455" i="12"/>
  <c r="X1454" i="12"/>
  <c r="W1456" i="12"/>
  <c r="X1455" i="12"/>
  <c r="W1457" i="12"/>
  <c r="X1456" i="12"/>
  <c r="W1458" i="12"/>
  <c r="X1457" i="12"/>
  <c r="W1459" i="12"/>
  <c r="X1458" i="12"/>
  <c r="W1460" i="12"/>
  <c r="X1459" i="12"/>
  <c r="X1460" i="12"/>
  <c r="W1461" i="12"/>
  <c r="W1462" i="12"/>
  <c r="X1461" i="12"/>
  <c r="W1463" i="12"/>
  <c r="X1462" i="12"/>
  <c r="W1464" i="12"/>
  <c r="X1463" i="12"/>
  <c r="W1465" i="12"/>
  <c r="X1464" i="12"/>
  <c r="X1465" i="12"/>
  <c r="W1466" i="12"/>
  <c r="X1466" i="12"/>
  <c r="W1467" i="12"/>
  <c r="W1468" i="12"/>
  <c r="X1467" i="12"/>
  <c r="X1468" i="12"/>
  <c r="W1469" i="12"/>
  <c r="W1470" i="12"/>
  <c r="X1469" i="12"/>
  <c r="X1470" i="12"/>
  <c r="W1471" i="12"/>
  <c r="W1472" i="12"/>
  <c r="X1471" i="12"/>
  <c r="W1473" i="12"/>
  <c r="X1472" i="12"/>
  <c r="X1473" i="12"/>
  <c r="W1474" i="12"/>
  <c r="X1474" i="12"/>
  <c r="W1475" i="12"/>
  <c r="W1476" i="12"/>
  <c r="X1475" i="12"/>
  <c r="W1477" i="12"/>
  <c r="X1476" i="12"/>
  <c r="X1477" i="12"/>
  <c r="W1478" i="12"/>
  <c r="W1479" i="12"/>
  <c r="X1478" i="12"/>
  <c r="X1479" i="12"/>
  <c r="W1480" i="12"/>
  <c r="W1481" i="12"/>
  <c r="X1480" i="12"/>
  <c r="W1482" i="12"/>
  <c r="X1481" i="12"/>
  <c r="W1483" i="12"/>
  <c r="X1482" i="12"/>
  <c r="X1483" i="12"/>
  <c r="W1484" i="12"/>
  <c r="X1484" i="12"/>
  <c r="W1485" i="12"/>
  <c r="W1486" i="12"/>
  <c r="X1485" i="12"/>
  <c r="X1486" i="12"/>
  <c r="W1487" i="12"/>
  <c r="X1487" i="12"/>
  <c r="W1488" i="12"/>
  <c r="W1489" i="12"/>
  <c r="X1488" i="12"/>
  <c r="X1489" i="12"/>
  <c r="W1490" i="12"/>
  <c r="W1491" i="12"/>
  <c r="X1490" i="12"/>
  <c r="W1492" i="12"/>
  <c r="X1491" i="12"/>
  <c r="W1493" i="12"/>
  <c r="X1492" i="12"/>
  <c r="W1494" i="12"/>
  <c r="X1493" i="12"/>
  <c r="X1494" i="12"/>
  <c r="W1495" i="12"/>
  <c r="X1495" i="12"/>
  <c r="W1496" i="12"/>
  <c r="W1497" i="12"/>
  <c r="X1496" i="12"/>
  <c r="X1497" i="12"/>
  <c r="W1498" i="12"/>
  <c r="X1498" i="12"/>
  <c r="W1499" i="12"/>
  <c r="X1499" i="12"/>
  <c r="W1500" i="12"/>
  <c r="W1501" i="12"/>
  <c r="X1500" i="12"/>
  <c r="W1502" i="12"/>
  <c r="X1501" i="12"/>
  <c r="W1503" i="12"/>
  <c r="X1502" i="12"/>
  <c r="W1504" i="12"/>
  <c r="X1503" i="12"/>
  <c r="W1505" i="12"/>
  <c r="X1504" i="12"/>
  <c r="X1505" i="12"/>
  <c r="W1506" i="12"/>
  <c r="X1506" i="12"/>
  <c r="W1507" i="12"/>
  <c r="X1507" i="12"/>
  <c r="W1508" i="12"/>
  <c r="W1509" i="12"/>
  <c r="X1508" i="12"/>
  <c r="W1510" i="12"/>
  <c r="X1509" i="12"/>
  <c r="W1511" i="12"/>
  <c r="X1510" i="12"/>
  <c r="W1512" i="12"/>
  <c r="X1511" i="12"/>
  <c r="W1513" i="12"/>
  <c r="X1512" i="12"/>
  <c r="W1514" i="12"/>
  <c r="X1513" i="12"/>
  <c r="X1514" i="12"/>
  <c r="W1515" i="12"/>
  <c r="X1515" i="12"/>
  <c r="W1516" i="12"/>
  <c r="X1516" i="12"/>
  <c r="W1517" i="12"/>
  <c r="W1518" i="12"/>
  <c r="X1517" i="12"/>
  <c r="W1519" i="12"/>
  <c r="X1518" i="12"/>
  <c r="W1520" i="12"/>
  <c r="X1519" i="12"/>
  <c r="X1520" i="12"/>
  <c r="W1521" i="12"/>
  <c r="X1521" i="12"/>
  <c r="W1522" i="12"/>
  <c r="W1523" i="12"/>
  <c r="X1522" i="12"/>
  <c r="X1523" i="12"/>
  <c r="W1524" i="12"/>
  <c r="W1525" i="12"/>
  <c r="X1524" i="12"/>
  <c r="X1525" i="12"/>
  <c r="W1526" i="12"/>
  <c r="W1527" i="12"/>
  <c r="X1526" i="12"/>
  <c r="W1528" i="12"/>
  <c r="X1527" i="12"/>
  <c r="X1528" i="12"/>
  <c r="W1529" i="12"/>
  <c r="X1529" i="12"/>
  <c r="W1530" i="12"/>
  <c r="W1531" i="12"/>
  <c r="X1530" i="12"/>
  <c r="X1531" i="12"/>
  <c r="W1532" i="12"/>
  <c r="X1532" i="12"/>
  <c r="W1533" i="12"/>
  <c r="X1533" i="12"/>
  <c r="W1534" i="12"/>
  <c r="W1535" i="12"/>
  <c r="X1534" i="12"/>
  <c r="X1535" i="12"/>
  <c r="W1536" i="12"/>
  <c r="X1536" i="12"/>
  <c r="W1537" i="12"/>
  <c r="W1538" i="12"/>
  <c r="X1537" i="12"/>
  <c r="W1539" i="12"/>
  <c r="X1538" i="12"/>
  <c r="W1540" i="12"/>
  <c r="X1539" i="12"/>
  <c r="X1540" i="12"/>
  <c r="W1541" i="12"/>
  <c r="X1541" i="12"/>
  <c r="W1542" i="12"/>
  <c r="X1542" i="12"/>
  <c r="W1543" i="12"/>
  <c r="X1543" i="12"/>
  <c r="W1544" i="12"/>
  <c r="W1545" i="12"/>
  <c r="X1544" i="12"/>
  <c r="W1546" i="12"/>
  <c r="X1545" i="12"/>
  <c r="X1546" i="12"/>
  <c r="W1547" i="12"/>
  <c r="X1547" i="12"/>
  <c r="W1548" i="12"/>
  <c r="W1549" i="12"/>
  <c r="X1548" i="12"/>
  <c r="X1549" i="12"/>
  <c r="W1550" i="12"/>
  <c r="W1551" i="12"/>
  <c r="X1550" i="12"/>
  <c r="W1552" i="12"/>
  <c r="X1551" i="12"/>
  <c r="X1552" i="12"/>
  <c r="W1553" i="12"/>
  <c r="W1554" i="12"/>
  <c r="X1553" i="12"/>
  <c r="X1554" i="12"/>
  <c r="W1555" i="12"/>
  <c r="X1555" i="12"/>
  <c r="W1556" i="12"/>
  <c r="W1557" i="12"/>
  <c r="X1556" i="12"/>
  <c r="W1558" i="12"/>
  <c r="X1557" i="12"/>
  <c r="W1559" i="12"/>
  <c r="X1558" i="12"/>
  <c r="W1560" i="12"/>
  <c r="X1559" i="12"/>
  <c r="W1561" i="12"/>
  <c r="X1560" i="12"/>
  <c r="W1562" i="12"/>
  <c r="X1561" i="12"/>
  <c r="W1563" i="12"/>
  <c r="X1562" i="12"/>
  <c r="X1563" i="12"/>
  <c r="W1564" i="12"/>
  <c r="X1564" i="12"/>
  <c r="W1565" i="12"/>
  <c r="W1566" i="12"/>
  <c r="X1565" i="12"/>
  <c r="W1567" i="12"/>
  <c r="X1566" i="12"/>
  <c r="X1567" i="12"/>
  <c r="W1568" i="12"/>
  <c r="W1569" i="12"/>
  <c r="X1568" i="12"/>
  <c r="W1570" i="12"/>
  <c r="X1569" i="12"/>
  <c r="X1570" i="12"/>
  <c r="W1571" i="12"/>
  <c r="X1571" i="12"/>
  <c r="W1572" i="12"/>
  <c r="W1573" i="12"/>
  <c r="X1572" i="12"/>
  <c r="X1573" i="12"/>
  <c r="W1574" i="12"/>
  <c r="W1575" i="12"/>
  <c r="X1574" i="12"/>
  <c r="X1575" i="12"/>
  <c r="W1576" i="12"/>
  <c r="W1577" i="12"/>
  <c r="X1576" i="12"/>
  <c r="W1578" i="12"/>
  <c r="X1577" i="12"/>
  <c r="W1579" i="12"/>
  <c r="X1578" i="12"/>
  <c r="W1580" i="12"/>
  <c r="X1579" i="12"/>
  <c r="X1580" i="12"/>
  <c r="W1581" i="12"/>
  <c r="W1582" i="12"/>
  <c r="X1581" i="12"/>
  <c r="W1583" i="12"/>
  <c r="X1582" i="12"/>
  <c r="W1584" i="12"/>
  <c r="X1583" i="12"/>
  <c r="X1584" i="12"/>
  <c r="W1585" i="12"/>
  <c r="X1585" i="12"/>
  <c r="W1586" i="12"/>
  <c r="X1586" i="12"/>
  <c r="W1587" i="12"/>
  <c r="W1588" i="12"/>
  <c r="X1587" i="12"/>
  <c r="X1588" i="12"/>
  <c r="W1589" i="12"/>
  <c r="W1590" i="12"/>
  <c r="X1589" i="12"/>
  <c r="W1591" i="12"/>
  <c r="X1590" i="12"/>
  <c r="X1591" i="12"/>
  <c r="W1592" i="12"/>
  <c r="W1593" i="12"/>
  <c r="X1592" i="12"/>
  <c r="X1593" i="12"/>
  <c r="W1594" i="12"/>
  <c r="X1594" i="12"/>
  <c r="W1595" i="12"/>
  <c r="X1595" i="12"/>
  <c r="W1596" i="12"/>
  <c r="W1597" i="12"/>
  <c r="X1596" i="12"/>
  <c r="W1598" i="12"/>
  <c r="X1597" i="12"/>
  <c r="X1598" i="12"/>
  <c r="W1599" i="12"/>
  <c r="W1600" i="12"/>
  <c r="X1599" i="12"/>
  <c r="X1600" i="12"/>
  <c r="W1601" i="12"/>
  <c r="X1601" i="12"/>
  <c r="W1602" i="12"/>
  <c r="W1603" i="12"/>
  <c r="X1602" i="12"/>
  <c r="X1603" i="12"/>
  <c r="W1604" i="12"/>
  <c r="W1605" i="12"/>
  <c r="X1604" i="12"/>
  <c r="X1605" i="12"/>
  <c r="W1606" i="12"/>
  <c r="X1606" i="12"/>
  <c r="W1607" i="12"/>
  <c r="X1607" i="12"/>
  <c r="W1608" i="12"/>
  <c r="W1609" i="12"/>
  <c r="X1608" i="12"/>
  <c r="W1610" i="12"/>
  <c r="X1609" i="12"/>
  <c r="W1611" i="12"/>
  <c r="X1610" i="12"/>
  <c r="W1612" i="12"/>
  <c r="X1611" i="12"/>
  <c r="X1612" i="12"/>
  <c r="W1613" i="12"/>
  <c r="X1613" i="12"/>
  <c r="W1614" i="12"/>
  <c r="X1614" i="12"/>
  <c r="W1615" i="12"/>
  <c r="X1615" i="12"/>
  <c r="W1616" i="12"/>
  <c r="W1617" i="12"/>
  <c r="X1616" i="12"/>
  <c r="W1618" i="12"/>
  <c r="X1617" i="12"/>
  <c r="W1619" i="12"/>
  <c r="X1618" i="12"/>
  <c r="X1619" i="12"/>
  <c r="W1620" i="12"/>
  <c r="W1621" i="12"/>
  <c r="X1620" i="12"/>
  <c r="X1621" i="12"/>
  <c r="W1622" i="12"/>
  <c r="W1623" i="12"/>
  <c r="X1622" i="12"/>
  <c r="X1623" i="12"/>
  <c r="W1624" i="12"/>
  <c r="X1624" i="12"/>
  <c r="W1625" i="12"/>
  <c r="W1626" i="12"/>
  <c r="X1625" i="12"/>
  <c r="X1626" i="12"/>
  <c r="W1627" i="12"/>
  <c r="X1627" i="12"/>
  <c r="W1628" i="12"/>
  <c r="W1629" i="12"/>
  <c r="X1628" i="12"/>
  <c r="X1629" i="12"/>
  <c r="W1630" i="12"/>
  <c r="X1630" i="12"/>
  <c r="W1631" i="12"/>
  <c r="W1632" i="12"/>
  <c r="X1631" i="12"/>
  <c r="W1633" i="12"/>
  <c r="X1632" i="12"/>
  <c r="W1634" i="12"/>
  <c r="X1633" i="12"/>
  <c r="W1635" i="12"/>
  <c r="X1634" i="12"/>
  <c r="X1635" i="12"/>
  <c r="W1636" i="12"/>
  <c r="W1637" i="12"/>
  <c r="X1636" i="12"/>
  <c r="W1638" i="12"/>
  <c r="X1637" i="12"/>
  <c r="X1638" i="12"/>
  <c r="W1639" i="12"/>
  <c r="X1639" i="12"/>
  <c r="W1640" i="12"/>
  <c r="X1640" i="12"/>
  <c r="W1641" i="12"/>
  <c r="W1642" i="12"/>
  <c r="X1641" i="12"/>
  <c r="X1642" i="12"/>
  <c r="W1643" i="12"/>
  <c r="W1644" i="12"/>
  <c r="X1643" i="12"/>
  <c r="X1644" i="12"/>
  <c r="W1645" i="12"/>
  <c r="X1645" i="12"/>
  <c r="W1646" i="12"/>
  <c r="W1647" i="12"/>
  <c r="X1646" i="12"/>
  <c r="X1647" i="12"/>
  <c r="W1648" i="12"/>
  <c r="X1648" i="12"/>
  <c r="W1649" i="12"/>
  <c r="W1650" i="12"/>
  <c r="X1649" i="12"/>
  <c r="W1651" i="12"/>
  <c r="X1650" i="12"/>
  <c r="X1651" i="12"/>
  <c r="W1652" i="12"/>
  <c r="W1653" i="12"/>
  <c r="X1652" i="12"/>
  <c r="X1653" i="12"/>
  <c r="W1654" i="12"/>
  <c r="W1655" i="12"/>
  <c r="X1654" i="12"/>
  <c r="W1656" i="12"/>
  <c r="X1655" i="12"/>
  <c r="X1656" i="12"/>
  <c r="W1657" i="12"/>
  <c r="X1657" i="12"/>
  <c r="W1658" i="12"/>
  <c r="W1659" i="12"/>
  <c r="X1658" i="12"/>
  <c r="X1659" i="12"/>
  <c r="W1660" i="12"/>
  <c r="W1661" i="12"/>
  <c r="X1660" i="12"/>
  <c r="W1662" i="12"/>
  <c r="X1661" i="12"/>
  <c r="X1662" i="12"/>
  <c r="W1663" i="12"/>
  <c r="W1664" i="12"/>
  <c r="X1663" i="12"/>
  <c r="W1665" i="12"/>
  <c r="X1664" i="12"/>
  <c r="X1665" i="12"/>
  <c r="W1666" i="12"/>
  <c r="W1667" i="12"/>
  <c r="X1666" i="12"/>
  <c r="X1667" i="12"/>
  <c r="W1668" i="12"/>
  <c r="X1668" i="12"/>
  <c r="W1669" i="12"/>
  <c r="X1669" i="12"/>
  <c r="W1670" i="12"/>
  <c r="W1671" i="12"/>
  <c r="X1670" i="12"/>
  <c r="W1672" i="12"/>
  <c r="X1671" i="12"/>
  <c r="X1672" i="12"/>
  <c r="W1673" i="12"/>
  <c r="W1674" i="12"/>
  <c r="X1673" i="12"/>
  <c r="W1675" i="12"/>
  <c r="X1674" i="12"/>
  <c r="W1676" i="12"/>
  <c r="X1675" i="12"/>
  <c r="W1677" i="12"/>
  <c r="X1676" i="12"/>
  <c r="X1677" i="12"/>
  <c r="W1678" i="12"/>
  <c r="W1679" i="12"/>
  <c r="X1678" i="12"/>
  <c r="X1679" i="12"/>
  <c r="W1680" i="12"/>
  <c r="W1681" i="12"/>
  <c r="X1680" i="12"/>
  <c r="X1681" i="12"/>
  <c r="W1682" i="12"/>
  <c r="W1683" i="12"/>
  <c r="X1682" i="12"/>
  <c r="W1684" i="12"/>
  <c r="X1683" i="12"/>
  <c r="X1684" i="12"/>
  <c r="W1685" i="12"/>
  <c r="X1685" i="12"/>
  <c r="W1686" i="12"/>
  <c r="W1687" i="12"/>
  <c r="X1686" i="12"/>
  <c r="X1687" i="12"/>
  <c r="W1688" i="12"/>
  <c r="W1689" i="12"/>
  <c r="X1688" i="12"/>
  <c r="X1689" i="12"/>
  <c r="W1690" i="12"/>
  <c r="X1690" i="12"/>
  <c r="W1691" i="12"/>
  <c r="X1691" i="12"/>
  <c r="W1692" i="12"/>
  <c r="X1692" i="12"/>
  <c r="W1693" i="12"/>
  <c r="X1693" i="12"/>
  <c r="W1694" i="12"/>
  <c r="X1694" i="12"/>
  <c r="W1695" i="12"/>
  <c r="X1695" i="12"/>
  <c r="W1696" i="12"/>
  <c r="W1697" i="12"/>
  <c r="X1696" i="12"/>
  <c r="X1697" i="12"/>
  <c r="W1698" i="12"/>
  <c r="X1698" i="12"/>
  <c r="W1699" i="12"/>
  <c r="X1699" i="12"/>
  <c r="W1700" i="12"/>
  <c r="X1700" i="12"/>
  <c r="W1701" i="12"/>
  <c r="W1702" i="12"/>
  <c r="X1701" i="12"/>
  <c r="X1702" i="12"/>
  <c r="W1703" i="12"/>
  <c r="X1703" i="12"/>
  <c r="W1704" i="12"/>
  <c r="X1704" i="12"/>
  <c r="W1705" i="12"/>
  <c r="W1706" i="12"/>
  <c r="X1705" i="12"/>
  <c r="X1706" i="12"/>
  <c r="W1707" i="12"/>
  <c r="X1707" i="12"/>
  <c r="W1708" i="12"/>
  <c r="W1709" i="12"/>
  <c r="X1708" i="12"/>
  <c r="W1710" i="12"/>
  <c r="X1709" i="12"/>
  <c r="W1711" i="12"/>
  <c r="X1710" i="12"/>
  <c r="W1712" i="12"/>
  <c r="X1711" i="12"/>
  <c r="W1713" i="12"/>
  <c r="X1712" i="12"/>
  <c r="X1713" i="12"/>
  <c r="W1714" i="12"/>
  <c r="X1714" i="12"/>
  <c r="W1715" i="12"/>
  <c r="X1715" i="12"/>
  <c r="W1716" i="12"/>
  <c r="W1717" i="12"/>
  <c r="X1716" i="12"/>
  <c r="X1717" i="12"/>
  <c r="W1718" i="12"/>
  <c r="W1719" i="12"/>
  <c r="X1718" i="12"/>
  <c r="X1719" i="12"/>
  <c r="W1720" i="12"/>
  <c r="W1721" i="12"/>
  <c r="X1720" i="12"/>
  <c r="X1721" i="12"/>
  <c r="W1722" i="12"/>
  <c r="X1722" i="12"/>
  <c r="W1723" i="12"/>
  <c r="X1723" i="12"/>
  <c r="W1724" i="12"/>
  <c r="X1724" i="12"/>
  <c r="W1725" i="12"/>
  <c r="W1726" i="12"/>
  <c r="X1725" i="12"/>
  <c r="X1726" i="12"/>
  <c r="W1727" i="12"/>
  <c r="X1727" i="12"/>
  <c r="W1728" i="12"/>
  <c r="W1729" i="12"/>
  <c r="X1728" i="12"/>
  <c r="W1730" i="12"/>
  <c r="X1729" i="12"/>
  <c r="X1730" i="12"/>
  <c r="W1731" i="12"/>
  <c r="W1732" i="12"/>
  <c r="X1731" i="12"/>
  <c r="X1732" i="12"/>
  <c r="W1733" i="12"/>
  <c r="X1733" i="12"/>
  <c r="W1734" i="12"/>
  <c r="X1734" i="12"/>
  <c r="W1735" i="12"/>
  <c r="X1735" i="12"/>
  <c r="W1736" i="12"/>
  <c r="X1736" i="12"/>
  <c r="W1737" i="12"/>
  <c r="X1737" i="12"/>
  <c r="W1738" i="12"/>
  <c r="X1738" i="12"/>
  <c r="W1739" i="12"/>
  <c r="X1739" i="12"/>
  <c r="W1740" i="12"/>
  <c r="X1740" i="12"/>
  <c r="W1741" i="12"/>
  <c r="W1742" i="12"/>
  <c r="X1741" i="12"/>
  <c r="X1742" i="12"/>
  <c r="W1743" i="12"/>
  <c r="W1744" i="12"/>
  <c r="X1743" i="12"/>
  <c r="X1744" i="12"/>
  <c r="W1745" i="12"/>
  <c r="W1746" i="12"/>
  <c r="X1745" i="12"/>
  <c r="W1747" i="12"/>
  <c r="X1746" i="12"/>
  <c r="W1748" i="12"/>
  <c r="X1747" i="12"/>
  <c r="X1748" i="12"/>
  <c r="W1749" i="12"/>
  <c r="W1750" i="12"/>
  <c r="X1749" i="12"/>
  <c r="W1751" i="12"/>
  <c r="X1750" i="12"/>
  <c r="W1752" i="12"/>
  <c r="X1751" i="12"/>
  <c r="W1753" i="12"/>
  <c r="X1752" i="12"/>
  <c r="X1753" i="12"/>
  <c r="W1754" i="12"/>
  <c r="W1755" i="12"/>
  <c r="X1754" i="12"/>
  <c r="W1756" i="12"/>
  <c r="X1755" i="12"/>
  <c r="X1756" i="12"/>
  <c r="W1757" i="12"/>
  <c r="X1757" i="12"/>
  <c r="W1758" i="12"/>
  <c r="W1759" i="12"/>
  <c r="X1758" i="12"/>
  <c r="X1759" i="12"/>
  <c r="W1760" i="12"/>
  <c r="W1761" i="12"/>
  <c r="X1760" i="12"/>
  <c r="W1762" i="12"/>
  <c r="X1761" i="12"/>
  <c r="W1763" i="12"/>
  <c r="X1762" i="12"/>
  <c r="X1763" i="12"/>
  <c r="W1764" i="12"/>
  <c r="X1764" i="12"/>
  <c r="W1765" i="12"/>
  <c r="W1766" i="12"/>
  <c r="X1765" i="12"/>
  <c r="X1766" i="12"/>
  <c r="W1767" i="12"/>
  <c r="W1768" i="12"/>
  <c r="X1767" i="12"/>
  <c r="X1768" i="12"/>
  <c r="W1769" i="12"/>
  <c r="W1770" i="12"/>
  <c r="X1769" i="12"/>
  <c r="X1770" i="12"/>
  <c r="W1771" i="12"/>
  <c r="X1771" i="12"/>
  <c r="W1772" i="12"/>
  <c r="X1772" i="12"/>
  <c r="W1773" i="12"/>
  <c r="W1774" i="12"/>
  <c r="X1773" i="12"/>
  <c r="X1774" i="12"/>
  <c r="W1775" i="12"/>
  <c r="X1775" i="12"/>
  <c r="W1776" i="12"/>
  <c r="X1776" i="12"/>
  <c r="W1777" i="12"/>
  <c r="X1777" i="12"/>
  <c r="W1778" i="12"/>
  <c r="X1778" i="12"/>
  <c r="W1779" i="12"/>
  <c r="W1780" i="12"/>
  <c r="X1779" i="12"/>
  <c r="W1781" i="12"/>
  <c r="X1780" i="12"/>
  <c r="W1782" i="12"/>
  <c r="X1781" i="12"/>
  <c r="X1782" i="12"/>
  <c r="W1783" i="12"/>
  <c r="W1784" i="12"/>
  <c r="X1783" i="12"/>
  <c r="W1785" i="12"/>
  <c r="X1784" i="12"/>
  <c r="X1785" i="12"/>
  <c r="W1786" i="12"/>
  <c r="X1786" i="12"/>
  <c r="W1787" i="12"/>
  <c r="W1788" i="12"/>
  <c r="X1787" i="12"/>
  <c r="X1788" i="12"/>
  <c r="W1789" i="12"/>
  <c r="W1790" i="12"/>
  <c r="X1789" i="12"/>
  <c r="X1790" i="12"/>
  <c r="W1791" i="12"/>
  <c r="X1791" i="12"/>
  <c r="W1792" i="12"/>
  <c r="W1793" i="12"/>
  <c r="X1792" i="12"/>
  <c r="X1793" i="12"/>
  <c r="W1794" i="12"/>
  <c r="W1795" i="12"/>
  <c r="X1794" i="12"/>
  <c r="W1796" i="12"/>
  <c r="X1795" i="12"/>
  <c r="X1796" i="12"/>
  <c r="W1797" i="12"/>
  <c r="X1797" i="12"/>
  <c r="W1798" i="12"/>
  <c r="W1799" i="12"/>
  <c r="X1798" i="12"/>
  <c r="X1799" i="12"/>
  <c r="W1800" i="12"/>
  <c r="W1801" i="12"/>
  <c r="X1800" i="12"/>
  <c r="X1801" i="12"/>
  <c r="W1802" i="12"/>
  <c r="X1802" i="12"/>
  <c r="W1803" i="12"/>
  <c r="W1804" i="12"/>
  <c r="X1803" i="12"/>
  <c r="X1804" i="12"/>
  <c r="W1805" i="12"/>
  <c r="W1806" i="12"/>
  <c r="X1805" i="12"/>
  <c r="W1807" i="12"/>
  <c r="X1806" i="12"/>
  <c r="W1808" i="12"/>
  <c r="X1807" i="12"/>
  <c r="W1809" i="12"/>
  <c r="X1808" i="12"/>
  <c r="W1810" i="12"/>
  <c r="X1809" i="12"/>
  <c r="X1810" i="12"/>
  <c r="W1811" i="12"/>
  <c r="X1811" i="12"/>
  <c r="W1812" i="12"/>
  <c r="W1813" i="12"/>
  <c r="X1812" i="12"/>
  <c r="X1813" i="12"/>
  <c r="W1814" i="12"/>
  <c r="X1814" i="12"/>
  <c r="W1815" i="12"/>
  <c r="W1816" i="12"/>
  <c r="X1815" i="12"/>
  <c r="X1816" i="12"/>
  <c r="W1817" i="12"/>
  <c r="X1817" i="12"/>
  <c r="W1818" i="12"/>
  <c r="W1819" i="12"/>
  <c r="X1818" i="12"/>
  <c r="X1819" i="12"/>
  <c r="W1820" i="12"/>
  <c r="W1821" i="12"/>
  <c r="X1820" i="12"/>
  <c r="X1821" i="12"/>
  <c r="W1822" i="12"/>
  <c r="X1822" i="12"/>
  <c r="W1823" i="12"/>
  <c r="X1823" i="12"/>
  <c r="W1824" i="12"/>
  <c r="W1825" i="12"/>
  <c r="X1824" i="12"/>
  <c r="X1825" i="12"/>
  <c r="W1826" i="12"/>
  <c r="X1826" i="12"/>
  <c r="W1827" i="12"/>
  <c r="W1828" i="12"/>
  <c r="X1827" i="12"/>
  <c r="X1828" i="12"/>
  <c r="W1829" i="12"/>
  <c r="X1829" i="12"/>
  <c r="W1830" i="12"/>
  <c r="X1830" i="12"/>
  <c r="W1831" i="12"/>
  <c r="W1832" i="12"/>
  <c r="X1831" i="12"/>
  <c r="X1832" i="12"/>
  <c r="W1833" i="12"/>
  <c r="X1833" i="12"/>
  <c r="W1834" i="12"/>
  <c r="W1835" i="12"/>
  <c r="X1834" i="12"/>
  <c r="X1835" i="12"/>
  <c r="W1836" i="12"/>
  <c r="X1836" i="12"/>
  <c r="W1837" i="12"/>
  <c r="W1838" i="12"/>
  <c r="X1837" i="12"/>
  <c r="X1838" i="12"/>
  <c r="W1839" i="12"/>
  <c r="W1840" i="12"/>
  <c r="X1839" i="12"/>
  <c r="W1841" i="12"/>
  <c r="X1840" i="12"/>
  <c r="X1841" i="12"/>
  <c r="W1842" i="12"/>
  <c r="W1843" i="12"/>
  <c r="X1842" i="12"/>
  <c r="X1843" i="12"/>
  <c r="W1844" i="12"/>
  <c r="W1845" i="12"/>
  <c r="X1844" i="12"/>
  <c r="W1846" i="12"/>
  <c r="X1845" i="12"/>
  <c r="W1847" i="12"/>
  <c r="X1846" i="12"/>
  <c r="W1848" i="12"/>
  <c r="X1847" i="12"/>
  <c r="W1849" i="12"/>
  <c r="X1848" i="12"/>
  <c r="X1849" i="12"/>
  <c r="W1850" i="12"/>
  <c r="W1851" i="12"/>
  <c r="X1850" i="12"/>
  <c r="X1851" i="12"/>
  <c r="W1852" i="12"/>
  <c r="W1853" i="12"/>
  <c r="X1852" i="12"/>
  <c r="X1853" i="12"/>
  <c r="W1854" i="12"/>
  <c r="X1854" i="12"/>
  <c r="W1855" i="12"/>
  <c r="W1856" i="12"/>
  <c r="X1855" i="12"/>
  <c r="W1857" i="12"/>
  <c r="X1856" i="12"/>
  <c r="X1857" i="12"/>
  <c r="W1858" i="12"/>
  <c r="W1859" i="12"/>
  <c r="X1858" i="12"/>
  <c r="X1859" i="12"/>
  <c r="W1860" i="12"/>
  <c r="X1860" i="12"/>
  <c r="W1861" i="12"/>
  <c r="W1862" i="12"/>
  <c r="X1861" i="12"/>
  <c r="X1862" i="12"/>
  <c r="W1863" i="12"/>
  <c r="W1864" i="12"/>
  <c r="X1863" i="12"/>
  <c r="X1864" i="12"/>
  <c r="W1865" i="12"/>
  <c r="W1866" i="12"/>
  <c r="X1865" i="12"/>
  <c r="W1867" i="12"/>
  <c r="X1866" i="12"/>
  <c r="W1868" i="12"/>
  <c r="X1867" i="12"/>
  <c r="X1868" i="12"/>
  <c r="W1869" i="12"/>
  <c r="W1870" i="12"/>
  <c r="X1869" i="12"/>
  <c r="X1870" i="12"/>
  <c r="W1871" i="12"/>
  <c r="X1871" i="12"/>
  <c r="W1872" i="12"/>
  <c r="X1872" i="12"/>
  <c r="W1873" i="12"/>
  <c r="X1873" i="12"/>
  <c r="W1874" i="12"/>
  <c r="W1875" i="12"/>
  <c r="X1874" i="12"/>
  <c r="W1876" i="12"/>
  <c r="X1875" i="12"/>
  <c r="W1877" i="12"/>
  <c r="X1876" i="12"/>
  <c r="X1877" i="12"/>
  <c r="W1878" i="12"/>
  <c r="W1879" i="12"/>
  <c r="X1878" i="12"/>
  <c r="W1880" i="12"/>
  <c r="X1879" i="12"/>
  <c r="X1880" i="12"/>
  <c r="W1881" i="12"/>
  <c r="X1881" i="12"/>
  <c r="W1882" i="12"/>
  <c r="X1882" i="12"/>
  <c r="W1883" i="12"/>
  <c r="W1884" i="12"/>
  <c r="X1883" i="12"/>
  <c r="X1884" i="12"/>
  <c r="W1885" i="12"/>
  <c r="W1886" i="12"/>
  <c r="X1885" i="12"/>
  <c r="X1886" i="12"/>
  <c r="W1887" i="12"/>
  <c r="W1888" i="12"/>
  <c r="X1887" i="12"/>
  <c r="X1888" i="12"/>
  <c r="W1889" i="12"/>
  <c r="X1889" i="12"/>
  <c r="W1890" i="12"/>
  <c r="X1890" i="12"/>
  <c r="W1891" i="12"/>
  <c r="X1891" i="12"/>
  <c r="W1892" i="12"/>
  <c r="X1892" i="12"/>
  <c r="W1893" i="12"/>
  <c r="X1893" i="12"/>
  <c r="W1894" i="12"/>
  <c r="X1894" i="12"/>
  <c r="W1895" i="12"/>
  <c r="W1896" i="12"/>
  <c r="X1895" i="12"/>
  <c r="W1897" i="12"/>
  <c r="X1896" i="12"/>
  <c r="X1897" i="12"/>
  <c r="W1898" i="12"/>
  <c r="X1898" i="12"/>
  <c r="W1899" i="12"/>
  <c r="X1899" i="12"/>
  <c r="W1900" i="12"/>
  <c r="W1901" i="12"/>
  <c r="X1900" i="12"/>
  <c r="W1902" i="12"/>
  <c r="X1901" i="12"/>
  <c r="W1903" i="12"/>
  <c r="X1902" i="12"/>
  <c r="X1903" i="12"/>
  <c r="W1904" i="12"/>
  <c r="X1904" i="12"/>
  <c r="W1905" i="12"/>
  <c r="X1905" i="12"/>
  <c r="W1906" i="12"/>
  <c r="X1906" i="12"/>
  <c r="W1907" i="12"/>
  <c r="X1907" i="12"/>
  <c r="W1908" i="12"/>
  <c r="X1908" i="12"/>
  <c r="W1909" i="12"/>
  <c r="W1910" i="12"/>
  <c r="X1909" i="12"/>
  <c r="X1910" i="12"/>
  <c r="W1911" i="12"/>
  <c r="X1911" i="12"/>
  <c r="W1912" i="12"/>
  <c r="X1912" i="12"/>
  <c r="W1913" i="12"/>
  <c r="X1913" i="12"/>
  <c r="W1914" i="12"/>
  <c r="W1915" i="12"/>
  <c r="X1914" i="12"/>
  <c r="X1915" i="12"/>
  <c r="W1916" i="12"/>
  <c r="X1916" i="12"/>
  <c r="W1917" i="12"/>
  <c r="W1918" i="12"/>
  <c r="X1917" i="12"/>
  <c r="X1918" i="12"/>
  <c r="W1919" i="12"/>
  <c r="X1919" i="12"/>
  <c r="W1920" i="12"/>
  <c r="W1921" i="12"/>
  <c r="X1920" i="12"/>
  <c r="X1921" i="12"/>
  <c r="W1922" i="12"/>
  <c r="X1922" i="12"/>
  <c r="W1923" i="12"/>
  <c r="X1923" i="12"/>
  <c r="W1924" i="12"/>
  <c r="X1924" i="12"/>
  <c r="W1925" i="12"/>
  <c r="W1926" i="12"/>
  <c r="X1925" i="12"/>
  <c r="X1926" i="12"/>
  <c r="W1927" i="12"/>
  <c r="X1927" i="12"/>
  <c r="W1928" i="12"/>
  <c r="X1928" i="12"/>
  <c r="W1929" i="12"/>
  <c r="W1930" i="12"/>
  <c r="X1929" i="12"/>
  <c r="X1930" i="12"/>
  <c r="W1931" i="12"/>
  <c r="W1932" i="12"/>
  <c r="X1931" i="12"/>
  <c r="X1932" i="12"/>
  <c r="W1933" i="12"/>
  <c r="W1934" i="12"/>
  <c r="X1933" i="12"/>
  <c r="X1934" i="12"/>
  <c r="W1935" i="12"/>
  <c r="W1936" i="12"/>
  <c r="X1935" i="12"/>
  <c r="X1936" i="12"/>
  <c r="W1937" i="12"/>
  <c r="W1938" i="12"/>
  <c r="X1937" i="12"/>
  <c r="X1938" i="12"/>
  <c r="W1939" i="12"/>
  <c r="W1940" i="12"/>
  <c r="X1939" i="12"/>
  <c r="W1941" i="12"/>
  <c r="X1940" i="12"/>
  <c r="W1942" i="12"/>
  <c r="X1941" i="12"/>
  <c r="W1943" i="12"/>
  <c r="X1942" i="12"/>
  <c r="X1943" i="12"/>
  <c r="W1944" i="12"/>
  <c r="X1944" i="12"/>
  <c r="W1945" i="12"/>
  <c r="X1945" i="12"/>
  <c r="W1946" i="12"/>
  <c r="X1946" i="12"/>
  <c r="W1947" i="12"/>
  <c r="W1948" i="12"/>
  <c r="X1947" i="12"/>
  <c r="W1949" i="12"/>
  <c r="X1948" i="12"/>
  <c r="X1949" i="12"/>
  <c r="W1950" i="12"/>
  <c r="W1951" i="12"/>
  <c r="X1950" i="12"/>
  <c r="X1951" i="12"/>
  <c r="W1952" i="12"/>
  <c r="X1952" i="12"/>
  <c r="W1953" i="12"/>
  <c r="W1954" i="12"/>
  <c r="X1953" i="12"/>
  <c r="X1954" i="12"/>
  <c r="W1955" i="12"/>
  <c r="X1955" i="12"/>
  <c r="W1956" i="12"/>
  <c r="X1956" i="12"/>
  <c r="W1957" i="12"/>
  <c r="X1957" i="12"/>
  <c r="W1958" i="12"/>
  <c r="W1959" i="12"/>
  <c r="X1958" i="12"/>
  <c r="X1959" i="12"/>
  <c r="W1960" i="12"/>
  <c r="W1961" i="12"/>
  <c r="X1960" i="12"/>
  <c r="W1962" i="12"/>
  <c r="X1961" i="12"/>
  <c r="X1962" i="12"/>
  <c r="W1963" i="12"/>
  <c r="W1964" i="12"/>
  <c r="X1963" i="12"/>
  <c r="W1965" i="12"/>
  <c r="X1964" i="12"/>
  <c r="W1966" i="12"/>
  <c r="X1965" i="12"/>
  <c r="X1966" i="12"/>
  <c r="W1967" i="12"/>
  <c r="W1968" i="12"/>
  <c r="X1967" i="12"/>
  <c r="W1969" i="12"/>
  <c r="X1968" i="12"/>
  <c r="W1970" i="12"/>
  <c r="X1969" i="12"/>
  <c r="W1971" i="12"/>
  <c r="X1970" i="12"/>
  <c r="W1972" i="12"/>
  <c r="X1971" i="12"/>
  <c r="X1972" i="12"/>
  <c r="W1973" i="12"/>
  <c r="X1973" i="12"/>
  <c r="W1974" i="12"/>
  <c r="W1975" i="12"/>
  <c r="X1974" i="12"/>
  <c r="W1976" i="12"/>
  <c r="X1975" i="12"/>
  <c r="X1976" i="12"/>
  <c r="W1977" i="12"/>
  <c r="X1977" i="12"/>
  <c r="W1978" i="12"/>
  <c r="W1979" i="12"/>
  <c r="X1978" i="12"/>
  <c r="X1979" i="12"/>
  <c r="W1980" i="12"/>
  <c r="X1980" i="12"/>
  <c r="W1981" i="12"/>
  <c r="W1982" i="12"/>
  <c r="X1981" i="12"/>
  <c r="X1982" i="12"/>
  <c r="W1983" i="12"/>
  <c r="X1983" i="12"/>
  <c r="W1984" i="12"/>
  <c r="X1984" i="12"/>
  <c r="W1985" i="12"/>
  <c r="X1985" i="12"/>
  <c r="W1986" i="12"/>
  <c r="W1987" i="12"/>
  <c r="X1986" i="12"/>
  <c r="W1988" i="12"/>
  <c r="X1987" i="12"/>
  <c r="X1988" i="12"/>
  <c r="W1989" i="12"/>
  <c r="W1990" i="12"/>
  <c r="X1989" i="12"/>
  <c r="X1990" i="12"/>
  <c r="W1991" i="12"/>
  <c r="X1991" i="12"/>
  <c r="W1992" i="12"/>
  <c r="X1992" i="12"/>
  <c r="W1993" i="12"/>
  <c r="W1994" i="12"/>
  <c r="X1993" i="12"/>
  <c r="X1994" i="12"/>
  <c r="W1995" i="12"/>
  <c r="X1995" i="12"/>
  <c r="W1996" i="12"/>
  <c r="X1996" i="12"/>
  <c r="W1997" i="12"/>
  <c r="W1998" i="12"/>
  <c r="X1997" i="12"/>
  <c r="W1999" i="12"/>
  <c r="X1998" i="12"/>
  <c r="X1999" i="12"/>
  <c r="W2000" i="12"/>
  <c r="X2000" i="12"/>
  <c r="W2001" i="12"/>
  <c r="W2002" i="12"/>
  <c r="X2001" i="12"/>
  <c r="X2002" i="12"/>
  <c r="W2003" i="12"/>
  <c r="X2003" i="12"/>
  <c r="W2004" i="12"/>
  <c r="W2005" i="12"/>
  <c r="X2004" i="12"/>
  <c r="X2005" i="12"/>
  <c r="W2006" i="12"/>
  <c r="X2006" i="12"/>
  <c r="W2007" i="12"/>
  <c r="W2008" i="12"/>
  <c r="X2007" i="12"/>
  <c r="W2009" i="12"/>
  <c r="X2008" i="12"/>
  <c r="W2010" i="12"/>
  <c r="X2009" i="12"/>
  <c r="W2011" i="12"/>
  <c r="X2010" i="12"/>
  <c r="X2011" i="12"/>
  <c r="W2012" i="12"/>
  <c r="W2013" i="12"/>
  <c r="X2012" i="12"/>
  <c r="W2014" i="12"/>
  <c r="X2013" i="12"/>
  <c r="W2015" i="12"/>
  <c r="X2014" i="12"/>
  <c r="W2016" i="12"/>
  <c r="X2015" i="12"/>
  <c r="W2017" i="12"/>
  <c r="X2016" i="12"/>
  <c r="X2017" i="12"/>
  <c r="W2018" i="12"/>
  <c r="X2018" i="12"/>
  <c r="W2019" i="12"/>
  <c r="W2020" i="12"/>
  <c r="X2019" i="12"/>
  <c r="X2020" i="12"/>
  <c r="W2021" i="12"/>
  <c r="W2022" i="12"/>
  <c r="X2021" i="12"/>
  <c r="W2023" i="12"/>
  <c r="X2022" i="12"/>
  <c r="W2024" i="12"/>
  <c r="X2023" i="12"/>
  <c r="X2024" i="12"/>
  <c r="W2025" i="12"/>
  <c r="X2025" i="12"/>
  <c r="W2026" i="12"/>
  <c r="W2027" i="12"/>
  <c r="X2026" i="12"/>
  <c r="X2027" i="12"/>
  <c r="W2028" i="12"/>
  <c r="X2028" i="12"/>
  <c r="W2029" i="12"/>
  <c r="W2030" i="12"/>
  <c r="X2029" i="12"/>
  <c r="X2030" i="12"/>
  <c r="W2031" i="12"/>
  <c r="W2032" i="12"/>
  <c r="X2031" i="12"/>
  <c r="W2033" i="12"/>
  <c r="X2032" i="12"/>
  <c r="X2033" i="12"/>
  <c r="W2034" i="12"/>
  <c r="X2034" i="12"/>
  <c r="W2035" i="12"/>
  <c r="W2036" i="12"/>
  <c r="X2035" i="12"/>
  <c r="X2036" i="12"/>
  <c r="W2037" i="12"/>
  <c r="X2037" i="12"/>
  <c r="W2038" i="12"/>
  <c r="W2039" i="12"/>
  <c r="X2038" i="12"/>
  <c r="X2039" i="12"/>
  <c r="W2040" i="12"/>
  <c r="W2041" i="12"/>
  <c r="X2040" i="12"/>
  <c r="W2042" i="12"/>
  <c r="X2041" i="12"/>
  <c r="W2043" i="12"/>
  <c r="X2042" i="12"/>
  <c r="W2044" i="12"/>
  <c r="X2043" i="12"/>
  <c r="W2045" i="12"/>
  <c r="X2044" i="12"/>
  <c r="W2046" i="12"/>
  <c r="X2045" i="12"/>
  <c r="W2047" i="12"/>
  <c r="X2046" i="12"/>
  <c r="X2047" i="12"/>
  <c r="W2048" i="12"/>
  <c r="X2048" i="12"/>
  <c r="W2049" i="12"/>
  <c r="X2049" i="12"/>
  <c r="W2050" i="12"/>
  <c r="W2051" i="12"/>
  <c r="X2050" i="12"/>
  <c r="X2051" i="12"/>
  <c r="W2052" i="12"/>
  <c r="X2052" i="12"/>
  <c r="W2053" i="12"/>
  <c r="W2054" i="12"/>
  <c r="X2053" i="12"/>
  <c r="X2054" i="12"/>
  <c r="W2055" i="12"/>
  <c r="X2055" i="12"/>
  <c r="W2056" i="12"/>
  <c r="X2056" i="12"/>
  <c r="W2057" i="12"/>
  <c r="X2057" i="12"/>
  <c r="W2058" i="12"/>
  <c r="X2058" i="12"/>
  <c r="W2059" i="12"/>
  <c r="X2059" i="12"/>
  <c r="W2060" i="12"/>
  <c r="W2061" i="12"/>
  <c r="X2060" i="12"/>
  <c r="W2062" i="12"/>
  <c r="X2061" i="12"/>
  <c r="X2062" i="12"/>
  <c r="W2063" i="12"/>
  <c r="W2064" i="12"/>
  <c r="X2063" i="12"/>
  <c r="W2065" i="12"/>
  <c r="X2064" i="12"/>
  <c r="W2066" i="12"/>
  <c r="X2065" i="12"/>
  <c r="X2066" i="12"/>
  <c r="W2067" i="12"/>
  <c r="X2067" i="12"/>
  <c r="W2068" i="12"/>
  <c r="X2068" i="12"/>
  <c r="W2069" i="12"/>
  <c r="X2069" i="12"/>
  <c r="W2070" i="12"/>
  <c r="W2071" i="12"/>
  <c r="X2070" i="12"/>
  <c r="X2071" i="12"/>
  <c r="W2072" i="12"/>
  <c r="W2073" i="12"/>
  <c r="X2072" i="12"/>
  <c r="X2073" i="12"/>
  <c r="W2074" i="12"/>
  <c r="W2075" i="12"/>
  <c r="X2074" i="12"/>
  <c r="W2076" i="12"/>
  <c r="X2075" i="12"/>
  <c r="W2077" i="12"/>
  <c r="X2076" i="12"/>
  <c r="X2077" i="12"/>
  <c r="W2078" i="12"/>
  <c r="X2078" i="12"/>
  <c r="W2079" i="12"/>
  <c r="X2079" i="12"/>
  <c r="W2080" i="12"/>
  <c r="W2081" i="12"/>
  <c r="X2080" i="12"/>
  <c r="W2082" i="12"/>
  <c r="X2081" i="12"/>
  <c r="X2082" i="12"/>
  <c r="W2083" i="12"/>
  <c r="W2084" i="12"/>
  <c r="X2083" i="12"/>
  <c r="W2085" i="12"/>
  <c r="X2084" i="12"/>
  <c r="W2086" i="12"/>
  <c r="X2085" i="12"/>
  <c r="X2086" i="12"/>
  <c r="W2087" i="12"/>
  <c r="X2087" i="12"/>
  <c r="W2088" i="12"/>
  <c r="X2088" i="12"/>
  <c r="W2089" i="12"/>
  <c r="W2090" i="12"/>
  <c r="X2089" i="12"/>
  <c r="X2090" i="12"/>
  <c r="W2091" i="12"/>
  <c r="W2092" i="12"/>
  <c r="X2091" i="12"/>
  <c r="X2092" i="12"/>
  <c r="W2093" i="12"/>
  <c r="X2093" i="12"/>
  <c r="W2094" i="12"/>
  <c r="X2094" i="12"/>
  <c r="W2095" i="12"/>
  <c r="X2095" i="12"/>
  <c r="W2096" i="12"/>
  <c r="X2096" i="12"/>
  <c r="W2097" i="12"/>
  <c r="W2098" i="12"/>
  <c r="X2097" i="12"/>
  <c r="W2099" i="12"/>
  <c r="X2098" i="12"/>
  <c r="X2099" i="12"/>
  <c r="W2100" i="12"/>
  <c r="X2100" i="12"/>
  <c r="W2101" i="12"/>
  <c r="X2101" i="12"/>
  <c r="W2102" i="12"/>
  <c r="W2103" i="12"/>
  <c r="X2102" i="12"/>
  <c r="X2103" i="12"/>
  <c r="W2104" i="12"/>
  <c r="W2105" i="12"/>
  <c r="X2104" i="12"/>
  <c r="X2105" i="12"/>
  <c r="W2106" i="12"/>
  <c r="X2106" i="12"/>
  <c r="W2107" i="12"/>
  <c r="W2108" i="12"/>
  <c r="X2107" i="12"/>
  <c r="X2108" i="12"/>
  <c r="W2109" i="12"/>
  <c r="W2110" i="12"/>
  <c r="X2109" i="12"/>
  <c r="X2110" i="12"/>
  <c r="W2111" i="12"/>
  <c r="X2111" i="12"/>
  <c r="W2112" i="12"/>
  <c r="X2112" i="12"/>
  <c r="W2113" i="12"/>
  <c r="W2114" i="12"/>
  <c r="X2113" i="12"/>
  <c r="X2114" i="12"/>
  <c r="W2115" i="12"/>
  <c r="X2115" i="12"/>
  <c r="W2116" i="12"/>
  <c r="W2117" i="12"/>
  <c r="X2116" i="12"/>
  <c r="X2117" i="12"/>
  <c r="W2118" i="12"/>
  <c r="X2118" i="12"/>
  <c r="W2119" i="12"/>
  <c r="X2119" i="12"/>
  <c r="W2120" i="12"/>
  <c r="X2120" i="12"/>
  <c r="W2121" i="12"/>
  <c r="W2122" i="12"/>
  <c r="X2121" i="12"/>
  <c r="X2122" i="12"/>
  <c r="W2123" i="12"/>
  <c r="X2123" i="12"/>
  <c r="W2124" i="12"/>
  <c r="X2124" i="12"/>
  <c r="W2125" i="12"/>
  <c r="X2125" i="12"/>
  <c r="W2126" i="12"/>
  <c r="X2126" i="12"/>
  <c r="W2127" i="12"/>
  <c r="W2128" i="12"/>
  <c r="X2127" i="12"/>
  <c r="W2129" i="12"/>
  <c r="X2128" i="12"/>
  <c r="W2130" i="12"/>
  <c r="X2129" i="12"/>
  <c r="X2130" i="12"/>
  <c r="W2131" i="12"/>
  <c r="W2132" i="12"/>
  <c r="X2131" i="12"/>
  <c r="W2133" i="12"/>
  <c r="X2132" i="12"/>
  <c r="W2134" i="12"/>
  <c r="X2133" i="12"/>
  <c r="X2134" i="12"/>
  <c r="W2135" i="12"/>
  <c r="W2136" i="12"/>
  <c r="X2135" i="12"/>
  <c r="W2137" i="12"/>
  <c r="X2136" i="12"/>
  <c r="X2137" i="12"/>
  <c r="W2138" i="12"/>
  <c r="X2138" i="12"/>
  <c r="W2139" i="12"/>
  <c r="W2140" i="12"/>
  <c r="X2139" i="12"/>
  <c r="W2141" i="12"/>
  <c r="X2140" i="12"/>
  <c r="X2141" i="12"/>
  <c r="W2142" i="12"/>
  <c r="X2142" i="12"/>
  <c r="W2143" i="12"/>
  <c r="W2144" i="12"/>
  <c r="X2143" i="12"/>
  <c r="W2145" i="12"/>
  <c r="X2144" i="12"/>
  <c r="W2146" i="12"/>
  <c r="X2145" i="12"/>
  <c r="W2147" i="12"/>
  <c r="X2146" i="12"/>
  <c r="W2148" i="12"/>
  <c r="X2147" i="12"/>
  <c r="W2149" i="12"/>
  <c r="X2148" i="12"/>
  <c r="W2150" i="12"/>
  <c r="X2149" i="12"/>
  <c r="X2150" i="12"/>
  <c r="W2151" i="12"/>
  <c r="X2151" i="12"/>
  <c r="W2152" i="12"/>
  <c r="W2153" i="12"/>
  <c r="X2152" i="12"/>
  <c r="X2153" i="12"/>
  <c r="W2154" i="12"/>
  <c r="X2154" i="12"/>
  <c r="W2155" i="12"/>
  <c r="X2155" i="12"/>
  <c r="W2156" i="12"/>
  <c r="X2156" i="12"/>
  <c r="W2157" i="12"/>
  <c r="W2158" i="12"/>
  <c r="X2157" i="12"/>
  <c r="W2159" i="12"/>
  <c r="X2158" i="12"/>
  <c r="X2159" i="12"/>
  <c r="W2160" i="12"/>
  <c r="X2160" i="12"/>
  <c r="W2161" i="12"/>
  <c r="W2162" i="12"/>
  <c r="X2161" i="12"/>
  <c r="X2162" i="12"/>
  <c r="W2163" i="12"/>
  <c r="W2164" i="12"/>
  <c r="X2163" i="12"/>
  <c r="W2165" i="12"/>
  <c r="X2164" i="12"/>
  <c r="W2166" i="12"/>
  <c r="X2165" i="12"/>
  <c r="W2167" i="12"/>
  <c r="X2166" i="12"/>
  <c r="X2167" i="12"/>
  <c r="W2168" i="12"/>
  <c r="W2169" i="12"/>
  <c r="X2168" i="12"/>
  <c r="X2169" i="12"/>
  <c r="W2170" i="12"/>
  <c r="X2170" i="12"/>
  <c r="W2171" i="12"/>
  <c r="W2172" i="12"/>
  <c r="X2171" i="12"/>
  <c r="W2173" i="12"/>
  <c r="X2172" i="12"/>
  <c r="X2173" i="12"/>
  <c r="W2174" i="12"/>
  <c r="X2174" i="12"/>
  <c r="W2175" i="12"/>
  <c r="W2176" i="12"/>
  <c r="X2175" i="12"/>
  <c r="X2176" i="12"/>
  <c r="W2177" i="12"/>
  <c r="W2178" i="12"/>
  <c r="X2177" i="12"/>
  <c r="W2179" i="12"/>
  <c r="X2178" i="12"/>
  <c r="W2180" i="12"/>
  <c r="X2179" i="12"/>
  <c r="X2180" i="12"/>
  <c r="W2181" i="12"/>
  <c r="X2181" i="12"/>
  <c r="W2182" i="12"/>
  <c r="W2183" i="12"/>
  <c r="X2182" i="12"/>
  <c r="X2183" i="12"/>
  <c r="W2184" i="12"/>
  <c r="X2184" i="12"/>
  <c r="W2185" i="12"/>
  <c r="W2186" i="12"/>
  <c r="X2185" i="12"/>
  <c r="X2186" i="12"/>
  <c r="W2187" i="12"/>
  <c r="W2188" i="12"/>
  <c r="X2187" i="12"/>
  <c r="W2189" i="12"/>
  <c r="X2188" i="12"/>
  <c r="W2190" i="12"/>
  <c r="X2189" i="12"/>
  <c r="W2191" i="12"/>
  <c r="X2190" i="12"/>
  <c r="W2192" i="12"/>
  <c r="X2191" i="12"/>
  <c r="W2193" i="12"/>
  <c r="X2192" i="12"/>
  <c r="X2193" i="12"/>
  <c r="W2194" i="12"/>
  <c r="X2194" i="12"/>
  <c r="W2195" i="12"/>
  <c r="X2195" i="12"/>
  <c r="W2196" i="12"/>
  <c r="W2197" i="12"/>
  <c r="X2196" i="12"/>
  <c r="X2197" i="12"/>
  <c r="W2198" i="12"/>
  <c r="X2198" i="12"/>
  <c r="W2199" i="12"/>
  <c r="X2199" i="12"/>
  <c r="W2200" i="12"/>
  <c r="X2200" i="12"/>
  <c r="W2201" i="12"/>
  <c r="W2202" i="12"/>
  <c r="X2201" i="12"/>
  <c r="X2202" i="12"/>
  <c r="W2203" i="12"/>
  <c r="W2204" i="12"/>
  <c r="X2203" i="12"/>
  <c r="X2204" i="12"/>
  <c r="W2205" i="12"/>
  <c r="W2206" i="12"/>
  <c r="X2205" i="12"/>
  <c r="W2207" i="12"/>
  <c r="X2206" i="12"/>
  <c r="X2207" i="12"/>
  <c r="W2208" i="12"/>
  <c r="W2209" i="12"/>
  <c r="X2208" i="12"/>
  <c r="X2209" i="12"/>
  <c r="W2210" i="12"/>
  <c r="W2211" i="12"/>
  <c r="X2210" i="12"/>
  <c r="W2212" i="12"/>
  <c r="X2211" i="12"/>
  <c r="X2212" i="12"/>
  <c r="W2213" i="12"/>
  <c r="W2214" i="12"/>
  <c r="X2213" i="12"/>
  <c r="W2215" i="12"/>
  <c r="X2214" i="12"/>
  <c r="W2216" i="12"/>
  <c r="X2215" i="12"/>
  <c r="X2216" i="12"/>
  <c r="W2217" i="12"/>
  <c r="X2217" i="12"/>
  <c r="W2218" i="12"/>
  <c r="X2218" i="12"/>
  <c r="W2219" i="12"/>
  <c r="W2220" i="12"/>
  <c r="X2219" i="12"/>
  <c r="W2221" i="12"/>
  <c r="X2220" i="12"/>
  <c r="W2222" i="12"/>
  <c r="X2221" i="12"/>
  <c r="W2223" i="12"/>
  <c r="X2222" i="12"/>
  <c r="W2224" i="12"/>
  <c r="X2223" i="12"/>
  <c r="W2225" i="12"/>
  <c r="X2224" i="12"/>
  <c r="X2225" i="12"/>
  <c r="W2226" i="12"/>
  <c r="W2227" i="12"/>
  <c r="X2226" i="12"/>
  <c r="W2228" i="12"/>
  <c r="X2227" i="12"/>
  <c r="W2229" i="12"/>
  <c r="X2228" i="12"/>
  <c r="W2230" i="12"/>
  <c r="X2229" i="12"/>
  <c r="W2231" i="12"/>
  <c r="X2230" i="12"/>
  <c r="X2231" i="12"/>
  <c r="W2232" i="12"/>
  <c r="X2232" i="12"/>
  <c r="W2233" i="12"/>
  <c r="W2234" i="12"/>
  <c r="X2233" i="12"/>
  <c r="W2235" i="12"/>
  <c r="X2234" i="12"/>
  <c r="X2235" i="12"/>
  <c r="W2236" i="12"/>
  <c r="W2237" i="12"/>
  <c r="X2236" i="12"/>
  <c r="X2237" i="12"/>
  <c r="W2238" i="12"/>
  <c r="X2238" i="12"/>
  <c r="W2239" i="12"/>
  <c r="W2240" i="12"/>
  <c r="X2239" i="12"/>
  <c r="W2241" i="12"/>
  <c r="X2240" i="12"/>
  <c r="X2241" i="12"/>
  <c r="W2242" i="12"/>
  <c r="W2243" i="12"/>
  <c r="X2242" i="12"/>
  <c r="X2243" i="12"/>
  <c r="W2244" i="12"/>
  <c r="X2244" i="12"/>
  <c r="W2245" i="12"/>
  <c r="W2246" i="12"/>
  <c r="X2245" i="12"/>
  <c r="W2247" i="12"/>
  <c r="X2246" i="12"/>
  <c r="W2248" i="12"/>
  <c r="X2247" i="12"/>
  <c r="X2248" i="12"/>
  <c r="W2249" i="12"/>
  <c r="W2250" i="12"/>
  <c r="X2249" i="12"/>
  <c r="X2250" i="12"/>
  <c r="W2251" i="12"/>
  <c r="W2252" i="12"/>
  <c r="X2251" i="12"/>
  <c r="W2253" i="12"/>
  <c r="X2252" i="12"/>
  <c r="W2254" i="12"/>
  <c r="X2253" i="12"/>
  <c r="X2254" i="12"/>
  <c r="W2255" i="12"/>
  <c r="X2255" i="12"/>
  <c r="W2256" i="12"/>
  <c r="X2256" i="12"/>
  <c r="W2257" i="12"/>
  <c r="X2257" i="12"/>
  <c r="W2258" i="12"/>
  <c r="W2259" i="12"/>
  <c r="X2258" i="12"/>
  <c r="X2259" i="12"/>
  <c r="W2260" i="12"/>
  <c r="X2260" i="12"/>
  <c r="W2261" i="12"/>
  <c r="X2261" i="12"/>
  <c r="W2262" i="12"/>
  <c r="W2263" i="12"/>
  <c r="X2262" i="12"/>
  <c r="X2263" i="12"/>
  <c r="W2264" i="12"/>
  <c r="X2264" i="12"/>
  <c r="W2265" i="12"/>
  <c r="W2266" i="12"/>
  <c r="X2265" i="12"/>
  <c r="X2266" i="12"/>
  <c r="W2267" i="12"/>
  <c r="W2268" i="12"/>
  <c r="X2267" i="12"/>
  <c r="W2269" i="12"/>
  <c r="X2268" i="12"/>
  <c r="X2269" i="12"/>
  <c r="W2270" i="12"/>
  <c r="W2271" i="12"/>
  <c r="X2270" i="12"/>
  <c r="X2271" i="12"/>
  <c r="W2272" i="12"/>
  <c r="X2272" i="12"/>
  <c r="W2273" i="12"/>
  <c r="W2274" i="12"/>
  <c r="X2273" i="12"/>
  <c r="X2274" i="12"/>
  <c r="W2275" i="12"/>
  <c r="W2276" i="12"/>
  <c r="X2275" i="12"/>
  <c r="X2276" i="12"/>
  <c r="W2277" i="12"/>
  <c r="W2278" i="12"/>
  <c r="X2277" i="12"/>
  <c r="W2279" i="12"/>
  <c r="X2278" i="12"/>
  <c r="X2279" i="12"/>
  <c r="W2280" i="12"/>
  <c r="W2281" i="12"/>
  <c r="X2280" i="12"/>
  <c r="W2282" i="12"/>
  <c r="X2281" i="12"/>
  <c r="W2283" i="12"/>
  <c r="X2282" i="12"/>
  <c r="W2284" i="12"/>
  <c r="X2283" i="12"/>
  <c r="W2285" i="12"/>
  <c r="X2284" i="12"/>
  <c r="W2286" i="12"/>
  <c r="X2285" i="12"/>
  <c r="W2287" i="12"/>
  <c r="X2286" i="12"/>
  <c r="W2288" i="12"/>
  <c r="X2287" i="12"/>
  <c r="X2288" i="12"/>
  <c r="W2289" i="12"/>
  <c r="X2289" i="12"/>
  <c r="W2290" i="12"/>
  <c r="W2291" i="12"/>
  <c r="X2290" i="12"/>
  <c r="W2292" i="12"/>
  <c r="X2291" i="12"/>
  <c r="W2293" i="12"/>
  <c r="X2292" i="12"/>
  <c r="W2294" i="12"/>
  <c r="X2293" i="12"/>
  <c r="X2294" i="12"/>
  <c r="W2295" i="12"/>
  <c r="X2295" i="12"/>
  <c r="W2296" i="12"/>
  <c r="W2297" i="12"/>
  <c r="X2296" i="12"/>
  <c r="W2298" i="12"/>
  <c r="X2297" i="12"/>
  <c r="W2299" i="12"/>
  <c r="X2298" i="12"/>
  <c r="W2300" i="12"/>
  <c r="X2299" i="12"/>
  <c r="X2300" i="12"/>
  <c r="W2301" i="12"/>
  <c r="X2301" i="12"/>
  <c r="W2302" i="12"/>
  <c r="W2303" i="12"/>
  <c r="X2302" i="12"/>
  <c r="W2304" i="12"/>
  <c r="X2303" i="12"/>
  <c r="W2305" i="12"/>
  <c r="X2304" i="12"/>
  <c r="W2306" i="12"/>
  <c r="X2305" i="12"/>
  <c r="X2306" i="12"/>
  <c r="W2307" i="12"/>
  <c r="X2307" i="12"/>
  <c r="W2308" i="12"/>
  <c r="W2309" i="12"/>
  <c r="X2308" i="12"/>
  <c r="W2310" i="12"/>
  <c r="X2309" i="12"/>
  <c r="X2310" i="12"/>
  <c r="W2311" i="12"/>
  <c r="W2312" i="12"/>
  <c r="X2311" i="12"/>
  <c r="W2313" i="12"/>
  <c r="X2312" i="12"/>
  <c r="W2314" i="12"/>
  <c r="X2313" i="12"/>
  <c r="X2314" i="12"/>
  <c r="W2315" i="12"/>
  <c r="X2315" i="12"/>
  <c r="W2316" i="12"/>
  <c r="W2317" i="12"/>
  <c r="X2316" i="12"/>
  <c r="X2317" i="12"/>
  <c r="W2318" i="12"/>
  <c r="X2318" i="12"/>
  <c r="W2319" i="12"/>
  <c r="X2319" i="12"/>
  <c r="W2320" i="12"/>
  <c r="X2320" i="12"/>
  <c r="W2321" i="12"/>
  <c r="X2321" i="12"/>
  <c r="W2322" i="12"/>
  <c r="W2323" i="12"/>
  <c r="X2322" i="12"/>
  <c r="X2323" i="12"/>
  <c r="W2324" i="12"/>
  <c r="W2325" i="12"/>
  <c r="X2324" i="12"/>
  <c r="W2326" i="12"/>
  <c r="X2325" i="12"/>
  <c r="W2327" i="12"/>
  <c r="X2326" i="12"/>
  <c r="W2328" i="12"/>
  <c r="X2327" i="12"/>
  <c r="W2329" i="12"/>
  <c r="X2328" i="12"/>
  <c r="W2330" i="12"/>
  <c r="X2329" i="12"/>
  <c r="X2330" i="12"/>
  <c r="W2331" i="12"/>
  <c r="X2331" i="12"/>
  <c r="W2332" i="12"/>
  <c r="W2333" i="12"/>
  <c r="X2332" i="12"/>
  <c r="W2334" i="12"/>
  <c r="X2333" i="12"/>
  <c r="X2334" i="12"/>
  <c r="W2335" i="12"/>
  <c r="W2336" i="12"/>
  <c r="X2335" i="12"/>
  <c r="W2337" i="12"/>
  <c r="X2336" i="12"/>
  <c r="W2338" i="12"/>
  <c r="X2337" i="12"/>
  <c r="W2339" i="12"/>
  <c r="X2338" i="12"/>
  <c r="W2340" i="12"/>
  <c r="X2339" i="12"/>
  <c r="X2340" i="12"/>
  <c r="W2341" i="12"/>
  <c r="W2342" i="12"/>
  <c r="X2341" i="12"/>
  <c r="W2343" i="12"/>
  <c r="X2342" i="12"/>
  <c r="X2343" i="12"/>
  <c r="W2344" i="12"/>
  <c r="X2344" i="12"/>
  <c r="W2345" i="12"/>
  <c r="X2345" i="12"/>
  <c r="W2346" i="12"/>
  <c r="W2347" i="12"/>
  <c r="X2346" i="12"/>
  <c r="W2348" i="12"/>
  <c r="X2347" i="12"/>
  <c r="W2349" i="12"/>
  <c r="X2348" i="12"/>
  <c r="W2350" i="12"/>
  <c r="X2349" i="12"/>
  <c r="X2350" i="12"/>
  <c r="W2351" i="12"/>
  <c r="X2351" i="12"/>
  <c r="W2352" i="12"/>
  <c r="W2353" i="12"/>
  <c r="X2352" i="12"/>
  <c r="X2353" i="12"/>
  <c r="W2354" i="12"/>
  <c r="W2355" i="12"/>
  <c r="X2354" i="12"/>
  <c r="W2356" i="12"/>
  <c r="X2355" i="12"/>
  <c r="X2356" i="12"/>
  <c r="W2357" i="12"/>
  <c r="X2357" i="12"/>
  <c r="W2358" i="12"/>
  <c r="X2358" i="12"/>
  <c r="W2359" i="12"/>
  <c r="X2359" i="12"/>
  <c r="W2360" i="12"/>
  <c r="W2361" i="12"/>
  <c r="X2360" i="12"/>
  <c r="X2361" i="12"/>
  <c r="W2362" i="12"/>
  <c r="W2363" i="12"/>
  <c r="X2362" i="12"/>
  <c r="X2363" i="12"/>
  <c r="W2364" i="12"/>
  <c r="W2365" i="12"/>
  <c r="X2364" i="12"/>
  <c r="W2366" i="12"/>
  <c r="X2365" i="12"/>
  <c r="X2366" i="12"/>
  <c r="W2367" i="12"/>
  <c r="X2367" i="12"/>
  <c r="W2368" i="12"/>
  <c r="X2368" i="12"/>
  <c r="W2369" i="12"/>
  <c r="X2369" i="12"/>
  <c r="W2370" i="12"/>
  <c r="X2370" i="12"/>
  <c r="W2371" i="12"/>
  <c r="X2371" i="12"/>
  <c r="W2372" i="12"/>
  <c r="X2372" i="12"/>
  <c r="W2373" i="12"/>
  <c r="W2374" i="12"/>
  <c r="X2373" i="12"/>
  <c r="W2375" i="12"/>
  <c r="X2374" i="12"/>
  <c r="W2376" i="12"/>
  <c r="X2375" i="12"/>
  <c r="X2376" i="12"/>
  <c r="W2377" i="12"/>
  <c r="W2378" i="12"/>
  <c r="X2377" i="12"/>
  <c r="W2379" i="12"/>
  <c r="X2378" i="12"/>
  <c r="W2380" i="12"/>
  <c r="X2379" i="12"/>
  <c r="X2380" i="12"/>
  <c r="W2381" i="12"/>
  <c r="W2382" i="12"/>
  <c r="X2381" i="12"/>
  <c r="X2382" i="12"/>
  <c r="W2383" i="12"/>
  <c r="W2384" i="12"/>
  <c r="X2383" i="12"/>
  <c r="X2384" i="12"/>
  <c r="W2385" i="12"/>
  <c r="W2386" i="12"/>
  <c r="X2385" i="12"/>
  <c r="X2386" i="12"/>
  <c r="W2387" i="12"/>
  <c r="W2388" i="12"/>
  <c r="X2387" i="12"/>
  <c r="X2388" i="12"/>
  <c r="W2389" i="12"/>
  <c r="X2389" i="12"/>
  <c r="W2390" i="12"/>
  <c r="W2391" i="12"/>
  <c r="X2390" i="12"/>
  <c r="W2392" i="12"/>
  <c r="X2391" i="12"/>
  <c r="W2393" i="12"/>
  <c r="X2392" i="12"/>
  <c r="W2394" i="12"/>
  <c r="X2393" i="12"/>
  <c r="W2395" i="12"/>
  <c r="X2394" i="12"/>
  <c r="X2395" i="12"/>
  <c r="W2396" i="12"/>
  <c r="X2396" i="12"/>
  <c r="W2397" i="12"/>
  <c r="W2398" i="12"/>
  <c r="X2397" i="12"/>
  <c r="X2398" i="12"/>
  <c r="W2399" i="12"/>
  <c r="W2400" i="12"/>
  <c r="X2399" i="12"/>
  <c r="W2401" i="12"/>
  <c r="X2400" i="12"/>
  <c r="X2401" i="12"/>
  <c r="W2402" i="12"/>
  <c r="W2403" i="12"/>
  <c r="X2402" i="12"/>
  <c r="X2403" i="12"/>
  <c r="W2404" i="12"/>
  <c r="X2404" i="12"/>
  <c r="W2405" i="12"/>
  <c r="X2405" i="12"/>
  <c r="W2406" i="12"/>
  <c r="W2407" i="12"/>
  <c r="X2406" i="12"/>
  <c r="X2407" i="12"/>
  <c r="W2408" i="12"/>
  <c r="W2409" i="12"/>
  <c r="X2408" i="12"/>
  <c r="W2410" i="12"/>
  <c r="X2409" i="12"/>
  <c r="W2411" i="12"/>
  <c r="X2410" i="12"/>
  <c r="X2411" i="12"/>
  <c r="W2412" i="12"/>
  <c r="W2413" i="12"/>
  <c r="X2412" i="12"/>
  <c r="X2413" i="12"/>
  <c r="W2414" i="12"/>
  <c r="X2414" i="12"/>
  <c r="W2415" i="12"/>
  <c r="W2416" i="12"/>
  <c r="X2415" i="12"/>
  <c r="X2416" i="12"/>
  <c r="W2417" i="12"/>
  <c r="X2417" i="12"/>
  <c r="W2418" i="12"/>
  <c r="X2418" i="12"/>
  <c r="W2419" i="12"/>
  <c r="X2419" i="12"/>
  <c r="W2420" i="12"/>
  <c r="W2421" i="12"/>
  <c r="X2420" i="12"/>
  <c r="W2422" i="12"/>
  <c r="X2421" i="12"/>
  <c r="W2423" i="12"/>
  <c r="X2422" i="12"/>
  <c r="W2424" i="12"/>
  <c r="X2423" i="12"/>
  <c r="W2425" i="12"/>
  <c r="X2424" i="12"/>
  <c r="W2426" i="12"/>
  <c r="X2425" i="12"/>
  <c r="W2427" i="12"/>
  <c r="X2426" i="12"/>
  <c r="W2428" i="12"/>
  <c r="X2427" i="12"/>
  <c r="W2429" i="12"/>
  <c r="X2428" i="12"/>
  <c r="X2429" i="12"/>
  <c r="W2430" i="12"/>
  <c r="W2431" i="12"/>
  <c r="X2430" i="12"/>
  <c r="W2432" i="12"/>
  <c r="X2431" i="12"/>
  <c r="W2433" i="12"/>
  <c r="X2432" i="12"/>
  <c r="W2434" i="12"/>
  <c r="X2433" i="12"/>
  <c r="X2434" i="12"/>
  <c r="W2435" i="12"/>
  <c r="W2436" i="12"/>
  <c r="X2435" i="12"/>
  <c r="X2436" i="12"/>
  <c r="W2437" i="12"/>
  <c r="W2438" i="12"/>
  <c r="X2437" i="12"/>
  <c r="X2438" i="12"/>
  <c r="W2439" i="12"/>
  <c r="X2439" i="12"/>
  <c r="W2440" i="12"/>
  <c r="W2441" i="12"/>
  <c r="X2440" i="12"/>
  <c r="X2441" i="12"/>
  <c r="W2442" i="12"/>
  <c r="W2443" i="12"/>
  <c r="X2442" i="12"/>
  <c r="X2443" i="12"/>
  <c r="W2444" i="12"/>
  <c r="W2445" i="12"/>
  <c r="X2444" i="12"/>
  <c r="X2445" i="12"/>
  <c r="W2446" i="12"/>
  <c r="X2446" i="12"/>
  <c r="W2447" i="12"/>
  <c r="W2448" i="12"/>
  <c r="X2447" i="12"/>
  <c r="W2449" i="12"/>
  <c r="X2448" i="12"/>
  <c r="W2450" i="12"/>
  <c r="X2449" i="12"/>
  <c r="W2451" i="12"/>
  <c r="X2450" i="12"/>
  <c r="W2452" i="12"/>
  <c r="X2451" i="12"/>
  <c r="X2452" i="12"/>
  <c r="W2453" i="12"/>
  <c r="X2453" i="12"/>
  <c r="W2454" i="12"/>
  <c r="W2455" i="12"/>
  <c r="X2454" i="12"/>
  <c r="W2456" i="12"/>
  <c r="X2455" i="12"/>
  <c r="W2457" i="12"/>
  <c r="X2456" i="12"/>
  <c r="X2457" i="12"/>
  <c r="W2458" i="12"/>
  <c r="W2459" i="12"/>
  <c r="X2458" i="12"/>
  <c r="X2459" i="12"/>
  <c r="W2460" i="12"/>
  <c r="X2460" i="12"/>
  <c r="W2461" i="12"/>
  <c r="W2462" i="12"/>
  <c r="X2461" i="12"/>
  <c r="W2463" i="12"/>
  <c r="X2462" i="12"/>
  <c r="W2464" i="12"/>
  <c r="X2463" i="12"/>
  <c r="W2465" i="12"/>
  <c r="X2464" i="12"/>
  <c r="X2465" i="12"/>
  <c r="W2466" i="12"/>
  <c r="W2467" i="12"/>
  <c r="X2466" i="12"/>
  <c r="X2467" i="12"/>
  <c r="W2468" i="12"/>
  <c r="X2468" i="12"/>
  <c r="W2469" i="12"/>
  <c r="W2470" i="12"/>
  <c r="X2469" i="12"/>
  <c r="X2470" i="12"/>
  <c r="W2471" i="12"/>
  <c r="X2471" i="12"/>
  <c r="W2472" i="12"/>
  <c r="X2472" i="12"/>
  <c r="W2473" i="12"/>
  <c r="X2473" i="12"/>
  <c r="W2474" i="12"/>
  <c r="W2475" i="12"/>
  <c r="X2474" i="12"/>
  <c r="W2476" i="12"/>
  <c r="X2475" i="12"/>
  <c r="W2477" i="12"/>
  <c r="X2476" i="12"/>
  <c r="X2477" i="12"/>
  <c r="W2478" i="12"/>
  <c r="W2479" i="12"/>
  <c r="X2478" i="12"/>
  <c r="W2480" i="12"/>
  <c r="X2479" i="12"/>
  <c r="X2480" i="12"/>
  <c r="W2481" i="12"/>
  <c r="X2481" i="12"/>
  <c r="W2482" i="12"/>
  <c r="W2483" i="12"/>
  <c r="X2482" i="12"/>
  <c r="X2483" i="12"/>
  <c r="W2484" i="12"/>
  <c r="W2485" i="12"/>
  <c r="X2484" i="12"/>
  <c r="X2485" i="12"/>
  <c r="W2486" i="12"/>
  <c r="X2486" i="12"/>
  <c r="W2487" i="12"/>
  <c r="X2487" i="12"/>
  <c r="W2488" i="12"/>
  <c r="X2488" i="12"/>
  <c r="W2489" i="12"/>
  <c r="W2490" i="12"/>
  <c r="X2489" i="12"/>
  <c r="W2491" i="12"/>
  <c r="X2490" i="12"/>
  <c r="W2492" i="12"/>
  <c r="X2491" i="12"/>
  <c r="X2492" i="12"/>
  <c r="W2493" i="12"/>
  <c r="X2493" i="12"/>
  <c r="W2494" i="12"/>
  <c r="X2494" i="12"/>
  <c r="W2495" i="12"/>
  <c r="W2496" i="12"/>
  <c r="X2495" i="12"/>
  <c r="X2496" i="12"/>
  <c r="W2497" i="12"/>
  <c r="X2497" i="12"/>
  <c r="W2498" i="12"/>
  <c r="W2499" i="12"/>
  <c r="X2498" i="12"/>
  <c r="W2500" i="12"/>
  <c r="X2499" i="12"/>
  <c r="X2500" i="12"/>
  <c r="W2501" i="12"/>
  <c r="W2502" i="12"/>
  <c r="X2501" i="12"/>
  <c r="X2502" i="12"/>
  <c r="W2503" i="12"/>
  <c r="X2503" i="12"/>
  <c r="W2504" i="12"/>
  <c r="W2505" i="12"/>
  <c r="X2504" i="12"/>
  <c r="X2505" i="12"/>
  <c r="W2506" i="12"/>
  <c r="W2507" i="12"/>
  <c r="X2506" i="12"/>
  <c r="W2508" i="12"/>
  <c r="X2507" i="12"/>
  <c r="X2508" i="12"/>
  <c r="W2509" i="12"/>
  <c r="W2510" i="12"/>
  <c r="X2509" i="12"/>
  <c r="W2511" i="12"/>
  <c r="X2510" i="12"/>
  <c r="X2511" i="12"/>
  <c r="W2512" i="12"/>
  <c r="W2513" i="12"/>
  <c r="X2512" i="12"/>
  <c r="W2514" i="12"/>
  <c r="X2513" i="12"/>
  <c r="W2515" i="12"/>
  <c r="X2514" i="12"/>
  <c r="X2515" i="12"/>
  <c r="W2516" i="12"/>
  <c r="X2516" i="12"/>
  <c r="W2517" i="12"/>
  <c r="X2517" i="12"/>
  <c r="W2518" i="12"/>
  <c r="W2519" i="12"/>
  <c r="X2518" i="12"/>
  <c r="W2520" i="12"/>
  <c r="X2519" i="12"/>
  <c r="W2521" i="12"/>
  <c r="X2520" i="12"/>
  <c r="X2521" i="12"/>
  <c r="W2522" i="12"/>
  <c r="X2522" i="12"/>
  <c r="W2523" i="12"/>
  <c r="W2524" i="12"/>
  <c r="X2523" i="12"/>
  <c r="X2524" i="12"/>
  <c r="W2525" i="12"/>
  <c r="X2525" i="12"/>
  <c r="W2526" i="12"/>
  <c r="W2527" i="12"/>
  <c r="X2526" i="12"/>
  <c r="W2528" i="12"/>
  <c r="X2527" i="12"/>
  <c r="X2528" i="12"/>
  <c r="W2529" i="12"/>
  <c r="X2529" i="12"/>
  <c r="W2530" i="12"/>
  <c r="W2531" i="12"/>
  <c r="X2530" i="12"/>
  <c r="W2532" i="12"/>
  <c r="X2531" i="12"/>
  <c r="X2532" i="12"/>
  <c r="W2533" i="12"/>
  <c r="X2533" i="12"/>
  <c r="W2534" i="12"/>
  <c r="W2535" i="12"/>
  <c r="X2534" i="12"/>
  <c r="X2535" i="12"/>
  <c r="W2536" i="12"/>
  <c r="X2536" i="12"/>
  <c r="W2537" i="12"/>
  <c r="X2537" i="12"/>
  <c r="W2538" i="12"/>
  <c r="X2538" i="12"/>
  <c r="W2539" i="12"/>
  <c r="X2539" i="12"/>
  <c r="W2540" i="12"/>
  <c r="X2540" i="12"/>
  <c r="W2541" i="12"/>
  <c r="W2542" i="12"/>
  <c r="X2541" i="12"/>
  <c r="X2542" i="12"/>
  <c r="W2543" i="12"/>
  <c r="X2543" i="12"/>
  <c r="W2544" i="12"/>
  <c r="W2545" i="12"/>
  <c r="X2544" i="12"/>
  <c r="W2546" i="12"/>
  <c r="X2545" i="12"/>
  <c r="X2546" i="12"/>
  <c r="W2547" i="12"/>
  <c r="W2548" i="12"/>
  <c r="X2547" i="12"/>
  <c r="W2549" i="12"/>
  <c r="X2548" i="12"/>
  <c r="X2549" i="12"/>
  <c r="W2550" i="12"/>
  <c r="W2551" i="12"/>
  <c r="X2550" i="12"/>
  <c r="W2552" i="12"/>
  <c r="X2551" i="12"/>
  <c r="X2552" i="12"/>
  <c r="W2553" i="12"/>
  <c r="X2553" i="12"/>
  <c r="W2554" i="12"/>
  <c r="W2555" i="12"/>
  <c r="X2554" i="12"/>
  <c r="W2556" i="12"/>
  <c r="X2555" i="12"/>
  <c r="X2556" i="12"/>
  <c r="W2557" i="12"/>
  <c r="X2557" i="12"/>
  <c r="W2558" i="12"/>
  <c r="X2558" i="12"/>
  <c r="W2559" i="12"/>
  <c r="W2560" i="12"/>
  <c r="X2559" i="12"/>
  <c r="X2560" i="12"/>
  <c r="W2561" i="12"/>
  <c r="X2561" i="12"/>
  <c r="W2562" i="12"/>
  <c r="X2562" i="12"/>
  <c r="W2563" i="12"/>
  <c r="W2564" i="12"/>
  <c r="X2563" i="12"/>
  <c r="W2565" i="12"/>
  <c r="X2564" i="12"/>
  <c r="W2566" i="12"/>
  <c r="X2565" i="12"/>
  <c r="W2567" i="12"/>
  <c r="X2566" i="12"/>
  <c r="X2567" i="12"/>
  <c r="W2568" i="12"/>
  <c r="X2568" i="12"/>
  <c r="W2569" i="12"/>
  <c r="W2570" i="12"/>
  <c r="X2569" i="12"/>
  <c r="X2570" i="12"/>
  <c r="W2571" i="12"/>
  <c r="W2572" i="12"/>
  <c r="X2571" i="12"/>
  <c r="W2573" i="12"/>
  <c r="X2572" i="12"/>
  <c r="X2573" i="12"/>
  <c r="W2574" i="12"/>
  <c r="X2574" i="12"/>
  <c r="W2575" i="12"/>
  <c r="X2575" i="12"/>
  <c r="W2576" i="12"/>
  <c r="W2577" i="12"/>
  <c r="X2576" i="12"/>
  <c r="X2577" i="12"/>
  <c r="W2578" i="12"/>
  <c r="X2578" i="12"/>
  <c r="W2579" i="12"/>
  <c r="X2579" i="12"/>
  <c r="W2580" i="12"/>
  <c r="X2580" i="12"/>
  <c r="W2581" i="12"/>
  <c r="W2582" i="12"/>
  <c r="X2581" i="12"/>
  <c r="X2582" i="12"/>
  <c r="W2583" i="12"/>
  <c r="W2584" i="12"/>
  <c r="X2583" i="12"/>
  <c r="X2584" i="12"/>
  <c r="W2585" i="12"/>
  <c r="W2586" i="12"/>
  <c r="X2585" i="12"/>
  <c r="X2586" i="12"/>
  <c r="W2587" i="12"/>
  <c r="W2588" i="12"/>
  <c r="X2587" i="12"/>
  <c r="W2589" i="12"/>
  <c r="X2588" i="12"/>
  <c r="X2589" i="12"/>
  <c r="W2590" i="12"/>
  <c r="W2591" i="12"/>
  <c r="X2590" i="12"/>
  <c r="W2592" i="12"/>
  <c r="X2591" i="12"/>
  <c r="W2593" i="12"/>
  <c r="X2592" i="12"/>
  <c r="X2593" i="12"/>
  <c r="W2594" i="12"/>
  <c r="X2594" i="12"/>
  <c r="W2595" i="12"/>
  <c r="X2595" i="12"/>
  <c r="W2596" i="12"/>
  <c r="W2597" i="12"/>
  <c r="X2596" i="12"/>
  <c r="W2598" i="12"/>
  <c r="X2597" i="12"/>
  <c r="X2598" i="12"/>
  <c r="W2599" i="12"/>
  <c r="X2599" i="12"/>
  <c r="W2600" i="12"/>
  <c r="X2600" i="12"/>
  <c r="W2601" i="12"/>
  <c r="X2601" i="12"/>
  <c r="W2602" i="12"/>
  <c r="X2602" i="12"/>
  <c r="W2603" i="12"/>
  <c r="W2604" i="12"/>
  <c r="X2603" i="12"/>
  <c r="X2604" i="12"/>
  <c r="W2605" i="12"/>
  <c r="X2605" i="12"/>
  <c r="W2606" i="12"/>
  <c r="X2606" i="12"/>
  <c r="W2607" i="12"/>
  <c r="X2607" i="12"/>
  <c r="W2608" i="12"/>
  <c r="X2608" i="12"/>
  <c r="W2609" i="12"/>
  <c r="X2609" i="12"/>
  <c r="W2610" i="12"/>
  <c r="X2610" i="12"/>
  <c r="W2611" i="12"/>
  <c r="W2612" i="12"/>
  <c r="X2611" i="12"/>
  <c r="W2613" i="12"/>
  <c r="X2612" i="12"/>
  <c r="X2613" i="12"/>
  <c r="W2614" i="12"/>
  <c r="X2614" i="12"/>
  <c r="W2615" i="12"/>
  <c r="X2615" i="12"/>
  <c r="W2616" i="12"/>
  <c r="X2616" i="12"/>
  <c r="W2617" i="12"/>
  <c r="W2618" i="12"/>
  <c r="X2617" i="12"/>
  <c r="W2619" i="12"/>
  <c r="X2618" i="12"/>
  <c r="W2620" i="12"/>
  <c r="X2619" i="12"/>
  <c r="W2621" i="12"/>
  <c r="X2620" i="12"/>
  <c r="W2622" i="12"/>
  <c r="X2621" i="12"/>
  <c r="W2623" i="12"/>
  <c r="X2622" i="12"/>
  <c r="W2624" i="12"/>
  <c r="X2623" i="12"/>
  <c r="W2625" i="12"/>
  <c r="X2624" i="12"/>
  <c r="X2625" i="12"/>
  <c r="W2626" i="12"/>
  <c r="X2626" i="12"/>
  <c r="W2627" i="12"/>
  <c r="X2627" i="12"/>
  <c r="W2628" i="12"/>
  <c r="W2629" i="12"/>
  <c r="X2628" i="12"/>
  <c r="X2629" i="12"/>
  <c r="W2630" i="12"/>
  <c r="X2630" i="12"/>
  <c r="W2631" i="12"/>
  <c r="W2632" i="12"/>
  <c r="X2631" i="12"/>
  <c r="X2632" i="12"/>
  <c r="W2633" i="12"/>
  <c r="W2634" i="12"/>
  <c r="X2633" i="12"/>
  <c r="X2634" i="12"/>
  <c r="W2635" i="12"/>
  <c r="W2636" i="12"/>
  <c r="X2635" i="12"/>
  <c r="W2637" i="12"/>
  <c r="X2636" i="12"/>
  <c r="X2637" i="12"/>
  <c r="W2638" i="12"/>
  <c r="W2639" i="12"/>
  <c r="X2638" i="12"/>
  <c r="X2639" i="12"/>
  <c r="W2640" i="12"/>
  <c r="W2641" i="12"/>
  <c r="X2640" i="12"/>
  <c r="X2641" i="12"/>
  <c r="W2642" i="12"/>
  <c r="W2643" i="12"/>
  <c r="X2642" i="12"/>
  <c r="W2644" i="12"/>
  <c r="X2643" i="12"/>
  <c r="X2644" i="12"/>
  <c r="W2645" i="12"/>
  <c r="W2646" i="12"/>
  <c r="X2645" i="12"/>
  <c r="X2646" i="12"/>
  <c r="W2647" i="12"/>
  <c r="X2647" i="12"/>
  <c r="W2648" i="12"/>
  <c r="X2648" i="12"/>
  <c r="W2649" i="12"/>
  <c r="X2649" i="12"/>
  <c r="W2650" i="12"/>
  <c r="X2650" i="12"/>
  <c r="W2651" i="12"/>
  <c r="W2652" i="12"/>
  <c r="X2651" i="12"/>
  <c r="X2652" i="12"/>
  <c r="W2653" i="12"/>
  <c r="W2654" i="12"/>
  <c r="X2653" i="12"/>
  <c r="W2655" i="12"/>
  <c r="X2654" i="12"/>
  <c r="W2656" i="12"/>
  <c r="X2655" i="12"/>
  <c r="X2656" i="12"/>
  <c r="W2657" i="12"/>
  <c r="W2658" i="12"/>
  <c r="X2657" i="12"/>
  <c r="X2658" i="12"/>
  <c r="W2659" i="12"/>
  <c r="X2659" i="12"/>
  <c r="W2660" i="12"/>
  <c r="W2661" i="12"/>
  <c r="X2660" i="12"/>
  <c r="X2661" i="12"/>
  <c r="W2662" i="12"/>
  <c r="W2663" i="12"/>
  <c r="X2662" i="12"/>
  <c r="X2663" i="12"/>
  <c r="W2664" i="12"/>
  <c r="X2664" i="12"/>
  <c r="W2665" i="12"/>
  <c r="W2666" i="12"/>
  <c r="X2665" i="12"/>
  <c r="W2667" i="12"/>
  <c r="X2666" i="12"/>
  <c r="W2668" i="12"/>
  <c r="X2667" i="12"/>
  <c r="W2669" i="12"/>
  <c r="X2668" i="12"/>
  <c r="W2670" i="12"/>
  <c r="X2669" i="12"/>
  <c r="X2670" i="12"/>
  <c r="W2671" i="12"/>
  <c r="W2672" i="12"/>
  <c r="X2671" i="12"/>
  <c r="W2673" i="12"/>
  <c r="X2672" i="12"/>
  <c r="X2673" i="12"/>
  <c r="W2674" i="12"/>
  <c r="W2675" i="12"/>
  <c r="X2674" i="12"/>
  <c r="X2675" i="12"/>
  <c r="W2676" i="12"/>
  <c r="X2676" i="12"/>
  <c r="W2677" i="12"/>
  <c r="X2677" i="12"/>
  <c r="W2678" i="12"/>
  <c r="W2679" i="12"/>
  <c r="X2678" i="12"/>
  <c r="W2680" i="12"/>
  <c r="X2679" i="12"/>
  <c r="X2680" i="12"/>
  <c r="W2681" i="12"/>
  <c r="X2681" i="12"/>
  <c r="W2682" i="12"/>
  <c r="X2682" i="12"/>
  <c r="W2683" i="12"/>
  <c r="X2683" i="12"/>
  <c r="W2684" i="12"/>
  <c r="W2685" i="12"/>
  <c r="X2684" i="12"/>
  <c r="W2686" i="12"/>
  <c r="X2685" i="12"/>
  <c r="X2686" i="12"/>
  <c r="W2687" i="12"/>
  <c r="W2688" i="12"/>
  <c r="X2687" i="12"/>
  <c r="W2689" i="12"/>
  <c r="X2688" i="12"/>
  <c r="X2689" i="12"/>
  <c r="W2690" i="12"/>
  <c r="W2691" i="12"/>
  <c r="X2690" i="12"/>
  <c r="X2691" i="12"/>
  <c r="W2692" i="12"/>
  <c r="W2693" i="12"/>
  <c r="X2692" i="12"/>
  <c r="X2693" i="12"/>
  <c r="W2694" i="12"/>
  <c r="W2695" i="12"/>
  <c r="X2694" i="12"/>
  <c r="X2695" i="12"/>
  <c r="W2696" i="12"/>
  <c r="X2696" i="12"/>
  <c r="W2697" i="12"/>
  <c r="W2698" i="12"/>
  <c r="X2697" i="12"/>
  <c r="X2698" i="12"/>
  <c r="W2699" i="12"/>
  <c r="X2699" i="12"/>
  <c r="W2700" i="12"/>
  <c r="W2701" i="12"/>
  <c r="X2700" i="12"/>
  <c r="W2702" i="12"/>
  <c r="X2701" i="12"/>
  <c r="W2703" i="12"/>
  <c r="X2702" i="12"/>
  <c r="W2704" i="12"/>
  <c r="X2703" i="12"/>
  <c r="W2705" i="12"/>
  <c r="X2704" i="12"/>
  <c r="X2705" i="12"/>
  <c r="W2706" i="12"/>
  <c r="X2706" i="12"/>
  <c r="W2707" i="12"/>
  <c r="W2708" i="12"/>
  <c r="X2707" i="12"/>
  <c r="X2708" i="12"/>
  <c r="W2709" i="12"/>
  <c r="W2710" i="12"/>
  <c r="X2709" i="12"/>
  <c r="W2711" i="12"/>
  <c r="X2710" i="12"/>
  <c r="X2711" i="12"/>
  <c r="W2712" i="12"/>
  <c r="X2712" i="12"/>
  <c r="W2713" i="12"/>
  <c r="W2714" i="12"/>
  <c r="X2713" i="12"/>
  <c r="W2715" i="12"/>
  <c r="X2714" i="12"/>
  <c r="X2715" i="12"/>
  <c r="W2716" i="12"/>
  <c r="W2717" i="12"/>
  <c r="X2716" i="12"/>
  <c r="X2717" i="12"/>
  <c r="W2718" i="12"/>
  <c r="W2719" i="12"/>
  <c r="X2718" i="12"/>
  <c r="X2719" i="12"/>
  <c r="W2720" i="12"/>
  <c r="X2720" i="12"/>
  <c r="W2721" i="12"/>
  <c r="X2721" i="12"/>
  <c r="W2722" i="12"/>
  <c r="W2723" i="12"/>
  <c r="X2722" i="12"/>
  <c r="X2723" i="12"/>
  <c r="W2724" i="12"/>
  <c r="W2725" i="12"/>
  <c r="X2724" i="12"/>
  <c r="W2726" i="12"/>
  <c r="X2725" i="12"/>
  <c r="X2726" i="12"/>
  <c r="W2727" i="12"/>
  <c r="W2728" i="12"/>
  <c r="X2727" i="12"/>
  <c r="X2728" i="12"/>
  <c r="W2729" i="12"/>
  <c r="X2729" i="12"/>
  <c r="W2730" i="12"/>
  <c r="X2730" i="12"/>
  <c r="W2731" i="12"/>
  <c r="X2731" i="12"/>
  <c r="W2732" i="12"/>
  <c r="W2733" i="12"/>
  <c r="X2732" i="12"/>
  <c r="X2733" i="12"/>
  <c r="W2734" i="12"/>
  <c r="X2734" i="12"/>
  <c r="W2735" i="12"/>
  <c r="X2735" i="12"/>
  <c r="W2736" i="12"/>
  <c r="W2737" i="12"/>
  <c r="X2736" i="12"/>
  <c r="W2738" i="12"/>
  <c r="X2737" i="12"/>
  <c r="X2738" i="12"/>
  <c r="W2739" i="12"/>
  <c r="X2739" i="12"/>
  <c r="W2740" i="12"/>
  <c r="X2740" i="12"/>
  <c r="W2741" i="12"/>
  <c r="W2742" i="12"/>
  <c r="X2741" i="12"/>
  <c r="W2743" i="12"/>
  <c r="X2742" i="12"/>
  <c r="W2744" i="12"/>
  <c r="X2743" i="12"/>
  <c r="X2744" i="12"/>
  <c r="W2745" i="12"/>
  <c r="W2746" i="12"/>
  <c r="X2745" i="12"/>
  <c r="W2747" i="12"/>
  <c r="X2746" i="12"/>
  <c r="W2748" i="12"/>
  <c r="X2747" i="12"/>
  <c r="X2748" i="12"/>
  <c r="W2749" i="12"/>
  <c r="X2749" i="12"/>
  <c r="W2750" i="12"/>
  <c r="W2751" i="12"/>
  <c r="X2750" i="12"/>
  <c r="X2751" i="12"/>
  <c r="W2752" i="12"/>
  <c r="X2752" i="12"/>
  <c r="W2753" i="12"/>
  <c r="W2754" i="12"/>
  <c r="X2753" i="12"/>
  <c r="W2755" i="12"/>
  <c r="X2754" i="12"/>
  <c r="X2755" i="12"/>
  <c r="W2756" i="12"/>
  <c r="W2757" i="12"/>
  <c r="X2756" i="12"/>
  <c r="X2757" i="12"/>
  <c r="W2758" i="12"/>
  <c r="X2758" i="12"/>
  <c r="W2759" i="12"/>
  <c r="W2760" i="12"/>
  <c r="X2759" i="12"/>
  <c r="W2761" i="12"/>
  <c r="X2760" i="12"/>
  <c r="X2761" i="12"/>
  <c r="W2762" i="12"/>
  <c r="W2763" i="12"/>
  <c r="X2762" i="12"/>
  <c r="W2764" i="12"/>
  <c r="X2763" i="12"/>
  <c r="W2765" i="12"/>
  <c r="X2764" i="12"/>
  <c r="W2766" i="12"/>
  <c r="X2765" i="12"/>
  <c r="W2767" i="12"/>
  <c r="X2766" i="12"/>
  <c r="X2767" i="12"/>
  <c r="W2768" i="12"/>
  <c r="X2768" i="12"/>
  <c r="W2769" i="12"/>
  <c r="X2769" i="12"/>
  <c r="W2770" i="12"/>
  <c r="X2770" i="12"/>
  <c r="W2771" i="12"/>
  <c r="X2771" i="12"/>
  <c r="W2772" i="12"/>
  <c r="W2773" i="12"/>
  <c r="X2772" i="12"/>
  <c r="W2774" i="12"/>
  <c r="X2773" i="12"/>
  <c r="X2774" i="12"/>
  <c r="W2775" i="12"/>
  <c r="X2775" i="12"/>
  <c r="W2776" i="12"/>
  <c r="X2776" i="12"/>
  <c r="W2777" i="12"/>
  <c r="W2778" i="12"/>
  <c r="X2777" i="12"/>
  <c r="W2779" i="12"/>
  <c r="X2778" i="12"/>
  <c r="X2779" i="12"/>
  <c r="W2780" i="12"/>
  <c r="X2780" i="12"/>
  <c r="W2781" i="12"/>
  <c r="W2782" i="12"/>
  <c r="X2781" i="12"/>
  <c r="W2783" i="12"/>
  <c r="X2782" i="12"/>
  <c r="W2784" i="12"/>
  <c r="X2783" i="12"/>
  <c r="W2785" i="12"/>
  <c r="X2784" i="12"/>
  <c r="W2786" i="12"/>
  <c r="X2785" i="12"/>
  <c r="W2787" i="12"/>
  <c r="X2786" i="12"/>
  <c r="X2787" i="12"/>
  <c r="W2788" i="12"/>
  <c r="W2789" i="12"/>
  <c r="X2788" i="12"/>
  <c r="X2789" i="12"/>
  <c r="W2790" i="12"/>
  <c r="X2790" i="12"/>
  <c r="W2791" i="12"/>
  <c r="X2791" i="12"/>
  <c r="W2792" i="12"/>
  <c r="W2793" i="12"/>
  <c r="X2792" i="12"/>
  <c r="W2794" i="12"/>
  <c r="X2793" i="12"/>
  <c r="X2794" i="12"/>
  <c r="W2795" i="12"/>
  <c r="X2795" i="12"/>
  <c r="W2796" i="12"/>
  <c r="X2796" i="12"/>
  <c r="W2797" i="12"/>
  <c r="W2798" i="12"/>
  <c r="X2797" i="12"/>
  <c r="W2799" i="12"/>
  <c r="X2798" i="12"/>
  <c r="W2800" i="12"/>
  <c r="X2799" i="12"/>
  <c r="W2801" i="12"/>
  <c r="X2800" i="12"/>
  <c r="W2802" i="12"/>
  <c r="X2801" i="12"/>
  <c r="X2802" i="12"/>
  <c r="W2803" i="12"/>
  <c r="X2803" i="12"/>
  <c r="W2804" i="12"/>
  <c r="X2804" i="12"/>
  <c r="W2805" i="12"/>
  <c r="W2806" i="12"/>
  <c r="X2805" i="12"/>
  <c r="X2806" i="12"/>
  <c r="W2807" i="12"/>
  <c r="X2807" i="12"/>
  <c r="W2808" i="12"/>
  <c r="W2809" i="12"/>
  <c r="X2808" i="12"/>
  <c r="W2810" i="12"/>
  <c r="X2809" i="12"/>
  <c r="X2810" i="12"/>
  <c r="W2811" i="12"/>
  <c r="X2811" i="12"/>
  <c r="W2812" i="12"/>
  <c r="W2813" i="12"/>
  <c r="X2812" i="12"/>
  <c r="W2814" i="12"/>
  <c r="X2813" i="12"/>
  <c r="W2815" i="12"/>
  <c r="X2814" i="12"/>
  <c r="X2815" i="12"/>
  <c r="W2816" i="12"/>
  <c r="W2817" i="12"/>
  <c r="X2816" i="12"/>
  <c r="W2818" i="12"/>
  <c r="X2817" i="12"/>
  <c r="W2819" i="12"/>
  <c r="X2818" i="12"/>
  <c r="X2819" i="12"/>
  <c r="W2820" i="12"/>
  <c r="W2821" i="12"/>
  <c r="X2820" i="12"/>
  <c r="W2822" i="12"/>
  <c r="X2821" i="12"/>
  <c r="X2822" i="12"/>
  <c r="W2823" i="12"/>
  <c r="X2823" i="12"/>
  <c r="W2824" i="12"/>
  <c r="X2824" i="12"/>
  <c r="W2825" i="12"/>
  <c r="X2825" i="12"/>
  <c r="W2826" i="12"/>
  <c r="X2826" i="12"/>
  <c r="W2827" i="12"/>
  <c r="W2828" i="12"/>
  <c r="X2827" i="12"/>
  <c r="X2828" i="12"/>
  <c r="W2829" i="12"/>
  <c r="W2830" i="12"/>
  <c r="X2829" i="12"/>
  <c r="W2831" i="12"/>
  <c r="X2830" i="12"/>
  <c r="W2832" i="12"/>
  <c r="X2831" i="12"/>
  <c r="W2833" i="12"/>
  <c r="X2832" i="12"/>
  <c r="X2833" i="12"/>
  <c r="W2834" i="12"/>
  <c r="X2834" i="12"/>
  <c r="W2835" i="12"/>
  <c r="W2836" i="12"/>
  <c r="X2835" i="12"/>
  <c r="X2836" i="12"/>
  <c r="W2837" i="12"/>
  <c r="X2837" i="12"/>
  <c r="W2838" i="12"/>
  <c r="X2838" i="12"/>
  <c r="W2839" i="12"/>
  <c r="X2839" i="12"/>
  <c r="W2840" i="12"/>
  <c r="X2840" i="12"/>
  <c r="W2841" i="12"/>
  <c r="W2842" i="12"/>
  <c r="X2841" i="12"/>
  <c r="X2842" i="12"/>
  <c r="W2843" i="12"/>
  <c r="X2843" i="12"/>
  <c r="W2844" i="12"/>
  <c r="X2844" i="12"/>
  <c r="W2845" i="12"/>
  <c r="X2845" i="12"/>
  <c r="W2846" i="12"/>
  <c r="W2847" i="12"/>
  <c r="X2846" i="12"/>
  <c r="X2847" i="12"/>
  <c r="W2848" i="12"/>
  <c r="X2848" i="12"/>
  <c r="W2849" i="12"/>
  <c r="X2849" i="12"/>
  <c r="W2850" i="12"/>
  <c r="W2851" i="12"/>
  <c r="X2850" i="12"/>
  <c r="X2851" i="12"/>
  <c r="W2852" i="12"/>
  <c r="W2853" i="12"/>
  <c r="X2852" i="12"/>
  <c r="X2853" i="12"/>
  <c r="W2854" i="12"/>
  <c r="W2855" i="12"/>
  <c r="X2854" i="12"/>
  <c r="W2856" i="12"/>
  <c r="X2855" i="12"/>
  <c r="W2857" i="12"/>
  <c r="X2856" i="12"/>
  <c r="W2858" i="12"/>
  <c r="X2857" i="12"/>
  <c r="X2858" i="12"/>
  <c r="W2859" i="12"/>
  <c r="X2859" i="12"/>
  <c r="W2860" i="12"/>
  <c r="W2861" i="12"/>
  <c r="X2860" i="12"/>
  <c r="X2861" i="12"/>
  <c r="W2862" i="12"/>
  <c r="W2863" i="12"/>
  <c r="X2862" i="12"/>
  <c r="X2863" i="12"/>
  <c r="W2864" i="12"/>
  <c r="X2864" i="12"/>
  <c r="W2865" i="12"/>
  <c r="X2865" i="12"/>
  <c r="W2866" i="12"/>
  <c r="W2867" i="12"/>
  <c r="X2866" i="12"/>
  <c r="X2867" i="12"/>
  <c r="W2868" i="12"/>
  <c r="W2869" i="12"/>
  <c r="X2868" i="12"/>
  <c r="X2869" i="12"/>
  <c r="W2870" i="12"/>
  <c r="X2870" i="12"/>
  <c r="W2871" i="12"/>
  <c r="W2872" i="12"/>
  <c r="X2871" i="12"/>
  <c r="W2873" i="12"/>
  <c r="X2872" i="12"/>
  <c r="X2873" i="12"/>
  <c r="W2874" i="12"/>
  <c r="X2874" i="12"/>
  <c r="W2875" i="12"/>
  <c r="W2876" i="12"/>
  <c r="X2875" i="12"/>
  <c r="W2877" i="12"/>
  <c r="X2876" i="12"/>
  <c r="X2877" i="12"/>
  <c r="W2878" i="12"/>
  <c r="W2879" i="12"/>
  <c r="X2878" i="12"/>
  <c r="X2879" i="12"/>
  <c r="W2880" i="12"/>
  <c r="X2880" i="12"/>
  <c r="W2881" i="12"/>
  <c r="W2882" i="12"/>
  <c r="X2881" i="12"/>
  <c r="W2883" i="12"/>
  <c r="X2882" i="12"/>
  <c r="W2884" i="12"/>
  <c r="X2883" i="12"/>
  <c r="X2884" i="12"/>
  <c r="W2885" i="12"/>
  <c r="X2885" i="12"/>
  <c r="W2886" i="12"/>
  <c r="W2887" i="12"/>
  <c r="X2886" i="12"/>
  <c r="W2888" i="12"/>
  <c r="X2887" i="12"/>
  <c r="X2888" i="12"/>
  <c r="W2889" i="12"/>
  <c r="W2890" i="12"/>
  <c r="X2889" i="12"/>
  <c r="X2890" i="12"/>
  <c r="W2891" i="12"/>
  <c r="W2892" i="12"/>
  <c r="X2891" i="12"/>
  <c r="X2892" i="12"/>
  <c r="W2893" i="12"/>
  <c r="W2894" i="12"/>
  <c r="X2893" i="12"/>
  <c r="X2894" i="12"/>
  <c r="W2895" i="12"/>
  <c r="W2896" i="12"/>
  <c r="X2895" i="12"/>
  <c r="X2896" i="12"/>
  <c r="W2897" i="12"/>
  <c r="X2897" i="12"/>
  <c r="W2898" i="12"/>
  <c r="X2898" i="12"/>
  <c r="W2899" i="12"/>
  <c r="W2900" i="12"/>
  <c r="X2899" i="12"/>
  <c r="X2900" i="12"/>
  <c r="W2901" i="12"/>
  <c r="W2902" i="12"/>
  <c r="X2901" i="12"/>
  <c r="W2903" i="12"/>
  <c r="X2902" i="12"/>
  <c r="X2903" i="12"/>
  <c r="W2904" i="12"/>
  <c r="W2905" i="12"/>
  <c r="X2904" i="12"/>
  <c r="X2905" i="12"/>
  <c r="W2906" i="12"/>
  <c r="X2906" i="12"/>
  <c r="W2907" i="12"/>
  <c r="X2907" i="12"/>
  <c r="W2908" i="12"/>
  <c r="W2909" i="12"/>
  <c r="X2908" i="12"/>
  <c r="X2909" i="12"/>
  <c r="W2910" i="12"/>
  <c r="X2910" i="12"/>
  <c r="W2911" i="12"/>
  <c r="W2912" i="12"/>
  <c r="X2911" i="12"/>
  <c r="X2912" i="12"/>
  <c r="W2913" i="12"/>
  <c r="W2914" i="12"/>
  <c r="X2913" i="12"/>
  <c r="W2915" i="12"/>
  <c r="X2914" i="12"/>
  <c r="X2915" i="12"/>
  <c r="W2916" i="12"/>
  <c r="X2916" i="12"/>
  <c r="W2917" i="12"/>
  <c r="W2918" i="12"/>
  <c r="X2917" i="12"/>
  <c r="W2919" i="12"/>
  <c r="X2918" i="12"/>
  <c r="X2919" i="12"/>
  <c r="W2920" i="12"/>
  <c r="X2920" i="12"/>
  <c r="W2921" i="12"/>
  <c r="W2922" i="12"/>
  <c r="X2921" i="12"/>
  <c r="X2922" i="12"/>
  <c r="W2923" i="12"/>
  <c r="W2924" i="12"/>
  <c r="X2923" i="12"/>
  <c r="X2924" i="12"/>
  <c r="W2925" i="12"/>
  <c r="W2926" i="12"/>
  <c r="X2925" i="12"/>
  <c r="X2926" i="12"/>
  <c r="W2927" i="12"/>
  <c r="X2927" i="12"/>
  <c r="W2928" i="12"/>
  <c r="X2928" i="12"/>
  <c r="W2929" i="12"/>
  <c r="X2929" i="12"/>
  <c r="W2930" i="12"/>
  <c r="X2930" i="12"/>
  <c r="W2931" i="12"/>
  <c r="X2931" i="12"/>
  <c r="W2932" i="12"/>
  <c r="W2933" i="12"/>
  <c r="X2932" i="12"/>
  <c r="W2934" i="12"/>
  <c r="X2933" i="12"/>
  <c r="X2934" i="12"/>
  <c r="W2935" i="12"/>
  <c r="X2935" i="12"/>
  <c r="W2936" i="12"/>
  <c r="X2936" i="12"/>
  <c r="W2937" i="12"/>
  <c r="X2937" i="12"/>
  <c r="W2938" i="12"/>
  <c r="W2939" i="12"/>
  <c r="X2938" i="12"/>
  <c r="W2940" i="12"/>
  <c r="X2939" i="12"/>
  <c r="W2941" i="12"/>
  <c r="X2940" i="12"/>
  <c r="X2941" i="12"/>
  <c r="W2942" i="12"/>
  <c r="X2942" i="12"/>
  <c r="W2943" i="12"/>
  <c r="W2944" i="12"/>
  <c r="X2943" i="12"/>
  <c r="X2944" i="12"/>
  <c r="W2945" i="12"/>
  <c r="W2946" i="12"/>
  <c r="X2945" i="12"/>
  <c r="X2946" i="12"/>
  <c r="W2947" i="12"/>
  <c r="W2948" i="12"/>
  <c r="X2947" i="12"/>
  <c r="W2949" i="12"/>
  <c r="X2948" i="12"/>
  <c r="W2950" i="12"/>
  <c r="X2949" i="12"/>
  <c r="X2950" i="12"/>
  <c r="W2951" i="12"/>
  <c r="W2952" i="12"/>
  <c r="X2951" i="12"/>
  <c r="X2952" i="12"/>
  <c r="W2953" i="12"/>
  <c r="X2953" i="12"/>
  <c r="W2954" i="12"/>
  <c r="W2955" i="12"/>
  <c r="X2954" i="12"/>
  <c r="W2956" i="12"/>
  <c r="X2955" i="12"/>
  <c r="W2957" i="12"/>
  <c r="X2956" i="12"/>
  <c r="W2958" i="12"/>
  <c r="X2957" i="12"/>
  <c r="X2958" i="12"/>
  <c r="W2959" i="12"/>
  <c r="X2959" i="12"/>
  <c r="W2960" i="12"/>
  <c r="W2961" i="12"/>
  <c r="X2960" i="12"/>
  <c r="X2961" i="12"/>
  <c r="W2962" i="12"/>
  <c r="W2963" i="12"/>
  <c r="X2962" i="12"/>
  <c r="X2963" i="12"/>
  <c r="W2964" i="12"/>
  <c r="X2964" i="12"/>
  <c r="W2965" i="12"/>
  <c r="W2966" i="12"/>
  <c r="X2965" i="12"/>
  <c r="X2966" i="12"/>
  <c r="W2967" i="12"/>
  <c r="X2967" i="12"/>
  <c r="W2968" i="12"/>
  <c r="W2969" i="12"/>
  <c r="X2968" i="12"/>
  <c r="X2969" i="12"/>
  <c r="W2970" i="12"/>
  <c r="W2971" i="12"/>
  <c r="X2970" i="12"/>
  <c r="X2971" i="12"/>
  <c r="W2972" i="12"/>
  <c r="W2973" i="12"/>
  <c r="X2972" i="12"/>
  <c r="W2974" i="12"/>
  <c r="X2973" i="12"/>
  <c r="X2974" i="12"/>
  <c r="W2975" i="12"/>
  <c r="W2976" i="12"/>
  <c r="X2975" i="12"/>
  <c r="W2977" i="12"/>
  <c r="X2976" i="12"/>
  <c r="W2978" i="12"/>
  <c r="X2977" i="12"/>
  <c r="X2978" i="12"/>
  <c r="W2979" i="12"/>
  <c r="W2980" i="12"/>
  <c r="X2979" i="12"/>
  <c r="X2980" i="12"/>
  <c r="W2981" i="12"/>
  <c r="X2981" i="12"/>
  <c r="W2982" i="12"/>
  <c r="W2983" i="12"/>
  <c r="X2982" i="12"/>
  <c r="X2983" i="12"/>
  <c r="W2984" i="12"/>
  <c r="X2984" i="12"/>
  <c r="W2985" i="12"/>
  <c r="X2985" i="12"/>
  <c r="W2986" i="12"/>
  <c r="W2987" i="12"/>
  <c r="X2986" i="12"/>
  <c r="W2988" i="12"/>
  <c r="X2987" i="12"/>
  <c r="W2989" i="12"/>
  <c r="X2988" i="12"/>
  <c r="X2989" i="12"/>
  <c r="W2990" i="12"/>
  <c r="X2990" i="12"/>
  <c r="W2991" i="12"/>
  <c r="W2992" i="12"/>
  <c r="X2991" i="12"/>
  <c r="W2993" i="12"/>
  <c r="X2992" i="12"/>
  <c r="W2994" i="12"/>
  <c r="X2993" i="12"/>
  <c r="W2995" i="12"/>
  <c r="X2994" i="12"/>
  <c r="X2995" i="12"/>
  <c r="W2996" i="12"/>
  <c r="W2997" i="12"/>
  <c r="X2996" i="12"/>
  <c r="W2998" i="12"/>
  <c r="X2997" i="12"/>
  <c r="X2998" i="12"/>
  <c r="W2999" i="12"/>
  <c r="X2999" i="12"/>
  <c r="W3000" i="12"/>
  <c r="W3001" i="12"/>
  <c r="X3000" i="12"/>
  <c r="W3002" i="12"/>
  <c r="X3001" i="12"/>
  <c r="W3003" i="12"/>
  <c r="X3002" i="12"/>
  <c r="W3004" i="12"/>
  <c r="X3003" i="12"/>
  <c r="X3004" i="12"/>
  <c r="W3005" i="12"/>
  <c r="W3006" i="12"/>
  <c r="X3005" i="12"/>
  <c r="X3006" i="12"/>
  <c r="W3007" i="12"/>
  <c r="W3008" i="12"/>
  <c r="X3007" i="12"/>
  <c r="W3009" i="12"/>
  <c r="X3008" i="12"/>
  <c r="X3009" i="12"/>
  <c r="W3010" i="12"/>
  <c r="W3011" i="12"/>
  <c r="X3010" i="12"/>
  <c r="X3011" i="12"/>
  <c r="W3012" i="12"/>
  <c r="X3012" i="12"/>
  <c r="W3013" i="12"/>
  <c r="X3013" i="12"/>
  <c r="W3014" i="12"/>
  <c r="X3014" i="12"/>
  <c r="W3015" i="12"/>
  <c r="X3015" i="12"/>
  <c r="W3016" i="12"/>
  <c r="W3017" i="12"/>
  <c r="X3016" i="12"/>
  <c r="W3018" i="12"/>
  <c r="X3017" i="12"/>
  <c r="X3018" i="12"/>
  <c r="W3019" i="12"/>
  <c r="X3019" i="12"/>
  <c r="W3020" i="12"/>
  <c r="X3020" i="12"/>
  <c r="W3021" i="12"/>
  <c r="W3022" i="12"/>
  <c r="X3021" i="12"/>
  <c r="W3023" i="12"/>
  <c r="X3022" i="12"/>
  <c r="X3023" i="12"/>
  <c r="W3024" i="12"/>
  <c r="X3024" i="12"/>
  <c r="W3025" i="12"/>
  <c r="W3026" i="12"/>
  <c r="X3025" i="12"/>
  <c r="W3027" i="12"/>
  <c r="X3026" i="12"/>
  <c r="W3028" i="12"/>
  <c r="X3027" i="12"/>
  <c r="W3029" i="12"/>
  <c r="X3028" i="12"/>
  <c r="X3029" i="12"/>
  <c r="W3030" i="12"/>
  <c r="W3031" i="12"/>
  <c r="X3030" i="12"/>
  <c r="W3032" i="12"/>
  <c r="X3031" i="12"/>
  <c r="X3032" i="12"/>
  <c r="W3033" i="12"/>
  <c r="W3034" i="12"/>
  <c r="X3033" i="12"/>
  <c r="X3034" i="12"/>
  <c r="W3035" i="12"/>
  <c r="X3035" i="12"/>
  <c r="W3036" i="12"/>
  <c r="W3037" i="12"/>
  <c r="X3036" i="12"/>
  <c r="X3037" i="12"/>
  <c r="W3038" i="12"/>
  <c r="X3038" i="12"/>
  <c r="W3039" i="12"/>
  <c r="W3040" i="12"/>
  <c r="X3039" i="12"/>
  <c r="W3041" i="12"/>
  <c r="X3040" i="12"/>
  <c r="X3041" i="12"/>
  <c r="W3042" i="12"/>
  <c r="W3043" i="12"/>
  <c r="X3042" i="12"/>
  <c r="X3043" i="12"/>
  <c r="W3044" i="12"/>
  <c r="X3044" i="12"/>
  <c r="W3045" i="12"/>
  <c r="X3045" i="12"/>
  <c r="W3046" i="12"/>
  <c r="W3047" i="12"/>
  <c r="X3046" i="12"/>
  <c r="X3047" i="12"/>
  <c r="W3048" i="12"/>
  <c r="X3048" i="12"/>
  <c r="W3049" i="12"/>
  <c r="W3050" i="12"/>
  <c r="X3049" i="12"/>
  <c r="X3050" i="12"/>
  <c r="W3051" i="12"/>
  <c r="X3051" i="12"/>
  <c r="W3052" i="12"/>
  <c r="W3053" i="12"/>
  <c r="X3052" i="12"/>
  <c r="W3054" i="12"/>
  <c r="X3053" i="12"/>
  <c r="W3055" i="12"/>
  <c r="X3054" i="12"/>
  <c r="W3056" i="12"/>
  <c r="X3055" i="12"/>
  <c r="W3057" i="12"/>
  <c r="X3056" i="12"/>
  <c r="W3058" i="12"/>
  <c r="X3057" i="12"/>
  <c r="W3059" i="12"/>
  <c r="X3058" i="12"/>
  <c r="W3060" i="12"/>
  <c r="X3059" i="12"/>
  <c r="W3061" i="12"/>
  <c r="X3060" i="12"/>
  <c r="X3061" i="12"/>
  <c r="W3062" i="12"/>
  <c r="W3063" i="12"/>
  <c r="X3062" i="12"/>
  <c r="W3064" i="12"/>
  <c r="X3063" i="12"/>
  <c r="W3065" i="12"/>
  <c r="X3064" i="12"/>
  <c r="W3066" i="12"/>
  <c r="X3065" i="12"/>
  <c r="X3066" i="12"/>
  <c r="W3067" i="12"/>
  <c r="X3067" i="12"/>
  <c r="W3068" i="12"/>
  <c r="W3069" i="12"/>
  <c r="X3068" i="12"/>
  <c r="W3070" i="12"/>
  <c r="X3069" i="12"/>
  <c r="X3070" i="12"/>
  <c r="W3071" i="12"/>
  <c r="X3071" i="12"/>
  <c r="W3072" i="12"/>
  <c r="X3072" i="12"/>
  <c r="W3073" i="12"/>
  <c r="X3073" i="12"/>
  <c r="W3074" i="12"/>
  <c r="X3074" i="12"/>
  <c r="W3075" i="12"/>
  <c r="W3076" i="12"/>
  <c r="X3075" i="12"/>
  <c r="X3076" i="12"/>
  <c r="W3077" i="12"/>
  <c r="X3077" i="12"/>
  <c r="W3078" i="12"/>
  <c r="X3078" i="12"/>
  <c r="W3079" i="12"/>
  <c r="W3080" i="12"/>
  <c r="X3079" i="12"/>
  <c r="W3081" i="12"/>
  <c r="X3080" i="12"/>
  <c r="W3082" i="12"/>
  <c r="X3081" i="12"/>
  <c r="W3083" i="12"/>
  <c r="X3082" i="12"/>
  <c r="W3084" i="12"/>
  <c r="X3083" i="12"/>
  <c r="X3084" i="12"/>
  <c r="W3085" i="12"/>
  <c r="X3085" i="12"/>
  <c r="W3086" i="12"/>
  <c r="X3086" i="12"/>
  <c r="W3087" i="12"/>
  <c r="W3088" i="12"/>
  <c r="X3087" i="12"/>
  <c r="W3089" i="12"/>
  <c r="X3088" i="12"/>
  <c r="X3089" i="12"/>
  <c r="W3090" i="12"/>
  <c r="W3091" i="12"/>
  <c r="X3090" i="12"/>
  <c r="W3092" i="12"/>
  <c r="X3091" i="12"/>
  <c r="X3092" i="12"/>
  <c r="W3093" i="12"/>
  <c r="W3094" i="12"/>
  <c r="X3093" i="12"/>
  <c r="X3094" i="12"/>
  <c r="W3095" i="12"/>
  <c r="X3095" i="12"/>
  <c r="W3096" i="12"/>
  <c r="W3097" i="12"/>
  <c r="X3096" i="12"/>
  <c r="W3098" i="12"/>
  <c r="X3097" i="12"/>
  <c r="W3099" i="12"/>
  <c r="X3098" i="12"/>
  <c r="W3100" i="12"/>
  <c r="X3099" i="12"/>
  <c r="W3101" i="12"/>
  <c r="X3100" i="12"/>
  <c r="W3102" i="12"/>
  <c r="X3101" i="12"/>
  <c r="X3102" i="12"/>
  <c r="W3103" i="12"/>
  <c r="W3104" i="12"/>
  <c r="X3103" i="12"/>
  <c r="X3104" i="12"/>
  <c r="W3105" i="12"/>
  <c r="W3106" i="12"/>
  <c r="X3105" i="12"/>
  <c r="W3107" i="12"/>
  <c r="X3106" i="12"/>
  <c r="W3108" i="12"/>
  <c r="X3107" i="12"/>
  <c r="X3108" i="12"/>
  <c r="W3109" i="12"/>
  <c r="W3110" i="12"/>
  <c r="X3109" i="12"/>
  <c r="X3110" i="12"/>
  <c r="W3111" i="12"/>
  <c r="W3112" i="12"/>
  <c r="X3111" i="12"/>
  <c r="X3112" i="12"/>
  <c r="W3113" i="12"/>
  <c r="X3113" i="12"/>
  <c r="W3114" i="12"/>
  <c r="W3115" i="12"/>
  <c r="X3114" i="12"/>
  <c r="W3116" i="12"/>
  <c r="X3115" i="12"/>
  <c r="W3117" i="12"/>
  <c r="X3116" i="12"/>
  <c r="W3118" i="12"/>
  <c r="X3117" i="12"/>
  <c r="W3119" i="12"/>
  <c r="X3118" i="12"/>
  <c r="X3119" i="12"/>
  <c r="W3120" i="12"/>
  <c r="W3121" i="12"/>
  <c r="X3120" i="12"/>
  <c r="W3122" i="12"/>
  <c r="X3121" i="12"/>
  <c r="W3123" i="12"/>
  <c r="X3122" i="12"/>
  <c r="X3123" i="12"/>
  <c r="W3124" i="12"/>
  <c r="W3125" i="12"/>
  <c r="X3124" i="12"/>
  <c r="W3126" i="12"/>
  <c r="X3125" i="12"/>
  <c r="X3126" i="12"/>
  <c r="W3127" i="12"/>
  <c r="X3127" i="12"/>
  <c r="W3128" i="12"/>
  <c r="W3129" i="12"/>
  <c r="X3128" i="12"/>
  <c r="X3129" i="12"/>
  <c r="W3130" i="12"/>
  <c r="X3130" i="12"/>
  <c r="W3131" i="12"/>
  <c r="W3132" i="12"/>
  <c r="X3131" i="12"/>
  <c r="X3132" i="12"/>
  <c r="W3133" i="12"/>
  <c r="W3134" i="12"/>
  <c r="X3133" i="12"/>
  <c r="W3135" i="12"/>
  <c r="X3134" i="12"/>
  <c r="W3136" i="12"/>
  <c r="X3135" i="12"/>
  <c r="X3136" i="12"/>
  <c r="W3137" i="12"/>
  <c r="W3138" i="12"/>
  <c r="X3137" i="12"/>
  <c r="X3138" i="12"/>
  <c r="W3139" i="12"/>
  <c r="W3140" i="12"/>
  <c r="X3139" i="12"/>
  <c r="W3141" i="12"/>
  <c r="X3140" i="12"/>
  <c r="X3141" i="12"/>
  <c r="W3142" i="12"/>
  <c r="X3142" i="12"/>
  <c r="W3143" i="12"/>
  <c r="X3143" i="12"/>
  <c r="W3144" i="12"/>
  <c r="X3144" i="12"/>
  <c r="W3145" i="12"/>
  <c r="X3145" i="12"/>
  <c r="W3146" i="12"/>
  <c r="X3146" i="12"/>
  <c r="W3147" i="12"/>
  <c r="W3148" i="12"/>
  <c r="X3147" i="12"/>
  <c r="W3149" i="12"/>
  <c r="X3148" i="12"/>
  <c r="X3149" i="12"/>
  <c r="W3150" i="12"/>
  <c r="W3151" i="12"/>
  <c r="X3150" i="12"/>
  <c r="X3151" i="12"/>
  <c r="W3152" i="12"/>
  <c r="X3152" i="12"/>
  <c r="W3153" i="12"/>
  <c r="W3154" i="12"/>
  <c r="X3153" i="12"/>
  <c r="X3154" i="12"/>
  <c r="W3155" i="12"/>
  <c r="W3156" i="12"/>
  <c r="X3155" i="12"/>
  <c r="W3157" i="12"/>
  <c r="X3156" i="12"/>
  <c r="X3157" i="12"/>
  <c r="W3158" i="12"/>
  <c r="X3158" i="12"/>
  <c r="W3159" i="12"/>
  <c r="X3159" i="12"/>
  <c r="W3160" i="12"/>
  <c r="X3160" i="12"/>
  <c r="W3161" i="12"/>
  <c r="X3161" i="12"/>
  <c r="W3162" i="12"/>
  <c r="X3162" i="12"/>
  <c r="W3163" i="12"/>
  <c r="W3164" i="12"/>
  <c r="X3163" i="12"/>
  <c r="X3164" i="12"/>
  <c r="W3165" i="12"/>
  <c r="W3166" i="12"/>
  <c r="X3165" i="12"/>
  <c r="W3167" i="12"/>
  <c r="X3166" i="12"/>
  <c r="X3167" i="12"/>
  <c r="W3168" i="12"/>
  <c r="W3169" i="12"/>
  <c r="X3168" i="12"/>
  <c r="X3169" i="12"/>
  <c r="W3170" i="12"/>
  <c r="X3170" i="12"/>
  <c r="W3171" i="12"/>
  <c r="W3172" i="12"/>
  <c r="X3171" i="12"/>
  <c r="W3173" i="12"/>
  <c r="X3172" i="12"/>
  <c r="W3174" i="12"/>
  <c r="X3173" i="12"/>
  <c r="X3174" i="12"/>
  <c r="W3175" i="12"/>
  <c r="W3176" i="12"/>
  <c r="X3175" i="12"/>
  <c r="W3177" i="12"/>
  <c r="X3176" i="12"/>
  <c r="W3178" i="12"/>
  <c r="X3177" i="12"/>
  <c r="X3178" i="12"/>
  <c r="W3179" i="12"/>
  <c r="W3180" i="12"/>
  <c r="X3179" i="12"/>
  <c r="X3180" i="12"/>
  <c r="W3181" i="12"/>
  <c r="W3182" i="12"/>
  <c r="X3181" i="12"/>
  <c r="W3183" i="12"/>
  <c r="X3182" i="12"/>
  <c r="W3184" i="12"/>
  <c r="X3183" i="12"/>
  <c r="X3184" i="12"/>
  <c r="W3185" i="12"/>
  <c r="W3186" i="12"/>
  <c r="X3185" i="12"/>
  <c r="X3186" i="12"/>
  <c r="W3187" i="12"/>
  <c r="W3188" i="12"/>
  <c r="X3187" i="12"/>
  <c r="X3188" i="12"/>
  <c r="W3189" i="12"/>
  <c r="X3189" i="12"/>
  <c r="W3190" i="12"/>
  <c r="X3190" i="12"/>
  <c r="W3191" i="12"/>
  <c r="X3191" i="12"/>
  <c r="W3192" i="12"/>
  <c r="X3192" i="12"/>
  <c r="W3193" i="12"/>
  <c r="X3193" i="12"/>
  <c r="W3194" i="12"/>
  <c r="W3195" i="12"/>
  <c r="X3194" i="12"/>
  <c r="X3195" i="12"/>
  <c r="W3196" i="12"/>
  <c r="W3197" i="12"/>
  <c r="X3196" i="12"/>
  <c r="X3197" i="12"/>
  <c r="W3198" i="12"/>
  <c r="X3198" i="12"/>
  <c r="W3199" i="12"/>
  <c r="X3199" i="12"/>
  <c r="W3200" i="12"/>
  <c r="X3200" i="12"/>
  <c r="W3201" i="12"/>
  <c r="W3202" i="12"/>
  <c r="X3201" i="12"/>
  <c r="W3203" i="12"/>
  <c r="X3202" i="12"/>
  <c r="W3204" i="12"/>
  <c r="X3203" i="12"/>
  <c r="W3205" i="12"/>
  <c r="X3204" i="12"/>
  <c r="X3205" i="12"/>
  <c r="W3206" i="12"/>
  <c r="X3206" i="12"/>
  <c r="W3207" i="12"/>
  <c r="X3207" i="12"/>
  <c r="W3208" i="12"/>
  <c r="X3208" i="12"/>
  <c r="W3209" i="12"/>
  <c r="W3210" i="12"/>
  <c r="X3209" i="12"/>
  <c r="X3210" i="12"/>
  <c r="W3211" i="12"/>
  <c r="X3211" i="12"/>
  <c r="W3212" i="12"/>
  <c r="W3213" i="12"/>
  <c r="X3212" i="12"/>
  <c r="X3213" i="12"/>
  <c r="W3214" i="12"/>
  <c r="X3214" i="12"/>
  <c r="W3215" i="12"/>
  <c r="W3216" i="12"/>
  <c r="X3215" i="12"/>
  <c r="X3216" i="12"/>
  <c r="W3217" i="12"/>
  <c r="W3218" i="12"/>
  <c r="X3217" i="12"/>
  <c r="X3218" i="12"/>
  <c r="W3219" i="12"/>
  <c r="X3219" i="12"/>
  <c r="W3220" i="12"/>
  <c r="W3221" i="12"/>
  <c r="X3220" i="12"/>
  <c r="X3221" i="12"/>
  <c r="W3222" i="12"/>
  <c r="X3222" i="12"/>
  <c r="W3223" i="12"/>
  <c r="W3224" i="12"/>
  <c r="X3223" i="12"/>
  <c r="W3225" i="12"/>
  <c r="X3224" i="12"/>
  <c r="W3226" i="12"/>
  <c r="X3225" i="12"/>
  <c r="X3226" i="12"/>
  <c r="W3227" i="12"/>
  <c r="W3228" i="12"/>
  <c r="X3227" i="12"/>
  <c r="X3228" i="12"/>
  <c r="W3229" i="12"/>
  <c r="W3230" i="12"/>
  <c r="X3229" i="12"/>
  <c r="X3230" i="12"/>
  <c r="W3231" i="12"/>
  <c r="X3231" i="12"/>
  <c r="W3232" i="12"/>
  <c r="X3232" i="12"/>
  <c r="W3233" i="12"/>
  <c r="X3233" i="12"/>
  <c r="W3234" i="12"/>
  <c r="X3234" i="12"/>
  <c r="W3235" i="12"/>
  <c r="W3236" i="12"/>
  <c r="X3235" i="12"/>
  <c r="W3237" i="12"/>
  <c r="X3236" i="12"/>
  <c r="X3237" i="12"/>
  <c r="W3238" i="12"/>
  <c r="W3239" i="12"/>
  <c r="X3238" i="12"/>
  <c r="W3240" i="12"/>
  <c r="X3239" i="12"/>
  <c r="X3240" i="12"/>
  <c r="W3241" i="12"/>
  <c r="X3241" i="12"/>
  <c r="W3242" i="12"/>
  <c r="W3243" i="12"/>
  <c r="X3242" i="12"/>
  <c r="W3244" i="12"/>
  <c r="X3243" i="12"/>
  <c r="X3244" i="12"/>
  <c r="W3245" i="12"/>
  <c r="X3245" i="12"/>
  <c r="W3246" i="12"/>
  <c r="W3247" i="12"/>
  <c r="X3246" i="12"/>
  <c r="W3248" i="12"/>
  <c r="X3247" i="12"/>
  <c r="W3249" i="12"/>
  <c r="X3248" i="12"/>
  <c r="X3249" i="12"/>
  <c r="W3250" i="12"/>
  <c r="W3251" i="12"/>
  <c r="X3250" i="12"/>
  <c r="W3252" i="12"/>
  <c r="X3251" i="12"/>
  <c r="X3252" i="12"/>
  <c r="W3253" i="12"/>
  <c r="W3254" i="12"/>
  <c r="X3253" i="12"/>
  <c r="X3254" i="12"/>
  <c r="W3255" i="12"/>
  <c r="W3256" i="12"/>
  <c r="X3255" i="12"/>
  <c r="W3257" i="12"/>
  <c r="X3256" i="12"/>
  <c r="X3257" i="12"/>
  <c r="W3258" i="12"/>
  <c r="X3258" i="12"/>
  <c r="W3259" i="12"/>
  <c r="W3260" i="12"/>
  <c r="X3259" i="12"/>
  <c r="W3261" i="12"/>
  <c r="X3260" i="12"/>
  <c r="W3262" i="12"/>
  <c r="X3261" i="12"/>
  <c r="X3262" i="12"/>
  <c r="W3263" i="12"/>
  <c r="X3263" i="12"/>
  <c r="W3264" i="12"/>
  <c r="W3265" i="12"/>
  <c r="X3264" i="12"/>
  <c r="W3266" i="12"/>
  <c r="X3265" i="12"/>
  <c r="W3267" i="12"/>
  <c r="X3266" i="12"/>
  <c r="W3268" i="12"/>
  <c r="X3267" i="12"/>
  <c r="W3269" i="12"/>
  <c r="X3268" i="12"/>
  <c r="W3270" i="12"/>
  <c r="X3269" i="12"/>
  <c r="X3270" i="12"/>
  <c r="W3271" i="12"/>
  <c r="X3271" i="12"/>
  <c r="W3272" i="12"/>
  <c r="W3273" i="12"/>
  <c r="X3272" i="12"/>
  <c r="W3274" i="12"/>
  <c r="X3273" i="12"/>
  <c r="W3275" i="12"/>
  <c r="X3274" i="12"/>
  <c r="W3276" i="12"/>
  <c r="X3275" i="12"/>
  <c r="X3276" i="12"/>
  <c r="W3277" i="12"/>
  <c r="W3278" i="12"/>
  <c r="X3277" i="12"/>
  <c r="X3278" i="12"/>
  <c r="W3279" i="12"/>
  <c r="X3279" i="12"/>
  <c r="W3280" i="12"/>
  <c r="X3280" i="12"/>
  <c r="W3281" i="12"/>
  <c r="X3281" i="12"/>
  <c r="W3282" i="12"/>
  <c r="X3282" i="12"/>
  <c r="W3283" i="12"/>
  <c r="W3284" i="12"/>
  <c r="X3283" i="12"/>
  <c r="X3284" i="12"/>
  <c r="W3285" i="12"/>
  <c r="X3285" i="12"/>
  <c r="W3286" i="12"/>
  <c r="X3286" i="12"/>
  <c r="W3287" i="12"/>
  <c r="W3288" i="12"/>
  <c r="X3287" i="12"/>
  <c r="X3288" i="12"/>
  <c r="W3289" i="12"/>
  <c r="W3290" i="12"/>
  <c r="X3289" i="12"/>
  <c r="X3290" i="12"/>
  <c r="W3291" i="12"/>
  <c r="W3292" i="12"/>
  <c r="X3291" i="12"/>
  <c r="X3292" i="12"/>
  <c r="W3293" i="12"/>
  <c r="X3293" i="12"/>
  <c r="W3294" i="12"/>
  <c r="X3294" i="12"/>
  <c r="W3295" i="12"/>
  <c r="X3295" i="12"/>
  <c r="W3296" i="12"/>
  <c r="X3296" i="12"/>
  <c r="W3297" i="12"/>
  <c r="W3298" i="12"/>
  <c r="X3297" i="12"/>
  <c r="W3299" i="12"/>
  <c r="X3298" i="12"/>
  <c r="W3300" i="12"/>
  <c r="X3299" i="12"/>
  <c r="W3301" i="12"/>
  <c r="X3300" i="12"/>
  <c r="W3302" i="12"/>
  <c r="X3301" i="12"/>
  <c r="X3302" i="12"/>
  <c r="W3303" i="12"/>
  <c r="W3304" i="12"/>
  <c r="X3303" i="12"/>
  <c r="W3305" i="12"/>
  <c r="X3304" i="12"/>
  <c r="W3306" i="12"/>
  <c r="X3305" i="12"/>
  <c r="W3307" i="12"/>
  <c r="X3306" i="12"/>
  <c r="W3308" i="12"/>
  <c r="X3307" i="12"/>
  <c r="X3308" i="12"/>
  <c r="W3309" i="12"/>
  <c r="W3310" i="12"/>
  <c r="X3309" i="12"/>
  <c r="W3311" i="12"/>
  <c r="X3310" i="12"/>
  <c r="W3312" i="12"/>
  <c r="X3311" i="12"/>
  <c r="X3312" i="12"/>
  <c r="W3313" i="12"/>
  <c r="X3313" i="12"/>
  <c r="W3314" i="12"/>
  <c r="X3314" i="12"/>
  <c r="W3315" i="12"/>
  <c r="W3316" i="12"/>
  <c r="X3315" i="12"/>
  <c r="W3317" i="12"/>
  <c r="X3316" i="12"/>
  <c r="W3318" i="12"/>
  <c r="X3317" i="12"/>
  <c r="X3318" i="12"/>
  <c r="W3319" i="12"/>
  <c r="W3320" i="12"/>
  <c r="X3319" i="12"/>
  <c r="W3321" i="12"/>
  <c r="X3320" i="12"/>
  <c r="W3322" i="12"/>
  <c r="X3321" i="12"/>
  <c r="W3323" i="12"/>
  <c r="X3322" i="12"/>
  <c r="X3323" i="12"/>
  <c r="W3324" i="12"/>
  <c r="X3324" i="12"/>
  <c r="W3325" i="12"/>
  <c r="X3325" i="12"/>
  <c r="W3326" i="12"/>
  <c r="X3326" i="12"/>
  <c r="W3327" i="12"/>
  <c r="X3327" i="12"/>
  <c r="W3328" i="12"/>
  <c r="X3328" i="12"/>
  <c r="W3329" i="12"/>
  <c r="X3329" i="12"/>
  <c r="W3330" i="12"/>
  <c r="W3331" i="12"/>
  <c r="X3330" i="12"/>
  <c r="X3331" i="12"/>
  <c r="W3332" i="12"/>
  <c r="W3333" i="12"/>
  <c r="X3332" i="12"/>
  <c r="X3333" i="12"/>
  <c r="W3334" i="12"/>
  <c r="X3334" i="12"/>
  <c r="W3335" i="12"/>
  <c r="X3335" i="12"/>
  <c r="W3336" i="12"/>
  <c r="W3337" i="12"/>
  <c r="X3336" i="12"/>
  <c r="W3338" i="12"/>
  <c r="X3337" i="12"/>
  <c r="X3338" i="12"/>
  <c r="W3339" i="12"/>
  <c r="W3340" i="12"/>
  <c r="X3339" i="12"/>
  <c r="X3340" i="12"/>
  <c r="W3341" i="12"/>
  <c r="W3342" i="12"/>
  <c r="X3341" i="12"/>
  <c r="W3343" i="12"/>
  <c r="X3342" i="12"/>
  <c r="W3344" i="12"/>
  <c r="X3343" i="12"/>
  <c r="X3344" i="12"/>
  <c r="W3345" i="12"/>
  <c r="X3345" i="12"/>
  <c r="W3346" i="12"/>
  <c r="W3347" i="12"/>
  <c r="X3346" i="12"/>
  <c r="X3347" i="12"/>
  <c r="W3348" i="12"/>
  <c r="X3348" i="12"/>
  <c r="W3349" i="12"/>
  <c r="W3350" i="12"/>
  <c r="X3349" i="12"/>
  <c r="W3351" i="12"/>
  <c r="X3350" i="12"/>
  <c r="X3351" i="12"/>
  <c r="W3352" i="12"/>
  <c r="W3353" i="12"/>
  <c r="X3352" i="12"/>
  <c r="W3354" i="12"/>
  <c r="X3353" i="12"/>
  <c r="X3354" i="12"/>
  <c r="W3355" i="12"/>
  <c r="W3356" i="12"/>
  <c r="X3355" i="12"/>
  <c r="X3356" i="12"/>
  <c r="W3357" i="12"/>
  <c r="W3358" i="12"/>
  <c r="X3357" i="12"/>
  <c r="W3359" i="12"/>
  <c r="X3358" i="12"/>
  <c r="W3360" i="12"/>
  <c r="X3359" i="12"/>
  <c r="X3360" i="12"/>
  <c r="W3361" i="12"/>
  <c r="W3362" i="12"/>
  <c r="X3361" i="12"/>
  <c r="W3363" i="12"/>
  <c r="X3362" i="12"/>
  <c r="X3363" i="12"/>
  <c r="W3364" i="12"/>
  <c r="W3365" i="12"/>
  <c r="X3364" i="12"/>
  <c r="X3365" i="12"/>
  <c r="W3366" i="12"/>
  <c r="X3366" i="12"/>
  <c r="W3367" i="12"/>
  <c r="X3367" i="12"/>
  <c r="W3368" i="12"/>
  <c r="X3368" i="12"/>
  <c r="W3369" i="12"/>
  <c r="W3370" i="12"/>
  <c r="X3369" i="12"/>
  <c r="W3371" i="12"/>
  <c r="X3370" i="12"/>
  <c r="W3372" i="12"/>
  <c r="X3371" i="12"/>
  <c r="X3372" i="12"/>
  <c r="W3373" i="12"/>
  <c r="X3373" i="12"/>
  <c r="W3374" i="12"/>
  <c r="X3374" i="12"/>
  <c r="W3375" i="12"/>
  <c r="W3376" i="12"/>
  <c r="X3375" i="12"/>
  <c r="X3376" i="12"/>
  <c r="W3377" i="12"/>
  <c r="X3377" i="12"/>
  <c r="W3378" i="12"/>
  <c r="W3379" i="12"/>
  <c r="X3378" i="12"/>
  <c r="X3379" i="12"/>
  <c r="W3380" i="12"/>
  <c r="X3380" i="12"/>
  <c r="W3381" i="12"/>
  <c r="X3381" i="12"/>
  <c r="W3382" i="12"/>
  <c r="X3382" i="12"/>
  <c r="W3383" i="12"/>
  <c r="W3384" i="12"/>
  <c r="X3383" i="12"/>
  <c r="W3385" i="12"/>
  <c r="X3384" i="12"/>
  <c r="X3385" i="12"/>
  <c r="W3386" i="12"/>
  <c r="X3386" i="12"/>
  <c r="W3387" i="12"/>
  <c r="W3388" i="12"/>
  <c r="X3387" i="12"/>
  <c r="W3389" i="12"/>
  <c r="X3388" i="12"/>
  <c r="X3389" i="12"/>
  <c r="W3390" i="12"/>
  <c r="X3390" i="12"/>
  <c r="W3391" i="12"/>
  <c r="X3391" i="12"/>
  <c r="W3392" i="12"/>
  <c r="X3392" i="12"/>
  <c r="W3393" i="12"/>
  <c r="X3393" i="12"/>
  <c r="W3394" i="12"/>
  <c r="W3395" i="12"/>
  <c r="X3394" i="12"/>
  <c r="W3396" i="12"/>
  <c r="X3395" i="12"/>
  <c r="X3396" i="12"/>
  <c r="W3397" i="12"/>
  <c r="X3397" i="12"/>
  <c r="W3398" i="12"/>
  <c r="W3399" i="12"/>
  <c r="X3398" i="12"/>
  <c r="W3400" i="12"/>
  <c r="X3399" i="12"/>
  <c r="X3400" i="12"/>
  <c r="W3401" i="12"/>
  <c r="W3402" i="12"/>
  <c r="X3401" i="12"/>
  <c r="W3403" i="12"/>
  <c r="X3402" i="12"/>
  <c r="W3404" i="12"/>
  <c r="X3403" i="12"/>
  <c r="W3405" i="12"/>
  <c r="X3404" i="12"/>
  <c r="X3405" i="12"/>
  <c r="W3406" i="12"/>
  <c r="W3407" i="12"/>
  <c r="X3406" i="12"/>
  <c r="X3407" i="12"/>
  <c r="W3408" i="12"/>
  <c r="X3408" i="12"/>
  <c r="W3409" i="12"/>
  <c r="X3409" i="12"/>
  <c r="W3410" i="12"/>
  <c r="X3410" i="12"/>
  <c r="W3411" i="12"/>
  <c r="W3412" i="12"/>
  <c r="X3411" i="12"/>
  <c r="X3412" i="12"/>
  <c r="W3413" i="12"/>
  <c r="W3414" i="12"/>
  <c r="X3413" i="12"/>
  <c r="W3415" i="12"/>
  <c r="X3414" i="12"/>
  <c r="W3416" i="12"/>
  <c r="X3415" i="12"/>
  <c r="W3417" i="12"/>
  <c r="X3416" i="12"/>
  <c r="X3417" i="12"/>
  <c r="W3418" i="12"/>
  <c r="W3419" i="12"/>
  <c r="X3418" i="12"/>
  <c r="X3419" i="12"/>
  <c r="W3420" i="12"/>
  <c r="W3421" i="12"/>
  <c r="X3420" i="12"/>
  <c r="W3422" i="12"/>
  <c r="X3421" i="12"/>
  <c r="W3423" i="12"/>
  <c r="X3422" i="12"/>
  <c r="W3424" i="12"/>
  <c r="X3423" i="12"/>
  <c r="X3424" i="12"/>
  <c r="W3425" i="12"/>
  <c r="W3426" i="12"/>
  <c r="X3425" i="12"/>
  <c r="X3426" i="12"/>
  <c r="W3427" i="12"/>
  <c r="X3427" i="12"/>
  <c r="W3428" i="12"/>
  <c r="W3429" i="12"/>
  <c r="X3428" i="12"/>
  <c r="W3430" i="12"/>
  <c r="X3429" i="12"/>
  <c r="W3431" i="12"/>
  <c r="X3430" i="12"/>
  <c r="X3431" i="12"/>
  <c r="W3432" i="12"/>
  <c r="X3432" i="12"/>
  <c r="W3433" i="12"/>
  <c r="X3433" i="12"/>
  <c r="W3434" i="12"/>
  <c r="W3435" i="12"/>
  <c r="X3434" i="12"/>
  <c r="X3435" i="12"/>
  <c r="W3436" i="12"/>
  <c r="W3437" i="12"/>
  <c r="X3436" i="12"/>
  <c r="X3437" i="12"/>
  <c r="W3438" i="12"/>
  <c r="W3439" i="12"/>
  <c r="X3438" i="12"/>
  <c r="W3440" i="12"/>
  <c r="X3439" i="12"/>
  <c r="X3440" i="12"/>
  <c r="W3441" i="12"/>
  <c r="W3442" i="12"/>
  <c r="X3441" i="12"/>
  <c r="X3442" i="12"/>
  <c r="W3443" i="12"/>
  <c r="X3443" i="12"/>
  <c r="W3444" i="12"/>
  <c r="W3445" i="12"/>
  <c r="X3444" i="12"/>
  <c r="X3445" i="12"/>
  <c r="W3446" i="12"/>
  <c r="W3447" i="12"/>
  <c r="X3446" i="12"/>
  <c r="X3447" i="12"/>
  <c r="W3448" i="12"/>
  <c r="X3448" i="12"/>
  <c r="W3449" i="12"/>
  <c r="W3450" i="12"/>
  <c r="X3449" i="12"/>
  <c r="X3450" i="12"/>
  <c r="W3451" i="12"/>
  <c r="W3452" i="12"/>
  <c r="X3451" i="12"/>
  <c r="W3453" i="12"/>
  <c r="X3452" i="12"/>
  <c r="X3453" i="12"/>
  <c r="W3454" i="12"/>
  <c r="X3454" i="12"/>
  <c r="W3455" i="12"/>
  <c r="X3455" i="12"/>
  <c r="W3456" i="12"/>
  <c r="W3457" i="12"/>
  <c r="X3456" i="12"/>
  <c r="W3458" i="12"/>
  <c r="X3457" i="12"/>
  <c r="W3459" i="12"/>
  <c r="X3458" i="12"/>
  <c r="X3459" i="12"/>
  <c r="W3460" i="12"/>
  <c r="X3460" i="12"/>
  <c r="W3461" i="12"/>
  <c r="W3462" i="12"/>
  <c r="X3461" i="12"/>
  <c r="W3463" i="12"/>
  <c r="X3462" i="12"/>
  <c r="X3463" i="12"/>
  <c r="W3464" i="12"/>
  <c r="X3464" i="12"/>
  <c r="W3465" i="12"/>
  <c r="W3466" i="12"/>
  <c r="X3465" i="12"/>
  <c r="X3466" i="12"/>
  <c r="W3467" i="12"/>
  <c r="W3468" i="12"/>
  <c r="X3467" i="12"/>
  <c r="W3469" i="12"/>
  <c r="X3468" i="12"/>
  <c r="X3469" i="12"/>
  <c r="W3470" i="12"/>
  <c r="W3471" i="12"/>
  <c r="X3470" i="12"/>
  <c r="X3471" i="12"/>
  <c r="W3472" i="12"/>
  <c r="X3472" i="12"/>
  <c r="W3473" i="12"/>
  <c r="W3474" i="12"/>
  <c r="X3473" i="12"/>
  <c r="X3474" i="12"/>
  <c r="W3475" i="12"/>
  <c r="X3475" i="12"/>
  <c r="W3476" i="12"/>
  <c r="W3477" i="12"/>
  <c r="X3476" i="12"/>
  <c r="W3478" i="12"/>
  <c r="X3477" i="12"/>
  <c r="X3478" i="12"/>
  <c r="W3479" i="12"/>
  <c r="X3479" i="12"/>
  <c r="W3480" i="12"/>
  <c r="W3481" i="12"/>
  <c r="X3480" i="12"/>
  <c r="X3481" i="12"/>
  <c r="W3482" i="12"/>
  <c r="X3482" i="12"/>
  <c r="W3483" i="12"/>
  <c r="W3484" i="12"/>
  <c r="X3483" i="12"/>
  <c r="X3484" i="12"/>
  <c r="W3485" i="12"/>
  <c r="W3486" i="12"/>
  <c r="X3485" i="12"/>
  <c r="X3486" i="12"/>
  <c r="W3487" i="12"/>
  <c r="X3487" i="12"/>
  <c r="W3488" i="12"/>
  <c r="X3488" i="12"/>
  <c r="W3489" i="12"/>
  <c r="X3489" i="12"/>
  <c r="W3490" i="12"/>
  <c r="X3490" i="12"/>
  <c r="W3491" i="12"/>
  <c r="W3492" i="12"/>
  <c r="X3491" i="12"/>
  <c r="W3493" i="12"/>
  <c r="X3492" i="12"/>
  <c r="W3494" i="12"/>
  <c r="X3493" i="12"/>
  <c r="X3494" i="12"/>
  <c r="W3495" i="12"/>
  <c r="W3496" i="12"/>
  <c r="X3495" i="12"/>
  <c r="X3496" i="12"/>
  <c r="W3497" i="12"/>
  <c r="W3498" i="12"/>
  <c r="X3497" i="12"/>
  <c r="X3498" i="12"/>
  <c r="W3499" i="12"/>
  <c r="W3500" i="12"/>
  <c r="X3499" i="12"/>
  <c r="W3501" i="12"/>
  <c r="X3500" i="12"/>
  <c r="X3501" i="12"/>
  <c r="W3502" i="12"/>
  <c r="W3503" i="12"/>
  <c r="X3502" i="12"/>
  <c r="X3503" i="12"/>
  <c r="W3504" i="12"/>
  <c r="W3505" i="12"/>
  <c r="X3504" i="12"/>
  <c r="W3506" i="12"/>
  <c r="X3505" i="12"/>
  <c r="X3506" i="12"/>
  <c r="W3507" i="12"/>
  <c r="W3508" i="12"/>
  <c r="X3507" i="12"/>
  <c r="X3508" i="12"/>
  <c r="W3509" i="12"/>
  <c r="W3510" i="12"/>
  <c r="X3509" i="12"/>
  <c r="X3510" i="12"/>
  <c r="W3511" i="12"/>
  <c r="W3512" i="12"/>
  <c r="X3511" i="12"/>
  <c r="X3512" i="12"/>
  <c r="W3513" i="12"/>
  <c r="X3513" i="12"/>
  <c r="W3514" i="12"/>
  <c r="X3514" i="12"/>
  <c r="W3515" i="12"/>
  <c r="W3516" i="12"/>
  <c r="X3515" i="12"/>
  <c r="W3517" i="12"/>
  <c r="X3516" i="12"/>
  <c r="X3517" i="12"/>
  <c r="W3518" i="12"/>
  <c r="W3519" i="12"/>
  <c r="X3518" i="12"/>
  <c r="W3520" i="12"/>
  <c r="X3519" i="12"/>
  <c r="W3521" i="12"/>
  <c r="X3520" i="12"/>
  <c r="X3521" i="12"/>
  <c r="W3522" i="12"/>
  <c r="X3522" i="12"/>
  <c r="W3523" i="12"/>
  <c r="W3524" i="12"/>
  <c r="X3523" i="12"/>
  <c r="W3525" i="12"/>
  <c r="X3524" i="12"/>
  <c r="X3525" i="12"/>
  <c r="W3526" i="12"/>
  <c r="X3526" i="12"/>
  <c r="W3527" i="12"/>
  <c r="W3528" i="12"/>
  <c r="X3527" i="12"/>
  <c r="X3528" i="12"/>
  <c r="W3529" i="12"/>
  <c r="X3529" i="12"/>
  <c r="W3530" i="12"/>
  <c r="W3531" i="12"/>
  <c r="X3530" i="12"/>
  <c r="W3532" i="12"/>
  <c r="X3531" i="12"/>
  <c r="X3532" i="12"/>
  <c r="W3533" i="12"/>
  <c r="X3533" i="12"/>
  <c r="W3534" i="12"/>
  <c r="X3534" i="12"/>
  <c r="W3535" i="12"/>
  <c r="W3536" i="12"/>
  <c r="X3535" i="12"/>
  <c r="W3537" i="12"/>
  <c r="X3536" i="12"/>
  <c r="W3538" i="12"/>
  <c r="X3537" i="12"/>
  <c r="X3538" i="12"/>
  <c r="W3539" i="12"/>
  <c r="W3540" i="12"/>
  <c r="X3539" i="12"/>
  <c r="X3540" i="12"/>
  <c r="W3541" i="12"/>
  <c r="W3542" i="12"/>
  <c r="X3541" i="12"/>
  <c r="X3542" i="12"/>
  <c r="W3543" i="12"/>
  <c r="W3544" i="12"/>
  <c r="X3543" i="12"/>
  <c r="X3544" i="12"/>
  <c r="W3545" i="12"/>
  <c r="W3546" i="12"/>
  <c r="X3545" i="12"/>
  <c r="X3546" i="12"/>
  <c r="W3547" i="12"/>
  <c r="W3548" i="12"/>
  <c r="X3547" i="12"/>
  <c r="X3548" i="12"/>
  <c r="W3549" i="12"/>
  <c r="W3550" i="12"/>
  <c r="X3549" i="12"/>
  <c r="W3551" i="12"/>
  <c r="X3550" i="12"/>
  <c r="W3552" i="12"/>
  <c r="X3552" i="12" s="1"/>
  <c r="X3551" i="12"/>
  <c r="E43" i="4" l="1"/>
  <c r="E41" i="4"/>
  <c r="E42" i="4"/>
  <c r="E40" i="4"/>
  <c r="E39" i="4"/>
  <c r="E44" i="4"/>
  <c r="D23" i="11"/>
  <c r="F22" i="11"/>
  <c r="H22" i="11"/>
  <c r="J22" i="11"/>
  <c r="F43" i="4"/>
  <c r="F41" i="4"/>
  <c r="F42" i="4"/>
  <c r="K22" i="11"/>
  <c r="F40" i="4"/>
  <c r="F44" i="4"/>
  <c r="F39" i="4"/>
  <c r="L21" i="11"/>
  <c r="E45" i="4" l="1"/>
  <c r="F23" i="11"/>
  <c r="H23" i="11"/>
  <c r="J23" i="11"/>
  <c r="D24" i="11"/>
  <c r="K23" i="11"/>
  <c r="L22" i="11"/>
  <c r="F45" i="4"/>
  <c r="E46" i="4" l="1"/>
  <c r="H24" i="11"/>
  <c r="D25" i="11"/>
  <c r="J24" i="11"/>
  <c r="F24" i="11"/>
  <c r="L23" i="11"/>
  <c r="K24" i="11"/>
  <c r="F46" i="4"/>
  <c r="E47" i="4" l="1"/>
  <c r="F25" i="11"/>
  <c r="H25" i="11"/>
  <c r="J25" i="11"/>
  <c r="D26" i="11"/>
  <c r="L24" i="11"/>
  <c r="K25" i="11"/>
  <c r="F47" i="4"/>
  <c r="E48" i="4" l="1"/>
  <c r="D27" i="11"/>
  <c r="F26" i="11"/>
  <c r="J26" i="11"/>
  <c r="H26" i="11"/>
  <c r="L25" i="11"/>
  <c r="F48" i="4"/>
  <c r="K26" i="11"/>
  <c r="E49" i="4" l="1"/>
  <c r="J27" i="11"/>
  <c r="D28" i="11"/>
  <c r="H27" i="11"/>
  <c r="F27" i="11"/>
  <c r="L26" i="11"/>
  <c r="F49" i="4"/>
  <c r="K27" i="11"/>
  <c r="E50" i="4" l="1"/>
  <c r="H28" i="11"/>
  <c r="D29" i="11"/>
  <c r="F28" i="11"/>
  <c r="J28" i="11"/>
  <c r="L27" i="11"/>
  <c r="K28" i="11"/>
  <c r="F50" i="4"/>
  <c r="E51" i="4" l="1"/>
  <c r="F29" i="11"/>
  <c r="H29" i="11"/>
  <c r="J29" i="11"/>
  <c r="D30" i="11"/>
  <c r="L28" i="11"/>
  <c r="F51" i="4"/>
  <c r="K29" i="11"/>
  <c r="E52" i="4" l="1"/>
  <c r="J30" i="11"/>
  <c r="D31" i="11"/>
  <c r="F30" i="11"/>
  <c r="H30" i="11"/>
  <c r="L29" i="11"/>
  <c r="F52" i="4"/>
  <c r="K30" i="11"/>
  <c r="E53" i="4" l="1"/>
  <c r="H31" i="11"/>
  <c r="J31" i="11"/>
  <c r="F31" i="11"/>
  <c r="D32" i="11"/>
  <c r="F53" i="4"/>
  <c r="K31" i="11"/>
  <c r="L30" i="11"/>
  <c r="E54" i="4" l="1"/>
  <c r="F32" i="11"/>
  <c r="H32" i="11"/>
  <c r="J32" i="11"/>
  <c r="D33" i="11"/>
  <c r="F54" i="4"/>
  <c r="K32" i="11"/>
  <c r="L31" i="11"/>
  <c r="E55" i="4" l="1"/>
  <c r="D34" i="11"/>
  <c r="F33" i="11"/>
  <c r="H33" i="11"/>
  <c r="J33" i="11"/>
  <c r="F55" i="4"/>
  <c r="L32" i="11"/>
  <c r="K33" i="11"/>
  <c r="E56" i="4" l="1"/>
  <c r="D35" i="11"/>
  <c r="J34" i="11"/>
  <c r="F34" i="11"/>
  <c r="H34" i="11"/>
  <c r="F56" i="4"/>
  <c r="K34" i="11"/>
  <c r="L33" i="11"/>
  <c r="E57" i="4" l="1"/>
  <c r="J35" i="11"/>
  <c r="D36" i="11"/>
  <c r="H35" i="11"/>
  <c r="F35" i="11"/>
  <c r="L34" i="11"/>
  <c r="K35" i="11"/>
  <c r="F57" i="4"/>
  <c r="E58" i="4" l="1"/>
  <c r="H36" i="11"/>
  <c r="J36" i="11"/>
  <c r="F36" i="11"/>
  <c r="D37" i="11"/>
  <c r="F58" i="4"/>
  <c r="K36" i="11"/>
  <c r="L35" i="11"/>
  <c r="E59" i="4" l="1"/>
  <c r="H37" i="11"/>
  <c r="D38" i="11"/>
  <c r="J37" i="11"/>
  <c r="F37" i="11"/>
  <c r="L36" i="11"/>
  <c r="F59" i="4"/>
  <c r="K37" i="11"/>
  <c r="E60" i="4" l="1"/>
  <c r="J38" i="11"/>
  <c r="H38" i="11"/>
  <c r="F38" i="11"/>
  <c r="D39" i="11"/>
  <c r="K38" i="11"/>
  <c r="L37" i="11"/>
  <c r="F60" i="4"/>
  <c r="E61" i="4" l="1"/>
  <c r="H39" i="11"/>
  <c r="F39" i="11"/>
  <c r="J39" i="11"/>
  <c r="D40" i="11"/>
  <c r="F61" i="4"/>
  <c r="L38" i="11"/>
  <c r="K39" i="11"/>
  <c r="L39" i="11" s="1"/>
  <c r="E62" i="4" l="1"/>
  <c r="F40" i="11"/>
  <c r="H40" i="11"/>
  <c r="D41" i="11"/>
  <c r="J40" i="11"/>
  <c r="F62" i="4"/>
  <c r="K40" i="11"/>
  <c r="E63" i="4" l="1"/>
  <c r="D42" i="11"/>
  <c r="F41" i="11"/>
  <c r="H41" i="11"/>
  <c r="J41" i="11"/>
  <c r="K41" i="11"/>
  <c r="L40" i="11"/>
  <c r="F63" i="4"/>
  <c r="E64" i="4" l="1"/>
  <c r="F42" i="11"/>
  <c r="J42" i="11"/>
  <c r="H42" i="11"/>
  <c r="K3" i="11"/>
  <c r="H2" i="9"/>
  <c r="F64" i="4"/>
  <c r="L41" i="11"/>
  <c r="K42" i="11"/>
  <c r="E65" i="4" l="1"/>
  <c r="D7" i="6"/>
  <c r="D8" i="6"/>
  <c r="D20" i="6"/>
  <c r="D11" i="4"/>
  <c r="D12" i="4"/>
  <c r="D13" i="4"/>
  <c r="D14" i="4"/>
  <c r="D15" i="4"/>
  <c r="D16" i="4"/>
  <c r="D17" i="4"/>
  <c r="D18" i="4"/>
  <c r="D19" i="4"/>
  <c r="D20" i="4"/>
  <c r="D21" i="4"/>
  <c r="D22" i="4"/>
  <c r="D23" i="4"/>
  <c r="D24" i="4"/>
  <c r="D25" i="4"/>
  <c r="D26" i="4"/>
  <c r="D27" i="4"/>
  <c r="D28" i="4"/>
  <c r="D6" i="6"/>
  <c r="L42" i="11"/>
  <c r="L3" i="11"/>
  <c r="B1" i="6"/>
  <c r="I2" i="9"/>
  <c r="F65" i="4"/>
  <c r="D16" i="6" l="1"/>
  <c r="D9" i="6"/>
  <c r="L15" i="4"/>
  <c r="M2" i="4"/>
  <c r="M18" i="4"/>
  <c r="G22" i="4"/>
  <c r="L4" i="4"/>
  <c r="M15" i="4"/>
  <c r="L17" i="4"/>
  <c r="M3" i="4"/>
  <c r="G19" i="4"/>
  <c r="M19" i="4"/>
  <c r="L12" i="4"/>
  <c r="L19" i="4"/>
  <c r="L24" i="4"/>
  <c r="M8" i="4"/>
  <c r="L3" i="4"/>
  <c r="G18" i="4"/>
  <c r="G17" i="4"/>
  <c r="M6" i="4"/>
  <c r="L8" i="4"/>
  <c r="G16" i="4"/>
  <c r="L16" i="4"/>
  <c r="G25" i="4"/>
  <c r="M24" i="4"/>
  <c r="G6" i="4"/>
  <c r="G12" i="4"/>
  <c r="L6" i="4"/>
  <c r="L25" i="4"/>
  <c r="G14" i="4"/>
  <c r="M16" i="4"/>
  <c r="L21" i="4"/>
  <c r="M7" i="4"/>
  <c r="M11" i="4"/>
  <c r="M5" i="4"/>
  <c r="L23" i="4"/>
  <c r="L18" i="4"/>
  <c r="G21" i="4"/>
  <c r="M13" i="4"/>
  <c r="L10" i="4"/>
  <c r="M4" i="4"/>
  <c r="G28" i="4"/>
  <c r="G10" i="4"/>
  <c r="L13" i="4"/>
  <c r="M26" i="4"/>
  <c r="G7" i="4"/>
  <c r="M25" i="4"/>
  <c r="G27" i="4"/>
  <c r="M14" i="4"/>
  <c r="L9" i="4"/>
  <c r="L5" i="4"/>
  <c r="G26" i="4"/>
  <c r="L20" i="4"/>
  <c r="G23" i="4"/>
  <c r="M23" i="4"/>
  <c r="L7" i="4"/>
  <c r="L14" i="4"/>
  <c r="M9" i="4"/>
  <c r="G2" i="4"/>
  <c r="G8" i="4"/>
  <c r="M21" i="4"/>
  <c r="G24" i="4"/>
  <c r="M28" i="4"/>
  <c r="L26" i="4"/>
  <c r="G11" i="4"/>
  <c r="G15" i="4"/>
  <c r="M17" i="4"/>
  <c r="M12" i="4"/>
  <c r="M10" i="4"/>
  <c r="M22" i="4"/>
  <c r="M27" i="4"/>
  <c r="G20" i="4"/>
  <c r="L22" i="4"/>
  <c r="G9" i="4"/>
  <c r="G3" i="4"/>
  <c r="L28" i="4"/>
  <c r="G5" i="4"/>
  <c r="G4" i="4"/>
  <c r="M20" i="4"/>
  <c r="L27" i="4"/>
  <c r="L11" i="4"/>
  <c r="L2" i="4"/>
  <c r="G13" i="4"/>
  <c r="B29" i="4" l="1"/>
  <c r="C29" i="4"/>
  <c r="L19" i="12" a="1"/>
  <c r="B30" i="4" l="1"/>
  <c r="C30" i="4"/>
  <c r="L33" i="12"/>
  <c r="L27" i="12"/>
  <c r="L22" i="12"/>
  <c r="L23" i="12"/>
  <c r="L34" i="12"/>
  <c r="L25" i="12"/>
  <c r="L32" i="12"/>
  <c r="L26" i="12"/>
  <c r="L21" i="12"/>
  <c r="L28" i="12"/>
  <c r="L30" i="12"/>
  <c r="L36" i="12"/>
  <c r="L29" i="12"/>
  <c r="L20" i="12"/>
  <c r="L31" i="12"/>
  <c r="L35" i="12"/>
  <c r="L19" i="12"/>
  <c r="L24" i="12"/>
  <c r="L29" i="4"/>
  <c r="M29" i="4"/>
  <c r="G29" i="4"/>
  <c r="H29" i="4"/>
  <c r="O19" i="12"/>
  <c r="B31" i="4" l="1"/>
  <c r="C31" i="4"/>
  <c r="G30" i="4"/>
  <c r="H30" i="4"/>
  <c r="M30" i="4"/>
  <c r="L30" i="4"/>
  <c r="B32" i="4" l="1"/>
  <c r="C32" i="4"/>
  <c r="G31" i="4"/>
  <c r="M31" i="4"/>
  <c r="H31" i="4"/>
  <c r="L31" i="4"/>
  <c r="B33" i="4" l="1"/>
  <c r="C33" i="4"/>
  <c r="L32" i="4"/>
  <c r="G32" i="4"/>
  <c r="H32" i="4"/>
  <c r="M32" i="4"/>
  <c r="B34" i="4" l="1"/>
  <c r="C34" i="4"/>
  <c r="H33" i="4"/>
  <c r="M33" i="4"/>
  <c r="L33" i="4"/>
  <c r="G33" i="4"/>
  <c r="B35" i="4" l="1"/>
  <c r="C35" i="4"/>
  <c r="M34" i="4"/>
  <c r="H34" i="4"/>
  <c r="G34" i="4"/>
  <c r="L34" i="4"/>
  <c r="B36" i="4" l="1"/>
  <c r="C36" i="4"/>
  <c r="H35" i="4"/>
  <c r="L35" i="4"/>
  <c r="G35" i="4"/>
  <c r="M35" i="4"/>
  <c r="B37" i="4" l="1"/>
  <c r="C37" i="4"/>
  <c r="H36" i="4"/>
  <c r="L36" i="4"/>
  <c r="M36" i="4"/>
  <c r="G36" i="4"/>
  <c r="B38" i="4" l="1"/>
  <c r="C38" i="4"/>
  <c r="L37" i="4"/>
  <c r="G37" i="4"/>
  <c r="H37" i="4"/>
  <c r="M37" i="4"/>
  <c r="B39" i="4" l="1"/>
  <c r="C39" i="4"/>
  <c r="L38" i="4"/>
  <c r="H38" i="4"/>
  <c r="M38" i="4"/>
  <c r="G38" i="4"/>
  <c r="B40" i="4" l="1"/>
  <c r="C40" i="4"/>
  <c r="G39" i="4"/>
  <c r="H39" i="4"/>
  <c r="M39" i="4"/>
  <c r="L39" i="4"/>
  <c r="B41" i="4" l="1"/>
  <c r="C41" i="4"/>
  <c r="H40" i="4"/>
  <c r="G40" i="4"/>
  <c r="M40" i="4"/>
  <c r="L40" i="4"/>
  <c r="B42" i="4" l="1"/>
  <c r="C42" i="4"/>
  <c r="L41" i="4"/>
  <c r="M41" i="4"/>
  <c r="G41" i="4"/>
  <c r="H41" i="4"/>
  <c r="B43" i="4" l="1"/>
  <c r="C43" i="4"/>
  <c r="L42" i="4"/>
  <c r="M42" i="4"/>
  <c r="G42" i="4"/>
  <c r="H42" i="4"/>
  <c r="B44" i="4" l="1"/>
  <c r="C44" i="4"/>
  <c r="G43" i="4"/>
  <c r="M43" i="4"/>
  <c r="H43" i="4"/>
  <c r="L43" i="4"/>
  <c r="B45" i="4" l="1"/>
  <c r="C45" i="4"/>
  <c r="L44" i="4"/>
  <c r="G44" i="4"/>
  <c r="H44" i="4"/>
  <c r="M44" i="4"/>
  <c r="B46" i="4" l="1"/>
  <c r="C46" i="4"/>
  <c r="M45" i="4"/>
  <c r="L45" i="4"/>
  <c r="H45" i="4"/>
  <c r="G45" i="4"/>
  <c r="B47" i="4" l="1"/>
  <c r="C47" i="4"/>
  <c r="H46" i="4"/>
  <c r="L46" i="4"/>
  <c r="M46" i="4"/>
  <c r="G46" i="4"/>
  <c r="B48" i="4" l="1"/>
  <c r="C48" i="4"/>
  <c r="M47" i="4"/>
  <c r="L47" i="4"/>
  <c r="H47" i="4"/>
  <c r="G47" i="4"/>
  <c r="B49" i="4" l="1"/>
  <c r="C49" i="4"/>
  <c r="H48" i="4"/>
  <c r="L48" i="4"/>
  <c r="M48" i="4"/>
  <c r="G48" i="4"/>
  <c r="B50" i="4" l="1"/>
  <c r="C50" i="4"/>
  <c r="M49" i="4"/>
  <c r="G49" i="4"/>
  <c r="L49" i="4"/>
  <c r="H49" i="4"/>
  <c r="B51" i="4" l="1"/>
  <c r="C51" i="4"/>
  <c r="L50" i="4"/>
  <c r="G50" i="4"/>
  <c r="H50" i="4"/>
  <c r="M50" i="4"/>
  <c r="B52" i="4" l="1"/>
  <c r="C52" i="4"/>
  <c r="H51" i="4"/>
  <c r="G51" i="4"/>
  <c r="M51" i="4"/>
  <c r="L51" i="4"/>
  <c r="B53" i="4" l="1"/>
  <c r="C53" i="4"/>
  <c r="M52" i="4"/>
  <c r="H52" i="4"/>
  <c r="G52" i="4"/>
  <c r="L52" i="4"/>
  <c r="B54" i="4" l="1"/>
  <c r="C54" i="4"/>
  <c r="H53" i="4"/>
  <c r="M53" i="4"/>
  <c r="G53" i="4"/>
  <c r="L53" i="4"/>
  <c r="B55" i="4" l="1"/>
  <c r="C55" i="4"/>
  <c r="M54" i="4"/>
  <c r="L54" i="4"/>
  <c r="H54" i="4"/>
  <c r="G54" i="4"/>
  <c r="B56" i="4" l="1"/>
  <c r="C56" i="4"/>
  <c r="G55" i="4"/>
  <c r="M55" i="4"/>
  <c r="L55" i="4"/>
  <c r="H55" i="4"/>
  <c r="B57" i="4" l="1"/>
  <c r="C57" i="4"/>
  <c r="G56" i="4"/>
  <c r="L56" i="4"/>
  <c r="H56" i="4"/>
  <c r="M56" i="4"/>
  <c r="B58" i="4" l="1"/>
  <c r="C58" i="4"/>
  <c r="H57" i="4"/>
  <c r="G57" i="4"/>
  <c r="L57" i="4"/>
  <c r="M57" i="4"/>
  <c r="B59" i="4" l="1"/>
  <c r="C59" i="4"/>
  <c r="H58" i="4"/>
  <c r="M58" i="4"/>
  <c r="G58" i="4"/>
  <c r="L58" i="4"/>
  <c r="B60" i="4" l="1"/>
  <c r="C60" i="4"/>
  <c r="G59" i="4"/>
  <c r="H59" i="4"/>
  <c r="M59" i="4"/>
  <c r="L59" i="4"/>
  <c r="B61" i="4" l="1"/>
  <c r="C61" i="4"/>
  <c r="M60" i="4"/>
  <c r="H60" i="4"/>
  <c r="L60" i="4"/>
  <c r="G60" i="4"/>
  <c r="B62" i="4" l="1"/>
  <c r="C62" i="4"/>
  <c r="L61" i="4"/>
  <c r="M61" i="4"/>
  <c r="G61" i="4"/>
  <c r="H61" i="4"/>
  <c r="B63" i="4" l="1"/>
  <c r="C63" i="4"/>
  <c r="L62" i="4"/>
  <c r="M62" i="4"/>
  <c r="G62" i="4"/>
  <c r="H62" i="4"/>
  <c r="B64" i="4" l="1"/>
  <c r="C64" i="4"/>
  <c r="M63" i="4"/>
  <c r="L63" i="4"/>
  <c r="H63" i="4"/>
  <c r="G63" i="4"/>
  <c r="B65" i="4" l="1"/>
  <c r="C65" i="4"/>
  <c r="G64" i="4"/>
  <c r="L64" i="4"/>
  <c r="G65" i="4"/>
  <c r="H64" i="4"/>
  <c r="M64" i="4"/>
  <c r="H65" i="4"/>
  <c r="M65" i="4"/>
  <c r="L65" i="4"/>
  <c r="E2" i="7" l="1"/>
  <c r="L39" i="12" a="1"/>
  <c r="F2" i="7"/>
  <c r="P39" i="12" a="1"/>
  <c r="L55" i="12" l="1"/>
  <c r="L70" i="12"/>
  <c r="L51" i="12"/>
  <c r="L66" i="12"/>
  <c r="L49" i="12"/>
  <c r="L65" i="12"/>
  <c r="L60" i="12"/>
  <c r="L46" i="12"/>
  <c r="L42" i="12"/>
  <c r="L61" i="12"/>
  <c r="L59" i="12"/>
  <c r="L45" i="12"/>
  <c r="L74" i="12"/>
  <c r="L62" i="12"/>
  <c r="L71" i="12"/>
  <c r="L48" i="12"/>
  <c r="L54" i="12"/>
  <c r="L44" i="12"/>
  <c r="L47" i="12"/>
  <c r="L69" i="12"/>
  <c r="L50" i="12"/>
  <c r="L64" i="12"/>
  <c r="L53" i="12"/>
  <c r="L72" i="12"/>
  <c r="L52" i="12"/>
  <c r="L63" i="12"/>
  <c r="L43" i="12"/>
  <c r="L75" i="12"/>
  <c r="L56" i="12"/>
  <c r="L68" i="12"/>
  <c r="L41" i="12"/>
  <c r="L40" i="12"/>
  <c r="L73" i="12"/>
  <c r="L39" i="12"/>
  <c r="L57" i="12"/>
  <c r="L58" i="12"/>
  <c r="L67" i="12"/>
  <c r="T19" i="12" a="1"/>
  <c r="P63" i="12"/>
  <c r="P47" i="12"/>
  <c r="P69" i="12"/>
  <c r="P67" i="12"/>
  <c r="P61" i="12"/>
  <c r="P57" i="12"/>
  <c r="P55" i="12"/>
  <c r="P42" i="12"/>
  <c r="P70" i="12"/>
  <c r="P51" i="12"/>
  <c r="P39" i="12"/>
  <c r="P49" i="12"/>
  <c r="P75" i="12"/>
  <c r="P62" i="12"/>
  <c r="P53" i="12"/>
  <c r="P54" i="12"/>
  <c r="P52" i="12"/>
  <c r="P56" i="12"/>
  <c r="P68" i="12"/>
  <c r="P48" i="12"/>
  <c r="P74" i="12"/>
  <c r="P41" i="12"/>
  <c r="P66" i="12"/>
  <c r="P60" i="12"/>
  <c r="P50" i="12"/>
  <c r="P72" i="12"/>
  <c r="P43" i="12"/>
  <c r="P59" i="12"/>
  <c r="P64" i="12"/>
  <c r="P71" i="12"/>
  <c r="P44" i="12"/>
  <c r="P45" i="12"/>
  <c r="P58" i="12"/>
  <c r="P46" i="12"/>
  <c r="P40" i="12"/>
  <c r="P73" i="12"/>
  <c r="P65" i="12"/>
  <c r="N55" i="12"/>
  <c r="M55" i="12"/>
  <c r="N42" i="12"/>
  <c r="M42" i="12"/>
  <c r="N54" i="12"/>
  <c r="M54" i="12"/>
  <c r="M52" i="12"/>
  <c r="N52" i="12"/>
  <c r="N73" i="12"/>
  <c r="M73" i="12"/>
  <c r="Q61" i="12"/>
  <c r="Q68" i="12"/>
  <c r="N70" i="12"/>
  <c r="M70" i="12"/>
  <c r="M61" i="12"/>
  <c r="N61" i="12"/>
  <c r="M44" i="12"/>
  <c r="N44" i="12"/>
  <c r="N63" i="12"/>
  <c r="M63" i="12"/>
  <c r="N39" i="12"/>
  <c r="M39" i="12"/>
  <c r="Q60" i="12"/>
  <c r="Q64" i="12"/>
  <c r="N51" i="12"/>
  <c r="M51" i="12"/>
  <c r="M59" i="12"/>
  <c r="N59" i="12"/>
  <c r="M47" i="12"/>
  <c r="N47" i="12"/>
  <c r="N43" i="12"/>
  <c r="M43" i="12"/>
  <c r="M57" i="12"/>
  <c r="N57" i="12"/>
  <c r="Q63" i="12"/>
  <c r="Q70" i="12"/>
  <c r="N66" i="12"/>
  <c r="M66" i="12"/>
  <c r="N45" i="12"/>
  <c r="M45" i="12"/>
  <c r="N69" i="12"/>
  <c r="M69" i="12"/>
  <c r="N75" i="12"/>
  <c r="M75" i="12"/>
  <c r="M58" i="12"/>
  <c r="N58" i="12"/>
  <c r="Q65" i="12"/>
  <c r="Q72" i="12"/>
  <c r="Q69" i="12"/>
  <c r="N49" i="12"/>
  <c r="M49" i="12"/>
  <c r="N74" i="12"/>
  <c r="M74" i="12"/>
  <c r="M50" i="12"/>
  <c r="N50" i="12"/>
  <c r="N56" i="12"/>
  <c r="M56" i="12"/>
  <c r="M67" i="12"/>
  <c r="N67" i="12"/>
  <c r="Q71" i="12"/>
  <c r="Q66" i="12"/>
  <c r="Q58" i="12"/>
  <c r="N65" i="12"/>
  <c r="M65" i="12"/>
  <c r="M62" i="12"/>
  <c r="N62" i="12"/>
  <c r="N64" i="12"/>
  <c r="M64" i="12"/>
  <c r="N68" i="12"/>
  <c r="M68" i="12"/>
  <c r="Q67" i="12"/>
  <c r="Q73" i="12"/>
  <c r="N60" i="12"/>
  <c r="M60" i="12"/>
  <c r="M71" i="12"/>
  <c r="N71" i="12"/>
  <c r="N53" i="12"/>
  <c r="M53" i="12"/>
  <c r="N41" i="12"/>
  <c r="M41" i="12"/>
  <c r="Q62" i="12"/>
  <c r="Q74" i="12"/>
  <c r="M46" i="12"/>
  <c r="N46" i="12"/>
  <c r="N48" i="12"/>
  <c r="M48" i="12"/>
  <c r="N72" i="12"/>
  <c r="M72" i="12"/>
  <c r="M40" i="12"/>
  <c r="N40" i="12"/>
  <c r="Q59" i="12"/>
  <c r="Q75" i="12"/>
  <c r="T41" i="12" l="1" a="1"/>
  <c r="R61" i="12"/>
  <c r="O27" i="12"/>
  <c r="O20" i="12"/>
  <c r="M27" i="12"/>
  <c r="O24" i="12"/>
  <c r="M23" i="12"/>
  <c r="O25" i="12"/>
  <c r="R67" i="12"/>
  <c r="R73" i="12"/>
  <c r="D2" i="5" a="1"/>
  <c r="O30" i="12"/>
  <c r="O36" i="12"/>
  <c r="M24" i="12"/>
  <c r="N36" i="12"/>
  <c r="N30" i="12"/>
  <c r="O23" i="12"/>
  <c r="M30" i="12"/>
  <c r="R71" i="12"/>
  <c r="R58" i="12"/>
  <c r="M29" i="12"/>
  <c r="O35" i="12"/>
  <c r="N19" i="12"/>
  <c r="O29" i="12"/>
  <c r="M19" i="12"/>
  <c r="N28" i="12"/>
  <c r="M35" i="12"/>
  <c r="N29" i="12"/>
  <c r="R66" i="12"/>
  <c r="R69" i="12"/>
  <c r="R70" i="12"/>
  <c r="N34" i="12"/>
  <c r="N35" i="12"/>
  <c r="N20" i="12"/>
  <c r="N22" i="12"/>
  <c r="M20" i="12"/>
  <c r="N26" i="12"/>
  <c r="R65" i="12"/>
  <c r="R72" i="12"/>
  <c r="R63" i="12"/>
  <c r="R64" i="12"/>
  <c r="M31" i="12"/>
  <c r="N23" i="12"/>
  <c r="N33" i="12"/>
  <c r="N31" i="12"/>
  <c r="O28" i="12"/>
  <c r="N21" i="12"/>
  <c r="N25" i="12"/>
  <c r="M34" i="12"/>
  <c r="R60" i="12"/>
  <c r="R68" i="12"/>
  <c r="M21" i="12"/>
  <c r="O32" i="12"/>
  <c r="M32" i="12"/>
  <c r="M33" i="12"/>
  <c r="M25" i="12"/>
  <c r="M36" i="12"/>
  <c r="N32" i="12"/>
  <c r="O34" i="12"/>
  <c r="R59" i="12"/>
  <c r="R75" i="12"/>
  <c r="M28" i="12"/>
  <c r="M22" i="12"/>
  <c r="N27" i="12"/>
  <c r="O22" i="12"/>
  <c r="O21" i="12"/>
  <c r="N24" i="12"/>
  <c r="O26" i="12"/>
  <c r="M26" i="12"/>
  <c r="R62" i="12"/>
  <c r="R74" i="12"/>
  <c r="O31" i="12"/>
  <c r="O33" i="12"/>
  <c r="D94" i="5" l="1"/>
  <c r="D108" i="5"/>
  <c r="D3" i="5"/>
  <c r="D7" i="5"/>
  <c r="D58" i="5"/>
  <c r="D36" i="5"/>
  <c r="D84" i="5"/>
  <c r="D24" i="5"/>
  <c r="D72" i="5"/>
  <c r="D23" i="5"/>
  <c r="D4" i="5"/>
  <c r="D115" i="5"/>
  <c r="D99" i="5"/>
  <c r="D83" i="5"/>
  <c r="D67" i="5"/>
  <c r="D6" i="5"/>
  <c r="D86" i="5"/>
  <c r="D126" i="5"/>
  <c r="D60" i="5"/>
  <c r="D33" i="5"/>
  <c r="D98" i="5"/>
  <c r="D82" i="5"/>
  <c r="D66" i="5"/>
  <c r="D50" i="5"/>
  <c r="D34" i="5"/>
  <c r="D18" i="5"/>
  <c r="D2" i="5"/>
  <c r="D113" i="5"/>
  <c r="D97" i="5"/>
  <c r="D81" i="5"/>
  <c r="D65" i="5"/>
  <c r="D96" i="5"/>
  <c r="D78" i="5"/>
  <c r="D35" i="5"/>
  <c r="D116" i="5"/>
  <c r="D90" i="5"/>
  <c r="D80" i="5"/>
  <c r="D64" i="5"/>
  <c r="D48" i="5"/>
  <c r="D32" i="5"/>
  <c r="D16" i="5"/>
  <c r="D111" i="5"/>
  <c r="D95" i="5"/>
  <c r="D79" i="5"/>
  <c r="D63" i="5"/>
  <c r="D47" i="5"/>
  <c r="D31" i="5"/>
  <c r="D39" i="5"/>
  <c r="D37" i="5"/>
  <c r="D92" i="5"/>
  <c r="D114" i="5"/>
  <c r="D104" i="5"/>
  <c r="D46" i="5"/>
  <c r="D30" i="5"/>
  <c r="D14" i="5"/>
  <c r="D125" i="5"/>
  <c r="D109" i="5"/>
  <c r="D93" i="5"/>
  <c r="D77" i="5"/>
  <c r="D61" i="5"/>
  <c r="D45" i="5"/>
  <c r="D29" i="5"/>
  <c r="D13" i="5"/>
  <c r="D15" i="5"/>
  <c r="D62" i="5"/>
  <c r="D120" i="5"/>
  <c r="D122" i="5"/>
  <c r="D17" i="5"/>
  <c r="D44" i="5"/>
  <c r="D28" i="5"/>
  <c r="D12" i="5"/>
  <c r="D123" i="5"/>
  <c r="D107" i="5"/>
  <c r="D91" i="5"/>
  <c r="D75" i="5"/>
  <c r="D59" i="5"/>
  <c r="D43" i="5"/>
  <c r="D27" i="5"/>
  <c r="D11" i="5"/>
  <c r="D87" i="5"/>
  <c r="D85" i="5"/>
  <c r="D19" i="5"/>
  <c r="D56" i="5"/>
  <c r="D74" i="5"/>
  <c r="D42" i="5"/>
  <c r="D26" i="5"/>
  <c r="D10" i="5"/>
  <c r="D121" i="5"/>
  <c r="D105" i="5"/>
  <c r="D89" i="5"/>
  <c r="D73" i="5"/>
  <c r="D57" i="5"/>
  <c r="D41" i="5"/>
  <c r="D25" i="5"/>
  <c r="D9" i="5"/>
  <c r="D38" i="5"/>
  <c r="D51" i="5"/>
  <c r="D71" i="5"/>
  <c r="D106" i="5"/>
  <c r="D112" i="5"/>
  <c r="D103" i="5"/>
  <c r="D54" i="5"/>
  <c r="D5" i="5"/>
  <c r="D102" i="5"/>
  <c r="D53" i="5"/>
  <c r="D101" i="5"/>
  <c r="D52" i="5"/>
  <c r="D100" i="5"/>
  <c r="D40" i="5"/>
  <c r="D88" i="5"/>
  <c r="D110" i="5"/>
  <c r="D21" i="5"/>
  <c r="D124" i="5"/>
  <c r="D118" i="5"/>
  <c r="D76" i="5"/>
  <c r="D69" i="5"/>
  <c r="D49" i="5"/>
  <c r="D20" i="5"/>
  <c r="D55" i="5"/>
  <c r="D117" i="5"/>
  <c r="D22" i="5"/>
  <c r="D68" i="5"/>
  <c r="D70" i="5"/>
  <c r="D119" i="5"/>
  <c r="D8" i="5"/>
  <c r="I94" i="5"/>
  <c r="F86" i="5"/>
  <c r="E34" i="5"/>
  <c r="G16" i="5"/>
  <c r="G109" i="5"/>
  <c r="E62" i="5"/>
  <c r="F85" i="5"/>
  <c r="G105" i="5"/>
  <c r="F53" i="5"/>
  <c r="I22" i="5"/>
  <c r="E108" i="5"/>
  <c r="I126" i="5"/>
  <c r="F18" i="5"/>
  <c r="G111" i="5"/>
  <c r="E93" i="5"/>
  <c r="F120" i="5"/>
  <c r="E19" i="5"/>
  <c r="H89" i="5"/>
  <c r="G101" i="5"/>
  <c r="H68" i="5"/>
  <c r="H3" i="5"/>
  <c r="F60" i="5"/>
  <c r="E2" i="5"/>
  <c r="H95" i="5"/>
  <c r="E77" i="5"/>
  <c r="H122" i="5"/>
  <c r="I56" i="5"/>
  <c r="I73" i="5"/>
  <c r="H52" i="5"/>
  <c r="H70" i="5"/>
  <c r="G7" i="5"/>
  <c r="I33" i="5"/>
  <c r="H113" i="5"/>
  <c r="F79" i="5"/>
  <c r="E61" i="5"/>
  <c r="I17" i="5"/>
  <c r="F74" i="5"/>
  <c r="I57" i="5"/>
  <c r="I100" i="5"/>
  <c r="I119" i="5"/>
  <c r="H58" i="5"/>
  <c r="G98" i="5"/>
  <c r="I97" i="5"/>
  <c r="E63" i="5"/>
  <c r="H45" i="5"/>
  <c r="H44" i="5"/>
  <c r="H42" i="5"/>
  <c r="F41" i="5"/>
  <c r="H40" i="5"/>
  <c r="I8" i="5"/>
  <c r="I36" i="5"/>
  <c r="G82" i="5"/>
  <c r="I81" i="5"/>
  <c r="H47" i="5"/>
  <c r="I29" i="5"/>
  <c r="E28" i="5"/>
  <c r="F26" i="5"/>
  <c r="F25" i="5"/>
  <c r="H88" i="5"/>
  <c r="G84" i="5"/>
  <c r="I67" i="5"/>
  <c r="E65" i="5"/>
  <c r="I48" i="5"/>
  <c r="I14" i="5"/>
  <c r="H12" i="5"/>
  <c r="I11" i="5"/>
  <c r="G9" i="5"/>
  <c r="E5" i="5"/>
  <c r="G55" i="5"/>
  <c r="H6" i="5"/>
  <c r="E50" i="5"/>
  <c r="I32" i="5"/>
  <c r="E39" i="5"/>
  <c r="I15" i="5"/>
  <c r="E87" i="5"/>
  <c r="I121" i="5"/>
  <c r="E102" i="5"/>
  <c r="H21" i="5"/>
  <c r="E86" i="5"/>
  <c r="H78" i="5"/>
  <c r="I16" i="5"/>
  <c r="F109" i="5"/>
  <c r="I62" i="5"/>
  <c r="G85" i="5"/>
  <c r="G51" i="5"/>
  <c r="E22" i="5"/>
  <c r="I108" i="5"/>
  <c r="F126" i="5"/>
  <c r="E35" i="5"/>
  <c r="F111" i="5"/>
  <c r="G120" i="5"/>
  <c r="H19" i="5"/>
  <c r="F71" i="5"/>
  <c r="H101" i="5"/>
  <c r="G3" i="5"/>
  <c r="I60" i="5"/>
  <c r="I95" i="5"/>
  <c r="F77" i="5"/>
  <c r="E122" i="5"/>
  <c r="H106" i="5"/>
  <c r="I52" i="5"/>
  <c r="F7" i="5"/>
  <c r="E33" i="5"/>
  <c r="H79" i="5"/>
  <c r="F61" i="5"/>
  <c r="E17" i="5"/>
  <c r="E112" i="5"/>
  <c r="F119" i="5"/>
  <c r="I58" i="5"/>
  <c r="G80" i="5"/>
  <c r="G45" i="5"/>
  <c r="E42" i="5"/>
  <c r="E40" i="5"/>
  <c r="H8" i="5"/>
  <c r="E82" i="5"/>
  <c r="G64" i="5"/>
  <c r="E29" i="5"/>
  <c r="I28" i="5"/>
  <c r="G54" i="5"/>
  <c r="G88" i="5"/>
  <c r="H67" i="5"/>
  <c r="E31" i="5"/>
  <c r="G14" i="5"/>
  <c r="F11" i="5"/>
  <c r="I110" i="5"/>
  <c r="F6" i="5"/>
  <c r="H32" i="5"/>
  <c r="E15" i="5"/>
  <c r="I87" i="5"/>
  <c r="H102" i="5"/>
  <c r="E72" i="5"/>
  <c r="H86" i="5"/>
  <c r="G78" i="5"/>
  <c r="H16" i="5"/>
  <c r="I109" i="5"/>
  <c r="F107" i="5"/>
  <c r="I85" i="5"/>
  <c r="E53" i="5"/>
  <c r="G22" i="5"/>
  <c r="H23" i="5"/>
  <c r="G35" i="5"/>
  <c r="G93" i="5"/>
  <c r="I19" i="5"/>
  <c r="E101" i="5"/>
  <c r="G68" i="5"/>
  <c r="E116" i="5"/>
  <c r="I77" i="5"/>
  <c r="G75" i="5"/>
  <c r="G106" i="5"/>
  <c r="I70" i="5"/>
  <c r="G33" i="5"/>
  <c r="G79" i="5"/>
  <c r="E74" i="5"/>
  <c r="H100" i="5"/>
  <c r="F99" i="5"/>
  <c r="H98" i="5"/>
  <c r="G63" i="5"/>
  <c r="E43" i="5"/>
  <c r="F103" i="5"/>
  <c r="G8" i="5"/>
  <c r="I82" i="5"/>
  <c r="G29" i="5"/>
  <c r="H26" i="5"/>
  <c r="E88" i="5"/>
  <c r="I66" i="5"/>
  <c r="G31" i="5"/>
  <c r="G12" i="5"/>
  <c r="I9" i="5"/>
  <c r="H55" i="5"/>
  <c r="I96" i="5"/>
  <c r="H125" i="5"/>
  <c r="F87" i="5"/>
  <c r="H117" i="5"/>
  <c r="H72" i="5"/>
  <c r="I86" i="5"/>
  <c r="E78" i="5"/>
  <c r="I37" i="5"/>
  <c r="H109" i="5"/>
  <c r="I107" i="5"/>
  <c r="H51" i="5"/>
  <c r="H124" i="5"/>
  <c r="F22" i="5"/>
  <c r="E126" i="5"/>
  <c r="I35" i="5"/>
  <c r="H93" i="5"/>
  <c r="F91" i="5"/>
  <c r="H71" i="5"/>
  <c r="F68" i="5"/>
  <c r="E60" i="5"/>
  <c r="I114" i="5"/>
  <c r="H75" i="5"/>
  <c r="E56" i="5"/>
  <c r="G76" i="5"/>
  <c r="G115" i="5"/>
  <c r="I61" i="5"/>
  <c r="I74" i="5"/>
  <c r="H112" i="5"/>
  <c r="E119" i="5"/>
  <c r="E98" i="5"/>
  <c r="H80" i="5"/>
  <c r="F45" i="5"/>
  <c r="F42" i="5"/>
  <c r="H49" i="5"/>
  <c r="F83" i="5"/>
  <c r="F64" i="5"/>
  <c r="H29" i="5"/>
  <c r="I26" i="5"/>
  <c r="G20" i="5"/>
  <c r="G65" i="5"/>
  <c r="I12" i="5"/>
  <c r="E9" i="5"/>
  <c r="F24" i="5"/>
  <c r="G32" i="5"/>
  <c r="G87" i="5"/>
  <c r="G102" i="5"/>
  <c r="F72" i="5"/>
  <c r="I34" i="5"/>
  <c r="I78" i="5"/>
  <c r="F37" i="5"/>
  <c r="E109" i="5"/>
  <c r="E107" i="5"/>
  <c r="I51" i="5"/>
  <c r="H22" i="5"/>
  <c r="I23" i="5"/>
  <c r="F35" i="5"/>
  <c r="G92" i="5"/>
  <c r="I89" i="5"/>
  <c r="H118" i="5"/>
  <c r="H2" i="5"/>
  <c r="E114" i="5"/>
  <c r="E75" i="5"/>
  <c r="I76" i="5"/>
  <c r="F113" i="5"/>
  <c r="G61" i="5"/>
  <c r="F57" i="5"/>
  <c r="H69" i="5"/>
  <c r="I99" i="5"/>
  <c r="H46" i="5"/>
  <c r="G43" i="5"/>
  <c r="E49" i="5"/>
  <c r="E81" i="5"/>
  <c r="H30" i="5"/>
  <c r="I25" i="5"/>
  <c r="F20" i="5"/>
  <c r="F48" i="5"/>
  <c r="F13" i="5"/>
  <c r="F5" i="5"/>
  <c r="I24" i="5"/>
  <c r="H39" i="5"/>
  <c r="I123" i="5"/>
  <c r="F21" i="5"/>
  <c r="H94" i="5"/>
  <c r="G34" i="5"/>
  <c r="E37" i="5"/>
  <c r="H107" i="5"/>
  <c r="E124" i="5"/>
  <c r="E18" i="5"/>
  <c r="I120" i="5"/>
  <c r="E71" i="5"/>
  <c r="G4" i="5"/>
  <c r="F114" i="5"/>
  <c r="F75" i="5"/>
  <c r="F106" i="5"/>
  <c r="H115" i="5"/>
  <c r="I104" i="5"/>
  <c r="E57" i="5"/>
  <c r="E58" i="5"/>
  <c r="E80" i="5"/>
  <c r="I44" i="5"/>
  <c r="I103" i="5"/>
  <c r="F36" i="5"/>
  <c r="H64" i="5"/>
  <c r="G28" i="5"/>
  <c r="H54" i="5"/>
  <c r="H66" i="5"/>
  <c r="G11" i="5"/>
  <c r="G110" i="5"/>
  <c r="F39" i="5"/>
  <c r="F121" i="5"/>
  <c r="I117" i="5"/>
  <c r="I72" i="5"/>
  <c r="H34" i="5"/>
  <c r="H62" i="5"/>
  <c r="F105" i="5"/>
  <c r="G53" i="5"/>
  <c r="E23" i="5"/>
  <c r="I92" i="5"/>
  <c r="G89" i="5"/>
  <c r="H4" i="5"/>
  <c r="G114" i="5"/>
  <c r="E73" i="5"/>
  <c r="I7" i="5"/>
  <c r="E104" i="5"/>
  <c r="H57" i="5"/>
  <c r="F58" i="5"/>
  <c r="G97" i="5"/>
  <c r="F43" i="5"/>
  <c r="F49" i="5"/>
  <c r="H81" i="5"/>
  <c r="H28" i="5"/>
  <c r="H25" i="5"/>
  <c r="E67" i="5"/>
  <c r="F14" i="5"/>
  <c r="I10" i="5"/>
  <c r="E24" i="5"/>
  <c r="I39" i="5"/>
  <c r="H123" i="5"/>
  <c r="I21" i="5"/>
  <c r="G86" i="5"/>
  <c r="H37" i="5"/>
  <c r="I53" i="5"/>
  <c r="G126" i="5"/>
  <c r="H92" i="5"/>
  <c r="G19" i="5"/>
  <c r="I118" i="5"/>
  <c r="F95" i="5"/>
  <c r="H56" i="5"/>
  <c r="F76" i="5"/>
  <c r="H33" i="5"/>
  <c r="H104" i="5"/>
  <c r="G57" i="5"/>
  <c r="F98" i="5"/>
  <c r="I63" i="5"/>
  <c r="G42" i="5"/>
  <c r="I40" i="5"/>
  <c r="G81" i="5"/>
  <c r="F28" i="5"/>
  <c r="F88" i="5"/>
  <c r="F65" i="5"/>
  <c r="G13" i="5"/>
  <c r="F55" i="5"/>
  <c r="F32" i="5"/>
  <c r="G123" i="5"/>
  <c r="G21" i="5"/>
  <c r="F94" i="5"/>
  <c r="H53" i="5"/>
  <c r="I93" i="5"/>
  <c r="I68" i="5"/>
  <c r="F116" i="5"/>
  <c r="F56" i="5"/>
  <c r="G70" i="5"/>
  <c r="H90" i="5"/>
  <c r="H74" i="5"/>
  <c r="G100" i="5"/>
  <c r="I98" i="5"/>
  <c r="H63" i="5"/>
  <c r="E44" i="5"/>
  <c r="E103" i="5"/>
  <c r="G36" i="5"/>
  <c r="G47" i="5"/>
  <c r="E26" i="5"/>
  <c r="F84" i="5"/>
  <c r="H65" i="5"/>
  <c r="E12" i="5"/>
  <c r="F9" i="5"/>
  <c r="I55" i="5"/>
  <c r="H50" i="5"/>
  <c r="F125" i="5"/>
  <c r="G121" i="5"/>
  <c r="E117" i="5"/>
  <c r="E51" i="5"/>
  <c r="H126" i="5"/>
  <c r="E111" i="5"/>
  <c r="G91" i="5"/>
  <c r="G71" i="5"/>
  <c r="I4" i="5"/>
  <c r="H60" i="5"/>
  <c r="G95" i="5"/>
  <c r="G56" i="5"/>
  <c r="F52" i="5"/>
  <c r="I115" i="5"/>
  <c r="F90" i="5"/>
  <c r="H61" i="5"/>
  <c r="H59" i="5"/>
  <c r="I112" i="5"/>
  <c r="G119" i="5"/>
  <c r="F80" i="5"/>
  <c r="E45" i="5"/>
  <c r="I42" i="5"/>
  <c r="G40" i="5"/>
  <c r="I83" i="5"/>
  <c r="E64" i="5"/>
  <c r="E47" i="5"/>
  <c r="G27" i="5"/>
  <c r="E54" i="5"/>
  <c r="E84" i="5"/>
  <c r="I65" i="5"/>
  <c r="E14" i="5"/>
  <c r="F10" i="5"/>
  <c r="H110" i="5"/>
  <c r="E6" i="5"/>
  <c r="E32" i="5"/>
  <c r="F15" i="5"/>
  <c r="F38" i="5"/>
  <c r="E85" i="5"/>
  <c r="G23" i="5"/>
  <c r="F92" i="5"/>
  <c r="F19" i="5"/>
  <c r="F118" i="5"/>
  <c r="F4" i="5"/>
  <c r="H116" i="5"/>
  <c r="H77" i="5"/>
  <c r="I106" i="5"/>
  <c r="E70" i="5"/>
  <c r="F33" i="5"/>
  <c r="F104" i="5"/>
  <c r="G59" i="5"/>
  <c r="E69" i="5"/>
  <c r="H99" i="5"/>
  <c r="G46" i="5"/>
  <c r="G103" i="5"/>
  <c r="F82" i="5"/>
  <c r="H27" i="5"/>
  <c r="I84" i="5"/>
  <c r="I31" i="5"/>
  <c r="H10" i="5"/>
  <c r="G6" i="5"/>
  <c r="F123" i="5"/>
  <c r="F117" i="5"/>
  <c r="I105" i="5"/>
  <c r="H18" i="5"/>
  <c r="F93" i="5"/>
  <c r="I71" i="5"/>
  <c r="E4" i="5"/>
  <c r="G77" i="5"/>
  <c r="E106" i="5"/>
  <c r="F70" i="5"/>
  <c r="E90" i="5"/>
  <c r="E59" i="5"/>
  <c r="H119" i="5"/>
  <c r="I80" i="5"/>
  <c r="I41" i="5"/>
  <c r="E8" i="5"/>
  <c r="I64" i="5"/>
  <c r="F27" i="5"/>
  <c r="H84" i="5"/>
  <c r="H31" i="5"/>
  <c r="E10" i="5"/>
  <c r="I6" i="5"/>
  <c r="E125" i="5"/>
  <c r="E38" i="5"/>
  <c r="F78" i="5"/>
  <c r="E105" i="5"/>
  <c r="F108" i="5"/>
  <c r="H35" i="5"/>
  <c r="E91" i="5"/>
  <c r="E118" i="5"/>
  <c r="I2" i="5"/>
  <c r="I122" i="5"/>
  <c r="H76" i="5"/>
  <c r="E113" i="5"/>
  <c r="H17" i="5"/>
  <c r="F112" i="5"/>
  <c r="G99" i="5"/>
  <c r="F46" i="5"/>
  <c r="G41" i="5"/>
  <c r="H83" i="5"/>
  <c r="G30" i="5"/>
  <c r="E25" i="5"/>
  <c r="F67" i="5"/>
  <c r="F31" i="5"/>
  <c r="I5" i="5"/>
  <c r="H24" i="5"/>
  <c r="E96" i="5"/>
  <c r="E123" i="5"/>
  <c r="G38" i="5"/>
  <c r="G94" i="5"/>
  <c r="F16" i="5"/>
  <c r="G107" i="5"/>
  <c r="F124" i="5"/>
  <c r="G18" i="5"/>
  <c r="E120" i="5"/>
  <c r="F101" i="5"/>
  <c r="F3" i="5"/>
  <c r="E95" i="5"/>
  <c r="F122" i="5"/>
  <c r="E52" i="5"/>
  <c r="I113" i="5"/>
  <c r="G17" i="5"/>
  <c r="F100" i="5"/>
  <c r="E99" i="5"/>
  <c r="E46" i="5"/>
  <c r="H41" i="5"/>
  <c r="H36" i="5"/>
  <c r="I47" i="5"/>
  <c r="I27" i="5"/>
  <c r="H20" i="5"/>
  <c r="H48" i="5"/>
  <c r="E11" i="5"/>
  <c r="E55" i="5"/>
  <c r="G50" i="5"/>
  <c r="H15" i="5"/>
  <c r="I38" i="5"/>
  <c r="E94" i="5"/>
  <c r="F34" i="5"/>
  <c r="G62" i="5"/>
  <c r="I124" i="5"/>
  <c r="I18" i="5"/>
  <c r="H120" i="5"/>
  <c r="I101" i="5"/>
  <c r="G2" i="5"/>
  <c r="G122" i="5"/>
  <c r="G52" i="5"/>
  <c r="G113" i="5"/>
  <c r="F17" i="5"/>
  <c r="E100" i="5"/>
  <c r="G58" i="5"/>
  <c r="I46" i="5"/>
  <c r="E41" i="5"/>
  <c r="E36" i="5"/>
  <c r="I30" i="5"/>
  <c r="G25" i="5"/>
  <c r="G67" i="5"/>
  <c r="H11" i="5"/>
  <c r="H5" i="5"/>
  <c r="I50" i="5"/>
  <c r="G39" i="5"/>
  <c r="E121" i="5"/>
  <c r="I102" i="5"/>
  <c r="I90" i="5"/>
  <c r="I43" i="5"/>
  <c r="F8" i="5"/>
  <c r="E30" i="5"/>
  <c r="I54" i="5"/>
  <c r="G66" i="5"/>
  <c r="E13" i="5"/>
  <c r="E110" i="5"/>
  <c r="F96" i="5"/>
  <c r="I125" i="5"/>
  <c r="H38" i="5"/>
  <c r="G124" i="5"/>
  <c r="I91" i="5"/>
  <c r="E68" i="5"/>
  <c r="G116" i="5"/>
  <c r="H73" i="5"/>
  <c r="E115" i="5"/>
  <c r="G104" i="5"/>
  <c r="G112" i="5"/>
  <c r="E97" i="5"/>
  <c r="I45" i="5"/>
  <c r="H103" i="5"/>
  <c r="G83" i="5"/>
  <c r="F29" i="5"/>
  <c r="F54" i="5"/>
  <c r="F66" i="5"/>
  <c r="F12" i="5"/>
  <c r="F110" i="5"/>
  <c r="G96" i="5"/>
  <c r="H87" i="5"/>
  <c r="G117" i="5"/>
  <c r="G72" i="5"/>
  <c r="F62" i="5"/>
  <c r="F51" i="5"/>
  <c r="F23" i="5"/>
  <c r="E92" i="5"/>
  <c r="F89" i="5"/>
  <c r="E3" i="5"/>
  <c r="I116" i="5"/>
  <c r="G73" i="5"/>
  <c r="H7" i="5"/>
  <c r="G90" i="5"/>
  <c r="I59" i="5"/>
  <c r="G69" i="5"/>
  <c r="F97" i="5"/>
  <c r="H43" i="5"/>
  <c r="G49" i="5"/>
  <c r="F81" i="5"/>
  <c r="E27" i="5"/>
  <c r="E20" i="5"/>
  <c r="E48" i="5"/>
  <c r="G10" i="5"/>
  <c r="F50" i="5"/>
  <c r="G125" i="5"/>
  <c r="E21" i="5"/>
  <c r="G37" i="5"/>
  <c r="G108" i="5"/>
  <c r="I111" i="5"/>
  <c r="H91" i="5"/>
  <c r="G118" i="5"/>
  <c r="F2" i="5"/>
  <c r="I75" i="5"/>
  <c r="E76" i="5"/>
  <c r="I79" i="5"/>
  <c r="F59" i="5"/>
  <c r="I69" i="5"/>
  <c r="F63" i="5"/>
  <c r="G44" i="5"/>
  <c r="F40" i="5"/>
  <c r="E83" i="5"/>
  <c r="F30" i="5"/>
  <c r="I88" i="5"/>
  <c r="E66" i="5"/>
  <c r="I13" i="5"/>
  <c r="G5" i="5"/>
  <c r="H96" i="5"/>
  <c r="H121" i="5"/>
  <c r="E16" i="5"/>
  <c r="H105" i="5"/>
  <c r="H108" i="5"/>
  <c r="H111" i="5"/>
  <c r="E89" i="5"/>
  <c r="I3" i="5"/>
  <c r="H114" i="5"/>
  <c r="F73" i="5"/>
  <c r="E7" i="5"/>
  <c r="E79" i="5"/>
  <c r="G74" i="5"/>
  <c r="F69" i="5"/>
  <c r="H97" i="5"/>
  <c r="F44" i="5"/>
  <c r="I49" i="5"/>
  <c r="F47" i="5"/>
  <c r="G26" i="5"/>
  <c r="I20" i="5"/>
  <c r="G48" i="5"/>
  <c r="H9" i="5"/>
  <c r="G24" i="5"/>
  <c r="G15" i="5"/>
  <c r="F102" i="5"/>
  <c r="H13" i="5"/>
  <c r="F115" i="5"/>
  <c r="H85" i="5"/>
  <c r="H82" i="5"/>
  <c r="G60" i="5"/>
  <c r="H14" i="5"/>
  <c r="D14" i="6"/>
  <c r="J23" i="12" s="1"/>
  <c r="O47" i="12"/>
  <c r="O45" i="12"/>
  <c r="O52" i="12"/>
  <c r="O68" i="12"/>
  <c r="O59" i="12"/>
  <c r="O74" i="12"/>
  <c r="O48" i="12"/>
  <c r="O44" i="12"/>
  <c r="O67" i="12"/>
  <c r="O73" i="12"/>
  <c r="O62" i="12"/>
  <c r="O41" i="12"/>
  <c r="O60" i="12"/>
  <c r="O43" i="12"/>
  <c r="O71" i="12"/>
  <c r="O69" i="12"/>
  <c r="O58" i="12"/>
  <c r="O57" i="12"/>
  <c r="Z17" i="12"/>
  <c r="Z19" i="12" s="1" a="1"/>
  <c r="O51" i="12"/>
  <c r="O72" i="12"/>
  <c r="O56" i="12"/>
  <c r="O61" i="12"/>
  <c r="O75" i="12"/>
  <c r="O49" i="12"/>
  <c r="O54" i="12"/>
  <c r="D27" i="6"/>
  <c r="O39" i="12"/>
  <c r="D15" i="6"/>
  <c r="O63" i="12"/>
  <c r="O64" i="12"/>
  <c r="J1" i="5" a="1"/>
  <c r="O46" i="12"/>
  <c r="C25" i="6"/>
  <c r="O53" i="12"/>
  <c r="O50" i="12"/>
  <c r="Y17" i="12"/>
  <c r="O55" i="12"/>
  <c r="O40" i="12"/>
  <c r="C24" i="6"/>
  <c r="Y19" i="12" a="1"/>
  <c r="Q46" i="12"/>
  <c r="O42" i="12"/>
  <c r="Q30" i="12"/>
  <c r="Q20" i="12"/>
  <c r="R20" i="12"/>
  <c r="Q47" i="12"/>
  <c r="R46" i="12"/>
  <c r="Q52" i="12"/>
  <c r="Q19" i="12"/>
  <c r="R30" i="12"/>
  <c r="Q29" i="12"/>
  <c r="R29" i="12" s="1"/>
  <c r="R47" i="12"/>
  <c r="Q40" i="12"/>
  <c r="R52" i="12"/>
  <c r="O66" i="12"/>
  <c r="R19" i="12"/>
  <c r="Q23" i="12"/>
  <c r="R23" i="12"/>
  <c r="Q27" i="12"/>
  <c r="R40" i="12"/>
  <c r="Q50" i="12"/>
  <c r="Q28" i="12"/>
  <c r="Q25" i="12"/>
  <c r="R25" i="12" s="1"/>
  <c r="Q31" i="12"/>
  <c r="Q48" i="12"/>
  <c r="R50" i="12"/>
  <c r="Q56" i="12"/>
  <c r="Q39" i="12"/>
  <c r="O65" i="12"/>
  <c r="Q33" i="12"/>
  <c r="R31" i="12"/>
  <c r="R33" i="12"/>
  <c r="Q32" i="12"/>
  <c r="R32" i="12" s="1"/>
  <c r="R48" i="12"/>
  <c r="Q55" i="12"/>
  <c r="R56" i="12"/>
  <c r="R39" i="12"/>
  <c r="Q24" i="12"/>
  <c r="R28" i="12"/>
  <c r="Q34" i="12"/>
  <c r="R34" i="12" s="1"/>
  <c r="R27" i="12"/>
  <c r="R55" i="12"/>
  <c r="Q43" i="12"/>
  <c r="O70" i="12"/>
  <c r="R24" i="12"/>
  <c r="Q22" i="12"/>
  <c r="Q36" i="12"/>
  <c r="R36" i="12"/>
  <c r="Q49" i="12"/>
  <c r="R49" i="12" s="1"/>
  <c r="R43" i="12"/>
  <c r="Q45" i="12"/>
  <c r="R45" i="12" s="1"/>
  <c r="Q44" i="12"/>
  <c r="R44" i="12" s="1"/>
  <c r="Q35" i="12"/>
  <c r="R35" i="12" s="1"/>
  <c r="Q21" i="12"/>
  <c r="R21" i="12" s="1"/>
  <c r="R22" i="12"/>
  <c r="Q26" i="12"/>
  <c r="R26" i="12" s="1"/>
  <c r="Q54" i="12"/>
  <c r="R54" i="12" s="1"/>
  <c r="Q53" i="12"/>
  <c r="R53" i="12" s="1"/>
  <c r="Q41" i="12"/>
  <c r="R41" i="12" s="1"/>
  <c r="Q42" i="12"/>
  <c r="R42" i="12" s="1"/>
  <c r="Q57" i="12"/>
  <c r="R57" i="12" s="1"/>
  <c r="Q51" i="12"/>
  <c r="R51" i="12" s="1"/>
  <c r="S51" i="12" l="1"/>
  <c r="S57" i="12"/>
  <c r="S42" i="12"/>
  <c r="S41" i="12"/>
  <c r="S53" i="12"/>
  <c r="S54" i="12"/>
  <c r="S26" i="12"/>
  <c r="S22" i="12"/>
  <c r="S21" i="12"/>
  <c r="S35" i="12"/>
  <c r="S44" i="12"/>
  <c r="S45" i="12"/>
  <c r="S43" i="12"/>
  <c r="S49" i="12"/>
  <c r="S36" i="12"/>
  <c r="S24" i="12"/>
  <c r="S70" i="12"/>
  <c r="S55" i="12"/>
  <c r="S27" i="12"/>
  <c r="S34" i="12"/>
  <c r="S28" i="12"/>
  <c r="S39" i="12"/>
  <c r="S56" i="12"/>
  <c r="S48" i="12"/>
  <c r="S32" i="12"/>
  <c r="S33" i="12"/>
  <c r="S31" i="12"/>
  <c r="S65" i="12"/>
  <c r="S50" i="12"/>
  <c r="S25" i="12"/>
  <c r="S40" i="12"/>
  <c r="S23" i="12"/>
  <c r="S19" i="12"/>
  <c r="S66" i="12"/>
  <c r="S52" i="12"/>
  <c r="S47" i="12"/>
  <c r="S29" i="12"/>
  <c r="S30" i="12"/>
  <c r="S46" i="12"/>
  <c r="S20" i="12"/>
  <c r="Y881" i="12"/>
  <c r="Y1084" i="12"/>
  <c r="Y1085" i="12"/>
  <c r="Y3024" i="12"/>
  <c r="Y621" i="12"/>
  <c r="Y1821" i="12"/>
  <c r="Y58" i="12"/>
  <c r="Y1220" i="12"/>
  <c r="Y1985" i="12"/>
  <c r="Y3296" i="12"/>
  <c r="Y539" i="12"/>
  <c r="Y247" i="12"/>
  <c r="Y349" i="12"/>
  <c r="Y626" i="12"/>
  <c r="Y1693" i="12"/>
  <c r="Y2080" i="12"/>
  <c r="Y3307" i="12"/>
  <c r="Y2068" i="12"/>
  <c r="Y2195" i="12"/>
  <c r="Y1023" i="12"/>
  <c r="Y560" i="12"/>
  <c r="Y66" i="12"/>
  <c r="Y669" i="12"/>
  <c r="Y2762" i="12"/>
  <c r="Y2069" i="12"/>
  <c r="Y2802" i="12"/>
  <c r="Y2983" i="12"/>
  <c r="Y1181" i="12"/>
  <c r="Y3226" i="12"/>
  <c r="Y304" i="12"/>
  <c r="Y1501" i="12"/>
  <c r="Y3366" i="12"/>
  <c r="Y2421" i="12"/>
  <c r="Y1466" i="12"/>
  <c r="Y3357" i="12"/>
  <c r="Y2689" i="12"/>
  <c r="Y3354" i="12"/>
  <c r="Y1753" i="12"/>
  <c r="Y367" i="12"/>
  <c r="Y1679" i="12"/>
  <c r="Y3319" i="12"/>
  <c r="Y502" i="12"/>
  <c r="Y904" i="12"/>
  <c r="Y2367" i="12"/>
  <c r="Y940" i="12"/>
  <c r="Y2714" i="12"/>
  <c r="Y3229" i="12"/>
  <c r="Y1975" i="12"/>
  <c r="Y3339" i="12"/>
  <c r="Y3342" i="12"/>
  <c r="Y1139" i="12"/>
  <c r="Y2260" i="12"/>
  <c r="Y2219" i="12"/>
  <c r="Y497" i="12"/>
  <c r="Y1131" i="12"/>
  <c r="Y2544" i="12"/>
  <c r="Y2193" i="12"/>
  <c r="Y2570" i="12"/>
  <c r="Y1017" i="12"/>
  <c r="Y3392" i="12"/>
  <c r="Y2652" i="12"/>
  <c r="Y2519" i="12"/>
  <c r="Y867" i="12"/>
  <c r="Y2873" i="12"/>
  <c r="Y1092" i="12"/>
  <c r="Y3479" i="12"/>
  <c r="Y1607" i="12"/>
  <c r="Y1401" i="12"/>
  <c r="Y2231" i="12"/>
  <c r="Y301" i="12"/>
  <c r="Y1674" i="12"/>
  <c r="Y2257" i="12"/>
  <c r="Y2734" i="12"/>
  <c r="Y362" i="12"/>
  <c r="Y2511" i="12"/>
  <c r="Y1370" i="12"/>
  <c r="Y1001" i="12"/>
  <c r="Y196" i="12"/>
  <c r="Y3429" i="12"/>
  <c r="Y2765" i="12"/>
  <c r="Y26" i="12"/>
  <c r="Y2467" i="12"/>
  <c r="Y518" i="12"/>
  <c r="Y377" i="12"/>
  <c r="Y2246" i="12"/>
  <c r="Y568" i="12"/>
  <c r="Y264" i="12"/>
  <c r="Y2791" i="12"/>
  <c r="Y2160" i="12"/>
  <c r="Y3334" i="12"/>
  <c r="Y3290" i="12"/>
  <c r="Y3021" i="12"/>
  <c r="Y962" i="12"/>
  <c r="Y1509" i="12"/>
  <c r="Y370" i="12"/>
  <c r="Y854" i="12"/>
  <c r="Y403" i="12"/>
  <c r="Y33" i="12"/>
  <c r="Y987" i="12"/>
  <c r="Y1245" i="12"/>
  <c r="Y778" i="12"/>
  <c r="Y1805" i="12"/>
  <c r="Y1505" i="12"/>
  <c r="Y3298" i="12"/>
  <c r="Y953" i="12"/>
  <c r="Y178" i="12"/>
  <c r="Y2708" i="12"/>
  <c r="Y1819" i="12"/>
  <c r="Y2737" i="12"/>
  <c r="Y1869" i="12"/>
  <c r="Y1037" i="12"/>
  <c r="Y3416" i="12"/>
  <c r="Y1641" i="12"/>
  <c r="Y219" i="12"/>
  <c r="Y1495" i="12"/>
  <c r="Y2530" i="12"/>
  <c r="Y3288" i="12"/>
  <c r="Y3408" i="12"/>
  <c r="Y1843" i="12"/>
  <c r="Y172" i="12"/>
  <c r="Y1405" i="12"/>
  <c r="Y2803" i="12"/>
  <c r="Y459" i="12"/>
  <c r="Y3279" i="12"/>
  <c r="Y1600" i="12"/>
  <c r="Y1656" i="12"/>
  <c r="Y2632" i="12"/>
  <c r="Y379" i="12"/>
  <c r="Y2661" i="12"/>
  <c r="Y2587" i="12"/>
  <c r="Y2098" i="12"/>
  <c r="Y1475" i="12"/>
  <c r="Y480" i="12"/>
  <c r="Y966" i="12"/>
  <c r="Y2321" i="12"/>
  <c r="Y484" i="12"/>
  <c r="Y923" i="12"/>
  <c r="Y616" i="12"/>
  <c r="Y1592" i="12"/>
  <c r="Y3338" i="12"/>
  <c r="Y2031" i="12"/>
  <c r="Y262" i="12"/>
  <c r="Y875" i="12"/>
  <c r="Y2778" i="12"/>
  <c r="Y1239" i="12"/>
  <c r="Y3004" i="12"/>
  <c r="Y1359" i="12"/>
  <c r="Y343" i="12"/>
  <c r="Y2468" i="12"/>
  <c r="Y2848" i="12"/>
  <c r="Y3441" i="12"/>
  <c r="Y1038" i="12"/>
  <c r="Y2278" i="12"/>
  <c r="Y983" i="12"/>
  <c r="Y3095" i="12"/>
  <c r="Y1558" i="12"/>
  <c r="Y1921" i="12"/>
  <c r="Y3273" i="12"/>
  <c r="Y3373" i="12"/>
  <c r="Y1764" i="12"/>
  <c r="Y2189" i="12"/>
  <c r="Y3000" i="12"/>
  <c r="Y1500" i="12"/>
  <c r="Y2687" i="12"/>
  <c r="Y2899" i="12"/>
  <c r="Y2454" i="12"/>
  <c r="Y3035" i="12"/>
  <c r="Y408" i="12"/>
  <c r="Y2387" i="12"/>
  <c r="Y1298" i="12"/>
  <c r="Y397" i="12"/>
  <c r="Y725" i="12"/>
  <c r="Y439" i="12"/>
  <c r="Y255" i="12"/>
  <c r="Y488" i="12"/>
  <c r="Y2836" i="12"/>
  <c r="Y1647" i="12"/>
  <c r="Y989" i="12"/>
  <c r="Y2860" i="12"/>
  <c r="Y996" i="12"/>
  <c r="Y1957" i="12"/>
  <c r="Y1323" i="12"/>
  <c r="Y1142" i="12"/>
  <c r="Y3266" i="12"/>
  <c r="Y113" i="12"/>
  <c r="Y2982" i="12"/>
  <c r="Y3054" i="12"/>
  <c r="Y3327" i="12"/>
  <c r="Y2809" i="12"/>
  <c r="Y2913" i="12"/>
  <c r="Y1069" i="12"/>
  <c r="Y1145" i="12"/>
  <c r="Y320" i="12"/>
  <c r="Y565" i="12"/>
  <c r="Y637" i="12"/>
  <c r="Y1720" i="12"/>
  <c r="Y35" i="12"/>
  <c r="Y2462" i="12"/>
  <c r="Y2800" i="12"/>
  <c r="Y1387" i="12"/>
  <c r="Y249" i="12"/>
  <c r="Y1883" i="12"/>
  <c r="Y452" i="12"/>
  <c r="Y322" i="12"/>
  <c r="Y3243" i="12"/>
  <c r="Y492" i="12"/>
  <c r="Y1268" i="12"/>
  <c r="Y2485" i="12"/>
  <c r="Y142" i="12"/>
  <c r="Y1143" i="12"/>
  <c r="Y970" i="12"/>
  <c r="Y368" i="12"/>
  <c r="Y784" i="12"/>
  <c r="Y999" i="12"/>
  <c r="Y1816" i="12"/>
  <c r="Y291" i="12"/>
  <c r="Y860" i="12"/>
  <c r="Y2491" i="12"/>
  <c r="Y1978" i="12"/>
  <c r="Y1580" i="12"/>
  <c r="Y2043" i="12"/>
  <c r="Y1028" i="12"/>
  <c r="Y1484" i="12"/>
  <c r="Y1633" i="12"/>
  <c r="Y727" i="12"/>
  <c r="Y3458" i="12"/>
  <c r="Y2774" i="12"/>
  <c r="Y2336" i="12"/>
  <c r="Y1807" i="12"/>
  <c r="Y1388" i="12"/>
  <c r="Y3353" i="12"/>
  <c r="Y1352" i="12"/>
  <c r="Y2641" i="12"/>
  <c r="Y1380" i="12"/>
  <c r="Y1033" i="12"/>
  <c r="Y1488" i="12"/>
  <c r="Y3384" i="12"/>
  <c r="Y3151" i="12"/>
  <c r="Y2130" i="12"/>
  <c r="Y1296" i="12"/>
  <c r="Y2598" i="12"/>
  <c r="Y1465" i="12"/>
  <c r="Y1052" i="12"/>
  <c r="Y2801" i="12"/>
  <c r="Y2961" i="12"/>
  <c r="Y2271" i="12"/>
  <c r="Y358" i="12"/>
  <c r="Y1434" i="12"/>
  <c r="Y2330" i="12"/>
  <c r="Y398" i="12"/>
  <c r="Y3108" i="12"/>
  <c r="Y1238" i="12"/>
  <c r="Y880" i="12"/>
  <c r="Y2398" i="12"/>
  <c r="Y2191" i="12"/>
  <c r="Y2827" i="12"/>
  <c r="Y1651" i="12"/>
  <c r="Y229" i="12"/>
  <c r="Y2907" i="12"/>
  <c r="Y1732" i="12"/>
  <c r="Y526" i="12"/>
  <c r="Y359" i="12"/>
  <c r="Y1446" i="12"/>
  <c r="Y3424" i="12"/>
  <c r="Y2097" i="12"/>
  <c r="Y3250" i="12"/>
  <c r="Y1804" i="12"/>
  <c r="Y3544" i="12"/>
  <c r="Y1447" i="12"/>
  <c r="Y149" i="12"/>
  <c r="Y604" i="12"/>
  <c r="Y927" i="12"/>
  <c r="Y3007" i="12"/>
  <c r="Y603" i="12"/>
  <c r="Y1812" i="12"/>
  <c r="Y1808" i="12"/>
  <c r="Y2152" i="12"/>
  <c r="Y930" i="12"/>
  <c r="Y968" i="12"/>
  <c r="Y2960" i="12"/>
  <c r="Y1286" i="12"/>
  <c r="Y676" i="12"/>
  <c r="Y2728" i="12"/>
  <c r="Y152" i="12"/>
  <c r="Y53" i="12"/>
  <c r="Y3046" i="12"/>
  <c r="Y2222" i="12"/>
  <c r="Y728" i="12"/>
  <c r="Y1463" i="12"/>
  <c r="Y3520" i="12"/>
  <c r="Y800" i="12"/>
  <c r="Y1088" i="12"/>
  <c r="Y765" i="12"/>
  <c r="Y1486" i="12"/>
  <c r="Y1394" i="12"/>
  <c r="Y1898" i="12"/>
  <c r="Y77" i="12"/>
  <c r="Y1564" i="12"/>
  <c r="Y2666" i="12"/>
  <c r="Y409" i="12"/>
  <c r="Y50" i="12"/>
  <c r="Y2479" i="12"/>
  <c r="Y1868" i="12"/>
  <c r="Y46" i="12"/>
  <c r="Y183" i="12"/>
  <c r="Y3374" i="12"/>
  <c r="Y688" i="12"/>
  <c r="Y2490" i="12"/>
  <c r="Y615" i="12"/>
  <c r="Y469" i="12"/>
  <c r="Y3393" i="12"/>
  <c r="Y3231" i="12"/>
  <c r="Y2830" i="12"/>
  <c r="Y3239" i="12"/>
  <c r="Y3126" i="12"/>
  <c r="Y614" i="12"/>
  <c r="Y1318" i="12"/>
  <c r="Y2488" i="12"/>
  <c r="Y3446" i="12"/>
  <c r="Y1621" i="12"/>
  <c r="Y2351" i="12"/>
  <c r="Y780" i="12"/>
  <c r="Y3303" i="12"/>
  <c r="Y2821" i="12"/>
  <c r="Y1551" i="12"/>
  <c r="Y1813" i="12"/>
  <c r="Y1518" i="12"/>
  <c r="Y2362" i="12"/>
  <c r="Y1625" i="12"/>
  <c r="Y3227" i="12"/>
  <c r="Y3532" i="12"/>
  <c r="Y1684" i="12"/>
  <c r="Y3157" i="12"/>
  <c r="Y2675" i="12"/>
  <c r="Y3139" i="12"/>
  <c r="Y608" i="12"/>
  <c r="Y3230" i="12"/>
  <c r="Y340" i="12"/>
  <c r="Y942" i="12"/>
  <c r="Y3487" i="12"/>
  <c r="Y2645" i="12"/>
  <c r="Y2281" i="12"/>
  <c r="Y481" i="12"/>
  <c r="Y55" i="12"/>
  <c r="Y289" i="12"/>
  <c r="Y618" i="12"/>
  <c r="Y1669" i="12"/>
  <c r="Y3149" i="12"/>
  <c r="Y2816" i="12"/>
  <c r="Y890" i="12"/>
  <c r="Y702" i="12"/>
  <c r="Y2846" i="12"/>
  <c r="Y2058" i="12"/>
  <c r="Y662" i="12"/>
  <c r="Y537" i="12"/>
  <c r="Y1991" i="12"/>
  <c r="Y3202" i="12"/>
  <c r="Y2481" i="12"/>
  <c r="Y2057" i="12"/>
  <c r="Y3350" i="12"/>
  <c r="Y1113" i="12"/>
  <c r="Y3162" i="12"/>
  <c r="Y1294" i="12"/>
  <c r="Y3082" i="12"/>
  <c r="Y2363" i="12"/>
  <c r="Y3326" i="12"/>
  <c r="Y411" i="12"/>
  <c r="Y2759" i="12"/>
  <c r="Y3248" i="12"/>
  <c r="Y457" i="12"/>
  <c r="Y2630" i="12"/>
  <c r="Y1053" i="12"/>
  <c r="Y123" i="12"/>
  <c r="Y1875" i="12"/>
  <c r="Y3190" i="12"/>
  <c r="Y2455" i="12"/>
  <c r="Y275" i="12"/>
  <c r="Y3068" i="12"/>
  <c r="Y3098" i="12"/>
  <c r="Y2365" i="12"/>
  <c r="Y2640" i="12"/>
  <c r="Y2595" i="12"/>
  <c r="Y2117" i="12"/>
  <c r="Y209" i="12"/>
  <c r="Y2707" i="12"/>
  <c r="Y1443" i="12"/>
  <c r="Y3016" i="12"/>
  <c r="Y2552" i="12"/>
  <c r="Y1409" i="12"/>
  <c r="Y974" i="12"/>
  <c r="Y1399" i="12"/>
  <c r="Y820" i="12"/>
  <c r="Y1221" i="12"/>
  <c r="Y1655" i="12"/>
  <c r="Y1355" i="12"/>
  <c r="Y2887" i="12"/>
  <c r="Y1193" i="12"/>
  <c r="Y38" i="12"/>
  <c r="Y363" i="12"/>
  <c r="Y1175" i="12"/>
  <c r="Y671" i="12"/>
  <c r="Y950" i="12"/>
  <c r="Y3425" i="12"/>
  <c r="Y2166" i="12"/>
  <c r="Y3113" i="12"/>
  <c r="Y3389" i="12"/>
  <c r="Y1289" i="12"/>
  <c r="Y852" i="12"/>
  <c r="Y1206" i="12"/>
  <c r="Y1165" i="12"/>
  <c r="Y3500" i="12"/>
  <c r="Y979" i="12"/>
  <c r="Y1958" i="12"/>
  <c r="Y2262" i="12"/>
  <c r="Y3289" i="12"/>
  <c r="Y2541" i="12"/>
  <c r="Y2447" i="12"/>
  <c r="Y1412" i="12"/>
  <c r="Y222" i="12"/>
  <c r="Y1371" i="12"/>
  <c r="Y3083" i="12"/>
  <c r="Y567" i="12"/>
  <c r="Y651" i="12"/>
  <c r="Y2354" i="12"/>
  <c r="Y2694" i="12"/>
  <c r="Y1389" i="12"/>
  <c r="Y2073" i="12"/>
  <c r="Y150" i="12"/>
  <c r="Y2178" i="12"/>
  <c r="Y2944" i="12"/>
  <c r="Y977" i="12"/>
  <c r="Y2696" i="12"/>
  <c r="Y3198" i="12"/>
  <c r="Y630" i="12"/>
  <c r="Y666" i="12"/>
  <c r="Y2253" i="12"/>
  <c r="Y2347" i="12"/>
  <c r="Y2265" i="12"/>
  <c r="Y555" i="12"/>
  <c r="Y2550" i="12"/>
  <c r="Y1421" i="12"/>
  <c r="Y1820" i="12"/>
  <c r="Y1658" i="12"/>
  <c r="Y2267" i="12"/>
  <c r="Y1664" i="12"/>
  <c r="Y74" i="12"/>
  <c r="Y2090" i="12"/>
  <c r="Y536" i="12"/>
  <c r="Y1560" i="12"/>
  <c r="Y1742" i="12"/>
  <c r="Y1003" i="12"/>
  <c r="Y2568" i="12"/>
  <c r="Y1086" i="12"/>
  <c r="Y351" i="12"/>
  <c r="Y3228" i="12"/>
  <c r="Y1950" i="12"/>
  <c r="Y1258" i="12"/>
  <c r="Y2115" i="12"/>
  <c r="Y268" i="12"/>
  <c r="Y1519" i="12"/>
  <c r="Y2020" i="12"/>
  <c r="Y3371" i="12"/>
  <c r="Y3507" i="12"/>
  <c r="Y105" i="12"/>
  <c r="Y3062" i="12"/>
  <c r="Y1529" i="12"/>
  <c r="Y2153" i="12"/>
  <c r="Y1329" i="12"/>
  <c r="Y447" i="12"/>
  <c r="Y2543" i="12"/>
  <c r="Y1799" i="12"/>
  <c r="Y441" i="12"/>
  <c r="Y315" i="12"/>
  <c r="Y3206" i="12"/>
  <c r="Y1623" i="12"/>
  <c r="Y479" i="12"/>
  <c r="Y456" i="12"/>
  <c r="Y2613" i="12"/>
  <c r="Y3200" i="12"/>
  <c r="Y1332" i="12"/>
  <c r="Y2896" i="12"/>
  <c r="Y2214" i="12"/>
  <c r="Y601" i="12"/>
  <c r="Y1192" i="12"/>
  <c r="Y201" i="12"/>
  <c r="Y2314" i="12"/>
  <c r="Y965" i="12"/>
  <c r="Y1675" i="12"/>
  <c r="Y2620" i="12"/>
  <c r="Y1299" i="12"/>
  <c r="Y1572" i="12"/>
  <c r="Y129" i="12"/>
  <c r="Y3025" i="12"/>
  <c r="Y1573" i="12"/>
  <c r="Y30" i="12"/>
  <c r="Y1936" i="12"/>
  <c r="Y1823" i="12"/>
  <c r="Y774" i="12"/>
  <c r="Y3302" i="12"/>
  <c r="Y3443" i="12"/>
  <c r="Y3175" i="12"/>
  <c r="Y372" i="12"/>
  <c r="Y1499" i="12"/>
  <c r="Y1685" i="12"/>
  <c r="Y782" i="12"/>
  <c r="Y402" i="12"/>
  <c r="Y3287" i="12"/>
  <c r="Y1917" i="12"/>
  <c r="Y574" i="12"/>
  <c r="Y3063" i="12"/>
  <c r="Y3488" i="12"/>
  <c r="Y3530" i="12"/>
  <c r="Y1856" i="12"/>
  <c r="Y81" i="12"/>
  <c r="Y2140" i="12"/>
  <c r="Y3219" i="12"/>
  <c r="Y1715" i="12"/>
  <c r="Y564" i="12"/>
  <c r="Y2636" i="12"/>
  <c r="Y1285" i="12"/>
  <c r="Y1035" i="12"/>
  <c r="Y720" i="12"/>
  <c r="Y799" i="12"/>
  <c r="Y3099" i="12"/>
  <c r="Y1414" i="12"/>
  <c r="Y1541" i="12"/>
  <c r="Y1666" i="12"/>
  <c r="Y433" i="12"/>
  <c r="Y559" i="12"/>
  <c r="Y2450" i="12"/>
  <c r="Y1680" i="12"/>
  <c r="Y2611" i="12"/>
  <c r="Y549" i="12"/>
  <c r="Y1096" i="12"/>
  <c r="Y399" i="12"/>
  <c r="Y1678" i="12"/>
  <c r="Y2502" i="12"/>
  <c r="Y25" i="12"/>
  <c r="Y1020" i="12"/>
  <c r="Y3434" i="12"/>
  <c r="Y278" i="12"/>
  <c r="Y3078" i="12"/>
  <c r="Y1963" i="12"/>
  <c r="Y2458" i="12"/>
  <c r="Y1673" i="12"/>
  <c r="Y3372" i="12"/>
  <c r="Y1899" i="12"/>
  <c r="Y561" i="12"/>
  <c r="Y2227" i="12"/>
  <c r="Y337" i="12"/>
  <c r="Y2685" i="12"/>
  <c r="Y2847" i="12"/>
  <c r="Y3116" i="12"/>
  <c r="Y729" i="12"/>
  <c r="Y432" i="12"/>
  <c r="Y2268" i="12"/>
  <c r="Y839" i="12"/>
  <c r="Y2926" i="12"/>
  <c r="Y22" i="12"/>
  <c r="Y2269" i="12"/>
  <c r="Y1796" i="12"/>
  <c r="Y1746" i="12"/>
  <c r="Y365" i="12"/>
  <c r="Y2928" i="12"/>
  <c r="Y811" i="12"/>
  <c r="Y1855" i="12"/>
  <c r="Y3236" i="12"/>
  <c r="Y2950" i="12"/>
  <c r="Y188" i="12"/>
  <c r="Y331" i="12"/>
  <c r="Y3386" i="12"/>
  <c r="Y741" i="12"/>
  <c r="Y581" i="12"/>
  <c r="Y2798" i="12"/>
  <c r="Y2770" i="12"/>
  <c r="Y1511" i="12"/>
  <c r="Y2388" i="12"/>
  <c r="Y1429" i="12"/>
  <c r="Y2715" i="12"/>
  <c r="Y1602" i="12"/>
  <c r="Y2425" i="12"/>
  <c r="Y2866" i="12"/>
  <c r="Y1543" i="12"/>
  <c r="Y3075" i="12"/>
  <c r="Y2828" i="12"/>
  <c r="Y1933" i="12"/>
  <c r="Y1102" i="12"/>
  <c r="Y1698" i="12"/>
  <c r="Y859" i="12"/>
  <c r="Y2542" i="12"/>
  <c r="Y2829" i="12"/>
  <c r="Y3422" i="12"/>
  <c r="Y2411" i="12"/>
  <c r="Y1267" i="12"/>
  <c r="Y2155" i="12"/>
  <c r="Y3312" i="12"/>
  <c r="Y2495" i="12"/>
  <c r="Y548" i="12"/>
  <c r="Y1939" i="12"/>
  <c r="Y2315" i="12"/>
  <c r="Y446" i="12"/>
  <c r="Y2119" i="12"/>
  <c r="Y2466" i="12"/>
  <c r="Y1445" i="12"/>
  <c r="Y998" i="12"/>
  <c r="Y659" i="12"/>
  <c r="Y2999" i="12"/>
  <c r="Y2465" i="12"/>
  <c r="Y2163" i="12"/>
  <c r="Y1618" i="12"/>
  <c r="Y1860" i="12"/>
  <c r="Y2658" i="12"/>
  <c r="Y1774" i="12"/>
  <c r="Y1523" i="12"/>
  <c r="Y1506" i="12"/>
  <c r="Y2727" i="12"/>
  <c r="Y2390" i="12"/>
  <c r="Y2442" i="12"/>
  <c r="Y3418" i="12"/>
  <c r="Y1350" i="12"/>
  <c r="Y511" i="12"/>
  <c r="Y509" i="12"/>
  <c r="Y3328" i="12"/>
  <c r="Y1920" i="12"/>
  <c r="Y20" i="12"/>
  <c r="Y1082" i="12"/>
  <c r="Y3460" i="12"/>
  <c r="Y1287" i="12"/>
  <c r="Y3351" i="12"/>
  <c r="Y3414" i="12"/>
  <c r="Y3512" i="12"/>
  <c r="Y3140" i="12"/>
  <c r="Y1048" i="12"/>
  <c r="Y2373" i="12"/>
  <c r="Y939" i="12"/>
  <c r="Y1173" i="12"/>
  <c r="Y2643" i="12"/>
  <c r="Y1367" i="12"/>
  <c r="Y2788" i="12"/>
  <c r="Y2529" i="12"/>
  <c r="Y1867" i="12"/>
  <c r="Y3490" i="12"/>
  <c r="Y1095" i="12"/>
  <c r="Y3495" i="12"/>
  <c r="Y1887" i="12"/>
  <c r="Y3020" i="12"/>
  <c r="Y2025" i="12"/>
  <c r="Y45" i="12"/>
  <c r="Y912" i="12"/>
  <c r="Y1448" i="12"/>
  <c r="Y3059" i="12"/>
  <c r="Y945" i="12"/>
  <c r="Y3378" i="12"/>
  <c r="Y136" i="12"/>
  <c r="Y2665" i="12"/>
  <c r="Y2667" i="12"/>
  <c r="Y892" i="12"/>
  <c r="Y2019" i="12"/>
  <c r="Y613" i="12"/>
  <c r="Y740" i="12"/>
  <c r="Y935" i="12"/>
  <c r="Y1241" i="12"/>
  <c r="Y371" i="12"/>
  <c r="Y3070" i="12"/>
  <c r="Y2457" i="12"/>
  <c r="Y1377" i="12"/>
  <c r="Y2888" i="12"/>
  <c r="Y2187" i="12"/>
  <c r="Y436" i="12"/>
  <c r="Y2783" i="12"/>
  <c r="Y443" i="12"/>
  <c r="Y1565" i="12"/>
  <c r="Y1190" i="12"/>
  <c r="Y1009" i="12"/>
  <c r="Y2850" i="12"/>
  <c r="Y1577" i="12"/>
  <c r="Y80" i="12"/>
  <c r="Y42" i="12"/>
  <c r="Y2900" i="12"/>
  <c r="Y1081" i="12"/>
  <c r="Y525" i="12"/>
  <c r="Y2869" i="12"/>
  <c r="Y2712" i="12"/>
  <c r="Y915" i="12"/>
  <c r="Y3258" i="12"/>
  <c r="Y75" i="12"/>
  <c r="Y697" i="12"/>
  <c r="Y1170" i="12"/>
  <c r="Y3245" i="12"/>
  <c r="Y1652" i="12"/>
  <c r="Y806" i="12"/>
  <c r="Y1244" i="12"/>
  <c r="Y1264" i="12"/>
  <c r="Y3112" i="12"/>
  <c r="Y2081" i="12"/>
  <c r="Y1578" i="12"/>
  <c r="Y1478" i="12"/>
  <c r="Y1989" i="12"/>
  <c r="Y364" i="12"/>
  <c r="Y1348" i="12"/>
  <c r="Y1608" i="12"/>
  <c r="Y2499" i="12"/>
  <c r="Y1442" i="12"/>
  <c r="Y2259" i="12"/>
  <c r="Y2065" i="12"/>
  <c r="Y3238" i="12"/>
  <c r="Y2032" i="12"/>
  <c r="Y387" i="12"/>
  <c r="Y3432" i="12"/>
  <c r="Y252" i="12"/>
  <c r="Y3398" i="12"/>
  <c r="Y2517" i="12"/>
  <c r="Y1996" i="12"/>
  <c r="Y829" i="12"/>
  <c r="Y1956" i="12"/>
  <c r="Y2671" i="12"/>
  <c r="Y656" i="12"/>
  <c r="Y1128" i="12"/>
  <c r="Y654" i="12"/>
  <c r="Y1537" i="12"/>
  <c r="Y302" i="12"/>
  <c r="Y1811" i="12"/>
  <c r="Y2940" i="12"/>
  <c r="Y1884" i="12"/>
  <c r="Y3269" i="12"/>
  <c r="Y318" i="12"/>
  <c r="Y1718" i="12"/>
  <c r="Y3043" i="12"/>
  <c r="Y640" i="12"/>
  <c r="Y1826" i="12"/>
  <c r="Y2272" i="12"/>
  <c r="Y1657" i="12"/>
  <c r="Y145" i="12"/>
  <c r="Y82" i="12"/>
  <c r="Y910" i="12"/>
  <c r="Y785" i="12"/>
  <c r="Y3017" i="12"/>
  <c r="Y1261" i="12"/>
  <c r="Y1018" i="12"/>
  <c r="Y271" i="12"/>
  <c r="Y3343" i="12"/>
  <c r="Y2722" i="12"/>
  <c r="Y1226" i="12"/>
  <c r="Y623" i="12"/>
  <c r="Y1979" i="12"/>
  <c r="Y641" i="12"/>
  <c r="Y816" i="12"/>
  <c r="Y427" i="12"/>
  <c r="Y83" i="12"/>
  <c r="Y3263" i="12"/>
  <c r="Y1750" i="12"/>
  <c r="Y202" i="12"/>
  <c r="Y2973" i="12"/>
  <c r="Y168" i="12"/>
  <c r="Y2565" i="12"/>
  <c r="Y1365" i="12"/>
  <c r="Y65" i="12"/>
  <c r="Y198" i="12"/>
  <c r="Y2648" i="12"/>
  <c r="Y2116" i="12"/>
  <c r="Y1158" i="12"/>
  <c r="Y1293" i="12"/>
  <c r="Y1778" i="12"/>
  <c r="Y1013" i="12"/>
  <c r="Y400" i="12"/>
  <c r="Y2932" i="12"/>
  <c r="Y71" i="12"/>
  <c r="Y1687" i="12"/>
  <c r="Y2435" i="12"/>
  <c r="Y1691" i="12"/>
  <c r="Y3405" i="12"/>
  <c r="Y1844" i="12"/>
  <c r="Y508" i="12"/>
  <c r="Y3467" i="12"/>
  <c r="Y388" i="12"/>
  <c r="Y1347" i="12"/>
  <c r="Y512" i="12"/>
  <c r="Y3259" i="12"/>
  <c r="Y1910" i="12"/>
  <c r="Y84" i="12"/>
  <c r="Y1384" i="12"/>
  <c r="Y1817" i="12"/>
  <c r="Y3369" i="12"/>
  <c r="Y1510" i="12"/>
  <c r="Y1866" i="12"/>
  <c r="Y1802" i="12"/>
  <c r="Y3504" i="12"/>
  <c r="Y3496" i="12"/>
  <c r="Y2553" i="12"/>
  <c r="Y1832" i="12"/>
  <c r="Y335" i="12"/>
  <c r="Y752" i="12"/>
  <c r="Y3493" i="12"/>
  <c r="Y1030" i="12"/>
  <c r="Y2879" i="12"/>
  <c r="Y1761" i="12"/>
  <c r="Y2007" i="12"/>
  <c r="Y258" i="12"/>
  <c r="Y2012" i="12"/>
  <c r="Y355" i="12"/>
  <c r="Y1836" i="12"/>
  <c r="Y602" i="12"/>
  <c r="Y2799" i="12"/>
  <c r="Y1697" i="12"/>
  <c r="Y1437" i="12"/>
  <c r="Y1555" i="12"/>
  <c r="Y1034" i="12"/>
  <c r="Y3522" i="12"/>
  <c r="Y1415" i="12"/>
  <c r="Y838" i="12"/>
  <c r="Y1144" i="12"/>
  <c r="Y1454" i="12"/>
  <c r="Y1243" i="12"/>
  <c r="Y664" i="12"/>
  <c r="Y347" i="12"/>
  <c r="Y1810" i="12"/>
  <c r="Y2000" i="12"/>
  <c r="Y858" i="12"/>
  <c r="Y3451" i="12"/>
  <c r="Y3022" i="12"/>
  <c r="Y3131" i="12"/>
  <c r="Y2183" i="12"/>
  <c r="Y3050" i="12"/>
  <c r="Y1549" i="12"/>
  <c r="Y165" i="12"/>
  <c r="Y67" i="12"/>
  <c r="Y2127" i="12"/>
  <c r="Y2527" i="12"/>
  <c r="Y241" i="12"/>
  <c r="Y2794" i="12"/>
  <c r="Y2392" i="12"/>
  <c r="Y2299" i="12"/>
  <c r="Y1213" i="12"/>
  <c r="Y483" i="12"/>
  <c r="Y514" i="12"/>
  <c r="Y3309" i="12"/>
  <c r="Y234" i="12"/>
  <c r="Y587" i="12"/>
  <c r="Y333" i="12"/>
  <c r="Y2047" i="12"/>
  <c r="Y425" i="12"/>
  <c r="Y132" i="12"/>
  <c r="Y212" i="12"/>
  <c r="Y412" i="12"/>
  <c r="Y294" i="12"/>
  <c r="Y823" i="12"/>
  <c r="Y686" i="12"/>
  <c r="Y1275" i="12"/>
  <c r="Y2286" i="12"/>
  <c r="Y1189" i="12"/>
  <c r="Y2044" i="12"/>
  <c r="Y2862" i="12"/>
  <c r="Y2162" i="12"/>
  <c r="Y600" i="12"/>
  <c r="Y1160" i="12"/>
  <c r="Y2622" i="12"/>
  <c r="Y1914" i="12"/>
  <c r="Y1201" i="12"/>
  <c r="Y3387" i="12"/>
  <c r="Y3148" i="12"/>
  <c r="Y2389" i="12"/>
  <c r="Y850" i="12"/>
  <c r="Y1611" i="12"/>
  <c r="Y3167" i="12"/>
  <c r="Y3042" i="12"/>
  <c r="Y2964" i="12"/>
  <c r="Y575" i="12"/>
  <c r="Y819" i="12"/>
  <c r="Y217" i="12"/>
  <c r="Y1295" i="12"/>
  <c r="Y3325" i="12"/>
  <c r="Y1147" i="12"/>
  <c r="Y2273" i="12"/>
  <c r="Y2327" i="12"/>
  <c r="Y120" i="12"/>
  <c r="Y680" i="12"/>
  <c r="Y1010" i="12"/>
  <c r="Y2350" i="12"/>
  <c r="Y2977" i="12"/>
  <c r="Y1063" i="12"/>
  <c r="Y1196" i="12"/>
  <c r="Y758" i="12"/>
  <c r="Y1922" i="12"/>
  <c r="Y1614" i="12"/>
  <c r="Y693" i="12"/>
  <c r="Y868" i="12"/>
  <c r="Y3186" i="12"/>
  <c r="Y3356" i="12"/>
  <c r="Y3411" i="12"/>
  <c r="Y1490" i="12"/>
  <c r="Y2790" i="12"/>
  <c r="Y1480" i="12"/>
  <c r="Y227" i="12"/>
  <c r="Y2401" i="12"/>
  <c r="Y2592" i="12"/>
  <c r="Y2812" i="12"/>
  <c r="Y2062" i="12"/>
  <c r="Y2971" i="12"/>
  <c r="Y186" i="12"/>
  <c r="Y698" i="12"/>
  <c r="Y418" i="12"/>
  <c r="Y3284" i="12"/>
  <c r="Y1483" i="12"/>
  <c r="Y2701" i="12"/>
  <c r="Y381" i="12"/>
  <c r="Y1248" i="12"/>
  <c r="Y1575" i="12"/>
  <c r="Y871" i="12"/>
  <c r="Y461" i="12"/>
  <c r="Y192" i="12"/>
  <c r="Y685" i="12"/>
  <c r="Y506" i="12"/>
  <c r="Y296" i="12"/>
  <c r="Y543" i="12"/>
  <c r="Y1870" i="12"/>
  <c r="Y3433" i="12"/>
  <c r="Y1727" i="12"/>
  <c r="Y2931" i="12"/>
  <c r="Y2628" i="12"/>
  <c r="Y2328" i="12"/>
  <c r="Y31" i="12"/>
  <c r="Y2537" i="12"/>
  <c r="Y1649" i="12"/>
  <c r="Y1926" i="12"/>
  <c r="Y2562" i="12"/>
  <c r="Y2832" i="12"/>
  <c r="Y2136" i="12"/>
  <c r="Y3094" i="12"/>
  <c r="Y2172" i="12"/>
  <c r="Y1148" i="12"/>
  <c r="Y2988" i="12"/>
  <c r="Y3452" i="12"/>
  <c r="Y2539" i="12"/>
  <c r="Y3216" i="12"/>
  <c r="Y1311" i="12"/>
  <c r="Y2002" i="12"/>
  <c r="Y2619" i="12"/>
  <c r="Y1342" i="12"/>
  <c r="Y2370" i="12"/>
  <c r="Y1064" i="12"/>
  <c r="Y2756" i="12"/>
  <c r="Y1041" i="12"/>
  <c r="Y1908" i="12"/>
  <c r="Y690" i="12"/>
  <c r="Y916" i="12"/>
  <c r="Y1667" i="12"/>
  <c r="Y3383" i="12"/>
  <c r="Y2748" i="12"/>
  <c r="Y1274" i="12"/>
  <c r="Y3065" i="12"/>
  <c r="Y121" i="12"/>
  <c r="Y218" i="12"/>
  <c r="Y1105" i="12"/>
  <c r="Y3066" i="12"/>
  <c r="Y2811" i="12"/>
  <c r="Y2979" i="12"/>
  <c r="Y856" i="12"/>
  <c r="Y3232" i="12"/>
  <c r="Y2114" i="12"/>
  <c r="Y1340" i="12"/>
  <c r="Y1783" i="12"/>
  <c r="Y590" i="12"/>
  <c r="Y1106" i="12"/>
  <c r="Y2956" i="12"/>
  <c r="Y3036" i="12"/>
  <c r="Y593" i="12"/>
  <c r="Y2503" i="12"/>
  <c r="Y631" i="12"/>
  <c r="Y310" i="12"/>
  <c r="Y2024" i="12"/>
  <c r="Y2706" i="12"/>
  <c r="Y2296" i="12"/>
  <c r="Y3314" i="12"/>
  <c r="Y1497" i="12"/>
  <c r="Y533" i="12"/>
  <c r="Y2429" i="12"/>
  <c r="Y756" i="12"/>
  <c r="Y3277" i="12"/>
  <c r="Y1766" i="12"/>
  <c r="Y2744" i="12"/>
  <c r="Y1137" i="12"/>
  <c r="Y1994" i="12"/>
  <c r="Y115" i="12"/>
  <c r="Y1396" i="12"/>
  <c r="Y2245" i="12"/>
  <c r="Y2905" i="12"/>
  <c r="Y2559" i="12"/>
  <c r="Y668" i="12"/>
  <c r="Y888" i="12"/>
  <c r="Y2297" i="12"/>
  <c r="Y2064" i="12"/>
  <c r="Y1682" i="12"/>
  <c r="Y210" i="12"/>
  <c r="Y1721" i="12"/>
  <c r="Y3336" i="12"/>
  <c r="Y3215" i="12"/>
  <c r="Y2758" i="12"/>
  <c r="Y3285" i="12"/>
  <c r="Y1016" i="12"/>
  <c r="Y277" i="12"/>
  <c r="Y3220" i="12"/>
  <c r="Y2295" i="12"/>
  <c r="Y1582" i="12"/>
  <c r="Y1057" i="12"/>
  <c r="Y2938" i="12"/>
  <c r="Y1604" i="12"/>
  <c r="Y995" i="12"/>
  <c r="Y236" i="12"/>
  <c r="Y2760" i="12"/>
  <c r="Y2341" i="12"/>
  <c r="Y3045" i="12"/>
  <c r="Y1954" i="12"/>
  <c r="Y317" i="12"/>
  <c r="Y1735" i="12"/>
  <c r="Y2174" i="12"/>
  <c r="Y2865" i="12"/>
  <c r="Y1462" i="12"/>
  <c r="Y1612" i="12"/>
  <c r="Y2557" i="12"/>
  <c r="Y493" i="12"/>
  <c r="Y1111" i="12"/>
  <c r="Y2223" i="12"/>
  <c r="Y3064" i="12"/>
  <c r="Y3502" i="12"/>
  <c r="Y1458" i="12"/>
  <c r="Y2858" i="12"/>
  <c r="Y1259" i="12"/>
  <c r="Y3209" i="12"/>
  <c r="Y889" i="12"/>
  <c r="Y1314" i="12"/>
  <c r="Y1162" i="12"/>
  <c r="Y2325" i="12"/>
  <c r="Y2686" i="12"/>
  <c r="Y2317" i="12"/>
  <c r="Y1068" i="12"/>
  <c r="Y1395" i="12"/>
  <c r="Y250" i="12"/>
  <c r="Y585" i="12"/>
  <c r="Y348" i="12"/>
  <c r="Y1134" i="12"/>
  <c r="Y2075" i="12"/>
  <c r="Y905" i="12"/>
  <c r="Y1789" i="12"/>
  <c r="Y2576" i="12"/>
  <c r="Y2323" i="12"/>
  <c r="Y101" i="12"/>
  <c r="Y3471" i="12"/>
  <c r="Y573" i="12"/>
  <c r="Y2729" i="12"/>
  <c r="Y404" i="12"/>
  <c r="Y3292" i="12"/>
  <c r="Y3049" i="12"/>
  <c r="Y1343" i="12"/>
  <c r="Y199" i="12"/>
  <c r="Y3438" i="12"/>
  <c r="Y2074" i="12"/>
  <c r="Y1438" i="12"/>
  <c r="Y72" i="12"/>
  <c r="Y2637" i="12"/>
  <c r="Y3181" i="12"/>
  <c r="Y1779" i="12"/>
  <c r="Y1765" i="12"/>
  <c r="Y733" i="12"/>
  <c r="Y3180" i="12"/>
  <c r="Y283" i="12"/>
  <c r="Y2104" i="12"/>
  <c r="Y976" i="12"/>
  <c r="Y2558" i="12"/>
  <c r="Y3436" i="12"/>
  <c r="Y2660" i="12"/>
  <c r="Y2229" i="12"/>
  <c r="Y1211" i="12"/>
  <c r="Y2693" i="12"/>
  <c r="Y521" i="12"/>
  <c r="Y1586" i="12"/>
  <c r="Y2015" i="12"/>
  <c r="Y552" i="12"/>
  <c r="Y1154" i="12"/>
  <c r="Y2416" i="12"/>
  <c r="Y2240" i="12"/>
  <c r="Y3459" i="12"/>
  <c r="Y298" i="12"/>
  <c r="Y3072" i="12"/>
  <c r="Y2945" i="12"/>
  <c r="Y997" i="12"/>
  <c r="Y658" i="12"/>
  <c r="Y1601" i="12"/>
  <c r="Y122" i="12"/>
  <c r="Y3396" i="12"/>
  <c r="Y3201" i="12"/>
  <c r="Y1004" i="12"/>
  <c r="Y1406" i="12"/>
  <c r="Y2300" i="12"/>
  <c r="Y769" i="12"/>
  <c r="Y3185" i="12"/>
  <c r="Y2038" i="12"/>
  <c r="Y2076" i="12"/>
  <c r="Y2335" i="12"/>
  <c r="Y499" i="12"/>
  <c r="Y1217" i="12"/>
  <c r="Y2942" i="12"/>
  <c r="Y1584" i="12"/>
  <c r="Y3014" i="12"/>
  <c r="Y951" i="12"/>
  <c r="Y1879" i="12"/>
  <c r="Y3427" i="12"/>
  <c r="Y69" i="12"/>
  <c r="Y467" i="12"/>
  <c r="Y1829" i="12"/>
  <c r="Y2673" i="12"/>
  <c r="Y39" i="12"/>
  <c r="Y605" i="12"/>
  <c r="Y2063" i="12"/>
  <c r="Y306" i="12"/>
  <c r="Y3428" i="12"/>
  <c r="Y1508" i="12"/>
  <c r="Y2943" i="12"/>
  <c r="Y1107" i="12"/>
  <c r="Y2238" i="12"/>
  <c r="Y3118" i="12"/>
  <c r="Y2372" i="12"/>
  <c r="Y1451" i="12"/>
  <c r="Y2444" i="12"/>
  <c r="Y2776" i="12"/>
  <c r="Y959" i="12"/>
  <c r="Y625" i="12"/>
  <c r="Y2820" i="12"/>
  <c r="Y3293" i="12"/>
  <c r="Y3044" i="12"/>
  <c r="Y1596" i="12"/>
  <c r="Y1402" i="12"/>
  <c r="Y1224" i="12"/>
  <c r="Y3026" i="12"/>
  <c r="Y2631" i="12"/>
  <c r="Y730" i="12"/>
  <c r="Y3542" i="12"/>
  <c r="Y2095" i="12"/>
  <c r="Y992" i="12"/>
  <c r="Y1433" i="12"/>
  <c r="Y2789" i="12"/>
  <c r="Y170" i="12"/>
  <c r="Y2170" i="12"/>
  <c r="Y224" i="12"/>
  <c r="Y1806" i="12"/>
  <c r="Y151" i="12"/>
  <c r="Y2302" i="12"/>
  <c r="Y2005" i="12"/>
  <c r="Y1714" i="12"/>
  <c r="Y3448" i="12"/>
  <c r="Y1527" i="12"/>
  <c r="Y687" i="12"/>
  <c r="Y1391" i="12"/>
  <c r="Y1054" i="12"/>
  <c r="Y3533" i="12"/>
  <c r="Y1973" i="12"/>
  <c r="Y3480" i="12"/>
  <c r="Y3207" i="12"/>
  <c r="Y2895" i="12"/>
  <c r="Y352" i="12"/>
  <c r="Y407" i="12"/>
  <c r="Y293" i="12"/>
  <c r="Y491" i="12"/>
  <c r="Y2784" i="12"/>
  <c r="Y1530" i="12"/>
  <c r="Y476" i="12"/>
  <c r="Y1755" i="12"/>
  <c r="Y375" i="12"/>
  <c r="Y1827" i="12"/>
  <c r="Y3217" i="12"/>
  <c r="Y921" i="12"/>
  <c r="Y419" i="12"/>
  <c r="Y2985" i="12"/>
  <c r="Y27" i="12"/>
  <c r="Y175" i="12"/>
  <c r="Y3455" i="12"/>
  <c r="Y191" i="12"/>
  <c r="Y1011" i="12"/>
  <c r="Y571" i="12"/>
  <c r="Y2560" i="12"/>
  <c r="Y757" i="12"/>
  <c r="Y2034" i="12"/>
  <c r="Y792" i="12"/>
  <c r="Y760" i="12"/>
  <c r="Y777" i="12"/>
  <c r="Y334" i="12"/>
  <c r="Y1209" i="12"/>
  <c r="Y2061" i="12"/>
  <c r="Y423" i="12"/>
  <c r="Y1104" i="12"/>
  <c r="Y57" i="12"/>
  <c r="Y3385" i="12"/>
  <c r="Y2929" i="12"/>
  <c r="Y1546" i="12"/>
  <c r="Y2574" i="12"/>
  <c r="Y119" i="12"/>
  <c r="Y821" i="12"/>
  <c r="Y1336" i="12"/>
  <c r="Y421" i="12"/>
  <c r="Y1430" i="12"/>
  <c r="Y2884" i="12"/>
  <c r="Y775" i="12"/>
  <c r="Y3010" i="12"/>
  <c r="Y2402" i="12"/>
  <c r="Y1076" i="12"/>
  <c r="Y2339" i="12"/>
  <c r="Y86" i="12"/>
  <c r="Y290" i="12"/>
  <c r="Y1472" i="12"/>
  <c r="Y822" i="12"/>
  <c r="Y1502" i="12"/>
  <c r="Y1392" i="12"/>
  <c r="Y1754" i="12"/>
  <c r="Y246" i="12"/>
  <c r="Y1953" i="12"/>
  <c r="Y3210" i="12"/>
  <c r="Y2753" i="12"/>
  <c r="Y287" i="12"/>
  <c r="Y1026" i="12"/>
  <c r="Y2657" i="12"/>
  <c r="Y513" i="12"/>
  <c r="Y3106" i="12"/>
  <c r="Y828" i="12"/>
  <c r="Y684" i="12"/>
  <c r="Y1356" i="12"/>
  <c r="Y789" i="12"/>
  <c r="Y1050" i="12"/>
  <c r="Y2733" i="12"/>
  <c r="Y2545" i="12"/>
  <c r="Y3193" i="12"/>
  <c r="Y1852" i="12"/>
  <c r="Y420" i="12"/>
  <c r="Y1709" i="12"/>
  <c r="Y522" i="12"/>
  <c r="Y645" i="12"/>
  <c r="Y3394" i="12"/>
  <c r="Y2883" i="12"/>
  <c r="Y3031" i="12"/>
  <c r="Y3511" i="12"/>
  <c r="Y3506" i="12"/>
  <c r="Y265" i="12"/>
  <c r="Y1234" i="12"/>
  <c r="Y3015" i="12"/>
  <c r="Y3478" i="12"/>
  <c r="Y1711" i="12"/>
  <c r="Y2626" i="12"/>
  <c r="Y3047" i="12"/>
  <c r="Y1385" i="12"/>
  <c r="Y532" i="12"/>
  <c r="Y2185" i="12"/>
  <c r="Y2577" i="12"/>
  <c r="Y2566" i="12"/>
  <c r="Y1999" i="12"/>
  <c r="Y3376" i="12"/>
  <c r="Y3439" i="12"/>
  <c r="Y2754" i="12"/>
  <c r="Y2357" i="12"/>
  <c r="Y1932" i="12"/>
  <c r="Y2615" i="12"/>
  <c r="Y717" i="12"/>
  <c r="Y1770" i="12"/>
  <c r="Y612" i="12"/>
  <c r="Y1093" i="12"/>
  <c r="Y1969" i="12"/>
  <c r="Y1040" i="12"/>
  <c r="Y1309" i="12"/>
  <c r="Y254" i="12"/>
  <c r="Y3252" i="12"/>
  <c r="Y1903" i="12"/>
  <c r="Y243" i="12"/>
  <c r="Y1326" i="12"/>
  <c r="Y1024" i="12"/>
  <c r="Y3256" i="12"/>
  <c r="Y948" i="12"/>
  <c r="Y303" i="12"/>
  <c r="Y2535" i="12"/>
  <c r="Y1257" i="12"/>
  <c r="Y117" i="12"/>
  <c r="Y1848" i="12"/>
  <c r="Y2700" i="12"/>
  <c r="Y1531" i="12"/>
  <c r="Y2876" i="12"/>
  <c r="Y805" i="12"/>
  <c r="Y1990" i="12"/>
  <c r="Y2197" i="12"/>
  <c r="Y1595" i="12"/>
  <c r="Y2311" i="12"/>
  <c r="Y2990" i="12"/>
  <c r="Y3055" i="12"/>
  <c r="Y1345" i="12"/>
  <c r="Y1901" i="12"/>
  <c r="Y34" i="12"/>
  <c r="Y944" i="12"/>
  <c r="Y3456" i="12"/>
  <c r="Y589" i="12"/>
  <c r="Y776" i="12"/>
  <c r="Y1640" i="12"/>
  <c r="Y345" i="12"/>
  <c r="Y87" i="12"/>
  <c r="Y2156" i="12"/>
  <c r="Y2205" i="12"/>
  <c r="Y2723" i="12"/>
  <c r="Y2618" i="12"/>
  <c r="Y3352" i="12"/>
  <c r="Y2927" i="12"/>
  <c r="Y1986" i="12"/>
  <c r="Y924" i="12"/>
  <c r="Y2599" i="12"/>
  <c r="Y993" i="12"/>
  <c r="Y1644" i="12"/>
  <c r="Y2518" i="12"/>
  <c r="Y2022" i="12"/>
  <c r="Y269" i="12"/>
  <c r="Y232" i="12"/>
  <c r="Y1929" i="12"/>
  <c r="Y1701" i="12"/>
  <c r="Y413" i="12"/>
  <c r="Y2596" i="12"/>
  <c r="Y280" i="12"/>
  <c r="Y3037" i="12"/>
  <c r="Y677" i="12"/>
  <c r="Y3222" i="12"/>
  <c r="Y1320" i="12"/>
  <c r="Y937" i="12"/>
  <c r="Y2379" i="12"/>
  <c r="Y1702" i="12"/>
  <c r="Y1627" i="12"/>
  <c r="Y453" i="12"/>
  <c r="Y308" i="12"/>
  <c r="Y2981" i="12"/>
  <c r="Y3407" i="12"/>
  <c r="Y2840" i="12"/>
  <c r="Y622" i="12"/>
  <c r="Y3030" i="12"/>
  <c r="Y2617" i="12"/>
  <c r="Y2921" i="12"/>
  <c r="Y2867" i="12"/>
  <c r="Y2924" i="12"/>
  <c r="Y2035" i="12"/>
  <c r="Y2692" i="12"/>
  <c r="Y2807" i="12"/>
  <c r="Y3360" i="12"/>
  <c r="Y95" i="12"/>
  <c r="Y505" i="12"/>
  <c r="Y1316" i="12"/>
  <c r="Y1850" i="12"/>
  <c r="Y2838" i="12"/>
  <c r="Y2382" i="12"/>
  <c r="Y3087" i="12"/>
  <c r="Y2709" i="12"/>
  <c r="Y735" i="12"/>
  <c r="Y19" i="12"/>
  <c r="Y1948" i="12"/>
  <c r="Y1940" i="12"/>
  <c r="Y1195" i="12"/>
  <c r="Y2477" i="12"/>
  <c r="Y938" i="12"/>
  <c r="Y743" i="12"/>
  <c r="Y3107" i="12"/>
  <c r="Y2419" i="12"/>
  <c r="Y2703" i="12"/>
  <c r="Y3029" i="12"/>
  <c r="Y2366" i="12"/>
  <c r="Y3300" i="12"/>
  <c r="Y2320" i="12"/>
  <c r="Y1313" i="12"/>
  <c r="Y2405" i="12"/>
  <c r="Y1539" i="12"/>
  <c r="Y1891" i="12"/>
  <c r="Y2396" i="12"/>
  <c r="Y2555" i="12"/>
  <c r="Y3278" i="12"/>
  <c r="Y1141" i="12"/>
  <c r="Y707" i="12"/>
  <c r="Y563" i="12"/>
  <c r="Y2755" i="12"/>
  <c r="Y496" i="12"/>
  <c r="Y1156" i="12"/>
  <c r="Y1225" i="12"/>
  <c r="Y747" i="12"/>
  <c r="Y1416" i="12"/>
  <c r="Y3470" i="12"/>
  <c r="Y3301" i="12"/>
  <c r="Y1418" i="12"/>
  <c r="Y386" i="12"/>
  <c r="Y2343" i="12"/>
  <c r="Y1943" i="12"/>
  <c r="Y3168" i="12"/>
  <c r="Y24" i="12"/>
  <c r="Y107" i="12"/>
  <c r="Y1552" i="12"/>
  <c r="Y390" i="12"/>
  <c r="Y3105" i="12"/>
  <c r="Y3358" i="12"/>
  <c r="Y1931" i="12"/>
  <c r="Y2725" i="12"/>
  <c r="Y1242" i="12"/>
  <c r="Y1255" i="12"/>
  <c r="Y750" i="12"/>
  <c r="Y579" i="12"/>
  <c r="Y138" i="12"/>
  <c r="Y2049" i="12"/>
  <c r="Y44" i="12"/>
  <c r="Y1321" i="12"/>
  <c r="Y180" i="12"/>
  <c r="Y309" i="12"/>
  <c r="Y475" i="12"/>
  <c r="Y2886" i="12"/>
  <c r="Y1616" i="12"/>
  <c r="Y914" i="12"/>
  <c r="Y2996" i="12"/>
  <c r="Y3505" i="12"/>
  <c r="Y2962" i="12"/>
  <c r="Y3067" i="12"/>
  <c r="Y2627" i="12"/>
  <c r="Y2992" i="12"/>
  <c r="Y1376" i="12"/>
  <c r="Y1166" i="12"/>
  <c r="Y2575" i="12"/>
  <c r="Y1695" i="12"/>
  <c r="Y2594" i="12"/>
  <c r="Y2324" i="12"/>
  <c r="Y2290" i="12"/>
  <c r="Y2016" i="12"/>
  <c r="Y1341" i="12"/>
  <c r="Y2647" i="12"/>
  <c r="Y1188" i="12"/>
  <c r="Y744" i="12"/>
  <c r="Y127" i="12"/>
  <c r="Y429" i="12"/>
  <c r="Y211" i="12"/>
  <c r="Y1312" i="12"/>
  <c r="Y2122" i="12"/>
  <c r="Y1056" i="12"/>
  <c r="Y1632" i="12"/>
  <c r="Y2766" i="12"/>
  <c r="Y770" i="12"/>
  <c r="Y378" i="12"/>
  <c r="Y3194" i="12"/>
  <c r="Y2501" i="12"/>
  <c r="Y3281" i="12"/>
  <c r="Y2430" i="12"/>
  <c r="Y2525" i="12"/>
  <c r="Y2448" i="12"/>
  <c r="Y1070" i="12"/>
  <c r="Y147" i="12"/>
  <c r="Y3349" i="12"/>
  <c r="Y3484" i="12"/>
  <c r="Y216" i="12"/>
  <c r="Y1707" i="12"/>
  <c r="Y2980" i="12"/>
  <c r="Y3097" i="12"/>
  <c r="Y3551" i="12"/>
  <c r="Y3096" i="12"/>
  <c r="Y2750" i="12"/>
  <c r="Y2785" i="12"/>
  <c r="Y257" i="12"/>
  <c r="Y62" i="12"/>
  <c r="Y586" i="12"/>
  <c r="Y3134" i="12"/>
  <c r="Y2004" i="12"/>
  <c r="Y478" i="12"/>
  <c r="Y3242" i="12"/>
  <c r="Y1772" i="12"/>
  <c r="Y3335" i="12"/>
  <c r="Y1981" i="12"/>
  <c r="Y2469" i="12"/>
  <c r="Y3474" i="12"/>
  <c r="Y897" i="12"/>
  <c r="Y2307" i="12"/>
  <c r="Y678" i="12"/>
  <c r="Y734" i="12"/>
  <c r="Y1393" i="12"/>
  <c r="Y3462" i="12"/>
  <c r="Y1338" i="12"/>
  <c r="Y3498" i="12"/>
  <c r="Y1646" i="12"/>
  <c r="Y1554" i="12"/>
  <c r="Y705" i="12"/>
  <c r="Y3518" i="12"/>
  <c r="Y405" i="12"/>
  <c r="Y3061" i="12"/>
  <c r="Y2334" i="12"/>
  <c r="Y2607" i="12"/>
  <c r="Y468" i="12"/>
  <c r="Y3264" i="12"/>
  <c r="Y3192" i="12"/>
  <c r="Y2126" i="12"/>
  <c r="Y466" i="12"/>
  <c r="Y2202" i="12"/>
  <c r="Y1688" i="12"/>
  <c r="Y2609" i="12"/>
  <c r="Y1503" i="12"/>
  <c r="Y517" i="12"/>
  <c r="Y955" i="12"/>
  <c r="Y2132" i="12"/>
  <c r="Y2551" i="12"/>
  <c r="Y827" i="12"/>
  <c r="Y3244" i="12"/>
  <c r="Y2954" i="12"/>
  <c r="Y1719" i="12"/>
  <c r="Y883" i="12"/>
  <c r="Y3032" i="12"/>
  <c r="Y1775" i="12"/>
  <c r="Y47" i="12"/>
  <c r="Y1786" i="12"/>
  <c r="Y990" i="12"/>
  <c r="Y1164" i="12"/>
  <c r="Y2139" i="12"/>
  <c r="Y2861" i="12"/>
  <c r="Y1803" i="12"/>
  <c r="Y2217" i="12"/>
  <c r="Y239" i="12"/>
  <c r="Y2775" i="12"/>
  <c r="Y1349" i="12"/>
  <c r="Y2237" i="12"/>
  <c r="Y1818" i="12"/>
  <c r="Y961" i="12"/>
  <c r="Y2282" i="12"/>
  <c r="Y2898" i="12"/>
  <c r="Y2823" i="12"/>
  <c r="Y2060" i="12"/>
  <c r="Y1083" i="12"/>
  <c r="Y1794" i="12"/>
  <c r="Y1496" i="12"/>
  <c r="Y3457" i="12"/>
  <c r="Y1966" i="12"/>
  <c r="Y1740" i="12"/>
  <c r="Y2041" i="12"/>
  <c r="Y1319" i="12"/>
  <c r="Y2052" i="12"/>
  <c r="Y884" i="12"/>
  <c r="Y426" i="12"/>
  <c r="Y527" i="12"/>
  <c r="Y2196" i="12"/>
  <c r="Y2741" i="12"/>
  <c r="Y2839" i="12"/>
  <c r="Y489" i="12"/>
  <c r="Y576" i="12"/>
  <c r="Y1839" i="12"/>
  <c r="Y2984" i="12"/>
  <c r="Y2188" i="12"/>
  <c r="Y2277" i="12"/>
  <c r="Y92" i="12"/>
  <c r="Y1322" i="12"/>
  <c r="Y440" i="12"/>
  <c r="Y1782" i="12"/>
  <c r="Y3442" i="12"/>
  <c r="Y1455" i="12"/>
  <c r="Y2333" i="12"/>
  <c r="Y1662" i="12"/>
  <c r="Y917" i="12"/>
  <c r="Y2740" i="12"/>
  <c r="Y2763" i="12"/>
  <c r="Y1066" i="12"/>
  <c r="Y2955" i="12"/>
  <c r="Y2515" i="12"/>
  <c r="Y762" i="12"/>
  <c r="Y2404" i="12"/>
  <c r="Y1861" i="12"/>
  <c r="Y1583" i="12"/>
  <c r="Y2094" i="12"/>
  <c r="Y534" i="12"/>
  <c r="Y342" i="12"/>
  <c r="Y3271" i="12"/>
  <c r="Y2256" i="12"/>
  <c r="Y2446" i="12"/>
  <c r="Y3545" i="12"/>
  <c r="Y2642" i="12"/>
  <c r="Y2918" i="12"/>
  <c r="Y1699" i="12"/>
  <c r="Y2453" i="12"/>
  <c r="Y263" i="12"/>
  <c r="Y3125" i="12"/>
  <c r="Y929" i="12"/>
  <c r="Y3321" i="12"/>
  <c r="Y1889" i="12"/>
  <c r="Y592" i="12"/>
  <c r="Y1606" i="12"/>
  <c r="Y1457" i="12"/>
  <c r="Y3430" i="12"/>
  <c r="Y1589" i="12"/>
  <c r="Y195" i="12"/>
  <c r="Y2397" i="12"/>
  <c r="Y1724" i="12"/>
  <c r="Y205" i="12"/>
  <c r="Y3297" i="12"/>
  <c r="Y1597" i="12"/>
  <c r="Y3187" i="12"/>
  <c r="Y909" i="12"/>
  <c r="Y3132" i="12"/>
  <c r="Y143" i="12"/>
  <c r="Y1610" i="12"/>
  <c r="Y754" i="12"/>
  <c r="Y2795" i="12"/>
  <c r="Y2603" i="12"/>
  <c r="Y1300" i="12"/>
  <c r="Y3169" i="12"/>
  <c r="Y1562" i="12"/>
  <c r="Y1971" i="12"/>
  <c r="Y957" i="12"/>
  <c r="Y1381" i="12"/>
  <c r="Y2395" i="12"/>
  <c r="Y1814" i="12"/>
  <c r="Y2399" i="12"/>
  <c r="Y1872" i="12"/>
  <c r="Y2616" i="12"/>
  <c r="Y672" i="12"/>
  <c r="Y2209" i="12"/>
  <c r="Y3253" i="12"/>
  <c r="Y2963" i="12"/>
  <c r="Y2837" i="12"/>
  <c r="Y1022" i="12"/>
  <c r="Y260" i="12"/>
  <c r="Y1890" i="12"/>
  <c r="Y2835" i="12"/>
  <c r="Y721" i="12"/>
  <c r="Y2194" i="12"/>
  <c r="Y2782" i="12"/>
  <c r="Y94" i="12"/>
  <c r="Y2472" i="12"/>
  <c r="Y1871" i="12"/>
  <c r="Y1172" i="12"/>
  <c r="Y392" i="12"/>
  <c r="Y2129" i="12"/>
  <c r="Y2623" i="12"/>
  <c r="Y3341" i="12"/>
  <c r="Y1476" i="12"/>
  <c r="Y3048" i="12"/>
  <c r="Y3270" i="12"/>
  <c r="Y731" i="12"/>
  <c r="Y184" i="12"/>
  <c r="Y920" i="12"/>
  <c r="Y2377" i="12"/>
  <c r="Y815" i="12"/>
  <c r="Y3275" i="12"/>
  <c r="Y2179" i="12"/>
  <c r="Y2288" i="12"/>
  <c r="Y545" i="12"/>
  <c r="Y73" i="12"/>
  <c r="Y3058" i="12"/>
  <c r="Y1182" i="12"/>
  <c r="Y1526" i="12"/>
  <c r="Y1479" i="12"/>
  <c r="Y1301" i="12"/>
  <c r="Y2470" i="12"/>
  <c r="Y1643" i="12"/>
  <c r="Y3549" i="12"/>
  <c r="Y692" i="12"/>
  <c r="Y1152" i="12"/>
  <c r="Y982" i="12"/>
  <c r="Y718" i="12"/>
  <c r="Y2547" i="12"/>
  <c r="Y1801" i="12"/>
  <c r="Y772" i="12"/>
  <c r="Y3465" i="12"/>
  <c r="Y2440" i="12"/>
  <c r="Y2719" i="12"/>
  <c r="Y1681" i="12"/>
  <c r="Y1432" i="12"/>
  <c r="Y3468" i="12"/>
  <c r="Y1668" i="12"/>
  <c r="Y2033" i="12"/>
  <c r="Y2071" i="12"/>
  <c r="Y3286" i="12"/>
  <c r="Y1897" i="12"/>
  <c r="Y542" i="12"/>
  <c r="Y599" i="12"/>
  <c r="Y2731" i="12"/>
  <c r="Y1373" i="12"/>
  <c r="Y156" i="12"/>
  <c r="Y1748" i="12"/>
  <c r="Y764" i="12"/>
  <c r="Y313" i="12"/>
  <c r="Y3399" i="12"/>
  <c r="Y3331" i="12"/>
  <c r="Y169" i="12"/>
  <c r="Y1713" i="12"/>
  <c r="Y2805" i="12"/>
  <c r="Y638" i="12"/>
  <c r="Y266" i="12"/>
  <c r="Y3472" i="12"/>
  <c r="Y2880" i="12"/>
  <c r="Y206" i="12"/>
  <c r="Y2585" i="12"/>
  <c r="Y1984" i="12"/>
  <c r="Y449" i="12"/>
  <c r="Y649" i="12"/>
  <c r="Y2303" i="12"/>
  <c r="Y2250" i="12"/>
  <c r="Y1007" i="12"/>
  <c r="Y2355" i="12"/>
  <c r="Y1788" i="12"/>
  <c r="Y2009" i="12"/>
  <c r="Y288" i="12"/>
  <c r="Y1308" i="12"/>
  <c r="Y3251" i="12"/>
  <c r="Y814" i="12"/>
  <c r="Y3481" i="12"/>
  <c r="Y1132" i="12"/>
  <c r="Y1563" i="12"/>
  <c r="Y1660" i="12"/>
  <c r="Y3012" i="12"/>
  <c r="Y726" i="12"/>
  <c r="Y228" i="12"/>
  <c r="Y2154" i="12"/>
  <c r="Y2989" i="12"/>
  <c r="Y454" i="12"/>
  <c r="Y2612" i="12"/>
  <c r="Y1545" i="12"/>
  <c r="Y167" i="12"/>
  <c r="Y2028" i="12"/>
  <c r="Y3420" i="12"/>
  <c r="Y1346" i="12"/>
  <c r="Y2218" i="12"/>
  <c r="Y2359" i="12"/>
  <c r="Y2806" i="12"/>
  <c r="Y1252" i="12"/>
  <c r="Y109" i="12"/>
  <c r="Y1722" i="12"/>
  <c r="Y1659" i="12"/>
  <c r="Y1696" i="12"/>
  <c r="Y3249" i="12"/>
  <c r="Y2147" i="12"/>
  <c r="Y1980" i="12"/>
  <c r="Y2710" i="12"/>
  <c r="Y179" i="12"/>
  <c r="Y2418" i="12"/>
  <c r="Y3152" i="12"/>
  <c r="Y2635" i="12"/>
  <c r="Y663" i="12"/>
  <c r="Y1439" i="12"/>
  <c r="Y2508" i="12"/>
  <c r="Y1974" i="12"/>
  <c r="Y498" i="12"/>
  <c r="Y299" i="12"/>
  <c r="Y679" i="12"/>
  <c r="Y2483" i="12"/>
  <c r="Y3257" i="12"/>
  <c r="Y1585" i="12"/>
  <c r="Y1665" i="12"/>
  <c r="Y1176" i="12"/>
  <c r="Y2718" i="12"/>
  <c r="Y162" i="12"/>
  <c r="Y2608" i="12"/>
  <c r="Y1078" i="12"/>
  <c r="Y1628" i="12"/>
  <c r="Y1351" i="12"/>
  <c r="Y2872" i="12"/>
  <c r="Y617" i="12"/>
  <c r="Y3165" i="12"/>
  <c r="Y3523" i="12"/>
  <c r="Y2624" i="12"/>
  <c r="Y952" i="12"/>
  <c r="Y3380" i="12"/>
  <c r="Y159" i="12"/>
  <c r="Y1103" i="12"/>
  <c r="Y259" i="12"/>
  <c r="Y787" i="12"/>
  <c r="Y2672" i="12"/>
  <c r="Y2602" i="12"/>
  <c r="Y771" i="12"/>
  <c r="Y911" i="12"/>
  <c r="Y2974" i="12"/>
  <c r="Y817" i="12"/>
  <c r="Y1828" i="12"/>
  <c r="Y482" i="12"/>
  <c r="Y1237" i="12"/>
  <c r="Y566" i="12"/>
  <c r="Y801" i="12"/>
  <c r="Y1229" i="12"/>
  <c r="Y2655" i="12"/>
  <c r="Y991" i="12"/>
  <c r="Y1763" i="12"/>
  <c r="Y3214" i="12"/>
  <c r="Y2572" i="12"/>
  <c r="Y1758" i="12"/>
  <c r="Y1851" i="12"/>
  <c r="Y140" i="12"/>
  <c r="Y1149" i="12"/>
  <c r="Y3486" i="12"/>
  <c r="Y3117" i="12"/>
  <c r="Y2506" i="12"/>
  <c r="Y2026" i="12"/>
  <c r="Y134" i="12"/>
  <c r="Y51" i="12"/>
  <c r="Y3240" i="12"/>
  <c r="Y1960" i="12"/>
  <c r="Y1281" i="12"/>
  <c r="Y1218" i="12"/>
  <c r="Y2972" i="12"/>
  <c r="Y1787" i="12"/>
  <c r="Y1944" i="12"/>
  <c r="Y896" i="12"/>
  <c r="Y2158" i="12"/>
  <c r="Y984" i="12"/>
  <c r="Y1581" i="12"/>
  <c r="Y1161" i="12"/>
  <c r="Y1477" i="12"/>
  <c r="Y3085" i="12"/>
  <c r="Y1734" i="12"/>
  <c r="Y781" i="12"/>
  <c r="Y3137" i="12"/>
  <c r="Y3508" i="12"/>
  <c r="Y2220" i="12"/>
  <c r="Y2348" i="12"/>
  <c r="Y1328" i="12"/>
  <c r="Y3177" i="12"/>
  <c r="Y3485" i="12"/>
  <c r="Y2487" i="12"/>
  <c r="Y3218" i="12"/>
  <c r="Y2909" i="12"/>
  <c r="Y1521" i="12"/>
  <c r="Y837" i="12"/>
  <c r="Y97" i="12"/>
  <c r="Y2875" i="12"/>
  <c r="Y2663" i="12"/>
  <c r="Y1344" i="12"/>
  <c r="Y1880" i="12"/>
  <c r="Y1207" i="12"/>
  <c r="Y1629" i="12"/>
  <c r="Y900" i="12"/>
  <c r="Y1059" i="12"/>
  <c r="Y1228" i="12"/>
  <c r="Y1815" i="12"/>
  <c r="Y1729" i="12"/>
  <c r="Y102" i="12"/>
  <c r="Y1452" i="12"/>
  <c r="Y2682" i="12"/>
  <c r="Y3040" i="12"/>
  <c r="Y3188" i="12"/>
  <c r="Y3212" i="12"/>
  <c r="Y2514" i="12"/>
  <c r="Y1609" i="12"/>
  <c r="Y1937" i="12"/>
  <c r="Y2432" i="12"/>
  <c r="Y223" i="12"/>
  <c r="Y1878" i="12"/>
  <c r="Y1569" i="12"/>
  <c r="Y1677" i="12"/>
  <c r="Y1886" i="12"/>
  <c r="Y2738" i="12"/>
  <c r="Y1363" i="12"/>
  <c r="Y3176" i="12"/>
  <c r="Y1283" i="12"/>
  <c r="Y182" i="12"/>
  <c r="Y2509" i="12"/>
  <c r="Y240" i="12"/>
  <c r="Y2371" i="12"/>
  <c r="Y444" i="12"/>
  <c r="Y857" i="12"/>
  <c r="Y2889" i="12"/>
  <c r="Y2200" i="12"/>
  <c r="Y691" i="12"/>
  <c r="Y2480" i="12"/>
  <c r="Y670" i="12"/>
  <c r="Y2649" i="12"/>
  <c r="Y788" i="12"/>
  <c r="Y958" i="12"/>
  <c r="Y1097" i="12"/>
  <c r="Y1941" i="12"/>
  <c r="Y2001" i="12"/>
  <c r="Y2036" i="12"/>
  <c r="Y1473" i="12"/>
  <c r="Y2464" i="12"/>
  <c r="Y1535" i="12"/>
  <c r="Y396" i="12"/>
  <c r="Y2690" i="12"/>
  <c r="Y3333" i="12"/>
  <c r="Y70" i="12"/>
  <c r="Y1913" i="12"/>
  <c r="Y1781" i="12"/>
  <c r="Y2653" i="12"/>
  <c r="Y3291" i="12"/>
  <c r="Y1246" i="12"/>
  <c r="Y1127" i="12"/>
  <c r="Y2244" i="12"/>
  <c r="Y414" i="12"/>
  <c r="Y54" i="12"/>
  <c r="Y918" i="12"/>
  <c r="Y155" i="12"/>
  <c r="Y3199" i="12"/>
  <c r="Y2897" i="12"/>
  <c r="Y2053" i="12"/>
  <c r="Y1269" i="12"/>
  <c r="Y2998" i="12"/>
  <c r="Y510" i="12"/>
  <c r="Y809" i="12"/>
  <c r="Y1835" i="12"/>
  <c r="Y3552" i="12"/>
  <c r="Y3261" i="12"/>
  <c r="Y2410" i="12"/>
  <c r="Y3340" i="12"/>
  <c r="Y1873" i="12"/>
  <c r="Y1325" i="12"/>
  <c r="Y748" i="12"/>
  <c r="Y3145" i="12"/>
  <c r="Y2717" i="12"/>
  <c r="Y1417" i="12"/>
  <c r="Y1386" i="12"/>
  <c r="Y1752" i="12"/>
  <c r="Y1249" i="12"/>
  <c r="Y1435" i="12"/>
  <c r="Y2695" i="12"/>
  <c r="Y3133" i="12"/>
  <c r="Y701" i="12"/>
  <c r="Y3268" i="12"/>
  <c r="Y2761" i="12"/>
  <c r="Y1383" i="12"/>
  <c r="Y2855" i="12"/>
  <c r="Y1271" i="12"/>
  <c r="Y779" i="12"/>
  <c r="Y804" i="12"/>
  <c r="Y973" i="12"/>
  <c r="Y3315" i="12"/>
  <c r="Y1853" i="12"/>
  <c r="Y932" i="12"/>
  <c r="Y2523" i="12"/>
  <c r="Y2438" i="12"/>
  <c r="Y1449" i="12"/>
  <c r="Y1733" i="12"/>
  <c r="Y1858" i="12"/>
  <c r="Y3368" i="12"/>
  <c r="Y1833" i="12"/>
  <c r="Y2588" i="12"/>
  <c r="Y2904" i="12"/>
  <c r="Y863" i="12"/>
  <c r="Y1547" i="12"/>
  <c r="Y1907" i="12"/>
  <c r="Y3402" i="12"/>
  <c r="Y1636" i="12"/>
  <c r="Y908" i="12"/>
  <c r="Y2375" i="12"/>
  <c r="Y2021" i="12"/>
  <c r="Y2493" i="12"/>
  <c r="Y3038" i="12"/>
  <c r="Y99" i="12"/>
  <c r="Y655" i="12"/>
  <c r="Y753" i="12"/>
  <c r="Y2910" i="12"/>
  <c r="Y307" i="12"/>
  <c r="Y1331" i="12"/>
  <c r="Y2294" i="12"/>
  <c r="Y2504" i="12"/>
  <c r="Y2919" i="12"/>
  <c r="Y431" i="12"/>
  <c r="Y1280" i="12"/>
  <c r="Y1236" i="12"/>
  <c r="Y430" i="12"/>
  <c r="Y171" i="12"/>
  <c r="Y1993" i="12"/>
  <c r="Y305" i="12"/>
  <c r="Y3129" i="12"/>
  <c r="Y2006" i="12"/>
  <c r="Y2601" i="12"/>
  <c r="Y3363" i="12"/>
  <c r="Y2103" i="12"/>
  <c r="Y1550" i="12"/>
  <c r="Y994" i="12"/>
  <c r="Y2571" i="12"/>
  <c r="Y141" i="12"/>
  <c r="Y1368" i="12"/>
  <c r="Y2083" i="12"/>
  <c r="Y1419" i="12"/>
  <c r="Y2651" i="12"/>
  <c r="Y1288" i="12"/>
  <c r="Y3147" i="12"/>
  <c r="Y3316" i="12"/>
  <c r="Y1179" i="12"/>
  <c r="Y2216" i="12"/>
  <c r="Y2849" i="12"/>
  <c r="Y1635" i="12"/>
  <c r="Y1631" i="12"/>
  <c r="Y1837" i="12"/>
  <c r="Y1101" i="12"/>
  <c r="Y2505" i="12"/>
  <c r="Y2584" i="12"/>
  <c r="Y954" i="12"/>
  <c r="Y1603" i="12"/>
  <c r="Y1006" i="12"/>
  <c r="Y2255" i="12"/>
  <c r="Y2564" i="12"/>
  <c r="Y894" i="12"/>
  <c r="Y261" i="12"/>
  <c r="Y2471" i="12"/>
  <c r="Y1624" i="12"/>
  <c r="Y1548" i="12"/>
  <c r="Y3144" i="12"/>
  <c r="Y1736" i="12"/>
  <c r="Y2851" i="12"/>
  <c r="Y2583" i="12"/>
  <c r="Y221" i="12"/>
  <c r="Y2843" i="12"/>
  <c r="Y1366" i="12"/>
  <c r="Y485" i="12"/>
  <c r="Y2864" i="12"/>
  <c r="Y1375" i="12"/>
  <c r="Y2266" i="12"/>
  <c r="Y338" i="12"/>
  <c r="Y1927" i="12"/>
  <c r="Y1055" i="12"/>
  <c r="Y1227" i="12"/>
  <c r="Y3179" i="12"/>
  <c r="Y2948" i="12"/>
  <c r="Y2711" i="12"/>
  <c r="Y2702" i="12"/>
  <c r="Y1514" i="12"/>
  <c r="Y1906" i="12"/>
  <c r="Y1315" i="12"/>
  <c r="Y2699" i="12"/>
  <c r="Y1972" i="12"/>
  <c r="Y1413" i="12"/>
  <c r="Y3503" i="12"/>
  <c r="Y1410" i="12"/>
  <c r="Y1676" i="12"/>
  <c r="Y1896" i="12"/>
  <c r="Y3306" i="12"/>
  <c r="Y2894" i="12"/>
  <c r="Y3158" i="12"/>
  <c r="Y2056" i="12"/>
  <c r="Y1751" i="12"/>
  <c r="Y2561" i="12"/>
  <c r="Y588" i="12"/>
  <c r="Y3444" i="12"/>
  <c r="Y292" i="12"/>
  <c r="Y1112" i="12"/>
  <c r="Y2871" i="12"/>
  <c r="Y661" i="12"/>
  <c r="Y2441" i="12"/>
  <c r="Y1992" i="12"/>
  <c r="Y1000" i="12"/>
  <c r="Y628" i="12"/>
  <c r="Y2145" i="12"/>
  <c r="Y1353" i="12"/>
  <c r="Y2745" i="12"/>
  <c r="Y1005" i="12"/>
  <c r="Y2313" i="12"/>
  <c r="Y3225" i="12"/>
  <c r="Y1524" i="12"/>
  <c r="Y3104" i="12"/>
  <c r="Y3260" i="12"/>
  <c r="Y100" i="12"/>
  <c r="Y1427" i="12"/>
  <c r="Y2452" i="12"/>
  <c r="Y2586" i="12"/>
  <c r="Y818" i="12"/>
  <c r="Y2264" i="12"/>
  <c r="Y708" i="12"/>
  <c r="Y833" i="12"/>
  <c r="Y135" i="12"/>
  <c r="Y2912" i="12"/>
  <c r="Y802" i="12"/>
  <c r="Y3073" i="12"/>
  <c r="Y2730" i="12"/>
  <c r="Y1964" i="12"/>
  <c r="Y204" i="12"/>
  <c r="Y3138" i="12"/>
  <c r="Y2844" i="12"/>
  <c r="Y1757" i="12"/>
  <c r="Y2877" i="12"/>
  <c r="Y2221" i="12"/>
  <c r="Y3313" i="12"/>
  <c r="Y245" i="12"/>
  <c r="Y326" i="12"/>
  <c r="Y248" i="12"/>
  <c r="Y3089" i="12"/>
  <c r="Y2293" i="12"/>
  <c r="Y824" i="12"/>
  <c r="Y3211" i="12"/>
  <c r="Y2578" i="12"/>
  <c r="Y1459" i="12"/>
  <c r="Y719" i="12"/>
  <c r="Y1830" i="12"/>
  <c r="Y3365" i="12"/>
  <c r="Y1223" i="12"/>
  <c r="Y3310" i="12"/>
  <c r="Y2235" i="12"/>
  <c r="Y3196" i="12"/>
  <c r="Y723" i="12"/>
  <c r="Y704" i="12"/>
  <c r="Y1533" i="12"/>
  <c r="Y2459" i="12"/>
  <c r="Y2854" i="12"/>
  <c r="Y759" i="12"/>
  <c r="Y2890" i="12"/>
  <c r="Y253" i="12"/>
  <c r="Y213" i="12"/>
  <c r="Y3539" i="12"/>
  <c r="Y1822" i="12"/>
  <c r="Y1408" i="12"/>
  <c r="Y665" i="12"/>
  <c r="Y464" i="12"/>
  <c r="Y2123" i="12"/>
  <c r="Y797" i="12"/>
  <c r="Y88" i="12"/>
  <c r="Y899" i="12"/>
  <c r="Y1073" i="12"/>
  <c r="Y2360" i="12"/>
  <c r="Y3513" i="12"/>
  <c r="Y1717" i="12"/>
  <c r="Y3320" i="12"/>
  <c r="Y667" i="12"/>
  <c r="Y943" i="12"/>
  <c r="Y3223" i="12"/>
  <c r="Y2118" i="12"/>
  <c r="Y1133" i="12"/>
  <c r="Y582" i="12"/>
  <c r="Y2579" i="12"/>
  <c r="Y1354" i="12"/>
  <c r="Y256" i="12"/>
  <c r="Y319" i="12"/>
  <c r="Y2947" i="12"/>
  <c r="Y2669" i="12"/>
  <c r="Y3114" i="12"/>
  <c r="Y2048" i="12"/>
  <c r="Y2167" i="12"/>
  <c r="Y2338" i="12"/>
  <c r="Y2108" i="12"/>
  <c r="Y3390" i="12"/>
  <c r="Y329" i="12"/>
  <c r="Y214" i="12"/>
  <c r="Y361" i="12"/>
  <c r="Y975" i="12"/>
  <c r="Y2824" i="12"/>
  <c r="Y1935" i="12"/>
  <c r="Y2346" i="12"/>
  <c r="Y3018" i="12"/>
  <c r="Y2528" i="12"/>
  <c r="Y2013" i="12"/>
  <c r="Y2352" i="12"/>
  <c r="Y2198" i="12"/>
  <c r="Y225" i="12"/>
  <c r="Y2182" i="12"/>
  <c r="Y185" i="12"/>
  <c r="Y2241" i="12"/>
  <c r="Y1250" i="12"/>
  <c r="Y926" i="12"/>
  <c r="Y596" i="12"/>
  <c r="Y2254" i="12"/>
  <c r="Y2287" i="12"/>
  <c r="Y1962" i="12"/>
  <c r="Y2176" i="12"/>
  <c r="Y3247" i="12"/>
  <c r="Y1961" i="12"/>
  <c r="Y3079" i="12"/>
  <c r="Y1776" i="12"/>
  <c r="Y490" i="12"/>
  <c r="Y424" i="12"/>
  <c r="Y1428" i="12"/>
  <c r="Y2726" i="12"/>
  <c r="Y2385" i="12"/>
  <c r="Y2507" i="12"/>
  <c r="Y2953" i="12"/>
  <c r="Y3323" i="12"/>
  <c r="Y520" i="12"/>
  <c r="Y3234" i="12"/>
  <c r="Y2381" i="12"/>
  <c r="Y3535" i="12"/>
  <c r="Y272" i="12"/>
  <c r="Y647" i="12"/>
  <c r="Y870" i="12"/>
  <c r="Y3060" i="12"/>
  <c r="Y1177" i="12"/>
  <c r="Y52" i="12"/>
  <c r="Y1361" i="12"/>
  <c r="Y2072" i="12"/>
  <c r="Y1467" i="12"/>
  <c r="Y43" i="12"/>
  <c r="Y2146" i="12"/>
  <c r="Y3005" i="12"/>
  <c r="Y3092" i="12"/>
  <c r="Y633" i="12"/>
  <c r="Y541" i="12"/>
  <c r="Y2215" i="12"/>
  <c r="Y2213" i="12"/>
  <c r="Y323" i="12"/>
  <c r="Y2516" i="12"/>
  <c r="Y1738" i="12"/>
  <c r="Y2344" i="12"/>
  <c r="Y1622" i="12"/>
  <c r="Y2407" i="12"/>
  <c r="Y2096" i="12"/>
  <c r="Y2842" i="12"/>
  <c r="Y416" i="12"/>
  <c r="Y1324" i="12"/>
  <c r="Y1178" i="12"/>
  <c r="Y1730" i="12"/>
  <c r="Y2638" i="12"/>
  <c r="Y1481" i="12"/>
  <c r="Y2536" i="12"/>
  <c r="Y2018" i="12"/>
  <c r="Y1831" i="12"/>
  <c r="Y1712" i="12"/>
  <c r="Y2680" i="12"/>
  <c r="Y2966" i="12"/>
  <c r="Y3153" i="12"/>
  <c r="Y1121" i="12"/>
  <c r="Y2433" i="12"/>
  <c r="Y3519" i="12"/>
  <c r="Y451" i="12"/>
  <c r="Y1468" i="12"/>
  <c r="Y2169" i="12"/>
  <c r="Y2474" i="12"/>
  <c r="Y1987" i="12"/>
  <c r="Y2093" i="12"/>
  <c r="Y1517" i="12"/>
  <c r="Y2144" i="12"/>
  <c r="Y1532" i="12"/>
  <c r="Y2135" i="12"/>
  <c r="Y793" i="12"/>
  <c r="Y3528" i="12"/>
  <c r="Y1945" i="12"/>
  <c r="Y1235" i="12"/>
  <c r="Y3002" i="12"/>
  <c r="Y2086" i="12"/>
  <c r="Y2318" i="12"/>
  <c r="Y660" i="12"/>
  <c r="Y2408" i="12"/>
  <c r="Y3391" i="12"/>
  <c r="Y2087" i="12"/>
  <c r="Y2478" i="12"/>
  <c r="Y385" i="12"/>
  <c r="Y2424" i="12"/>
  <c r="Y808" i="12"/>
  <c r="Y325" i="12"/>
  <c r="Y3299" i="12"/>
  <c r="Y3489" i="12"/>
  <c r="Y1534" i="12"/>
  <c r="Y846" i="12"/>
  <c r="Y1797" i="12"/>
  <c r="Y768" i="12"/>
  <c r="Y3476" i="12"/>
  <c r="Y3419" i="12"/>
  <c r="Y422" i="12"/>
  <c r="Y1202" i="12"/>
  <c r="Y1109" i="12"/>
  <c r="Y2460" i="12"/>
  <c r="Y1159" i="12"/>
  <c r="Y1130" i="12"/>
  <c r="Y270" i="12"/>
  <c r="Y1726" i="12"/>
  <c r="Y2793" i="12"/>
  <c r="Y2242" i="12"/>
  <c r="Y1544" i="12"/>
  <c r="Y2906" i="12"/>
  <c r="Y3001" i="12"/>
  <c r="Y2986" i="12"/>
  <c r="Y2941" i="12"/>
  <c r="Y36" i="12"/>
  <c r="Y3469" i="12"/>
  <c r="Y2747" i="12"/>
  <c r="Y295" i="12"/>
  <c r="Y2374" i="12"/>
  <c r="Y2569" i="12"/>
  <c r="Y1222" i="12"/>
  <c r="Y1379" i="12"/>
  <c r="Y1892" i="12"/>
  <c r="Y893" i="12"/>
  <c r="Y1909" i="12"/>
  <c r="Y1841" i="12"/>
  <c r="Y1613" i="12"/>
  <c r="Y2226" i="12"/>
  <c r="Y477" i="12"/>
  <c r="Y2443" i="12"/>
  <c r="Y2121" i="12"/>
  <c r="Y1279" i="12"/>
  <c r="Y1072" i="12"/>
  <c r="Y3123" i="12"/>
  <c r="Y1200" i="12"/>
  <c r="Y706" i="12"/>
  <c r="Y3381" i="12"/>
  <c r="Y2050" i="12"/>
  <c r="Y507" i="12"/>
  <c r="Y1615" i="12"/>
  <c r="Y1888" i="12"/>
  <c r="Y1027" i="12"/>
  <c r="Y2810" i="12"/>
  <c r="Y3056" i="12"/>
  <c r="Y2796" i="12"/>
  <c r="Y751" i="12"/>
  <c r="Y629" i="12"/>
  <c r="Y2995" i="12"/>
  <c r="Y2978" i="12"/>
  <c r="Y2863" i="12"/>
  <c r="Y2010" i="12"/>
  <c r="Y3437" i="12"/>
  <c r="Y1110" i="12"/>
  <c r="Y2825" i="12"/>
  <c r="Y2046" i="12"/>
  <c r="Y2698" i="12"/>
  <c r="Y1108" i="12"/>
  <c r="Y2678" i="12"/>
  <c r="Y1671" i="12"/>
  <c r="Y830" i="12"/>
  <c r="Y610" i="12"/>
  <c r="Y3492" i="12"/>
  <c r="Y1798" i="12"/>
  <c r="Y2646" i="12"/>
  <c r="Y2994" i="12"/>
  <c r="Y3550" i="12"/>
  <c r="Y2431" i="12"/>
  <c r="Y448" i="12"/>
  <c r="Y2027" i="12"/>
  <c r="Y2091" i="12"/>
  <c r="Y1039" i="12"/>
  <c r="Y3135" i="12"/>
  <c r="Y1058" i="12"/>
  <c r="Y2413" i="12"/>
  <c r="Y177" i="12"/>
  <c r="Y3509" i="12"/>
  <c r="Y3172" i="12"/>
  <c r="Y3318" i="12"/>
  <c r="Y434" i="12"/>
  <c r="Y394" i="12"/>
  <c r="Y553" i="12"/>
  <c r="Y2546" i="12"/>
  <c r="Y716" i="12"/>
  <c r="Y714" i="12"/>
  <c r="Y2589" i="12"/>
  <c r="Y2987" i="12"/>
  <c r="Y1339" i="12"/>
  <c r="Y873" i="12"/>
  <c r="Y1485" i="12"/>
  <c r="Y2804" i="12"/>
  <c r="Y3332" i="12"/>
  <c r="Y1637" i="12"/>
  <c r="Y1725" i="12"/>
  <c r="Y3406" i="12"/>
  <c r="Y3084" i="12"/>
  <c r="Y2040" i="12"/>
  <c r="Y126" i="12"/>
  <c r="Y736" i="12"/>
  <c r="Y153" i="12"/>
  <c r="Y3272" i="12"/>
  <c r="Y2149" i="12"/>
  <c r="Y1042" i="12"/>
  <c r="Y63" i="12"/>
  <c r="Y3423" i="12"/>
  <c r="Y1590" i="12"/>
  <c r="Y853" i="12"/>
  <c r="Y1186" i="12"/>
  <c r="Y2263" i="12"/>
  <c r="Y913" i="12"/>
  <c r="Y1403" i="12"/>
  <c r="Y3093" i="12"/>
  <c r="Y3280" i="12"/>
  <c r="Y462" i="12"/>
  <c r="Y161" i="12"/>
  <c r="Y1071" i="12"/>
  <c r="Y2463" i="12"/>
  <c r="Y1769" i="12"/>
  <c r="Y2133" i="12"/>
  <c r="Y941" i="12"/>
  <c r="Y3409" i="12"/>
  <c r="Y376" i="12"/>
  <c r="Y3494" i="12"/>
  <c r="Y980" i="12"/>
  <c r="Y1254" i="12"/>
  <c r="Y1760" i="12"/>
  <c r="Y3224" i="12"/>
  <c r="Y3121" i="12"/>
  <c r="Y374" i="12"/>
  <c r="Y78" i="12"/>
  <c r="Y1426" i="12"/>
  <c r="Y1854" i="12"/>
  <c r="Y2148" i="12"/>
  <c r="Y2475" i="12"/>
  <c r="Y2482" i="12"/>
  <c r="Y1277" i="12"/>
  <c r="Y2329" i="12"/>
  <c r="Y2137" i="12"/>
  <c r="Y2777" i="12"/>
  <c r="Y2210" i="12"/>
  <c r="Y1507" i="12"/>
  <c r="Y3449" i="12"/>
  <c r="Y1015" i="12"/>
  <c r="Y516" i="12"/>
  <c r="Y284" i="12"/>
  <c r="Y2500" i="12"/>
  <c r="Y1215" i="12"/>
  <c r="Y1568" i="12"/>
  <c r="Y1378" i="12"/>
  <c r="Y1654" i="12"/>
  <c r="Y1014" i="12"/>
  <c r="Y689" i="12"/>
  <c r="Y1670" i="12"/>
  <c r="Y936" i="12"/>
  <c r="Y1357" i="12"/>
  <c r="Y2337" i="12"/>
  <c r="Y3412" i="12"/>
  <c r="Y2003" i="12"/>
  <c r="Y3367" i="12"/>
  <c r="Y2449" i="12"/>
  <c r="Y644" i="12"/>
  <c r="Y1540" i="12"/>
  <c r="Y2670" i="12"/>
  <c r="Y3435" i="12"/>
  <c r="Y855" i="12"/>
  <c r="Y1420" i="12"/>
  <c r="Y2834" i="12"/>
  <c r="Y2085" i="12"/>
  <c r="Y3081" i="12"/>
  <c r="Y242" i="12"/>
  <c r="Y2079" i="12"/>
  <c r="Y2522" i="12"/>
  <c r="Y146" i="12"/>
  <c r="Y2184" i="12"/>
  <c r="Y3205" i="12"/>
  <c r="Y1284" i="12"/>
  <c r="Y1212" i="12"/>
  <c r="Y1077" i="12"/>
  <c r="Y1251" i="12"/>
  <c r="Y3111" i="12"/>
  <c r="Y2952" i="12"/>
  <c r="Y831" i="12"/>
  <c r="Y988" i="12"/>
  <c r="Y2773" i="12"/>
  <c r="Y267" i="12"/>
  <c r="Y1297" i="12"/>
  <c r="Y2721" i="12"/>
  <c r="Y2549" i="12"/>
  <c r="Y3295" i="12"/>
  <c r="Y1570" i="12"/>
  <c r="Y1115" i="12"/>
  <c r="Y639" i="12"/>
  <c r="Y3483" i="12"/>
  <c r="Y125" i="12"/>
  <c r="Y1032" i="12"/>
  <c r="Y90" i="12"/>
  <c r="Y724" i="12"/>
  <c r="Y64" i="12"/>
  <c r="Y2662" i="12"/>
  <c r="Y569" i="12"/>
  <c r="Y636" i="12"/>
  <c r="Y699" i="12"/>
  <c r="Y598" i="12"/>
  <c r="Y1119" i="12"/>
  <c r="Y2258" i="12"/>
  <c r="Y1169" i="12"/>
  <c r="Y1187" i="12"/>
  <c r="Y2976" i="12"/>
  <c r="Y2925" i="12"/>
  <c r="Y2749" i="12"/>
  <c r="Y164" i="12"/>
  <c r="Y1208" i="12"/>
  <c r="Y3074" i="12"/>
  <c r="Y49" i="12"/>
  <c r="Y1302" i="12"/>
  <c r="Y3377" i="12"/>
  <c r="Y848" i="12"/>
  <c r="Y1520" i="12"/>
  <c r="Y2625" i="12"/>
  <c r="Y3283" i="12"/>
  <c r="Y2819" i="12"/>
  <c r="Y3388" i="12"/>
  <c r="Y1588" i="12"/>
  <c r="Y1362" i="12"/>
  <c r="Y2045" i="12"/>
  <c r="Y40" i="12"/>
  <c r="Y969" i="12"/>
  <c r="Y1876" i="12"/>
  <c r="Y1464" i="12"/>
  <c r="Y841" i="12"/>
  <c r="Y2935" i="12"/>
  <c r="Y1512" i="12"/>
  <c r="Y2815" i="12"/>
  <c r="Y812" i="12"/>
  <c r="Y3538" i="12"/>
  <c r="Y1074" i="12"/>
  <c r="Y76" i="12"/>
  <c r="Y3525" i="12"/>
  <c r="Y673" i="12"/>
  <c r="Y3440" i="12"/>
  <c r="Y1893" i="12"/>
  <c r="Y2406" i="12"/>
  <c r="Y2497" i="12"/>
  <c r="Y2309" i="12"/>
  <c r="Y2757" i="12"/>
  <c r="Y755" i="12"/>
  <c r="Y1075" i="12"/>
  <c r="Y23" i="12"/>
  <c r="Y2138" i="12"/>
  <c r="Y2591" i="12"/>
  <c r="Y584" i="12"/>
  <c r="Y2099" i="12"/>
  <c r="Y2177" i="12"/>
  <c r="Y1231" i="12"/>
  <c r="Y1155" i="12"/>
  <c r="Y395" i="12"/>
  <c r="Y836" i="12"/>
  <c r="Y3174" i="12"/>
  <c r="Y3413" i="12"/>
  <c r="Y2279" i="12"/>
  <c r="Y2556" i="12"/>
  <c r="Y3324" i="12"/>
  <c r="Y2878" i="12"/>
  <c r="Y1863" i="12"/>
  <c r="Y627" i="12"/>
  <c r="Y3497" i="12"/>
  <c r="Y1968" i="12"/>
  <c r="Y2301" i="12"/>
  <c r="Y382" i="12"/>
  <c r="Y1912" i="12"/>
  <c r="Y1528" i="12"/>
  <c r="Y1825" i="12"/>
  <c r="Y2243" i="12"/>
  <c r="Y2414" i="12"/>
  <c r="Y1422" i="12"/>
  <c r="Y3051" i="12"/>
  <c r="Y2289" i="12"/>
  <c r="Y1599" i="12"/>
  <c r="Y1423" i="12"/>
  <c r="Y1065" i="12"/>
  <c r="Y2451" i="12"/>
  <c r="Y2428" i="12"/>
  <c r="Y1204" i="12"/>
  <c r="Y551" i="12"/>
  <c r="Y1260" i="12"/>
  <c r="Y2230" i="12"/>
  <c r="Y712" i="12"/>
  <c r="Y1942" i="12"/>
  <c r="Y1180" i="12"/>
  <c r="Y1542" i="12"/>
  <c r="Y2141" i="12"/>
  <c r="Y163" i="12"/>
  <c r="Y650" i="12"/>
  <c r="Y1773" i="12"/>
  <c r="Y1390" i="12"/>
  <c r="Y2394" i="12"/>
  <c r="Y1400" i="12"/>
  <c r="Y494" i="12"/>
  <c r="Y620" i="12"/>
  <c r="Y2779" i="12"/>
  <c r="Y1450" i="12"/>
  <c r="Y3077" i="12"/>
  <c r="Y1043" i="12"/>
  <c r="Y3337" i="12"/>
  <c r="Y2915" i="12"/>
  <c r="Y3540" i="12"/>
  <c r="Y901" i="12"/>
  <c r="Y1513" i="12"/>
  <c r="Y2540" i="12"/>
  <c r="Y2498" i="12"/>
  <c r="Y1290" i="12"/>
  <c r="Y406" i="12"/>
  <c r="Y1642" i="12"/>
  <c r="Y2526" i="12"/>
  <c r="Y79" i="12"/>
  <c r="Y2236" i="12"/>
  <c r="Y2164" i="12"/>
  <c r="Y2852" i="12"/>
  <c r="Y2092" i="12"/>
  <c r="Y1330" i="12"/>
  <c r="Y1203" i="12"/>
  <c r="Y1440" i="12"/>
  <c r="Y2304" i="12"/>
  <c r="Y1327" i="12"/>
  <c r="Y2461" i="12"/>
  <c r="Y28" i="12"/>
  <c r="Y56" i="12"/>
  <c r="Y463" i="12"/>
  <c r="Y2306" i="12"/>
  <c r="Y1031" i="12"/>
  <c r="Y1759" i="12"/>
  <c r="Y2496" i="12"/>
  <c r="Y3130" i="12"/>
  <c r="Y2378" i="12"/>
  <c r="Y3170" i="12"/>
  <c r="Y1304" i="12"/>
  <c r="Y1079" i="12"/>
  <c r="Y1626" i="12"/>
  <c r="Y3143" i="12"/>
  <c r="Y2436" i="12"/>
  <c r="Y3421" i="12"/>
  <c r="Y556" i="12"/>
  <c r="Y2716" i="12"/>
  <c r="Y2157" i="12"/>
  <c r="Y2958" i="12"/>
  <c r="Y2251" i="12"/>
  <c r="Y2691" i="12"/>
  <c r="Y2713" i="12"/>
  <c r="Y2742" i="12"/>
  <c r="Y428" i="12"/>
  <c r="Y2951" i="12"/>
  <c r="Y2332" i="12"/>
  <c r="Y3237" i="12"/>
  <c r="Y683" i="12"/>
  <c r="Y902" i="12"/>
  <c r="Y1199" i="12"/>
  <c r="Y2697" i="12"/>
  <c r="Y3461" i="12"/>
  <c r="Y2125" i="12"/>
  <c r="Y2679" i="12"/>
  <c r="Y1492" i="12"/>
  <c r="Y2705" i="12"/>
  <c r="Y1266" i="12"/>
  <c r="Y1824" i="12"/>
  <c r="Y3041" i="12"/>
  <c r="Y2331" i="12"/>
  <c r="Y2554" i="12"/>
  <c r="Y2939" i="12"/>
  <c r="Y523" i="12"/>
  <c r="Y710" i="12"/>
  <c r="Y2563" i="12"/>
  <c r="Y1741" i="12"/>
  <c r="Y3204" i="12"/>
  <c r="Y550" i="12"/>
  <c r="Y1397" i="12"/>
  <c r="Y2249" i="12"/>
  <c r="Y2055" i="12"/>
  <c r="Y1424" i="12"/>
  <c r="Y1579" i="12"/>
  <c r="Y3431" i="12"/>
  <c r="Y244" i="12"/>
  <c r="Y2533" i="12"/>
  <c r="Y1151" i="12"/>
  <c r="Y1198" i="12"/>
  <c r="Y1460" i="12"/>
  <c r="Y1842" i="12"/>
  <c r="Y2494" i="12"/>
  <c r="Y826" i="12"/>
  <c r="Y2534" i="12"/>
  <c r="Y1398" i="12"/>
  <c r="Y1947" i="12"/>
  <c r="Y1988" i="12"/>
  <c r="Y1049" i="12"/>
  <c r="Y61" i="12"/>
  <c r="Y215" i="12"/>
  <c r="Y2131" i="12"/>
  <c r="Y2736" i="12"/>
  <c r="Y3146" i="12"/>
  <c r="Y3548" i="12"/>
  <c r="Y3311" i="12"/>
  <c r="Y2274" i="12"/>
  <c r="Y864" i="12"/>
  <c r="Y2668" i="12"/>
  <c r="Y794" i="12"/>
  <c r="Y1791" i="12"/>
  <c r="Y2111" i="12"/>
  <c r="Y393" i="12"/>
  <c r="Y1571" i="12"/>
  <c r="Y235" i="12"/>
  <c r="Y2580" i="12"/>
  <c r="Y1619" i="12"/>
  <c r="Y2361" i="12"/>
  <c r="Y1116" i="12"/>
  <c r="Y1924" i="12"/>
  <c r="Y986" i="12"/>
  <c r="Y515" i="12"/>
  <c r="Y1183" i="12"/>
  <c r="Y528" i="12"/>
  <c r="Y2814" i="12"/>
  <c r="Y1538" i="12"/>
  <c r="Y1982" i="12"/>
  <c r="Y29" i="12"/>
  <c r="Y1617" i="12"/>
  <c r="Y1146" i="12"/>
  <c r="Y2484" i="12"/>
  <c r="Y1124" i="12"/>
  <c r="Y674" i="12"/>
  <c r="Y2797" i="12"/>
  <c r="Y2380" i="12"/>
  <c r="Y2391" i="12"/>
  <c r="Y2349" i="12"/>
  <c r="Y1809" i="12"/>
  <c r="Y607" i="12"/>
  <c r="Y2310" i="12"/>
  <c r="Y2531" i="12"/>
  <c r="Y1864" i="12"/>
  <c r="Y2084" i="12"/>
  <c r="Y98" i="12"/>
  <c r="Y108" i="12"/>
  <c r="Y1663" i="12"/>
  <c r="Y3086" i="12"/>
  <c r="Y1100" i="12"/>
  <c r="Y3355" i="12"/>
  <c r="Y1559" i="12"/>
  <c r="Y1441" i="12"/>
  <c r="Y845" i="12"/>
  <c r="Y327" i="12"/>
  <c r="Y2644" i="12"/>
  <c r="Y851" i="12"/>
  <c r="Y1369" i="12"/>
  <c r="Y3142" i="12"/>
  <c r="Y2384" i="12"/>
  <c r="Y501" i="12"/>
  <c r="Y458" i="12"/>
  <c r="Y2720" i="12"/>
  <c r="Y2029" i="12"/>
  <c r="Y2078" i="12"/>
  <c r="Y3221" i="12"/>
  <c r="Y3255" i="12"/>
  <c r="Y2968" i="12"/>
  <c r="Y2841" i="12"/>
  <c r="Y1233" i="12"/>
  <c r="Y835" i="12"/>
  <c r="Y321" i="12"/>
  <c r="Y978" i="12"/>
  <c r="Y1469" i="12"/>
  <c r="Y2764" i="12"/>
  <c r="Y2204" i="12"/>
  <c r="Y3159" i="12"/>
  <c r="Y874" i="12"/>
  <c r="Y1080" i="12"/>
  <c r="Y1098" i="12"/>
  <c r="Y2113" i="12"/>
  <c r="Y3009" i="12"/>
  <c r="Y1704" i="12"/>
  <c r="Y139" i="12"/>
  <c r="Y1790" i="12"/>
  <c r="Y2030" i="12"/>
  <c r="Y1865" i="12"/>
  <c r="Y964" i="12"/>
  <c r="Y2102" i="12"/>
  <c r="Y933" i="12"/>
  <c r="Y3053" i="12"/>
  <c r="Y3155" i="12"/>
  <c r="Y2422" i="12"/>
  <c r="Y963" i="12"/>
  <c r="Y1291" i="12"/>
  <c r="Y1358" i="12"/>
  <c r="Y238" i="12"/>
  <c r="Y32" i="12"/>
  <c r="Y1847" i="12"/>
  <c r="Y3023" i="12"/>
  <c r="Y1703" i="12"/>
  <c r="Y3477" i="12"/>
  <c r="Y158" i="12"/>
  <c r="Y1191" i="12"/>
  <c r="Y1504" i="12"/>
  <c r="Y1516" i="12"/>
  <c r="Y2548" i="12"/>
  <c r="Y2107" i="12"/>
  <c r="Y3546" i="12"/>
  <c r="Y803" i="12"/>
  <c r="Y2683" i="12"/>
  <c r="Y281" i="12"/>
  <c r="Y1859" i="12"/>
  <c r="Y1838" i="12"/>
  <c r="Y642" i="12"/>
  <c r="Y1240" i="12"/>
  <c r="Y2486" i="12"/>
  <c r="Y1977" i="12"/>
  <c r="Y3265" i="12"/>
  <c r="Y1303" i="12"/>
  <c r="Y3033" i="12"/>
  <c r="Y2426" i="12"/>
  <c r="Y3510" i="12"/>
  <c r="Y85" i="12"/>
  <c r="Y2969" i="12"/>
  <c r="Y3127" i="12"/>
  <c r="Y682" i="12"/>
  <c r="Y450" i="12"/>
  <c r="Y2171" i="12"/>
  <c r="Y3184" i="12"/>
  <c r="Y1019" i="12"/>
  <c r="Y1282" i="12"/>
  <c r="Y1364" i="12"/>
  <c r="Y3103" i="12"/>
  <c r="Y2532" i="12"/>
  <c r="Y356" i="12"/>
  <c r="Y3254" i="12"/>
  <c r="Y2633" i="12"/>
  <c r="Y3160" i="12"/>
  <c r="Y104" i="12"/>
  <c r="Y3241" i="12"/>
  <c r="Y842" i="12"/>
  <c r="Y557" i="12"/>
  <c r="Y3453" i="12"/>
  <c r="Y749" i="12"/>
  <c r="Y2808" i="12"/>
  <c r="Y137" i="12"/>
  <c r="Y2358" i="12"/>
  <c r="Y844" i="12"/>
  <c r="Y886" i="12"/>
  <c r="Y544" i="12"/>
  <c r="Y2124" i="12"/>
  <c r="Y2676" i="12"/>
  <c r="Y437" i="12"/>
  <c r="Y840" i="12"/>
  <c r="Y832" i="12"/>
  <c r="Y1556" i="12"/>
  <c r="Y3011" i="12"/>
  <c r="Y2077" i="12"/>
  <c r="Y2891" i="12"/>
  <c r="Y1372" i="12"/>
  <c r="Y157" i="12"/>
  <c r="Y1140" i="12"/>
  <c r="Y882" i="12"/>
  <c r="Y193" i="12"/>
  <c r="Y1710" i="12"/>
  <c r="Y711" i="12"/>
  <c r="Y3274" i="12"/>
  <c r="Y1168" i="12"/>
  <c r="Y3091" i="12"/>
  <c r="Y761" i="12"/>
  <c r="Y1256" i="12"/>
  <c r="Y2284" i="12"/>
  <c r="Y2305" i="12"/>
  <c r="Y133" i="12"/>
  <c r="Y2142" i="12"/>
  <c r="Y3101" i="12"/>
  <c r="Y2751" i="12"/>
  <c r="Y869" i="12"/>
  <c r="Y1716" i="12"/>
  <c r="Y2769" i="12"/>
  <c r="Y3491" i="12"/>
  <c r="Y3039" i="12"/>
  <c r="Y2456" i="12"/>
  <c r="Y2437" i="12"/>
  <c r="Y166" i="12"/>
  <c r="Y1997" i="12"/>
  <c r="Y531" i="12"/>
  <c r="Y2826" i="12"/>
  <c r="Y473" i="12"/>
  <c r="Y1453" i="12"/>
  <c r="Y643" i="12"/>
  <c r="Y703" i="12"/>
  <c r="Y3154" i="12"/>
  <c r="Y657" i="12"/>
  <c r="Y931" i="12"/>
  <c r="Y694" i="12"/>
  <c r="Y2420" i="12"/>
  <c r="Y3057" i="12"/>
  <c r="Y960" i="12"/>
  <c r="Y1874" i="12"/>
  <c r="Y1747" i="12"/>
  <c r="Y91" i="12"/>
  <c r="Y1525" i="12"/>
  <c r="Y1955" i="12"/>
  <c r="Y879" i="12"/>
  <c r="Y1276" i="12"/>
  <c r="Y1965" i="12"/>
  <c r="Y2892" i="12"/>
  <c r="Y1272" i="12"/>
  <c r="Y1125" i="12"/>
  <c r="Y519" i="12"/>
  <c r="Y3183" i="12"/>
  <c r="Y1967" i="12"/>
  <c r="Y928" i="12"/>
  <c r="Y1708" i="12"/>
  <c r="Y1576" i="12"/>
  <c r="Y471" i="12"/>
  <c r="Y486" i="12"/>
  <c r="Y2368" i="12"/>
  <c r="Y2037" i="12"/>
  <c r="Y3171" i="12"/>
  <c r="Y2224" i="12"/>
  <c r="Y3088" i="12"/>
  <c r="Y1916" i="12"/>
  <c r="Y124" i="12"/>
  <c r="Y865" i="12"/>
  <c r="Y3197" i="12"/>
  <c r="Y1306" i="12"/>
  <c r="Y176" i="12"/>
  <c r="Y795" i="12"/>
  <c r="Y233" i="12"/>
  <c r="Y1689" i="12"/>
  <c r="Y1487" i="12"/>
  <c r="Y3536" i="12"/>
  <c r="Y2275" i="12"/>
  <c r="Y2917" i="12"/>
  <c r="Y2232" i="12"/>
  <c r="Y767" i="12"/>
  <c r="Y3164" i="12"/>
  <c r="Y1881" i="12"/>
  <c r="Y700" i="12"/>
  <c r="Y2524" i="12"/>
  <c r="Y1129" i="12"/>
  <c r="Y1930" i="12"/>
  <c r="Y1185" i="12"/>
  <c r="Y1949" i="12"/>
  <c r="Y2070" i="12"/>
  <c r="Y2874" i="12"/>
  <c r="Y1900" i="12"/>
  <c r="Y2369" i="12"/>
  <c r="Y3499" i="12"/>
  <c r="Y742" i="12"/>
  <c r="Y1498" i="12"/>
  <c r="Y577" i="12"/>
  <c r="Y3195" i="12"/>
  <c r="Y925" i="12"/>
  <c r="Y1895" i="12"/>
  <c r="Y898" i="12"/>
  <c r="Y2247" i="12"/>
  <c r="Y21" i="12"/>
  <c r="Y580" i="12"/>
  <c r="Y1952" i="12"/>
  <c r="Y597" i="12"/>
  <c r="Y187" i="12"/>
  <c r="Y2581" i="12"/>
  <c r="Y1638" i="12"/>
  <c r="Y2934" i="12"/>
  <c r="Y2538" i="12"/>
  <c r="Y3379" i="12"/>
  <c r="Y1157" i="12"/>
  <c r="Y2604" i="12"/>
  <c r="Y1639" i="12"/>
  <c r="Y2786" i="12"/>
  <c r="Y783" i="12"/>
  <c r="Y380" i="12"/>
  <c r="Y2902" i="12"/>
  <c r="Y1184" i="12"/>
  <c r="Y3013" i="12"/>
  <c r="Y887" i="12"/>
  <c r="Y2376" i="12"/>
  <c r="Y112" i="12"/>
  <c r="Y220" i="12"/>
  <c r="Y1230" i="12"/>
  <c r="Y813" i="12"/>
  <c r="Y2639" i="12"/>
  <c r="Y312" i="12"/>
  <c r="Y862" i="12"/>
  <c r="Y2659" i="12"/>
  <c r="Y2159" i="12"/>
  <c r="Y3534" i="12"/>
  <c r="Y276" i="12"/>
  <c r="Y103" i="12"/>
  <c r="Y2930" i="12"/>
  <c r="Y2881" i="12"/>
  <c r="Y2688" i="12"/>
  <c r="Y2186" i="12"/>
  <c r="Y1273" i="12"/>
  <c r="Y878" i="12"/>
  <c r="Y2739" i="12"/>
  <c r="Y1307" i="12"/>
  <c r="Y2656" i="12"/>
  <c r="Y3454" i="12"/>
  <c r="Y1756" i="12"/>
  <c r="Y2521" i="12"/>
  <c r="Y1780" i="12"/>
  <c r="Y1620" i="12"/>
  <c r="Y353" i="12"/>
  <c r="Y332" i="12"/>
  <c r="Y3359" i="12"/>
  <c r="Y3235" i="12"/>
  <c r="Y3447" i="12"/>
  <c r="Y2283" i="12"/>
  <c r="Y324" i="12"/>
  <c r="Y251" i="12"/>
  <c r="Y415" i="12"/>
  <c r="Y131" i="12"/>
  <c r="Y849" i="12"/>
  <c r="Y554" i="12"/>
  <c r="Y3213" i="12"/>
  <c r="Y1728" i="12"/>
  <c r="Y3109" i="12"/>
  <c r="Y1253" i="12"/>
  <c r="Y2752" i="12"/>
  <c r="Y847" i="12"/>
  <c r="Y1444" i="12"/>
  <c r="Y279" i="12"/>
  <c r="Y2190" i="12"/>
  <c r="Y1456" i="12"/>
  <c r="Y2211" i="12"/>
  <c r="Y2882" i="12"/>
  <c r="Y354" i="12"/>
  <c r="Y3426" i="12"/>
  <c r="Y3397" i="12"/>
  <c r="Y2567" i="12"/>
  <c r="Y3322" i="12"/>
  <c r="Y1089" i="12"/>
  <c r="Y807" i="12"/>
  <c r="Y947" i="12"/>
  <c r="Y2128" i="12"/>
  <c r="Y2970" i="12"/>
  <c r="Y745" i="12"/>
  <c r="Y2681" i="12"/>
  <c r="Y876" i="12"/>
  <c r="Y1567" i="12"/>
  <c r="Y504" i="12"/>
  <c r="Y1905" i="12"/>
  <c r="Y709" i="12"/>
  <c r="Y2248" i="12"/>
  <c r="Y2957" i="12"/>
  <c r="Y3136" i="12"/>
  <c r="Y2573" i="12"/>
  <c r="Y3415" i="12"/>
  <c r="Y2833" i="12"/>
  <c r="Y410" i="12"/>
  <c r="Y1029" i="12"/>
  <c r="Y1846" i="12"/>
  <c r="Y2704" i="12"/>
  <c r="Y1060" i="12"/>
  <c r="Y1153" i="12"/>
  <c r="Y1653" i="12"/>
  <c r="Y3100" i="12"/>
  <c r="Y474" i="12"/>
  <c r="Y891" i="12"/>
  <c r="Y2901" i="12"/>
  <c r="Y3003" i="12"/>
  <c r="Y1946" i="12"/>
  <c r="Y1008" i="12"/>
  <c r="Y1062" i="12"/>
  <c r="Y2261" i="12"/>
  <c r="Y3282" i="12"/>
  <c r="Y1494" i="12"/>
  <c r="Y3071" i="12"/>
  <c r="Y866" i="12"/>
  <c r="Y3501" i="12"/>
  <c r="Y2439" i="12"/>
  <c r="Y1044" i="12"/>
  <c r="Y611" i="12"/>
  <c r="Y316" i="12"/>
  <c r="Y1938" i="12"/>
  <c r="Y314" i="12"/>
  <c r="Y2606" i="12"/>
  <c r="Y1925" i="12"/>
  <c r="Y3019" i="12"/>
  <c r="Y1021" i="12"/>
  <c r="Y524" i="12"/>
  <c r="Y2634" i="12"/>
  <c r="Y1793" i="12"/>
  <c r="Y2914" i="12"/>
  <c r="Y1317" i="12"/>
  <c r="Y732" i="12"/>
  <c r="Y2908" i="12"/>
  <c r="Y2280" i="12"/>
  <c r="Y3308" i="12"/>
  <c r="Y2831" i="12"/>
  <c r="Y1777" i="12"/>
  <c r="Y89" i="12"/>
  <c r="Y2180" i="12"/>
  <c r="Y2014" i="12"/>
  <c r="Y3119" i="12"/>
  <c r="Y2228" i="12"/>
  <c r="Y445" i="12"/>
  <c r="Y2100" i="12"/>
  <c r="Y1099" i="12"/>
  <c r="Y401" i="12"/>
  <c r="Y2201" i="12"/>
  <c r="Y1262" i="12"/>
  <c r="Y383" i="12"/>
  <c r="Y2054" i="12"/>
  <c r="Y2520" i="12"/>
  <c r="Y1919" i="12"/>
  <c r="Y2412" i="12"/>
  <c r="Y2654" i="12"/>
  <c r="Y2308" i="12"/>
  <c r="Y41" i="12"/>
  <c r="Y1650" i="12"/>
  <c r="Y3521" i="12"/>
  <c r="Y1337" i="12"/>
  <c r="Y1566" i="12"/>
  <c r="Y885" i="12"/>
  <c r="Y1593" i="12"/>
  <c r="Y2316" i="12"/>
  <c r="Y3463" i="12"/>
  <c r="Y2110" i="12"/>
  <c r="Y2252" i="12"/>
  <c r="Y2780" i="12"/>
  <c r="Y1470" i="12"/>
  <c r="Y2870" i="12"/>
  <c r="Y956" i="12"/>
  <c r="Y2610" i="12"/>
  <c r="Y2859" i="12"/>
  <c r="Y2112" i="12"/>
  <c r="Y562" i="12"/>
  <c r="Y3401" i="12"/>
  <c r="Y3150" i="12"/>
  <c r="Y763" i="12"/>
  <c r="Y435" i="12"/>
  <c r="Y389" i="12"/>
  <c r="Y3445" i="12"/>
  <c r="Y746" i="12"/>
  <c r="Y116" i="12"/>
  <c r="Y1163" i="12"/>
  <c r="Y1114" i="12"/>
  <c r="Y624" i="12"/>
  <c r="Y3163" i="12"/>
  <c r="Y1012" i="12"/>
  <c r="Y2746" i="12"/>
  <c r="Y3080" i="12"/>
  <c r="Y2605" i="12"/>
  <c r="Y906" i="12"/>
  <c r="Y2993" i="12"/>
  <c r="Y1723" i="12"/>
  <c r="Y300" i="12"/>
  <c r="Y328" i="12"/>
  <c r="Y1743" i="12"/>
  <c r="Y1771" i="12"/>
  <c r="Y2106" i="12"/>
  <c r="Y1382" i="12"/>
  <c r="Y2415" i="12"/>
  <c r="Y2792" i="12"/>
  <c r="Y3267" i="12"/>
  <c r="Y1911" i="12"/>
  <c r="Y2771" i="12"/>
  <c r="Y207" i="12"/>
  <c r="Y1335" i="12"/>
  <c r="Y1087" i="12"/>
  <c r="Y1594" i="12"/>
  <c r="Y834" i="12"/>
  <c r="Y226" i="12"/>
  <c r="Y903" i="12"/>
  <c r="Y68" i="12"/>
  <c r="Y2822" i="12"/>
  <c r="Y967" i="12"/>
  <c r="Y843" i="12"/>
  <c r="Y190" i="12"/>
  <c r="Y1061" i="12"/>
  <c r="Y1123" i="12"/>
  <c r="Y37" i="12"/>
  <c r="Y796" i="12"/>
  <c r="Y2434" i="12"/>
  <c r="Y2845" i="12"/>
  <c r="Y341" i="12"/>
  <c r="Y2781" i="12"/>
  <c r="Y2203" i="12"/>
  <c r="Y3027" i="12"/>
  <c r="Y1167" i="12"/>
  <c r="Y3246" i="12"/>
  <c r="Y3370" i="12"/>
  <c r="Y3156" i="12"/>
  <c r="Y1630" i="12"/>
  <c r="Y2161" i="12"/>
  <c r="Y1561" i="12"/>
  <c r="Y1553" i="12"/>
  <c r="Y1051" i="12"/>
  <c r="Y2206" i="12"/>
  <c r="Y1744" i="12"/>
  <c r="Y1210" i="12"/>
  <c r="Y877" i="12"/>
  <c r="Y2400" i="12"/>
  <c r="Y1067" i="12"/>
  <c r="Y2949" i="12"/>
  <c r="Y2582" i="12"/>
  <c r="Y1491" i="12"/>
  <c r="Y106" i="12"/>
  <c r="Y48" i="12"/>
  <c r="Y619" i="12"/>
  <c r="Y2936" i="12"/>
  <c r="Y595" i="12"/>
  <c r="Y1197" i="12"/>
  <c r="Y529" i="12"/>
  <c r="Y1605" i="12"/>
  <c r="Y1784" i="12"/>
  <c r="Y652" i="12"/>
  <c r="Y2291" i="12"/>
  <c r="Y93" i="12"/>
  <c r="Y715" i="12"/>
  <c r="Y2109" i="12"/>
  <c r="Y810" i="12"/>
  <c r="Y2916" i="12"/>
  <c r="Y2342" i="12"/>
  <c r="Y1731" i="12"/>
  <c r="Y1882" i="12"/>
  <c r="Y2427" i="12"/>
  <c r="Y583" i="12"/>
  <c r="Y3473" i="12"/>
  <c r="Y3203" i="12"/>
  <c r="Y2492" i="12"/>
  <c r="Y2684" i="12"/>
  <c r="Y632" i="12"/>
  <c r="Y2510" i="12"/>
  <c r="Y1278" i="12"/>
  <c r="Y1800" i="12"/>
  <c r="Y1404" i="12"/>
  <c r="Y1431" i="12"/>
  <c r="Y2787" i="12"/>
  <c r="Y2597" i="12"/>
  <c r="Y1951" i="12"/>
  <c r="Y194" i="12"/>
  <c r="Y2817" i="12"/>
  <c r="Y2772" i="12"/>
  <c r="Y1745" i="12"/>
  <c r="Y3404" i="12"/>
  <c r="Y695" i="12"/>
  <c r="Y273" i="12"/>
  <c r="Y1002" i="12"/>
  <c r="Y1834" i="12"/>
  <c r="Y791" i="12"/>
  <c r="Y737" i="12"/>
  <c r="Y3516" i="12"/>
  <c r="Y1923" i="12"/>
  <c r="Y2276" i="12"/>
  <c r="Y572" i="12"/>
  <c r="Y2674" i="12"/>
  <c r="Y1692" i="12"/>
  <c r="Y460" i="12"/>
  <c r="Y1915" i="12"/>
  <c r="Y2340" i="12"/>
  <c r="Y540" i="12"/>
  <c r="Y872" i="12"/>
  <c r="Y1749" i="12"/>
  <c r="Y3173" i="12"/>
  <c r="Y773" i="12"/>
  <c r="Y391" i="12"/>
  <c r="Y285" i="12"/>
  <c r="Y2270" i="12"/>
  <c r="Y1522" i="12"/>
  <c r="Y1360" i="12"/>
  <c r="Y1292" i="12"/>
  <c r="Y1762" i="12"/>
  <c r="Y1683" i="12"/>
  <c r="Y2664" i="12"/>
  <c r="Y500" i="12"/>
  <c r="Y2853" i="12"/>
  <c r="Y3364" i="12"/>
  <c r="Y2857" i="12"/>
  <c r="Y1877" i="12"/>
  <c r="Y3466" i="12"/>
  <c r="Y357" i="12"/>
  <c r="Y2089" i="12"/>
  <c r="Y2724" i="12"/>
  <c r="Y3543" i="12"/>
  <c r="Y1690" i="12"/>
  <c r="Y546" i="12"/>
  <c r="Y3524" i="12"/>
  <c r="Y1094" i="12"/>
  <c r="Y2513" i="12"/>
  <c r="Y2212" i="12"/>
  <c r="Y1174" i="12"/>
  <c r="Y3482" i="12"/>
  <c r="Y530" i="12"/>
  <c r="Y907" i="12"/>
  <c r="Y128" i="12"/>
  <c r="Y675" i="12"/>
  <c r="Y2920" i="12"/>
  <c r="Y3330" i="12"/>
  <c r="Y1305" i="12"/>
  <c r="Y2476" i="12"/>
  <c r="Y3262" i="12"/>
  <c r="Y417" i="12"/>
  <c r="Y2173" i="12"/>
  <c r="Y2600" i="12"/>
  <c r="Y1265" i="12"/>
  <c r="Y3410" i="12"/>
  <c r="Y1126" i="12"/>
  <c r="Y861" i="12"/>
  <c r="Y985" i="12"/>
  <c r="Y1976" i="12"/>
  <c r="Y2225" i="12"/>
  <c r="Y366" i="12"/>
  <c r="Y2285" i="12"/>
  <c r="Y946" i="12"/>
  <c r="Y2768" i="12"/>
  <c r="Y1489" i="12"/>
  <c r="Y1047" i="12"/>
  <c r="Y1411" i="12"/>
  <c r="Y3547" i="12"/>
  <c r="Y1792" i="12"/>
  <c r="Y2234" i="12"/>
  <c r="Y173" i="12"/>
  <c r="Y949" i="12"/>
  <c r="Y609" i="12"/>
  <c r="Y2933" i="12"/>
  <c r="Y1672" i="12"/>
  <c r="Y1090" i="12"/>
  <c r="Y1574" i="12"/>
  <c r="Y2353" i="12"/>
  <c r="Y1045" i="12"/>
  <c r="Y1232" i="12"/>
  <c r="Y2445" i="12"/>
  <c r="Y3233" i="12"/>
  <c r="Y1205" i="12"/>
  <c r="Y160" i="12"/>
  <c r="Y1461" i="12"/>
  <c r="Y1493" i="12"/>
  <c r="Y1598" i="12"/>
  <c r="Y713" i="12"/>
  <c r="Y972" i="12"/>
  <c r="Y1591" i="12"/>
  <c r="Y1270" i="12"/>
  <c r="Y2903" i="12"/>
  <c r="Y547" i="12"/>
  <c r="Y274" i="12"/>
  <c r="Y487" i="12"/>
  <c r="Y384" i="12"/>
  <c r="Y3344" i="12"/>
  <c r="Y1471" i="12"/>
  <c r="Y2417" i="12"/>
  <c r="Y2946" i="12"/>
  <c r="Y144" i="12"/>
  <c r="Y2629" i="12"/>
  <c r="Y189" i="12"/>
  <c r="Y3115" i="12"/>
  <c r="Y2393" i="12"/>
  <c r="Y648" i="12"/>
  <c r="Y2017" i="12"/>
  <c r="Y825" i="12"/>
  <c r="Y3161" i="12"/>
  <c r="Y2175" i="12"/>
  <c r="Y766" i="12"/>
  <c r="Y2101" i="12"/>
  <c r="Y1970" i="12"/>
  <c r="Y2621" i="12"/>
  <c r="Y1247" i="12"/>
  <c r="Y3329" i="12"/>
  <c r="Y2409" i="12"/>
  <c r="Y1482" i="12"/>
  <c r="Y3361" i="12"/>
  <c r="Y1120" i="12"/>
  <c r="Y3102" i="12"/>
  <c r="Y1902" i="12"/>
  <c r="Y2743" i="12"/>
  <c r="Y3069" i="12"/>
  <c r="Y3400" i="12"/>
  <c r="Y934" i="12"/>
  <c r="Y3531" i="12"/>
  <c r="Y311" i="12"/>
  <c r="Y1840" i="12"/>
  <c r="Y1136" i="12"/>
  <c r="Y2039" i="12"/>
  <c r="Y373" i="12"/>
  <c r="Y2239" i="12"/>
  <c r="Y2893" i="12"/>
  <c r="Y231" i="12"/>
  <c r="Y634" i="12"/>
  <c r="Y339" i="12"/>
  <c r="Y96" i="12"/>
  <c r="Y3362" i="12"/>
  <c r="Y790" i="12"/>
  <c r="Y2168" i="12"/>
  <c r="Y330" i="12"/>
  <c r="Y722" i="12"/>
  <c r="Y3122" i="12"/>
  <c r="Y2042" i="12"/>
  <c r="Y3090" i="12"/>
  <c r="Y1263" i="12"/>
  <c r="Y2818" i="12"/>
  <c r="Y1425" i="12"/>
  <c r="Y2937" i="12"/>
  <c r="Y2767" i="12"/>
  <c r="Y465" i="12"/>
  <c r="Y3076" i="12"/>
  <c r="Y1091" i="12"/>
  <c r="Y3514" i="12"/>
  <c r="Y2923" i="12"/>
  <c r="Y1118" i="12"/>
  <c r="Y3028" i="12"/>
  <c r="Y2959" i="12"/>
  <c r="Y2181" i="12"/>
  <c r="Y154" i="12"/>
  <c r="Y1995" i="12"/>
  <c r="Y1171" i="12"/>
  <c r="Y2312" i="12"/>
  <c r="Y3515" i="12"/>
  <c r="Y1959" i="12"/>
  <c r="Y3464" i="12"/>
  <c r="Y200" i="12"/>
  <c r="Y455" i="12"/>
  <c r="Y1768" i="12"/>
  <c r="Y578" i="12"/>
  <c r="Y2911" i="12"/>
  <c r="Y2292" i="12"/>
  <c r="Y3450" i="12"/>
  <c r="Y2965" i="12"/>
  <c r="Y60" i="12"/>
  <c r="Y2298" i="12"/>
  <c r="Y535" i="12"/>
  <c r="Y1407" i="12"/>
  <c r="Y3345" i="12"/>
  <c r="Y438" i="12"/>
  <c r="Y350" i="12"/>
  <c r="Y1857" i="12"/>
  <c r="Y2593" i="12"/>
  <c r="Y1739" i="12"/>
  <c r="Y2165" i="12"/>
  <c r="Y696" i="12"/>
  <c r="Y3141" i="12"/>
  <c r="Y1557" i="12"/>
  <c r="Y922" i="12"/>
  <c r="Y1374" i="12"/>
  <c r="Y1705" i="12"/>
  <c r="Y1845" i="12"/>
  <c r="Y981" i="12"/>
  <c r="Y472" i="12"/>
  <c r="Y1934" i="12"/>
  <c r="Y3517" i="12"/>
  <c r="Y2199" i="12"/>
  <c r="Y1645" i="12"/>
  <c r="Y2386" i="12"/>
  <c r="Y1036" i="12"/>
  <c r="Y1737" i="12"/>
  <c r="Y3294" i="12"/>
  <c r="Y2677" i="12"/>
  <c r="Y594" i="12"/>
  <c r="Y2066" i="12"/>
  <c r="Y3208" i="12"/>
  <c r="Y2120" i="12"/>
  <c r="Y1138" i="12"/>
  <c r="Y130" i="12"/>
  <c r="Y2322" i="12"/>
  <c r="Y1216" i="12"/>
  <c r="Y203" i="12"/>
  <c r="Y895" i="12"/>
  <c r="Y3304" i="12"/>
  <c r="Y2150" i="12"/>
  <c r="Y344" i="12"/>
  <c r="Y1046" i="12"/>
  <c r="Y798" i="12"/>
  <c r="Y606" i="12"/>
  <c r="Y1983" i="12"/>
  <c r="Y2403" i="12"/>
  <c r="Y1025" i="12"/>
  <c r="Y3537" i="12"/>
  <c r="Y2512" i="12"/>
  <c r="Y3395" i="12"/>
  <c r="Y3124" i="12"/>
  <c r="Y738" i="12"/>
  <c r="Y111" i="12"/>
  <c r="Y1214" i="12"/>
  <c r="Y2356" i="12"/>
  <c r="Y2922" i="12"/>
  <c r="Y3110" i="12"/>
  <c r="Y2885" i="12"/>
  <c r="Y2735" i="12"/>
  <c r="Y1219" i="12"/>
  <c r="Y1634" i="12"/>
  <c r="Y442" i="12"/>
  <c r="Y3178" i="12"/>
  <c r="Y110" i="12"/>
  <c r="Y591" i="12"/>
  <c r="Y1700" i="12"/>
  <c r="Y3475" i="12"/>
  <c r="Y181" i="12"/>
  <c r="Y646" i="12"/>
  <c r="Y971" i="12"/>
  <c r="Y2011" i="12"/>
  <c r="Y1785" i="12"/>
  <c r="Y1998" i="12"/>
  <c r="Y1333" i="12"/>
  <c r="Y3008" i="12"/>
  <c r="Y1928" i="12"/>
  <c r="Y2813" i="12"/>
  <c r="Y3276" i="12"/>
  <c r="Y2590" i="12"/>
  <c r="Y2975" i="12"/>
  <c r="Y2059" i="12"/>
  <c r="Y1117" i="12"/>
  <c r="Y1310" i="12"/>
  <c r="Y2423" i="12"/>
  <c r="Y2326" i="12"/>
  <c r="Y3348" i="12"/>
  <c r="Y346" i="12"/>
  <c r="Y2134" i="12"/>
  <c r="Y3347" i="12"/>
  <c r="Y2967" i="12"/>
  <c r="Y739" i="12"/>
  <c r="Y3403" i="12"/>
  <c r="Y2868" i="12"/>
  <c r="Y3375" i="12"/>
  <c r="Y3034" i="12"/>
  <c r="Y503" i="12"/>
  <c r="Y3527" i="12"/>
  <c r="Y282" i="12"/>
  <c r="Y2319" i="12"/>
  <c r="Y2023" i="12"/>
  <c r="Y197" i="12"/>
  <c r="Y2143" i="12"/>
  <c r="Y174" i="12"/>
  <c r="Y286" i="12"/>
  <c r="Y1194" i="12"/>
  <c r="Y1150" i="12"/>
  <c r="Y3346" i="12"/>
  <c r="Y653" i="12"/>
  <c r="Y2151" i="12"/>
  <c r="Y635" i="12"/>
  <c r="Y2088" i="12"/>
  <c r="Y148" i="12"/>
  <c r="Y2364" i="12"/>
  <c r="Y1515" i="12"/>
  <c r="Y3182" i="12"/>
  <c r="Y1694" i="12"/>
  <c r="Y369" i="12"/>
  <c r="Y2008" i="12"/>
  <c r="Y237" i="12"/>
  <c r="Y2345" i="12"/>
  <c r="Y3191" i="12"/>
  <c r="Y2082" i="12"/>
  <c r="Y1795" i="12"/>
  <c r="Y3541" i="12"/>
  <c r="Y3006" i="12"/>
  <c r="Y1122" i="12"/>
  <c r="Y1536" i="12"/>
  <c r="Y1918" i="12"/>
  <c r="Y786" i="12"/>
  <c r="Y919" i="12"/>
  <c r="Y1661" i="12"/>
  <c r="Y2051" i="12"/>
  <c r="Y2105" i="12"/>
  <c r="Y2067" i="12"/>
  <c r="Y59" i="12"/>
  <c r="Y1474" i="12"/>
  <c r="Y208" i="12"/>
  <c r="Y230" i="12"/>
  <c r="Y3052" i="12"/>
  <c r="Y1686" i="12"/>
  <c r="Y3526" i="12"/>
  <c r="Y114" i="12"/>
  <c r="Y2192" i="12"/>
  <c r="Y3417" i="12"/>
  <c r="Y2732" i="12"/>
  <c r="Y1706" i="12"/>
  <c r="Y1849" i="12"/>
  <c r="Y495" i="12"/>
  <c r="Y2208" i="12"/>
  <c r="Y3166" i="12"/>
  <c r="Y3317" i="12"/>
  <c r="Y360" i="12"/>
  <c r="Y1334" i="12"/>
  <c r="Y1135" i="12"/>
  <c r="Y3305" i="12"/>
  <c r="Y2233" i="12"/>
  <c r="Y2614" i="12"/>
  <c r="Y118" i="12"/>
  <c r="Y1862" i="12"/>
  <c r="Y1894" i="12"/>
  <c r="Y1648" i="12"/>
  <c r="Y297" i="12"/>
  <c r="Y470" i="12"/>
  <c r="Y3189" i="12"/>
  <c r="Y1587" i="12"/>
  <c r="Y1436" i="12"/>
  <c r="Y2650" i="12"/>
  <c r="Y2489" i="12"/>
  <c r="Y570" i="12"/>
  <c r="Y558" i="12"/>
  <c r="Y681" i="12"/>
  <c r="Y2856" i="12"/>
  <c r="Y2997" i="12"/>
  <c r="Y2473" i="12"/>
  <c r="Y1885" i="12"/>
  <c r="Y3529" i="12"/>
  <c r="Y2207" i="12"/>
  <c r="Y1904" i="12"/>
  <c r="Y336" i="12"/>
  <c r="Y3382" i="12"/>
  <c r="Y3120" i="12"/>
  <c r="Y2991" i="12"/>
  <c r="Y1767" i="12"/>
  <c r="Y3128" i="12"/>
  <c r="Y2383" i="12"/>
  <c r="Y538" i="12"/>
  <c r="J104" i="5"/>
  <c r="J24" i="5"/>
  <c r="J110" i="5"/>
  <c r="J39" i="5"/>
  <c r="J67" i="5"/>
  <c r="J3" i="5"/>
  <c r="J53" i="5"/>
  <c r="J63" i="5"/>
  <c r="J48" i="5"/>
  <c r="J43" i="5"/>
  <c r="J70" i="5"/>
  <c r="J45" i="5"/>
  <c r="J114" i="5"/>
  <c r="J94" i="5"/>
  <c r="J77" i="5"/>
  <c r="J6" i="5"/>
  <c r="J68" i="5"/>
  <c r="J76" i="5"/>
  <c r="J74" i="5"/>
  <c r="J87" i="5"/>
  <c r="J31" i="5"/>
  <c r="J100" i="5"/>
  <c r="J20" i="5"/>
  <c r="J59" i="5"/>
  <c r="J107" i="5"/>
  <c r="J91" i="5"/>
  <c r="J96" i="5"/>
  <c r="J105" i="5"/>
  <c r="J69" i="5"/>
  <c r="J4" i="5"/>
  <c r="J115" i="5"/>
  <c r="J5" i="5"/>
  <c r="J26" i="5"/>
  <c r="J126" i="5"/>
  <c r="J106" i="5"/>
  <c r="J2" i="5"/>
  <c r="J97" i="5"/>
  <c r="J92" i="5"/>
  <c r="J119" i="5"/>
  <c r="J80" i="5"/>
  <c r="J14" i="5"/>
  <c r="J42" i="5"/>
  <c r="J7" i="5"/>
  <c r="J98" i="5"/>
  <c r="J25" i="5"/>
  <c r="J40" i="5"/>
  <c r="J71" i="5"/>
  <c r="J34" i="5"/>
  <c r="J62" i="5"/>
  <c r="J111" i="5"/>
  <c r="J112" i="5"/>
  <c r="J50" i="5"/>
  <c r="J93" i="5"/>
  <c r="J47" i="5"/>
  <c r="J81" i="5"/>
  <c r="J10" i="5"/>
  <c r="J55" i="5"/>
  <c r="J122" i="5"/>
  <c r="J29" i="5"/>
  <c r="J79" i="5"/>
  <c r="J54" i="5"/>
  <c r="J18" i="5"/>
  <c r="J30" i="5"/>
  <c r="J9" i="5"/>
  <c r="J57" i="5"/>
  <c r="J108" i="5"/>
  <c r="J51" i="5"/>
  <c r="J36" i="5"/>
  <c r="J28" i="5"/>
  <c r="J95" i="5"/>
  <c r="J123" i="5"/>
  <c r="J12" i="5"/>
  <c r="J52" i="5"/>
  <c r="J58" i="5"/>
  <c r="J73" i="5"/>
  <c r="J78" i="5"/>
  <c r="J11" i="5"/>
  <c r="J82" i="5"/>
  <c r="J86" i="5"/>
  <c r="J22" i="5"/>
  <c r="J66" i="5"/>
  <c r="J41" i="5"/>
  <c r="J89" i="5"/>
  <c r="J17" i="5"/>
  <c r="J90" i="5"/>
  <c r="J15" i="5"/>
  <c r="J49" i="5"/>
  <c r="J13" i="5"/>
  <c r="J16" i="5"/>
  <c r="J125" i="5"/>
  <c r="J109" i="5"/>
  <c r="J21" i="5"/>
  <c r="J35" i="5"/>
  <c r="J65" i="5"/>
  <c r="J61" i="5"/>
  <c r="J38" i="5"/>
  <c r="J33" i="5"/>
  <c r="J75" i="5"/>
  <c r="J124" i="5"/>
  <c r="J60" i="5"/>
  <c r="J72" i="5"/>
  <c r="J44" i="5"/>
  <c r="J1" i="5"/>
  <c r="J84" i="5"/>
  <c r="J117" i="5"/>
  <c r="J118" i="5"/>
  <c r="J99" i="5"/>
  <c r="J27" i="5"/>
  <c r="J101" i="5"/>
  <c r="J56" i="5"/>
  <c r="J64" i="5"/>
  <c r="J19" i="5"/>
  <c r="J85" i="5"/>
  <c r="J121" i="5"/>
  <c r="J8" i="5"/>
  <c r="J46" i="5"/>
  <c r="J113" i="5"/>
  <c r="J103" i="5"/>
  <c r="J120" i="5"/>
  <c r="J83" i="5"/>
  <c r="J116" i="5"/>
  <c r="J23" i="5"/>
  <c r="J102" i="5"/>
  <c r="J37" i="5"/>
  <c r="J88" i="5"/>
  <c r="J32" i="5"/>
  <c r="S64" i="12"/>
  <c r="S63" i="12"/>
  <c r="S75" i="12"/>
  <c r="S61" i="12"/>
  <c r="S72" i="12"/>
  <c r="Z3037" i="12"/>
  <c r="Z327" i="12"/>
  <c r="Z3409" i="12"/>
  <c r="Z538" i="12"/>
  <c r="Z1436" i="12"/>
  <c r="Z1979" i="12"/>
  <c r="Z2516" i="12"/>
  <c r="Z233" i="12"/>
  <c r="Z2085" i="12"/>
  <c r="Z1983" i="12"/>
  <c r="Z246" i="12"/>
  <c r="Z2312" i="12"/>
  <c r="Z1488" i="12"/>
  <c r="Z2595" i="12"/>
  <c r="Z2508" i="12"/>
  <c r="Z591" i="12"/>
  <c r="Z3352" i="12"/>
  <c r="Z2973" i="12"/>
  <c r="Z46" i="12"/>
  <c r="Z1789" i="12"/>
  <c r="Z2629" i="12"/>
  <c r="Z3250" i="12"/>
  <c r="Z1420" i="12"/>
  <c r="Z3048" i="12"/>
  <c r="Z237" i="12"/>
  <c r="Z2941" i="12"/>
  <c r="Z309" i="12"/>
  <c r="Z3417" i="12"/>
  <c r="Z3041" i="12"/>
  <c r="Z2309" i="12"/>
  <c r="Z2412" i="12"/>
  <c r="Z22" i="12"/>
  <c r="Z3056" i="12"/>
  <c r="Z3219" i="12"/>
  <c r="Z978" i="12"/>
  <c r="Z3017" i="12"/>
  <c r="Z2985" i="12"/>
  <c r="Z1868" i="12"/>
  <c r="Z1773" i="12"/>
  <c r="Z838" i="12"/>
  <c r="Z1978" i="12"/>
  <c r="Z367" i="12"/>
  <c r="Z1582" i="12"/>
  <c r="Z329" i="12"/>
  <c r="Z232" i="12"/>
  <c r="Z425" i="12"/>
  <c r="Z2032" i="12"/>
  <c r="Z2857" i="12"/>
  <c r="Z2012" i="12"/>
  <c r="Z1547" i="12"/>
  <c r="Z557" i="12"/>
  <c r="Z659" i="12"/>
  <c r="Z2231" i="12"/>
  <c r="Z803" i="12"/>
  <c r="Z2709" i="12"/>
  <c r="Z456" i="12"/>
  <c r="Z1091" i="12"/>
  <c r="Z3189" i="12"/>
  <c r="Z3147" i="12"/>
  <c r="Z25" i="12"/>
  <c r="Z2917" i="12"/>
  <c r="Z139" i="12"/>
  <c r="Z900" i="12"/>
  <c r="Z2038" i="12"/>
  <c r="Z525" i="12"/>
  <c r="Z560" i="12"/>
  <c r="Z1537" i="12"/>
  <c r="Z2995" i="12"/>
  <c r="Z861" i="12"/>
  <c r="Z3305" i="12"/>
  <c r="Z3031" i="12"/>
  <c r="Z1708" i="12"/>
  <c r="Z2646" i="12"/>
  <c r="Z2899" i="12"/>
  <c r="Z422" i="12"/>
  <c r="Z1925" i="12"/>
  <c r="Z788" i="12"/>
  <c r="Z3326" i="12"/>
  <c r="Z3495" i="12"/>
  <c r="Z1539" i="12"/>
  <c r="Z622" i="12"/>
  <c r="Z1313" i="12"/>
  <c r="Z3272" i="12"/>
  <c r="Z1953" i="12"/>
  <c r="Z2004" i="12"/>
  <c r="Z3329" i="12"/>
  <c r="Z3491" i="12"/>
  <c r="Z191" i="12"/>
  <c r="Z2934" i="12"/>
  <c r="Z30" i="12"/>
  <c r="Z2588" i="12"/>
  <c r="Z3481" i="12"/>
  <c r="Z831" i="12"/>
  <c r="Z2522" i="12"/>
  <c r="Z1586" i="12"/>
  <c r="Z773" i="12"/>
  <c r="Z2026" i="12"/>
  <c r="Z977" i="12"/>
  <c r="Z2440" i="12"/>
  <c r="Z709" i="12"/>
  <c r="Z2746" i="12"/>
  <c r="Z2391" i="12"/>
  <c r="Z54" i="12"/>
  <c r="Z2652" i="12"/>
  <c r="Z2714" i="12"/>
  <c r="Z1507" i="12"/>
  <c r="Z992" i="12"/>
  <c r="Z790" i="12"/>
  <c r="Z2677" i="12"/>
  <c r="Z1173" i="12"/>
  <c r="Z1666" i="12"/>
  <c r="Z718" i="12"/>
  <c r="Z1617" i="12"/>
  <c r="Z1937" i="12"/>
  <c r="Z651" i="12"/>
  <c r="Z2165" i="12"/>
  <c r="Z1678" i="12"/>
  <c r="Z1292" i="12"/>
  <c r="Z1747" i="12"/>
  <c r="Z2548" i="12"/>
  <c r="Z3337" i="12"/>
  <c r="Z2228" i="12"/>
  <c r="Z1742" i="12"/>
  <c r="Z1688" i="12"/>
  <c r="Z28" i="12"/>
  <c r="Z3144" i="12"/>
  <c r="Z2956" i="12"/>
  <c r="Z2651" i="12"/>
  <c r="Z2772" i="12"/>
  <c r="Z3480" i="12"/>
  <c r="Z302" i="12"/>
  <c r="Z3095" i="12"/>
  <c r="Z1197" i="12"/>
  <c r="Z2434" i="12"/>
  <c r="Z2564" i="12"/>
  <c r="Z1097" i="12"/>
  <c r="Z1101" i="12"/>
  <c r="Z2558" i="12"/>
  <c r="Z601" i="12"/>
  <c r="Z2601" i="12"/>
  <c r="Z1624" i="12"/>
  <c r="Z222" i="12"/>
  <c r="Z1130" i="12"/>
  <c r="Z3002" i="12"/>
  <c r="Z1790" i="12"/>
  <c r="Z2155" i="12"/>
  <c r="Z1757" i="12"/>
  <c r="Z1563" i="12"/>
  <c r="Z2445" i="12"/>
  <c r="Z1755" i="12"/>
  <c r="Z762" i="12"/>
  <c r="Z3236" i="12"/>
  <c r="Z1304" i="12"/>
  <c r="Z833" i="12"/>
  <c r="Z3166" i="12"/>
  <c r="Z3349" i="12"/>
  <c r="Z957" i="12"/>
  <c r="Z3472" i="12"/>
  <c r="Z3453" i="12"/>
  <c r="Z2906" i="12"/>
  <c r="Z2901" i="12"/>
  <c r="Z145" i="12"/>
  <c r="Z2753" i="12"/>
  <c r="Z106" i="12"/>
  <c r="Z3360" i="12"/>
  <c r="Z734" i="12"/>
  <c r="Z2079" i="12"/>
  <c r="Z423" i="12"/>
  <c r="Z1291" i="12"/>
  <c r="Z2712" i="12"/>
  <c r="Z3119" i="12"/>
  <c r="Z3325" i="12"/>
  <c r="Z2600" i="12"/>
  <c r="Z555" i="12"/>
  <c r="Z776" i="12"/>
  <c r="Z1685" i="12"/>
  <c r="Z174" i="12"/>
  <c r="Z1347" i="12"/>
  <c r="Z1505" i="12"/>
  <c r="Z2437" i="12"/>
  <c r="Z3547" i="12"/>
  <c r="Z2199" i="12"/>
  <c r="Z1907" i="12"/>
  <c r="Z1517" i="12"/>
  <c r="Z353" i="12"/>
  <c r="Z333" i="12"/>
  <c r="Z1171" i="12"/>
  <c r="Z933" i="12"/>
  <c r="Z2094" i="12"/>
  <c r="Z2125" i="12"/>
  <c r="Z3109" i="12"/>
  <c r="Z987" i="12"/>
  <c r="Z1686" i="12"/>
  <c r="Z1060" i="12"/>
  <c r="Z1554" i="12"/>
  <c r="Z3000" i="12"/>
  <c r="Z2489" i="12"/>
  <c r="Z1768" i="12"/>
  <c r="Z679" i="12"/>
  <c r="Z1467" i="12"/>
  <c r="Z2834" i="12"/>
  <c r="Z2650" i="12"/>
  <c r="Z685" i="12"/>
  <c r="Z1221" i="12"/>
  <c r="Z2710" i="12"/>
  <c r="Z83" i="12"/>
  <c r="Z1466" i="12"/>
  <c r="Z915" i="12"/>
  <c r="Z2858" i="12"/>
  <c r="Z1150" i="12"/>
  <c r="Z489" i="12"/>
  <c r="Z3210" i="12"/>
  <c r="Z958" i="12"/>
  <c r="Z1389" i="12"/>
  <c r="Z1325" i="12"/>
  <c r="Z2461" i="12"/>
  <c r="Z2156" i="12"/>
  <c r="Z600" i="12"/>
  <c r="Z2123" i="12"/>
  <c r="Z3132" i="12"/>
  <c r="Z763" i="12"/>
  <c r="Z3239" i="12"/>
  <c r="Z2384" i="12"/>
  <c r="Z2659" i="12"/>
  <c r="Z298" i="12"/>
  <c r="Z3066" i="12"/>
  <c r="Z1450" i="12"/>
  <c r="Z2323" i="12"/>
  <c r="Z1312" i="12"/>
  <c r="Z2843" i="12"/>
  <c r="Z865" i="12"/>
  <c r="Z532" i="12"/>
  <c r="Z2643" i="12"/>
  <c r="Z2433" i="12"/>
  <c r="Z338" i="12"/>
  <c r="Z26" i="12"/>
  <c r="Z352" i="12"/>
  <c r="Z355" i="12"/>
  <c r="Z3174" i="12"/>
  <c r="Z939" i="12"/>
  <c r="Z3504" i="12"/>
  <c r="Z1199" i="12"/>
  <c r="Z2740" i="12"/>
  <c r="Z2010" i="12"/>
  <c r="Z348" i="12"/>
  <c r="Z2161" i="12"/>
  <c r="Z2422" i="12"/>
  <c r="Z932" i="12"/>
  <c r="Z1821" i="12"/>
  <c r="Z727" i="12"/>
  <c r="Z3229" i="12"/>
  <c r="Z3196" i="12"/>
  <c r="Z2880" i="12"/>
  <c r="Z581" i="12"/>
  <c r="Z652" i="12"/>
  <c r="Z178" i="12"/>
  <c r="Z40" i="12"/>
  <c r="Z1772" i="12"/>
  <c r="Z2145" i="12"/>
  <c r="Z497" i="12"/>
  <c r="Z2512" i="12"/>
  <c r="Z3497" i="12"/>
  <c r="Z1727" i="12"/>
  <c r="Z3460" i="12"/>
  <c r="Z1944" i="12"/>
  <c r="Z1249" i="12"/>
  <c r="Z1863" i="12"/>
  <c r="Z1288" i="12"/>
  <c r="Z2249" i="12"/>
  <c r="Z1337" i="12"/>
  <c r="Z2275" i="12"/>
  <c r="Z2272" i="12"/>
  <c r="Z2474" i="12"/>
  <c r="Z248" i="12"/>
  <c r="Z3281" i="12"/>
  <c r="Z3470" i="12"/>
  <c r="Z2743" i="12"/>
  <c r="Z1254" i="12"/>
  <c r="Z1902" i="12"/>
  <c r="Z2983" i="12"/>
  <c r="Z835" i="12"/>
  <c r="Z1437" i="12"/>
  <c r="Z641" i="12"/>
  <c r="Z797" i="12"/>
  <c r="Z1947" i="12"/>
  <c r="Z1042" i="12"/>
  <c r="Z1570" i="12"/>
  <c r="Z993" i="12"/>
  <c r="Z1243" i="12"/>
  <c r="Z996" i="12"/>
  <c r="Z1859" i="12"/>
  <c r="Z78" i="12"/>
  <c r="Z3322" i="12"/>
  <c r="Z1100" i="12"/>
  <c r="Z2895" i="12"/>
  <c r="Z2786" i="12"/>
  <c r="Z2854" i="12"/>
  <c r="Z1855" i="12"/>
  <c r="Z2708" i="12"/>
  <c r="Z108" i="12"/>
  <c r="Z2407" i="12"/>
  <c r="Z1367" i="12"/>
  <c r="Z2849" i="12"/>
  <c r="Z2299" i="12"/>
  <c r="Z2648" i="12"/>
  <c r="Z1970" i="12"/>
  <c r="Z947" i="12"/>
  <c r="Z2876" i="12"/>
  <c r="Z1194" i="12"/>
  <c r="Z1456" i="12"/>
  <c r="Z2554" i="12"/>
  <c r="Z3051" i="12"/>
  <c r="Z1799" i="12"/>
  <c r="Z3519" i="12"/>
  <c r="Z1303" i="12"/>
  <c r="Z2851" i="12"/>
  <c r="Z2986" i="12"/>
  <c r="Z544" i="12"/>
  <c r="Z2574" i="12"/>
  <c r="Z2481" i="12"/>
  <c r="Z2936" i="12"/>
  <c r="Z2838" i="12"/>
  <c r="Z66" i="12"/>
  <c r="Z2561" i="12"/>
  <c r="Z571" i="12"/>
  <c r="Z1980" i="12"/>
  <c r="Z2263" i="12"/>
  <c r="Z243" i="12"/>
  <c r="Z2251" i="12"/>
  <c r="Z1871" i="12"/>
  <c r="Z3273" i="12"/>
  <c r="Z2385" i="12"/>
  <c r="Z1775" i="12"/>
  <c r="Z1673" i="12"/>
  <c r="Z2976" i="12"/>
  <c r="Z670" i="12"/>
  <c r="Z1719" i="12"/>
  <c r="Z2907" i="12"/>
  <c r="Z2191" i="12"/>
  <c r="Z580" i="12"/>
  <c r="Z1030" i="12"/>
  <c r="Z111" i="12"/>
  <c r="Z1734" i="12"/>
  <c r="Z3085" i="12"/>
  <c r="Z177" i="12"/>
  <c r="Z2647" i="12"/>
  <c r="Z315" i="12"/>
  <c r="Z1161" i="12"/>
  <c r="Z531" i="12"/>
  <c r="Z689" i="12"/>
  <c r="Z1546" i="12"/>
  <c r="Z371" i="12"/>
  <c r="Z1105" i="12"/>
  <c r="Z1572" i="12"/>
  <c r="Z3328" i="12"/>
  <c r="Z840" i="12"/>
  <c r="Z970" i="12"/>
  <c r="Z2188" i="12"/>
  <c r="Z3395" i="12"/>
  <c r="Z824" i="12"/>
  <c r="Z2693" i="12"/>
  <c r="Z2436" i="12"/>
  <c r="Z2237" i="12"/>
  <c r="Z3431" i="12"/>
  <c r="Z3527" i="12"/>
  <c r="Z1544" i="12"/>
  <c r="Z1245" i="12"/>
  <c r="Z2376" i="12"/>
  <c r="Z1509" i="12"/>
  <c r="Z1237" i="12"/>
  <c r="Z2641" i="12"/>
  <c r="Z554" i="12"/>
  <c r="Z2186" i="12"/>
  <c r="Z681" i="12"/>
  <c r="Z2006" i="12"/>
  <c r="Z1668" i="12"/>
  <c r="Z3426" i="12"/>
  <c r="Z3161" i="12"/>
  <c r="Z1713" i="12"/>
  <c r="Z179" i="12"/>
  <c r="Z1385" i="12"/>
  <c r="Z3382" i="12"/>
  <c r="Z3163" i="12"/>
  <c r="Z2485" i="12"/>
  <c r="Z3518" i="12"/>
  <c r="Z2266" i="12"/>
  <c r="Z1934" i="12"/>
  <c r="Z3308" i="12"/>
  <c r="Z2695" i="12"/>
  <c r="Z2891" i="12"/>
  <c r="Z2791" i="12"/>
  <c r="Z2598" i="12"/>
  <c r="Z1593" i="12"/>
  <c r="Z1067" i="12"/>
  <c r="Z2343" i="12"/>
  <c r="Z563" i="12"/>
  <c r="Z3167" i="12"/>
  <c r="Z746" i="12"/>
  <c r="Z135" i="12"/>
  <c r="Z594" i="12"/>
  <c r="Z1915" i="12"/>
  <c r="Z157" i="12"/>
  <c r="Z1204" i="12"/>
  <c r="Z1140" i="12"/>
  <c r="Z3530" i="12"/>
  <c r="Z717" i="12"/>
  <c r="Z1615" i="12"/>
  <c r="Z639" i="12"/>
  <c r="Z2737" i="12"/>
  <c r="Z3122" i="12"/>
  <c r="Z2867" i="12"/>
  <c r="Z3247" i="12"/>
  <c r="Z1260" i="12"/>
  <c r="Z2524" i="12"/>
  <c r="Z167" i="12"/>
  <c r="Z640" i="12"/>
  <c r="Z2700" i="12"/>
  <c r="Z1966" i="12"/>
  <c r="Z2952" i="12"/>
  <c r="Z2138" i="12"/>
  <c r="Z2829" i="12"/>
  <c r="Z2031" i="12"/>
  <c r="Z1043" i="12"/>
  <c r="Z2513" i="12"/>
  <c r="Z777" i="12"/>
  <c r="Z2120" i="12"/>
  <c r="Z929" i="12"/>
  <c r="Z1160" i="12"/>
  <c r="Z678" i="12"/>
  <c r="Z229" i="12"/>
  <c r="Z2236" i="12"/>
  <c r="Z1289" i="12"/>
  <c r="Z79" i="12"/>
  <c r="Z817" i="12"/>
  <c r="Z69" i="12"/>
  <c r="Z165" i="12"/>
  <c r="Z680" i="12"/>
  <c r="Z3269" i="12"/>
  <c r="Z3188" i="12"/>
  <c r="Z2389" i="12"/>
  <c r="Z637" i="12"/>
  <c r="Z1961" i="12"/>
  <c r="Z1560" i="12"/>
  <c r="Z2355" i="12"/>
  <c r="Z1133" i="12"/>
  <c r="Z543" i="12"/>
  <c r="Z1999" i="12"/>
  <c r="Z3130" i="12"/>
  <c r="Z2904" i="12"/>
  <c r="Z2223" i="12"/>
  <c r="Z1079" i="12"/>
  <c r="Z850" i="12"/>
  <c r="Z410" i="12"/>
  <c r="Z1485" i="12"/>
  <c r="Z981" i="12"/>
  <c r="Z2441" i="12"/>
  <c r="Z1870" i="12"/>
  <c r="Z181" i="12"/>
  <c r="Z3422" i="12"/>
  <c r="Z1473" i="12"/>
  <c r="Z1797" i="12"/>
  <c r="Z3199" i="12"/>
  <c r="Z2014" i="12"/>
  <c r="Z1142" i="12"/>
  <c r="Z3330" i="12"/>
  <c r="Z3256" i="12"/>
  <c r="Z781" i="12"/>
  <c r="Z169" i="12"/>
  <c r="Z2008" i="12"/>
  <c r="Z1567" i="12"/>
  <c r="Z2811" i="12"/>
  <c r="Z2530" i="12"/>
  <c r="Z912" i="12"/>
  <c r="Z1939" i="12"/>
  <c r="Z185" i="12"/>
  <c r="Z3059" i="12"/>
  <c r="Z3353" i="12"/>
  <c r="Z2052" i="12"/>
  <c r="Z307" i="12"/>
  <c r="Z467" i="12"/>
  <c r="Z3058" i="12"/>
  <c r="Z3205" i="12"/>
  <c r="Z867" i="12"/>
  <c r="Z2636" i="12"/>
  <c r="Z1693" i="12"/>
  <c r="Z218" i="12"/>
  <c r="Z230" i="12"/>
  <c r="Z3542" i="12"/>
  <c r="Z1877" i="12"/>
  <c r="Z629" i="12"/>
  <c r="Z1357" i="12"/>
  <c r="Z3023" i="12"/>
  <c r="Z2214" i="12"/>
  <c r="Z2447" i="12"/>
  <c r="Z2951" i="12"/>
  <c r="Z793" i="12"/>
  <c r="Z3133" i="12"/>
  <c r="Z2387" i="12"/>
  <c r="Z2347" i="12"/>
  <c r="Z3038" i="12"/>
  <c r="Z3536" i="12"/>
  <c r="Z3371" i="12"/>
  <c r="Z428" i="12"/>
  <c r="Z2142" i="12"/>
  <c r="Z3243" i="12"/>
  <c r="Z2381" i="12"/>
  <c r="Z1310" i="12"/>
  <c r="Z3139" i="12"/>
  <c r="Z1749" i="12"/>
  <c r="Z707" i="12"/>
  <c r="Z2259" i="12"/>
  <c r="Z3445" i="12"/>
  <c r="Z166" i="12"/>
  <c r="Z2153" i="12"/>
  <c r="Z2196" i="12"/>
  <c r="Z552" i="12"/>
  <c r="Z1024" i="12"/>
  <c r="Z604" i="12"/>
  <c r="Z1419" i="12"/>
  <c r="Z844" i="12"/>
  <c r="Z3221" i="12"/>
  <c r="Z45" i="12"/>
  <c r="Z2801" i="12"/>
  <c r="Z2903" i="12"/>
  <c r="Z3365" i="12"/>
  <c r="Z3441" i="12"/>
  <c r="Z602" i="12"/>
  <c r="Z2281" i="12"/>
  <c r="Z2909" i="12"/>
  <c r="Z200" i="12"/>
  <c r="Z2307" i="12"/>
  <c r="Z2812" i="12"/>
  <c r="Z2395" i="12"/>
  <c r="Z32" i="12"/>
  <c r="Z1359" i="12"/>
  <c r="Z644" i="12"/>
  <c r="Z1192" i="12"/>
  <c r="Z1311" i="12"/>
  <c r="Z2502" i="12"/>
  <c r="Z550" i="12"/>
  <c r="Z553" i="12"/>
  <c r="Z120" i="12"/>
  <c r="Z2747" i="12"/>
  <c r="Z1794" i="12"/>
  <c r="Z1733" i="12"/>
  <c r="Z343" i="12"/>
  <c r="Z1954" i="12"/>
  <c r="Z283" i="12"/>
  <c r="Z3170" i="12"/>
  <c r="Z2565" i="12"/>
  <c r="Z1851" i="12"/>
  <c r="Z3473" i="12"/>
  <c r="Z2539" i="12"/>
  <c r="Z2910" i="12"/>
  <c r="Z3387" i="12"/>
  <c r="Z1600" i="12"/>
  <c r="Z3283" i="12"/>
  <c r="Z2889" i="12"/>
  <c r="Z3499" i="12"/>
  <c r="Z295" i="12"/>
  <c r="Z2719" i="12"/>
  <c r="Z211" i="12"/>
  <c r="Z1496" i="12"/>
  <c r="Z990" i="12"/>
  <c r="Z334" i="12"/>
  <c r="Z2044" i="12"/>
  <c r="Z1726" i="12"/>
  <c r="Z382" i="12"/>
  <c r="Z424" i="12"/>
  <c r="Z1816" i="12"/>
  <c r="Z2187" i="12"/>
  <c r="Z2560" i="12"/>
  <c r="Z605" i="12"/>
  <c r="Z3299" i="12"/>
  <c r="Z1452" i="12"/>
  <c r="Z1201" i="12"/>
  <c r="Z579" i="12"/>
  <c r="Z2327" i="12"/>
  <c r="Z1379" i="12"/>
  <c r="Z1174" i="12"/>
  <c r="Z820" i="12"/>
  <c r="Z1820" i="12"/>
  <c r="Z2111" i="12"/>
  <c r="Z3292" i="12"/>
  <c r="Z1776" i="12"/>
  <c r="Z1255" i="12"/>
  <c r="Z2492" i="12"/>
  <c r="Z2278" i="12"/>
  <c r="Z2963" i="12"/>
  <c r="Z755" i="12"/>
  <c r="Z2606" i="12"/>
  <c r="Z455" i="12"/>
  <c r="Z2927" i="12"/>
  <c r="Z821" i="12"/>
  <c r="Z2785" i="12"/>
  <c r="Z3332" i="12"/>
  <c r="Z3069" i="12"/>
  <c r="Z2750" i="12"/>
  <c r="Z1001" i="12"/>
  <c r="Z299" i="12"/>
  <c r="Z2431" i="12"/>
  <c r="Z871" i="12"/>
  <c r="Z937" i="12"/>
  <c r="Z2109" i="12"/>
  <c r="Z2359" i="12"/>
  <c r="Z2009" i="12"/>
  <c r="Z2154" i="12"/>
  <c r="Z2117" i="12"/>
  <c r="Z2453" i="12"/>
  <c r="Z3022" i="12"/>
  <c r="Z730" i="12"/>
  <c r="Z1232" i="12"/>
  <c r="Z816" i="12"/>
  <c r="Z1054" i="12"/>
  <c r="Z2451" i="12"/>
  <c r="Z1226" i="12"/>
  <c r="Z1602" i="12"/>
  <c r="Z2688" i="12"/>
  <c r="Z2176" i="12"/>
  <c r="Z1263" i="12"/>
  <c r="Z1982" i="12"/>
  <c r="Z2087" i="12"/>
  <c r="Z3216" i="12"/>
  <c r="Z825" i="12"/>
  <c r="Z3172" i="12"/>
  <c r="Z154" i="12"/>
  <c r="Z1551" i="12"/>
  <c r="Z610" i="12"/>
  <c r="Z2839" i="12"/>
  <c r="Z2781" i="12"/>
  <c r="Z1556" i="12"/>
  <c r="Z1360" i="12"/>
  <c r="Z2045" i="12"/>
  <c r="Z3339" i="12"/>
  <c r="Z2449" i="12"/>
  <c r="Z2298" i="12"/>
  <c r="Z89" i="12"/>
  <c r="Z999" i="12"/>
  <c r="Z1504" i="12"/>
  <c r="Z1994" i="12"/>
  <c r="Z1964" i="12"/>
  <c r="Z826" i="12"/>
  <c r="Z716" i="12"/>
  <c r="Z2319" i="12"/>
  <c r="Z1472" i="12"/>
  <c r="Z1438" i="12"/>
  <c r="Z161" i="12"/>
  <c r="Z2563" i="12"/>
  <c r="Z1474" i="12"/>
  <c r="Z577" i="12"/>
  <c r="Z2256" i="12"/>
  <c r="Z3207" i="12"/>
  <c r="Z3091" i="12"/>
  <c r="Z3134" i="12"/>
  <c r="Z2768" i="12"/>
  <c r="Z3463" i="12"/>
  <c r="Z633" i="12"/>
  <c r="Z3263" i="12"/>
  <c r="Z1724" i="12"/>
  <c r="Z2800" i="12"/>
  <c r="Z975" i="12"/>
  <c r="Z603" i="12"/>
  <c r="Z1735" i="12"/>
  <c r="Z1639" i="12"/>
  <c r="Z3477" i="12"/>
  <c r="Z2260" i="12"/>
  <c r="Z81" i="12"/>
  <c r="Z3257" i="12"/>
  <c r="Z340" i="12"/>
  <c r="Z2759" i="12"/>
  <c r="Z2521" i="12"/>
  <c r="Z2443" i="12"/>
  <c r="Z2144" i="12"/>
  <c r="Z1238" i="12"/>
  <c r="Z127" i="12"/>
  <c r="Z3377" i="12"/>
  <c r="Z3275" i="12"/>
  <c r="Z1099" i="12"/>
  <c r="Z2039" i="12"/>
  <c r="Z3264" i="12"/>
  <c r="Z462" i="12"/>
  <c r="Z2617" i="12"/>
  <c r="Z1898" i="12"/>
  <c r="Z3389" i="12"/>
  <c r="Z2998" i="12"/>
  <c r="Z2219" i="12"/>
  <c r="Z488" i="12"/>
  <c r="Z199" i="12"/>
  <c r="Z3468" i="12"/>
  <c r="Z3285" i="12"/>
  <c r="Z2945" i="12"/>
  <c r="Z2311" i="12"/>
  <c r="Z1218" i="12"/>
  <c r="Z1696" i="12"/>
  <c r="Z1503" i="12"/>
  <c r="Z3001" i="12"/>
  <c r="Z2177" i="12"/>
  <c r="Z2415" i="12"/>
  <c r="Z2000" i="12"/>
  <c r="Z558" i="12"/>
  <c r="Z1931" i="12"/>
  <c r="Z1281" i="12"/>
  <c r="Z1671" i="12"/>
  <c r="Z1349" i="12"/>
  <c r="Z1090" i="12"/>
  <c r="Z1894" i="12"/>
  <c r="Z3006" i="12"/>
  <c r="Z204" i="12"/>
  <c r="Z3004" i="12"/>
  <c r="Z2717" i="12"/>
  <c r="Z2960" i="12"/>
  <c r="Z1564" i="12"/>
  <c r="Z3436" i="12"/>
  <c r="Z1109" i="12"/>
  <c r="Z227" i="12"/>
  <c r="Z528" i="12"/>
  <c r="Z1055" i="12"/>
  <c r="Z2129" i="12"/>
  <c r="Z2021" i="12"/>
  <c r="Z3467" i="12"/>
  <c r="Z1259" i="12"/>
  <c r="Z2721" i="12"/>
  <c r="Z2948" i="12"/>
  <c r="Z881" i="12"/>
  <c r="Z3228" i="12"/>
  <c r="Z1314" i="12"/>
  <c r="Z109" i="12"/>
  <c r="Z2897" i="12"/>
  <c r="Z1483" i="12"/>
  <c r="Z1033" i="12"/>
  <c r="Z566" i="12"/>
  <c r="Z796" i="12"/>
  <c r="Z1748" i="12"/>
  <c r="Z2766" i="12"/>
  <c r="Z3014" i="12"/>
  <c r="Z1453" i="12"/>
  <c r="Z2553" i="12"/>
  <c r="Z129" i="12"/>
  <c r="Z661" i="12"/>
  <c r="Z35" i="12"/>
  <c r="Z2657" i="12"/>
  <c r="Z3315" i="12"/>
  <c r="Z403" i="12"/>
  <c r="Z1634" i="12"/>
  <c r="Z278" i="12"/>
  <c r="Z3507" i="12"/>
  <c r="Z2982" i="12"/>
  <c r="Z1759" i="12"/>
  <c r="Z1212" i="12"/>
  <c r="Z1235" i="12"/>
  <c r="Z569" i="12"/>
  <c r="Z995" i="12"/>
  <c r="Z2496" i="12"/>
  <c r="Z2915" i="12"/>
  <c r="Z2618" i="12"/>
  <c r="Z3012" i="12"/>
  <c r="Z2633" i="12"/>
  <c r="Z3400" i="12"/>
  <c r="Z1339" i="12"/>
  <c r="Z33" i="12"/>
  <c r="Z1901" i="12"/>
  <c r="Z87" i="12"/>
  <c r="Z1431" i="12"/>
  <c r="Z851" i="12"/>
  <c r="Z1094" i="12"/>
  <c r="Z1677" i="12"/>
  <c r="Z812" i="12"/>
  <c r="Z1442" i="12"/>
  <c r="Z2918" i="12"/>
  <c r="Z2805" i="12"/>
  <c r="Z1647" i="12"/>
  <c r="Z3391" i="12"/>
  <c r="Z1730" i="12"/>
  <c r="Z2752" i="12"/>
  <c r="Z2836" i="12"/>
  <c r="Z2689" i="12"/>
  <c r="Z2550" i="12"/>
  <c r="Z562" i="12"/>
  <c r="Z1407" i="12"/>
  <c r="Z2468" i="12"/>
  <c r="Z3222" i="12"/>
  <c r="Z3390" i="12"/>
  <c r="Z3079" i="12"/>
  <c r="Z635" i="12"/>
  <c r="Z2817" i="12"/>
  <c r="Z1036" i="12"/>
  <c r="Z2043" i="12"/>
  <c r="Z358" i="12"/>
  <c r="Z3057" i="12"/>
  <c r="Z2875" i="12"/>
  <c r="Z212" i="12"/>
  <c r="Z1628" i="12"/>
  <c r="Z400" i="12"/>
  <c r="Z2775" i="12"/>
  <c r="Z712" i="12"/>
  <c r="Z2984" i="12"/>
  <c r="Z1609" i="12"/>
  <c r="Z1144" i="12"/>
  <c r="Z3206" i="12"/>
  <c r="Z386" i="12"/>
  <c r="Z2424" i="12"/>
  <c r="Z2470" i="12"/>
  <c r="Z636" i="12"/>
  <c r="Z459" i="12"/>
  <c r="Z1700" i="12"/>
  <c r="Z749" i="12"/>
  <c r="Z1723" i="12"/>
  <c r="Z3331" i="12"/>
  <c r="Z2227" i="12"/>
  <c r="Z1010" i="12"/>
  <c r="Z1331" i="12"/>
  <c r="Z877" i="12"/>
  <c r="Z3050" i="12"/>
  <c r="Z67" i="12"/>
  <c r="Z1261" i="12"/>
  <c r="Z3055" i="12"/>
  <c r="Z2533" i="12"/>
  <c r="Z454" i="12"/>
  <c r="Z517" i="12"/>
  <c r="Z761" i="12"/>
  <c r="Z3358" i="12"/>
  <c r="Z3081" i="12"/>
  <c r="Z1039" i="12"/>
  <c r="Z2340" i="12"/>
  <c r="Z827" i="12"/>
  <c r="Z3454" i="12"/>
  <c r="Z464" i="12"/>
  <c r="Z3288" i="12"/>
  <c r="Z1253" i="12"/>
  <c r="Z942" i="12"/>
  <c r="Z3254" i="12"/>
  <c r="Z3193" i="12"/>
  <c r="Z3413" i="12"/>
  <c r="Z1465" i="12"/>
  <c r="Z1005" i="12"/>
  <c r="Z1792" i="12"/>
  <c r="Z2097" i="12"/>
  <c r="Z3295" i="12"/>
  <c r="Z2930" i="12"/>
  <c r="Z254" i="12"/>
  <c r="Z1746" i="12"/>
  <c r="Z285" i="12"/>
  <c r="Z2863" i="12"/>
  <c r="Z304" i="12"/>
  <c r="Z3226" i="12"/>
  <c r="Z2082" i="12"/>
  <c r="Z460" i="12"/>
  <c r="Z472" i="12"/>
  <c r="Z1958" i="12"/>
  <c r="Z1073" i="12"/>
  <c r="Z471" i="12"/>
  <c r="Z1573" i="12"/>
  <c r="Z1650" i="12"/>
  <c r="Z1858" i="12"/>
  <c r="Z3246" i="12"/>
  <c r="Z3356" i="12"/>
  <c r="Z556" i="12"/>
  <c r="Z3088" i="12"/>
  <c r="Z3392" i="12"/>
  <c r="Z736" i="12"/>
  <c r="Z1709" i="12"/>
  <c r="Z2667" i="12"/>
  <c r="Z1521" i="12"/>
  <c r="Z3510" i="12"/>
  <c r="Z366" i="12"/>
  <c r="Z918" i="12"/>
  <c r="Z1633" i="12"/>
  <c r="Z128" i="12"/>
  <c r="Z2697" i="12"/>
  <c r="Z1370" i="12"/>
  <c r="Z3334" i="12"/>
  <c r="Z2771" i="12"/>
  <c r="Z3027" i="12"/>
  <c r="Z619" i="12"/>
  <c r="Z2467" i="12"/>
  <c r="Z1889" i="12"/>
  <c r="Z1785" i="12"/>
  <c r="Z917" i="12"/>
  <c r="Z2599" i="12"/>
  <c r="Z3304" i="12"/>
  <c r="Z437" i="12"/>
  <c r="Z2795" i="12"/>
  <c r="Z705" i="12"/>
  <c r="Z2756" i="12"/>
  <c r="Z1443" i="12"/>
  <c r="Z2193" i="12"/>
  <c r="Z1414" i="12"/>
  <c r="Z2865" i="12"/>
  <c r="Z2529" i="12"/>
  <c r="Z695" i="12"/>
  <c r="Z3451" i="12"/>
  <c r="Z1375" i="12"/>
  <c r="Z1317" i="12"/>
  <c r="Z1552" i="12"/>
  <c r="Z3309" i="12"/>
  <c r="Z2970" i="12"/>
  <c r="Z737" i="12"/>
  <c r="Z2068" i="12"/>
  <c r="Z370" i="12"/>
  <c r="Z319" i="12"/>
  <c r="Z2519" i="12"/>
  <c r="Z2940" i="12"/>
  <c r="Z1061" i="12"/>
  <c r="Z3290" i="12"/>
  <c r="Z217" i="12"/>
  <c r="Z2333" i="12"/>
  <c r="Z2366" i="12"/>
  <c r="Z3116" i="12"/>
  <c r="Z37" i="12"/>
  <c r="Z836" i="12"/>
  <c r="Z347" i="12"/>
  <c r="Z2935" i="12"/>
  <c r="Z267" i="12"/>
  <c r="Z1330" i="12"/>
  <c r="Z1397" i="12"/>
  <c r="Z2987" i="12"/>
  <c r="Z1940" i="12"/>
  <c r="Z2534" i="12"/>
  <c r="Z938" i="12"/>
  <c r="Z3053" i="12"/>
  <c r="Z549" i="12"/>
  <c r="Z3531" i="12"/>
  <c r="Z2479" i="12"/>
  <c r="Z2175" i="12"/>
  <c r="Z647" i="12"/>
  <c r="Z962" i="12"/>
  <c r="Z2276" i="12"/>
  <c r="Z1205" i="12"/>
  <c r="Z401" i="12"/>
  <c r="Z321" i="12"/>
  <c r="Z2107" i="12"/>
  <c r="Z774" i="12"/>
  <c r="Z2220" i="12"/>
  <c r="Z676" i="12"/>
  <c r="Z1155" i="12"/>
  <c r="Z771" i="12"/>
  <c r="Z3488" i="12"/>
  <c r="Z834" i="12"/>
  <c r="Z3176" i="12"/>
  <c r="Z786" i="12"/>
  <c r="Z2264" i="12"/>
  <c r="Z1425" i="12"/>
  <c r="Z687" i="12"/>
  <c r="Z1258" i="12"/>
  <c r="Z2367" i="12"/>
  <c r="Z1972" i="12"/>
  <c r="Z3054" i="12"/>
  <c r="Z1878" i="12"/>
  <c r="Z1919" i="12"/>
  <c r="Z1153" i="12"/>
  <c r="Z225" i="12"/>
  <c r="Z3274" i="12"/>
  <c r="Z2885" i="12"/>
  <c r="Z507" i="12"/>
  <c r="Z823" i="12"/>
  <c r="Z2683" i="12"/>
  <c r="Z2224" i="12"/>
  <c r="Z1112" i="12"/>
  <c r="Z3148" i="12"/>
  <c r="Z2128" i="12"/>
  <c r="Z1881" i="12"/>
  <c r="Z206" i="12"/>
  <c r="Z1166" i="12"/>
  <c r="Z1293" i="12"/>
  <c r="Z1127" i="12"/>
  <c r="Z523" i="12"/>
  <c r="Z1559" i="12"/>
  <c r="Z1989" i="12"/>
  <c r="Z3501" i="12"/>
  <c r="Z2742" i="12"/>
  <c r="Z722" i="12"/>
  <c r="Z1307" i="12"/>
  <c r="Z3223" i="12"/>
  <c r="Z1779" i="12"/>
  <c r="Z1231" i="12"/>
  <c r="Z1526" i="12"/>
  <c r="Z339" i="12"/>
  <c r="Z726" i="12"/>
  <c r="Z2639" i="12"/>
  <c r="Z3009" i="12"/>
  <c r="Z1211" i="12"/>
  <c r="Z3159" i="12"/>
  <c r="Z1818" i="12"/>
  <c r="Z2182" i="12"/>
  <c r="Z1006" i="12"/>
  <c r="Z2446" i="12"/>
  <c r="Z1967" i="12"/>
  <c r="Z372" i="12"/>
  <c r="Z700" i="12"/>
  <c r="Z2215" i="12"/>
  <c r="Z500" i="12"/>
  <c r="Z1404" i="12"/>
  <c r="Z435" i="12"/>
  <c r="Z2587" i="12"/>
  <c r="Z2804" i="12"/>
  <c r="Z2603" i="12"/>
  <c r="Z1872" i="12"/>
  <c r="Z1240" i="12"/>
  <c r="Z3128" i="12"/>
  <c r="Z385" i="12"/>
  <c r="Z1578" i="12"/>
  <c r="Z1002" i="12"/>
  <c r="Z608" i="12"/>
  <c r="Z2672" i="12"/>
  <c r="Z1538" i="12"/>
  <c r="Z2503" i="12"/>
  <c r="Z2990" i="12"/>
  <c r="Z3182" i="12"/>
  <c r="Z190" i="12"/>
  <c r="Z1363" i="12"/>
  <c r="Z2325" i="12"/>
  <c r="Z2676" i="12"/>
  <c r="Z848" i="12"/>
  <c r="Z1372" i="12"/>
  <c r="Z1170" i="12"/>
  <c r="Z759" i="12"/>
  <c r="Z804" i="12"/>
  <c r="Z2962" i="12"/>
  <c r="Z2586" i="12"/>
  <c r="Z2290" i="12"/>
  <c r="Z1326" i="12"/>
  <c r="Z3154" i="12"/>
  <c r="Z1334" i="12"/>
  <c r="Z159" i="12"/>
  <c r="Z3298" i="12"/>
  <c r="Z406" i="12"/>
  <c r="Z1698" i="12"/>
  <c r="Z2653" i="12"/>
  <c r="Z961" i="12"/>
  <c r="Z731" i="12"/>
  <c r="Z1373" i="12"/>
  <c r="Z1489" i="12"/>
  <c r="Z1395" i="12"/>
  <c r="Z1444" i="12"/>
  <c r="Z1115" i="12"/>
  <c r="Z2096" i="12"/>
  <c r="Z2098" i="12"/>
  <c r="Z2799" i="12"/>
  <c r="Z3235" i="12"/>
  <c r="Z2414" i="12"/>
  <c r="Z1998" i="12"/>
  <c r="Z1581" i="12"/>
  <c r="Z818" i="12"/>
  <c r="Z1604" i="12"/>
  <c r="Z1077" i="12"/>
  <c r="Z2195" i="12"/>
  <c r="Z1274" i="12"/>
  <c r="Z1644" i="12"/>
  <c r="Z186" i="12"/>
  <c r="Z878" i="12"/>
  <c r="Z1574" i="12"/>
  <c r="Z1135" i="12"/>
  <c r="Z2999" i="12"/>
  <c r="Z3030" i="12"/>
  <c r="Z1968" i="12"/>
  <c r="Z1803" i="12"/>
  <c r="Z1555" i="12"/>
  <c r="Z908" i="12"/>
  <c r="Z1146" i="12"/>
  <c r="Z1117" i="12"/>
  <c r="Z2475" i="12"/>
  <c r="Z1462" i="12"/>
  <c r="Z2932" i="12"/>
  <c r="Z2230" i="12"/>
  <c r="Z3089" i="12"/>
  <c r="Z2369" i="12"/>
  <c r="Z2855" i="12"/>
  <c r="Z1492" i="12"/>
  <c r="Z1224" i="12"/>
  <c r="Z3301" i="12"/>
  <c r="Z839" i="12"/>
  <c r="Z928" i="12"/>
  <c r="Z1760" i="12"/>
  <c r="Z112" i="12"/>
  <c r="Z899" i="12"/>
  <c r="Z3043" i="12"/>
  <c r="Z1346" i="12"/>
  <c r="Z312" i="12"/>
  <c r="Z2796" i="12"/>
  <c r="Z2706" i="12"/>
  <c r="Z2896" i="12"/>
  <c r="Z792" i="12"/>
  <c r="Z1227" i="12"/>
  <c r="Z841" i="12"/>
  <c r="Z988" i="12"/>
  <c r="Z387" i="12"/>
  <c r="Z1535" i="12"/>
  <c r="Z524" i="12"/>
  <c r="Z1361" i="12"/>
  <c r="Z1494" i="12"/>
  <c r="Z1169" i="12"/>
  <c r="Z316" i="12"/>
  <c r="Z465" i="12"/>
  <c r="Z419" i="12"/>
  <c r="Z448" i="12"/>
  <c r="Z1276" i="12"/>
  <c r="Z2265" i="12"/>
  <c r="Z1956" i="12"/>
  <c r="Z1987" i="12"/>
  <c r="Z1780" i="12"/>
  <c r="Z38" i="12"/>
  <c r="Z3067" i="12"/>
  <c r="Z1381" i="12"/>
  <c r="Z3070" i="12"/>
  <c r="Z1078" i="12"/>
  <c r="Z2061" i="12"/>
  <c r="Z1502" i="12"/>
  <c r="Z3278" i="12"/>
  <c r="Z3513" i="12"/>
  <c r="Z2086" i="12"/>
  <c r="Z1971" i="12"/>
  <c r="Z1896" i="12"/>
  <c r="Z872" i="12"/>
  <c r="Z2167" i="12"/>
  <c r="Z1577" i="12"/>
  <c r="Z1845" i="12"/>
  <c r="Z3237" i="12"/>
  <c r="Z2351" i="12"/>
  <c r="Z3537" i="12"/>
  <c r="Z1707" i="12"/>
  <c r="Z1705" i="12"/>
  <c r="Z2360" i="12"/>
  <c r="Z2966" i="12"/>
  <c r="Z3259" i="12"/>
  <c r="Z971" i="12"/>
  <c r="Z344" i="12"/>
  <c r="Z1835" i="12"/>
  <c r="Z889" i="12"/>
  <c r="Z2011" i="12"/>
  <c r="Z1774" i="12"/>
  <c r="Z1427" i="12"/>
  <c r="Z1891" i="12"/>
  <c r="Z1014" i="12"/>
  <c r="Z3191" i="12"/>
  <c r="Z3435" i="12"/>
  <c r="Z1793" i="12"/>
  <c r="Z3209" i="12"/>
  <c r="Z189" i="12"/>
  <c r="Z1184" i="12"/>
  <c r="Z1529" i="12"/>
  <c r="Z2605" i="12"/>
  <c r="Z2623" i="12"/>
  <c r="Z2149" i="12"/>
  <c r="Z710" i="12"/>
  <c r="Z468" i="12"/>
  <c r="Z51" i="12"/>
  <c r="Z3113" i="12"/>
  <c r="Z349" i="12"/>
  <c r="Z658" i="12"/>
  <c r="Z2420" i="12"/>
  <c r="Z3396" i="12"/>
  <c r="Z3240" i="12"/>
  <c r="Z630" i="12"/>
  <c r="Z3291" i="12"/>
  <c r="Z2888" i="12"/>
  <c r="Z1256" i="12"/>
  <c r="Z615" i="12"/>
  <c r="Z784" i="12"/>
  <c r="Z634" i="12"/>
  <c r="Z482" i="12"/>
  <c r="Z3545" i="12"/>
  <c r="Z308" i="12"/>
  <c r="Z2171" i="12"/>
  <c r="Z1400" i="12"/>
  <c r="Z1607" i="12"/>
  <c r="Z2831" i="12"/>
  <c r="Z1063" i="12"/>
  <c r="Z931" i="12"/>
  <c r="Z2205" i="12"/>
  <c r="Z2916" i="12"/>
  <c r="Z891" i="12"/>
  <c r="Z1180" i="12"/>
  <c r="Z3354" i="12"/>
  <c r="Z1984" i="12"/>
  <c r="Z1374" i="12"/>
  <c r="Z1702" i="12"/>
  <c r="Z2873" i="12"/>
  <c r="Z3238" i="12"/>
  <c r="Z983" i="12"/>
  <c r="Z2178" i="12"/>
  <c r="Z2357" i="12"/>
  <c r="Z3544" i="12"/>
  <c r="Z2859" i="12"/>
  <c r="Z1500" i="12"/>
  <c r="Z674" i="12"/>
  <c r="Z284" i="12"/>
  <c r="Z1854" i="12"/>
  <c r="Z2645" i="12"/>
  <c r="Z2269" i="12"/>
  <c r="Z2725" i="12"/>
  <c r="Z1265" i="12"/>
  <c r="Z1345" i="12"/>
  <c r="Z2229" i="12"/>
  <c r="Z2538" i="12"/>
  <c r="Z2500" i="12"/>
  <c r="Z1631" i="12"/>
  <c r="Z798" i="12"/>
  <c r="Z1128" i="12"/>
  <c r="Z2115" i="12"/>
  <c r="Z2334" i="12"/>
  <c r="Z2201" i="12"/>
  <c r="Z536" i="12"/>
  <c r="Z1725" i="12"/>
  <c r="Z345" i="12"/>
  <c r="Z944" i="12"/>
  <c r="Z903" i="12"/>
  <c r="Z1220" i="12"/>
  <c r="Z2731" i="12"/>
  <c r="Z498" i="12"/>
  <c r="Z3528" i="12"/>
  <c r="Z2720" i="12"/>
  <c r="Z1531" i="12"/>
  <c r="Z745" i="12"/>
  <c r="Z2613" i="12"/>
  <c r="Z1390" i="12"/>
  <c r="Z1825" i="12"/>
  <c r="Z1645" i="12"/>
  <c r="Z3483" i="12"/>
  <c r="Z3184" i="12"/>
  <c r="Z2959" i="12"/>
  <c r="Z1108" i="12"/>
  <c r="Z2664" i="12"/>
  <c r="Z768" i="12"/>
  <c r="Z2158" i="12"/>
  <c r="Z907" i="12"/>
  <c r="Z1840" i="12"/>
  <c r="Z1064" i="12"/>
  <c r="Z3279" i="12"/>
  <c r="Z3179" i="12"/>
  <c r="Z1348" i="12"/>
  <c r="Z210" i="12"/>
  <c r="Z1826" i="12"/>
  <c r="Z2293" i="12"/>
  <c r="Z3375" i="12"/>
  <c r="Z920" i="12"/>
  <c r="Z1565" i="12"/>
  <c r="Z2993" i="12"/>
  <c r="Z2140" i="12"/>
  <c r="Z427" i="12"/>
  <c r="Z2483" i="12"/>
  <c r="Z2886" i="12"/>
  <c r="Z2007" i="12"/>
  <c r="Z473" i="12"/>
  <c r="Z2662" i="12"/>
  <c r="Z2233" i="12"/>
  <c r="Z350" i="12"/>
  <c r="Z1622" i="12"/>
  <c r="Z3520" i="12"/>
  <c r="Z68" i="12"/>
  <c r="Z1411" i="12"/>
  <c r="Z2063" i="12"/>
  <c r="Z2733" i="12"/>
  <c r="Z3251" i="12"/>
  <c r="Z1369" i="12"/>
  <c r="Z713" i="12"/>
  <c r="Z274" i="12"/>
  <c r="Z3107" i="12"/>
  <c r="Z2628" i="12"/>
  <c r="Z922" i="12"/>
  <c r="Z271" i="12"/>
  <c r="Z2913" i="12"/>
  <c r="Z1545" i="12"/>
  <c r="Z415" i="12"/>
  <c r="Z598" i="12"/>
  <c r="Z943" i="12"/>
  <c r="Z1191" i="12"/>
  <c r="Z1777" i="12"/>
  <c r="Z2301" i="12"/>
  <c r="Z1285" i="12"/>
  <c r="Z2861" i="12"/>
  <c r="Z3090" i="12"/>
  <c r="Z2537" i="12"/>
  <c r="Z2552" i="12"/>
  <c r="Z2192" i="12"/>
  <c r="Z3227" i="12"/>
  <c r="Z408" i="12"/>
  <c r="Z3052" i="12"/>
  <c r="Z1520" i="12"/>
  <c r="Z520" i="12"/>
  <c r="Z2324" i="12"/>
  <c r="Z1703" i="12"/>
  <c r="Z1815" i="12"/>
  <c r="Z1294" i="12"/>
  <c r="Z1162" i="12"/>
  <c r="Z1952" i="12"/>
  <c r="Z2390" i="12"/>
  <c r="Z2401" i="12"/>
  <c r="Z228" i="12"/>
  <c r="Z1270" i="12"/>
  <c r="Z1051" i="12"/>
  <c r="Z2958" i="12"/>
  <c r="Z2034" i="12"/>
  <c r="Z822" i="12"/>
  <c r="Z2515" i="12"/>
  <c r="Z2065" i="12"/>
  <c r="Z3008" i="12"/>
  <c r="Z2577" i="12"/>
  <c r="Z1003" i="12"/>
  <c r="Z738" i="12"/>
  <c r="Z3321" i="12"/>
  <c r="Z963" i="12"/>
  <c r="Z3533" i="12"/>
  <c r="Z2727" i="12"/>
  <c r="Z1976" i="12"/>
  <c r="Z1843" i="12"/>
  <c r="Z1596" i="12"/>
  <c r="Z1433" i="12"/>
  <c r="Z1118" i="12"/>
  <c r="Z828" i="12"/>
  <c r="Z2842" i="12"/>
  <c r="Z491" i="12"/>
  <c r="Z3213" i="12"/>
  <c r="Z2268" i="12"/>
  <c r="Z799" i="12"/>
  <c r="Z123" i="12"/>
  <c r="Z2113" i="12"/>
  <c r="Z2506" i="12"/>
  <c r="Z1716" i="12"/>
  <c r="Z699" i="12"/>
  <c r="Z1353" i="12"/>
  <c r="Z3486" i="12"/>
  <c r="Z1046" i="12"/>
  <c r="Z626" i="12"/>
  <c r="Z1590" i="12"/>
  <c r="Z394" i="12"/>
  <c r="Z2882" i="12"/>
  <c r="Z1781" i="12"/>
  <c r="Z3267" i="12"/>
  <c r="Z646" i="12"/>
  <c r="Z1576" i="12"/>
  <c r="Z802" i="12"/>
  <c r="Z1550" i="12"/>
  <c r="Z1588" i="12"/>
  <c r="Z2833" i="12"/>
  <c r="Z50" i="12"/>
  <c r="Z732" i="12"/>
  <c r="Z2619" i="12"/>
  <c r="Z2463" i="12"/>
  <c r="Z3320" i="12"/>
  <c r="Z785" i="12"/>
  <c r="Z1183" i="12"/>
  <c r="Z1423" i="12"/>
  <c r="Z2924" i="12"/>
  <c r="Z2782" i="12"/>
  <c r="Z3350" i="12"/>
  <c r="Z1206" i="12"/>
  <c r="Z342" i="12"/>
  <c r="Z1087" i="12"/>
  <c r="Z249" i="12"/>
  <c r="Z3153" i="12"/>
  <c r="Z2540" i="12"/>
  <c r="Z672" i="12"/>
  <c r="Z1661" i="12"/>
  <c r="Z1396" i="12"/>
  <c r="Z376" i="12"/>
  <c r="Z1319" i="12"/>
  <c r="Z80" i="12"/>
  <c r="Z2084" i="12"/>
  <c r="Z904" i="12"/>
  <c r="Z1541" i="12"/>
  <c r="Z2388" i="12"/>
  <c r="Z1351" i="12"/>
  <c r="Z3234" i="12"/>
  <c r="Z1186" i="12"/>
  <c r="Z1566" i="12"/>
  <c r="Z1219" i="12"/>
  <c r="Z3204" i="12"/>
  <c r="Z3388" i="12"/>
  <c r="Z1275" i="12"/>
  <c r="Z1669" i="12"/>
  <c r="Z2789" i="12"/>
  <c r="Z1469" i="12"/>
  <c r="Z2218" i="12"/>
  <c r="Z2572" i="12"/>
  <c r="Z2488" i="12"/>
  <c r="Z2121" i="12"/>
  <c r="Z3427" i="12"/>
  <c r="Z365" i="12"/>
  <c r="Z2106" i="12"/>
  <c r="Z440" i="12"/>
  <c r="Z1880" i="12"/>
  <c r="Z1706" i="12"/>
  <c r="Z2216" i="12"/>
  <c r="Z1329" i="12"/>
  <c r="Z3341" i="12"/>
  <c r="Z1017" i="12"/>
  <c r="Z1822" i="12"/>
  <c r="Z477" i="12"/>
  <c r="Z447" i="12"/>
  <c r="Z1908" i="12"/>
  <c r="Z2428" i="12"/>
  <c r="Z595" i="12"/>
  <c r="Z3181" i="12"/>
  <c r="Z1158" i="12"/>
  <c r="Z2282" i="12"/>
  <c r="Z446" i="12"/>
  <c r="Z1827" i="12"/>
  <c r="Z1672" i="12"/>
  <c r="Z1068" i="12"/>
  <c r="Z3129" i="12"/>
  <c r="Z1009" i="12"/>
  <c r="Z2425" i="12"/>
  <c r="Z3479" i="12"/>
  <c r="Z2279" i="12"/>
  <c r="Z2487" i="12"/>
  <c r="Z2373" i="12"/>
  <c r="Z2170" i="12"/>
  <c r="Z3104" i="12"/>
  <c r="Z1510" i="12"/>
  <c r="Z3242" i="12"/>
  <c r="Z815" i="12"/>
  <c r="Z3359" i="12"/>
  <c r="Z429" i="12"/>
  <c r="Z147" i="12"/>
  <c r="Z548" i="12"/>
  <c r="Z2071" i="12"/>
  <c r="Z220" i="12"/>
  <c r="Z101" i="12"/>
  <c r="Z2631" i="12"/>
  <c r="Z171" i="12"/>
  <c r="Z669" i="12"/>
  <c r="Z662" i="12"/>
  <c r="Z196" i="12"/>
  <c r="Z1018" i="12"/>
  <c r="Z1589" i="12"/>
  <c r="Z381" i="12"/>
  <c r="Z2287" i="12"/>
  <c r="Z2510" i="12"/>
  <c r="Z113" i="12"/>
  <c r="Z3471" i="12"/>
  <c r="Z842" i="12"/>
  <c r="Z694" i="12"/>
  <c r="Z476" i="12"/>
  <c r="Z1306" i="12"/>
  <c r="Z2923" i="12"/>
  <c r="Z2919" i="12"/>
  <c r="Z2528" i="12"/>
  <c r="Z697" i="12"/>
  <c r="Z1273" i="12"/>
  <c r="Z2457" i="12"/>
  <c r="Z2326" i="12"/>
  <c r="Z1062" i="12"/>
  <c r="Z897" i="12"/>
  <c r="Z198" i="12"/>
  <c r="Z810" i="12"/>
  <c r="Z2950" i="12"/>
  <c r="Z405" i="12"/>
  <c r="Z2336" i="12"/>
  <c r="Z43" i="12"/>
  <c r="Z84" i="12"/>
  <c r="Z3280" i="12"/>
  <c r="Z1652" i="12"/>
  <c r="Z216" i="12"/>
  <c r="Z2332" i="12"/>
  <c r="Z3015" i="12"/>
  <c r="Z2566" i="12"/>
  <c r="Z624" i="12"/>
  <c r="Z2130" i="12"/>
  <c r="Z306" i="12"/>
  <c r="Z1418" i="12"/>
  <c r="Z2827" i="12"/>
  <c r="Z3099" i="12"/>
  <c r="Z1344" i="12"/>
  <c r="Z1796" i="12"/>
  <c r="Z2517" i="12"/>
  <c r="Z2313" i="12"/>
  <c r="Z2687" i="12"/>
  <c r="Z1635" i="12"/>
  <c r="Z3312" i="12"/>
  <c r="Z725" i="12"/>
  <c r="Z153" i="12"/>
  <c r="Z1020" i="12"/>
  <c r="Z934" i="12"/>
  <c r="Z972" i="12"/>
  <c r="Z1216" i="12"/>
  <c r="Z1512" i="12"/>
  <c r="Z20" i="12"/>
  <c r="Z1667" i="12"/>
  <c r="Z2947" i="12"/>
  <c r="Z2568" i="12"/>
  <c r="Z1783" i="12"/>
  <c r="Z2526" i="12"/>
  <c r="Z2408" i="12"/>
  <c r="Z2933" i="12"/>
  <c r="Z3282" i="12"/>
  <c r="Z2902" i="12"/>
  <c r="Z611" i="12"/>
  <c r="Z2665" i="12"/>
  <c r="Z2583" i="12"/>
  <c r="Z487" i="12"/>
  <c r="Z3489" i="12"/>
  <c r="Z39" i="12"/>
  <c r="Z452" i="12"/>
  <c r="Z1662" i="12"/>
  <c r="Z2830" i="12"/>
  <c r="Z3540" i="12"/>
  <c r="Z2316" i="12"/>
  <c r="Z2146" i="12"/>
  <c r="Z654" i="12"/>
  <c r="Z1149" i="12"/>
  <c r="Z1239" i="12"/>
  <c r="Z3421" i="12"/>
  <c r="Z1857" i="12"/>
  <c r="Z2730" i="12"/>
  <c r="Z631" i="12"/>
  <c r="Z3316" i="12"/>
  <c r="Z752" i="12"/>
  <c r="Z2419" i="12"/>
  <c r="Z3212" i="12"/>
  <c r="Z413" i="12"/>
  <c r="Z85" i="12"/>
  <c r="Z1027" i="12"/>
  <c r="Z516" i="12"/>
  <c r="Z1718" i="12"/>
  <c r="Z1333" i="12"/>
  <c r="Z1679" i="12"/>
  <c r="Z57" i="12"/>
  <c r="Z853" i="12"/>
  <c r="Z2992" i="12"/>
  <c r="Z359" i="12"/>
  <c r="Z742" i="12"/>
  <c r="Z1516" i="12"/>
  <c r="Z3125" i="12"/>
  <c r="Z508" i="12"/>
  <c r="Z1788" i="12"/>
  <c r="Z667" i="12"/>
  <c r="Z1225" i="12"/>
  <c r="Z1888" i="12"/>
  <c r="Z1844" i="12"/>
  <c r="Z281" i="12"/>
  <c r="Z480" i="12"/>
  <c r="Z2289" i="12"/>
  <c r="Z1598" i="12"/>
  <c r="Z613" i="12"/>
  <c r="Z1536" i="12"/>
  <c r="Z2454" i="12"/>
  <c r="Z2314" i="12"/>
  <c r="Z203" i="12"/>
  <c r="Z156" i="12"/>
  <c r="Z1468" i="12"/>
  <c r="Z1636" i="12"/>
  <c r="Z151" i="12"/>
  <c r="Z2578" i="12"/>
  <c r="Z2964" i="12"/>
  <c r="Z3248" i="12"/>
  <c r="Z2292" i="12"/>
  <c r="Z906" i="12"/>
  <c r="Z1422" i="12"/>
  <c r="Z683" i="12"/>
  <c r="Z1403" i="12"/>
  <c r="Z411" i="12"/>
  <c r="Z2100" i="12"/>
  <c r="Z2776" i="12"/>
  <c r="Z2411" i="12"/>
  <c r="Z2996" i="12"/>
  <c r="Z97" i="12"/>
  <c r="Z421" i="12"/>
  <c r="Z2356" i="12"/>
  <c r="Z2240" i="12"/>
  <c r="Z3092" i="12"/>
  <c r="Z1356" i="12"/>
  <c r="Z690" i="12"/>
  <c r="Z2273" i="12"/>
  <c r="Z2520" i="12"/>
  <c r="Z779" i="12"/>
  <c r="Z346" i="12"/>
  <c r="Z2790" i="12"/>
  <c r="Z582" i="12"/>
  <c r="Z1490" i="12"/>
  <c r="Z2473" i="12"/>
  <c r="Z3535" i="12"/>
  <c r="Z2749" i="12"/>
  <c r="Z2758" i="12"/>
  <c r="Z3430" i="12"/>
  <c r="Z2644" i="12"/>
  <c r="Z2879" i="12"/>
  <c r="Z2942" i="12"/>
  <c r="Z1092" i="12"/>
  <c r="Z1045" i="12"/>
  <c r="Z1004" i="12"/>
  <c r="Z757" i="12"/>
  <c r="Z1938" i="12"/>
  <c r="Z2783" i="12"/>
  <c r="Z1848" i="12"/>
  <c r="Z3087" i="12"/>
  <c r="Z2159" i="12"/>
  <c r="Z1884" i="12"/>
  <c r="Z2352" i="12"/>
  <c r="Z1102" i="12"/>
  <c r="Z272" i="12"/>
  <c r="Z2417" i="12"/>
  <c r="Z2270" i="12"/>
  <c r="Z3255" i="12"/>
  <c r="Z3351" i="12"/>
  <c r="Z1208" i="12"/>
  <c r="Z2705" i="12"/>
  <c r="Z3200" i="12"/>
  <c r="Z107" i="12"/>
  <c r="Z1029" i="12"/>
  <c r="Z2576" i="12"/>
  <c r="Z2604" i="12"/>
  <c r="Z3094" i="12"/>
  <c r="Z3195" i="12"/>
  <c r="Z391" i="12"/>
  <c r="Z1328" i="12"/>
  <c r="Z3294" i="12"/>
  <c r="Z3026" i="12"/>
  <c r="Z945" i="12"/>
  <c r="Z303" i="12"/>
  <c r="Z3366" i="12"/>
  <c r="Z1975" i="12"/>
  <c r="Z909" i="12"/>
  <c r="Z3416" i="12"/>
  <c r="Z1828" i="12"/>
  <c r="Z2058" i="12"/>
  <c r="Z2131" i="12"/>
  <c r="Z105" i="12"/>
  <c r="Z3105" i="12"/>
  <c r="Z3327" i="12"/>
  <c r="Z1159" i="12"/>
  <c r="Z973" i="12"/>
  <c r="Z2116" i="12"/>
  <c r="Z1927" i="12"/>
  <c r="Z2953" i="12"/>
  <c r="Z2757" i="12"/>
  <c r="Z1106" i="12"/>
  <c r="Z665" i="12"/>
  <c r="Z896" i="12"/>
  <c r="Z3492" i="12"/>
  <c r="Z143" i="12"/>
  <c r="Z1196" i="12"/>
  <c r="Z1861" i="12"/>
  <c r="Z2943" i="12"/>
  <c r="Z2072" i="12"/>
  <c r="Z1299" i="12"/>
  <c r="Z1540" i="12"/>
  <c r="Z2803" i="12"/>
  <c r="Z1040" i="12"/>
  <c r="Z2114" i="12"/>
  <c r="Z2798" i="12"/>
  <c r="Z2464" i="12"/>
  <c r="Z1802" i="12"/>
  <c r="Z2832" i="12"/>
  <c r="Z3025" i="12"/>
  <c r="Z2162" i="12"/>
  <c r="Z282" i="12"/>
  <c r="Z901" i="12"/>
  <c r="Z2180" i="12"/>
  <c r="Z2968" i="12"/>
  <c r="Z205" i="12"/>
  <c r="Z750" i="12"/>
  <c r="Z432" i="12"/>
  <c r="Z331" i="12"/>
  <c r="Z442" i="12"/>
  <c r="Z77" i="12"/>
  <c r="Z1900" i="12"/>
  <c r="Z1178" i="12"/>
  <c r="Z2486" i="12"/>
  <c r="Z146" i="12"/>
  <c r="Z1479" i="12"/>
  <c r="Z2545" i="12"/>
  <c r="Z1960" i="12"/>
  <c r="Z1401" i="12"/>
  <c r="Z2868" i="12"/>
  <c r="Z886" i="12"/>
  <c r="Z3218" i="12"/>
  <c r="Z2925" i="12"/>
  <c r="Z2315" i="12"/>
  <c r="Z3260" i="12"/>
  <c r="Z2348" i="12"/>
  <c r="Z2048" i="12"/>
  <c r="Z2250" i="12"/>
  <c r="Z2211" i="12"/>
  <c r="Z1084" i="12"/>
  <c r="Z1922" i="12"/>
  <c r="Z986" i="12"/>
  <c r="Z1458" i="12"/>
  <c r="Z2439" i="12"/>
  <c r="Z884" i="12"/>
  <c r="Z2612" i="12"/>
  <c r="Z1125" i="12"/>
  <c r="Z1739" i="12"/>
  <c r="Z698" i="12"/>
  <c r="Z1527" i="12"/>
  <c r="Z946" i="12"/>
  <c r="Z1025" i="12"/>
  <c r="Z2015" i="12"/>
  <c r="Z589" i="12"/>
  <c r="Z2608" i="12"/>
  <c r="Z2353" i="12"/>
  <c r="Z3394" i="12"/>
  <c r="Z513" i="12"/>
  <c r="Z2814" i="12"/>
  <c r="Z2593" i="12"/>
  <c r="Z2235" i="12"/>
  <c r="Z976" i="12"/>
  <c r="Z1856" i="12"/>
  <c r="Z2406" i="12"/>
  <c r="Z534" i="12"/>
  <c r="Z2809" i="12"/>
  <c r="Z48" i="12"/>
  <c r="Z2133" i="12"/>
  <c r="Z2531" i="12"/>
  <c r="Z124" i="12"/>
  <c r="Z1421" i="12"/>
  <c r="Z3284" i="12"/>
  <c r="Z2856" i="12"/>
  <c r="Z3300" i="12"/>
  <c r="Z663" i="12"/>
  <c r="Z1648" i="12"/>
  <c r="Z2438" i="12"/>
  <c r="Z2557" i="12"/>
  <c r="Z209" i="12"/>
  <c r="Z895" i="12"/>
  <c r="Z2541" i="12"/>
  <c r="Z453" i="12"/>
  <c r="Z1701" i="12"/>
  <c r="Z264" i="12"/>
  <c r="Z1072" i="12"/>
  <c r="Z863" i="12"/>
  <c r="Z499" i="12"/>
  <c r="Z2067" i="12"/>
  <c r="Z930" i="12"/>
  <c r="Z1935" i="12"/>
  <c r="Z330" i="12"/>
  <c r="Z1912" i="12"/>
  <c r="Z1575" i="12"/>
  <c r="Z2267" i="12"/>
  <c r="Z1296" i="12"/>
  <c r="Z2883" i="12"/>
  <c r="Z2974" i="12"/>
  <c r="Z2722" i="12"/>
  <c r="Z2585" i="12"/>
  <c r="Z1230" i="12"/>
  <c r="Z2203" i="12"/>
  <c r="Z3521" i="12"/>
  <c r="Z322" i="12"/>
  <c r="Z1787" i="12"/>
  <c r="Z213" i="12"/>
  <c r="Z1059" i="12"/>
  <c r="Z3348" i="12"/>
  <c r="Z3046" i="12"/>
  <c r="Z2671" i="12"/>
  <c r="Z71" i="12"/>
  <c r="Z3024" i="12"/>
  <c r="Z1813" i="12"/>
  <c r="Z593" i="12"/>
  <c r="Z2698" i="12"/>
  <c r="Z1402" i="12"/>
  <c r="Z3534" i="12"/>
  <c r="Z3502" i="12"/>
  <c r="Z843" i="12"/>
  <c r="Z1478" i="12"/>
  <c r="Z2397" i="12"/>
  <c r="Z116" i="12"/>
  <c r="Z3208" i="12"/>
  <c r="Z2185" i="12"/>
  <c r="Z2432" i="12"/>
  <c r="Z1320" i="12"/>
  <c r="Z1810" i="12"/>
  <c r="Z1475" i="12"/>
  <c r="Z1460" i="12"/>
  <c r="Z3141" i="12"/>
  <c r="Z486" i="12"/>
  <c r="Z2751" i="12"/>
  <c r="Z392" i="12"/>
  <c r="Z2382" i="12"/>
  <c r="Z3124" i="12"/>
  <c r="Z1080" i="12"/>
  <c r="Z2754" i="12"/>
  <c r="Z2627" i="12"/>
  <c r="Z235" i="12"/>
  <c r="Z1720" i="12"/>
  <c r="Z1298" i="12"/>
  <c r="Z136" i="12"/>
  <c r="Z3047" i="12"/>
  <c r="Z2668" i="12"/>
  <c r="Z1571" i="12"/>
  <c r="Z3096" i="12"/>
  <c r="Z968" i="12"/>
  <c r="Z2246" i="12"/>
  <c r="Z2190" i="12"/>
  <c r="Z3336" i="12"/>
  <c r="Z58" i="12"/>
  <c r="Z1950" i="12"/>
  <c r="Z155" i="12"/>
  <c r="Z1946" i="12"/>
  <c r="Z3512" i="12"/>
  <c r="Z3311" i="12"/>
  <c r="Z794" i="12"/>
  <c r="Z396" i="12"/>
  <c r="Z2243" i="12"/>
  <c r="Z1674" i="12"/>
  <c r="Z2069" i="12"/>
  <c r="Z2035" i="12"/>
  <c r="Z55" i="12"/>
  <c r="Z3459" i="12"/>
  <c r="Z2364" i="12"/>
  <c r="Z3345" i="12"/>
  <c r="Z2261" i="12"/>
  <c r="Z1383" i="12"/>
  <c r="Z1811" i="12"/>
  <c r="Z1271" i="12"/>
  <c r="Z2101" i="12"/>
  <c r="Z1619" i="12"/>
  <c r="Z115" i="12"/>
  <c r="Z2820" i="12"/>
  <c r="Z251" i="12"/>
  <c r="Z1268" i="12"/>
  <c r="Z2247" i="12"/>
  <c r="Z2095" i="12"/>
  <c r="Z2815" i="12"/>
  <c r="Z234" i="12"/>
  <c r="Z879" i="12"/>
  <c r="Z2110" i="12"/>
  <c r="Z1890" i="12"/>
  <c r="Z1501" i="12"/>
  <c r="Z2029" i="12"/>
  <c r="Z1767" i="12"/>
  <c r="Z1764" i="12"/>
  <c r="Z2317" i="12"/>
  <c r="Z2822" i="12"/>
  <c r="Z617" i="12"/>
  <c r="Z1918" i="12"/>
  <c r="Z1682" i="12"/>
  <c r="Z2774" i="12"/>
  <c r="Z526" i="12"/>
  <c r="Z501" i="12"/>
  <c r="Z2869" i="12"/>
  <c r="Z948" i="12"/>
  <c r="Z747" i="12"/>
  <c r="Z1295" i="12"/>
  <c r="Z3550" i="12"/>
  <c r="Z3438" i="12"/>
  <c r="Z754" i="12"/>
  <c r="Z1032" i="12"/>
  <c r="Z2760" i="12"/>
  <c r="Z721" i="12"/>
  <c r="Z3306" i="12"/>
  <c r="Z490" i="12"/>
  <c r="Z3457" i="12"/>
  <c r="Z1457" i="12"/>
  <c r="Z252" i="12"/>
  <c r="Z2773" i="12"/>
  <c r="Z2955" i="12"/>
  <c r="Z1928" i="12"/>
  <c r="Z493" i="12"/>
  <c r="Z2755" i="12"/>
  <c r="Z2318" i="12"/>
  <c r="Z320" i="12"/>
  <c r="Z888" i="12"/>
  <c r="Z2342" i="12"/>
  <c r="Z1336" i="12"/>
  <c r="Z936" i="12"/>
  <c r="Z3194" i="12"/>
  <c r="Z1141" i="12"/>
  <c r="Z1605" i="12"/>
  <c r="Z354" i="12"/>
  <c r="Z782" i="12"/>
  <c r="Z1229" i="12"/>
  <c r="Z444" i="12"/>
  <c r="Z898" i="12"/>
  <c r="Z570" i="12"/>
  <c r="Z2669" i="12"/>
  <c r="Z2802" i="12"/>
  <c r="Z409" i="12"/>
  <c r="Z2379" i="12"/>
  <c r="Z1875" i="12"/>
  <c r="Z1300" i="12"/>
  <c r="Z434" i="12"/>
  <c r="Z74" i="12"/>
  <c r="Z1047" i="12"/>
  <c r="Z277" i="12"/>
  <c r="Z1034" i="12"/>
  <c r="Z314" i="12"/>
  <c r="Z1883" i="12"/>
  <c r="Z1807" i="12"/>
  <c r="Z137" i="12"/>
  <c r="Z2070" i="12"/>
  <c r="Z461" i="12"/>
  <c r="Z52" i="12"/>
  <c r="Z1246" i="12"/>
  <c r="Z1392" i="12"/>
  <c r="Z3262" i="12"/>
  <c r="Z2370" i="12"/>
  <c r="Z62" i="12"/>
  <c r="Z1833" i="12"/>
  <c r="Z769" i="12"/>
  <c r="Z2597" i="12"/>
  <c r="Z3120" i="12"/>
  <c r="Z1508" i="12"/>
  <c r="Z117" i="12"/>
  <c r="Z2022" i="12"/>
  <c r="Z575" i="12"/>
  <c r="Z829" i="12"/>
  <c r="Z3363" i="12"/>
  <c r="Z1277" i="12"/>
  <c r="Z1455" i="12"/>
  <c r="Z1784" i="12"/>
  <c r="Z2624" i="12"/>
  <c r="Z3529" i="12"/>
  <c r="Z2762" i="12"/>
  <c r="Z766" i="12"/>
  <c r="Z1217" i="12"/>
  <c r="Z1021" i="12"/>
  <c r="Z148" i="12"/>
  <c r="Z1752" i="12"/>
  <c r="Z332" i="12"/>
  <c r="Z1620" i="12"/>
  <c r="Z1632" i="12"/>
  <c r="Z1524" i="12"/>
  <c r="Z47" i="12"/>
  <c r="Z1482" i="12"/>
  <c r="Z76" i="12"/>
  <c r="Z2476" i="12"/>
  <c r="Z1157" i="12"/>
  <c r="Z653" i="12"/>
  <c r="Z607" i="12"/>
  <c r="Z1391" i="12"/>
  <c r="Z1601" i="12"/>
  <c r="Z1936" i="12"/>
  <c r="Z1147" i="12"/>
  <c r="Z3118" i="12"/>
  <c r="Z2217" i="12"/>
  <c r="Z2549" i="12"/>
  <c r="Z3379" i="12"/>
  <c r="Z1969" i="12"/>
  <c r="Z857" i="12"/>
  <c r="Z2028" i="12"/>
  <c r="Z262" i="12"/>
  <c r="Z1131" i="12"/>
  <c r="Z2703" i="12"/>
  <c r="Z3253" i="12"/>
  <c r="Z3551" i="12"/>
  <c r="Z1625" i="12"/>
  <c r="Z2691" i="12"/>
  <c r="Z2450" i="12"/>
  <c r="Z2166" i="12"/>
  <c r="Z3123" i="12"/>
  <c r="Z2262" i="12"/>
  <c r="Z1266" i="12"/>
  <c r="Z2898" i="12"/>
  <c r="Z3498" i="12"/>
  <c r="Z3517" i="12"/>
  <c r="Z703" i="12"/>
  <c r="Z2226" i="12"/>
  <c r="Z3197" i="12"/>
  <c r="Z756" i="12"/>
  <c r="Z290" i="12"/>
  <c r="Z2225" i="12"/>
  <c r="Z587" i="12"/>
  <c r="Z1282" i="12"/>
  <c r="Z2200" i="12"/>
  <c r="Z1561" i="12"/>
  <c r="Z1049" i="12"/>
  <c r="Z1228" i="12"/>
  <c r="Z720" i="12"/>
  <c r="Z2057" i="12"/>
  <c r="Z2335" i="12"/>
  <c r="Z2213" i="12"/>
  <c r="Z1447" i="12"/>
  <c r="Z2062" i="12"/>
  <c r="Z361" i="12"/>
  <c r="Z748" i="12"/>
  <c r="Z564" i="12"/>
  <c r="Z3075" i="12"/>
  <c r="Z1477" i="12"/>
  <c r="Z3165" i="12"/>
  <c r="Z1103" i="12"/>
  <c r="Z1640" i="12"/>
  <c r="Z3097" i="12"/>
  <c r="Z682" i="12"/>
  <c r="Z2371" i="12"/>
  <c r="Z969" i="12"/>
  <c r="Z1302" i="12"/>
  <c r="Z65" i="12"/>
  <c r="Z2678" i="12"/>
  <c r="Z2393" i="12"/>
  <c r="Z2523" i="12"/>
  <c r="Z1920" i="12"/>
  <c r="Z2764" i="12"/>
  <c r="Z1138" i="12"/>
  <c r="Z2862" i="12"/>
  <c r="Z2621" i="12"/>
  <c r="Z356" i="12"/>
  <c r="Z1887" i="12"/>
  <c r="Z3178" i="12"/>
  <c r="Z2338" i="12"/>
  <c r="Z1028" i="12"/>
  <c r="Z257" i="12"/>
  <c r="Z2555" i="12"/>
  <c r="Z1533" i="12"/>
  <c r="Z3062" i="12"/>
  <c r="Z1066" i="12"/>
  <c r="Z1653" i="12"/>
  <c r="Z3419" i="12"/>
  <c r="Z1193" i="12"/>
  <c r="Z2579" i="12"/>
  <c r="Z1481" i="12"/>
  <c r="Z1595" i="12"/>
  <c r="Z2378" i="12"/>
  <c r="Z417" i="12"/>
  <c r="Z1886" i="12"/>
  <c r="Z3042" i="12"/>
  <c r="Z660" i="12"/>
  <c r="Z2398" i="12"/>
  <c r="Z1341" i="12"/>
  <c r="Z1948" i="12"/>
  <c r="Z1909" i="12"/>
  <c r="Z1107" i="12"/>
  <c r="Z2248" i="12"/>
  <c r="Z780" i="12"/>
  <c r="Z3410" i="12"/>
  <c r="Z706" i="12"/>
  <c r="Z2310" i="12"/>
  <c r="Z1322" i="12"/>
  <c r="Z2852" i="12"/>
  <c r="Z1214" i="12"/>
  <c r="Z2232" i="12"/>
  <c r="Z3276" i="12"/>
  <c r="Z1440" i="12"/>
  <c r="Z2893" i="12"/>
  <c r="Z326" i="12"/>
  <c r="Z2490" i="12"/>
  <c r="Z1104" i="12"/>
  <c r="Z176" i="12"/>
  <c r="Z3478" i="12"/>
  <c r="Z3005" i="12"/>
  <c r="Z3110" i="12"/>
  <c r="Z3084" i="12"/>
  <c r="Z847" i="12"/>
  <c r="Z377" i="12"/>
  <c r="Z2837" i="12"/>
  <c r="Z1740" i="12"/>
  <c r="Z2784" i="12"/>
  <c r="Z3548" i="12"/>
  <c r="Z1654" i="12"/>
  <c r="Z2632" i="12"/>
  <c r="Z118" i="12"/>
  <c r="Z688" i="12"/>
  <c r="Z3347" i="12"/>
  <c r="Z93" i="12"/>
  <c r="Z2302" i="12"/>
  <c r="Z2690" i="12"/>
  <c r="Z1335" i="12"/>
  <c r="Z3143" i="12"/>
  <c r="Z2609" i="12"/>
  <c r="Z1280" i="12"/>
  <c r="Z2780" i="12"/>
  <c r="Z2704" i="12"/>
  <c r="Z1613" i="12"/>
  <c r="Z3126" i="12"/>
  <c r="Z858" i="12"/>
  <c r="Z2640" i="12"/>
  <c r="Z2871" i="12"/>
  <c r="Z193" i="12"/>
  <c r="Z1715" i="12"/>
  <c r="Z2221" i="12"/>
  <c r="Z1712" i="12"/>
  <c r="Z3073" i="12"/>
  <c r="Z98" i="12"/>
  <c r="Z2732" i="12"/>
  <c r="Z1941" i="12"/>
  <c r="Z1771" i="12"/>
  <c r="Z3157" i="12"/>
  <c r="Z1534" i="12"/>
  <c r="Z1081" i="12"/>
  <c r="Z1885" i="12"/>
  <c r="Z1323" i="12"/>
  <c r="Z2845" i="12"/>
  <c r="Z584" i="12"/>
  <c r="Z3203" i="12"/>
  <c r="Z1629" i="12"/>
  <c r="Z3177" i="12"/>
  <c r="Z2997" i="12"/>
  <c r="Z73" i="12"/>
  <c r="Z1842" i="12"/>
  <c r="Z3297" i="12"/>
  <c r="Z2077" i="12"/>
  <c r="Z696" i="12"/>
  <c r="Z854" i="12"/>
  <c r="Z1974" i="12"/>
  <c r="Z2616" i="12"/>
  <c r="Z1610" i="12"/>
  <c r="Z275" i="12"/>
  <c r="Z2778" i="12"/>
  <c r="Z1680" i="12"/>
  <c r="Z2429" i="12"/>
  <c r="Z1044" i="12"/>
  <c r="Z397" i="12"/>
  <c r="Z3137" i="12"/>
  <c r="Z1583" i="12"/>
  <c r="Z1164" i="12"/>
  <c r="Z2660" i="12"/>
  <c r="Z1365" i="12"/>
  <c r="Z645" i="12"/>
  <c r="Z3302" i="12"/>
  <c r="Z301" i="12"/>
  <c r="Z215" i="12"/>
  <c r="Z1476" i="12"/>
  <c r="Z399" i="12"/>
  <c r="Z3108" i="12"/>
  <c r="Z1876" i="12"/>
  <c r="Z1865" i="12"/>
  <c r="Z1343" i="12"/>
  <c r="Z3368" i="12"/>
  <c r="Z1846" i="12"/>
  <c r="Z1562" i="12"/>
  <c r="Z1831" i="12"/>
  <c r="Z504" i="12"/>
  <c r="Z1829" i="12"/>
  <c r="Z1113" i="12"/>
  <c r="Z2089" i="12"/>
  <c r="Z1368" i="12"/>
  <c r="Z3039" i="12"/>
  <c r="Z1697" i="12"/>
  <c r="Z941" i="12"/>
  <c r="Z862" i="12"/>
  <c r="Z1830" i="12"/>
  <c r="Z1075" i="12"/>
  <c r="Z1000" i="12"/>
  <c r="Z2738" i="12"/>
  <c r="Z3476" i="12"/>
  <c r="Z289" i="12"/>
  <c r="Z3258" i="12"/>
  <c r="Z3019" i="12"/>
  <c r="Z545" i="12"/>
  <c r="Z1591" i="12"/>
  <c r="Z1823" i="12"/>
  <c r="Z1163" i="12"/>
  <c r="Z1406" i="12"/>
  <c r="Z546" i="12"/>
  <c r="Z3335" i="12"/>
  <c r="Z2402" i="12"/>
  <c r="Z374" i="12"/>
  <c r="Z806" i="12"/>
  <c r="Z1817" i="12"/>
  <c r="Z273" i="12"/>
  <c r="Z2337" i="12"/>
  <c r="Z1222" i="12"/>
  <c r="Z184" i="12"/>
  <c r="Z2954" i="12"/>
  <c r="Z451" i="12"/>
  <c r="Z313" i="12"/>
  <c r="Z837" i="12"/>
  <c r="Z2991" i="12"/>
  <c r="Z3138" i="12"/>
  <c r="Z3266" i="12"/>
  <c r="Z1398" i="12"/>
  <c r="Z1745" i="12"/>
  <c r="Z1692" i="12"/>
  <c r="Z1903" i="12"/>
  <c r="Z1439" i="12"/>
  <c r="Z2741" i="12"/>
  <c r="Z1860" i="12"/>
  <c r="Z1914" i="12"/>
  <c r="Z1642" i="12"/>
  <c r="Z160" i="12"/>
  <c r="Z1913" i="12"/>
  <c r="Z1470" i="12"/>
  <c r="Z2104" i="12"/>
  <c r="Z1704" i="12"/>
  <c r="Z1244" i="12"/>
  <c r="Z172" i="12"/>
  <c r="Z1463" i="12"/>
  <c r="Z3082" i="12"/>
  <c r="Z616" i="12"/>
  <c r="Z1287" i="12"/>
  <c r="Z1665" i="12"/>
  <c r="Z2824" i="12"/>
  <c r="Z2546" i="12"/>
  <c r="Z2277" i="12"/>
  <c r="Z751" i="12"/>
  <c r="Z2547" i="12"/>
  <c r="Z3173" i="12"/>
  <c r="Z2466" i="12"/>
  <c r="Z63" i="12"/>
  <c r="Z1016" i="12"/>
  <c r="Z1736" i="12"/>
  <c r="Z1738" i="12"/>
  <c r="Z1862" i="12"/>
  <c r="Z88" i="12"/>
  <c r="Z1175" i="12"/>
  <c r="Z450" i="12"/>
  <c r="Z1904" i="12"/>
  <c r="Z573" i="12"/>
  <c r="Z2254" i="12"/>
  <c r="Z2168" i="12"/>
  <c r="Z2083" i="12"/>
  <c r="Z3127" i="12"/>
  <c r="Z3340" i="12"/>
  <c r="Z770" i="12"/>
  <c r="Z1584" i="12"/>
  <c r="Z1808" i="12"/>
  <c r="Z3372" i="12"/>
  <c r="Z1350" i="12"/>
  <c r="Z1801" i="12"/>
  <c r="Z3442" i="12"/>
  <c r="Z3346" i="12"/>
  <c r="Z2797" i="12"/>
  <c r="Z2090" i="12"/>
  <c r="Z1111" i="12"/>
  <c r="Z801" i="12"/>
  <c r="Z2823" i="12"/>
  <c r="Z2330" i="12"/>
  <c r="Z1782" i="12"/>
  <c r="Z152" i="12"/>
  <c r="Z485" i="12"/>
  <c r="Z2870" i="12"/>
  <c r="Z236" i="12"/>
  <c r="Z2748" i="12"/>
  <c r="Z2728" i="12"/>
  <c r="Z1656" i="12"/>
  <c r="Z3514" i="12"/>
  <c r="Z2137" i="12"/>
  <c r="Z414" i="12"/>
  <c r="Z492" i="12"/>
  <c r="Z1580" i="12"/>
  <c r="Z1791" i="12"/>
  <c r="Z1416" i="12"/>
  <c r="Z2912" i="12"/>
  <c r="Z187" i="12"/>
  <c r="Z1272" i="12"/>
  <c r="Z1019" i="12"/>
  <c r="Z469" i="12"/>
  <c r="Z2092" i="12"/>
  <c r="Z364" i="12"/>
  <c r="Z2807" i="12"/>
  <c r="Z293" i="12"/>
  <c r="Z1798" i="12"/>
  <c r="Z2239" i="12"/>
  <c r="Z1691" i="12"/>
  <c r="Z2179" i="12"/>
  <c r="Z873" i="12"/>
  <c r="Z2060" i="12"/>
  <c r="Z940" i="12"/>
  <c r="Z291" i="12"/>
  <c r="Z1098" i="12"/>
  <c r="Z1137" i="12"/>
  <c r="Z2626" i="12"/>
  <c r="Z479" i="12"/>
  <c r="Z1449" i="12"/>
  <c r="Z175" i="12"/>
  <c r="Z956" i="12"/>
  <c r="Z953" i="12"/>
  <c r="Z1996" i="12"/>
  <c r="Z789" i="12"/>
  <c r="Z2016" i="12"/>
  <c r="Z966" i="12"/>
  <c r="Z1824" i="12"/>
  <c r="Z1916" i="12"/>
  <c r="Z1267" i="12"/>
  <c r="Z3338" i="12"/>
  <c r="Z1354" i="12"/>
  <c r="Z1528" i="12"/>
  <c r="Z60" i="12"/>
  <c r="Z628" i="12"/>
  <c r="Z2543" i="12"/>
  <c r="Z668" i="12"/>
  <c r="Z2033" i="12"/>
  <c r="Z910" i="12"/>
  <c r="Z1172" i="12"/>
  <c r="Z3500" i="12"/>
  <c r="Z1366" i="12"/>
  <c r="Z3230" i="12"/>
  <c r="Z3469" i="12"/>
  <c r="Z395" i="12"/>
  <c r="Z2452" i="12"/>
  <c r="Z1015" i="12"/>
  <c r="Z2806" i="12"/>
  <c r="Z1308" i="12"/>
  <c r="Z982" i="12"/>
  <c r="Z887" i="12"/>
  <c r="Z1874" i="12"/>
  <c r="Z296" i="12"/>
  <c r="Z1012" i="12"/>
  <c r="Z3423" i="12"/>
  <c r="Z288" i="12"/>
  <c r="Z2099" i="12"/>
  <c r="Z44" i="12"/>
  <c r="Z1847" i="12"/>
  <c r="Z3131" i="12"/>
  <c r="Z561" i="12"/>
  <c r="Z3114" i="12"/>
  <c r="Z1332" i="12"/>
  <c r="Z3415" i="12"/>
  <c r="Z2460" i="12"/>
  <c r="Z1223" i="12"/>
  <c r="Z3111" i="12"/>
  <c r="Z2989" i="12"/>
  <c r="Z3303" i="12"/>
  <c r="Z984" i="12"/>
  <c r="Z3086" i="12"/>
  <c r="Z989" i="12"/>
  <c r="Z3401" i="12"/>
  <c r="Z1007" i="12"/>
  <c r="Z537" i="12"/>
  <c r="Z2745" i="12"/>
  <c r="Z133" i="12"/>
  <c r="Z2638" i="12"/>
  <c r="Z219" i="12"/>
  <c r="Z1626" i="12"/>
  <c r="Z533" i="12"/>
  <c r="Z1114" i="12"/>
  <c r="Z1899" i="12"/>
  <c r="Z3333" i="12"/>
  <c r="Z3102" i="12"/>
  <c r="Z494" i="12"/>
  <c r="Z1809" i="12"/>
  <c r="Z121" i="12"/>
  <c r="Z2271" i="12"/>
  <c r="Z1132" i="12"/>
  <c r="Z2590" i="12"/>
  <c r="Z1380" i="12"/>
  <c r="Z3063" i="12"/>
  <c r="Z2306" i="12"/>
  <c r="Z1202" i="12"/>
  <c r="Z2967" i="12"/>
  <c r="Z3317" i="12"/>
  <c r="Z1358" i="12"/>
  <c r="Z657" i="12"/>
  <c r="Z1866" i="12"/>
  <c r="Z3461" i="12"/>
  <c r="Z3289" i="12"/>
  <c r="Z3003" i="12"/>
  <c r="Z3539" i="12"/>
  <c r="Z2078" i="12"/>
  <c r="Z855" i="12"/>
  <c r="Z1926" i="12"/>
  <c r="Z2525" i="12"/>
  <c r="Z188" i="12"/>
  <c r="Z2767" i="12"/>
  <c r="Z1089" i="12"/>
  <c r="Z2514" i="12"/>
  <c r="Z3343" i="12"/>
  <c r="Z3268" i="12"/>
  <c r="Z1415" i="12"/>
  <c r="Z1487" i="12"/>
  <c r="Z336" i="12"/>
  <c r="Z1814" i="12"/>
  <c r="Z2329" i="12"/>
  <c r="Z1340" i="12"/>
  <c r="Z960" i="12"/>
  <c r="Z2238" i="12"/>
  <c r="Z1464" i="12"/>
  <c r="Z913" i="12"/>
  <c r="Z368" i="12"/>
  <c r="Z2103" i="12"/>
  <c r="Z3378" i="12"/>
  <c r="Z1627" i="12"/>
  <c r="Z3543" i="12"/>
  <c r="Z3425" i="12"/>
  <c r="Z70" i="12"/>
  <c r="Z1518" i="12"/>
  <c r="Z317" i="12"/>
  <c r="Z1879" i="12"/>
  <c r="Z1257" i="12"/>
  <c r="Z1121" i="12"/>
  <c r="Z974" i="12"/>
  <c r="Z1637" i="12"/>
  <c r="Z2840" i="12"/>
  <c r="Z268" i="12"/>
  <c r="Z1493" i="12"/>
  <c r="Z3373" i="12"/>
  <c r="Z1965" i="12"/>
  <c r="Z2134" i="12"/>
  <c r="Z363" i="12"/>
  <c r="Z142" i="12"/>
  <c r="Z1424" i="12"/>
  <c r="Z2174" i="12"/>
  <c r="Z935" i="12"/>
  <c r="Z3364" i="12"/>
  <c r="Z2049" i="12"/>
  <c r="Z1959" i="12"/>
  <c r="Z1728" i="12"/>
  <c r="Z1800" i="12"/>
  <c r="Z3402" i="12"/>
  <c r="Z502" i="12"/>
  <c r="Z998" i="12"/>
  <c r="Z3115" i="12"/>
  <c r="Z529" i="12"/>
  <c r="Z2681" i="12"/>
  <c r="Z2285" i="12"/>
  <c r="Z2320" i="12"/>
  <c r="Z2210" i="12"/>
  <c r="Z1758" i="12"/>
  <c r="Z2152" i="12"/>
  <c r="Z739" i="12"/>
  <c r="Z2654" i="12"/>
  <c r="Z2658" i="12"/>
  <c r="Z2620" i="12"/>
  <c r="Z2284" i="12"/>
  <c r="Z2938" i="12"/>
  <c r="Z814" i="12"/>
  <c r="Z3432" i="12"/>
  <c r="Z547" i="12"/>
  <c r="Z3532" i="12"/>
  <c r="Z1461" i="12"/>
  <c r="Z541" i="12"/>
  <c r="Z3405" i="12"/>
  <c r="Z3494" i="12"/>
  <c r="Z3440" i="12"/>
  <c r="Z664" i="12"/>
  <c r="Z3464" i="12"/>
  <c r="Z2005" i="12"/>
  <c r="Z2208" i="12"/>
  <c r="Z162" i="12"/>
  <c r="Z2946" i="12"/>
  <c r="Z3385" i="12"/>
  <c r="Z1179" i="12"/>
  <c r="Z2979" i="12"/>
  <c r="Z1387" i="12"/>
  <c r="Z34" i="12"/>
  <c r="Z260" i="12"/>
  <c r="Z2536" i="12"/>
  <c r="Z3162" i="12"/>
  <c r="Z1284" i="12"/>
  <c r="Z1316" i="12"/>
  <c r="Z692" i="12"/>
  <c r="Z1428" i="12"/>
  <c r="Z2410" i="12"/>
  <c r="Z2607" i="12"/>
  <c r="Z711" i="12"/>
  <c r="Z2793" i="12"/>
  <c r="Z521" i="12"/>
  <c r="Z266" i="12"/>
  <c r="Z3403" i="12"/>
  <c r="Z2571" i="12"/>
  <c r="Z2409" i="12"/>
  <c r="Z2818" i="12"/>
  <c r="Z914" i="12"/>
  <c r="Z1659" i="12"/>
  <c r="Z195" i="12"/>
  <c r="Z1198" i="12"/>
  <c r="Z2929" i="12"/>
  <c r="Z1558" i="12"/>
  <c r="Z2362" i="12"/>
  <c r="Z466" i="12"/>
  <c r="Z2413" i="12"/>
  <c r="Z1309" i="12"/>
  <c r="Z3374" i="12"/>
  <c r="Z684" i="12"/>
  <c r="Z2573" i="12"/>
  <c r="Z297" i="12"/>
  <c r="Z1187" i="12"/>
  <c r="Z869" i="12"/>
  <c r="Z1386" i="12"/>
  <c r="Z250" i="12"/>
  <c r="Z1413" i="12"/>
  <c r="Z420" i="12"/>
  <c r="Z919" i="12"/>
  <c r="Z27" i="12"/>
  <c r="Z389" i="12"/>
  <c r="Z3045" i="12"/>
  <c r="Z2878" i="12"/>
  <c r="Z1981" i="12"/>
  <c r="Z2194" i="12"/>
  <c r="Z588" i="12"/>
  <c r="Z3307" i="12"/>
  <c r="Z3016" i="12"/>
  <c r="Z388" i="12"/>
  <c r="Z1168" i="12"/>
  <c r="Z1548" i="12"/>
  <c r="Z609" i="12"/>
  <c r="Z800" i="12"/>
  <c r="Z1264" i="12"/>
  <c r="Z1597" i="12"/>
  <c r="Z3487" i="12"/>
  <c r="Z522" i="12"/>
  <c r="Z1234" i="12"/>
  <c r="Z1568" i="12"/>
  <c r="Z2914" i="12"/>
  <c r="Z632" i="12"/>
  <c r="Z1088" i="12"/>
  <c r="Z1165" i="12"/>
  <c r="Z2866" i="12"/>
  <c r="Z2252" i="12"/>
  <c r="Z578" i="12"/>
  <c r="Z2860" i="12"/>
  <c r="Z1209" i="12"/>
  <c r="Z530" i="12"/>
  <c r="Z893" i="12"/>
  <c r="Z765" i="12"/>
  <c r="Z1806" i="12"/>
  <c r="Z1694" i="12"/>
  <c r="Z885" i="12"/>
  <c r="Z2779" i="12"/>
  <c r="Z1892" i="12"/>
  <c r="Z2969" i="12"/>
  <c r="Z3233" i="12"/>
  <c r="Z2244" i="12"/>
  <c r="Z2835" i="12"/>
  <c r="Z606" i="12"/>
  <c r="Z2018" i="12"/>
  <c r="Z673" i="12"/>
  <c r="Z3183" i="12"/>
  <c r="Z3362" i="12"/>
  <c r="Z3021" i="12"/>
  <c r="Z214" i="12"/>
  <c r="Z2694" i="12"/>
  <c r="Z2686" i="12"/>
  <c r="Z3367" i="12"/>
  <c r="Z2036" i="12"/>
  <c r="Z1321" i="12"/>
  <c r="Z1324" i="12"/>
  <c r="Z1498" i="12"/>
  <c r="Z2003" i="12"/>
  <c r="Z138" i="12"/>
  <c r="Z2020" i="12"/>
  <c r="Z495" i="12"/>
  <c r="Z1766" i="12"/>
  <c r="Z2462" i="12"/>
  <c r="Z287" i="12"/>
  <c r="Z3505" i="12"/>
  <c r="Z2469" i="12"/>
  <c r="Z691" i="12"/>
  <c r="Z2713" i="12"/>
  <c r="Z1683" i="12"/>
  <c r="Z3083" i="12"/>
  <c r="Z3175" i="12"/>
  <c r="Z1095" i="12"/>
  <c r="Z3187" i="12"/>
  <c r="Z2040" i="12"/>
  <c r="Z208" i="12"/>
  <c r="Z1985" i="12"/>
  <c r="Z1093" i="12"/>
  <c r="Z1804" i="12"/>
  <c r="Z2305" i="12"/>
  <c r="Z2635" i="12"/>
  <c r="Z2204" i="12"/>
  <c r="Z1139" i="12"/>
  <c r="Z1426" i="12"/>
  <c r="Z1023" i="12"/>
  <c r="Z1116" i="12"/>
  <c r="Z1096" i="12"/>
  <c r="Z2253" i="12"/>
  <c r="Z1248" i="12"/>
  <c r="Z279" i="12"/>
  <c r="Z1143" i="12"/>
  <c r="Z1986" i="12"/>
  <c r="Z1905" i="12"/>
  <c r="Z3449" i="12"/>
  <c r="Z2442" i="12"/>
  <c r="Z2112" i="12"/>
  <c r="Z1778" i="12"/>
  <c r="Z2765" i="12"/>
  <c r="Z91" i="12"/>
  <c r="Z3044" i="12"/>
  <c r="Z3078" i="12"/>
  <c r="Z3386" i="12"/>
  <c r="Z1189" i="12"/>
  <c r="Z880" i="12"/>
  <c r="Z324" i="12"/>
  <c r="Z795" i="12"/>
  <c r="Z3220" i="12"/>
  <c r="Z1579" i="12"/>
  <c r="Z1714" i="12"/>
  <c r="Z2848" i="12"/>
  <c r="Z496" i="12"/>
  <c r="Z809" i="12"/>
  <c r="Z3313" i="12"/>
  <c r="Z2908" i="12"/>
  <c r="Z2625" i="12"/>
  <c r="Z1262" i="12"/>
  <c r="Z3225" i="12"/>
  <c r="Z1484" i="12"/>
  <c r="Z1301" i="12"/>
  <c r="Z1951" i="12"/>
  <c r="Z856" i="12"/>
  <c r="Z2108" i="12"/>
  <c r="Z202" i="12"/>
  <c r="Z2988" i="12"/>
  <c r="Z559" i="12"/>
  <c r="Z2322" i="12"/>
  <c r="Z2602" i="12"/>
  <c r="Z2957" i="12"/>
  <c r="Z3515" i="12"/>
  <c r="Z1921" i="12"/>
  <c r="Z1070" i="12"/>
  <c r="Z2141" i="12"/>
  <c r="Z2655" i="12"/>
  <c r="Z592" i="12"/>
  <c r="Z1338" i="12"/>
  <c r="Z965" i="12"/>
  <c r="Z2491" i="12"/>
  <c r="Z1195" i="12"/>
  <c r="Z2150" i="12"/>
  <c r="Z1076" i="12"/>
  <c r="Z1371" i="12"/>
  <c r="Z675" i="12"/>
  <c r="Z1721" i="12"/>
  <c r="Z3180" i="12"/>
  <c r="Z2723" i="12"/>
  <c r="Z3080" i="12"/>
  <c r="Z1530" i="12"/>
  <c r="Z2544" i="12"/>
  <c r="Z2826" i="12"/>
  <c r="Z1731" i="12"/>
  <c r="Z1710" i="12"/>
  <c r="Z2808" i="12"/>
  <c r="Z393" i="12"/>
  <c r="Z3384" i="12"/>
  <c r="Z3245" i="12"/>
  <c r="Z1038" i="12"/>
  <c r="Z426" i="12"/>
  <c r="Z2726" i="12"/>
  <c r="Z2569" i="12"/>
  <c r="Z1278" i="12"/>
  <c r="Z2562" i="12"/>
  <c r="Z2126" i="12"/>
  <c r="Z1408" i="12"/>
  <c r="Z1405" i="12"/>
  <c r="Z876" i="12"/>
  <c r="Z82" i="12"/>
  <c r="Z341" i="12"/>
  <c r="Z618" i="12"/>
  <c r="Z1454" i="12"/>
  <c r="Z1754" i="12"/>
  <c r="Z2699" i="12"/>
  <c r="Z2344" i="12"/>
  <c r="Z245" i="12"/>
  <c r="Z627" i="12"/>
  <c r="Z1676" i="12"/>
  <c r="Z535" i="12"/>
  <c r="Z2701" i="12"/>
  <c r="Z1176" i="12"/>
  <c r="Z3190" i="12"/>
  <c r="Z1008" i="12"/>
  <c r="Z3420" i="12"/>
  <c r="Z3465" i="12"/>
  <c r="Z519" i="12"/>
  <c r="Z95" i="12"/>
  <c r="Z2499" i="12"/>
  <c r="Z1290" i="12"/>
  <c r="Z2498" i="12"/>
  <c r="Z1699" i="12"/>
  <c r="Z2961" i="12"/>
  <c r="Z2421" i="12"/>
  <c r="Z1955" i="12"/>
  <c r="Z144" i="12"/>
  <c r="Z2042" i="12"/>
  <c r="Z1376" i="12"/>
  <c r="Z3156" i="12"/>
  <c r="Z2143" i="12"/>
  <c r="Z542" i="12"/>
  <c r="Z1616" i="12"/>
  <c r="Z2383" i="12"/>
  <c r="Z1069" i="12"/>
  <c r="Z719" i="12"/>
  <c r="Z830" i="12"/>
  <c r="Z1011" i="12"/>
  <c r="Z1441" i="12"/>
  <c r="Z238" i="12"/>
  <c r="Z764" i="12"/>
  <c r="Z572" i="12"/>
  <c r="Z1207" i="12"/>
  <c r="Z2294" i="12"/>
  <c r="Z2321" i="12"/>
  <c r="Z481" i="12"/>
  <c r="Z783" i="12"/>
  <c r="Z845" i="12"/>
  <c r="Z1058" i="12"/>
  <c r="Z1394" i="12"/>
  <c r="Z2056" i="12"/>
  <c r="Z1655" i="12"/>
  <c r="Z2711" i="12"/>
  <c r="Z1123" i="12"/>
  <c r="Z1152" i="12"/>
  <c r="Z1167" i="12"/>
  <c r="Z2025" i="12"/>
  <c r="Z2692" i="12"/>
  <c r="Z2637" i="12"/>
  <c r="Z585" i="12"/>
  <c r="Z2864" i="12"/>
  <c r="Z3286" i="12"/>
  <c r="Z2890" i="12"/>
  <c r="Z2459" i="12"/>
  <c r="Z1867" i="12"/>
  <c r="Z2542" i="12"/>
  <c r="Z2163" i="12"/>
  <c r="Z3136" i="12"/>
  <c r="Z96" i="12"/>
  <c r="Z1242" i="12"/>
  <c r="Z3215" i="12"/>
  <c r="Z2666" i="12"/>
  <c r="Z1362" i="12"/>
  <c r="Z379" i="12"/>
  <c r="Z3061" i="12"/>
  <c r="Z2551" i="12"/>
  <c r="Z985" i="12"/>
  <c r="Z2448" i="12"/>
  <c r="Z3447" i="12"/>
  <c r="Z1722" i="12"/>
  <c r="Z1286" i="12"/>
  <c r="Z2046" i="12"/>
  <c r="Z2634" i="12"/>
  <c r="Z1943" i="12"/>
  <c r="Z3077" i="12"/>
  <c r="Z2331" i="12"/>
  <c r="Z438" i="12"/>
  <c r="Z140" i="12"/>
  <c r="Z2283" i="12"/>
  <c r="Z3433" i="12"/>
  <c r="Z902" i="12"/>
  <c r="Z3034" i="12"/>
  <c r="Z2013" i="12"/>
  <c r="Z3418" i="12"/>
  <c r="Z3169" i="12"/>
  <c r="Z2280" i="12"/>
  <c r="Z2430" i="12"/>
  <c r="Z991" i="12"/>
  <c r="Z1506" i="12"/>
  <c r="Z3192" i="12"/>
  <c r="Z2001" i="12"/>
  <c r="Z1352" i="12"/>
  <c r="Z280" i="12"/>
  <c r="Z3121" i="12"/>
  <c r="Z3160" i="12"/>
  <c r="Z3503" i="12"/>
  <c r="Z458" i="12"/>
  <c r="Z3231" i="12"/>
  <c r="Z2465" i="12"/>
  <c r="Z1210" i="12"/>
  <c r="Z805" i="12"/>
  <c r="Z2582" i="12"/>
  <c r="Z1542" i="12"/>
  <c r="Z141" i="12"/>
  <c r="Z72" i="12"/>
  <c r="Z265" i="12"/>
  <c r="Z1717" i="12"/>
  <c r="Z2234" i="12"/>
  <c r="Z3211" i="12"/>
  <c r="Z2794" i="12"/>
  <c r="Z2769" i="12"/>
  <c r="Z638" i="12"/>
  <c r="Z2495" i="12"/>
  <c r="Z518" i="12"/>
  <c r="Z126" i="12"/>
  <c r="Z1446" i="12"/>
  <c r="Z2093" i="12"/>
  <c r="Z2404" i="12"/>
  <c r="Z100" i="12"/>
  <c r="Z2375" i="12"/>
  <c r="Z3252" i="12"/>
  <c r="Z449" i="12"/>
  <c r="Z656" i="12"/>
  <c r="Z3146" i="12"/>
  <c r="Z1873" i="12"/>
  <c r="Z866" i="12"/>
  <c r="Z3224" i="12"/>
  <c r="Z2023" i="12"/>
  <c r="Z56" i="12"/>
  <c r="Z1119" i="12"/>
  <c r="Z2900" i="12"/>
  <c r="Z2091" i="12"/>
  <c r="Z1924" i="12"/>
  <c r="Z1911" i="12"/>
  <c r="Z1765" i="12"/>
  <c r="Z868" i="12"/>
  <c r="Z457" i="12"/>
  <c r="Z1557" i="12"/>
  <c r="Z3399" i="12"/>
  <c r="Z170" i="12"/>
  <c r="Z2649" i="12"/>
  <c r="Z2002" i="12"/>
  <c r="Z574" i="12"/>
  <c r="Z1056" i="12"/>
  <c r="Z1532" i="12"/>
  <c r="Z3552" i="12"/>
  <c r="Z870" i="12"/>
  <c r="Z1932" i="12"/>
  <c r="Z2081" i="12"/>
  <c r="Z2994" i="12"/>
  <c r="Z2435" i="12"/>
  <c r="Z1382" i="12"/>
  <c r="Z2559" i="12"/>
  <c r="Z3361" i="12"/>
  <c r="Z3068" i="12"/>
  <c r="Z551" i="12"/>
  <c r="Z2363" i="12"/>
  <c r="Z2358" i="12"/>
  <c r="Z2877" i="12"/>
  <c r="Z2075" i="12"/>
  <c r="Z337" i="12"/>
  <c r="Z704" i="12"/>
  <c r="Z2019" i="12"/>
  <c r="Z1991" i="12"/>
  <c r="Z740" i="12"/>
  <c r="Z380" i="12"/>
  <c r="Z231" i="12"/>
  <c r="Z439" i="12"/>
  <c r="Z1834" i="12"/>
  <c r="Z3065" i="12"/>
  <c r="Z512" i="12"/>
  <c r="Z1990" i="12"/>
  <c r="Z378" i="12"/>
  <c r="Z180" i="12"/>
  <c r="Z2377" i="12"/>
  <c r="Z1252" i="12"/>
  <c r="Z1022" i="12"/>
  <c r="Z103" i="12"/>
  <c r="Z2497" i="12"/>
  <c r="Z3342" i="12"/>
  <c r="Z955" i="12"/>
  <c r="Z2931" i="12"/>
  <c r="Z2471" i="12"/>
  <c r="Z2679" i="12"/>
  <c r="Z2386" i="12"/>
  <c r="Z2589" i="12"/>
  <c r="Z263" i="12"/>
  <c r="Z31" i="12"/>
  <c r="Z23" i="12"/>
  <c r="Z994" i="12"/>
  <c r="Z2821" i="12"/>
  <c r="Z2939" i="12"/>
  <c r="Z3035" i="12"/>
  <c r="Z2472" i="12"/>
  <c r="Z3100" i="12"/>
  <c r="Z240" i="12"/>
  <c r="Z150" i="12"/>
  <c r="Z597" i="12"/>
  <c r="Z1188" i="12"/>
  <c r="Z2173" i="12"/>
  <c r="Z1515" i="12"/>
  <c r="Z168" i="12"/>
  <c r="Z2887" i="12"/>
  <c r="Z325" i="12"/>
  <c r="Z1657" i="12"/>
  <c r="Z3452" i="12"/>
  <c r="Z384" i="12"/>
  <c r="Z369" i="12"/>
  <c r="Z3369" i="12"/>
  <c r="Z1486" i="12"/>
  <c r="Z2202" i="12"/>
  <c r="Z2971" i="12"/>
  <c r="Z3164" i="12"/>
  <c r="Z3112" i="12"/>
  <c r="Z3186" i="12"/>
  <c r="Z475" i="12"/>
  <c r="Z924" i="12"/>
  <c r="Z1897" i="12"/>
  <c r="Z2480" i="12"/>
  <c r="Z921" i="12"/>
  <c r="Z1664" i="12"/>
  <c r="Z53" i="12"/>
  <c r="Z728" i="12"/>
  <c r="Z2980" i="12"/>
  <c r="Z1853" i="12"/>
  <c r="Z1684" i="12"/>
  <c r="Z292" i="12"/>
  <c r="Z2136" i="12"/>
  <c r="Z2127" i="12"/>
  <c r="Z2308" i="12"/>
  <c r="Z1134" i="12"/>
  <c r="Z2611" i="12"/>
  <c r="Z323" i="12"/>
  <c r="Z3020" i="12"/>
  <c r="Z650" i="12"/>
  <c r="Z2189" i="12"/>
  <c r="Z1065" i="12"/>
  <c r="Z2297" i="12"/>
  <c r="Z383" i="12"/>
  <c r="Z269" i="12"/>
  <c r="Z3381" i="12"/>
  <c r="Z1910" i="12"/>
  <c r="Z2642" i="12"/>
  <c r="Z583" i="12"/>
  <c r="Z41" i="12"/>
  <c r="Z412" i="12"/>
  <c r="Z1750" i="12"/>
  <c r="Z614" i="12"/>
  <c r="Z1185" i="12"/>
  <c r="Z1203" i="12"/>
  <c r="Z2169" i="12"/>
  <c r="Z1930" i="12"/>
  <c r="Z2825" i="12"/>
  <c r="Z3444" i="12"/>
  <c r="Z3018" i="12"/>
  <c r="Z311" i="12"/>
  <c r="Z2853" i="12"/>
  <c r="Z1942" i="12"/>
  <c r="Z3456" i="12"/>
  <c r="Z1543" i="12"/>
  <c r="Z510" i="12"/>
  <c r="Z1850" i="12"/>
  <c r="Z1514" i="12"/>
  <c r="Z2255" i="12"/>
  <c r="Z3549" i="12"/>
  <c r="Z2594" i="12"/>
  <c r="Z2427" i="12"/>
  <c r="Z3244" i="12"/>
  <c r="Z621" i="12"/>
  <c r="Z3397" i="12"/>
  <c r="Z1378" i="12"/>
  <c r="Z433" i="12"/>
  <c r="Z357" i="12"/>
  <c r="Z1549" i="12"/>
  <c r="Z3064" i="12"/>
  <c r="Z1687" i="12"/>
  <c r="Z2172" i="12"/>
  <c r="Z1297" i="12"/>
  <c r="Z1618" i="12"/>
  <c r="Z1513" i="12"/>
  <c r="Z1741" i="12"/>
  <c r="Z772" i="12"/>
  <c r="Z729" i="12"/>
  <c r="Z1471" i="12"/>
  <c r="Z949" i="12"/>
  <c r="Z671" i="12"/>
  <c r="Z3376" i="12"/>
  <c r="Z923" i="12"/>
  <c r="Z952" i="12"/>
  <c r="Z2724" i="12"/>
  <c r="Z2296" i="12"/>
  <c r="Z36" i="12"/>
  <c r="Z874" i="12"/>
  <c r="Z3232" i="12"/>
  <c r="Z3117" i="12"/>
  <c r="Z1110" i="12"/>
  <c r="Z2477" i="12"/>
  <c r="Z2816" i="12"/>
  <c r="Z2847" i="12"/>
  <c r="Z2707" i="12"/>
  <c r="Z3370" i="12"/>
  <c r="Z2763" i="12"/>
  <c r="Z3013" i="12"/>
  <c r="Z811" i="12"/>
  <c r="Z3150" i="12"/>
  <c r="Z643" i="12"/>
  <c r="Z351" i="12"/>
  <c r="Z2242" i="12"/>
  <c r="Z431" i="12"/>
  <c r="Z21" i="12"/>
  <c r="Z2965" i="12"/>
  <c r="Z261" i="12"/>
  <c r="Z819" i="12"/>
  <c r="Z2365" i="12"/>
  <c r="Z2027" i="12"/>
  <c r="Z3060" i="12"/>
  <c r="Z2328" i="12"/>
  <c r="Z1864" i="12"/>
  <c r="Z3437" i="12"/>
  <c r="Z3135" i="12"/>
  <c r="Z3380" i="12"/>
  <c r="Z1283" i="12"/>
  <c r="Z2841" i="12"/>
  <c r="Z3007" i="12"/>
  <c r="Z1587" i="12"/>
  <c r="Z1594" i="12"/>
  <c r="Z2372" i="12"/>
  <c r="Z1849" i="12"/>
  <c r="Z2622" i="12"/>
  <c r="Z2050" i="12"/>
  <c r="Z1675" i="12"/>
  <c r="Z3201" i="12"/>
  <c r="Z1074" i="12"/>
  <c r="Z642" i="12"/>
  <c r="Z1751" i="12"/>
  <c r="Z1630" i="12"/>
  <c r="Z701" i="12"/>
  <c r="Z511" i="12"/>
  <c r="Z255" i="12"/>
  <c r="Z1753" i="12"/>
  <c r="Z1434" i="12"/>
  <c r="Z2527" i="12"/>
  <c r="Z1805" i="12"/>
  <c r="Z3140" i="12"/>
  <c r="Z1041" i="12"/>
  <c r="Z1151" i="12"/>
  <c r="Z2792" i="12"/>
  <c r="Z2241" i="12"/>
  <c r="Z760" i="12"/>
  <c r="Z905" i="12"/>
  <c r="Z1651" i="12"/>
  <c r="Z1737" i="12"/>
  <c r="Z130" i="12"/>
  <c r="Z328" i="12"/>
  <c r="Z2505" i="12"/>
  <c r="Z1048" i="12"/>
  <c r="Z964" i="12"/>
  <c r="Z2399" i="12"/>
  <c r="Z3393" i="12"/>
  <c r="Z3411" i="12"/>
  <c r="Z3010" i="12"/>
  <c r="Z2944" i="12"/>
  <c r="Z221" i="12"/>
  <c r="Z2715" i="12"/>
  <c r="Z3516" i="12"/>
  <c r="Z3293" i="12"/>
  <c r="Z3214" i="12"/>
  <c r="Z1388" i="12"/>
  <c r="Z1832" i="12"/>
  <c r="Z599" i="12"/>
  <c r="Z3398" i="12"/>
  <c r="Z2718" i="12"/>
  <c r="Z2592" i="12"/>
  <c r="Z741" i="12"/>
  <c r="Z1026" i="12"/>
  <c r="Z241" i="12"/>
  <c r="Z3407" i="12"/>
  <c r="Z2567" i="12"/>
  <c r="Z2119" i="12"/>
  <c r="Z2920" i="12"/>
  <c r="Z3466" i="12"/>
  <c r="Z1649" i="12"/>
  <c r="Z2350" i="12"/>
  <c r="Z3072" i="12"/>
  <c r="Z1499" i="12"/>
  <c r="Z2928" i="12"/>
  <c r="Z1836" i="12"/>
  <c r="Z2777" i="12"/>
  <c r="Z247" i="12"/>
  <c r="Z3151" i="12"/>
  <c r="Z2570" i="12"/>
  <c r="Z3011" i="12"/>
  <c r="Z2206" i="12"/>
  <c r="Z1355" i="12"/>
  <c r="Z286" i="12"/>
  <c r="Z612" i="12"/>
  <c r="Z1612" i="12"/>
  <c r="Z623" i="12"/>
  <c r="Z258" i="12"/>
  <c r="Z102" i="12"/>
  <c r="Z3217" i="12"/>
  <c r="Z3450" i="12"/>
  <c r="Z3525" i="12"/>
  <c r="Z2509" i="12"/>
  <c r="Z1071" i="12"/>
  <c r="Z3523" i="12"/>
  <c r="Z1795" i="12"/>
  <c r="Z775" i="12"/>
  <c r="Z1623" i="12"/>
  <c r="Z1658" i="12"/>
  <c r="Z1614" i="12"/>
  <c r="Z1241" i="12"/>
  <c r="Z1035" i="12"/>
  <c r="Z1769" i="12"/>
  <c r="Z980" i="12"/>
  <c r="Z3439" i="12"/>
  <c r="Z1641" i="12"/>
  <c r="Z2926" i="12"/>
  <c r="Z2054" i="12"/>
  <c r="Z2872" i="12"/>
  <c r="Z3428" i="12"/>
  <c r="Z723" i="12"/>
  <c r="Z470" i="12"/>
  <c r="Z3323" i="12"/>
  <c r="Z2051" i="12"/>
  <c r="Z1957" i="12"/>
  <c r="Z892" i="12"/>
  <c r="Z3271" i="12"/>
  <c r="Z158" i="12"/>
  <c r="Z3485" i="12"/>
  <c r="Z3202" i="12"/>
  <c r="Z3185" i="12"/>
  <c r="Z2846" i="12"/>
  <c r="Z2744" i="12"/>
  <c r="Z1269" i="12"/>
  <c r="Z1988" i="12"/>
  <c r="Z846" i="12"/>
  <c r="Z2426" i="12"/>
  <c r="Z1181" i="12"/>
  <c r="Z2047" i="12"/>
  <c r="Z3171" i="12"/>
  <c r="Z2197" i="12"/>
  <c r="Z1756" i="12"/>
  <c r="Z3355" i="12"/>
  <c r="Z244" i="12"/>
  <c r="Z979" i="12"/>
  <c r="Z362" i="12"/>
  <c r="Z194" i="12"/>
  <c r="Z1448" i="12"/>
  <c r="Z104" i="12"/>
  <c r="Z256" i="12"/>
  <c r="Z64" i="12"/>
  <c r="Z2615" i="12"/>
  <c r="Z565" i="12"/>
  <c r="Z2423" i="12"/>
  <c r="Z787" i="12"/>
  <c r="Z3406" i="12"/>
  <c r="Z2341" i="12"/>
  <c r="Z714" i="12"/>
  <c r="Z1949" i="12"/>
  <c r="Z1608" i="12"/>
  <c r="Z666" i="12"/>
  <c r="Z2810" i="12"/>
  <c r="Z1732" i="12"/>
  <c r="Z134" i="12"/>
  <c r="Z1585" i="12"/>
  <c r="Z3277" i="12"/>
  <c r="Z270" i="12"/>
  <c r="Z310" i="12"/>
  <c r="Z1013" i="12"/>
  <c r="Z503" i="12"/>
  <c r="Z192" i="12"/>
  <c r="Z1318" i="12"/>
  <c r="Z1695" i="12"/>
  <c r="Z305" i="12"/>
  <c r="Z3404" i="12"/>
  <c r="Z997" i="12"/>
  <c r="Z2017" i="12"/>
  <c r="Z318" i="12"/>
  <c r="Z2444" i="12"/>
  <c r="Z2739" i="12"/>
  <c r="Z2198" i="12"/>
  <c r="Z1215" i="12"/>
  <c r="Z832" i="12"/>
  <c r="Z1435" i="12"/>
  <c r="Z744" i="12"/>
  <c r="Z119" i="12"/>
  <c r="Z1663" i="12"/>
  <c r="Z1553" i="12"/>
  <c r="Z1126" i="12"/>
  <c r="Z1611" i="12"/>
  <c r="Z3474" i="12"/>
  <c r="Z568" i="12"/>
  <c r="Z1993" i="12"/>
  <c r="Z226" i="12"/>
  <c r="Z253" i="12"/>
  <c r="Z1869" i="12"/>
  <c r="Z2556" i="12"/>
  <c r="Z294" i="12"/>
  <c r="Z2977" i="12"/>
  <c r="Z1327" i="12"/>
  <c r="Z506" i="12"/>
  <c r="Z398" i="12"/>
  <c r="Z2501" i="12"/>
  <c r="Z2160" i="12"/>
  <c r="Z3103" i="12"/>
  <c r="Z2813" i="12"/>
  <c r="Z2478" i="12"/>
  <c r="Z3155" i="12"/>
  <c r="Z2074" i="12"/>
  <c r="Z3310" i="12"/>
  <c r="Z207" i="12"/>
  <c r="Z3241" i="12"/>
  <c r="Z2682" i="12"/>
  <c r="Z1522" i="12"/>
  <c r="Z925" i="12"/>
  <c r="Z2874" i="12"/>
  <c r="Z2059" i="12"/>
  <c r="Z1744" i="12"/>
  <c r="Z2304" i="12"/>
  <c r="Z567" i="12"/>
  <c r="Z2675" i="12"/>
  <c r="Z2761" i="12"/>
  <c r="Z2630" i="12"/>
  <c r="Z1838" i="12"/>
  <c r="Z2286" i="12"/>
  <c r="Z1213" i="12"/>
  <c r="Z743" i="12"/>
  <c r="Z1410" i="12"/>
  <c r="Z3344" i="12"/>
  <c r="Z1136" i="12"/>
  <c r="Z1525" i="12"/>
  <c r="Z201" i="12"/>
  <c r="Z3142" i="12"/>
  <c r="Z1729" i="12"/>
  <c r="Z360" i="12"/>
  <c r="Z2894" i="12"/>
  <c r="Z1342" i="12"/>
  <c r="Z649" i="12"/>
  <c r="Z1495" i="12"/>
  <c r="Z1190" i="12"/>
  <c r="Z3036" i="12"/>
  <c r="Z3040" i="12"/>
  <c r="Z443" i="12"/>
  <c r="Z1432" i="12"/>
  <c r="Z515" i="12"/>
  <c r="Z463" i="12"/>
  <c r="Z1689" i="12"/>
  <c r="Z3168" i="12"/>
  <c r="Z2354" i="12"/>
  <c r="Z3265" i="12"/>
  <c r="Z3324" i="12"/>
  <c r="Z1761" i="12"/>
  <c r="Z2295" i="12"/>
  <c r="Z49" i="12"/>
  <c r="Z2361" i="12"/>
  <c r="Z2575" i="12"/>
  <c r="Z2663" i="12"/>
  <c r="Z2339" i="12"/>
  <c r="Z3071" i="12"/>
  <c r="Z1384" i="12"/>
  <c r="Z758" i="12"/>
  <c r="Z1247" i="12"/>
  <c r="Z648" i="12"/>
  <c r="Z655" i="12"/>
  <c r="Z42" i="12"/>
  <c r="Z926" i="12"/>
  <c r="Z1409" i="12"/>
  <c r="Z1057" i="12"/>
  <c r="Z2118" i="12"/>
  <c r="Z3249" i="12"/>
  <c r="Z2288" i="12"/>
  <c r="Z2504" i="12"/>
  <c r="Z2937" i="12"/>
  <c r="Z3509" i="12"/>
  <c r="Z3443" i="12"/>
  <c r="Z61" i="12"/>
  <c r="Z3526" i="12"/>
  <c r="Z2716" i="12"/>
  <c r="Z1156" i="12"/>
  <c r="Z951" i="12"/>
  <c r="Z2596" i="12"/>
  <c r="Z3524" i="12"/>
  <c r="Z300" i="12"/>
  <c r="Z416" i="12"/>
  <c r="Z3522" i="12"/>
  <c r="Z1086" i="12"/>
  <c r="Z2981" i="12"/>
  <c r="Z3049" i="12"/>
  <c r="Z2819" i="12"/>
  <c r="Z183" i="12"/>
  <c r="Z86" i="12"/>
  <c r="Z3414" i="12"/>
  <c r="Z3446" i="12"/>
  <c r="Z2122" i="12"/>
  <c r="Z1459" i="12"/>
  <c r="Z2656" i="12"/>
  <c r="Z1050" i="12"/>
  <c r="Z2702" i="12"/>
  <c r="Z59" i="12"/>
  <c r="Z436" i="12"/>
  <c r="Z702" i="12"/>
  <c r="Z3287" i="12"/>
  <c r="Z596" i="12"/>
  <c r="Z2147" i="12"/>
  <c r="Z390" i="12"/>
  <c r="Z276" i="12"/>
  <c r="Z2661" i="12"/>
  <c r="Z883" i="12"/>
  <c r="Z3296" i="12"/>
  <c r="Z92" i="12"/>
  <c r="Z2911" i="12"/>
  <c r="Z3508" i="12"/>
  <c r="Z735" i="12"/>
  <c r="Z2257" i="12"/>
  <c r="Z1497" i="12"/>
  <c r="Z1031" i="12"/>
  <c r="Z2374" i="12"/>
  <c r="Z335" i="12"/>
  <c r="Z2591" i="12"/>
  <c r="Z1364" i="12"/>
  <c r="Z2949" i="12"/>
  <c r="Z686" i="12"/>
  <c r="Z2041" i="12"/>
  <c r="Z478" i="12"/>
  <c r="Z2580" i="12"/>
  <c r="Z1491" i="12"/>
  <c r="Z3511" i="12"/>
  <c r="Z1082" i="12"/>
  <c r="Z733" i="12"/>
  <c r="Z875" i="12"/>
  <c r="Z2458" i="12"/>
  <c r="Z3076" i="12"/>
  <c r="Z1812" i="12"/>
  <c r="Z540" i="12"/>
  <c r="Z373" i="12"/>
  <c r="Z2884" i="12"/>
  <c r="Z2673" i="12"/>
  <c r="Z1399" i="12"/>
  <c r="Z927" i="12"/>
  <c r="Z959" i="12"/>
  <c r="Z3541" i="12"/>
  <c r="Z484" i="12"/>
  <c r="Z1786" i="12"/>
  <c r="Z2151" i="12"/>
  <c r="Z916" i="12"/>
  <c r="Z2291" i="12"/>
  <c r="Z75" i="12"/>
  <c r="Z445" i="12"/>
  <c r="Z2024" i="12"/>
  <c r="Z1945" i="12"/>
  <c r="Z3412" i="12"/>
  <c r="Z527" i="12"/>
  <c r="Z3546" i="12"/>
  <c r="Z3152" i="12"/>
  <c r="Z2518" i="12"/>
  <c r="Z3106" i="12"/>
  <c r="Z224" i="12"/>
  <c r="Z1690" i="12"/>
  <c r="Z110" i="12"/>
  <c r="Z2222" i="12"/>
  <c r="Z2493" i="12"/>
  <c r="Z3482" i="12"/>
  <c r="Z2183" i="12"/>
  <c r="Z1569" i="12"/>
  <c r="Z3198" i="12"/>
  <c r="Z3261" i="12"/>
  <c r="Z1973" i="12"/>
  <c r="Z753" i="12"/>
  <c r="Z1923" i="12"/>
  <c r="Z3033" i="12"/>
  <c r="Z2685" i="12"/>
  <c r="Z90" i="12"/>
  <c r="Z693" i="12"/>
  <c r="Z2729" i="12"/>
  <c r="Z418" i="12"/>
  <c r="Z2080" i="12"/>
  <c r="Z430" i="12"/>
  <c r="Z1743" i="12"/>
  <c r="Z677" i="12"/>
  <c r="Z813" i="12"/>
  <c r="Z164" i="12"/>
  <c r="Z539" i="12"/>
  <c r="Z3158" i="12"/>
  <c r="Z2139" i="12"/>
  <c r="Z724" i="12"/>
  <c r="Z1279" i="12"/>
  <c r="Z1621" i="12"/>
  <c r="Z2274" i="12"/>
  <c r="Z99" i="12"/>
  <c r="Z2684" i="12"/>
  <c r="Z2135" i="12"/>
  <c r="Z2418" i="12"/>
  <c r="Z1451" i="12"/>
  <c r="Z2735" i="12"/>
  <c r="Z2030" i="12"/>
  <c r="Z1124" i="12"/>
  <c r="Z2403" i="12"/>
  <c r="Z1963" i="12"/>
  <c r="Z3270" i="12"/>
  <c r="Z3484" i="12"/>
  <c r="Z2532" i="12"/>
  <c r="Z1770" i="12"/>
  <c r="Z2380" i="12"/>
  <c r="Z2455" i="12"/>
  <c r="Z3074" i="12"/>
  <c r="Z2102" i="12"/>
  <c r="Z791" i="12"/>
  <c r="Z1837" i="12"/>
  <c r="Z94" i="12"/>
  <c r="Z2184" i="12"/>
  <c r="Z911" i="12"/>
  <c r="Z2881" i="12"/>
  <c r="Z2396" i="12"/>
  <c r="Z2535" i="12"/>
  <c r="Z1037" i="12"/>
  <c r="Z2828" i="12"/>
  <c r="Z1430" i="12"/>
  <c r="Z3496" i="12"/>
  <c r="Z625" i="12"/>
  <c r="Z2157" i="12"/>
  <c r="Z3448" i="12"/>
  <c r="Z29" i="12"/>
  <c r="Z590" i="12"/>
  <c r="Z2484" i="12"/>
  <c r="Z2245" i="12"/>
  <c r="Z950" i="12"/>
  <c r="Z2482" i="12"/>
  <c r="Z2788" i="12"/>
  <c r="Z1177" i="12"/>
  <c r="Z1236" i="12"/>
  <c r="Z2972" i="12"/>
  <c r="Z1393" i="12"/>
  <c r="Z2368" i="12"/>
  <c r="Z1660" i="12"/>
  <c r="Z852" i="12"/>
  <c r="Z2076" i="12"/>
  <c r="Z2494" i="12"/>
  <c r="Z3493" i="12"/>
  <c r="Z2680" i="12"/>
  <c r="Z404" i="12"/>
  <c r="Z3434" i="12"/>
  <c r="Z2922" i="12"/>
  <c r="Z2610" i="12"/>
  <c r="Z1377" i="12"/>
  <c r="Z2073" i="12"/>
  <c r="Z2696" i="12"/>
  <c r="Z1841" i="12"/>
  <c r="Z2844" i="12"/>
  <c r="Z864" i="12"/>
  <c r="Z1977" i="12"/>
  <c r="Z3149" i="12"/>
  <c r="Z890" i="12"/>
  <c r="Z2581" i="12"/>
  <c r="Z1681" i="12"/>
  <c r="Z3318" i="12"/>
  <c r="Z223" i="12"/>
  <c r="Z3028" i="12"/>
  <c r="Z808" i="12"/>
  <c r="Z1603" i="12"/>
  <c r="Z3490" i="12"/>
  <c r="Z132" i="12"/>
  <c r="Z620" i="12"/>
  <c r="Z2037" i="12"/>
  <c r="Z1711" i="12"/>
  <c r="Z3319" i="12"/>
  <c r="Z2787" i="12"/>
  <c r="Z2207" i="12"/>
  <c r="Z3357" i="12"/>
  <c r="Z3408" i="12"/>
  <c r="Z2892" i="12"/>
  <c r="Z1933" i="12"/>
  <c r="Z860" i="12"/>
  <c r="Z778" i="12"/>
  <c r="Z1412" i="12"/>
  <c r="Z2416" i="12"/>
  <c r="Z1154" i="12"/>
  <c r="Z2088" i="12"/>
  <c r="Z2511" i="12"/>
  <c r="Z3429" i="12"/>
  <c r="Z2405" i="12"/>
  <c r="Z1251" i="12"/>
  <c r="Z1819" i="12"/>
  <c r="Z2064" i="12"/>
  <c r="Z2132" i="12"/>
  <c r="Z2674" i="12"/>
  <c r="Z708" i="12"/>
  <c r="Z474" i="12"/>
  <c r="Z1906" i="12"/>
  <c r="Z1129" i="12"/>
  <c r="Z2394" i="12"/>
  <c r="Z2670" i="12"/>
  <c r="Z3538" i="12"/>
  <c r="Z2055" i="12"/>
  <c r="Z1523" i="12"/>
  <c r="Z239" i="12"/>
  <c r="Z2975" i="12"/>
  <c r="Z505" i="12"/>
  <c r="Z1083" i="12"/>
  <c r="Z2209" i="12"/>
  <c r="Z1120" i="12"/>
  <c r="Z125" i="12"/>
  <c r="Z1646" i="12"/>
  <c r="Z1122" i="12"/>
  <c r="Z2148" i="12"/>
  <c r="Z882" i="12"/>
  <c r="Z122" i="12"/>
  <c r="Z407" i="12"/>
  <c r="Z1429" i="12"/>
  <c r="Z2105" i="12"/>
  <c r="Z1085" i="12"/>
  <c r="Z954" i="12"/>
  <c r="Z2164" i="12"/>
  <c r="Z1643" i="12"/>
  <c r="Z441" i="12"/>
  <c r="Z1599" i="12"/>
  <c r="Z1182" i="12"/>
  <c r="Z3475" i="12"/>
  <c r="Z576" i="12"/>
  <c r="Z2400" i="12"/>
  <c r="Z114" i="12"/>
  <c r="Z2258" i="12"/>
  <c r="Z24" i="12"/>
  <c r="Z3101" i="12"/>
  <c r="Z1445" i="12"/>
  <c r="Z402" i="12"/>
  <c r="Z1592" i="12"/>
  <c r="Z2124" i="12"/>
  <c r="Z509" i="12"/>
  <c r="Z894" i="12"/>
  <c r="Z1305" i="12"/>
  <c r="Z715" i="12"/>
  <c r="Z2736" i="12"/>
  <c r="Z3383" i="12"/>
  <c r="Z1511" i="12"/>
  <c r="Z149" i="12"/>
  <c r="Z1670" i="12"/>
  <c r="Z3455" i="12"/>
  <c r="Z19" i="12"/>
  <c r="Z2212" i="12"/>
  <c r="Z1839" i="12"/>
  <c r="Z859" i="12"/>
  <c r="Z1895" i="12"/>
  <c r="Z3314" i="12"/>
  <c r="Z1480" i="12"/>
  <c r="Z1962" i="12"/>
  <c r="Z259" i="12"/>
  <c r="Z2456" i="12"/>
  <c r="Z514" i="12"/>
  <c r="Z1052" i="12"/>
  <c r="Z807" i="12"/>
  <c r="Z197" i="12"/>
  <c r="Z1852" i="12"/>
  <c r="Z3098" i="12"/>
  <c r="Z2349" i="12"/>
  <c r="Z2300" i="12"/>
  <c r="Z2614" i="12"/>
  <c r="Z1606" i="12"/>
  <c r="Z1250" i="12"/>
  <c r="Z131" i="12"/>
  <c r="Z3093" i="12"/>
  <c r="Z1929" i="12"/>
  <c r="Z1519" i="12"/>
  <c r="Z1145" i="12"/>
  <c r="Z375" i="12"/>
  <c r="Z2392" i="12"/>
  <c r="Z1053" i="12"/>
  <c r="Z3506" i="12"/>
  <c r="Z2345" i="12"/>
  <c r="Z173" i="12"/>
  <c r="Z182" i="12"/>
  <c r="Z3145" i="12"/>
  <c r="Z3424" i="12"/>
  <c r="Z2181" i="12"/>
  <c r="Z967" i="12"/>
  <c r="Z483" i="12"/>
  <c r="Z3458" i="12"/>
  <c r="Z1992" i="12"/>
  <c r="Z3029" i="12"/>
  <c r="Z586" i="12"/>
  <c r="Z1917" i="12"/>
  <c r="Z2584" i="12"/>
  <c r="Z2921" i="12"/>
  <c r="Z2770" i="12"/>
  <c r="Z3032" i="12"/>
  <c r="Z1995" i="12"/>
  <c r="Z849" i="12"/>
  <c r="Z3462" i="12"/>
  <c r="Z1233" i="12"/>
  <c r="Z2346" i="12"/>
  <c r="Z2850" i="12"/>
  <c r="Z1997" i="12"/>
  <c r="Z1762" i="12"/>
  <c r="Z1200" i="12"/>
  <c r="Z163" i="12"/>
  <c r="Z242" i="12"/>
  <c r="Z1417" i="12"/>
  <c r="Z1148" i="12"/>
  <c r="Z1882" i="12"/>
  <c r="Z2507" i="12"/>
  <c r="Z1893" i="12"/>
  <c r="Z2905" i="12"/>
  <c r="Z2066" i="12"/>
  <c r="Z1638" i="12"/>
  <c r="Z2303" i="12"/>
  <c r="Z2053" i="12"/>
  <c r="Z2978" i="12"/>
  <c r="Z1763" i="12"/>
  <c r="Z767" i="12"/>
  <c r="Z1315" i="12"/>
  <c r="Z2734" i="12"/>
  <c r="S58" i="12"/>
  <c r="S69" i="12"/>
  <c r="S71" i="12"/>
  <c r="S60" i="12"/>
  <c r="S62" i="12"/>
  <c r="S73" i="12"/>
  <c r="S67" i="12"/>
  <c r="S74" i="12"/>
  <c r="S59" i="12"/>
  <c r="S68" i="12"/>
  <c r="D26" i="6"/>
  <c r="T41" i="12" l="1"/>
  <c r="T19" i="12"/>
  <c r="D25" i="6" l="1"/>
  <c r="D24" i="6"/>
  <c r="K8" i="12"/>
  <c r="J10" i="12"/>
  <c r="K13" i="12"/>
  <c r="J7" i="12"/>
  <c r="K14" i="12"/>
  <c r="K3" i="12"/>
  <c r="K7" i="12"/>
  <c r="J8" i="12"/>
  <c r="K16" i="12"/>
  <c r="K6" i="12"/>
  <c r="J13" i="12"/>
  <c r="K12" i="12"/>
  <c r="K15" i="12"/>
  <c r="K11" i="12"/>
  <c r="K5" i="12"/>
  <c r="J9" i="12"/>
  <c r="K9" i="12"/>
  <c r="J14" i="12"/>
  <c r="J3" i="12"/>
  <c r="J5" i="12"/>
  <c r="J12" i="12"/>
  <c r="K10" i="12"/>
  <c r="K4" i="12"/>
  <c r="J11" i="12"/>
  <c r="J16" i="12"/>
  <c r="J15" i="12"/>
  <c r="J6" i="12"/>
  <c r="J4" i="12"/>
  <c r="G12" i="12"/>
  <c r="H15" i="12"/>
  <c r="G15" i="12"/>
  <c r="I15" i="12"/>
  <c r="H14" i="12"/>
  <c r="G14" i="12"/>
  <c r="I14" i="12"/>
  <c r="G10" i="12"/>
  <c r="G4" i="12"/>
  <c r="G5" i="12"/>
  <c r="H12" i="12"/>
  <c r="G7" i="12"/>
  <c r="G6" i="12"/>
  <c r="G3" i="12"/>
  <c r="G13" i="12"/>
  <c r="H13" i="12"/>
  <c r="H6" i="12"/>
  <c r="I6" i="12"/>
  <c r="G16" i="12"/>
  <c r="H9" i="12"/>
  <c r="H16" i="12"/>
  <c r="I16" i="12"/>
  <c r="H8" i="12"/>
  <c r="G11" i="12"/>
  <c r="G9" i="12"/>
  <c r="G8" i="12"/>
  <c r="H4" i="12"/>
  <c r="I4" i="12"/>
  <c r="H5" i="12"/>
  <c r="I5" i="12"/>
  <c r="H7" i="12"/>
  <c r="I7" i="12"/>
  <c r="H10" i="12"/>
  <c r="I10" i="12"/>
  <c r="H11" i="12"/>
  <c r="I11" i="12"/>
  <c r="H3" i="12"/>
  <c r="I8" i="12"/>
  <c r="I9" i="12"/>
  <c r="I13" i="12"/>
  <c r="I3" i="12"/>
  <c r="I12"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<sst xmlns="http://schemas.openxmlformats.org/spreadsheetml/2006/main" count="293" uniqueCount="166">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</sst>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30"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
      <i/>
      <sz val="8"/>
      <name val="Courier New"/>
      <family val="3"/>
    </font>
    <font>
      <sz val="10"/>
      <name val="Courier New"/>
      <family val="3"/>
    </font>
    <font>
      <sz val="8"/>
      <color indexed="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9"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0" fillId="0" borderId="0" applyFont="0" applyFill="0" applyBorder="0" applyAlignment="0" applyProtection="0"/>
    <xf numFmtId="0" fontId="24" fillId="0" borderId="0"/>
    <xf numFmtId="9" fontId="24" fillId="0" borderId="0" applyFont="0" applyFill="0" applyBorder="0" applyAlignment="0" applyProtection="0"/>
    <xf numFmtId="0" fontId="20" fillId="0" borderId="0"/>
    <xf numFmtId="9" fontId="20" fillId="0" borderId="0" applyFont="0" applyFill="0" applyBorder="0" applyAlignment="0" applyProtection="0"/>
    <xf numFmtId="9" fontId="1" fillId="0" borderId="0" applyFont="0" applyFill="0" applyBorder="0" applyAlignment="0" applyProtection="0"/>
    <xf numFmtId="177" fontId="20" fillId="0" borderId="0" applyFont="0" applyFill="0" applyBorder="0" applyAlignment="0" applyProtection="0"/>
  </cellStyleXfs>
  <cellXfs count="294">
    <xf numFmtId="0" fontId="0" fillId="0" borderId="0" xfId="0"/>
    <xf numFmtId="0" fontId="2" fillId="0" borderId="0" xfId="1" applyFont="1"/>
    <xf numFmtId="0" fontId="2" fillId="2" borderId="0" xfId="1" applyFont="1" applyFill="1" applyBorder="1" applyAlignment="1">
      <alignment horizontal="center"/>
    </xf>
    <xf numFmtId="0" fontId="6" fillId="0" borderId="0" xfId="1" applyFont="1"/>
    <xf numFmtId="0" fontId="6" fillId="0" borderId="0" xfId="1" applyFont="1" applyAlignment="1">
      <alignment horizontal="left"/>
    </xf>
    <xf numFmtId="166" fontId="6" fillId="0" borderId="0" xfId="1" applyNumberFormat="1" applyFo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0" fontId="2" fillId="2" borderId="1" xfId="1" applyNumberFormat="1" applyFont="1" applyFill="1" applyBorder="1" applyAlignment="1">
      <alignment horizontal="left"/>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3" fillId="2" borderId="9" xfId="1" applyFont="1" applyFill="1" applyBorder="1" applyAlignment="1">
      <alignment horizontal="center" vertical="center" wrapText="1"/>
    </xf>
    <xf numFmtId="0" fontId="5" fillId="0" borderId="0" xfId="1" applyFont="1"/>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4" xfId="1" applyFont="1" applyFill="1" applyBorder="1" applyAlignment="1">
      <alignment horizontal="left"/>
    </xf>
    <xf numFmtId="0" fontId="11" fillId="4" borderId="27" xfId="1" applyNumberFormat="1" applyFont="1" applyFill="1" applyBorder="1" applyAlignment="1" applyProtection="1"/>
    <xf numFmtId="0" fontId="2" fillId="2" borderId="27" xfId="1" applyNumberFormat="1" applyFont="1" applyFill="1" applyBorder="1" applyAlignment="1">
      <alignment horizontal="left"/>
    </xf>
    <xf numFmtId="0" fontId="2" fillId="2" borderId="27" xfId="1" applyNumberFormat="1" applyFont="1" applyFill="1" applyBorder="1" applyAlignment="1">
      <alignment horizontal="center"/>
    </xf>
    <xf numFmtId="0" fontId="2" fillId="2" borderId="3" xfId="1" applyNumberFormat="1" applyFont="1" applyFill="1" applyBorder="1" applyAlignment="1">
      <alignment horizontal="left"/>
    </xf>
    <xf numFmtId="0" fontId="11" fillId="4" borderId="28"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29" xfId="1" applyNumberFormat="1" applyFont="1" applyFill="1" applyBorder="1" applyAlignment="1" applyProtection="1"/>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9" xfId="1" applyNumberFormat="1" applyFont="1" applyFill="1" applyBorder="1" applyAlignment="1" applyProtection="1"/>
    <xf numFmtId="0" fontId="2" fillId="2" borderId="9" xfId="1" applyNumberFormat="1" applyFont="1" applyFill="1" applyBorder="1" applyAlignment="1">
      <alignment horizontal="left"/>
    </xf>
    <xf numFmtId="0" fontId="2" fillId="2" borderId="9" xfId="1" applyNumberFormat="1" applyFont="1" applyFill="1" applyBorder="1" applyAlignment="1">
      <alignment horizontal="center"/>
    </xf>
    <xf numFmtId="0" fontId="2" fillId="2" borderId="10" xfId="1" applyNumberFormat="1" applyFont="1" applyFill="1" applyBorder="1" applyAlignment="1">
      <alignment horizontal="left"/>
    </xf>
    <xf numFmtId="0" fontId="2" fillId="2" borderId="12" xfId="1" applyNumberFormat="1" applyFont="1" applyFill="1" applyBorder="1" applyAlignment="1">
      <alignment horizontal="left"/>
    </xf>
    <xf numFmtId="0" fontId="13" fillId="2" borderId="29" xfId="1" applyFont="1" applyFill="1" applyBorder="1" applyAlignment="1">
      <alignment horizontal="center" vertical="center"/>
    </xf>
    <xf numFmtId="0" fontId="2" fillId="2" borderId="30" xfId="1" applyFont="1" applyFill="1" applyBorder="1"/>
    <xf numFmtId="0" fontId="5" fillId="0" borderId="32" xfId="1" applyFont="1" applyBorder="1"/>
    <xf numFmtId="0" fontId="5" fillId="0" borderId="32" xfId="1" applyFont="1" applyBorder="1" applyAlignment="1">
      <alignment horizontal="center"/>
    </xf>
    <xf numFmtId="0" fontId="2" fillId="2" borderId="32" xfId="1" applyFont="1" applyFill="1" applyBorder="1" applyAlignment="1">
      <alignment horizontal="center"/>
    </xf>
    <xf numFmtId="0" fontId="2" fillId="2" borderId="32" xfId="1" applyFont="1" applyFill="1" applyBorder="1"/>
    <xf numFmtId="0" fontId="2" fillId="2" borderId="13" xfId="1" applyFont="1" applyFill="1" applyBorder="1" applyAlignment="1">
      <alignment horizontal="left"/>
    </xf>
    <xf numFmtId="0" fontId="19" fillId="2" borderId="16"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7" xfId="1" applyFont="1" applyFill="1" applyBorder="1" applyAlignment="1">
      <alignment horizont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0" xfId="1" applyFont="1" applyBorder="1"/>
    <xf numFmtId="0" fontId="5" fillId="0" borderId="31" xfId="1" applyFont="1" applyBorder="1"/>
    <xf numFmtId="0" fontId="2" fillId="2" borderId="9" xfId="1" applyFont="1" applyFill="1" applyBorder="1" applyAlignment="1">
      <alignment horizontal="center"/>
    </xf>
    <xf numFmtId="0" fontId="2" fillId="8" borderId="9" xfId="1" applyNumberFormat="1" applyFont="1" applyFill="1" applyBorder="1" applyAlignment="1">
      <alignment horizontal="center"/>
    </xf>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0" xfId="1" applyFont="1" applyFill="1" applyBorder="1"/>
    <xf numFmtId="0" fontId="2" fillId="2" borderId="31" xfId="1" applyFont="1" applyFill="1" applyBorder="1" applyAlignment="1">
      <alignment horizontal="left"/>
    </xf>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3"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7" fontId="6" fillId="14" borderId="39" xfId="11" applyNumberFormat="1" applyFont="1" applyFill="1" applyBorder="1"/>
    <xf numFmtId="0" fontId="6" fillId="11" borderId="39" xfId="11" applyFont="1" applyFill="1" applyBorder="1"/>
    <xf numFmtId="167" fontId="6" fillId="14" borderId="28" xfId="11" applyNumberFormat="1" applyFont="1" applyFill="1" applyBorder="1"/>
    <xf numFmtId="0" fontId="6" fillId="11" borderId="28" xfId="11" applyFont="1" applyFill="1" applyBorder="1"/>
    <xf numFmtId="176" fontId="6" fillId="0" borderId="0" xfId="11" applyNumberFormat="1" applyFont="1"/>
    <xf numFmtId="0" fontId="23"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7" fontId="6" fillId="0" borderId="41" xfId="11" applyNumberFormat="1" applyFont="1" applyBorder="1" applyAlignment="1"/>
    <xf numFmtId="167" fontId="6" fillId="0" borderId="17" xfId="11" applyNumberFormat="1" applyFont="1" applyBorder="1"/>
    <xf numFmtId="167" fontId="6" fillId="0" borderId="15" xfId="11" applyNumberFormat="1" applyFont="1" applyBorder="1"/>
    <xf numFmtId="167"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5"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7"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7"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7"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6"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165" fontId="6" fillId="0" borderId="14" xfId="10" applyNumberFormat="1" applyFont="1" applyBorder="1"/>
    <xf numFmtId="165" fontId="6" fillId="0" borderId="13" xfId="11" applyNumberFormat="1" applyFont="1" applyBorder="1"/>
    <xf numFmtId="167" fontId="6" fillId="0" borderId="14" xfId="11" applyNumberFormat="1" applyFont="1" applyBorder="1" applyAlignment="1"/>
    <xf numFmtId="167"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3"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3"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xf numFmtId="0" fontId="6" fillId="0" borderId="32" xfId="11" applyFont="1" applyBorder="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5" xfId="1" applyNumberFormat="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17" xfId="1" applyFont="1" applyFill="1" applyBorder="1"/>
    <xf numFmtId="0" fontId="6" fillId="2" borderId="0" xfId="1" applyFont="1" applyFill="1" applyBorder="1"/>
    <xf numFmtId="0" fontId="6" fillId="0" borderId="0" xfId="1" applyFont="1" applyAlignment="1">
      <alignment horizontal="center"/>
    </xf>
    <xf numFmtId="0" fontId="27" fillId="2" borderId="9" xfId="1" applyFont="1" applyFill="1" applyBorder="1" applyAlignment="1">
      <alignment horizontal="center" vertical="center"/>
    </xf>
    <xf numFmtId="0" fontId="6" fillId="2" borderId="16" xfId="1" applyFont="1" applyFill="1" applyBorder="1"/>
    <xf numFmtId="0" fontId="28" fillId="0" borderId="0" xfId="1" applyFont="1"/>
    <xf numFmtId="0" fontId="6" fillId="2" borderId="17"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9" fillId="4" borderId="9" xfId="1" applyNumberFormat="1" applyFont="1" applyFill="1" applyBorder="1" applyAlignment="1" applyProtection="1">
      <alignment horizontal="left" vertical="center"/>
    </xf>
    <xf numFmtId="0" fontId="7" fillId="2" borderId="12" xfId="1" applyFont="1" applyFill="1" applyBorder="1" applyAlignment="1">
      <alignment horizontal="center" vertical="center" wrapText="1"/>
    </xf>
    <xf numFmtId="0" fontId="7" fillId="2" borderId="27"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8" borderId="1" xfId="1" applyNumberFormat="1" applyFont="1" applyFill="1" applyBorder="1" applyAlignment="1">
      <alignment horizontal="left"/>
    </xf>
    <xf numFmtId="171" fontId="29" fillId="4" borderId="10" xfId="1" applyNumberFormat="1" applyFont="1" applyFill="1" applyBorder="1" applyAlignment="1" applyProtection="1">
      <alignment horizontal="left"/>
    </xf>
    <xf numFmtId="0" fontId="7" fillId="2" borderId="12" xfId="1" applyFont="1" applyFill="1" applyBorder="1" applyAlignment="1">
      <alignment horizontal="center"/>
    </xf>
    <xf numFmtId="172" fontId="6" fillId="2" borderId="27" xfId="1" applyNumberFormat="1" applyFont="1" applyFill="1" applyBorder="1" applyAlignment="1"/>
    <xf numFmtId="0" fontId="6" fillId="2" borderId="1" xfId="1" applyNumberFormat="1" applyFont="1" applyFill="1" applyBorder="1" applyAlignment="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0" fontId="2" fillId="2" borderId="10" xfId="1" applyFont="1" applyFill="1" applyBorder="1" applyAlignment="1">
      <alignment horizontal="center" vertical="center" wrapText="1"/>
    </xf>
    <xf numFmtId="0" fontId="11" fillId="4" borderId="10" xfId="1" applyNumberFormat="1" applyFont="1" applyFill="1" applyBorder="1" applyAlignment="1" applyProtection="1">
      <alignment vertical="center"/>
    </xf>
    <xf numFmtId="0" fontId="6" fillId="0" borderId="36" xfId="1" applyFont="1" applyBorder="1" applyAlignment="1">
      <alignment horizontal="center"/>
    </xf>
    <xf numFmtId="0" fontId="7" fillId="12" borderId="37" xfId="1" applyFont="1" applyFill="1" applyBorder="1" applyAlignment="1">
      <alignment horizontal="center" wrapText="1"/>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cellXfs>
  <cellStyles count="17">
    <cellStyle name="Comma 2" xfId="16"/>
    <cellStyle name="Migliaia (0)_AZIONI" xfId="4"/>
    <cellStyle name="Migliaia_AZIONI" xfId="5"/>
    <cellStyle name="Normal" xfId="0" builtinId="0"/>
    <cellStyle name="Normal 2" xfId="1"/>
    <cellStyle name="Normal 2 2" xfId="11"/>
    <cellStyle name="Normal 3" xfId="13"/>
    <cellStyle name="Normal_SwaptionATMVols" xfId="3"/>
    <cellStyle name="Normale_AZIONI" xfId="6"/>
    <cellStyle name="Percent" xfId="10" builtinId="5"/>
    <cellStyle name="Percent 2" xfId="2"/>
    <cellStyle name="Percent 2 2" xfId="12"/>
    <cellStyle name="Percent 2 2 2" xfId="15"/>
    <cellStyle name="Percent 2 2 3"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41946</c:v>
                </c:pt>
                <c:pt idx="1">
                  <c:v>41947</c:v>
                </c:pt>
                <c:pt idx="2">
                  <c:v>41948</c:v>
                </c:pt>
                <c:pt idx="3">
                  <c:v>41949</c:v>
                </c:pt>
                <c:pt idx="4">
                  <c:v>41950</c:v>
                </c:pt>
                <c:pt idx="5">
                  <c:v>41953</c:v>
                </c:pt>
                <c:pt idx="6">
                  <c:v>41954</c:v>
                </c:pt>
                <c:pt idx="7">
                  <c:v>41955</c:v>
                </c:pt>
                <c:pt idx="8">
                  <c:v>41956</c:v>
                </c:pt>
                <c:pt idx="9">
                  <c:v>41957</c:v>
                </c:pt>
                <c:pt idx="10">
                  <c:v>41960</c:v>
                </c:pt>
                <c:pt idx="11">
                  <c:v>41961</c:v>
                </c:pt>
                <c:pt idx="12">
                  <c:v>41962</c:v>
                </c:pt>
                <c:pt idx="13">
                  <c:v>41963</c:v>
                </c:pt>
                <c:pt idx="14">
                  <c:v>41964</c:v>
                </c:pt>
                <c:pt idx="15">
                  <c:v>41967</c:v>
                </c:pt>
                <c:pt idx="16">
                  <c:v>41968</c:v>
                </c:pt>
                <c:pt idx="17">
                  <c:v>41969</c:v>
                </c:pt>
                <c:pt idx="18">
                  <c:v>41970</c:v>
                </c:pt>
                <c:pt idx="19">
                  <c:v>41971</c:v>
                </c:pt>
                <c:pt idx="20">
                  <c:v>41974</c:v>
                </c:pt>
                <c:pt idx="21">
                  <c:v>41975</c:v>
                </c:pt>
                <c:pt idx="22">
                  <c:v>41976</c:v>
                </c:pt>
                <c:pt idx="23">
                  <c:v>41977</c:v>
                </c:pt>
                <c:pt idx="24">
                  <c:v>41978</c:v>
                </c:pt>
                <c:pt idx="25">
                  <c:v>41981</c:v>
                </c:pt>
                <c:pt idx="26">
                  <c:v>41982</c:v>
                </c:pt>
                <c:pt idx="27">
                  <c:v>41983</c:v>
                </c:pt>
                <c:pt idx="28">
                  <c:v>41984</c:v>
                </c:pt>
                <c:pt idx="29">
                  <c:v>41985</c:v>
                </c:pt>
                <c:pt idx="30">
                  <c:v>41988</c:v>
                </c:pt>
                <c:pt idx="31">
                  <c:v>41989</c:v>
                </c:pt>
                <c:pt idx="32">
                  <c:v>41990</c:v>
                </c:pt>
                <c:pt idx="33">
                  <c:v>41991</c:v>
                </c:pt>
                <c:pt idx="34">
                  <c:v>41992</c:v>
                </c:pt>
                <c:pt idx="35">
                  <c:v>41995</c:v>
                </c:pt>
                <c:pt idx="36">
                  <c:v>41996</c:v>
                </c:pt>
                <c:pt idx="37">
                  <c:v>41997</c:v>
                </c:pt>
                <c:pt idx="38">
                  <c:v>42002</c:v>
                </c:pt>
                <c:pt idx="39">
                  <c:v>42003</c:v>
                </c:pt>
                <c:pt idx="40">
                  <c:v>42004</c:v>
                </c:pt>
                <c:pt idx="41">
                  <c:v>42006</c:v>
                </c:pt>
                <c:pt idx="42">
                  <c:v>42009</c:v>
                </c:pt>
                <c:pt idx="43">
                  <c:v>42010</c:v>
                </c:pt>
                <c:pt idx="44">
                  <c:v>42011</c:v>
                </c:pt>
                <c:pt idx="45">
                  <c:v>42012</c:v>
                </c:pt>
                <c:pt idx="46">
                  <c:v>42013</c:v>
                </c:pt>
                <c:pt idx="47">
                  <c:v>42016</c:v>
                </c:pt>
                <c:pt idx="48">
                  <c:v>42017</c:v>
                </c:pt>
                <c:pt idx="49">
                  <c:v>42018</c:v>
                </c:pt>
                <c:pt idx="50">
                  <c:v>42019</c:v>
                </c:pt>
                <c:pt idx="51">
                  <c:v>42020</c:v>
                </c:pt>
                <c:pt idx="52">
                  <c:v>42023</c:v>
                </c:pt>
                <c:pt idx="53">
                  <c:v>42024</c:v>
                </c:pt>
                <c:pt idx="54">
                  <c:v>42025</c:v>
                </c:pt>
                <c:pt idx="55">
                  <c:v>42026</c:v>
                </c:pt>
                <c:pt idx="56">
                  <c:v>42027</c:v>
                </c:pt>
                <c:pt idx="57">
                  <c:v>42030</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42128</c:v>
                </c:pt>
                <c:pt idx="125">
                  <c:v>42129</c:v>
                </c:pt>
                <c:pt idx="126">
                  <c:v>42130</c:v>
                </c:pt>
                <c:pt idx="127">
                  <c:v>42131</c:v>
                </c:pt>
                <c:pt idx="128">
                  <c:v>42132</c:v>
                </c:pt>
                <c:pt idx="129">
                  <c:v>42135</c:v>
                </c:pt>
                <c:pt idx="130">
                  <c:v>42136</c:v>
                </c:pt>
                <c:pt idx="131">
                  <c:v>42137</c:v>
                </c:pt>
                <c:pt idx="132">
                  <c:v>42138</c:v>
                </c:pt>
                <c:pt idx="133">
                  <c:v>42139</c:v>
                </c:pt>
                <c:pt idx="134">
                  <c:v>42142</c:v>
                </c:pt>
                <c:pt idx="135">
                  <c:v>42143</c:v>
                </c:pt>
                <c:pt idx="136">
                  <c:v>42144</c:v>
                </c:pt>
                <c:pt idx="137">
                  <c:v>42145</c:v>
                </c:pt>
                <c:pt idx="138">
                  <c:v>42146</c:v>
                </c:pt>
                <c:pt idx="139">
                  <c:v>42149</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42247</c:v>
                </c:pt>
                <c:pt idx="210">
                  <c:v>42248</c:v>
                </c:pt>
                <c:pt idx="211">
                  <c:v>42249</c:v>
                </c:pt>
                <c:pt idx="212">
                  <c:v>42250</c:v>
                </c:pt>
                <c:pt idx="213">
                  <c:v>42251</c:v>
                </c:pt>
                <c:pt idx="214">
                  <c:v>42254</c:v>
                </c:pt>
                <c:pt idx="215">
                  <c:v>42255</c:v>
                </c:pt>
                <c:pt idx="216">
                  <c:v>42256</c:v>
                </c:pt>
                <c:pt idx="217">
                  <c:v>42257</c:v>
                </c:pt>
                <c:pt idx="218">
                  <c:v>42258</c:v>
                </c:pt>
                <c:pt idx="219">
                  <c:v>42261</c:v>
                </c:pt>
                <c:pt idx="220">
                  <c:v>42262</c:v>
                </c:pt>
                <c:pt idx="221">
                  <c:v>42263</c:v>
                </c:pt>
                <c:pt idx="222">
                  <c:v>42264</c:v>
                </c:pt>
                <c:pt idx="223">
                  <c:v>42265</c:v>
                </c:pt>
                <c:pt idx="224">
                  <c:v>42268</c:v>
                </c:pt>
                <c:pt idx="225">
                  <c:v>42269</c:v>
                </c:pt>
                <c:pt idx="226">
                  <c:v>42270</c:v>
                </c:pt>
                <c:pt idx="227">
                  <c:v>42271</c:v>
                </c:pt>
                <c:pt idx="228">
                  <c:v>42272</c:v>
                </c:pt>
                <c:pt idx="229">
                  <c:v>42275</c:v>
                </c:pt>
                <c:pt idx="230">
                  <c:v>42276</c:v>
                </c:pt>
                <c:pt idx="231">
                  <c:v>42277</c:v>
                </c:pt>
                <c:pt idx="232">
                  <c:v>42278</c:v>
                </c:pt>
                <c:pt idx="233">
                  <c:v>42279</c:v>
                </c:pt>
                <c:pt idx="234">
                  <c:v>42282</c:v>
                </c:pt>
                <c:pt idx="235">
                  <c:v>42283</c:v>
                </c:pt>
                <c:pt idx="236">
                  <c:v>42284</c:v>
                </c:pt>
                <c:pt idx="237">
                  <c:v>42285</c:v>
                </c:pt>
                <c:pt idx="238">
                  <c:v>42286</c:v>
                </c:pt>
                <c:pt idx="239">
                  <c:v>42289</c:v>
                </c:pt>
                <c:pt idx="240">
                  <c:v>42290</c:v>
                </c:pt>
                <c:pt idx="241">
                  <c:v>42291</c:v>
                </c:pt>
                <c:pt idx="242">
                  <c:v>42292</c:v>
                </c:pt>
                <c:pt idx="243">
                  <c:v>42293</c:v>
                </c:pt>
                <c:pt idx="244">
                  <c:v>42296</c:v>
                </c:pt>
                <c:pt idx="245">
                  <c:v>42297</c:v>
                </c:pt>
                <c:pt idx="246">
                  <c:v>42298</c:v>
                </c:pt>
                <c:pt idx="247">
                  <c:v>42299</c:v>
                </c:pt>
                <c:pt idx="248">
                  <c:v>42300</c:v>
                </c:pt>
                <c:pt idx="249">
                  <c:v>42303</c:v>
                </c:pt>
                <c:pt idx="250">
                  <c:v>42304</c:v>
                </c:pt>
                <c:pt idx="251">
                  <c:v>42305</c:v>
                </c:pt>
                <c:pt idx="252">
                  <c:v>42306</c:v>
                </c:pt>
                <c:pt idx="253">
                  <c:v>42307</c:v>
                </c:pt>
                <c:pt idx="254">
                  <c:v>42310</c:v>
                </c:pt>
                <c:pt idx="255">
                  <c:v>42311</c:v>
                </c:pt>
                <c:pt idx="256">
                  <c:v>42312</c:v>
                </c:pt>
                <c:pt idx="257">
                  <c:v>42313</c:v>
                </c:pt>
                <c:pt idx="258">
                  <c:v>42314</c:v>
                </c:pt>
                <c:pt idx="259">
                  <c:v>42317</c:v>
                </c:pt>
                <c:pt idx="260">
                  <c:v>42318</c:v>
                </c:pt>
                <c:pt idx="261">
                  <c:v>42319</c:v>
                </c:pt>
                <c:pt idx="262">
                  <c:v>42320</c:v>
                </c:pt>
                <c:pt idx="263">
                  <c:v>42321</c:v>
                </c:pt>
                <c:pt idx="264">
                  <c:v>42324</c:v>
                </c:pt>
                <c:pt idx="265">
                  <c:v>42325</c:v>
                </c:pt>
                <c:pt idx="266">
                  <c:v>42326</c:v>
                </c:pt>
                <c:pt idx="267">
                  <c:v>42327</c:v>
                </c:pt>
                <c:pt idx="268">
                  <c:v>42328</c:v>
                </c:pt>
                <c:pt idx="269">
                  <c:v>42331</c:v>
                </c:pt>
                <c:pt idx="270">
                  <c:v>42332</c:v>
                </c:pt>
                <c:pt idx="271">
                  <c:v>42333</c:v>
                </c:pt>
                <c:pt idx="272">
                  <c:v>42334</c:v>
                </c:pt>
                <c:pt idx="273">
                  <c:v>42335</c:v>
                </c:pt>
                <c:pt idx="274">
                  <c:v>42338</c:v>
                </c:pt>
                <c:pt idx="275">
                  <c:v>42339</c:v>
                </c:pt>
                <c:pt idx="276">
                  <c:v>42340</c:v>
                </c:pt>
                <c:pt idx="277">
                  <c:v>42341</c:v>
                </c:pt>
                <c:pt idx="278">
                  <c:v>42342</c:v>
                </c:pt>
                <c:pt idx="279">
                  <c:v>42345</c:v>
                </c:pt>
                <c:pt idx="280">
                  <c:v>42346</c:v>
                </c:pt>
                <c:pt idx="281">
                  <c:v>42347</c:v>
                </c:pt>
                <c:pt idx="282">
                  <c:v>42348</c:v>
                </c:pt>
                <c:pt idx="283">
                  <c:v>42349</c:v>
                </c:pt>
                <c:pt idx="284">
                  <c:v>42352</c:v>
                </c:pt>
                <c:pt idx="285">
                  <c:v>42353</c:v>
                </c:pt>
                <c:pt idx="286">
                  <c:v>42354</c:v>
                </c:pt>
                <c:pt idx="287">
                  <c:v>42355</c:v>
                </c:pt>
                <c:pt idx="288">
                  <c:v>42356</c:v>
                </c:pt>
                <c:pt idx="289">
                  <c:v>42359</c:v>
                </c:pt>
                <c:pt idx="290">
                  <c:v>42360</c:v>
                </c:pt>
                <c:pt idx="291">
                  <c:v>42361</c:v>
                </c:pt>
                <c:pt idx="292">
                  <c:v>42362</c:v>
                </c:pt>
                <c:pt idx="293">
                  <c:v>42366</c:v>
                </c:pt>
                <c:pt idx="294">
                  <c:v>42367</c:v>
                </c:pt>
                <c:pt idx="295">
                  <c:v>42368</c:v>
                </c:pt>
                <c:pt idx="296">
                  <c:v>42369</c:v>
                </c:pt>
                <c:pt idx="297">
                  <c:v>42373</c:v>
                </c:pt>
                <c:pt idx="298">
                  <c:v>42374</c:v>
                </c:pt>
                <c:pt idx="299">
                  <c:v>42375</c:v>
                </c:pt>
                <c:pt idx="300">
                  <c:v>42376</c:v>
                </c:pt>
                <c:pt idx="301">
                  <c:v>42377</c:v>
                </c:pt>
                <c:pt idx="302">
                  <c:v>42380</c:v>
                </c:pt>
                <c:pt idx="303">
                  <c:v>42381</c:v>
                </c:pt>
                <c:pt idx="304">
                  <c:v>42382</c:v>
                </c:pt>
                <c:pt idx="305">
                  <c:v>42383</c:v>
                </c:pt>
                <c:pt idx="306">
                  <c:v>42384</c:v>
                </c:pt>
                <c:pt idx="307">
                  <c:v>42387</c:v>
                </c:pt>
                <c:pt idx="308">
                  <c:v>42388</c:v>
                </c:pt>
                <c:pt idx="309">
                  <c:v>42389</c:v>
                </c:pt>
                <c:pt idx="310">
                  <c:v>42390</c:v>
                </c:pt>
                <c:pt idx="311">
                  <c:v>42391</c:v>
                </c:pt>
                <c:pt idx="312">
                  <c:v>42394</c:v>
                </c:pt>
                <c:pt idx="313">
                  <c:v>42395</c:v>
                </c:pt>
                <c:pt idx="314">
                  <c:v>42396</c:v>
                </c:pt>
                <c:pt idx="315">
                  <c:v>42397</c:v>
                </c:pt>
                <c:pt idx="316">
                  <c:v>42398</c:v>
                </c:pt>
                <c:pt idx="317">
                  <c:v>42401</c:v>
                </c:pt>
                <c:pt idx="318">
                  <c:v>42402</c:v>
                </c:pt>
                <c:pt idx="319">
                  <c:v>42403</c:v>
                </c:pt>
                <c:pt idx="320">
                  <c:v>42404</c:v>
                </c:pt>
                <c:pt idx="321">
                  <c:v>42405</c:v>
                </c:pt>
                <c:pt idx="322">
                  <c:v>42408</c:v>
                </c:pt>
                <c:pt idx="323">
                  <c:v>42409</c:v>
                </c:pt>
                <c:pt idx="324">
                  <c:v>42410</c:v>
                </c:pt>
                <c:pt idx="325">
                  <c:v>42411</c:v>
                </c:pt>
                <c:pt idx="326">
                  <c:v>42412</c:v>
                </c:pt>
                <c:pt idx="327">
                  <c:v>42415</c:v>
                </c:pt>
                <c:pt idx="328">
                  <c:v>42416</c:v>
                </c:pt>
                <c:pt idx="329">
                  <c:v>42417</c:v>
                </c:pt>
                <c:pt idx="330">
                  <c:v>42418</c:v>
                </c:pt>
                <c:pt idx="331">
                  <c:v>42419</c:v>
                </c:pt>
                <c:pt idx="332">
                  <c:v>42422</c:v>
                </c:pt>
                <c:pt idx="333">
                  <c:v>42423</c:v>
                </c:pt>
                <c:pt idx="334">
                  <c:v>42424</c:v>
                </c:pt>
                <c:pt idx="335">
                  <c:v>42425</c:v>
                </c:pt>
                <c:pt idx="336">
                  <c:v>42426</c:v>
                </c:pt>
                <c:pt idx="337">
                  <c:v>42429</c:v>
                </c:pt>
                <c:pt idx="338">
                  <c:v>42430</c:v>
                </c:pt>
                <c:pt idx="339">
                  <c:v>42431</c:v>
                </c:pt>
                <c:pt idx="340">
                  <c:v>42432</c:v>
                </c:pt>
                <c:pt idx="341">
                  <c:v>42433</c:v>
                </c:pt>
                <c:pt idx="342">
                  <c:v>42436</c:v>
                </c:pt>
                <c:pt idx="343">
                  <c:v>42437</c:v>
                </c:pt>
                <c:pt idx="344">
                  <c:v>42438</c:v>
                </c:pt>
                <c:pt idx="345">
                  <c:v>42439</c:v>
                </c:pt>
                <c:pt idx="346">
                  <c:v>42440</c:v>
                </c:pt>
                <c:pt idx="347">
                  <c:v>42443</c:v>
                </c:pt>
                <c:pt idx="348">
                  <c:v>42444</c:v>
                </c:pt>
                <c:pt idx="349">
                  <c:v>42445</c:v>
                </c:pt>
                <c:pt idx="350">
                  <c:v>42446</c:v>
                </c:pt>
                <c:pt idx="351">
                  <c:v>42447</c:v>
                </c:pt>
                <c:pt idx="352">
                  <c:v>42450</c:v>
                </c:pt>
                <c:pt idx="353">
                  <c:v>42451</c:v>
                </c:pt>
                <c:pt idx="354">
                  <c:v>42452</c:v>
                </c:pt>
                <c:pt idx="355">
                  <c:v>42453</c:v>
                </c:pt>
                <c:pt idx="356">
                  <c:v>42458</c:v>
                </c:pt>
                <c:pt idx="357">
                  <c:v>42459</c:v>
                </c:pt>
                <c:pt idx="358">
                  <c:v>42460</c:v>
                </c:pt>
                <c:pt idx="359">
                  <c:v>42461</c:v>
                </c:pt>
                <c:pt idx="360">
                  <c:v>42464</c:v>
                </c:pt>
                <c:pt idx="361">
                  <c:v>42465</c:v>
                </c:pt>
                <c:pt idx="362">
                  <c:v>42466</c:v>
                </c:pt>
                <c:pt idx="363">
                  <c:v>42467</c:v>
                </c:pt>
                <c:pt idx="364">
                  <c:v>42468</c:v>
                </c:pt>
                <c:pt idx="365">
                  <c:v>42471</c:v>
                </c:pt>
                <c:pt idx="366">
                  <c:v>42472</c:v>
                </c:pt>
                <c:pt idx="367">
                  <c:v>42473</c:v>
                </c:pt>
                <c:pt idx="368">
                  <c:v>42474</c:v>
                </c:pt>
                <c:pt idx="369">
                  <c:v>42475</c:v>
                </c:pt>
                <c:pt idx="370">
                  <c:v>42478</c:v>
                </c:pt>
                <c:pt idx="371">
                  <c:v>42479</c:v>
                </c:pt>
                <c:pt idx="372">
                  <c:v>42480</c:v>
                </c:pt>
                <c:pt idx="373">
                  <c:v>42481</c:v>
                </c:pt>
                <c:pt idx="374">
                  <c:v>42482</c:v>
                </c:pt>
                <c:pt idx="375">
                  <c:v>42485</c:v>
                </c:pt>
                <c:pt idx="376">
                  <c:v>42486</c:v>
                </c:pt>
                <c:pt idx="377">
                  <c:v>42487</c:v>
                </c:pt>
                <c:pt idx="378">
                  <c:v>42488</c:v>
                </c:pt>
                <c:pt idx="379">
                  <c:v>42489</c:v>
                </c:pt>
                <c:pt idx="380">
                  <c:v>42492</c:v>
                </c:pt>
                <c:pt idx="381">
                  <c:v>42493</c:v>
                </c:pt>
                <c:pt idx="382">
                  <c:v>42494</c:v>
                </c:pt>
                <c:pt idx="383">
                  <c:v>42495</c:v>
                </c:pt>
                <c:pt idx="384">
                  <c:v>42496</c:v>
                </c:pt>
                <c:pt idx="385">
                  <c:v>42499</c:v>
                </c:pt>
                <c:pt idx="386">
                  <c:v>42500</c:v>
                </c:pt>
                <c:pt idx="387">
                  <c:v>42501</c:v>
                </c:pt>
                <c:pt idx="388">
                  <c:v>42502</c:v>
                </c:pt>
                <c:pt idx="389">
                  <c:v>42503</c:v>
                </c:pt>
                <c:pt idx="390">
                  <c:v>42506</c:v>
                </c:pt>
                <c:pt idx="391">
                  <c:v>42507</c:v>
                </c:pt>
                <c:pt idx="392">
                  <c:v>42508</c:v>
                </c:pt>
                <c:pt idx="393">
                  <c:v>42509</c:v>
                </c:pt>
                <c:pt idx="394">
                  <c:v>42510</c:v>
                </c:pt>
                <c:pt idx="395">
                  <c:v>42513</c:v>
                </c:pt>
                <c:pt idx="396">
                  <c:v>42514</c:v>
                </c:pt>
                <c:pt idx="397">
                  <c:v>42515</c:v>
                </c:pt>
                <c:pt idx="398">
                  <c:v>42516</c:v>
                </c:pt>
                <c:pt idx="399">
                  <c:v>42517</c:v>
                </c:pt>
                <c:pt idx="400">
                  <c:v>42520</c:v>
                </c:pt>
                <c:pt idx="401">
                  <c:v>42521</c:v>
                </c:pt>
                <c:pt idx="402">
                  <c:v>42522</c:v>
                </c:pt>
                <c:pt idx="403">
                  <c:v>42523</c:v>
                </c:pt>
                <c:pt idx="404">
                  <c:v>42524</c:v>
                </c:pt>
                <c:pt idx="405">
                  <c:v>42527</c:v>
                </c:pt>
                <c:pt idx="406">
                  <c:v>42528</c:v>
                </c:pt>
                <c:pt idx="407">
                  <c:v>42529</c:v>
                </c:pt>
                <c:pt idx="408">
                  <c:v>42530</c:v>
                </c:pt>
                <c:pt idx="409">
                  <c:v>42531</c:v>
                </c:pt>
                <c:pt idx="410">
                  <c:v>42534</c:v>
                </c:pt>
                <c:pt idx="411">
                  <c:v>42535</c:v>
                </c:pt>
                <c:pt idx="412">
                  <c:v>42536</c:v>
                </c:pt>
                <c:pt idx="413">
                  <c:v>42537</c:v>
                </c:pt>
                <c:pt idx="414">
                  <c:v>42538</c:v>
                </c:pt>
                <c:pt idx="415">
                  <c:v>42541</c:v>
                </c:pt>
                <c:pt idx="416">
                  <c:v>42542</c:v>
                </c:pt>
                <c:pt idx="417">
                  <c:v>42543</c:v>
                </c:pt>
                <c:pt idx="418">
                  <c:v>42544</c:v>
                </c:pt>
                <c:pt idx="419">
                  <c:v>42545</c:v>
                </c:pt>
                <c:pt idx="420">
                  <c:v>42548</c:v>
                </c:pt>
                <c:pt idx="421">
                  <c:v>42549</c:v>
                </c:pt>
                <c:pt idx="422">
                  <c:v>42550</c:v>
                </c:pt>
                <c:pt idx="423">
                  <c:v>42551</c:v>
                </c:pt>
                <c:pt idx="424">
                  <c:v>42552</c:v>
                </c:pt>
                <c:pt idx="425">
                  <c:v>42555</c:v>
                </c:pt>
                <c:pt idx="426">
                  <c:v>42556</c:v>
                </c:pt>
                <c:pt idx="427">
                  <c:v>42557</c:v>
                </c:pt>
                <c:pt idx="428">
                  <c:v>42558</c:v>
                </c:pt>
                <c:pt idx="429">
                  <c:v>42559</c:v>
                </c:pt>
                <c:pt idx="430">
                  <c:v>42562</c:v>
                </c:pt>
                <c:pt idx="431">
                  <c:v>42563</c:v>
                </c:pt>
                <c:pt idx="432">
                  <c:v>42564</c:v>
                </c:pt>
                <c:pt idx="433">
                  <c:v>42565</c:v>
                </c:pt>
                <c:pt idx="434">
                  <c:v>42566</c:v>
                </c:pt>
                <c:pt idx="435">
                  <c:v>42569</c:v>
                </c:pt>
                <c:pt idx="436">
                  <c:v>42570</c:v>
                </c:pt>
                <c:pt idx="437">
                  <c:v>42571</c:v>
                </c:pt>
                <c:pt idx="438">
                  <c:v>42572</c:v>
                </c:pt>
                <c:pt idx="439">
                  <c:v>42573</c:v>
                </c:pt>
                <c:pt idx="440">
                  <c:v>42576</c:v>
                </c:pt>
                <c:pt idx="441">
                  <c:v>42577</c:v>
                </c:pt>
                <c:pt idx="442">
                  <c:v>42578</c:v>
                </c:pt>
                <c:pt idx="443">
                  <c:v>42579</c:v>
                </c:pt>
                <c:pt idx="444">
                  <c:v>42580</c:v>
                </c:pt>
                <c:pt idx="445">
                  <c:v>42583</c:v>
                </c:pt>
                <c:pt idx="446">
                  <c:v>42584</c:v>
                </c:pt>
                <c:pt idx="447">
                  <c:v>42585</c:v>
                </c:pt>
                <c:pt idx="448">
                  <c:v>42586</c:v>
                </c:pt>
                <c:pt idx="449">
                  <c:v>42587</c:v>
                </c:pt>
                <c:pt idx="450">
                  <c:v>42590</c:v>
                </c:pt>
                <c:pt idx="451">
                  <c:v>42591</c:v>
                </c:pt>
                <c:pt idx="452">
                  <c:v>42592</c:v>
                </c:pt>
                <c:pt idx="453">
                  <c:v>42593</c:v>
                </c:pt>
                <c:pt idx="454">
                  <c:v>42594</c:v>
                </c:pt>
                <c:pt idx="455">
                  <c:v>42597</c:v>
                </c:pt>
                <c:pt idx="456">
                  <c:v>42598</c:v>
                </c:pt>
                <c:pt idx="457">
                  <c:v>42599</c:v>
                </c:pt>
                <c:pt idx="458">
                  <c:v>42600</c:v>
                </c:pt>
                <c:pt idx="459">
                  <c:v>42601</c:v>
                </c:pt>
                <c:pt idx="460">
                  <c:v>42604</c:v>
                </c:pt>
                <c:pt idx="461">
                  <c:v>42605</c:v>
                </c:pt>
                <c:pt idx="462">
                  <c:v>42606</c:v>
                </c:pt>
                <c:pt idx="463">
                  <c:v>42607</c:v>
                </c:pt>
                <c:pt idx="464">
                  <c:v>42608</c:v>
                </c:pt>
                <c:pt idx="465">
                  <c:v>42611</c:v>
                </c:pt>
                <c:pt idx="466">
                  <c:v>42612</c:v>
                </c:pt>
                <c:pt idx="467">
                  <c:v>42613</c:v>
                </c:pt>
                <c:pt idx="468">
                  <c:v>42614</c:v>
                </c:pt>
                <c:pt idx="469">
                  <c:v>42615</c:v>
                </c:pt>
                <c:pt idx="470">
                  <c:v>42618</c:v>
                </c:pt>
                <c:pt idx="471">
                  <c:v>42619</c:v>
                </c:pt>
                <c:pt idx="472">
                  <c:v>42620</c:v>
                </c:pt>
                <c:pt idx="473">
                  <c:v>42621</c:v>
                </c:pt>
                <c:pt idx="474">
                  <c:v>42622</c:v>
                </c:pt>
                <c:pt idx="475">
                  <c:v>42625</c:v>
                </c:pt>
                <c:pt idx="476">
                  <c:v>42626</c:v>
                </c:pt>
                <c:pt idx="477">
                  <c:v>42627</c:v>
                </c:pt>
                <c:pt idx="478">
                  <c:v>42628</c:v>
                </c:pt>
                <c:pt idx="479">
                  <c:v>42629</c:v>
                </c:pt>
                <c:pt idx="480">
                  <c:v>42632</c:v>
                </c:pt>
                <c:pt idx="481">
                  <c:v>42633</c:v>
                </c:pt>
                <c:pt idx="482">
                  <c:v>42634</c:v>
                </c:pt>
                <c:pt idx="483">
                  <c:v>42635</c:v>
                </c:pt>
                <c:pt idx="484">
                  <c:v>42636</c:v>
                </c:pt>
                <c:pt idx="485">
                  <c:v>42639</c:v>
                </c:pt>
                <c:pt idx="486">
                  <c:v>42640</c:v>
                </c:pt>
                <c:pt idx="487">
                  <c:v>42641</c:v>
                </c:pt>
                <c:pt idx="488">
                  <c:v>42642</c:v>
                </c:pt>
                <c:pt idx="489">
                  <c:v>42643</c:v>
                </c:pt>
                <c:pt idx="490">
                  <c:v>42646</c:v>
                </c:pt>
                <c:pt idx="491">
                  <c:v>42647</c:v>
                </c:pt>
                <c:pt idx="492">
                  <c:v>42648</c:v>
                </c:pt>
                <c:pt idx="493">
                  <c:v>42649</c:v>
                </c:pt>
                <c:pt idx="494">
                  <c:v>42650</c:v>
                </c:pt>
                <c:pt idx="495">
                  <c:v>42653</c:v>
                </c:pt>
                <c:pt idx="496">
                  <c:v>42654</c:v>
                </c:pt>
                <c:pt idx="497">
                  <c:v>42655</c:v>
                </c:pt>
                <c:pt idx="498">
                  <c:v>42656</c:v>
                </c:pt>
                <c:pt idx="499">
                  <c:v>42657</c:v>
                </c:pt>
                <c:pt idx="500">
                  <c:v>42660</c:v>
                </c:pt>
                <c:pt idx="501">
                  <c:v>42661</c:v>
                </c:pt>
                <c:pt idx="502">
                  <c:v>42662</c:v>
                </c:pt>
                <c:pt idx="503">
                  <c:v>42663</c:v>
                </c:pt>
                <c:pt idx="504">
                  <c:v>42664</c:v>
                </c:pt>
                <c:pt idx="505">
                  <c:v>42667</c:v>
                </c:pt>
                <c:pt idx="506">
                  <c:v>42668</c:v>
                </c:pt>
                <c:pt idx="507">
                  <c:v>42669</c:v>
                </c:pt>
                <c:pt idx="508">
                  <c:v>42670</c:v>
                </c:pt>
                <c:pt idx="509">
                  <c:v>42671</c:v>
                </c:pt>
                <c:pt idx="510">
                  <c:v>42674</c:v>
                </c:pt>
                <c:pt idx="511">
                  <c:v>42675</c:v>
                </c:pt>
                <c:pt idx="512">
                  <c:v>42676</c:v>
                </c:pt>
                <c:pt idx="513">
                  <c:v>42677</c:v>
                </c:pt>
                <c:pt idx="514">
                  <c:v>42678</c:v>
                </c:pt>
                <c:pt idx="515">
                  <c:v>42681</c:v>
                </c:pt>
                <c:pt idx="516">
                  <c:v>42682</c:v>
                </c:pt>
                <c:pt idx="517">
                  <c:v>42683</c:v>
                </c:pt>
                <c:pt idx="518">
                  <c:v>42690</c:v>
                </c:pt>
                <c:pt idx="519">
                  <c:v>42697</c:v>
                </c:pt>
                <c:pt idx="520">
                  <c:v>42704</c:v>
                </c:pt>
                <c:pt idx="521">
                  <c:v>42711</c:v>
                </c:pt>
                <c:pt idx="522">
                  <c:v>42718</c:v>
                </c:pt>
                <c:pt idx="523">
                  <c:v>42725</c:v>
                </c:pt>
                <c:pt idx="524">
                  <c:v>42733</c:v>
                </c:pt>
                <c:pt idx="525">
                  <c:v>42740</c:v>
                </c:pt>
                <c:pt idx="526">
                  <c:v>42747</c:v>
                </c:pt>
                <c:pt idx="527">
                  <c:v>42754</c:v>
                </c:pt>
                <c:pt idx="528">
                  <c:v>42761</c:v>
                </c:pt>
                <c:pt idx="529">
                  <c:v>42768</c:v>
                </c:pt>
                <c:pt idx="530">
                  <c:v>42775</c:v>
                </c:pt>
                <c:pt idx="531">
                  <c:v>42782</c:v>
                </c:pt>
                <c:pt idx="532">
                  <c:v>42789</c:v>
                </c:pt>
                <c:pt idx="533">
                  <c:v>42796</c:v>
                </c:pt>
                <c:pt idx="534">
                  <c:v>42803</c:v>
                </c:pt>
                <c:pt idx="535">
                  <c:v>42810</c:v>
                </c:pt>
                <c:pt idx="536">
                  <c:v>42817</c:v>
                </c:pt>
                <c:pt idx="537">
                  <c:v>42824</c:v>
                </c:pt>
                <c:pt idx="538">
                  <c:v>42831</c:v>
                </c:pt>
                <c:pt idx="539">
                  <c:v>42838</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Monitor!$Y$19:$Y$3552</c:f>
              <c:numCache>
                <c:formatCode>0.0000%</c:formatCode>
                <c:ptCount val="3534"/>
                <c:pt idx="0">
                  <c:v>-2.3000000000681761E-4</c:v>
                </c:pt>
                <c:pt idx="1">
                  <c:v>-2.268955566982592E-4</c:v>
                </c:pt>
                <c:pt idx="2">
                  <c:v>-2.2120471563597967E-4</c:v>
                </c:pt>
                <c:pt idx="3">
                  <c:v>-2.1298440942523931E-4</c:v>
                </c:pt>
                <c:pt idx="4">
                  <c:v>-1.749075769350796E-4</c:v>
                </c:pt>
                <c:pt idx="5">
                  <c:v>-1.5594659016608916E-4</c:v>
                </c:pt>
                <c:pt idx="6">
                  <c:v>-1.3593237201174252E-4</c:v>
                </c:pt>
                <c:pt idx="7">
                  <c:v>-1.1372995865143223E-4</c:v>
                </c:pt>
                <c:pt idx="8">
                  <c:v>-8.9396186836792195E-5</c:v>
                </c:pt>
                <c:pt idx="9">
                  <c:v>-6.2990860453578939E-6</c:v>
                </c:pt>
                <c:pt idx="10">
                  <c:v>2.8116020239451313E-5</c:v>
                </c:pt>
                <c:pt idx="11">
                  <c:v>6.2254286828066416E-5</c:v>
                </c:pt>
                <c:pt idx="12">
                  <c:v>9.8183027374490592E-5</c:v>
                </c:pt>
                <c:pt idx="13">
                  <c:v>1.3584543990562614E-4</c:v>
                </c:pt>
                <c:pt idx="14">
                  <c:v>2.5509501162519305E-4</c:v>
                </c:pt>
                <c:pt idx="15">
                  <c:v>3.0269577239117203E-4</c:v>
                </c:pt>
                <c:pt idx="16">
                  <c:v>3.4817450391358992E-4</c:v>
                </c:pt>
                <c:pt idx="17">
                  <c:v>3.9504607574375537E-4</c:v>
                </c:pt>
                <c:pt idx="18">
                  <c:v>4.4325367087993495E-4</c:v>
                </c:pt>
                <c:pt idx="19">
                  <c:v>5.8989605283180742E-4</c:v>
                </c:pt>
                <c:pt idx="20">
                  <c:v>6.4830773433151518E-4</c:v>
                </c:pt>
                <c:pt idx="21">
                  <c:v>7.0234297075317848E-4</c:v>
                </c:pt>
                <c:pt idx="22">
                  <c:v>7.5737318651430887E-4</c:v>
                </c:pt>
                <c:pt idx="23">
                  <c:v>8.1334151101790776E-4</c:v>
                </c:pt>
                <c:pt idx="24">
                  <c:v>9.7871860138587876E-4</c:v>
                </c:pt>
                <c:pt idx="25">
                  <c:v>1.0454581185259386E-3</c:v>
                </c:pt>
                <c:pt idx="26">
                  <c:v>1.1052635548981094E-3</c:v>
                </c:pt>
                <c:pt idx="27">
                  <c:v>1.1656656460791277E-3</c:v>
                </c:pt>
                <c:pt idx="28">
                  <c:v>1.226607440553709E-3</c:v>
                </c:pt>
                <c:pt idx="29">
                  <c:v>1.40215784134868E-3</c:v>
                </c:pt>
                <c:pt idx="30">
                  <c:v>1.4746321553913636E-3</c:v>
                </c:pt>
                <c:pt idx="31">
                  <c:v>1.5374177242460216E-3</c:v>
                </c:pt>
                <c:pt idx="32">
                  <c:v>1.6004010022934777E-3</c:v>
                </c:pt>
                <c:pt idx="33">
                  <c:v>1.6635249410288531E-3</c:v>
                </c:pt>
                <c:pt idx="34">
                  <c:v>1.8407808056135479E-3</c:v>
                </c:pt>
                <c:pt idx="35">
                  <c:v>1.9162858237703976E-3</c:v>
                </c:pt>
                <c:pt idx="36">
                  <c:v>1.979256828946696E-3</c:v>
                </c:pt>
                <c:pt idx="37">
                  <c:v>2.0420258979587658E-3</c:v>
                </c:pt>
                <c:pt idx="38">
                  <c:v>2.3508414449981822E-3</c:v>
                </c:pt>
                <c:pt idx="39">
                  <c:v>2.4111982481833812E-3</c:v>
                </c:pt>
                <c:pt idx="40">
                  <c:v>2.4709527705384401E-3</c:v>
                </c:pt>
                <c:pt idx="41">
                  <c:v>2.6856795532778639E-3</c:v>
                </c:pt>
                <c:pt idx="42">
                  <c:v>2.7586871507139627E-3</c:v>
                </c:pt>
                <c:pt idx="43">
                  <c:v>2.813625412311796E-3</c:v>
                </c:pt>
                <c:pt idx="44">
                  <c:v>2.8675604288629199E-3</c:v>
                </c:pt>
                <c:pt idx="45">
                  <c:v>2.9204348774831417E-3</c:v>
                </c:pt>
                <c:pt idx="46">
                  <c:v>3.0529235424500878E-3</c:v>
                </c:pt>
                <c:pt idx="47">
                  <c:v>3.1201802359371519E-3</c:v>
                </c:pt>
                <c:pt idx="48">
                  <c:v>3.1668917118973863E-3</c:v>
                </c:pt>
                <c:pt idx="49">
                  <c:v>3.2121985183457364E-3</c:v>
                </c:pt>
                <c:pt idx="50">
                  <c:v>3.2560432842975271E-3</c:v>
                </c:pt>
                <c:pt idx="51">
                  <c:v>3.3572971076602479E-3</c:v>
                </c:pt>
                <c:pt idx="52">
                  <c:v>3.4156544081556718E-3</c:v>
                </c:pt>
                <c:pt idx="53">
                  <c:v>3.4513283041064779E-3</c:v>
                </c:pt>
                <c:pt idx="54">
                  <c:v>3.4851958848261953E-3</c:v>
                </c:pt>
                <c:pt idx="55">
                  <c:v>3.5171997718825175E-3</c:v>
                </c:pt>
                <c:pt idx="56">
                  <c:v>3.5792297615784615E-3</c:v>
                </c:pt>
                <c:pt idx="57">
                  <c:v>3.6254309402084083E-3</c:v>
                </c:pt>
                <c:pt idx="58">
                  <c:v>3.6472558236413989E-3</c:v>
                </c:pt>
                <c:pt idx="59">
                  <c:v>3.6668728435992203E-3</c:v>
                </c:pt>
                <c:pt idx="60">
                  <c:v>3.6842246662385563E-3</c:v>
                </c:pt>
                <c:pt idx="61">
                  <c:v>3.6956883925859082E-3</c:v>
                </c:pt>
                <c:pt idx="62">
                  <c:v>3.729833729655511E-3</c:v>
                </c:pt>
                <c:pt idx="63">
                  <c:v>3.7349999999996396E-3</c:v>
                </c:pt>
                <c:pt idx="64">
                  <c:v>3.7387810043193579E-3</c:v>
                </c:pt>
                <c:pt idx="65">
                  <c:v>3.7423833255089758E-3</c:v>
                </c:pt>
                <c:pt idx="66">
                  <c:v>3.7291398067815559E-3</c:v>
                </c:pt>
                <c:pt idx="67">
                  <c:v>3.7550661340848279E-3</c:v>
                </c:pt>
                <c:pt idx="68">
                  <c:v>3.7578203071000687E-3</c:v>
                </c:pt>
                <c:pt idx="69">
                  <c:v>3.7604139048572323E-3</c:v>
                </c:pt>
                <c:pt idx="70">
                  <c:v>3.7628499457517165E-3</c:v>
                </c:pt>
                <c:pt idx="71">
                  <c:v>3.7464069134422419E-3</c:v>
                </c:pt>
                <c:pt idx="72">
                  <c:v>3.7710789122234584E-3</c:v>
                </c:pt>
                <c:pt idx="73">
                  <c:v>3.7727724482815874E-3</c:v>
                </c:pt>
                <c:pt idx="74">
                  <c:v>3.7743265399115479E-3</c:v>
                </c:pt>
                <c:pt idx="75">
                  <c:v>3.7757442061536997E-3</c:v>
                </c:pt>
                <c:pt idx="76">
                  <c:v>3.7565741200850516E-3</c:v>
                </c:pt>
                <c:pt idx="77">
                  <c:v>3.7801110005738995E-3</c:v>
                </c:pt>
                <c:pt idx="78">
                  <c:v>3.7808918279481647E-3</c:v>
                </c:pt>
                <c:pt idx="79">
                  <c:v>3.7815543456009579E-3</c:v>
                </c:pt>
                <c:pt idx="80">
                  <c:v>3.7821015730108648E-3</c:v>
                </c:pt>
                <c:pt idx="81">
                  <c:v>3.7606713236023308E-3</c:v>
                </c:pt>
                <c:pt idx="82">
                  <c:v>3.7720206003560583E-3</c:v>
                </c:pt>
                <c:pt idx="83">
                  <c:v>3.7719566240679656E-3</c:v>
                </c:pt>
                <c:pt idx="84">
                  <c:v>3.7717986484229415E-3</c:v>
                </c:pt>
                <c:pt idx="85">
                  <c:v>3.7487099066837162E-3</c:v>
                </c:pt>
                <c:pt idx="86">
                  <c:v>3.7597285640630124E-3</c:v>
                </c:pt>
                <c:pt idx="87">
                  <c:v>3.7697041834433478E-3</c:v>
                </c:pt>
                <c:pt idx="88">
                  <c:v>3.7690454540728435E-3</c:v>
                </c:pt>
                <c:pt idx="89">
                  <c:v>3.7683138063011857E-3</c:v>
                </c:pt>
                <c:pt idx="90">
                  <c:v>3.7438841180854228E-3</c:v>
                </c:pt>
                <c:pt idx="91">
                  <c:v>3.7547759666015008E-3</c:v>
                </c:pt>
                <c:pt idx="92">
                  <c:v>3.7636671980941293E-3</c:v>
                </c:pt>
                <c:pt idx="93">
                  <c:v>3.7625612839487319E-3</c:v>
                </c:pt>
                <c:pt idx="94">
                  <c:v>3.7614035327517437E-3</c:v>
                </c:pt>
                <c:pt idx="95">
                  <c:v>3.7360816868732129E-3</c:v>
                </c:pt>
                <c:pt idx="96">
                  <c:v>3.7468436940826717E-3</c:v>
                </c:pt>
                <c:pt idx="97">
                  <c:v>3.7549426271637227E-3</c:v>
                </c:pt>
                <c:pt idx="98">
                  <c:v>3.753537097227787E-3</c:v>
                </c:pt>
                <c:pt idx="99">
                  <c:v>3.7037399069873851E-3</c:v>
                </c:pt>
                <c:pt idx="100">
                  <c:v>3.7142673902949741E-3</c:v>
                </c:pt>
                <c:pt idx="101">
                  <c:v>3.7248376536256878E-3</c:v>
                </c:pt>
                <c:pt idx="102">
                  <c:v>3.7445634456501247E-3</c:v>
                </c:pt>
                <c:pt idx="103">
                  <c:v>3.7430058656795499E-3</c:v>
                </c:pt>
                <c:pt idx="104">
                  <c:v>3.7414386101509147E-3</c:v>
                </c:pt>
                <c:pt idx="105">
                  <c:v>3.7156563258124468E-3</c:v>
                </c:pt>
                <c:pt idx="106">
                  <c:v>3.7320005281385963E-3</c:v>
                </c:pt>
                <c:pt idx="107">
                  <c:v>3.730449862239959E-3</c:v>
                </c:pt>
                <c:pt idx="108">
                  <c:v>3.7050880354357117E-3</c:v>
                </c:pt>
                <c:pt idx="109">
                  <c:v>3.7154703284310057E-3</c:v>
                </c:pt>
                <c:pt idx="110">
                  <c:v>3.7229729860985684E-3</c:v>
                </c:pt>
                <c:pt idx="111">
                  <c:v>3.7215539801425516E-3</c:v>
                </c:pt>
                <c:pt idx="112">
                  <c:v>3.7201674567358626E-3</c:v>
                </c:pt>
                <c:pt idx="113">
                  <c:v>3.6956523620971771E-3</c:v>
                </c:pt>
                <c:pt idx="114">
                  <c:v>3.705920685608224E-3</c:v>
                </c:pt>
                <c:pt idx="115">
                  <c:v>3.7138274683786048E-3</c:v>
                </c:pt>
                <c:pt idx="116">
                  <c:v>3.7126990743756695E-3</c:v>
                </c:pt>
                <c:pt idx="117">
                  <c:v>3.7116242408669156E-3</c:v>
                </c:pt>
                <c:pt idx="118">
                  <c:v>3.68837652580568E-3</c:v>
                </c:pt>
                <c:pt idx="119">
                  <c:v>3.6985418455622145E-3</c:v>
                </c:pt>
                <c:pt idx="120">
                  <c:v>3.7071588693135221E-3</c:v>
                </c:pt>
                <c:pt idx="121">
                  <c:v>3.7064686319162291E-3</c:v>
                </c:pt>
                <c:pt idx="122">
                  <c:v>3.705853032744154E-3</c:v>
                </c:pt>
                <c:pt idx="123">
                  <c:v>3.7160543126249861E-3</c:v>
                </c:pt>
                <c:pt idx="124">
                  <c:v>3.7040000000334913E-3</c:v>
                </c:pt>
                <c:pt idx="125">
                  <c:v>3.7038958112851519E-3</c:v>
                </c:pt>
                <c:pt idx="126">
                  <c:v>3.7038847475018202E-3</c:v>
                </c:pt>
                <c:pt idx="127">
                  <c:v>3.683951393526595E-3</c:v>
                </c:pt>
                <c:pt idx="128">
                  <c:v>3.6941248960437063E-3</c:v>
                </c:pt>
                <c:pt idx="129">
                  <c:v>3.7051592120711085E-3</c:v>
                </c:pt>
                <c:pt idx="130">
                  <c:v>3.7056666437961625E-3</c:v>
                </c:pt>
                <c:pt idx="131">
                  <c:v>3.7062537825862081E-3</c:v>
                </c:pt>
                <c:pt idx="132">
                  <c:v>3.68753151344603E-3</c:v>
                </c:pt>
                <c:pt idx="133">
                  <c:v>3.6979584451323415E-3</c:v>
                </c:pt>
                <c:pt idx="134">
                  <c:v>3.710317996012557E-3</c:v>
                </c:pt>
                <c:pt idx="135">
                  <c:v>3.7113431254502879E-3</c:v>
                </c:pt>
                <c:pt idx="136">
                  <c:v>3.7124345447979734E-3</c:v>
                </c:pt>
                <c:pt idx="137">
                  <c:v>3.6946951812621494E-3</c:v>
                </c:pt>
                <c:pt idx="138">
                  <c:v>3.7053488235124538E-3</c:v>
                </c:pt>
                <c:pt idx="139">
                  <c:v>3.7188189056215877E-3</c:v>
                </c:pt>
                <c:pt idx="140">
                  <c:v>3.7202678137171668E-3</c:v>
                </c:pt>
                <c:pt idx="141">
                  <c:v>3.7217695948273464E-3</c:v>
                </c:pt>
                <c:pt idx="142">
                  <c:v>3.7047885357749874E-3</c:v>
                </c:pt>
                <c:pt idx="143">
                  <c:v>3.7064314759578006E-3</c:v>
                </c:pt>
                <c:pt idx="144">
                  <c:v>3.7300045108450714E-3</c:v>
                </c:pt>
                <c:pt idx="145">
                  <c:v>3.7317832791161089E-3</c:v>
                </c:pt>
                <c:pt idx="146">
                  <c:v>3.7336015033683609E-3</c:v>
                </c:pt>
                <c:pt idx="147">
                  <c:v>3.7171577194585943E-3</c:v>
                </c:pt>
                <c:pt idx="148">
                  <c:v>3.7281775030967531E-3</c:v>
                </c:pt>
                <c:pt idx="149">
                  <c:v>3.7432173777479563E-3</c:v>
                </c:pt>
                <c:pt idx="150">
                  <c:v>3.7452320857745951E-3</c:v>
                </c:pt>
                <c:pt idx="151">
                  <c:v>3.7472728323032995E-3</c:v>
                </c:pt>
                <c:pt idx="152">
                  <c:v>3.7311488611270786E-3</c:v>
                </c:pt>
                <c:pt idx="153">
                  <c:v>3.7423045109667508E-3</c:v>
                </c:pt>
                <c:pt idx="154">
                  <c:v>3.7578000528241794E-3</c:v>
                </c:pt>
                <c:pt idx="155">
                  <c:v>3.7599567763649212E-3</c:v>
                </c:pt>
                <c:pt idx="156">
                  <c:v>3.7621261202659389E-3</c:v>
                </c:pt>
                <c:pt idx="157">
                  <c:v>3.7461080629586814E-3</c:v>
                </c:pt>
                <c:pt idx="158">
                  <c:v>3.757365731552872E-3</c:v>
                </c:pt>
                <c:pt idx="159">
                  <c:v>3.7730950516854963E-3</c:v>
                </c:pt>
                <c:pt idx="160">
                  <c:v>3.7752998614196259E-3</c:v>
                </c:pt>
                <c:pt idx="161">
                  <c:v>3.7775038725800895E-3</c:v>
                </c:pt>
                <c:pt idx="162">
                  <c:v>3.7613813918705007E-3</c:v>
                </c:pt>
                <c:pt idx="163">
                  <c:v>3.7727054477293973E-3</c:v>
                </c:pt>
                <c:pt idx="164">
                  <c:v>3.788444852130412E-3</c:v>
                </c:pt>
                <c:pt idx="165">
                  <c:v>3.7906038130235339E-3</c:v>
                </c:pt>
                <c:pt idx="166">
                  <c:v>3.7927485555784546E-3</c:v>
                </c:pt>
                <c:pt idx="167">
                  <c:v>3.7763148752501703E-3</c:v>
                </c:pt>
                <c:pt idx="168">
                  <c:v>3.7876679025530833E-3</c:v>
                </c:pt>
                <c:pt idx="169">
                  <c:v>3.8031918915868838E-3</c:v>
                </c:pt>
                <c:pt idx="170">
                  <c:v>3.8052110628858976E-3</c:v>
                </c:pt>
                <c:pt idx="171">
                  <c:v>3.8072025952994143E-3</c:v>
                </c:pt>
                <c:pt idx="172">
                  <c:v>3.7902545010414382E-3</c:v>
                </c:pt>
                <c:pt idx="173">
                  <c:v>3.8015972995900983E-3</c:v>
                </c:pt>
                <c:pt idx="174">
                  <c:v>3.8166785689401472E-3</c:v>
                </c:pt>
                <c:pt idx="175">
                  <c:v>3.8184640047884944E-3</c:v>
                </c:pt>
                <c:pt idx="176">
                  <c:v>3.8202083805636863E-3</c:v>
                </c:pt>
                <c:pt idx="177">
                  <c:v>3.8025462221847502E-3</c:v>
                </c:pt>
                <c:pt idx="178">
                  <c:v>3.813837807615256E-3</c:v>
                </c:pt>
                <c:pt idx="179">
                  <c:v>3.828247250734532E-3</c:v>
                </c:pt>
                <c:pt idx="180">
                  <c:v>3.8297050014186305E-3</c:v>
                </c:pt>
                <c:pt idx="181">
                  <c:v>3.8311082704276015E-3</c:v>
                </c:pt>
                <c:pt idx="182">
                  <c:v>3.8125359654145562E-3</c:v>
                </c:pt>
                <c:pt idx="183">
                  <c:v>3.8237335696737623E-3</c:v>
                </c:pt>
                <c:pt idx="184">
                  <c:v>3.8372402817582205E-3</c:v>
                </c:pt>
                <c:pt idx="185">
                  <c:v>3.8382763955748219E-3</c:v>
                </c:pt>
                <c:pt idx="186">
                  <c:v>3.8392446060199733E-3</c:v>
                </c:pt>
                <c:pt idx="187">
                  <c:v>3.8504430778777124E-3</c:v>
                </c:pt>
                <c:pt idx="188">
                  <c:v>3.8616781129577247E-3</c:v>
                </c:pt>
                <c:pt idx="189">
                  <c:v>3.8430000000063565E-3</c:v>
                </c:pt>
                <c:pt idx="190">
                  <c:v>3.8435547092331053E-3</c:v>
                </c:pt>
                <c:pt idx="191">
                  <c:v>3.8440987506976618E-3</c:v>
                </c:pt>
                <c:pt idx="192">
                  <c:v>3.8237641584585847E-3</c:v>
                </c:pt>
                <c:pt idx="193">
                  <c:v>3.8346993923903342E-3</c:v>
                </c:pt>
                <c:pt idx="194">
                  <c:v>3.8467120637047485E-3</c:v>
                </c:pt>
                <c:pt idx="195">
                  <c:v>3.8472239719145587E-3</c:v>
                </c:pt>
                <c:pt idx="196">
                  <c:v>3.8477358368326606E-3</c:v>
                </c:pt>
                <c:pt idx="197">
                  <c:v>3.8275224572333856E-3</c:v>
                </c:pt>
                <c:pt idx="198">
                  <c:v>3.8383810341726171E-3</c:v>
                </c:pt>
                <c:pt idx="199">
                  <c:v>3.8503476349675851E-3</c:v>
                </c:pt>
                <c:pt idx="200">
                  <c:v>3.8508911139323674E-3</c:v>
                </c:pt>
                <c:pt idx="201">
                  <c:v>3.8514451742351417E-3</c:v>
                </c:pt>
                <c:pt idx="202">
                  <c:v>3.8315781710208038E-3</c:v>
                </c:pt>
                <c:pt idx="203">
                  <c:v>3.8423590702584419E-3</c:v>
                </c:pt>
                <c:pt idx="204">
                  <c:v>3.8544273195955216E-3</c:v>
                </c:pt>
                <c:pt idx="205">
                  <c:v>3.8550767422510642E-3</c:v>
                </c:pt>
                <c:pt idx="206">
                  <c:v>3.8557473710608167E-3</c:v>
                </c:pt>
                <c:pt idx="207">
                  <c:v>3.8364490823329235E-3</c:v>
                </c:pt>
                <c:pt idx="208">
                  <c:v>3.8471526940406105E-3</c:v>
                </c:pt>
                <c:pt idx="209">
                  <c:v>3.8594717323981809E-3</c:v>
                </c:pt>
                <c:pt idx="210">
                  <c:v>3.8603014732067013E-3</c:v>
                </c:pt>
                <c:pt idx="211">
                  <c:v>3.8611630452560341E-3</c:v>
                </c:pt>
                <c:pt idx="212">
                  <c:v>3.8426529853972393E-3</c:v>
                </c:pt>
                <c:pt idx="213">
                  <c:v>3.8532811104608328E-3</c:v>
                </c:pt>
                <c:pt idx="214">
                  <c:v>3.8660015009085611E-3</c:v>
                </c:pt>
                <c:pt idx="215">
                  <c:v>3.8670859366124197E-3</c:v>
                </c:pt>
                <c:pt idx="216">
                  <c:v>3.8682128290545123E-3</c:v>
                </c:pt>
                <c:pt idx="217">
                  <c:v>3.8507076918201707E-3</c:v>
                </c:pt>
                <c:pt idx="218">
                  <c:v>3.8612635416793079E-3</c:v>
                </c:pt>
                <c:pt idx="219">
                  <c:v>3.8745372718406008E-3</c:v>
                </c:pt>
                <c:pt idx="220">
                  <c:v>3.8759507826100167E-3</c:v>
                </c:pt>
                <c:pt idx="221">
                  <c:v>3.8774173762211616E-3</c:v>
                </c:pt>
                <c:pt idx="222">
                  <c:v>3.8611310389790434E-3</c:v>
                </c:pt>
                <c:pt idx="223">
                  <c:v>3.8716192354802063E-3</c:v>
                </c:pt>
                <c:pt idx="224">
                  <c:v>3.8855997202940562E-3</c:v>
                </c:pt>
                <c:pt idx="225">
                  <c:v>3.8874166912657685E-3</c:v>
                </c:pt>
                <c:pt idx="226">
                  <c:v>3.8892973720403789E-3</c:v>
                </c:pt>
                <c:pt idx="227">
                  <c:v>3.8744409011464533E-3</c:v>
                </c:pt>
                <c:pt idx="228">
                  <c:v>3.8848674764163241E-3</c:v>
                </c:pt>
                <c:pt idx="229">
                  <c:v>3.899709561703196E-3</c:v>
                </c:pt>
                <c:pt idx="230">
                  <c:v>3.9020043849115954E-3</c:v>
                </c:pt>
                <c:pt idx="231">
                  <c:v>3.9043735460503421E-3</c:v>
                </c:pt>
                <c:pt idx="232">
                  <c:v>3.8911552033444007E-3</c:v>
                </c:pt>
                <c:pt idx="233">
                  <c:v>3.9015275996905148E-3</c:v>
                </c:pt>
                <c:pt idx="234">
                  <c:v>3.9173875665319303E-3</c:v>
                </c:pt>
                <c:pt idx="235">
                  <c:v>3.9202346432331021E-3</c:v>
                </c:pt>
                <c:pt idx="236">
                  <c:v>3.9231666875206832E-3</c:v>
                </c:pt>
                <c:pt idx="237">
                  <c:v>3.9117919379290681E-3</c:v>
                </c:pt>
                <c:pt idx="238">
                  <c:v>3.9221190077782494E-3</c:v>
                </c:pt>
                <c:pt idx="239">
                  <c:v>3.9391545777166907E-3</c:v>
                </c:pt>
                <c:pt idx="240">
                  <c:v>3.9426283211027461E-3</c:v>
                </c:pt>
                <c:pt idx="241">
                  <c:v>3.9461976636822795E-3</c:v>
                </c:pt>
                <c:pt idx="242">
                  <c:v>3.9368691839101484E-3</c:v>
                </c:pt>
                <c:pt idx="243">
                  <c:v>3.9471611897867352E-3</c:v>
                </c:pt>
                <c:pt idx="244">
                  <c:v>3.9655315308537754E-3</c:v>
                </c:pt>
                <c:pt idx="245">
                  <c:v>3.9697063691627125E-3</c:v>
                </c:pt>
                <c:pt idx="246">
                  <c:v>3.9739874406982366E-3</c:v>
                </c:pt>
                <c:pt idx="247">
                  <c:v>3.9669051290005964E-3</c:v>
                </c:pt>
                <c:pt idx="248">
                  <c:v>3.9771737435584367E-3</c:v>
                </c:pt>
                <c:pt idx="249">
                  <c:v>3.997039477137726E-3</c:v>
                </c:pt>
                <c:pt idx="250">
                  <c:v>4.0019898571546746E-3</c:v>
                </c:pt>
                <c:pt idx="251">
                  <c:v>4.0070571073896073E-3</c:v>
                </c:pt>
                <c:pt idx="252">
                  <c:v>4.0024180944037632E-3</c:v>
                </c:pt>
                <c:pt idx="253">
                  <c:v>4.0126764005128891E-3</c:v>
                </c:pt>
                <c:pt idx="254">
                  <c:v>4.0341996090498449E-3</c:v>
                </c:pt>
                <c:pt idx="255">
                  <c:v>4.0400000000010011E-3</c:v>
                </c:pt>
                <c:pt idx="256">
                  <c:v>4.0457576197981066E-3</c:v>
                </c:pt>
                <c:pt idx="257">
                  <c:v>4.0564173340893756E-3</c:v>
                </c:pt>
                <c:pt idx="258">
                  <c:v>4.060332278590869E-3</c:v>
                </c:pt>
                <c:pt idx="259">
                  <c:v>4.0714972048717275E-3</c:v>
                </c:pt>
                <c:pt idx="260">
                  <c:v>4.0760680138900007E-3</c:v>
                </c:pt>
                <c:pt idx="261">
                  <c:v>4.0804573194741329E-3</c:v>
                </c:pt>
                <c:pt idx="262">
                  <c:v>4.1187370436989073E-3</c:v>
                </c:pt>
                <c:pt idx="263">
                  <c:v>4.1067306099069759E-3</c:v>
                </c:pt>
                <c:pt idx="264">
                  <c:v>4.0998443037700985E-3</c:v>
                </c:pt>
                <c:pt idx="265">
                  <c:v>4.103242395766738E-3</c:v>
                </c:pt>
                <c:pt idx="266">
                  <c:v>4.106491588126932E-3</c:v>
                </c:pt>
                <c:pt idx="267">
                  <c:v>4.1675520189050734E-3</c:v>
                </c:pt>
                <c:pt idx="268">
                  <c:v>4.1423784849182995E-3</c:v>
                </c:pt>
                <c:pt idx="269">
                  <c:v>4.1206670988181053E-3</c:v>
                </c:pt>
                <c:pt idx="270">
                  <c:v>4.1231207210015676E-3</c:v>
                </c:pt>
                <c:pt idx="271">
                  <c:v>4.1254580537623481E-3</c:v>
                </c:pt>
                <c:pt idx="272">
                  <c:v>4.2044500371039555E-3</c:v>
                </c:pt>
                <c:pt idx="273">
                  <c:v>4.1688687829784903E-3</c:v>
                </c:pt>
                <c:pt idx="274">
                  <c:v>4.1355634437505381E-3</c:v>
                </c:pt>
                <c:pt idx="275">
                  <c:v>4.1373008815105399E-3</c:v>
                </c:pt>
                <c:pt idx="276">
                  <c:v>4.1389546443342728E-3</c:v>
                </c:pt>
                <c:pt idx="277">
                  <c:v>4.231019589314277E-3</c:v>
                </c:pt>
                <c:pt idx="278">
                  <c:v>4.1877948425133229E-3</c:v>
                </c:pt>
                <c:pt idx="279">
                  <c:v>4.1461314171631894E-3</c:v>
                </c:pt>
                <c:pt idx="280">
                  <c:v>4.1473809806377403E-3</c:v>
                </c:pt>
                <c:pt idx="281">
                  <c:v>4.1485794863160477E-3</c:v>
                </c:pt>
                <c:pt idx="282">
                  <c:v>4.2488497002687023E-3</c:v>
                </c:pt>
                <c:pt idx="283">
                  <c:v>4.2007503257586532E-3</c:v>
                </c:pt>
                <c:pt idx="284">
                  <c:v>4.1539692395505872E-3</c:v>
                </c:pt>
                <c:pt idx="285">
                  <c:v>4.1549592538840507E-3</c:v>
                </c:pt>
                <c:pt idx="286">
                  <c:v>4.1559308291248568E-3</c:v>
                </c:pt>
                <c:pt idx="287">
                  <c:v>4.2595297741785196E-3</c:v>
                </c:pt>
                <c:pt idx="288">
                  <c:v>4.2093291092678391E-3</c:v>
                </c:pt>
                <c:pt idx="289">
                  <c:v>4.1606752161993206E-3</c:v>
                </c:pt>
                <c:pt idx="290">
                  <c:v>4.1616340154947981E-3</c:v>
                </c:pt>
                <c:pt idx="291">
                  <c:v>4.1626069954034629E-3</c:v>
                </c:pt>
                <c:pt idx="292">
                  <c:v>4.3142782767546526E-3</c:v>
                </c:pt>
                <c:pt idx="293">
                  <c:v>4.1678477059417839E-3</c:v>
                </c:pt>
                <c:pt idx="294">
                  <c:v>4.1690036309095495E-3</c:v>
                </c:pt>
                <c:pt idx="295">
                  <c:v>4.1702063571632227E-3</c:v>
                </c:pt>
                <c:pt idx="296">
                  <c:v>4.1229649766059868E-3</c:v>
                </c:pt>
                <c:pt idx="297">
                  <c:v>4.1770851157731537E-3</c:v>
                </c:pt>
                <c:pt idx="298">
                  <c:v>4.1786665150720962E-3</c:v>
                </c:pt>
                <c:pt idx="299">
                  <c:v>4.1803273377903558E-3</c:v>
                </c:pt>
                <c:pt idx="300">
                  <c:v>4.2645669885778108E-3</c:v>
                </c:pt>
                <c:pt idx="301">
                  <c:v>4.2247456642336458E-3</c:v>
                </c:pt>
                <c:pt idx="302">
                  <c:v>4.1899859213324966E-3</c:v>
                </c:pt>
                <c:pt idx="303">
                  <c:v>4.1922211566084938E-3</c:v>
                </c:pt>
                <c:pt idx="304">
                  <c:v>4.1945684399193849E-3</c:v>
                </c:pt>
                <c:pt idx="305">
                  <c:v>4.2625445870721991E-3</c:v>
                </c:pt>
                <c:pt idx="306">
                  <c:v>4.2317583123361842E-3</c:v>
                </c:pt>
                <c:pt idx="307">
                  <c:v>4.208148713252576E-3</c:v>
                </c:pt>
                <c:pt idx="308">
                  <c:v>4.2112661678707433E-3</c:v>
                </c:pt>
                <c:pt idx="309">
                  <c:v>4.2145282991704744E-3</c:v>
                </c:pt>
                <c:pt idx="310">
                  <c:v>4.2613212628782983E-3</c:v>
                </c:pt>
                <c:pt idx="311">
                  <c:v>4.2423648309787418E-3</c:v>
                </c:pt>
                <c:pt idx="312">
                  <c:v>4.2331722693770592E-3</c:v>
                </c:pt>
                <c:pt idx="313">
                  <c:v>4.2374003608513702E-3</c:v>
                </c:pt>
                <c:pt idx="314">
                  <c:v>4.2418057637620349E-3</c:v>
                </c:pt>
                <c:pt idx="315">
                  <c:v>4.2624868978338127E-3</c:v>
                </c:pt>
                <c:pt idx="316">
                  <c:v>4.2629411392324382E-3</c:v>
                </c:pt>
                <c:pt idx="317">
                  <c:v>4.266655652855598E-3</c:v>
                </c:pt>
                <c:pt idx="318">
                  <c:v>4.2722228489747846E-3</c:v>
                </c:pt>
                <c:pt idx="319">
                  <c:v>4.2779999999996727E-3</c:v>
                </c:pt>
                <c:pt idx="320">
                  <c:v>4.2764508405466004E-3</c:v>
                </c:pt>
                <c:pt idx="321">
                  <c:v>4.2858484119620921E-3</c:v>
                </c:pt>
                <c:pt idx="322">
                  <c:v>4.3068664836841521E-3</c:v>
                </c:pt>
                <c:pt idx="323">
                  <c:v>4.3125059806822848E-3</c:v>
                </c:pt>
                <c:pt idx="324">
                  <c:v>4.3181003582244857E-3</c:v>
                </c:pt>
                <c:pt idx="325">
                  <c:v>4.3133697254981564E-3</c:v>
                </c:pt>
                <c:pt idx="326">
                  <c:v>4.3238937204471764E-3</c:v>
                </c:pt>
                <c:pt idx="327">
                  <c:v>4.3453876610642945E-3</c:v>
                </c:pt>
                <c:pt idx="328">
                  <c:v>4.3507066460719271E-3</c:v>
                </c:pt>
                <c:pt idx="329">
                  <c:v>4.3559789530380174E-3</c:v>
                </c:pt>
                <c:pt idx="330">
                  <c:v>4.3483297737501279E-3</c:v>
                </c:pt>
                <c:pt idx="331">
                  <c:v>4.3598327662734797E-3</c:v>
                </c:pt>
                <c:pt idx="332">
                  <c:v>4.3816325246221928E-3</c:v>
                </c:pt>
                <c:pt idx="333">
                  <c:v>4.3866200877947124E-3</c:v>
                </c:pt>
                <c:pt idx="334">
                  <c:v>4.3915594144313735E-3</c:v>
                </c:pt>
                <c:pt idx="335">
                  <c:v>4.3812550744103786E-3</c:v>
                </c:pt>
                <c:pt idx="336">
                  <c:v>4.3935894108334305E-3</c:v>
                </c:pt>
                <c:pt idx="337">
                  <c:v>4.4235886829286251E-3</c:v>
                </c:pt>
                <c:pt idx="338">
                  <c:v>4.4283824617576415E-3</c:v>
                </c:pt>
                <c:pt idx="339">
                  <c:v>4.4331236158551262E-3</c:v>
                </c:pt>
                <c:pt idx="340">
                  <c:v>4.4378119219428075E-3</c:v>
                </c:pt>
                <c:pt idx="341">
                  <c:v>4.4250875192888665E-3</c:v>
                </c:pt>
                <c:pt idx="342">
                  <c:v>4.45603220075991E-3</c:v>
                </c:pt>
                <c:pt idx="343">
                  <c:v>4.4604529177626733E-3</c:v>
                </c:pt>
                <c:pt idx="344">
                  <c:v>4.4648194471735986E-3</c:v>
                </c:pt>
                <c:pt idx="345">
                  <c:v>4.4691315657459495E-3</c:v>
                </c:pt>
                <c:pt idx="346">
                  <c:v>4.454250962284109E-3</c:v>
                </c:pt>
                <c:pt idx="347">
                  <c:v>4.4858314668898679E-3</c:v>
                </c:pt>
                <c:pt idx="348">
                  <c:v>4.4898681827461344E-3</c:v>
                </c:pt>
                <c:pt idx="349">
                  <c:v>4.4938491483926925E-3</c:v>
                </c:pt>
                <c:pt idx="350">
                  <c:v>4.4977741406204731E-3</c:v>
                </c:pt>
                <c:pt idx="351">
                  <c:v>4.4810036177174006E-3</c:v>
                </c:pt>
                <c:pt idx="352">
                  <c:v>4.5129099113773181E-3</c:v>
                </c:pt>
                <c:pt idx="353">
                  <c:v>4.5165516885900424E-3</c:v>
                </c:pt>
                <c:pt idx="354">
                  <c:v>4.520136153259891E-3</c:v>
                </c:pt>
                <c:pt idx="355">
                  <c:v>4.5236630822218151E-3</c:v>
                </c:pt>
                <c:pt idx="356">
                  <c:v>4.5404268811341259E-3</c:v>
                </c:pt>
                <c:pt idx="357">
                  <c:v>4.5436039097815194E-3</c:v>
                </c:pt>
                <c:pt idx="358">
                  <c:v>4.5467218407666968E-3</c:v>
                </c:pt>
                <c:pt idx="359">
                  <c:v>4.5269721248062892E-3</c:v>
                </c:pt>
                <c:pt idx="360">
                  <c:v>4.5585981260757476E-3</c:v>
                </c:pt>
                <c:pt idx="361">
                  <c:v>4.5614172223126361E-3</c:v>
                </c:pt>
                <c:pt idx="362">
                  <c:v>4.5641758823698466E-3</c:v>
                </c:pt>
                <c:pt idx="363">
                  <c:v>4.5668738831900826E-3</c:v>
                </c:pt>
                <c:pt idx="364">
                  <c:v>4.5460357852975817E-3</c:v>
                </c:pt>
                <c:pt idx="365">
                  <c:v>4.5770548332647433E-3</c:v>
                </c:pt>
                <c:pt idx="366">
                  <c:v>4.5794461923518229E-3</c:v>
                </c:pt>
                <c:pt idx="367">
                  <c:v>4.5817755540462574E-3</c:v>
                </c:pt>
                <c:pt idx="368">
                  <c:v>4.5366043748403893E-3</c:v>
                </c:pt>
                <c:pt idx="369">
                  <c:v>4.5505349956321932E-3</c:v>
                </c:pt>
                <c:pt idx="370">
                  <c:v>4.5924845972018548E-3</c:v>
                </c:pt>
                <c:pt idx="371">
                  <c:v>4.5944372920223792E-3</c:v>
                </c:pt>
                <c:pt idx="372">
                  <c:v>4.5963264287042062E-3</c:v>
                </c:pt>
                <c:pt idx="373">
                  <c:v>4.5981517843245055E-3</c:v>
                </c:pt>
                <c:pt idx="374">
                  <c:v>4.5759415512695353E-3</c:v>
                </c:pt>
                <c:pt idx="375">
                  <c:v>4.6048109381080782E-3</c:v>
                </c:pt>
                <c:pt idx="376">
                  <c:v>4.606314044955177E-3</c:v>
                </c:pt>
                <c:pt idx="377">
                  <c:v>4.6077520334321829E-3</c:v>
                </c:pt>
                <c:pt idx="378">
                  <c:v>4.6091246806935719E-3</c:v>
                </c:pt>
                <c:pt idx="379">
                  <c:v>4.6224661350604771E-3</c:v>
                </c:pt>
                <c:pt idx="380">
                  <c:v>4.6139574010921188E-3</c:v>
                </c:pt>
                <c:pt idx="381">
                  <c:v>4.6150000000108795E-3</c:v>
                </c:pt>
                <c:pt idx="382">
                  <c:v>4.6161918311997978E-3</c:v>
                </c:pt>
                <c:pt idx="383">
                  <c:v>4.6177695463534979E-3</c:v>
                </c:pt>
                <c:pt idx="384">
                  <c:v>4.5997505971644738E-3</c:v>
                </c:pt>
                <c:pt idx="385">
                  <c:v>4.628133983392302E-3</c:v>
                </c:pt>
                <c:pt idx="386">
                  <c:v>4.6317283409731888E-3</c:v>
                </c:pt>
                <c:pt idx="387">
                  <c:v>4.6357199411950489E-3</c:v>
                </c:pt>
                <c:pt idx="388">
                  <c:v>4.6401067565040865E-3</c:v>
                </c:pt>
                <c:pt idx="389">
                  <c:v>4.6309238035545496E-3</c:v>
                </c:pt>
                <c:pt idx="390">
                  <c:v>4.6615656327202134E-3</c:v>
                </c:pt>
                <c:pt idx="391">
                  <c:v>4.6678981252277849E-3</c:v>
                </c:pt>
                <c:pt idx="392">
                  <c:v>4.674613676428724E-3</c:v>
                </c:pt>
                <c:pt idx="393">
                  <c:v>4.6817102616705849E-3</c:v>
                </c:pt>
                <c:pt idx="394">
                  <c:v>4.6808476499797143E-3</c:v>
                </c:pt>
                <c:pt idx="395">
                  <c:v>4.7138664632442899E-3</c:v>
                </c:pt>
                <c:pt idx="396">
                  <c:v>4.7228378620387751E-3</c:v>
                </c:pt>
                <c:pt idx="397">
                  <c:v>4.7321781547314829E-3</c:v>
                </c:pt>
                <c:pt idx="398">
                  <c:v>4.7418853191880635E-3</c:v>
                </c:pt>
                <c:pt idx="399">
                  <c:v>4.7488315927784793E-3</c:v>
                </c:pt>
                <c:pt idx="400">
                  <c:v>4.7843422633463677E-3</c:v>
                </c:pt>
                <c:pt idx="401">
                  <c:v>4.7958534658797906E-3</c:v>
                </c:pt>
                <c:pt idx="402">
                  <c:v>4.8077194140293284E-3</c:v>
                </c:pt>
                <c:pt idx="403">
                  <c:v>4.8199380878101456E-3</c:v>
                </c:pt>
                <c:pt idx="404">
                  <c:v>4.8341859156793912E-3</c:v>
                </c:pt>
                <c:pt idx="405">
                  <c:v>4.8722996491338986E-3</c:v>
                </c:pt>
                <c:pt idx="406">
                  <c:v>4.8862516607791878E-3</c:v>
                </c:pt>
                <c:pt idx="407">
                  <c:v>4.9005442837332788E-3</c:v>
                </c:pt>
                <c:pt idx="408">
                  <c:v>4.9151754998071583E-3</c:v>
                </c:pt>
                <c:pt idx="409">
                  <c:v>4.9362216055065635E-3</c:v>
                </c:pt>
                <c:pt idx="410">
                  <c:v>4.9770459393621352E-3</c:v>
                </c:pt>
                <c:pt idx="411">
                  <c:v>4.9933398559474252E-3</c:v>
                </c:pt>
                <c:pt idx="412">
                  <c:v>5.0099602610719331E-3</c:v>
                </c:pt>
                <c:pt idx="413">
                  <c:v>5.0269051380017003E-3</c:v>
                </c:pt>
                <c:pt idx="414">
                  <c:v>5.0542502327854772E-3</c:v>
                </c:pt>
                <c:pt idx="415">
                  <c:v>5.0978890352843271E-3</c:v>
                </c:pt>
                <c:pt idx="416">
                  <c:v>5.1164260263298171E-3</c:v>
                </c:pt>
                <c:pt idx="417">
                  <c:v>5.1352753923452534E-3</c:v>
                </c:pt>
                <c:pt idx="418">
                  <c:v>5.1544351177254177E-3</c:v>
                </c:pt>
                <c:pt idx="419">
                  <c:v>5.1875838372349124E-3</c:v>
                </c:pt>
                <c:pt idx="420">
                  <c:v>5.2341373054097641E-3</c:v>
                </c:pt>
                <c:pt idx="421">
                  <c:v>5.2548185980651725E-3</c:v>
                </c:pt>
                <c:pt idx="422">
                  <c:v>5.2757981590829187E-3</c:v>
                </c:pt>
                <c:pt idx="423">
                  <c:v>5.2970739736759804E-3</c:v>
                </c:pt>
                <c:pt idx="424">
                  <c:v>5.3355348181236386E-3</c:v>
                </c:pt>
                <c:pt idx="425">
                  <c:v>5.3850994751565417E-3</c:v>
                </c:pt>
                <c:pt idx="426">
                  <c:v>5.4078263388345465E-3</c:v>
                </c:pt>
                <c:pt idx="427">
                  <c:v>5.4308373690914761E-3</c:v>
                </c:pt>
                <c:pt idx="428">
                  <c:v>5.454130551660441E-3</c:v>
                </c:pt>
                <c:pt idx="429">
                  <c:v>5.4974158294809963E-3</c:v>
                </c:pt>
                <c:pt idx="430">
                  <c:v>5.550084521379982E-3</c:v>
                </c:pt>
                <c:pt idx="431">
                  <c:v>5.5747582530871875E-3</c:v>
                </c:pt>
                <c:pt idx="432">
                  <c:v>5.5997020523745281E-3</c:v>
                </c:pt>
                <c:pt idx="433">
                  <c:v>5.6249139052125122E-3</c:v>
                </c:pt>
                <c:pt idx="434">
                  <c:v>5.6725396801482961E-3</c:v>
                </c:pt>
                <c:pt idx="435">
                  <c:v>5.7284015717677392E-3</c:v>
                </c:pt>
                <c:pt idx="436">
                  <c:v>5.7549234821290081E-3</c:v>
                </c:pt>
                <c:pt idx="437">
                  <c:v>5.7817013619165351E-3</c:v>
                </c:pt>
                <c:pt idx="438">
                  <c:v>5.8087331970695108E-3</c:v>
                </c:pt>
                <c:pt idx="439">
                  <c:v>5.8602192386594792E-3</c:v>
                </c:pt>
                <c:pt idx="440">
                  <c:v>5.9193598090923919E-3</c:v>
                </c:pt>
                <c:pt idx="441">
                  <c:v>5.9476312090678794E-3</c:v>
                </c:pt>
                <c:pt idx="442">
                  <c:v>5.9761444793203795E-3</c:v>
                </c:pt>
                <c:pt idx="443">
                  <c:v>6.004897605501533E-3</c:v>
                </c:pt>
                <c:pt idx="444">
                  <c:v>6.0597673429462623E-3</c:v>
                </c:pt>
                <c:pt idx="445">
                  <c:v>6.1222683803092495E-3</c:v>
                </c:pt>
                <c:pt idx="446">
                  <c:v>6.1521905686045854E-3</c:v>
                </c:pt>
                <c:pt idx="447">
                  <c:v>6.1823405252892762E-3</c:v>
                </c:pt>
                <c:pt idx="448">
                  <c:v>6.2126898516990806E-3</c:v>
                </c:pt>
                <c:pt idx="449">
                  <c:v>6.2703899284495815E-3</c:v>
                </c:pt>
                <c:pt idx="450">
                  <c:v>6.3357309675350776E-3</c:v>
                </c:pt>
                <c:pt idx="451">
                  <c:v>6.3668783953862544E-3</c:v>
                </c:pt>
                <c:pt idx="452">
                  <c:v>6.3981711595086678E-3</c:v>
                </c:pt>
                <c:pt idx="453">
                  <c:v>6.4296044973266697E-3</c:v>
                </c:pt>
                <c:pt idx="454">
                  <c:v>6.4892994067292471E-3</c:v>
                </c:pt>
                <c:pt idx="455">
                  <c:v>6.5566483148790456E-3</c:v>
                </c:pt>
                <c:pt idx="456">
                  <c:v>6.5887130632853001E-3</c:v>
                </c:pt>
                <c:pt idx="457">
                  <c:v>6.6208897982912738E-3</c:v>
                </c:pt>
                <c:pt idx="458">
                  <c:v>6.6531737533829897E-3</c:v>
                </c:pt>
                <c:pt idx="459">
                  <c:v>6.7142832100555759E-3</c:v>
                </c:pt>
                <c:pt idx="460">
                  <c:v>6.7832864237425275E-3</c:v>
                </c:pt>
                <c:pt idx="461">
                  <c:v>6.8160349608969266E-3</c:v>
                </c:pt>
                <c:pt idx="462">
                  <c:v>6.8488621065921533E-3</c:v>
                </c:pt>
                <c:pt idx="463">
                  <c:v>6.8817630901181325E-3</c:v>
                </c:pt>
                <c:pt idx="464">
                  <c:v>6.9437152318510024E-3</c:v>
                </c:pt>
                <c:pt idx="465">
                  <c:v>7.0140099667024584E-3</c:v>
                </c:pt>
                <c:pt idx="466">
                  <c:v>7.0472085570592339E-3</c:v>
                </c:pt>
                <c:pt idx="467">
                  <c:v>7.0804523479396624E-3</c:v>
                </c:pt>
                <c:pt idx="468">
                  <c:v>7.1137365642579917E-3</c:v>
                </c:pt>
                <c:pt idx="469">
                  <c:v>7.1759679285126401E-3</c:v>
                </c:pt>
                <c:pt idx="470">
                  <c:v>7.2471821599216042E-3</c:v>
                </c:pt>
                <c:pt idx="471">
                  <c:v>7.2805968548491111E-3</c:v>
                </c:pt>
                <c:pt idx="472">
                  <c:v>7.3140233113036029E-3</c:v>
                </c:pt>
                <c:pt idx="473">
                  <c:v>7.3474567497226907E-3</c:v>
                </c:pt>
                <c:pt idx="474">
                  <c:v>7.4094122594857217E-3</c:v>
                </c:pt>
                <c:pt idx="475">
                  <c:v>7.481164709275602E-3</c:v>
                </c:pt>
                <c:pt idx="476">
                  <c:v>7.5145613415621921E-3</c:v>
                </c:pt>
                <c:pt idx="477">
                  <c:v>7.5479362649302833E-3</c:v>
                </c:pt>
                <c:pt idx="478">
                  <c:v>7.5812846953185091E-3</c:v>
                </c:pt>
                <c:pt idx="479">
                  <c:v>7.6424176541733373E-3</c:v>
                </c:pt>
                <c:pt idx="480">
                  <c:v>7.7143177834738605E-3</c:v>
                </c:pt>
                <c:pt idx="481">
                  <c:v>7.7474619656952137E-3</c:v>
                </c:pt>
                <c:pt idx="482">
                  <c:v>7.7805509371854575E-3</c:v>
                </c:pt>
                <c:pt idx="483">
                  <c:v>7.8135799094411883E-3</c:v>
                </c:pt>
                <c:pt idx="484">
                  <c:v>7.8733520057306106E-3</c:v>
                </c:pt>
                <c:pt idx="485">
                  <c:v>7.9450000142229325E-3</c:v>
                </c:pt>
                <c:pt idx="486">
                  <c:v>7.9776571409741395E-3</c:v>
                </c:pt>
                <c:pt idx="487">
                  <c:v>8.0102255244496046E-3</c:v>
                </c:pt>
                <c:pt idx="488">
                  <c:v>8.0427003718401106E-3</c:v>
                </c:pt>
                <c:pt idx="489">
                  <c:v>8.0621995601258718E-3</c:v>
                </c:pt>
                <c:pt idx="490">
                  <c:v>8.1715685234700439E-3</c:v>
                </c:pt>
                <c:pt idx="491">
                  <c:v>8.2035037774722767E-3</c:v>
                </c:pt>
                <c:pt idx="492">
                  <c:v>8.2353167261110839E-3</c:v>
                </c:pt>
                <c:pt idx="493">
                  <c:v>8.2670025724858355E-3</c:v>
                </c:pt>
                <c:pt idx="494">
                  <c:v>8.3224716221260708E-3</c:v>
                </c:pt>
                <c:pt idx="495">
                  <c:v>8.3923789777786573E-3</c:v>
                </c:pt>
                <c:pt idx="496">
                  <c:v>8.423357339863078E-3</c:v>
                </c:pt>
                <c:pt idx="497">
                  <c:v>8.4541798066965993E-3</c:v>
                </c:pt>
                <c:pt idx="498">
                  <c:v>8.4848415775815172E-3</c:v>
                </c:pt>
                <c:pt idx="499">
                  <c:v>8.537385313412249E-3</c:v>
                </c:pt>
                <c:pt idx="500">
                  <c:v>8.6057856698698275E-3</c:v>
                </c:pt>
                <c:pt idx="501">
                  <c:v>8.6355719328468205E-3</c:v>
                </c:pt>
                <c:pt idx="502">
                  <c:v>8.6651686851843043E-3</c:v>
                </c:pt>
                <c:pt idx="503">
                  <c:v>8.6945711227617781E-3</c:v>
                </c:pt>
                <c:pt idx="504">
                  <c:v>8.7436849909230153E-3</c:v>
                </c:pt>
                <c:pt idx="505">
                  <c:v>8.8101416273729076E-3</c:v>
                </c:pt>
                <c:pt idx="506">
                  <c:v>8.8385004137919009E-3</c:v>
                </c:pt>
                <c:pt idx="507">
                  <c:v>8.8666360515361232E-3</c:v>
                </c:pt>
                <c:pt idx="508">
                  <c:v>8.8945437335153973E-3</c:v>
                </c:pt>
                <c:pt idx="509">
                  <c:v>8.9397317174034693E-3</c:v>
                </c:pt>
                <c:pt idx="510">
                  <c:v>9.0037987488188979E-3</c:v>
                </c:pt>
                <c:pt idx="511">
                  <c:v>9.0304945326203055E-3</c:v>
                </c:pt>
                <c:pt idx="512">
                  <c:v>9.0569335104770943E-3</c:v>
                </c:pt>
                <c:pt idx="513">
                  <c:v>9.0831108728615835E-3</c:v>
                </c:pt>
                <c:pt idx="514">
                  <c:v>9.1227632695657992E-3</c:v>
                </c:pt>
                <c:pt idx="515">
                  <c:v>9.1672606700706569E-3</c:v>
                </c:pt>
                <c:pt idx="516">
                  <c:v>9.1822605539754847E-3</c:v>
                </c:pt>
                <c:pt idx="517">
                  <c:v>9.1949519463092599E-3</c:v>
                </c:pt>
                <c:pt idx="518">
                  <c:v>9.2236333863664182E-3</c:v>
                </c:pt>
                <c:pt idx="519">
                  <c:v>9.1601163274679896E-3</c:v>
                </c:pt>
                <c:pt idx="520">
                  <c:v>9.0227277350395582E-3</c:v>
                </c:pt>
                <c:pt idx="521">
                  <c:v>8.8298039658601512E-3</c:v>
                </c:pt>
                <c:pt idx="522">
                  <c:v>8.5996788577365896E-3</c:v>
                </c:pt>
                <c:pt idx="523">
                  <c:v>8.3506751937542836E-3</c:v>
                </c:pt>
                <c:pt idx="524">
                  <c:v>8.066465792803219E-3</c:v>
                </c:pt>
                <c:pt idx="525">
                  <c:v>7.8386295920179535E-3</c:v>
                </c:pt>
                <c:pt idx="526">
                  <c:v>7.6493913057261859E-3</c:v>
                </c:pt>
                <c:pt idx="527">
                  <c:v>7.517010530421803E-3</c:v>
                </c:pt>
                <c:pt idx="528">
                  <c:v>7.4597451228193036E-3</c:v>
                </c:pt>
                <c:pt idx="529">
                  <c:v>7.4958633305938268E-3</c:v>
                </c:pt>
                <c:pt idx="530">
                  <c:v>7.6020070381800017E-3</c:v>
                </c:pt>
                <c:pt idx="531">
                  <c:v>7.7149518302124798E-3</c:v>
                </c:pt>
                <c:pt idx="532">
                  <c:v>7.8328501967754663E-3</c:v>
                </c:pt>
                <c:pt idx="533">
                  <c:v>7.9549464525648216E-3</c:v>
                </c:pt>
                <c:pt idx="534">
                  <c:v>8.0804846003637177E-3</c:v>
                </c:pt>
                <c:pt idx="535">
                  <c:v>8.2087083019697846E-3</c:v>
                </c:pt>
                <c:pt idx="536">
                  <c:v>8.3388608548728375E-3</c:v>
                </c:pt>
                <c:pt idx="537">
                  <c:v>8.4734033451655724E-3</c:v>
                </c:pt>
                <c:pt idx="538">
                  <c:v>8.6019237833520751E-3</c:v>
                </c:pt>
                <c:pt idx="539">
                  <c:v>8.7333188030815374E-3</c:v>
                </c:pt>
                <c:pt idx="540">
                  <c:v>8.8636119561057245E-3</c:v>
                </c:pt>
                <c:pt idx="541">
                  <c:v>8.9920445701730401E-3</c:v>
                </c:pt>
                <c:pt idx="542">
                  <c:v>9.1176406986679063E-3</c:v>
                </c:pt>
                <c:pt idx="543">
                  <c:v>9.2268516955112973E-3</c:v>
                </c:pt>
                <c:pt idx="544">
                  <c:v>9.3128890360888797E-3</c:v>
                </c:pt>
                <c:pt idx="545">
                  <c:v>9.3770223671765345E-3</c:v>
                </c:pt>
                <c:pt idx="546">
                  <c:v>9.4205231676543575E-3</c:v>
                </c:pt>
                <c:pt idx="547">
                  <c:v>9.4446644764669685E-3</c:v>
                </c:pt>
                <c:pt idx="548">
                  <c:v>9.4507206367067872E-3</c:v>
                </c:pt>
                <c:pt idx="549">
                  <c:v>9.4399670558796677E-3</c:v>
                </c:pt>
                <c:pt idx="550">
                  <c:v>9.4136799824036787E-3</c:v>
                </c:pt>
                <c:pt idx="551">
                  <c:v>9.3731362983811208E-3</c:v>
                </c:pt>
                <c:pt idx="552">
                  <c:v>9.3196133286798967E-3</c:v>
                </c:pt>
                <c:pt idx="553">
                  <c:v>9.2543886663507581E-3</c:v>
                </c:pt>
                <c:pt idx="554">
                  <c:v>9.1787400143994568E-3</c:v>
                </c:pt>
                <c:pt idx="555">
                  <c:v>9.0939450439328808E-3</c:v>
                </c:pt>
                <c:pt idx="556">
                  <c:v>9.0012812686828727E-3</c:v>
                </c:pt>
                <c:pt idx="557">
                  <c:v>8.9020259359140954E-3</c:v>
                </c:pt>
                <c:pt idx="558">
                  <c:v>8.7974559337203294E-3</c:v>
                </c:pt>
                <c:pt idx="559">
                  <c:v>8.6888477146971448E-3</c:v>
                </c:pt>
                <c:pt idx="560">
                  <c:v>8.5774772359946665E-3</c:v>
                </c:pt>
                <c:pt idx="561">
                  <c:v>8.4646199157320714E-3</c:v>
                </c:pt>
                <c:pt idx="562">
                  <c:v>8.3515506057702561E-3</c:v>
                </c:pt>
                <c:pt idx="563">
                  <c:v>8.2395435808263091E-3</c:v>
                </c:pt>
                <c:pt idx="564">
                  <c:v>8.1298725439196695E-3</c:v>
                </c:pt>
                <c:pt idx="565">
                  <c:v>8.0238106481342244E-3</c:v>
                </c:pt>
                <c:pt idx="566">
                  <c:v>7.9226305346884671E-3</c:v>
                </c:pt>
                <c:pt idx="567">
                  <c:v>7.8276043872970453E-3</c:v>
                </c:pt>
                <c:pt idx="568">
                  <c:v>7.7400040028202197E-3</c:v>
                </c:pt>
                <c:pt idx="569">
                  <c:v>7.6609604101732292E-3</c:v>
                </c:pt>
                <c:pt idx="570">
                  <c:v>7.590665311509621E-3</c:v>
                </c:pt>
                <c:pt idx="571">
                  <c:v>7.5289013721820215E-3</c:v>
                </c:pt>
                <c:pt idx="572">
                  <c:v>7.4754480432305129E-3</c:v>
                </c:pt>
                <c:pt idx="573">
                  <c:v>7.4300850350016183E-3</c:v>
                </c:pt>
                <c:pt idx="574">
                  <c:v>7.3925922990249332E-3</c:v>
                </c:pt>
                <c:pt idx="575">
                  <c:v>7.3627500103862408E-3</c:v>
                </c:pt>
                <c:pt idx="576">
                  <c:v>7.3455782230311883E-3</c:v>
                </c:pt>
                <c:pt idx="577">
                  <c:v>7.332177148436099E-3</c:v>
                </c:pt>
                <c:pt idx="578">
                  <c:v>7.3256854213375501E-3</c:v>
                </c:pt>
                <c:pt idx="579">
                  <c:v>7.3258851637249761E-3</c:v>
                </c:pt>
                <c:pt idx="580">
                  <c:v>7.3325586363335018E-3</c:v>
                </c:pt>
                <c:pt idx="581">
                  <c:v>7.3454882241391437E-3</c:v>
                </c:pt>
                <c:pt idx="582">
                  <c:v>7.3644564223399392E-3</c:v>
                </c:pt>
                <c:pt idx="583">
                  <c:v>7.3892458228188747E-3</c:v>
                </c:pt>
                <c:pt idx="584">
                  <c:v>7.4196391010881721E-3</c:v>
                </c:pt>
                <c:pt idx="585">
                  <c:v>7.4554190037149299E-3</c:v>
                </c:pt>
                <c:pt idx="586">
                  <c:v>7.4963683362281302E-3</c:v>
                </c:pt>
                <c:pt idx="587">
                  <c:v>7.5422699515048201E-3</c:v>
                </c:pt>
                <c:pt idx="588">
                  <c:v>7.5929067386346048E-3</c:v>
                </c:pt>
                <c:pt idx="589">
                  <c:v>7.6669993859060795E-3</c:v>
                </c:pt>
                <c:pt idx="590">
                  <c:v>7.7075175024219995E-3</c:v>
                </c:pt>
                <c:pt idx="591">
                  <c:v>7.7710573448153773E-3</c:v>
                </c:pt>
                <c:pt idx="592">
                  <c:v>7.8459190433525523E-3</c:v>
                </c:pt>
                <c:pt idx="593">
                  <c:v>7.9095206026964272E-3</c:v>
                </c:pt>
                <c:pt idx="594">
                  <c:v>7.9840098374014384E-3</c:v>
                </c:pt>
                <c:pt idx="595">
                  <c:v>8.0617146467213113E-3</c:v>
                </c:pt>
                <c:pt idx="596">
                  <c:v>8.1424178660000884E-3</c:v>
                </c:pt>
                <c:pt idx="597">
                  <c:v>8.2259022880965572E-3</c:v>
                </c:pt>
                <c:pt idx="598">
                  <c:v>8.3119506570277085E-3</c:v>
                </c:pt>
                <c:pt idx="599">
                  <c:v>8.4003456620900478E-3</c:v>
                </c:pt>
                <c:pt idx="600">
                  <c:v>8.4908699324568425E-3</c:v>
                </c:pt>
                <c:pt idx="601">
                  <c:v>8.5833060322543162E-3</c:v>
                </c:pt>
                <c:pt idx="602">
                  <c:v>8.6554269211338072E-3</c:v>
                </c:pt>
                <c:pt idx="603">
                  <c:v>8.7730436252146261E-3</c:v>
                </c:pt>
                <c:pt idx="604">
                  <c:v>8.8699098837703039E-3</c:v>
                </c:pt>
                <c:pt idx="605">
                  <c:v>8.9678174960413949E-3</c:v>
                </c:pt>
                <c:pt idx="606">
                  <c:v>9.0665486437927316E-3</c:v>
                </c:pt>
                <c:pt idx="607">
                  <c:v>9.1658854242398866E-3</c:v>
                </c:pt>
                <c:pt idx="608">
                  <c:v>9.265609848478332E-3</c:v>
                </c:pt>
                <c:pt idx="609">
                  <c:v>9.3655038403871998E-3</c:v>
                </c:pt>
                <c:pt idx="610">
                  <c:v>9.4653492360170233E-3</c:v>
                </c:pt>
                <c:pt idx="611">
                  <c:v>9.5461298384399585E-3</c:v>
                </c:pt>
                <c:pt idx="612">
                  <c:v>9.6640211431795794E-3</c:v>
                </c:pt>
                <c:pt idx="613">
                  <c:v>9.7624108888737723E-3</c:v>
                </c:pt>
                <c:pt idx="614">
                  <c:v>9.859878508751389E-3</c:v>
                </c:pt>
                <c:pt idx="615">
                  <c:v>9.9562054073413318E-3</c:v>
                </c:pt>
                <c:pt idx="616">
                  <c:v>1.0051172907762312E-2</c:v>
                </c:pt>
                <c:pt idx="617">
                  <c:v>1.0144562254480531E-2</c:v>
                </c:pt>
                <c:pt idx="618">
                  <c:v>1.0236154616548948E-2</c:v>
                </c:pt>
                <c:pt idx="619">
                  <c:v>1.0325731091329204E-2</c:v>
                </c:pt>
                <c:pt idx="620">
                  <c:v>1.0413072708696869E-2</c:v>
                </c:pt>
                <c:pt idx="621">
                  <c:v>1.0497978756292513E-2</c:v>
                </c:pt>
                <c:pt idx="622">
                  <c:v>1.0580408696261864E-2</c:v>
                </c:pt>
                <c:pt idx="623">
                  <c:v>1.0660428219567562E-2</c:v>
                </c:pt>
                <c:pt idx="624">
                  <c:v>1.0725846778893038E-2</c:v>
                </c:pt>
                <c:pt idx="625">
                  <c:v>1.0813510442022431E-2</c:v>
                </c:pt>
                <c:pt idx="626">
                  <c:v>1.088671044898337E-2</c:v>
                </c:pt>
                <c:pt idx="627">
                  <c:v>1.0957774651745524E-2</c:v>
                </c:pt>
                <c:pt idx="628">
                  <c:v>1.1048660690606157E-2</c:v>
                </c:pt>
                <c:pt idx="629">
                  <c:v>1.1115025392488905E-2</c:v>
                </c:pt>
                <c:pt idx="630">
                  <c:v>1.1179473934824784E-2</c:v>
                </c:pt>
                <c:pt idx="631">
                  <c:v>1.1242075537237363E-2</c:v>
                </c:pt>
                <c:pt idx="632">
                  <c:v>1.1302899447340966E-2</c:v>
                </c:pt>
                <c:pt idx="633">
                  <c:v>1.1362014939479227E-2</c:v>
                </c:pt>
                <c:pt idx="634">
                  <c:v>1.1419491313512902E-2</c:v>
                </c:pt>
                <c:pt idx="635">
                  <c:v>1.1475397893653672E-2</c:v>
                </c:pt>
                <c:pt idx="636">
                  <c:v>1.1529804027347901E-2</c:v>
                </c:pt>
                <c:pt idx="637">
                  <c:v>1.1585681925869947E-2</c:v>
                </c:pt>
                <c:pt idx="638">
                  <c:v>1.1637260464190551E-2</c:v>
                </c:pt>
                <c:pt idx="639">
                  <c:v>1.1687553153633288E-2</c:v>
                </c:pt>
                <c:pt idx="640">
                  <c:v>1.1736629237126707E-2</c:v>
                </c:pt>
                <c:pt idx="641">
                  <c:v>1.1784557975931363E-2</c:v>
                </c:pt>
                <c:pt idx="642">
                  <c:v>1.183140864881424E-2</c:v>
                </c:pt>
                <c:pt idx="643">
                  <c:v>1.1877250551274074E-2</c:v>
                </c:pt>
                <c:pt idx="644">
                  <c:v>1.1934819412060284E-2</c:v>
                </c:pt>
                <c:pt idx="645">
                  <c:v>1.1966185306265718E-2</c:v>
                </c:pt>
                <c:pt idx="646">
                  <c:v>1.2009416827151268E-2</c:v>
                </c:pt>
                <c:pt idx="647">
                  <c:v>1.2051916913108892E-2</c:v>
                </c:pt>
                <c:pt idx="648">
                  <c:v>1.2093754933354097E-2</c:v>
                </c:pt>
                <c:pt idx="649">
                  <c:v>1.2135000270196183E-2</c:v>
                </c:pt>
                <c:pt idx="650">
                  <c:v>1.2175722318599458E-2</c:v>
                </c:pt>
                <c:pt idx="651">
                  <c:v>1.2215990485794487E-2</c:v>
                </c:pt>
                <c:pt idx="652">
                  <c:v>1.2255874190938033E-2</c:v>
                </c:pt>
                <c:pt idx="653">
                  <c:v>1.2295442864819954E-2</c:v>
                </c:pt>
                <c:pt idx="654">
                  <c:v>1.2334765949619252E-2</c:v>
                </c:pt>
                <c:pt idx="655">
                  <c:v>1.2373912898709691E-2</c:v>
                </c:pt>
                <c:pt idx="656">
                  <c:v>1.2412953176511279E-2</c:v>
                </c:pt>
                <c:pt idx="657">
                  <c:v>1.2451956258392861E-2</c:v>
                </c:pt>
                <c:pt idx="658">
                  <c:v>1.2490991630620578E-2</c:v>
                </c:pt>
                <c:pt idx="659">
                  <c:v>1.2530128790357647E-2</c:v>
                </c:pt>
                <c:pt idx="660">
                  <c:v>1.2569437245710221E-2</c:v>
                </c:pt>
                <c:pt idx="661">
                  <c:v>1.2608986515823057E-2</c:v>
                </c:pt>
                <c:pt idx="662">
                  <c:v>1.2648846131022356E-2</c:v>
                </c:pt>
                <c:pt idx="663">
                  <c:v>1.2689085633009691E-2</c:v>
                </c:pt>
                <c:pt idx="664">
                  <c:v>1.2729774575101832E-2</c:v>
                </c:pt>
                <c:pt idx="665">
                  <c:v>1.2770982522519464E-2</c:v>
                </c:pt>
                <c:pt idx="666">
                  <c:v>1.2812779052727253E-2</c:v>
                </c:pt>
                <c:pt idx="667">
                  <c:v>1.2855233755817794E-2</c:v>
                </c:pt>
                <c:pt idx="668">
                  <c:v>1.2898416234948643E-2</c:v>
                </c:pt>
                <c:pt idx="669">
                  <c:v>1.2942396106825859E-2</c:v>
                </c:pt>
                <c:pt idx="670">
                  <c:v>1.2987243002235171E-2</c:v>
                </c:pt>
                <c:pt idx="671">
                  <c:v>1.303302656662402E-2</c:v>
                </c:pt>
                <c:pt idx="672">
                  <c:v>1.307981644751469E-2</c:v>
                </c:pt>
                <c:pt idx="673">
                  <c:v>1.3127664004856264E-2</c:v>
                </c:pt>
                <c:pt idx="674">
                  <c:v>1.3176556633225367E-2</c:v>
                </c:pt>
                <c:pt idx="675">
                  <c:v>1.3226467282464042E-2</c:v>
                </c:pt>
                <c:pt idx="676">
                  <c:v>1.3277368900141829E-2</c:v>
                </c:pt>
                <c:pt idx="677">
                  <c:v>1.3329234431281449E-2</c:v>
                </c:pt>
                <c:pt idx="678">
                  <c:v>1.3382036818093673E-2</c:v>
                </c:pt>
                <c:pt idx="679">
                  <c:v>1.3435748999718279E-2</c:v>
                </c:pt>
                <c:pt idx="680">
                  <c:v>1.3498213666547682E-2</c:v>
                </c:pt>
                <c:pt idx="681">
                  <c:v>1.355378426940777E-2</c:v>
                </c:pt>
                <c:pt idx="682">
                  <c:v>1.3610179595910241E-2</c:v>
                </c:pt>
                <c:pt idx="683">
                  <c:v>1.3667372569877075E-2</c:v>
                </c:pt>
                <c:pt idx="684">
                  <c:v>1.3725336110846247E-2</c:v>
                </c:pt>
                <c:pt idx="685">
                  <c:v>1.3784043133857253E-2</c:v>
                </c:pt>
                <c:pt idx="686">
                  <c:v>1.3843466549244498E-2</c:v>
                </c:pt>
                <c:pt idx="687">
                  <c:v>1.3903579262439864E-2</c:v>
                </c:pt>
                <c:pt idx="688">
                  <c:v>1.3964354173780513E-2</c:v>
                </c:pt>
                <c:pt idx="689">
                  <c:v>1.402064175414613E-2</c:v>
                </c:pt>
                <c:pt idx="690">
                  <c:v>1.4082637551431659E-2</c:v>
                </c:pt>
                <c:pt idx="691">
                  <c:v>1.4145216713329694E-2</c:v>
                </c:pt>
                <c:pt idx="692">
                  <c:v>1.4208352044776282E-2</c:v>
                </c:pt>
                <c:pt idx="693">
                  <c:v>1.4272016344773148E-2</c:v>
                </c:pt>
                <c:pt idx="694">
                  <c:v>1.4336182406242055E-2</c:v>
                </c:pt>
                <c:pt idx="695">
                  <c:v>1.4419375114399391E-2</c:v>
                </c:pt>
                <c:pt idx="696">
                  <c:v>1.4484585860272377E-2</c:v>
                </c:pt>
                <c:pt idx="697">
                  <c:v>1.4550208928425354E-2</c:v>
                </c:pt>
                <c:pt idx="698">
                  <c:v>1.461621708421945E-2</c:v>
                </c:pt>
                <c:pt idx="699">
                  <c:v>1.4682583086276412E-2</c:v>
                </c:pt>
                <c:pt idx="700">
                  <c:v>1.4749279686378096E-2</c:v>
                </c:pt>
                <c:pt idx="701">
                  <c:v>1.4816279629371407E-2</c:v>
                </c:pt>
                <c:pt idx="702">
                  <c:v>1.4883555653083115E-2</c:v>
                </c:pt>
                <c:pt idx="703">
                  <c:v>1.4951080488239475E-2</c:v>
                </c:pt>
                <c:pt idx="704">
                  <c:v>1.5018826858396152E-2</c:v>
                </c:pt>
                <c:pt idx="705">
                  <c:v>1.5086767479873392E-2</c:v>
                </c:pt>
                <c:pt idx="706">
                  <c:v>1.5154875061698865E-2</c:v>
                </c:pt>
                <c:pt idx="707">
                  <c:v>1.5223122305559259E-2</c:v>
                </c:pt>
                <c:pt idx="708">
                  <c:v>1.5291481905758244E-2</c:v>
                </c:pt>
                <c:pt idx="709">
                  <c:v>1.5359926549181637E-2</c:v>
                </c:pt>
                <c:pt idx="710">
                  <c:v>1.542842891527069E-2</c:v>
                </c:pt>
                <c:pt idx="711">
                  <c:v>1.5496961676003257E-2</c:v>
                </c:pt>
                <c:pt idx="712">
                  <c:v>1.5565497495881091E-2</c:v>
                </c:pt>
                <c:pt idx="713">
                  <c:v>1.5634009031925022E-2</c:v>
                </c:pt>
                <c:pt idx="714">
                  <c:v>1.5702468933678684E-2</c:v>
                </c:pt>
                <c:pt idx="715">
                  <c:v>1.5770849843218152E-2</c:v>
                </c:pt>
                <c:pt idx="716">
                  <c:v>1.5839124395170337E-2</c:v>
                </c:pt>
                <c:pt idx="717">
                  <c:v>1.5907265216737944E-2</c:v>
                </c:pt>
                <c:pt idx="718">
                  <c:v>1.5975244927732342E-2</c:v>
                </c:pt>
                <c:pt idx="719">
                  <c:v>1.6043036140613622E-2</c:v>
                </c:pt>
                <c:pt idx="720">
                  <c:v>1.6110611460538785E-2</c:v>
                </c:pt>
                <c:pt idx="721">
                  <c:v>1.6177943485416499E-2</c:v>
                </c:pt>
                <c:pt idx="722">
                  <c:v>1.6245004805970159E-2</c:v>
                </c:pt>
                <c:pt idx="723">
                  <c:v>1.631176800580798E-2</c:v>
                </c:pt>
                <c:pt idx="724">
                  <c:v>1.637820576729293E-2</c:v>
                </c:pt>
                <c:pt idx="725">
                  <c:v>1.6444299983674287E-2</c:v>
                </c:pt>
                <c:pt idx="726">
                  <c:v>1.6510048785123257E-2</c:v>
                </c:pt>
                <c:pt idx="727">
                  <c:v>1.6575451955032839E-2</c:v>
                </c:pt>
                <c:pt idx="728">
                  <c:v>1.6640509277114458E-2</c:v>
                </c:pt>
                <c:pt idx="729">
                  <c:v>1.6705220535399277E-2</c:v>
                </c:pt>
                <c:pt idx="730">
                  <c:v>1.6769585514237993E-2</c:v>
                </c:pt>
                <c:pt idx="731">
                  <c:v>1.6833603998301701E-2</c:v>
                </c:pt>
                <c:pt idx="732">
                  <c:v>1.6897275772583209E-2</c:v>
                </c:pt>
                <c:pt idx="733">
                  <c:v>1.6960600622396169E-2</c:v>
                </c:pt>
                <c:pt idx="734">
                  <c:v>1.7023578333377254E-2</c:v>
                </c:pt>
                <c:pt idx="735">
                  <c:v>1.7086208691486176E-2</c:v>
                </c:pt>
                <c:pt idx="736">
                  <c:v>1.7148491483005891E-2</c:v>
                </c:pt>
                <c:pt idx="737">
                  <c:v>1.7210426494543699E-2</c:v>
                </c:pt>
                <c:pt idx="738">
                  <c:v>1.7272013513032113E-2</c:v>
                </c:pt>
                <c:pt idx="739">
                  <c:v>1.7333252325728875E-2</c:v>
                </c:pt>
                <c:pt idx="740">
                  <c:v>1.7394142720217821E-2</c:v>
                </c:pt>
                <c:pt idx="741">
                  <c:v>1.7454684484410187E-2</c:v>
                </c:pt>
                <c:pt idx="742">
                  <c:v>1.7514877406543533E-2</c:v>
                </c:pt>
                <c:pt idx="743">
                  <c:v>1.7574721275184141E-2</c:v>
                </c:pt>
                <c:pt idx="744">
                  <c:v>1.7634215879227231E-2</c:v>
                </c:pt>
                <c:pt idx="745">
                  <c:v>1.769336100789631E-2</c:v>
                </c:pt>
                <c:pt idx="746">
                  <c:v>1.7752156450745581E-2</c:v>
                </c:pt>
                <c:pt idx="747">
                  <c:v>1.7828109256777667E-2</c:v>
                </c:pt>
                <c:pt idx="748">
                  <c:v>1.7868697438854112E-2</c:v>
                </c:pt>
                <c:pt idx="749">
                  <c:v>1.7926442564876337E-2</c:v>
                </c:pt>
                <c:pt idx="750">
                  <c:v>1.7983837166606016E-2</c:v>
                </c:pt>
                <c:pt idx="751">
                  <c:v>1.8040881035256289E-2</c:v>
                </c:pt>
                <c:pt idx="752">
                  <c:v>1.8097573962373634E-2</c:v>
                </c:pt>
                <c:pt idx="753">
                  <c:v>1.8153915739838721E-2</c:v>
                </c:pt>
                <c:pt idx="754">
                  <c:v>1.8209906159867291E-2</c:v>
                </c:pt>
                <c:pt idx="755">
                  <c:v>1.8265545015010164E-2</c:v>
                </c:pt>
                <c:pt idx="756">
                  <c:v>1.8320832098155427E-2</c:v>
                </c:pt>
                <c:pt idx="757">
                  <c:v>1.837576720252623E-2</c:v>
                </c:pt>
                <c:pt idx="758">
                  <c:v>1.8430350121684754E-2</c:v>
                </c:pt>
                <c:pt idx="759">
                  <c:v>1.8484580649530218E-2</c:v>
                </c:pt>
                <c:pt idx="760">
                  <c:v>1.8538458580300857E-2</c:v>
                </c:pt>
                <c:pt idx="761">
                  <c:v>1.8591983708573921E-2</c:v>
                </c:pt>
                <c:pt idx="762">
                  <c:v>1.8645155829266777E-2</c:v>
                </c:pt>
                <c:pt idx="763">
                  <c:v>1.8697974737636902E-2</c:v>
                </c:pt>
                <c:pt idx="764">
                  <c:v>1.8750440229283412E-2</c:v>
                </c:pt>
                <c:pt idx="765">
                  <c:v>1.880255210014686E-2</c:v>
                </c:pt>
                <c:pt idx="766">
                  <c:v>1.8854310146510084E-2</c:v>
                </c:pt>
                <c:pt idx="767">
                  <c:v>1.8905714164999116E-2</c:v>
                </c:pt>
                <c:pt idx="768">
                  <c:v>1.8956763952583593E-2</c:v>
                </c:pt>
                <c:pt idx="769">
                  <c:v>1.900745930657699E-2</c:v>
                </c:pt>
                <c:pt idx="770">
                  <c:v>1.9057800024637715E-2</c:v>
                </c:pt>
                <c:pt idx="771">
                  <c:v>1.910778590477041E-2</c:v>
                </c:pt>
                <c:pt idx="772">
                  <c:v>1.9157416745324656E-2</c:v>
                </c:pt>
                <c:pt idx="773">
                  <c:v>1.920669234499759E-2</c:v>
                </c:pt>
                <c:pt idx="774">
                  <c:v>1.9255612502833027E-2</c:v>
                </c:pt>
                <c:pt idx="775">
                  <c:v>1.9304177018223217E-2</c:v>
                </c:pt>
                <c:pt idx="776">
                  <c:v>1.9352385691545047E-2</c:v>
                </c:pt>
                <c:pt idx="777">
                  <c:v>1.9400238646686923E-2</c:v>
                </c:pt>
                <c:pt idx="778">
                  <c:v>1.9447736855973972E-2</c:v>
                </c:pt>
                <c:pt idx="779">
                  <c:v>1.9494881429720883E-2</c:v>
                </c:pt>
                <c:pt idx="780">
                  <c:v>1.9541673478834527E-2</c:v>
                </c:pt>
                <c:pt idx="781">
                  <c:v>1.9588114114808267E-2</c:v>
                </c:pt>
                <c:pt idx="782">
                  <c:v>1.9634204449719771E-2</c:v>
                </c:pt>
                <c:pt idx="783">
                  <c:v>1.967994559622574E-2</c:v>
                </c:pt>
                <c:pt idx="784">
                  <c:v>1.9725338667559517E-2</c:v>
                </c:pt>
                <c:pt idx="785">
                  <c:v>1.9770384777524505E-2</c:v>
                </c:pt>
                <c:pt idx="786">
                  <c:v>1.9815085040492866E-2</c:v>
                </c:pt>
                <c:pt idx="787">
                  <c:v>1.9859440571400464E-2</c:v>
                </c:pt>
                <c:pt idx="788">
                  <c:v>1.9903452485742948E-2</c:v>
                </c:pt>
                <c:pt idx="789">
                  <c:v>1.9947121899571998E-2</c:v>
                </c:pt>
                <c:pt idx="790">
                  <c:v>1.9990449929491633E-2</c:v>
                </c:pt>
                <c:pt idx="791">
                  <c:v>2.0033437692653373E-2</c:v>
                </c:pt>
                <c:pt idx="792">
                  <c:v>2.0076086306754063E-2</c:v>
                </c:pt>
                <c:pt idx="793">
                  <c:v>2.0118396890030817E-2</c:v>
                </c:pt>
                <c:pt idx="794">
                  <c:v>2.016037056125709E-2</c:v>
                </c:pt>
                <c:pt idx="795">
                  <c:v>2.0202008439739839E-2</c:v>
                </c:pt>
                <c:pt idx="796">
                  <c:v>2.0243311645314458E-2</c:v>
                </c:pt>
                <c:pt idx="797">
                  <c:v>2.0284281298342182E-2</c:v>
                </c:pt>
                <c:pt idx="798">
                  <c:v>2.033791474035444E-2</c:v>
                </c:pt>
                <c:pt idx="799">
                  <c:v>2.0365224430804914E-2</c:v>
                </c:pt>
                <c:pt idx="800">
                  <c:v>2.0405200153553845E-2</c:v>
                </c:pt>
                <c:pt idx="801">
                  <c:v>2.044484681037758E-2</c:v>
                </c:pt>
                <c:pt idx="802">
                  <c:v>2.0484165524206475E-2</c:v>
                </c:pt>
                <c:pt idx="803">
                  <c:v>2.0523157418474366E-2</c:v>
                </c:pt>
                <c:pt idx="804">
                  <c:v>2.0561823617113763E-2</c:v>
                </c:pt>
                <c:pt idx="805">
                  <c:v>2.0600165244552996E-2</c:v>
                </c:pt>
                <c:pt idx="806">
                  <c:v>2.0638183425710964E-2</c:v>
                </c:pt>
                <c:pt idx="807">
                  <c:v>2.0675879285996034E-2</c:v>
                </c:pt>
                <c:pt idx="808">
                  <c:v>2.0713253951299481E-2</c:v>
                </c:pt>
                <c:pt idx="809">
                  <c:v>2.075030854799394E-2</c:v>
                </c:pt>
                <c:pt idx="810">
                  <c:v>2.0787044202929043E-2</c:v>
                </c:pt>
                <c:pt idx="811">
                  <c:v>2.0823462043427457E-2</c:v>
                </c:pt>
                <c:pt idx="812">
                  <c:v>2.0859563197281623E-2</c:v>
                </c:pt>
                <c:pt idx="813">
                  <c:v>2.0895348792750446E-2</c:v>
                </c:pt>
                <c:pt idx="814">
                  <c:v>2.0930819958555159E-2</c:v>
                </c:pt>
                <c:pt idx="815">
                  <c:v>2.0965977823875791E-2</c:v>
                </c:pt>
                <c:pt idx="816">
                  <c:v>2.1000823518347693E-2</c:v>
                </c:pt>
                <c:pt idx="817">
                  <c:v>2.1035358172058666E-2</c:v>
                </c:pt>
                <c:pt idx="818">
                  <c:v>2.1069582915543939E-2</c:v>
                </c:pt>
                <c:pt idx="819">
                  <c:v>2.1103498879784192E-2</c:v>
                </c:pt>
                <c:pt idx="820">
                  <c:v>2.1137107196201169E-2</c:v>
                </c:pt>
                <c:pt idx="821">
                  <c:v>2.1170408996653758E-2</c:v>
                </c:pt>
                <c:pt idx="822">
                  <c:v>2.1203405413435773E-2</c:v>
                </c:pt>
                <c:pt idx="823">
                  <c:v>2.1236097579271602E-2</c:v>
                </c:pt>
                <c:pt idx="824">
                  <c:v>2.1268486627312674E-2</c:v>
                </c:pt>
                <c:pt idx="825">
                  <c:v>2.1300573691134417E-2</c:v>
                </c:pt>
                <c:pt idx="826">
                  <c:v>2.1332359904732083E-2</c:v>
                </c:pt>
                <c:pt idx="827">
                  <c:v>2.1363846402518566E-2</c:v>
                </c:pt>
                <c:pt idx="828">
                  <c:v>2.1395034319320019E-2</c:v>
                </c:pt>
                <c:pt idx="829">
                  <c:v>2.1425925359050597E-2</c:v>
                </c:pt>
                <c:pt idx="830">
                  <c:v>2.1456523500880613E-2</c:v>
                </c:pt>
                <c:pt idx="831">
                  <c:v>2.1486833293436966E-2</c:v>
                </c:pt>
                <c:pt idx="832">
                  <c:v>2.151685928614723E-2</c:v>
                </c:pt>
                <c:pt idx="833">
                  <c:v>2.1546606029226732E-2</c:v>
                </c:pt>
                <c:pt idx="834">
                  <c:v>2.1576078073665413E-2</c:v>
                </c:pt>
                <c:pt idx="835">
                  <c:v>2.1605279971215783E-2</c:v>
                </c:pt>
                <c:pt idx="836">
                  <c:v>2.1634216274380433E-2</c:v>
                </c:pt>
                <c:pt idx="837">
                  <c:v>2.1662891536399345E-2</c:v>
                </c:pt>
                <c:pt idx="838">
                  <c:v>2.1691310311238925E-2</c:v>
                </c:pt>
                <c:pt idx="839">
                  <c:v>2.1719477153579535E-2</c:v>
                </c:pt>
                <c:pt idx="840">
                  <c:v>2.1747396618804749E-2</c:v>
                </c:pt>
                <c:pt idx="841">
                  <c:v>2.1775073262988883E-2</c:v>
                </c:pt>
                <c:pt idx="842">
                  <c:v>2.1802511642886904E-2</c:v>
                </c:pt>
                <c:pt idx="843">
                  <c:v>2.1829716315923283E-2</c:v>
                </c:pt>
                <c:pt idx="844">
                  <c:v>2.1856691840180804E-2</c:v>
                </c:pt>
                <c:pt idx="845">
                  <c:v>2.1890684126036342E-2</c:v>
                </c:pt>
                <c:pt idx="846">
                  <c:v>2.191718472663029E-2</c:v>
                </c:pt>
                <c:pt idx="847">
                  <c:v>2.1943471094640392E-2</c:v>
                </c:pt>
                <c:pt idx="848">
                  <c:v>2.1969547754190983E-2</c:v>
                </c:pt>
                <c:pt idx="849">
                  <c:v>2.1985914969728938E-2</c:v>
                </c:pt>
                <c:pt idx="850">
                  <c:v>2.2021090047436818E-2</c:v>
                </c:pt>
                <c:pt idx="851">
                  <c:v>2.2046564732379856E-2</c:v>
                </c:pt>
                <c:pt idx="852">
                  <c:v>2.2071847811340511E-2</c:v>
                </c:pt>
                <c:pt idx="853">
                  <c:v>2.2096943811387715E-2</c:v>
                </c:pt>
                <c:pt idx="854">
                  <c:v>2.2121857260153224E-2</c:v>
                </c:pt>
                <c:pt idx="855">
                  <c:v>2.2146592685822464E-2</c:v>
                </c:pt>
                <c:pt idx="856">
                  <c:v>2.2171154617126529E-2</c:v>
                </c:pt>
                <c:pt idx="857">
                  <c:v>2.2195547583335196E-2</c:v>
                </c:pt>
                <c:pt idx="858">
                  <c:v>2.2219776114247837E-2</c:v>
                </c:pt>
                <c:pt idx="859">
                  <c:v>2.2243844740186428E-2</c:v>
                </c:pt>
                <c:pt idx="860">
                  <c:v>2.2267757991987987E-2</c:v>
                </c:pt>
                <c:pt idx="861">
                  <c:v>2.229152040099781E-2</c:v>
                </c:pt>
                <c:pt idx="862">
                  <c:v>2.2308266732024965E-2</c:v>
                </c:pt>
                <c:pt idx="863">
                  <c:v>2.2338610818524056E-2</c:v>
                </c:pt>
                <c:pt idx="864">
                  <c:v>2.2361947892209744E-2</c:v>
                </c:pt>
                <c:pt idx="865">
                  <c:v>2.2385152253430282E-2</c:v>
                </c:pt>
                <c:pt idx="866">
                  <c:v>2.2408228435971848E-2</c:v>
                </c:pt>
                <c:pt idx="867">
                  <c:v>2.2431180974088933E-2</c:v>
                </c:pt>
                <c:pt idx="868">
                  <c:v>2.2454014402501308E-2</c:v>
                </c:pt>
                <c:pt idx="869">
                  <c:v>2.2476733256385776E-2</c:v>
                </c:pt>
                <c:pt idx="870">
                  <c:v>2.2499342071372899E-2</c:v>
                </c:pt>
                <c:pt idx="871">
                  <c:v>2.2515084414661046E-2</c:v>
                </c:pt>
                <c:pt idx="872">
                  <c:v>2.2544247729410386E-2</c:v>
                </c:pt>
                <c:pt idx="873">
                  <c:v>2.2566553645941848E-2</c:v>
                </c:pt>
                <c:pt idx="874">
                  <c:v>2.2588767670527948E-2</c:v>
                </c:pt>
                <c:pt idx="875">
                  <c:v>2.2610894340991856E-2</c:v>
                </c:pt>
                <c:pt idx="876">
                  <c:v>2.2632938195582254E-2</c:v>
                </c:pt>
                <c:pt idx="877">
                  <c:v>2.2654903772969019E-2</c:v>
                </c:pt>
                <c:pt idx="878">
                  <c:v>2.267679561224039E-2</c:v>
                </c:pt>
                <c:pt idx="879">
                  <c:v>2.2698618252898619E-2</c:v>
                </c:pt>
                <c:pt idx="880">
                  <c:v>2.2720376234858015E-2</c:v>
                </c:pt>
                <c:pt idx="881">
                  <c:v>2.2742073295482043E-2</c:v>
                </c:pt>
                <c:pt idx="882">
                  <c:v>2.2763708924879011E-2</c:v>
                </c:pt>
                <c:pt idx="883">
                  <c:v>2.2785281165297565E-2</c:v>
                </c:pt>
                <c:pt idx="884">
                  <c:v>2.2800150180489424E-2</c:v>
                </c:pt>
                <c:pt idx="885">
                  <c:v>2.2828227638578016E-2</c:v>
                </c:pt>
                <c:pt idx="886">
                  <c:v>2.2849597950741582E-2</c:v>
                </c:pt>
                <c:pt idx="887">
                  <c:v>2.2870897032532679E-2</c:v>
                </c:pt>
                <c:pt idx="888">
                  <c:v>2.2895149104199881E-2</c:v>
                </c:pt>
                <c:pt idx="889">
                  <c:v>2.2914100381416867E-2</c:v>
                </c:pt>
                <c:pt idx="890">
                  <c:v>2.2935168190383673E-2</c:v>
                </c:pt>
                <c:pt idx="891">
                  <c:v>2.2956156875326091E-2</c:v>
                </c:pt>
                <c:pt idx="892">
                  <c:v>2.2977064469723221E-2</c:v>
                </c:pt>
                <c:pt idx="893">
                  <c:v>2.2997889006910847E-2</c:v>
                </c:pt>
                <c:pt idx="894">
                  <c:v>2.3018628520081005E-2</c:v>
                </c:pt>
                <c:pt idx="895">
                  <c:v>2.3039281042286537E-2</c:v>
                </c:pt>
                <c:pt idx="896">
                  <c:v>2.305984460644003E-2</c:v>
                </c:pt>
                <c:pt idx="897">
                  <c:v>2.3080317245316839E-2</c:v>
                </c:pt>
                <c:pt idx="898">
                  <c:v>2.310069699155707E-2</c:v>
                </c:pt>
                <c:pt idx="899">
                  <c:v>2.3120981877666431E-2</c:v>
                </c:pt>
                <c:pt idx="900">
                  <c:v>2.3141169936019085E-2</c:v>
                </c:pt>
                <c:pt idx="901">
                  <c:v>2.3168479867476877E-2</c:v>
                </c:pt>
                <c:pt idx="902">
                  <c:v>2.3181247698300711E-2</c:v>
                </c:pt>
                <c:pt idx="903">
                  <c:v>2.3201133466334591E-2</c:v>
                </c:pt>
                <c:pt idx="904">
                  <c:v>2.322300087732922E-2</c:v>
                </c:pt>
                <c:pt idx="905">
                  <c:v>2.32405889355159E-2</c:v>
                </c:pt>
                <c:pt idx="906">
                  <c:v>2.3264371839543597E-2</c:v>
                </c:pt>
                <c:pt idx="907">
                  <c:v>2.3283796228398899E-2</c:v>
                </c:pt>
                <c:pt idx="908">
                  <c:v>2.3303107482523466E-2</c:v>
                </c:pt>
                <c:pt idx="909">
                  <c:v>2.3322303622694374E-2</c:v>
                </c:pt>
                <c:pt idx="910">
                  <c:v>2.3341382669578546E-2</c:v>
                </c:pt>
                <c:pt idx="911">
                  <c:v>2.3360342643733833E-2</c:v>
                </c:pt>
                <c:pt idx="912">
                  <c:v>2.3379181565611442E-2</c:v>
                </c:pt>
                <c:pt idx="913">
                  <c:v>2.3397897455558325E-2</c:v>
                </c:pt>
                <c:pt idx="914">
                  <c:v>2.3416488333820037E-2</c:v>
                </c:pt>
                <c:pt idx="915">
                  <c:v>2.3434952220542715E-2</c:v>
                </c:pt>
                <c:pt idx="916">
                  <c:v>2.3453287135775026E-2</c:v>
                </c:pt>
                <c:pt idx="917">
                  <c:v>2.3471491099471695E-2</c:v>
                </c:pt>
                <c:pt idx="918">
                  <c:v>2.3489562131496118E-2</c:v>
                </c:pt>
                <c:pt idx="919">
                  <c:v>2.3507498251621465E-2</c:v>
                </c:pt>
                <c:pt idx="920">
                  <c:v>2.3525297479535055E-2</c:v>
                </c:pt>
                <c:pt idx="921">
                  <c:v>2.3542957834839451E-2</c:v>
                </c:pt>
                <c:pt idx="922">
                  <c:v>2.3560477337056844E-2</c:v>
                </c:pt>
                <c:pt idx="923">
                  <c:v>2.3577854005630148E-2</c:v>
                </c:pt>
                <c:pt idx="924">
                  <c:v>2.3595085859926937E-2</c:v>
                </c:pt>
                <c:pt idx="925">
                  <c:v>2.3612170919241858E-2</c:v>
                </c:pt>
                <c:pt idx="926">
                  <c:v>2.3629107202799472E-2</c:v>
                </c:pt>
                <c:pt idx="927">
                  <c:v>2.3645892729756243E-2</c:v>
                </c:pt>
                <c:pt idx="928">
                  <c:v>2.3662525519205987E-2</c:v>
                </c:pt>
                <c:pt idx="929">
                  <c:v>2.367900359018011E-2</c:v>
                </c:pt>
                <c:pt idx="930">
                  <c:v>2.3695324961651765E-2</c:v>
                </c:pt>
                <c:pt idx="931">
                  <c:v>2.3711487652539567E-2</c:v>
                </c:pt>
                <c:pt idx="932">
                  <c:v>2.3727489681708923E-2</c:v>
                </c:pt>
                <c:pt idx="933">
                  <c:v>2.3743329396900565E-2</c:v>
                </c:pt>
                <c:pt idx="934">
                  <c:v>2.3759006461541429E-2</c:v>
                </c:pt>
                <c:pt idx="935">
                  <c:v>2.3774520868050503E-2</c:v>
                </c:pt>
                <c:pt idx="936">
                  <c:v>2.3789872608925195E-2</c:v>
                </c:pt>
                <c:pt idx="937">
                  <c:v>2.3805061676741516E-2</c:v>
                </c:pt>
                <c:pt idx="938">
                  <c:v>2.3820088064153679E-2</c:v>
                </c:pt>
                <c:pt idx="939">
                  <c:v>2.3834951763894725E-2</c:v>
                </c:pt>
                <c:pt idx="940">
                  <c:v>2.3851739630702987E-2</c:v>
                </c:pt>
                <c:pt idx="941">
                  <c:v>2.3866254689901844E-2</c:v>
                </c:pt>
                <c:pt idx="942">
                  <c:v>2.3880607039102896E-2</c:v>
                </c:pt>
                <c:pt idx="943">
                  <c:v>2.3894796671364849E-2</c:v>
                </c:pt>
                <c:pt idx="944">
                  <c:v>2.3908823579825243E-2</c:v>
                </c:pt>
                <c:pt idx="945">
                  <c:v>2.3922687757699811E-2</c:v>
                </c:pt>
                <c:pt idx="946">
                  <c:v>2.3936389198283777E-2</c:v>
                </c:pt>
                <c:pt idx="947">
                  <c:v>2.394992789495011E-2</c:v>
                </c:pt>
                <c:pt idx="948">
                  <c:v>2.3963303841151067E-2</c:v>
                </c:pt>
                <c:pt idx="949">
                  <c:v>2.3976517030417081E-2</c:v>
                </c:pt>
                <c:pt idx="950">
                  <c:v>2.3989567456357646E-2</c:v>
                </c:pt>
                <c:pt idx="951">
                  <c:v>2.4002455112660883E-2</c:v>
                </c:pt>
                <c:pt idx="952">
                  <c:v>2.4015179993093091E-2</c:v>
                </c:pt>
                <c:pt idx="953">
                  <c:v>2.4027742091499847E-2</c:v>
                </c:pt>
                <c:pt idx="954">
                  <c:v>2.4040141401805142E-2</c:v>
                </c:pt>
                <c:pt idx="955">
                  <c:v>2.4052377918011798E-2</c:v>
                </c:pt>
                <c:pt idx="956">
                  <c:v>2.4067871364534907E-2</c:v>
                </c:pt>
                <c:pt idx="957">
                  <c:v>2.4084491009763068E-2</c:v>
                </c:pt>
                <c:pt idx="958">
                  <c:v>2.4091437337907518E-2</c:v>
                </c:pt>
                <c:pt idx="959">
                  <c:v>2.4102976099059124E-2</c:v>
                </c:pt>
                <c:pt idx="960">
                  <c:v>2.4114352035719086E-2</c:v>
                </c:pt>
                <c:pt idx="961">
                  <c:v>2.4125565142385175E-2</c:v>
                </c:pt>
                <c:pt idx="962">
                  <c:v>2.4136615413633787E-2</c:v>
                </c:pt>
                <c:pt idx="963">
                  <c:v>2.4147502844119494E-2</c:v>
                </c:pt>
                <c:pt idx="964">
                  <c:v>2.4158227428575943E-2</c:v>
                </c:pt>
                <c:pt idx="965">
                  <c:v>2.4168789161815602E-2</c:v>
                </c:pt>
                <c:pt idx="966">
                  <c:v>2.4179188038729576E-2</c:v>
                </c:pt>
                <c:pt idx="967">
                  <c:v>2.4189424054287371E-2</c:v>
                </c:pt>
                <c:pt idx="968">
                  <c:v>2.4199497203537763E-2</c:v>
                </c:pt>
                <c:pt idx="969">
                  <c:v>2.4209407481608162E-2</c:v>
                </c:pt>
                <c:pt idx="970">
                  <c:v>2.4219154883704373E-2</c:v>
                </c:pt>
                <c:pt idx="971">
                  <c:v>2.4228739405111704E-2</c:v>
                </c:pt>
                <c:pt idx="972">
                  <c:v>2.4238161041193203E-2</c:v>
                </c:pt>
                <c:pt idx="973">
                  <c:v>2.4247419787391422E-2</c:v>
                </c:pt>
                <c:pt idx="974">
                  <c:v>2.4256515639227753E-2</c:v>
                </c:pt>
                <c:pt idx="975">
                  <c:v>2.4265448592301769E-2</c:v>
                </c:pt>
                <c:pt idx="976">
                  <c:v>2.4274218642292324E-2</c:v>
                </c:pt>
                <c:pt idx="977">
                  <c:v>2.4282825784956451E-2</c:v>
                </c:pt>
                <c:pt idx="978">
                  <c:v>2.4291270016131135E-2</c:v>
                </c:pt>
                <c:pt idx="979">
                  <c:v>2.429955133173043E-2</c:v>
                </c:pt>
                <c:pt idx="980">
                  <c:v>2.4307669727749212E-2</c:v>
                </c:pt>
                <c:pt idx="981">
                  <c:v>2.4315625200259448E-2</c:v>
                </c:pt>
                <c:pt idx="982">
                  <c:v>2.43234177454126E-2</c:v>
                </c:pt>
                <c:pt idx="983">
                  <c:v>2.433104735943897E-2</c:v>
                </c:pt>
                <c:pt idx="984">
                  <c:v>2.433851407649228E-2</c:v>
                </c:pt>
                <c:pt idx="985">
                  <c:v>2.4345819181100518E-2</c:v>
                </c:pt>
                <c:pt idx="986">
                  <c:v>2.4352965464717109E-2</c:v>
                </c:pt>
                <c:pt idx="987">
                  <c:v>2.4359955808659156E-2</c:v>
                </c:pt>
                <c:pt idx="988">
                  <c:v>2.4366793094395971E-2</c:v>
                </c:pt>
                <c:pt idx="989">
                  <c:v>2.4373480203546443E-2</c:v>
                </c:pt>
                <c:pt idx="990">
                  <c:v>2.4380020017872466E-2</c:v>
                </c:pt>
                <c:pt idx="991">
                  <c:v>2.4390006205026817E-2</c:v>
                </c:pt>
                <c:pt idx="992">
                  <c:v>2.4395881291481979E-2</c:v>
                </c:pt>
                <c:pt idx="993">
                  <c:v>2.4398784511602923E-2</c:v>
                </c:pt>
                <c:pt idx="994">
                  <c:v>2.4404763966992708E-2</c:v>
                </c:pt>
                <c:pt idx="995">
                  <c:v>2.4410610538386959E-2</c:v>
                </c:pt>
                <c:pt idx="996">
                  <c:v>2.4416327108326787E-2</c:v>
                </c:pt>
                <c:pt idx="997">
                  <c:v>2.4421916559469813E-2</c:v>
                </c:pt>
                <c:pt idx="998">
                  <c:v>2.4427381774585564E-2</c:v>
                </c:pt>
                <c:pt idx="999">
                  <c:v>2.4432725636552851E-2</c:v>
                </c:pt>
                <c:pt idx="1000">
                  <c:v>2.4437951028356272E-2</c:v>
                </c:pt>
                <c:pt idx="1001">
                  <c:v>2.4443060833081589E-2</c:v>
                </c:pt>
                <c:pt idx="1002">
                  <c:v>2.4448057933913567E-2</c:v>
                </c:pt>
                <c:pt idx="1003">
                  <c:v>2.4452945214132663E-2</c:v>
                </c:pt>
                <c:pt idx="1004">
                  <c:v>2.4462092850828707E-2</c:v>
                </c:pt>
                <c:pt idx="1005">
                  <c:v>2.4462401846310922E-2</c:v>
                </c:pt>
                <c:pt idx="1006">
                  <c:v>2.446697696527975E-2</c:v>
                </c:pt>
                <c:pt idx="1007">
                  <c:v>2.4471453797648236E-2</c:v>
                </c:pt>
                <c:pt idx="1008">
                  <c:v>2.4475835227127849E-2</c:v>
                </c:pt>
                <c:pt idx="1009">
                  <c:v>2.448012413750757E-2</c:v>
                </c:pt>
                <c:pt idx="1010">
                  <c:v>2.4484323412651075E-2</c:v>
                </c:pt>
                <c:pt idx="1011">
                  <c:v>2.4488435936494517E-2</c:v>
                </c:pt>
                <c:pt idx="1012">
                  <c:v>2.4492464593043696E-2</c:v>
                </c:pt>
                <c:pt idx="1013">
                  <c:v>2.4496412266372093E-2</c:v>
                </c:pt>
                <c:pt idx="1014">
                  <c:v>2.450028184061756E-2</c:v>
                </c:pt>
                <c:pt idx="1015">
                  <c:v>2.4504076199981253E-2</c:v>
                </c:pt>
                <c:pt idx="1016">
                  <c:v>2.4507798228725206E-2</c:v>
                </c:pt>
                <c:pt idx="1017">
                  <c:v>2.4511450811168834E-2</c:v>
                </c:pt>
                <c:pt idx="1018">
                  <c:v>2.4515036831688486E-2</c:v>
                </c:pt>
                <c:pt idx="1019">
                  <c:v>2.4518559174715272E-2</c:v>
                </c:pt>
                <c:pt idx="1020">
                  <c:v>2.4522020724732856E-2</c:v>
                </c:pt>
                <c:pt idx="1021">
                  <c:v>2.4525424366275493E-2</c:v>
                </c:pt>
                <c:pt idx="1022">
                  <c:v>2.4528772983926497E-2</c:v>
                </c:pt>
                <c:pt idx="1023">
                  <c:v>2.4532069462316917E-2</c:v>
                </c:pt>
                <c:pt idx="1024">
                  <c:v>2.4535316686124242E-2</c:v>
                </c:pt>
                <c:pt idx="1025">
                  <c:v>2.4538517540069315E-2</c:v>
                </c:pt>
                <c:pt idx="1026">
                  <c:v>2.4541674908917881E-2</c:v>
                </c:pt>
                <c:pt idx="1027">
                  <c:v>2.4544791677475971E-2</c:v>
                </c:pt>
                <c:pt idx="1028">
                  <c:v>2.4547870730591021E-2</c:v>
                </c:pt>
                <c:pt idx="1029">
                  <c:v>2.4550914953150316E-2</c:v>
                </c:pt>
                <c:pt idx="1030">
                  <c:v>2.4553927230079688E-2</c:v>
                </c:pt>
                <c:pt idx="1031">
                  <c:v>2.4556910446341763E-2</c:v>
                </c:pt>
                <c:pt idx="1032">
                  <c:v>2.4559867486937271E-2</c:v>
                </c:pt>
                <c:pt idx="1033">
                  <c:v>2.4562801236901331E-2</c:v>
                </c:pt>
                <c:pt idx="1034">
                  <c:v>2.4565714581305628E-2</c:v>
                </c:pt>
                <c:pt idx="1035">
                  <c:v>2.4568610405255792E-2</c:v>
                </c:pt>
                <c:pt idx="1036">
                  <c:v>2.4571491582675617E-2</c:v>
                </c:pt>
                <c:pt idx="1037">
                  <c:v>2.457436001033474E-2</c:v>
                </c:pt>
                <c:pt idx="1038">
                  <c:v>2.4577215863373504E-2</c:v>
                </c:pt>
                <c:pt idx="1039">
                  <c:v>2.4580059141685914E-2</c:v>
                </c:pt>
                <c:pt idx="1040">
                  <c:v>2.4582889845165531E-2</c:v>
                </c:pt>
                <c:pt idx="1041">
                  <c:v>2.4585707973706357E-2</c:v>
                </c:pt>
                <c:pt idx="1042">
                  <c:v>2.4588513527203714E-2</c:v>
                </c:pt>
                <c:pt idx="1043">
                  <c:v>2.4591306505552694E-2</c:v>
                </c:pt>
                <c:pt idx="1044">
                  <c:v>2.4594086908649056E-2</c:v>
                </c:pt>
                <c:pt idx="1045">
                  <c:v>2.4596854736388771E-2</c:v>
                </c:pt>
                <c:pt idx="1046">
                  <c:v>2.4599609988668471E-2</c:v>
                </c:pt>
                <c:pt idx="1047">
                  <c:v>2.4602352665385661E-2</c:v>
                </c:pt>
                <c:pt idx="1048">
                  <c:v>2.4605082766437629E-2</c:v>
                </c:pt>
                <c:pt idx="1049">
                  <c:v>2.4607800291722538E-2</c:v>
                </c:pt>
                <c:pt idx="1050">
                  <c:v>2.4610505241139214E-2</c:v>
                </c:pt>
                <c:pt idx="1051">
                  <c:v>2.4613197614586031E-2</c:v>
                </c:pt>
                <c:pt idx="1052">
                  <c:v>2.4615877411962913E-2</c:v>
                </c:pt>
                <c:pt idx="1053">
                  <c:v>2.4621595845705613E-2</c:v>
                </c:pt>
                <c:pt idx="1054">
                  <c:v>2.4624248333128578E-2</c:v>
                </c:pt>
                <c:pt idx="1055">
                  <c:v>2.4626888241669913E-2</c:v>
                </c:pt>
                <c:pt idx="1056">
                  <c:v>2.4629515571230127E-2</c:v>
                </c:pt>
                <c:pt idx="1057">
                  <c:v>2.4632130321710174E-2</c:v>
                </c:pt>
                <c:pt idx="1058">
                  <c:v>2.4634732493011874E-2</c:v>
                </c:pt>
                <c:pt idx="1059">
                  <c:v>2.4638334780383766E-2</c:v>
                </c:pt>
                <c:pt idx="1060">
                  <c:v>2.4639899097689003E-2</c:v>
                </c:pt>
                <c:pt idx="1061">
                  <c:v>2.4639429648851789E-2</c:v>
                </c:pt>
                <c:pt idx="1062">
                  <c:v>2.4645015384483011E-2</c:v>
                </c:pt>
                <c:pt idx="1063">
                  <c:v>2.4647554658432817E-2</c:v>
                </c:pt>
                <c:pt idx="1064">
                  <c:v>2.4650081352623646E-2</c:v>
                </c:pt>
                <c:pt idx="1065">
                  <c:v>2.4652595466960362E-2</c:v>
                </c:pt>
                <c:pt idx="1066">
                  <c:v>2.4655097001348256E-2</c:v>
                </c:pt>
                <c:pt idx="1067">
                  <c:v>2.4657585955693055E-2</c:v>
                </c:pt>
                <c:pt idx="1068">
                  <c:v>2.4660062329901575E-2</c:v>
                </c:pt>
                <c:pt idx="1069">
                  <c:v>2.4662526123879976E-2</c:v>
                </c:pt>
                <c:pt idx="1070">
                  <c:v>2.4664977337535726E-2</c:v>
                </c:pt>
                <c:pt idx="1071">
                  <c:v>2.4667415970776936E-2</c:v>
                </c:pt>
                <c:pt idx="1072">
                  <c:v>2.4669842023511076E-2</c:v>
                </c:pt>
                <c:pt idx="1073">
                  <c:v>2.467225549564735E-2</c:v>
                </c:pt>
                <c:pt idx="1074">
                  <c:v>2.4674656387094956E-2</c:v>
                </c:pt>
                <c:pt idx="1075">
                  <c:v>2.4677044697763103E-2</c:v>
                </c:pt>
                <c:pt idx="1076">
                  <c:v>2.4679420427562077E-2</c:v>
                </c:pt>
                <c:pt idx="1077">
                  <c:v>2.468178357640282E-2</c:v>
                </c:pt>
                <c:pt idx="1078">
                  <c:v>2.4684134144195836E-2</c:v>
                </c:pt>
                <c:pt idx="1079">
                  <c:v>2.4686472130852937E-2</c:v>
                </c:pt>
                <c:pt idx="1080">
                  <c:v>2.4688797536286149E-2</c:v>
                </c:pt>
                <c:pt idx="1081">
                  <c:v>2.4691110360407716E-2</c:v>
                </c:pt>
                <c:pt idx="1082">
                  <c:v>2.4693410603130319E-2</c:v>
                </c:pt>
                <c:pt idx="1083">
                  <c:v>2.4692712873258055E-2</c:v>
                </c:pt>
                <c:pt idx="1084">
                  <c:v>2.4697973344034549E-2</c:v>
                </c:pt>
                <c:pt idx="1085">
                  <c:v>2.4700235842043929E-2</c:v>
                </c:pt>
                <c:pt idx="1086">
                  <c:v>2.4702485758311351E-2</c:v>
                </c:pt>
                <c:pt idx="1087">
                  <c:v>2.4704723092751891E-2</c:v>
                </c:pt>
                <c:pt idx="1088">
                  <c:v>2.4706947845281265E-2</c:v>
                </c:pt>
                <c:pt idx="1089">
                  <c:v>2.4709160015815846E-2</c:v>
                </c:pt>
                <c:pt idx="1090">
                  <c:v>2.471135960427244E-2</c:v>
                </c:pt>
                <c:pt idx="1091">
                  <c:v>2.4713546610568283E-2</c:v>
                </c:pt>
                <c:pt idx="1092">
                  <c:v>2.4715721034620837E-2</c:v>
                </c:pt>
                <c:pt idx="1093">
                  <c:v>2.4717882876348209E-2</c:v>
                </c:pt>
                <c:pt idx="1094">
                  <c:v>2.4720032135669378E-2</c:v>
                </c:pt>
                <c:pt idx="1095">
                  <c:v>2.4724140956608014E-2</c:v>
                </c:pt>
                <c:pt idx="1096">
                  <c:v>2.4721336745078131E-2</c:v>
                </c:pt>
                <c:pt idx="1097">
                  <c:v>2.4726404418387173E-2</c:v>
                </c:pt>
                <c:pt idx="1098">
                  <c:v>2.4728503347278302E-2</c:v>
                </c:pt>
                <c:pt idx="1099">
                  <c:v>2.4730589693363107E-2</c:v>
                </c:pt>
                <c:pt idx="1100">
                  <c:v>2.4732663456562966E-2</c:v>
                </c:pt>
                <c:pt idx="1101">
                  <c:v>2.4734724636800109E-2</c:v>
                </c:pt>
                <c:pt idx="1102">
                  <c:v>2.473677323399677E-2</c:v>
                </c:pt>
                <c:pt idx="1103">
                  <c:v>2.473880924807606E-2</c:v>
                </c:pt>
                <c:pt idx="1104">
                  <c:v>2.4740832678960861E-2</c:v>
                </c:pt>
                <c:pt idx="1105">
                  <c:v>2.4739907852038098E-2</c:v>
                </c:pt>
                <c:pt idx="1106">
                  <c:v>2.4741908405375334E-2</c:v>
                </c:pt>
                <c:pt idx="1107">
                  <c:v>2.4743896377837048E-2</c:v>
                </c:pt>
                <c:pt idx="1108">
                  <c:v>2.4745871769349004E-2</c:v>
                </c:pt>
                <c:pt idx="1109">
                  <c:v>2.4746859019995193E-2</c:v>
                </c:pt>
                <c:pt idx="1110">
                  <c:v>2.4749784809228851E-2</c:v>
                </c:pt>
                <c:pt idx="1111">
                  <c:v>2.4751722457450668E-2</c:v>
                </c:pt>
                <c:pt idx="1112">
                  <c:v>2.4753647524430138E-2</c:v>
                </c:pt>
                <c:pt idx="1113">
                  <c:v>2.4755560010095861E-2</c:v>
                </c:pt>
                <c:pt idx="1114">
                  <c:v>2.4757459914376008E-2</c:v>
                </c:pt>
                <c:pt idx="1115">
                  <c:v>2.4759347237200059E-2</c:v>
                </c:pt>
                <c:pt idx="1116">
                  <c:v>2.4761221978497276E-2</c:v>
                </c:pt>
                <c:pt idx="1117">
                  <c:v>2.4763084138197798E-2</c:v>
                </c:pt>
                <c:pt idx="1118">
                  <c:v>2.4764933716231979E-2</c:v>
                </c:pt>
                <c:pt idx="1119">
                  <c:v>2.4766770712530837E-2</c:v>
                </c:pt>
                <c:pt idx="1120">
                  <c:v>2.4768595127025603E-2</c:v>
                </c:pt>
                <c:pt idx="1121">
                  <c:v>2.4770406959648602E-2</c:v>
                </c:pt>
                <c:pt idx="1122">
                  <c:v>2.4772206210331733E-2</c:v>
                </c:pt>
                <c:pt idx="1123">
                  <c:v>2.4773992879007754E-2</c:v>
                </c:pt>
                <c:pt idx="1124">
                  <c:v>2.4775766965610527E-2</c:v>
                </c:pt>
                <c:pt idx="1125">
                  <c:v>2.477752847007304E-2</c:v>
                </c:pt>
                <c:pt idx="1126">
                  <c:v>2.4779277392330247E-2</c:v>
                </c:pt>
                <c:pt idx="1127">
                  <c:v>2.4781013732316233E-2</c:v>
                </c:pt>
                <c:pt idx="1128">
                  <c:v>2.4782737489966605E-2</c:v>
                </c:pt>
                <c:pt idx="1129">
                  <c:v>2.4784448665216976E-2</c:v>
                </c:pt>
                <c:pt idx="1130">
                  <c:v>2.4786147258003183E-2</c:v>
                </c:pt>
                <c:pt idx="1131">
                  <c:v>2.4787833268261932E-2</c:v>
                </c:pt>
                <c:pt idx="1132">
                  <c:v>2.4789506695930368E-2</c:v>
                </c:pt>
                <c:pt idx="1133">
                  <c:v>2.4791167540945638E-2</c:v>
                </c:pt>
                <c:pt idx="1134">
                  <c:v>2.479281580324642E-2</c:v>
                </c:pt>
                <c:pt idx="1135">
                  <c:v>2.4794451482770302E-2</c:v>
                </c:pt>
                <c:pt idx="1136">
                  <c:v>2.4796074579457053E-2</c:v>
                </c:pt>
                <c:pt idx="1137">
                  <c:v>2.4797685093245574E-2</c:v>
                </c:pt>
                <c:pt idx="1138">
                  <c:v>2.4799283024075861E-2</c:v>
                </c:pt>
                <c:pt idx="1139">
                  <c:v>2.4800868371887903E-2</c:v>
                </c:pt>
                <c:pt idx="1140">
                  <c:v>2.4802441136623225E-2</c:v>
                </c:pt>
                <c:pt idx="1141">
                  <c:v>2.4804001296504841E-2</c:v>
                </c:pt>
                <c:pt idx="1142">
                  <c:v>2.4805548464968102E-2</c:v>
                </c:pt>
                <c:pt idx="1143">
                  <c:v>2.4807081952755706E-2</c:v>
                </c:pt>
                <c:pt idx="1144">
                  <c:v>2.480860106144419E-2</c:v>
                </c:pt>
                <c:pt idx="1145">
                  <c:v>2.4810105092607695E-2</c:v>
                </c:pt>
                <c:pt idx="1146">
                  <c:v>2.4811593347815533E-2</c:v>
                </c:pt>
                <c:pt idx="1147">
                  <c:v>2.4813065128633956E-2</c:v>
                </c:pt>
                <c:pt idx="1148">
                  <c:v>2.481661001755885E-2</c:v>
                </c:pt>
                <c:pt idx="1149">
                  <c:v>2.4818041011480791E-2</c:v>
                </c:pt>
                <c:pt idx="1150">
                  <c:v>2.4819453168067988E-2</c:v>
                </c:pt>
                <c:pt idx="1151">
                  <c:v>2.4820845792584183E-2</c:v>
                </c:pt>
                <c:pt idx="1152">
                  <c:v>2.4822218190290724E-2</c:v>
                </c:pt>
                <c:pt idx="1153">
                  <c:v>2.4823569666445909E-2</c:v>
                </c:pt>
                <c:pt idx="1154">
                  <c:v>2.4824899526305635E-2</c:v>
                </c:pt>
                <c:pt idx="1155">
                  <c:v>2.4826207075123629E-2</c:v>
                </c:pt>
                <c:pt idx="1156">
                  <c:v>2.4827491618151652E-2</c:v>
                </c:pt>
                <c:pt idx="1157">
                  <c:v>2.4828752460638853E-2</c:v>
                </c:pt>
                <c:pt idx="1158">
                  <c:v>2.4829988907833073E-2</c:v>
                </c:pt>
                <c:pt idx="1159">
                  <c:v>2.4831200264980417E-2</c:v>
                </c:pt>
                <c:pt idx="1160">
                  <c:v>2.483238583732502E-2</c:v>
                </c:pt>
                <c:pt idx="1161">
                  <c:v>2.4832366803841793E-2</c:v>
                </c:pt>
                <c:pt idx="1162">
                  <c:v>2.4834676848578641E-2</c:v>
                </c:pt>
                <c:pt idx="1163">
                  <c:v>2.4835780897970498E-2</c:v>
                </c:pt>
                <c:pt idx="1164">
                  <c:v>2.4837763879948783E-2</c:v>
                </c:pt>
                <c:pt idx="1165">
                  <c:v>2.4837902610486257E-2</c:v>
                </c:pt>
                <c:pt idx="1166">
                  <c:v>2.4838918884089078E-2</c:v>
                </c:pt>
                <c:pt idx="1167">
                  <c:v>2.4839904509574393E-2</c:v>
                </c:pt>
                <c:pt idx="1168">
                  <c:v>2.4840858792181116E-2</c:v>
                </c:pt>
                <c:pt idx="1169">
                  <c:v>2.4841781037148594E-2</c:v>
                </c:pt>
                <c:pt idx="1170">
                  <c:v>2.4842670549717047E-2</c:v>
                </c:pt>
                <c:pt idx="1171">
                  <c:v>2.4843526635127129E-2</c:v>
                </c:pt>
                <c:pt idx="1172">
                  <c:v>2.4844348598620149E-2</c:v>
                </c:pt>
                <c:pt idx="1173">
                  <c:v>2.4845135745438937E-2</c:v>
                </c:pt>
                <c:pt idx="1174">
                  <c:v>2.4843250610076414E-2</c:v>
                </c:pt>
                <c:pt idx="1175">
                  <c:v>2.4846602810031253E-2</c:v>
                </c:pt>
                <c:pt idx="1176">
                  <c:v>2.4847281338298503E-2</c:v>
                </c:pt>
                <c:pt idx="1177">
                  <c:v>2.4847922270878755E-2</c:v>
                </c:pt>
                <c:pt idx="1178">
                  <c:v>2.4848524913023768E-2</c:v>
                </c:pt>
                <c:pt idx="1179">
                  <c:v>2.4849088569988794E-2</c:v>
                </c:pt>
                <c:pt idx="1180">
                  <c:v>2.4849612547031257E-2</c:v>
                </c:pt>
                <c:pt idx="1181">
                  <c:v>2.4850096149412072E-2</c:v>
                </c:pt>
                <c:pt idx="1182">
                  <c:v>2.4850538682396062E-2</c:v>
                </c:pt>
                <c:pt idx="1183">
                  <c:v>2.4848390973523399E-2</c:v>
                </c:pt>
                <c:pt idx="1184">
                  <c:v>2.4851297761248586E-2</c:v>
                </c:pt>
                <c:pt idx="1185">
                  <c:v>2.4851612917666171E-2</c:v>
                </c:pt>
                <c:pt idx="1186">
                  <c:v>2.4851884225784378E-2</c:v>
                </c:pt>
                <c:pt idx="1187">
                  <c:v>2.48521109908896E-2</c:v>
                </c:pt>
                <c:pt idx="1188">
                  <c:v>2.4852292518272805E-2</c:v>
                </c:pt>
                <c:pt idx="1189">
                  <c:v>2.4852428113230848E-2</c:v>
                </c:pt>
                <c:pt idx="1190">
                  <c:v>2.4852517081066672E-2</c:v>
                </c:pt>
                <c:pt idx="1191">
                  <c:v>2.4852558727088886E-2</c:v>
                </c:pt>
                <c:pt idx="1192">
                  <c:v>2.4852552356613079E-2</c:v>
                </c:pt>
                <c:pt idx="1193">
                  <c:v>2.4852497296564351E-2</c:v>
                </c:pt>
                <c:pt idx="1194">
                  <c:v>2.4852393236742012E-2</c:v>
                </c:pt>
                <c:pt idx="1195">
                  <c:v>2.4852240168047508E-2</c:v>
                </c:pt>
                <c:pt idx="1196">
                  <c:v>2.4849625085265649E-2</c:v>
                </c:pt>
                <c:pt idx="1197">
                  <c:v>2.4851787004138492E-2</c:v>
                </c:pt>
                <c:pt idx="1198">
                  <c:v>2.4851486908990198E-2</c:v>
                </c:pt>
                <c:pt idx="1199">
                  <c:v>2.4851137805102601E-2</c:v>
                </c:pt>
                <c:pt idx="1200">
                  <c:v>2.4848976904490564E-2</c:v>
                </c:pt>
                <c:pt idx="1201">
                  <c:v>2.4848515843665975E-2</c:v>
                </c:pt>
                <c:pt idx="1202">
                  <c:v>2.4848005780972963E-2</c:v>
                </c:pt>
                <c:pt idx="1203">
                  <c:v>2.4847446716485984E-2</c:v>
                </c:pt>
                <c:pt idx="1204">
                  <c:v>2.484683865028629E-2</c:v>
                </c:pt>
                <c:pt idx="1205">
                  <c:v>2.4846181582462358E-2</c:v>
                </c:pt>
                <c:pt idx="1206">
                  <c:v>2.4845475513109457E-2</c:v>
                </c:pt>
                <c:pt idx="1207">
                  <c:v>2.4844720442330513E-2</c:v>
                </c:pt>
                <c:pt idx="1208">
                  <c:v>2.4843916370235249E-2</c:v>
                </c:pt>
                <c:pt idx="1209">
                  <c:v>2.4843063296940179E-2</c:v>
                </c:pt>
                <c:pt idx="1210">
                  <c:v>2.4842161222569908E-2</c:v>
                </c:pt>
                <c:pt idx="1211">
                  <c:v>2.4841210147255186E-2</c:v>
                </c:pt>
                <c:pt idx="1212">
                  <c:v>2.4840210071134638E-2</c:v>
                </c:pt>
                <c:pt idx="1213">
                  <c:v>2.4839160994353467E-2</c:v>
                </c:pt>
                <c:pt idx="1214">
                  <c:v>2.4838062917063877E-2</c:v>
                </c:pt>
                <c:pt idx="1215">
                  <c:v>2.483691583942596E-2</c:v>
                </c:pt>
                <c:pt idx="1216">
                  <c:v>2.4835369025077464E-2</c:v>
                </c:pt>
                <c:pt idx="1217">
                  <c:v>2.4834474683779018E-2</c:v>
                </c:pt>
                <c:pt idx="1218">
                  <c:v>2.4833180606124779E-2</c:v>
                </c:pt>
                <c:pt idx="1219">
                  <c:v>2.4831837528831783E-2</c:v>
                </c:pt>
                <c:pt idx="1220">
                  <c:v>2.4830445452095378E-2</c:v>
                </c:pt>
                <c:pt idx="1221">
                  <c:v>2.4829004376117923E-2</c:v>
                </c:pt>
                <c:pt idx="1222">
                  <c:v>2.482751430110923E-2</c:v>
                </c:pt>
                <c:pt idx="1223">
                  <c:v>2.4825975227285225E-2</c:v>
                </c:pt>
                <c:pt idx="1224">
                  <c:v>2.4824387154870394E-2</c:v>
                </c:pt>
                <c:pt idx="1225">
                  <c:v>2.4822750084095346E-2</c:v>
                </c:pt>
                <c:pt idx="1226">
                  <c:v>2.4821064015197913E-2</c:v>
                </c:pt>
                <c:pt idx="1227">
                  <c:v>2.4819328948423387E-2</c:v>
                </c:pt>
                <c:pt idx="1228">
                  <c:v>2.481754488402383E-2</c:v>
                </c:pt>
                <c:pt idx="1229">
                  <c:v>2.4815711822258987E-2</c:v>
                </c:pt>
                <c:pt idx="1230">
                  <c:v>2.4813829763394944E-2</c:v>
                </c:pt>
                <c:pt idx="1231">
                  <c:v>2.4811898707705674E-2</c:v>
                </c:pt>
                <c:pt idx="1232">
                  <c:v>2.4809918655471719E-2</c:v>
                </c:pt>
                <c:pt idx="1233">
                  <c:v>2.4807889606980847E-2</c:v>
                </c:pt>
                <c:pt idx="1234">
                  <c:v>2.48058115625285E-2</c:v>
                </c:pt>
                <c:pt idx="1235">
                  <c:v>2.4803684522416016E-2</c:v>
                </c:pt>
                <c:pt idx="1236">
                  <c:v>2.4801508486953294E-2</c:v>
                </c:pt>
                <c:pt idx="1237">
                  <c:v>2.4799283456456347E-2</c:v>
                </c:pt>
                <c:pt idx="1238">
                  <c:v>2.4797009431248868E-2</c:v>
                </c:pt>
                <c:pt idx="1239">
                  <c:v>2.4794686411661326E-2</c:v>
                </c:pt>
                <c:pt idx="1240">
                  <c:v>2.479231439803143E-2</c:v>
                </c:pt>
                <c:pt idx="1241">
                  <c:v>2.4789893390704105E-2</c:v>
                </c:pt>
                <c:pt idx="1242">
                  <c:v>2.4787423390031288E-2</c:v>
                </c:pt>
                <c:pt idx="1243">
                  <c:v>2.4784904396372147E-2</c:v>
                </c:pt>
                <c:pt idx="1244">
                  <c:v>2.4782336410092632E-2</c:v>
                </c:pt>
                <c:pt idx="1245">
                  <c:v>2.477971943156615E-2</c:v>
                </c:pt>
                <c:pt idx="1246">
                  <c:v>2.4777053461173319E-2</c:v>
                </c:pt>
                <c:pt idx="1247">
                  <c:v>2.4774338499301562E-2</c:v>
                </c:pt>
                <c:pt idx="1248">
                  <c:v>2.4771574546345737E-2</c:v>
                </c:pt>
                <c:pt idx="1249">
                  <c:v>2.4768761602707717E-2</c:v>
                </c:pt>
                <c:pt idx="1250">
                  <c:v>2.4765899668795943E-2</c:v>
                </c:pt>
                <c:pt idx="1251">
                  <c:v>2.4762988745026956E-2</c:v>
                </c:pt>
                <c:pt idx="1252">
                  <c:v>2.4759601987968047E-2</c:v>
                </c:pt>
                <c:pt idx="1253">
                  <c:v>2.4756586087367451E-2</c:v>
                </c:pt>
                <c:pt idx="1254">
                  <c:v>2.4753521198263732E-2</c:v>
                </c:pt>
                <c:pt idx="1255">
                  <c:v>2.4750407321102133E-2</c:v>
                </c:pt>
                <c:pt idx="1256">
                  <c:v>2.474724445633511E-2</c:v>
                </c:pt>
                <c:pt idx="1257">
                  <c:v>2.4744032604423007E-2</c:v>
                </c:pt>
                <c:pt idx="1258">
                  <c:v>2.4740771765832517E-2</c:v>
                </c:pt>
                <c:pt idx="1259">
                  <c:v>2.4737461941037348E-2</c:v>
                </c:pt>
                <c:pt idx="1260">
                  <c:v>2.4734103130519301E-2</c:v>
                </c:pt>
                <c:pt idx="1261">
                  <c:v>2.4731262033136161E-2</c:v>
                </c:pt>
                <c:pt idx="1262">
                  <c:v>2.472780151909057E-2</c:v>
                </c:pt>
                <c:pt idx="1263">
                  <c:v>2.4724292017555285E-2</c:v>
                </c:pt>
                <c:pt idx="1264">
                  <c:v>2.4720733529042031E-2</c:v>
                </c:pt>
                <c:pt idx="1265">
                  <c:v>2.4717126054069519E-2</c:v>
                </c:pt>
                <c:pt idx="1266">
                  <c:v>2.4713469593163659E-2</c:v>
                </c:pt>
                <c:pt idx="1267">
                  <c:v>2.4709781796635504E-2</c:v>
                </c:pt>
                <c:pt idx="1268">
                  <c:v>2.4706005860517379E-2</c:v>
                </c:pt>
                <c:pt idx="1269">
                  <c:v>2.4701096061523053E-2</c:v>
                </c:pt>
                <c:pt idx="1270">
                  <c:v>2.4698307016936469E-2</c:v>
                </c:pt>
                <c:pt idx="1271">
                  <c:v>2.4694384110601476E-2</c:v>
                </c:pt>
                <c:pt idx="1272">
                  <c:v>2.4690412215334877E-2</c:v>
                </c:pt>
                <c:pt idx="1273">
                  <c:v>2.4686391331718162E-2</c:v>
                </c:pt>
                <c:pt idx="1274">
                  <c:v>2.4682321460341078E-2</c:v>
                </c:pt>
                <c:pt idx="1275">
                  <c:v>2.4678202601800103E-2</c:v>
                </c:pt>
                <c:pt idx="1276">
                  <c:v>2.4674034756698885E-2</c:v>
                </c:pt>
                <c:pt idx="1277">
                  <c:v>2.4669817925647805E-2</c:v>
                </c:pt>
                <c:pt idx="1278">
                  <c:v>2.46655521092655E-2</c:v>
                </c:pt>
                <c:pt idx="1279">
                  <c:v>2.4661237308177122E-2</c:v>
                </c:pt>
                <c:pt idx="1280">
                  <c:v>2.4656873523014555E-2</c:v>
                </c:pt>
                <c:pt idx="1281">
                  <c:v>2.4652460754417939E-2</c:v>
                </c:pt>
                <c:pt idx="1282">
                  <c:v>2.4646540448572233E-2</c:v>
                </c:pt>
                <c:pt idx="1283">
                  <c:v>2.4643488269515706E-2</c:v>
                </c:pt>
                <c:pt idx="1284">
                  <c:v>2.4638928554525558E-2</c:v>
                </c:pt>
                <c:pt idx="1285">
                  <c:v>2.4634319858730779E-2</c:v>
                </c:pt>
                <c:pt idx="1286">
                  <c:v>2.4629662182807356E-2</c:v>
                </c:pt>
                <c:pt idx="1287">
                  <c:v>2.4624955527437559E-2</c:v>
                </c:pt>
                <c:pt idx="1288">
                  <c:v>2.46201998933115E-2</c:v>
                </c:pt>
                <c:pt idx="1289">
                  <c:v>2.4615395281125784E-2</c:v>
                </c:pt>
                <c:pt idx="1290">
                  <c:v>2.4610541691585074E-2</c:v>
                </c:pt>
                <c:pt idx="1291">
                  <c:v>2.4605639125400317E-2</c:v>
                </c:pt>
                <c:pt idx="1292">
                  <c:v>2.4600687583290072E-2</c:v>
                </c:pt>
                <c:pt idx="1293">
                  <c:v>2.4595687065980282E-2</c:v>
                </c:pt>
                <c:pt idx="1294">
                  <c:v>2.4590637574203395E-2</c:v>
                </c:pt>
                <c:pt idx="1295">
                  <c:v>2.4584229612612103E-2</c:v>
                </c:pt>
                <c:pt idx="1296">
                  <c:v>2.4580391670215983E-2</c:v>
                </c:pt>
                <c:pt idx="1297">
                  <c:v>2.4575195259507299E-2</c:v>
                </c:pt>
                <c:pt idx="1298">
                  <c:v>2.4569949877334771E-2</c:v>
                </c:pt>
                <c:pt idx="1299">
                  <c:v>2.4564655524467353E-2</c:v>
                </c:pt>
                <c:pt idx="1300">
                  <c:v>2.4559312201680512E-2</c:v>
                </c:pt>
                <c:pt idx="1301">
                  <c:v>2.4553919909757752E-2</c:v>
                </c:pt>
                <c:pt idx="1302">
                  <c:v>2.454847864948909E-2</c:v>
                </c:pt>
                <c:pt idx="1303">
                  <c:v>2.4539022627549378E-2</c:v>
                </c:pt>
                <c:pt idx="1304">
                  <c:v>2.4536253037120176E-2</c:v>
                </c:pt>
                <c:pt idx="1305">
                  <c:v>2.4531861066618255E-2</c:v>
                </c:pt>
                <c:pt idx="1306">
                  <c:v>2.4526223941012601E-2</c:v>
                </c:pt>
                <c:pt idx="1307">
                  <c:v>2.4520537851119757E-2</c:v>
                </c:pt>
                <c:pt idx="1308">
                  <c:v>2.4514802797773187E-2</c:v>
                </c:pt>
                <c:pt idx="1309">
                  <c:v>2.4509018781813521E-2</c:v>
                </c:pt>
                <c:pt idx="1310">
                  <c:v>2.4503185804087908E-2</c:v>
                </c:pt>
                <c:pt idx="1311">
                  <c:v>2.4497303865451972E-2</c:v>
                </c:pt>
                <c:pt idx="1312">
                  <c:v>2.4491372966766761E-2</c:v>
                </c:pt>
                <c:pt idx="1313">
                  <c:v>2.4484292656618615E-2</c:v>
                </c:pt>
                <c:pt idx="1314">
                  <c:v>2.4478275543581746E-2</c:v>
                </c:pt>
                <c:pt idx="1315">
                  <c:v>2.4472209482497728E-2</c:v>
                </c:pt>
                <c:pt idx="1316">
                  <c:v>2.4466094474248048E-2</c:v>
                </c:pt>
                <c:pt idx="1317">
                  <c:v>2.4459930519721635E-2</c:v>
                </c:pt>
                <c:pt idx="1318">
                  <c:v>2.4453717619814217E-2</c:v>
                </c:pt>
                <c:pt idx="1319">
                  <c:v>2.4448828511726493E-2</c:v>
                </c:pt>
                <c:pt idx="1320">
                  <c:v>2.4441144987475811E-2</c:v>
                </c:pt>
                <c:pt idx="1321">
                  <c:v>2.4434785256871969E-2</c:v>
                </c:pt>
                <c:pt idx="1322">
                  <c:v>2.4428376584542496E-2</c:v>
                </c:pt>
                <c:pt idx="1323">
                  <c:v>2.4421918971417933E-2</c:v>
                </c:pt>
                <c:pt idx="1324">
                  <c:v>2.4415412418437588E-2</c:v>
                </c:pt>
                <c:pt idx="1325">
                  <c:v>2.4408856926546454E-2</c:v>
                </c:pt>
                <c:pt idx="1326">
                  <c:v>2.4402252496698074E-2</c:v>
                </c:pt>
                <c:pt idx="1327">
                  <c:v>2.4395599129851894E-2</c:v>
                </c:pt>
                <c:pt idx="1328">
                  <c:v>2.4388896826974819E-2</c:v>
                </c:pt>
                <c:pt idx="1329">
                  <c:v>2.4382145589041188E-2</c:v>
                </c:pt>
                <c:pt idx="1330">
                  <c:v>2.437534541703279E-2</c:v>
                </c:pt>
                <c:pt idx="1331">
                  <c:v>2.4368496311936896E-2</c:v>
                </c:pt>
                <c:pt idx="1332">
                  <c:v>2.4361598274749523E-2</c:v>
                </c:pt>
                <c:pt idx="1333">
                  <c:v>2.4354651306472838E-2</c:v>
                </c:pt>
                <c:pt idx="1334">
                  <c:v>2.434765540811731E-2</c:v>
                </c:pt>
                <c:pt idx="1335">
                  <c:v>2.4340610580699119E-2</c:v>
                </c:pt>
                <c:pt idx="1336">
                  <c:v>2.4333516825241885E-2</c:v>
                </c:pt>
                <c:pt idx="1337">
                  <c:v>2.4326374142777107E-2</c:v>
                </c:pt>
                <c:pt idx="1338">
                  <c:v>2.4319182534342645E-2</c:v>
                </c:pt>
                <c:pt idx="1339">
                  <c:v>2.4311942000984015E-2</c:v>
                </c:pt>
                <c:pt idx="1340">
                  <c:v>2.430465254375265E-2</c:v>
                </c:pt>
                <c:pt idx="1341">
                  <c:v>2.4297314163709182E-2</c:v>
                </c:pt>
                <c:pt idx="1342">
                  <c:v>2.4289926861918845E-2</c:v>
                </c:pt>
                <c:pt idx="1343">
                  <c:v>2.4282490639456061E-2</c:v>
                </c:pt>
                <c:pt idx="1344">
                  <c:v>2.4275005497401393E-2</c:v>
                </c:pt>
                <c:pt idx="1345">
                  <c:v>2.4267471436842627E-2</c:v>
                </c:pt>
                <c:pt idx="1346">
                  <c:v>2.4259888458874779E-2</c:v>
                </c:pt>
                <c:pt idx="1347">
                  <c:v>2.4252256564599652E-2</c:v>
                </c:pt>
                <c:pt idx="1348">
                  <c:v>2.4244575755126278E-2</c:v>
                </c:pt>
                <c:pt idx="1349">
                  <c:v>2.4236846031571353E-2</c:v>
                </c:pt>
                <c:pt idx="1350">
                  <c:v>2.4229067395058139E-2</c:v>
                </c:pt>
                <c:pt idx="1351">
                  <c:v>2.4221239846716477E-2</c:v>
                </c:pt>
                <c:pt idx="1352">
                  <c:v>2.4213363387684522E-2</c:v>
                </c:pt>
                <c:pt idx="1353">
                  <c:v>2.4205438019106781E-2</c:v>
                </c:pt>
                <c:pt idx="1354">
                  <c:v>2.4197463742134995E-2</c:v>
                </c:pt>
                <c:pt idx="1355">
                  <c:v>2.4189440557927686E-2</c:v>
                </c:pt>
                <c:pt idx="1356">
                  <c:v>2.4181368467651048E-2</c:v>
                </c:pt>
                <c:pt idx="1357">
                  <c:v>2.4173247472478277E-2</c:v>
                </c:pt>
                <c:pt idx="1358">
                  <c:v>2.4165077573589797E-2</c:v>
                </c:pt>
                <c:pt idx="1359">
                  <c:v>2.4156858772171951E-2</c:v>
                </c:pt>
                <c:pt idx="1360">
                  <c:v>2.4148591069419613E-2</c:v>
                </c:pt>
                <c:pt idx="1361">
                  <c:v>2.4140274466534238E-2</c:v>
                </c:pt>
                <c:pt idx="1362">
                  <c:v>2.4131908964724502E-2</c:v>
                </c:pt>
                <c:pt idx="1363">
                  <c:v>2.412349456520587E-2</c:v>
                </c:pt>
                <c:pt idx="1364">
                  <c:v>2.4115031269201039E-2</c:v>
                </c:pt>
                <c:pt idx="1365">
                  <c:v>2.4106519077939922E-2</c:v>
                </c:pt>
                <c:pt idx="1366">
                  <c:v>2.4097957992659451E-2</c:v>
                </c:pt>
                <c:pt idx="1367">
                  <c:v>2.4089348014603561E-2</c:v>
                </c:pt>
                <c:pt idx="1368">
                  <c:v>2.4080689145023638E-2</c:v>
                </c:pt>
                <c:pt idx="1369">
                  <c:v>2.4071981385178073E-2</c:v>
                </c:pt>
                <c:pt idx="1370">
                  <c:v>2.4063782235361007E-2</c:v>
                </c:pt>
                <c:pt idx="1371">
                  <c:v>2.4054419199757076E-2</c:v>
                </c:pt>
                <c:pt idx="1372">
                  <c:v>2.4045564776733908E-2</c:v>
                </c:pt>
                <c:pt idx="1373">
                  <c:v>2.4036661468548739E-2</c:v>
                </c:pt>
                <c:pt idx="1374">
                  <c:v>2.4027709276494998E-2</c:v>
                </c:pt>
                <c:pt idx="1375">
                  <c:v>2.4018708201874003E-2</c:v>
                </c:pt>
                <c:pt idx="1376">
                  <c:v>2.4009658245993642E-2</c:v>
                </c:pt>
                <c:pt idx="1377">
                  <c:v>2.4000559410168584E-2</c:v>
                </c:pt>
                <c:pt idx="1378">
                  <c:v>2.3991411695720954E-2</c:v>
                </c:pt>
                <c:pt idx="1379">
                  <c:v>2.3982215103980097E-2</c:v>
                </c:pt>
                <c:pt idx="1380">
                  <c:v>2.3972969636282367E-2</c:v>
                </c:pt>
                <c:pt idx="1381">
                  <c:v>2.3963675293970914E-2</c:v>
                </c:pt>
                <c:pt idx="1382">
                  <c:v>2.3954332078396322E-2</c:v>
                </c:pt>
                <c:pt idx="1383">
                  <c:v>2.3944939990916198E-2</c:v>
                </c:pt>
                <c:pt idx="1384">
                  <c:v>2.3935499032895144E-2</c:v>
                </c:pt>
                <c:pt idx="1385">
                  <c:v>2.3926009205704993E-2</c:v>
                </c:pt>
                <c:pt idx="1386">
                  <c:v>2.391647051072459E-2</c:v>
                </c:pt>
                <c:pt idx="1387">
                  <c:v>2.3906882949339785E-2</c:v>
                </c:pt>
                <c:pt idx="1388">
                  <c:v>2.3897246522943436E-2</c:v>
                </c:pt>
                <c:pt idx="1389">
                  <c:v>2.3887561232936064E-2</c:v>
                </c:pt>
                <c:pt idx="1390">
                  <c:v>2.3877827080724549E-2</c:v>
                </c:pt>
                <c:pt idx="1391">
                  <c:v>2.3868044067723429E-2</c:v>
                </c:pt>
                <c:pt idx="1392">
                  <c:v>2.3858212195354032E-2</c:v>
                </c:pt>
                <c:pt idx="1393">
                  <c:v>2.3848331465044691E-2</c:v>
                </c:pt>
                <c:pt idx="1394">
                  <c:v>2.3838401878230976E-2</c:v>
                </c:pt>
                <c:pt idx="1395">
                  <c:v>2.3828423436355675E-2</c:v>
                </c:pt>
                <c:pt idx="1396">
                  <c:v>2.381839614086859E-2</c:v>
                </c:pt>
                <c:pt idx="1397">
                  <c:v>2.3808319993226523E-2</c:v>
                </c:pt>
                <c:pt idx="1398">
                  <c:v>2.3798194994893294E-2</c:v>
                </c:pt>
                <c:pt idx="1399">
                  <c:v>2.3788021147339505E-2</c:v>
                </c:pt>
                <c:pt idx="1400">
                  <c:v>2.3777798452044304E-2</c:v>
                </c:pt>
                <c:pt idx="1401">
                  <c:v>2.3767527114012577E-2</c:v>
                </c:pt>
                <c:pt idx="1402">
                  <c:v>2.3757208152323947E-2</c:v>
                </c:pt>
                <c:pt idx="1403">
                  <c:v>2.3746842789539525E-2</c:v>
                </c:pt>
                <c:pt idx="1404">
                  <c:v>2.3736432248176634E-2</c:v>
                </c:pt>
                <c:pt idx="1405">
                  <c:v>2.3725977750708799E-2</c:v>
                </c:pt>
                <c:pt idx="1406">
                  <c:v>2.3715480519563764E-2</c:v>
                </c:pt>
                <c:pt idx="1407">
                  <c:v>2.3704941777125694E-2</c:v>
                </c:pt>
                <c:pt idx="1408">
                  <c:v>2.3694362745731456E-2</c:v>
                </c:pt>
                <c:pt idx="1409">
                  <c:v>2.368374464767279E-2</c:v>
                </c:pt>
                <c:pt idx="1410">
                  <c:v>2.3673088705194145E-2</c:v>
                </c:pt>
                <c:pt idx="1411">
                  <c:v>2.3662396140492873E-2</c:v>
                </c:pt>
                <c:pt idx="1412">
                  <c:v>2.3651668175719034E-2</c:v>
                </c:pt>
                <c:pt idx="1413">
                  <c:v>2.3640906032974054E-2</c:v>
                </c:pt>
                <c:pt idx="1414">
                  <c:v>2.3630110934311187E-2</c:v>
                </c:pt>
                <c:pt idx="1415">
                  <c:v>2.3619284101734854E-2</c:v>
                </c:pt>
                <c:pt idx="1416">
                  <c:v>2.3608426757199971E-2</c:v>
                </c:pt>
                <c:pt idx="1417">
                  <c:v>2.3597540122611962E-2</c:v>
                </c:pt>
                <c:pt idx="1418">
                  <c:v>2.3586625419826326E-2</c:v>
                </c:pt>
                <c:pt idx="1419">
                  <c:v>2.3575683870647748E-2</c:v>
                </c:pt>
                <c:pt idx="1420">
                  <c:v>2.3564570217948454E-2</c:v>
                </c:pt>
                <c:pt idx="1421">
                  <c:v>2.3553725120078643E-2</c:v>
                </c:pt>
                <c:pt idx="1422">
                  <c:v>2.3542710362043005E-2</c:v>
                </c:pt>
                <c:pt idx="1423">
                  <c:v>2.3531673644324416E-2</c:v>
                </c:pt>
                <c:pt idx="1424">
                  <c:v>2.3520616188471333E-2</c:v>
                </c:pt>
                <c:pt idx="1425">
                  <c:v>2.3509539215979862E-2</c:v>
                </c:pt>
                <c:pt idx="1426">
                  <c:v>2.3498443948294208E-2</c:v>
                </c:pt>
                <c:pt idx="1427">
                  <c:v>2.3487331606805141E-2</c:v>
                </c:pt>
                <c:pt idx="1428">
                  <c:v>2.3476203412851528E-2</c:v>
                </c:pt>
                <c:pt idx="1429">
                  <c:v>2.34650605877188E-2</c:v>
                </c:pt>
                <c:pt idx="1430">
                  <c:v>2.3453904352639162E-2</c:v>
                </c:pt>
                <c:pt idx="1431">
                  <c:v>2.3442735928791397E-2</c:v>
                </c:pt>
                <c:pt idx="1432">
                  <c:v>2.3431556537300616E-2</c:v>
                </c:pt>
                <c:pt idx="1433">
                  <c:v>2.3420367399238723E-2</c:v>
                </c:pt>
                <c:pt idx="1434">
                  <c:v>2.3409169735623524E-2</c:v>
                </c:pt>
                <c:pt idx="1435">
                  <c:v>2.3397964767418736E-2</c:v>
                </c:pt>
                <c:pt idx="1436">
                  <c:v>2.3386753715534853E-2</c:v>
                </c:pt>
                <c:pt idx="1437">
                  <c:v>2.3375537800826747E-2</c:v>
                </c:pt>
                <c:pt idx="1438">
                  <c:v>2.3364318244096939E-2</c:v>
                </c:pt>
                <c:pt idx="1439">
                  <c:v>2.3353096266092117E-2</c:v>
                </c:pt>
                <c:pt idx="1440">
                  <c:v>2.3341873087506182E-2</c:v>
                </c:pt>
                <c:pt idx="1441">
                  <c:v>2.3330649928977844E-2</c:v>
                </c:pt>
                <c:pt idx="1442">
                  <c:v>2.3319428011091728E-2</c:v>
                </c:pt>
                <c:pt idx="1443">
                  <c:v>2.3308208554378356E-2</c:v>
                </c:pt>
                <c:pt idx="1444">
                  <c:v>2.3296992779313505E-2</c:v>
                </c:pt>
                <c:pt idx="1445">
                  <c:v>2.3285781906319948E-2</c:v>
                </c:pt>
                <c:pt idx="1446">
                  <c:v>2.327457715576484E-2</c:v>
                </c:pt>
                <c:pt idx="1447">
                  <c:v>2.3263379747961891E-2</c:v>
                </c:pt>
                <c:pt idx="1448">
                  <c:v>2.3252190903171377E-2</c:v>
                </c:pt>
                <c:pt idx="1449">
                  <c:v>2.3241011841598606E-2</c:v>
                </c:pt>
                <c:pt idx="1450">
                  <c:v>2.3229843783395886E-2</c:v>
                </c:pt>
                <c:pt idx="1451">
                  <c:v>2.3218687948661214E-2</c:v>
                </c:pt>
                <c:pt idx="1452">
                  <c:v>2.3207545557440021E-2</c:v>
                </c:pt>
                <c:pt idx="1453">
                  <c:v>2.3196417701630827E-2</c:v>
                </c:pt>
                <c:pt idx="1454">
                  <c:v>2.3185304682599793E-2</c:v>
                </c:pt>
                <c:pt idx="1455">
                  <c:v>2.3174206500452481E-2</c:v>
                </c:pt>
                <c:pt idx="1456">
                  <c:v>2.3163123154702047E-2</c:v>
                </c:pt>
                <c:pt idx="1457">
                  <c:v>2.3152054644862741E-2</c:v>
                </c:pt>
                <c:pt idx="1458">
                  <c:v>2.314100097044882E-2</c:v>
                </c:pt>
                <c:pt idx="1459">
                  <c:v>2.3129962130976064E-2</c:v>
                </c:pt>
                <c:pt idx="1460">
                  <c:v>2.3117282332316691E-2</c:v>
                </c:pt>
                <c:pt idx="1461">
                  <c:v>2.3106276002544973E-2</c:v>
                </c:pt>
                <c:pt idx="1462">
                  <c:v>2.3095284508665114E-2</c:v>
                </c:pt>
                <c:pt idx="1463">
                  <c:v>2.3084307850192706E-2</c:v>
                </c:pt>
                <c:pt idx="1464">
                  <c:v>2.3073346026643779E-2</c:v>
                </c:pt>
                <c:pt idx="1465">
                  <c:v>2.3062399037535233E-2</c:v>
                </c:pt>
                <c:pt idx="1466">
                  <c:v>2.3051466882383964E-2</c:v>
                </c:pt>
                <c:pt idx="1467">
                  <c:v>2.3040549560709049E-2</c:v>
                </c:pt>
                <c:pt idx="1468">
                  <c:v>2.3029647072027606E-2</c:v>
                </c:pt>
                <c:pt idx="1469">
                  <c:v>2.3018759415860235E-2</c:v>
                </c:pt>
                <c:pt idx="1470">
                  <c:v>2.3007886591726666E-2</c:v>
                </c:pt>
                <c:pt idx="1471">
                  <c:v>2.2997028599147065E-2</c:v>
                </c:pt>
                <c:pt idx="1472">
                  <c:v>2.2980032431081449E-2</c:v>
                </c:pt>
                <c:pt idx="1473">
                  <c:v>2.2975357106736968E-2</c:v>
                </c:pt>
                <c:pt idx="1474">
                  <c:v>2.2964543605950943E-2</c:v>
                </c:pt>
                <c:pt idx="1475">
                  <c:v>2.2953709459655785E-2</c:v>
                </c:pt>
                <c:pt idx="1476">
                  <c:v>2.2942961092833447E-2</c:v>
                </c:pt>
                <c:pt idx="1477">
                  <c:v>2.2932192079550585E-2</c:v>
                </c:pt>
                <c:pt idx="1478">
                  <c:v>2.292143789448485E-2</c:v>
                </c:pt>
                <c:pt idx="1479">
                  <c:v>2.2910698537162509E-2</c:v>
                </c:pt>
                <c:pt idx="1480">
                  <c:v>2.2899974007110042E-2</c:v>
                </c:pt>
                <c:pt idx="1481">
                  <c:v>2.2889264303854587E-2</c:v>
                </c:pt>
                <c:pt idx="1482">
                  <c:v>2.2878569426923932E-2</c:v>
                </c:pt>
                <c:pt idx="1483">
                  <c:v>2.2867889375846953E-2</c:v>
                </c:pt>
                <c:pt idx="1484">
                  <c:v>2.2857224150152535E-2</c:v>
                </c:pt>
                <c:pt idx="1485">
                  <c:v>2.2846573749370637E-2</c:v>
                </c:pt>
                <c:pt idx="1486">
                  <c:v>2.2835938173031665E-2</c:v>
                </c:pt>
                <c:pt idx="1487">
                  <c:v>2.2825317420667113E-2</c:v>
                </c:pt>
                <c:pt idx="1488">
                  <c:v>2.2814711491808474E-2</c:v>
                </c:pt>
                <c:pt idx="1489">
                  <c:v>2.280412038598854E-2</c:v>
                </c:pt>
                <c:pt idx="1490">
                  <c:v>2.2793544102740336E-2</c:v>
                </c:pt>
                <c:pt idx="1491">
                  <c:v>2.2782982641597525E-2</c:v>
                </c:pt>
                <c:pt idx="1492">
                  <c:v>2.2772436002094651E-2</c:v>
                </c:pt>
                <c:pt idx="1493">
                  <c:v>2.2761904183766474E-2</c:v>
                </c:pt>
                <c:pt idx="1494">
                  <c:v>2.2751387186149497E-2</c:v>
                </c:pt>
                <c:pt idx="1495">
                  <c:v>2.2740968192433035E-2</c:v>
                </c:pt>
                <c:pt idx="1496">
                  <c:v>2.2730397651194268E-2</c:v>
                </c:pt>
                <c:pt idx="1497">
                  <c:v>2.271992511293076E-2</c:v>
                </c:pt>
                <c:pt idx="1498">
                  <c:v>2.270946739352751E-2</c:v>
                </c:pt>
                <c:pt idx="1499">
                  <c:v>2.2698998462463104E-2</c:v>
                </c:pt>
                <c:pt idx="1500">
                  <c:v>2.2688596409459753E-2</c:v>
                </c:pt>
                <c:pt idx="1501">
                  <c:v>2.2678183143875E-2</c:v>
                </c:pt>
                <c:pt idx="1502">
                  <c:v>2.2667784695310885E-2</c:v>
                </c:pt>
                <c:pt idx="1503">
                  <c:v>2.2657401063308918E-2</c:v>
                </c:pt>
                <c:pt idx="1504">
                  <c:v>2.2647032247411693E-2</c:v>
                </c:pt>
                <c:pt idx="1505">
                  <c:v>2.2636678247162034E-2</c:v>
                </c:pt>
                <c:pt idx="1506">
                  <c:v>2.262633906210363E-2</c:v>
                </c:pt>
                <c:pt idx="1507">
                  <c:v>2.2616014691780602E-2</c:v>
                </c:pt>
                <c:pt idx="1508">
                  <c:v>2.2605772306093376E-2</c:v>
                </c:pt>
                <c:pt idx="1509">
                  <c:v>2.2595410393521538E-2</c:v>
                </c:pt>
                <c:pt idx="1510">
                  <c:v>2.2585130464677673E-2</c:v>
                </c:pt>
                <c:pt idx="1511">
                  <c:v>2.2574865348752873E-2</c:v>
                </c:pt>
                <c:pt idx="1512">
                  <c:v>2.2560247078553749E-2</c:v>
                </c:pt>
                <c:pt idx="1513">
                  <c:v>2.2550017510796945E-2</c:v>
                </c:pt>
                <c:pt idx="1514">
                  <c:v>2.2539802753241731E-2</c:v>
                </c:pt>
                <c:pt idx="1515">
                  <c:v>2.2529602805439503E-2</c:v>
                </c:pt>
                <c:pt idx="1516">
                  <c:v>2.2519417666941877E-2</c:v>
                </c:pt>
                <c:pt idx="1517">
                  <c:v>2.2509247337301343E-2</c:v>
                </c:pt>
                <c:pt idx="1518">
                  <c:v>2.2499091816070828E-2</c:v>
                </c:pt>
                <c:pt idx="1519">
                  <c:v>2.2488951102803471E-2</c:v>
                </c:pt>
                <c:pt idx="1520">
                  <c:v>2.2478825197054606E-2</c:v>
                </c:pt>
                <c:pt idx="1521">
                  <c:v>2.2468730766171917E-2</c:v>
                </c:pt>
                <c:pt idx="1522">
                  <c:v>2.245863403959272E-2</c:v>
                </c:pt>
                <c:pt idx="1523">
                  <c:v>2.244855211804021E-2</c:v>
                </c:pt>
                <c:pt idx="1524">
                  <c:v>2.2438485001072435E-2</c:v>
                </c:pt>
                <c:pt idx="1525">
                  <c:v>2.2428432688247884E-2</c:v>
                </c:pt>
                <c:pt idx="1526">
                  <c:v>2.2418395179126586E-2</c:v>
                </c:pt>
                <c:pt idx="1527">
                  <c:v>2.2405511561927743E-2</c:v>
                </c:pt>
                <c:pt idx="1528">
                  <c:v>2.2398364570233174E-2</c:v>
                </c:pt>
                <c:pt idx="1529">
                  <c:v>2.2388371469583074E-2</c:v>
                </c:pt>
                <c:pt idx="1530">
                  <c:v>2.2376968907933777E-2</c:v>
                </c:pt>
                <c:pt idx="1531">
                  <c:v>2.2367007525206654E-2</c:v>
                </c:pt>
                <c:pt idx="1532">
                  <c:v>2.2357060943489916E-2</c:v>
                </c:pt>
                <c:pt idx="1533">
                  <c:v>2.2347129162347976E-2</c:v>
                </c:pt>
                <c:pt idx="1534">
                  <c:v>2.2337212181345888E-2</c:v>
                </c:pt>
                <c:pt idx="1535">
                  <c:v>2.2327310000048714E-2</c:v>
                </c:pt>
                <c:pt idx="1536">
                  <c:v>2.231742261802239E-2</c:v>
                </c:pt>
                <c:pt idx="1537">
                  <c:v>2.2307550034833729E-2</c:v>
                </c:pt>
                <c:pt idx="1538">
                  <c:v>2.2297692250049978E-2</c:v>
                </c:pt>
                <c:pt idx="1539">
                  <c:v>2.2287849263239266E-2</c:v>
                </c:pt>
                <c:pt idx="1540">
                  <c:v>2.2278021073970158E-2</c:v>
                </c:pt>
                <c:pt idx="1541">
                  <c:v>2.2268207681811873E-2</c:v>
                </c:pt>
                <c:pt idx="1542">
                  <c:v>2.2258409086334512E-2</c:v>
                </c:pt>
                <c:pt idx="1543">
                  <c:v>2.2248625287108387E-2</c:v>
                </c:pt>
                <c:pt idx="1544">
                  <c:v>2.223885628370513E-2</c:v>
                </c:pt>
                <c:pt idx="1545">
                  <c:v>2.2229102075696155E-2</c:v>
                </c:pt>
                <c:pt idx="1546">
                  <c:v>2.2219362662654622E-2</c:v>
                </c:pt>
                <c:pt idx="1547">
                  <c:v>2.2209638044153036E-2</c:v>
                </c:pt>
                <c:pt idx="1548">
                  <c:v>2.219992821976588E-2</c:v>
                </c:pt>
                <c:pt idx="1549">
                  <c:v>2.2190233189066971E-2</c:v>
                </c:pt>
                <c:pt idx="1550">
                  <c:v>2.2180552951632099E-2</c:v>
                </c:pt>
                <c:pt idx="1551">
                  <c:v>2.2170887507036618E-2</c:v>
                </c:pt>
                <c:pt idx="1552">
                  <c:v>2.2161236854857415E-2</c:v>
                </c:pt>
                <c:pt idx="1553">
                  <c:v>2.2151600994671158E-2</c:v>
                </c:pt>
                <c:pt idx="1554">
                  <c:v>2.2141979926055828E-2</c:v>
                </c:pt>
                <c:pt idx="1555">
                  <c:v>2.2132373648589627E-2</c:v>
                </c:pt>
                <c:pt idx="1556">
                  <c:v>2.2122782161852067E-2</c:v>
                </c:pt>
                <c:pt idx="1557">
                  <c:v>2.2113205465422225E-2</c:v>
                </c:pt>
                <c:pt idx="1558">
                  <c:v>2.2103643558881149E-2</c:v>
                </c:pt>
                <c:pt idx="1559">
                  <c:v>2.209409644180901E-2</c:v>
                </c:pt>
                <c:pt idx="1560">
                  <c:v>2.2084564113787949E-2</c:v>
                </c:pt>
                <c:pt idx="1561">
                  <c:v>2.207504657440033E-2</c:v>
                </c:pt>
                <c:pt idx="1562">
                  <c:v>2.2065543823229172E-2</c:v>
                </c:pt>
                <c:pt idx="1563">
                  <c:v>2.2056055859857929E-2</c:v>
                </c:pt>
                <c:pt idx="1564">
                  <c:v>2.2045230580124489E-2</c:v>
                </c:pt>
                <c:pt idx="1565">
                  <c:v>2.2035774303496777E-2</c:v>
                </c:pt>
                <c:pt idx="1566">
                  <c:v>2.2026332813364382E-2</c:v>
                </c:pt>
                <c:pt idx="1567">
                  <c:v>2.2016906109314043E-2</c:v>
                </c:pt>
                <c:pt idx="1568">
                  <c:v>2.2007494190932283E-2</c:v>
                </c:pt>
                <c:pt idx="1569">
                  <c:v>2.1998097057806722E-2</c:v>
                </c:pt>
                <c:pt idx="1570">
                  <c:v>2.1988714709525851E-2</c:v>
                </c:pt>
                <c:pt idx="1571">
                  <c:v>2.1979347145678604E-2</c:v>
                </c:pt>
                <c:pt idx="1572">
                  <c:v>2.1969994365854346E-2</c:v>
                </c:pt>
                <c:pt idx="1573">
                  <c:v>2.1960656369643328E-2</c:v>
                </c:pt>
                <c:pt idx="1574">
                  <c:v>2.195133315663645E-2</c:v>
                </c:pt>
                <c:pt idx="1575">
                  <c:v>2.1942024726425275E-2</c:v>
                </c:pt>
                <c:pt idx="1576">
                  <c:v>2.1932731078601574E-2</c:v>
                </c:pt>
                <c:pt idx="1577">
                  <c:v>2.1923452212758883E-2</c:v>
                </c:pt>
                <c:pt idx="1578">
                  <c:v>2.1912865894515601E-2</c:v>
                </c:pt>
                <c:pt idx="1579">
                  <c:v>2.1903618702977076E-2</c:v>
                </c:pt>
                <c:pt idx="1580">
                  <c:v>2.1894431096256606E-2</c:v>
                </c:pt>
                <c:pt idx="1581">
                  <c:v>2.1885168661611262E-2</c:v>
                </c:pt>
                <c:pt idx="1582">
                  <c:v>2.1875965810975194E-2</c:v>
                </c:pt>
                <c:pt idx="1583">
                  <c:v>2.1866777739832699E-2</c:v>
                </c:pt>
                <c:pt idx="1584">
                  <c:v>2.1857604447781034E-2</c:v>
                </c:pt>
                <c:pt idx="1585">
                  <c:v>2.1848445934418762E-2</c:v>
                </c:pt>
                <c:pt idx="1586">
                  <c:v>2.1839302199344018E-2</c:v>
                </c:pt>
                <c:pt idx="1587">
                  <c:v>2.1830173242156459E-2</c:v>
                </c:pt>
                <c:pt idx="1588">
                  <c:v>2.1821059062456412E-2</c:v>
                </c:pt>
                <c:pt idx="1589">
                  <c:v>2.1811959659844189E-2</c:v>
                </c:pt>
                <c:pt idx="1590">
                  <c:v>2.1802875033921209E-2</c:v>
                </c:pt>
                <c:pt idx="1591">
                  <c:v>2.179380518428976E-2</c:v>
                </c:pt>
                <c:pt idx="1592">
                  <c:v>2.1784750110551917E-2</c:v>
                </c:pt>
                <c:pt idx="1593">
                  <c:v>2.1775709812311504E-2</c:v>
                </c:pt>
                <c:pt idx="1594">
                  <c:v>2.176668428917234E-2</c:v>
                </c:pt>
                <c:pt idx="1595">
                  <c:v>2.1757673540738692E-2</c:v>
                </c:pt>
                <c:pt idx="1596">
                  <c:v>2.1748677566616352E-2</c:v>
                </c:pt>
                <c:pt idx="1597">
                  <c:v>2.1739696366410897E-2</c:v>
                </c:pt>
                <c:pt idx="1598">
                  <c:v>2.1730729939728997E-2</c:v>
                </c:pt>
                <c:pt idx="1599">
                  <c:v>2.1721778286177759E-2</c:v>
                </c:pt>
                <c:pt idx="1600">
                  <c:v>2.1712841405364735E-2</c:v>
                </c:pt>
                <c:pt idx="1601">
                  <c:v>2.1703919296899219E-2</c:v>
                </c:pt>
                <c:pt idx="1602">
                  <c:v>2.1695011960389414E-2</c:v>
                </c:pt>
                <c:pt idx="1603">
                  <c:v>2.1686119395445718E-2</c:v>
                </c:pt>
                <c:pt idx="1604">
                  <c:v>2.1677241601678526E-2</c:v>
                </c:pt>
                <c:pt idx="1605">
                  <c:v>2.1668378578698664E-2</c:v>
                </c:pt>
                <c:pt idx="1606">
                  <c:v>2.1659530326118063E-2</c:v>
                </c:pt>
                <c:pt idx="1607">
                  <c:v>2.1650696843549085E-2</c:v>
                </c:pt>
                <c:pt idx="1608">
                  <c:v>2.1641878130604975E-2</c:v>
                </c:pt>
                <c:pt idx="1609">
                  <c:v>2.1633074186898971E-2</c:v>
                </c:pt>
                <c:pt idx="1610">
                  <c:v>2.1624285012045628E-2</c:v>
                </c:pt>
                <c:pt idx="1611">
                  <c:v>2.1615510605660158E-2</c:v>
                </c:pt>
                <c:pt idx="1612">
                  <c:v>2.1606750967357771E-2</c:v>
                </c:pt>
                <c:pt idx="1613">
                  <c:v>2.1598006096755218E-2</c:v>
                </c:pt>
                <c:pt idx="1614">
                  <c:v>2.158927599346902E-2</c:v>
                </c:pt>
                <c:pt idx="1615">
                  <c:v>2.1580560657116797E-2</c:v>
                </c:pt>
                <c:pt idx="1616">
                  <c:v>2.157186008731727E-2</c:v>
                </c:pt>
                <c:pt idx="1617">
                  <c:v>2.1563174283688709E-2</c:v>
                </c:pt>
                <c:pt idx="1618">
                  <c:v>2.1554503245850936E-2</c:v>
                </c:pt>
                <c:pt idx="1619">
                  <c:v>2.1545846973424189E-2</c:v>
                </c:pt>
                <c:pt idx="1620">
                  <c:v>2.1537205466029163E-2</c:v>
                </c:pt>
                <c:pt idx="1621">
                  <c:v>2.1528578723287634E-2</c:v>
                </c:pt>
                <c:pt idx="1622">
                  <c:v>2.1519966744820949E-2</c:v>
                </c:pt>
                <c:pt idx="1623">
                  <c:v>2.1511369530252865E-2</c:v>
                </c:pt>
                <c:pt idx="1624">
                  <c:v>2.1502787079206033E-2</c:v>
                </c:pt>
                <c:pt idx="1625">
                  <c:v>2.1494219391305084E-2</c:v>
                </c:pt>
                <c:pt idx="1626">
                  <c:v>2.1485666466174429E-2</c:v>
                </c:pt>
                <c:pt idx="1627">
                  <c:v>2.1477128303439355E-2</c:v>
                </c:pt>
                <c:pt idx="1628">
                  <c:v>2.1468604902726462E-2</c:v>
                </c:pt>
                <c:pt idx="1629">
                  <c:v>2.1460096263661691E-2</c:v>
                </c:pt>
                <c:pt idx="1630">
                  <c:v>2.145175275686852E-2</c:v>
                </c:pt>
                <c:pt idx="1631">
                  <c:v>2.1443123268987296E-2</c:v>
                </c:pt>
                <c:pt idx="1632">
                  <c:v>2.143465891263438E-2</c:v>
                </c:pt>
                <c:pt idx="1633">
                  <c:v>2.1426209316442991E-2</c:v>
                </c:pt>
                <c:pt idx="1634">
                  <c:v>2.1417774480043023E-2</c:v>
                </c:pt>
                <c:pt idx="1635">
                  <c:v>2.1409354403065229E-2</c:v>
                </c:pt>
                <c:pt idx="1636">
                  <c:v>2.1400949085140595E-2</c:v>
                </c:pt>
                <c:pt idx="1637">
                  <c:v>2.1392558525900975E-2</c:v>
                </c:pt>
                <c:pt idx="1638">
                  <c:v>2.1384182724979536E-2</c:v>
                </c:pt>
                <c:pt idx="1639">
                  <c:v>2.1375821682008141E-2</c:v>
                </c:pt>
                <c:pt idx="1640">
                  <c:v>2.1367475396621708E-2</c:v>
                </c:pt>
                <c:pt idx="1641">
                  <c:v>2.1359143868454281E-2</c:v>
                </c:pt>
                <c:pt idx="1642">
                  <c:v>2.1350827097141003E-2</c:v>
                </c:pt>
                <c:pt idx="1643">
                  <c:v>2.1342525082317456E-2</c:v>
                </c:pt>
                <c:pt idx="1644">
                  <c:v>2.1334237823620313E-2</c:v>
                </c:pt>
                <c:pt idx="1645">
                  <c:v>2.1325965320686462E-2</c:v>
                </c:pt>
                <c:pt idx="1646">
                  <c:v>2.1317707573153679E-2</c:v>
                </c:pt>
                <c:pt idx="1647">
                  <c:v>2.1309464580660169E-2</c:v>
                </c:pt>
                <c:pt idx="1648">
                  <c:v>2.1301236342845014E-2</c:v>
                </c:pt>
                <c:pt idx="1649">
                  <c:v>2.1293022859347737E-2</c:v>
                </c:pt>
                <c:pt idx="1650">
                  <c:v>2.1284824129808734E-2</c:v>
                </c:pt>
                <c:pt idx="1651">
                  <c:v>2.1276640153869059E-2</c:v>
                </c:pt>
                <c:pt idx="1652">
                  <c:v>2.1268470931170205E-2</c:v>
                </c:pt>
                <c:pt idx="1653">
                  <c:v>2.1260316461354102E-2</c:v>
                </c:pt>
                <c:pt idx="1654">
                  <c:v>2.1252176744063996E-2</c:v>
                </c:pt>
                <c:pt idx="1655">
                  <c:v>2.1244051778943344E-2</c:v>
                </c:pt>
                <c:pt idx="1656">
                  <c:v>2.1235941565636275E-2</c:v>
                </c:pt>
                <c:pt idx="1657">
                  <c:v>2.1227846103787341E-2</c:v>
                </c:pt>
                <c:pt idx="1658">
                  <c:v>2.121976539304242E-2</c:v>
                </c:pt>
                <c:pt idx="1659">
                  <c:v>2.1211699433047595E-2</c:v>
                </c:pt>
                <c:pt idx="1660">
                  <c:v>2.1203648223786887E-2</c:v>
                </c:pt>
                <c:pt idx="1661">
                  <c:v>2.1195611936663784E-2</c:v>
                </c:pt>
                <c:pt idx="1662">
                  <c:v>2.1187591192877605E-2</c:v>
                </c:pt>
                <c:pt idx="1663">
                  <c:v>2.1179586686494951E-2</c:v>
                </c:pt>
                <c:pt idx="1664">
                  <c:v>2.1171599111559889E-2</c:v>
                </c:pt>
                <c:pt idx="1665">
                  <c:v>2.1163629162096315E-2</c:v>
                </c:pt>
                <c:pt idx="1666">
                  <c:v>2.1155677532106901E-2</c:v>
                </c:pt>
                <c:pt idx="1667">
                  <c:v>2.1147744915572409E-2</c:v>
                </c:pt>
                <c:pt idx="1668">
                  <c:v>2.1139832006454324E-2</c:v>
                </c:pt>
                <c:pt idx="1669">
                  <c:v>2.1131939498692243E-2</c:v>
                </c:pt>
                <c:pt idx="1670">
                  <c:v>2.1124068086205604E-2</c:v>
                </c:pt>
                <c:pt idx="1671">
                  <c:v>2.1116218462893487E-2</c:v>
                </c:pt>
                <c:pt idx="1672">
                  <c:v>2.1108391322634597E-2</c:v>
                </c:pt>
                <c:pt idx="1673">
                  <c:v>2.1100587359287933E-2</c:v>
                </c:pt>
                <c:pt idx="1674">
                  <c:v>2.1092807266691684E-2</c:v>
                </c:pt>
                <c:pt idx="1675">
                  <c:v>2.1085051738665213E-2</c:v>
                </c:pt>
                <c:pt idx="1676">
                  <c:v>2.1077321469007725E-2</c:v>
                </c:pt>
                <c:pt idx="1677">
                  <c:v>2.1069851198358136E-2</c:v>
                </c:pt>
                <c:pt idx="1678">
                  <c:v>2.1062179742578385E-2</c:v>
                </c:pt>
                <c:pt idx="1679">
                  <c:v>2.1054535824006581E-2</c:v>
                </c:pt>
                <c:pt idx="1680">
                  <c:v>2.1046920130814852E-2</c:v>
                </c:pt>
                <c:pt idx="1681">
                  <c:v>2.1038987102717528E-2</c:v>
                </c:pt>
                <c:pt idx="1682">
                  <c:v>2.1031776173164343E-2</c:v>
                </c:pt>
                <c:pt idx="1683">
                  <c:v>2.1024249284956852E-2</c:v>
                </c:pt>
                <c:pt idx="1684">
                  <c:v>2.1016753374630923E-2</c:v>
                </c:pt>
                <c:pt idx="1685">
                  <c:v>2.1009289130267457E-2</c:v>
                </c:pt>
                <c:pt idx="1686">
                  <c:v>2.10018572399291E-2</c:v>
                </c:pt>
                <c:pt idx="1687">
                  <c:v>2.0994458391661346E-2</c:v>
                </c:pt>
                <c:pt idx="1688">
                  <c:v>2.0987093273492522E-2</c:v>
                </c:pt>
                <c:pt idx="1689">
                  <c:v>2.0979762573433799E-2</c:v>
                </c:pt>
                <c:pt idx="1690">
                  <c:v>2.0972466979479625E-2</c:v>
                </c:pt>
                <c:pt idx="1691">
                  <c:v>2.0965207179608362E-2</c:v>
                </c:pt>
                <c:pt idx="1692">
                  <c:v>2.0957983861782093E-2</c:v>
                </c:pt>
                <c:pt idx="1693">
                  <c:v>2.095079771394617E-2</c:v>
                </c:pt>
                <c:pt idx="1694">
                  <c:v>2.0943286614947296E-2</c:v>
                </c:pt>
                <c:pt idx="1695">
                  <c:v>2.0936539679952706E-2</c:v>
                </c:pt>
                <c:pt idx="1696">
                  <c:v>2.0929469169609194E-2</c:v>
                </c:pt>
                <c:pt idx="1697">
                  <c:v>2.0922438580885602E-2</c:v>
                </c:pt>
                <c:pt idx="1698">
                  <c:v>2.0915448601652346E-2</c:v>
                </c:pt>
                <c:pt idx="1699">
                  <c:v>2.0908499919764418E-2</c:v>
                </c:pt>
                <c:pt idx="1700">
                  <c:v>2.0901593223063553E-2</c:v>
                </c:pt>
                <c:pt idx="1701">
                  <c:v>2.0894729199378247E-2</c:v>
                </c:pt>
                <c:pt idx="1702">
                  <c:v>2.088790853652156E-2</c:v>
                </c:pt>
                <c:pt idx="1703">
                  <c:v>2.0881131922295272E-2</c:v>
                </c:pt>
                <c:pt idx="1704">
                  <c:v>2.0874400044486815E-2</c:v>
                </c:pt>
                <c:pt idx="1705">
                  <c:v>2.086771359087233E-2</c:v>
                </c:pt>
                <c:pt idx="1706">
                  <c:v>2.0861073249214487E-2</c:v>
                </c:pt>
                <c:pt idx="1707">
                  <c:v>2.0853995783335431E-2</c:v>
                </c:pt>
                <c:pt idx="1708">
                  <c:v>2.0847933652762735E-2</c:v>
                </c:pt>
                <c:pt idx="1709">
                  <c:v>2.084143577343639E-2</c:v>
                </c:pt>
                <c:pt idx="1710">
                  <c:v>2.0834986757002689E-2</c:v>
                </c:pt>
                <c:pt idx="1711">
                  <c:v>2.0828587291168266E-2</c:v>
                </c:pt>
                <c:pt idx="1712">
                  <c:v>2.0822238063629754E-2</c:v>
                </c:pt>
                <c:pt idx="1713">
                  <c:v>2.0815939647298443E-2</c:v>
                </c:pt>
                <c:pt idx="1714">
                  <c:v>2.0809692155987637E-2</c:v>
                </c:pt>
                <c:pt idx="1715">
                  <c:v>2.0803495588742449E-2</c:v>
                </c:pt>
                <c:pt idx="1716">
                  <c:v>2.079734994461559E-2</c:v>
                </c:pt>
                <c:pt idx="1717">
                  <c:v>2.0791255222668246E-2</c:v>
                </c:pt>
                <c:pt idx="1718">
                  <c:v>2.078521142196834E-2</c:v>
                </c:pt>
                <c:pt idx="1719">
                  <c:v>2.0779218541592911E-2</c:v>
                </c:pt>
                <c:pt idx="1720">
                  <c:v>2.077327658062509E-2</c:v>
                </c:pt>
                <c:pt idx="1721">
                  <c:v>2.0767385538157768E-2</c:v>
                </c:pt>
                <c:pt idx="1722">
                  <c:v>2.0761545413289714E-2</c:v>
                </c:pt>
                <c:pt idx="1723">
                  <c:v>2.0755756205128813E-2</c:v>
                </c:pt>
                <c:pt idx="1724">
                  <c:v>2.0750017912790342E-2</c:v>
                </c:pt>
                <c:pt idx="1725">
                  <c:v>2.0744330535397173E-2</c:v>
                </c:pt>
                <c:pt idx="1726">
                  <c:v>2.0738694072080004E-2</c:v>
                </c:pt>
                <c:pt idx="1727">
                  <c:v>2.0733108521977784E-2</c:v>
                </c:pt>
                <c:pt idx="1728">
                  <c:v>2.0727573884236194E-2</c:v>
                </c:pt>
                <c:pt idx="1729">
                  <c:v>2.0721389045282482E-2</c:v>
                </c:pt>
                <c:pt idx="1730">
                  <c:v>2.071594625096532E-2</c:v>
                </c:pt>
                <c:pt idx="1731">
                  <c:v>2.0710554357730955E-2</c:v>
                </c:pt>
                <c:pt idx="1732">
                  <c:v>2.0705213364762075E-2</c:v>
                </c:pt>
                <c:pt idx="1733">
                  <c:v>2.0699923271249025E-2</c:v>
                </c:pt>
                <c:pt idx="1734">
                  <c:v>2.0694684076390031E-2</c:v>
                </c:pt>
                <c:pt idx="1735">
                  <c:v>2.0689495779390991E-2</c:v>
                </c:pt>
                <c:pt idx="1736">
                  <c:v>2.0685387238311731E-2</c:v>
                </c:pt>
                <c:pt idx="1737">
                  <c:v>2.0679271875834244E-2</c:v>
                </c:pt>
                <c:pt idx="1738">
                  <c:v>2.0674049166878167E-2</c:v>
                </c:pt>
                <c:pt idx="1739">
                  <c:v>2.0669078429553858E-2</c:v>
                </c:pt>
                <c:pt idx="1740">
                  <c:v>2.0664158591939933E-2</c:v>
                </c:pt>
                <c:pt idx="1741">
                  <c:v>2.0659289653286474E-2</c:v>
                </c:pt>
                <c:pt idx="1742">
                  <c:v>2.0654471612851628E-2</c:v>
                </c:pt>
                <c:pt idx="1743">
                  <c:v>2.0649704469900505E-2</c:v>
                </c:pt>
                <c:pt idx="1744">
                  <c:v>2.0644988223707139E-2</c:v>
                </c:pt>
                <c:pt idx="1745">
                  <c:v>2.0640322873552549E-2</c:v>
                </c:pt>
                <c:pt idx="1746">
                  <c:v>2.0634836036521706E-2</c:v>
                </c:pt>
                <c:pt idx="1747">
                  <c:v>2.0631144858523812E-2</c:v>
                </c:pt>
                <c:pt idx="1748">
                  <c:v>2.0626632192250454E-2</c:v>
                </c:pt>
                <c:pt idx="1749">
                  <c:v>2.0622170419218325E-2</c:v>
                </c:pt>
                <c:pt idx="1750">
                  <c:v>2.0617759538747862E-2</c:v>
                </c:pt>
                <c:pt idx="1751">
                  <c:v>2.0613399550166462E-2</c:v>
                </c:pt>
                <c:pt idx="1752">
                  <c:v>2.060909045280938E-2</c:v>
                </c:pt>
                <c:pt idx="1753">
                  <c:v>2.060483224602035E-2</c:v>
                </c:pt>
                <c:pt idx="1754">
                  <c:v>2.0600624929150085E-2</c:v>
                </c:pt>
                <c:pt idx="1755">
                  <c:v>2.0595504662861763E-2</c:v>
                </c:pt>
                <c:pt idx="1756">
                  <c:v>2.0592362962609419E-2</c:v>
                </c:pt>
                <c:pt idx="1757">
                  <c:v>2.0588308311679862E-2</c:v>
                </c:pt>
                <c:pt idx="1758">
                  <c:v>2.058430454815097E-2</c:v>
                </c:pt>
                <c:pt idx="1759">
                  <c:v>2.0580351671412884E-2</c:v>
                </c:pt>
                <c:pt idx="1760">
                  <c:v>2.0576449680862707E-2</c:v>
                </c:pt>
                <c:pt idx="1761">
                  <c:v>2.0572598575905814E-2</c:v>
                </c:pt>
                <c:pt idx="1762">
                  <c:v>2.0568798355955646E-2</c:v>
                </c:pt>
                <c:pt idx="1763">
                  <c:v>2.0565049020432612E-2</c:v>
                </c:pt>
                <c:pt idx="1764">
                  <c:v>2.0561350568766054E-2</c:v>
                </c:pt>
                <c:pt idx="1765">
                  <c:v>2.0557703000391409E-2</c:v>
                </c:pt>
                <c:pt idx="1766">
                  <c:v>2.0554106314753483E-2</c:v>
                </c:pt>
                <c:pt idx="1767">
                  <c:v>2.0550560511304043E-2</c:v>
                </c:pt>
                <c:pt idx="1768">
                  <c:v>2.0545968410147719E-2</c:v>
                </c:pt>
                <c:pt idx="1769">
                  <c:v>2.0543621548816497E-2</c:v>
                </c:pt>
                <c:pt idx="1770">
                  <c:v>2.0540228388720928E-2</c:v>
                </c:pt>
                <c:pt idx="1771">
                  <c:v>2.0536886108698919E-2</c:v>
                </c:pt>
                <c:pt idx="1772">
                  <c:v>2.0531437380782482E-2</c:v>
                </c:pt>
                <c:pt idx="1773">
                  <c:v>2.0528211760515593E-2</c:v>
                </c:pt>
                <c:pt idx="1774">
                  <c:v>2.0525037012876678E-2</c:v>
                </c:pt>
                <c:pt idx="1775">
                  <c:v>2.0521913137383711E-2</c:v>
                </c:pt>
                <c:pt idx="1776">
                  <c:v>2.0518840133563861E-2</c:v>
                </c:pt>
                <c:pt idx="1777">
                  <c:v>2.0515818000951098E-2</c:v>
                </c:pt>
                <c:pt idx="1778">
                  <c:v>2.0512846739087261E-2</c:v>
                </c:pt>
                <c:pt idx="1779">
                  <c:v>2.0509926347522304E-2</c:v>
                </c:pt>
                <c:pt idx="1780">
                  <c:v>2.0507056825813615E-2</c:v>
                </c:pt>
                <c:pt idx="1781">
                  <c:v>2.0504238173525605E-2</c:v>
                </c:pt>
                <c:pt idx="1782">
                  <c:v>2.0501470390232309E-2</c:v>
                </c:pt>
                <c:pt idx="1783">
                  <c:v>2.0498753475513241E-2</c:v>
                </c:pt>
                <c:pt idx="1784">
                  <c:v>2.0496087428956901E-2</c:v>
                </c:pt>
                <c:pt idx="1785">
                  <c:v>2.0493472250159437E-2</c:v>
                </c:pt>
                <c:pt idx="1786">
                  <c:v>2.0490907938724025E-2</c:v>
                </c:pt>
                <c:pt idx="1787">
                  <c:v>2.0488394494262808E-2</c:v>
                </c:pt>
                <c:pt idx="1788">
                  <c:v>2.0485237665508679E-2</c:v>
                </c:pt>
                <c:pt idx="1789">
                  <c:v>2.0483520204745045E-2</c:v>
                </c:pt>
                <c:pt idx="1790">
                  <c:v>2.0481159358949806E-2</c:v>
                </c:pt>
                <c:pt idx="1791">
                  <c:v>2.0478849378651146E-2</c:v>
                </c:pt>
                <c:pt idx="1792">
                  <c:v>2.0476590263498226E-2</c:v>
                </c:pt>
                <c:pt idx="1793">
                  <c:v>2.0474382013149401E-2</c:v>
                </c:pt>
                <c:pt idx="1794">
                  <c:v>2.0472224627269376E-2</c:v>
                </c:pt>
                <c:pt idx="1795">
                  <c:v>2.0470118105531621E-2</c:v>
                </c:pt>
                <c:pt idx="1796">
                  <c:v>2.0468062447616828E-2</c:v>
                </c:pt>
                <c:pt idx="1797">
                  <c:v>2.0466057653213354E-2</c:v>
                </c:pt>
                <c:pt idx="1798">
                  <c:v>2.0464103722017225E-2</c:v>
                </c:pt>
                <c:pt idx="1799">
                  <c:v>2.0462200653732346E-2</c:v>
                </c:pt>
                <c:pt idx="1800">
                  <c:v>2.0460348448070514E-2</c:v>
                </c:pt>
                <c:pt idx="1801">
                  <c:v>2.0458547104750969E-2</c:v>
                </c:pt>
                <c:pt idx="1802">
                  <c:v>2.0456796623500386E-2</c:v>
                </c:pt>
                <c:pt idx="1803">
                  <c:v>2.0455097004053562E-2</c:v>
                </c:pt>
                <c:pt idx="1804">
                  <c:v>2.04534482461536E-2</c:v>
                </c:pt>
                <c:pt idx="1805">
                  <c:v>2.0451850349549744E-2</c:v>
                </c:pt>
                <c:pt idx="1806">
                  <c:v>2.0450303314000214E-2</c:v>
                </c:pt>
                <c:pt idx="1807">
                  <c:v>2.0448807139270463E-2</c:v>
                </c:pt>
                <c:pt idx="1808">
                  <c:v>2.0447361825133816E-2</c:v>
                </c:pt>
                <c:pt idx="1809">
                  <c:v>2.0445967371371054E-2</c:v>
                </c:pt>
                <c:pt idx="1810">
                  <c:v>2.044462377777128E-2</c:v>
                </c:pt>
                <c:pt idx="1811">
                  <c:v>2.044333104413016E-2</c:v>
                </c:pt>
                <c:pt idx="1812">
                  <c:v>2.0442089170252344E-2</c:v>
                </c:pt>
                <c:pt idx="1813">
                  <c:v>2.044089815594971E-2</c:v>
                </c:pt>
                <c:pt idx="1814">
                  <c:v>2.0439758001041142E-2</c:v>
                </c:pt>
                <c:pt idx="1815">
                  <c:v>2.0438668705354286E-2</c:v>
                </c:pt>
                <c:pt idx="1816">
                  <c:v>2.043763026872401E-2</c:v>
                </c:pt>
                <c:pt idx="1817">
                  <c:v>2.0436642690993077E-2</c:v>
                </c:pt>
                <c:pt idx="1818">
                  <c:v>2.0435705972011463E-2</c:v>
                </c:pt>
                <c:pt idx="1819">
                  <c:v>2.0434820111637473E-2</c:v>
                </c:pt>
                <c:pt idx="1820">
                  <c:v>2.0433985109736427E-2</c:v>
                </c:pt>
                <c:pt idx="1821">
                  <c:v>2.0433200966182393E-2</c:v>
                </c:pt>
                <c:pt idx="1822">
                  <c:v>2.0432467680856235E-2</c:v>
                </c:pt>
                <c:pt idx="1823">
                  <c:v>2.0431785253646917E-2</c:v>
                </c:pt>
                <c:pt idx="1824">
                  <c:v>2.043106761194852E-2</c:v>
                </c:pt>
                <c:pt idx="1825">
                  <c:v>2.0430494166079539E-2</c:v>
                </c:pt>
                <c:pt idx="1826">
                  <c:v>2.0429971578028241E-2</c:v>
                </c:pt>
                <c:pt idx="1827">
                  <c:v>2.0429499847715346E-2</c:v>
                </c:pt>
                <c:pt idx="1828">
                  <c:v>2.0429078975069462E-2</c:v>
                </c:pt>
                <c:pt idx="1829">
                  <c:v>2.0428708960026638E-2</c:v>
                </c:pt>
                <c:pt idx="1830">
                  <c:v>2.0428389802531029E-2</c:v>
                </c:pt>
                <c:pt idx="1831">
                  <c:v>2.0428121502534015E-2</c:v>
                </c:pt>
                <c:pt idx="1832">
                  <c:v>2.0427904059995301E-2</c:v>
                </c:pt>
                <c:pt idx="1833">
                  <c:v>2.0427737474881597E-2</c:v>
                </c:pt>
                <c:pt idx="1834">
                  <c:v>2.042762174716772E-2</c:v>
                </c:pt>
                <c:pt idx="1835">
                  <c:v>2.0427556876836145E-2</c:v>
                </c:pt>
                <c:pt idx="1836">
                  <c:v>2.0427542863877463E-2</c:v>
                </c:pt>
                <c:pt idx="1837">
                  <c:v>2.0427579708288821E-2</c:v>
                </c:pt>
                <c:pt idx="1838">
                  <c:v>2.0427701808881909E-2</c:v>
                </c:pt>
                <c:pt idx="1839">
                  <c:v>2.0427854898744886E-2</c:v>
                </c:pt>
                <c:pt idx="1840">
                  <c:v>2.0428058846025211E-2</c:v>
                </c:pt>
                <c:pt idx="1841">
                  <c:v>2.0429610454853309E-2</c:v>
                </c:pt>
                <c:pt idx="1842">
                  <c:v>2.0428619312970832E-2</c:v>
                </c:pt>
                <c:pt idx="1843">
                  <c:v>2.0428975832720662E-2</c:v>
                </c:pt>
                <c:pt idx="1844">
                  <c:v>2.0429383210058008E-2</c:v>
                </c:pt>
                <c:pt idx="1845">
                  <c:v>2.042984144504462E-2</c:v>
                </c:pt>
                <c:pt idx="1846">
                  <c:v>2.0430350537749928E-2</c:v>
                </c:pt>
                <c:pt idx="1847">
                  <c:v>2.0430910488251235E-2</c:v>
                </c:pt>
                <c:pt idx="1848">
                  <c:v>2.0431521296633521E-2</c:v>
                </c:pt>
                <c:pt idx="1849">
                  <c:v>2.0432182962988762E-2</c:v>
                </c:pt>
                <c:pt idx="1850">
                  <c:v>2.0432895487417699E-2</c:v>
                </c:pt>
                <c:pt idx="1851">
                  <c:v>2.0433658870028303E-2</c:v>
                </c:pt>
                <c:pt idx="1852">
                  <c:v>2.0434473110936425E-2</c:v>
                </c:pt>
                <c:pt idx="1853">
                  <c:v>2.0435338210264709E-2</c:v>
                </c:pt>
                <c:pt idx="1854">
                  <c:v>2.043625416814521E-2</c:v>
                </c:pt>
                <c:pt idx="1855">
                  <c:v>2.0437220984716339E-2</c:v>
                </c:pt>
                <c:pt idx="1856">
                  <c:v>2.0438238660124394E-2</c:v>
                </c:pt>
                <c:pt idx="1857">
                  <c:v>2.0439307194523765E-2</c:v>
                </c:pt>
                <c:pt idx="1858">
                  <c:v>2.0440426588076523E-2</c:v>
                </c:pt>
                <c:pt idx="1859">
                  <c:v>2.0441596840952387E-2</c:v>
                </c:pt>
                <c:pt idx="1860">
                  <c:v>2.0442817953328096E-2</c:v>
                </c:pt>
                <c:pt idx="1861">
                  <c:v>2.044408992538958E-2</c:v>
                </c:pt>
                <c:pt idx="1862">
                  <c:v>2.0445412757329348E-2</c:v>
                </c:pt>
                <c:pt idx="1863">
                  <c:v>2.0446786449347349E-2</c:v>
                </c:pt>
                <c:pt idx="1864">
                  <c:v>2.0448211001652509E-2</c:v>
                </c:pt>
                <c:pt idx="1865">
                  <c:v>2.0449686414460107E-2</c:v>
                </c:pt>
                <c:pt idx="1866">
                  <c:v>2.0451212687993967E-2</c:v>
                </c:pt>
                <c:pt idx="1867">
                  <c:v>2.0452789822485794E-2</c:v>
                </c:pt>
                <c:pt idx="1868">
                  <c:v>2.0454417818174076E-2</c:v>
                </c:pt>
                <c:pt idx="1869">
                  <c:v>2.045609667530586E-2</c:v>
                </c:pt>
                <c:pt idx="1870">
                  <c:v>2.0457826394135396E-2</c:v>
                </c:pt>
                <c:pt idx="1871">
                  <c:v>2.0459606974924618E-2</c:v>
                </c:pt>
                <c:pt idx="1872">
                  <c:v>2.0461438417944216E-2</c:v>
                </c:pt>
                <c:pt idx="1873">
                  <c:v>2.0463320723471005E-2</c:v>
                </c:pt>
                <c:pt idx="1874">
                  <c:v>2.0465253891790127E-2</c:v>
                </c:pt>
                <c:pt idx="1875">
                  <c:v>2.0468394492029612E-2</c:v>
                </c:pt>
                <c:pt idx="1876">
                  <c:v>2.047108288608529E-2</c:v>
                </c:pt>
                <c:pt idx="1877">
                  <c:v>2.0471358576472712E-2</c:v>
                </c:pt>
                <c:pt idx="1878">
                  <c:v>2.0473495198969831E-2</c:v>
                </c:pt>
                <c:pt idx="1879">
                  <c:v>2.0475682685801504E-2</c:v>
                </c:pt>
                <c:pt idx="1880">
                  <c:v>2.0477921037299299E-2</c:v>
                </c:pt>
                <c:pt idx="1881">
                  <c:v>2.0480210253802891E-2</c:v>
                </c:pt>
                <c:pt idx="1882">
                  <c:v>2.0482550335658524E-2</c:v>
                </c:pt>
                <c:pt idx="1883">
                  <c:v>2.04849412832212E-2</c:v>
                </c:pt>
                <c:pt idx="1884">
                  <c:v>2.0487383096853367E-2</c:v>
                </c:pt>
                <c:pt idx="1885">
                  <c:v>2.0492249173212931E-2</c:v>
                </c:pt>
                <c:pt idx="1886">
                  <c:v>2.0494804052202172E-2</c:v>
                </c:pt>
                <c:pt idx="1887">
                  <c:v>2.0497409807135301E-2</c:v>
                </c:pt>
                <c:pt idx="1888">
                  <c:v>2.0500066438411138E-2</c:v>
                </c:pt>
                <c:pt idx="1889">
                  <c:v>2.0502773946435224E-2</c:v>
                </c:pt>
                <c:pt idx="1890">
                  <c:v>2.0505532331621137E-2</c:v>
                </c:pt>
                <c:pt idx="1891">
                  <c:v>2.0509156223087577E-2</c:v>
                </c:pt>
                <c:pt idx="1892">
                  <c:v>2.0511201735172544E-2</c:v>
                </c:pt>
                <c:pt idx="1893">
                  <c:v>2.0511648456273793E-2</c:v>
                </c:pt>
                <c:pt idx="1894">
                  <c:v>2.0517074652530842E-2</c:v>
                </c:pt>
                <c:pt idx="1895">
                  <c:v>2.0520087430004864E-2</c:v>
                </c:pt>
                <c:pt idx="1896">
                  <c:v>2.0523151087286206E-2</c:v>
                </c:pt>
                <c:pt idx="1897">
                  <c:v>2.0526265624843412E-2</c:v>
                </c:pt>
                <c:pt idx="1898">
                  <c:v>2.0529431043151969E-2</c:v>
                </c:pt>
                <c:pt idx="1899">
                  <c:v>2.0532647342696275E-2</c:v>
                </c:pt>
                <c:pt idx="1900">
                  <c:v>2.0535914523967455E-2</c:v>
                </c:pt>
                <c:pt idx="1901">
                  <c:v>2.0539232587464457E-2</c:v>
                </c:pt>
                <c:pt idx="1902">
                  <c:v>2.0542601533694704E-2</c:v>
                </c:pt>
                <c:pt idx="1903">
                  <c:v>2.0546021363172566E-2</c:v>
                </c:pt>
                <c:pt idx="1904">
                  <c:v>2.0549492076421323E-2</c:v>
                </c:pt>
                <c:pt idx="1905">
                  <c:v>2.0553013673970982E-2</c:v>
                </c:pt>
                <c:pt idx="1906">
                  <c:v>2.0553972943288541E-2</c:v>
                </c:pt>
                <c:pt idx="1907">
                  <c:v>2.0560209524133236E-2</c:v>
                </c:pt>
                <c:pt idx="1908">
                  <c:v>2.0563883777845172E-2</c:v>
                </c:pt>
                <c:pt idx="1909">
                  <c:v>2.0567608918057555E-2</c:v>
                </c:pt>
                <c:pt idx="1910">
                  <c:v>2.0571384945339062E-2</c:v>
                </c:pt>
                <c:pt idx="1911">
                  <c:v>2.057521186026684E-2</c:v>
                </c:pt>
                <c:pt idx="1912">
                  <c:v>2.0579089663425854E-2</c:v>
                </c:pt>
                <c:pt idx="1913">
                  <c:v>2.0583018355408676E-2</c:v>
                </c:pt>
                <c:pt idx="1914">
                  <c:v>2.0586997936815479E-2</c:v>
                </c:pt>
                <c:pt idx="1915">
                  <c:v>2.0591028408254903E-2</c:v>
                </c:pt>
                <c:pt idx="1916">
                  <c:v>2.059510977034211E-2</c:v>
                </c:pt>
                <c:pt idx="1917">
                  <c:v>2.0599242023701163E-2</c:v>
                </c:pt>
                <c:pt idx="1918">
                  <c:v>2.0603425168963518E-2</c:v>
                </c:pt>
                <c:pt idx="1919">
                  <c:v>2.0607659206768665E-2</c:v>
                </c:pt>
                <c:pt idx="1920">
                  <c:v>2.0611944093617697E-2</c:v>
                </c:pt>
                <c:pt idx="1921">
                  <c:v>2.0616279044514203E-2</c:v>
                </c:pt>
                <c:pt idx="1922">
                  <c:v>2.062066265917438E-2</c:v>
                </c:pt>
                <c:pt idx="1923">
                  <c:v>2.0625093518673469E-2</c:v>
                </c:pt>
                <c:pt idx="1924">
                  <c:v>2.0629570204069112E-2</c:v>
                </c:pt>
                <c:pt idx="1925">
                  <c:v>2.0634091296398104E-2</c:v>
                </c:pt>
                <c:pt idx="1926">
                  <c:v>2.0638655376679423E-2</c:v>
                </c:pt>
                <c:pt idx="1927">
                  <c:v>2.0644208522344883E-2</c:v>
                </c:pt>
                <c:pt idx="1928">
                  <c:v>2.0645058408371716E-2</c:v>
                </c:pt>
                <c:pt idx="1929">
                  <c:v>2.0652591355111102E-2</c:v>
                </c:pt>
                <c:pt idx="1930">
                  <c:v>2.0657313196969049E-2</c:v>
                </c:pt>
                <c:pt idx="1931">
                  <c:v>2.0662070931554699E-2</c:v>
                </c:pt>
                <c:pt idx="1932">
                  <c:v>2.0666863139756055E-2</c:v>
                </c:pt>
                <c:pt idx="1933">
                  <c:v>2.0671688402437861E-2</c:v>
                </c:pt>
                <c:pt idx="1934">
                  <c:v>2.0676545300439903E-2</c:v>
                </c:pt>
                <c:pt idx="1935">
                  <c:v>2.0681432414578496E-2</c:v>
                </c:pt>
                <c:pt idx="1936">
                  <c:v>2.0686348325644539E-2</c:v>
                </c:pt>
                <c:pt idx="1937">
                  <c:v>2.0688399294631125E-2</c:v>
                </c:pt>
                <c:pt idx="1938">
                  <c:v>2.0693365834204811E-2</c:v>
                </c:pt>
                <c:pt idx="1939">
                  <c:v>2.0698357305151408E-2</c:v>
                </c:pt>
                <c:pt idx="1940">
                  <c:v>2.0703372276738342E-2</c:v>
                </c:pt>
                <c:pt idx="1941">
                  <c:v>2.0708409318206323E-2</c:v>
                </c:pt>
                <c:pt idx="1942">
                  <c:v>2.0717336395861968E-2</c:v>
                </c:pt>
                <c:pt idx="1943">
                  <c:v>2.0718543887609405E-2</c:v>
                </c:pt>
                <c:pt idx="1944">
                  <c:v>2.0723638553889267E-2</c:v>
                </c:pt>
                <c:pt idx="1945">
                  <c:v>2.0728749566737283E-2</c:v>
                </c:pt>
                <c:pt idx="1946">
                  <c:v>2.073387549525597E-2</c:v>
                </c:pt>
                <c:pt idx="1947">
                  <c:v>2.0739014908518719E-2</c:v>
                </c:pt>
                <c:pt idx="1948">
                  <c:v>2.0744166375570448E-2</c:v>
                </c:pt>
                <c:pt idx="1949">
                  <c:v>2.0749328465427385E-2</c:v>
                </c:pt>
                <c:pt idx="1950">
                  <c:v>2.0754499747076421E-2</c:v>
                </c:pt>
                <c:pt idx="1951">
                  <c:v>2.0759678789476179E-2</c:v>
                </c:pt>
                <c:pt idx="1952">
                  <c:v>2.0764864161554857E-2</c:v>
                </c:pt>
                <c:pt idx="1953">
                  <c:v>2.0770054432212394E-2</c:v>
                </c:pt>
                <c:pt idx="1954">
                  <c:v>2.0775248170318946E-2</c:v>
                </c:pt>
                <c:pt idx="1955">
                  <c:v>2.0780443944714438E-2</c:v>
                </c:pt>
                <c:pt idx="1956">
                  <c:v>2.0785640324210781E-2</c:v>
                </c:pt>
                <c:pt idx="1957">
                  <c:v>2.0790835877588988E-2</c:v>
                </c:pt>
                <c:pt idx="1958">
                  <c:v>2.0796029173601176E-2</c:v>
                </c:pt>
                <c:pt idx="1959">
                  <c:v>2.0801218780969893E-2</c:v>
                </c:pt>
                <c:pt idx="1960">
                  <c:v>2.0806403268388115E-2</c:v>
                </c:pt>
                <c:pt idx="1961">
                  <c:v>2.0811581204519706E-2</c:v>
                </c:pt>
                <c:pt idx="1962">
                  <c:v>2.0816751157998727E-2</c:v>
                </c:pt>
                <c:pt idx="1963">
                  <c:v>2.0821911697430123E-2</c:v>
                </c:pt>
                <c:pt idx="1964">
                  <c:v>2.082706139139015E-2</c:v>
                </c:pt>
                <c:pt idx="1965">
                  <c:v>2.0832198808425496E-2</c:v>
                </c:pt>
                <c:pt idx="1966">
                  <c:v>2.0837322517055033E-2</c:v>
                </c:pt>
                <c:pt idx="1967">
                  <c:v>2.0842431085768071E-2</c:v>
                </c:pt>
                <c:pt idx="1968">
                  <c:v>2.0847523083025451E-2</c:v>
                </c:pt>
                <c:pt idx="1969">
                  <c:v>2.0852597077260854E-2</c:v>
                </c:pt>
                <c:pt idx="1970">
                  <c:v>2.0857651636879051E-2</c:v>
                </c:pt>
                <c:pt idx="1971">
                  <c:v>2.0862685330257664E-2</c:v>
                </c:pt>
                <c:pt idx="1972">
                  <c:v>2.0867696725746714E-2</c:v>
                </c:pt>
                <c:pt idx="1973">
                  <c:v>2.0872684630226738E-2</c:v>
                </c:pt>
                <c:pt idx="1974">
                  <c:v>2.0877648804789661E-2</c:v>
                </c:pt>
                <c:pt idx="1975">
                  <c:v>2.088258924908486E-2</c:v>
                </c:pt>
                <c:pt idx="1976">
                  <c:v>2.0887505962762589E-2</c:v>
                </c:pt>
                <c:pt idx="1977">
                  <c:v>2.0892398945474632E-2</c:v>
                </c:pt>
                <c:pt idx="1978">
                  <c:v>2.0897268196875839E-2</c:v>
                </c:pt>
                <c:pt idx="1979">
                  <c:v>2.0902113716621065E-2</c:v>
                </c:pt>
                <c:pt idx="1980">
                  <c:v>2.0906935504368007E-2</c:v>
                </c:pt>
                <c:pt idx="1981">
                  <c:v>2.0911733559775238E-2</c:v>
                </c:pt>
                <c:pt idx="1982">
                  <c:v>2.0916507882503522E-2</c:v>
                </c:pt>
                <c:pt idx="1983">
                  <c:v>2.092125847221538E-2</c:v>
                </c:pt>
                <c:pt idx="1984">
                  <c:v>2.0925985328574419E-2</c:v>
                </c:pt>
                <c:pt idx="1985">
                  <c:v>2.0930688451246664E-2</c:v>
                </c:pt>
                <c:pt idx="1986">
                  <c:v>2.0935367839899004E-2</c:v>
                </c:pt>
                <c:pt idx="1987">
                  <c:v>2.0940023494200755E-2</c:v>
                </c:pt>
                <c:pt idx="1988">
                  <c:v>2.0944655413822746E-2</c:v>
                </c:pt>
                <c:pt idx="1989">
                  <c:v>2.0949263598436699E-2</c:v>
                </c:pt>
                <c:pt idx="1990">
                  <c:v>2.095384804771739E-2</c:v>
                </c:pt>
                <c:pt idx="1991">
                  <c:v>2.0958408761340037E-2</c:v>
                </c:pt>
                <c:pt idx="1992">
                  <c:v>2.0966603065284421E-2</c:v>
                </c:pt>
                <c:pt idx="1993">
                  <c:v>2.0967458980323258E-2</c:v>
                </c:pt>
                <c:pt idx="1994">
                  <c:v>2.097194848504368E-2</c:v>
                </c:pt>
                <c:pt idx="1995">
                  <c:v>2.0976414252825551E-2</c:v>
                </c:pt>
                <c:pt idx="1996">
                  <c:v>2.0980856283353503E-2</c:v>
                </c:pt>
                <c:pt idx="1997">
                  <c:v>2.0985274576313055E-2</c:v>
                </c:pt>
                <c:pt idx="1998">
                  <c:v>2.0989669131391685E-2</c:v>
                </c:pt>
                <c:pt idx="1999">
                  <c:v>2.0994039948279065E-2</c:v>
                </c:pt>
                <c:pt idx="2000">
                  <c:v>2.0998387026665309E-2</c:v>
                </c:pt>
                <c:pt idx="2001">
                  <c:v>2.1002710366243155E-2</c:v>
                </c:pt>
                <c:pt idx="2002">
                  <c:v>2.1007009966706656E-2</c:v>
                </c:pt>
                <c:pt idx="2003">
                  <c:v>2.1011285827752271E-2</c:v>
                </c:pt>
                <c:pt idx="2004">
                  <c:v>2.1015537949076468E-2</c:v>
                </c:pt>
                <c:pt idx="2005">
                  <c:v>2.1019766330379205E-2</c:v>
                </c:pt>
                <c:pt idx="2006">
                  <c:v>2.102397097136155E-2</c:v>
                </c:pt>
                <c:pt idx="2007">
                  <c:v>2.1028151871725659E-2</c:v>
                </c:pt>
                <c:pt idx="2008">
                  <c:v>2.1032309031175433E-2</c:v>
                </c:pt>
                <c:pt idx="2009">
                  <c:v>2.1036442449417853E-2</c:v>
                </c:pt>
                <c:pt idx="2010">
                  <c:v>2.1040552126159452E-2</c:v>
                </c:pt>
                <c:pt idx="2011">
                  <c:v>2.1044638061110274E-2</c:v>
                </c:pt>
                <c:pt idx="2012">
                  <c:v>2.104870025398101E-2</c:v>
                </c:pt>
                <c:pt idx="2013">
                  <c:v>2.1052738704484333E-2</c:v>
                </c:pt>
                <c:pt idx="2014">
                  <c:v>2.1056753412334005E-2</c:v>
                </c:pt>
                <c:pt idx="2015">
                  <c:v>2.1060744377247073E-2</c:v>
                </c:pt>
                <c:pt idx="2016">
                  <c:v>2.1064711598940366E-2</c:v>
                </c:pt>
                <c:pt idx="2017">
                  <c:v>2.1068655077133781E-2</c:v>
                </c:pt>
                <c:pt idx="2018">
                  <c:v>2.1072574811548089E-2</c:v>
                </c:pt>
                <c:pt idx="2019">
                  <c:v>2.1076470801905816E-2</c:v>
                </c:pt>
                <c:pt idx="2020">
                  <c:v>2.108034304793167E-2</c:v>
                </c:pt>
                <c:pt idx="2021">
                  <c:v>2.1084191549351899E-2</c:v>
                </c:pt>
                <c:pt idx="2022">
                  <c:v>2.1088016305893409E-2</c:v>
                </c:pt>
                <c:pt idx="2023">
                  <c:v>2.1091817317286824E-2</c:v>
                </c:pt>
                <c:pt idx="2024">
                  <c:v>2.1095594583262552E-2</c:v>
                </c:pt>
                <c:pt idx="2025">
                  <c:v>2.1099348103552969E-2</c:v>
                </c:pt>
                <c:pt idx="2026">
                  <c:v>2.1103077877893527E-2</c:v>
                </c:pt>
                <c:pt idx="2027">
                  <c:v>2.1106783906019881E-2</c:v>
                </c:pt>
                <c:pt idx="2028">
                  <c:v>2.1110466187669451E-2</c:v>
                </c:pt>
                <c:pt idx="2029">
                  <c:v>2.1114124722582499E-2</c:v>
                </c:pt>
                <c:pt idx="2030">
                  <c:v>2.1117759510499944E-2</c:v>
                </c:pt>
                <c:pt idx="2031">
                  <c:v>2.1121370551164236E-2</c:v>
                </c:pt>
                <c:pt idx="2032">
                  <c:v>2.1127179871991475E-2</c:v>
                </c:pt>
                <c:pt idx="2033">
                  <c:v>2.1130737045254561E-2</c:v>
                </c:pt>
                <c:pt idx="2034">
                  <c:v>2.1134270467742348E-2</c:v>
                </c:pt>
                <c:pt idx="2035">
                  <c:v>2.1137780139203706E-2</c:v>
                </c:pt>
                <c:pt idx="2036">
                  <c:v>2.1141266059388805E-2</c:v>
                </c:pt>
                <c:pt idx="2037">
                  <c:v>2.1144728228049994E-2</c:v>
                </c:pt>
                <c:pt idx="2038">
                  <c:v>2.1148166644940496E-2</c:v>
                </c:pt>
                <c:pt idx="2039">
                  <c:v>2.1151581309815929E-2</c:v>
                </c:pt>
                <c:pt idx="2040">
                  <c:v>2.1154972222433656E-2</c:v>
                </c:pt>
                <c:pt idx="2041">
                  <c:v>2.115833938255212E-2</c:v>
                </c:pt>
                <c:pt idx="2042">
                  <c:v>2.1161682789931739E-2</c:v>
                </c:pt>
                <c:pt idx="2043">
                  <c:v>2.116500244433531E-2</c:v>
                </c:pt>
                <c:pt idx="2044">
                  <c:v>2.1168497213027444E-2</c:v>
                </c:pt>
                <c:pt idx="2045">
                  <c:v>2.1169061502298105E-2</c:v>
                </c:pt>
                <c:pt idx="2046">
                  <c:v>2.1174818887333725E-2</c:v>
                </c:pt>
                <c:pt idx="2047">
                  <c:v>2.1178876616390209E-2</c:v>
                </c:pt>
                <c:pt idx="2048">
                  <c:v>2.1181244413500017E-2</c:v>
                </c:pt>
                <c:pt idx="2049">
                  <c:v>2.1184421545144872E-2</c:v>
                </c:pt>
                <c:pt idx="2050">
                  <c:v>2.1187574922196015E-2</c:v>
                </c:pt>
                <c:pt idx="2051">
                  <c:v>2.1190704544428663E-2</c:v>
                </c:pt>
                <c:pt idx="2052">
                  <c:v>2.119381041162087E-2</c:v>
                </c:pt>
                <c:pt idx="2053">
                  <c:v>2.1196892523550902E-2</c:v>
                </c:pt>
                <c:pt idx="2054">
                  <c:v>2.1199950879999867E-2</c:v>
                </c:pt>
                <c:pt idx="2055">
                  <c:v>2.1202985480750607E-2</c:v>
                </c:pt>
                <c:pt idx="2056">
                  <c:v>2.1205996325586833E-2</c:v>
                </c:pt>
                <c:pt idx="2057">
                  <c:v>2.120898341429401E-2</c:v>
                </c:pt>
                <c:pt idx="2058">
                  <c:v>2.120949686726829E-2</c:v>
                </c:pt>
                <c:pt idx="2059">
                  <c:v>2.1214886322474792E-2</c:v>
                </c:pt>
                <c:pt idx="2060">
                  <c:v>2.1217802141528467E-2</c:v>
                </c:pt>
                <c:pt idx="2061">
                  <c:v>2.1220694203613211E-2</c:v>
                </c:pt>
                <c:pt idx="2062">
                  <c:v>2.122356250852429E-2</c:v>
                </c:pt>
                <c:pt idx="2063">
                  <c:v>2.1226407056056527E-2</c:v>
                </c:pt>
                <c:pt idx="2064">
                  <c:v>2.1229227846008662E-2</c:v>
                </c:pt>
                <c:pt idx="2065">
                  <c:v>2.1232024878179441E-2</c:v>
                </c:pt>
                <c:pt idx="2066">
                  <c:v>2.1234798152370442E-2</c:v>
                </c:pt>
                <c:pt idx="2067">
                  <c:v>2.1235139120746215E-2</c:v>
                </c:pt>
                <c:pt idx="2068">
                  <c:v>2.1240273426023765E-2</c:v>
                </c:pt>
                <c:pt idx="2069">
                  <c:v>2.1242975425096858E-2</c:v>
                </c:pt>
                <c:pt idx="2070">
                  <c:v>2.1245653665410851E-2</c:v>
                </c:pt>
                <c:pt idx="2071">
                  <c:v>2.1248308146775162E-2</c:v>
                </c:pt>
                <c:pt idx="2072">
                  <c:v>2.125093886900116E-2</c:v>
                </c:pt>
                <c:pt idx="2073">
                  <c:v>2.1253545831901321E-2</c:v>
                </c:pt>
                <c:pt idx="2074">
                  <c:v>2.1256129035290717E-2</c:v>
                </c:pt>
                <c:pt idx="2075">
                  <c:v>2.1258688478984648E-2</c:v>
                </c:pt>
                <c:pt idx="2076">
                  <c:v>2.1261224162801896E-2</c:v>
                </c:pt>
                <c:pt idx="2077">
                  <c:v>2.126373608656212E-2</c:v>
                </c:pt>
                <c:pt idx="2078">
                  <c:v>2.1266224250085838E-2</c:v>
                </c:pt>
                <c:pt idx="2079">
                  <c:v>2.1268688653196845E-2</c:v>
                </c:pt>
                <c:pt idx="2080">
                  <c:v>2.1268781041570053E-2</c:v>
                </c:pt>
                <c:pt idx="2081">
                  <c:v>2.1273546177480472E-2</c:v>
                </c:pt>
                <c:pt idx="2082">
                  <c:v>2.1275939298307206E-2</c:v>
                </c:pt>
                <c:pt idx="2083">
                  <c:v>2.1278308658030123E-2</c:v>
                </c:pt>
                <c:pt idx="2084">
                  <c:v>2.1280100655652046E-2</c:v>
                </c:pt>
                <c:pt idx="2085">
                  <c:v>2.12824154329385E-2</c:v>
                </c:pt>
                <c:pt idx="2086">
                  <c:v>2.1284706451323257E-2</c:v>
                </c:pt>
                <c:pt idx="2087">
                  <c:v>2.1286973710644037E-2</c:v>
                </c:pt>
                <c:pt idx="2088">
                  <c:v>2.128921721074075E-2</c:v>
                </c:pt>
                <c:pt idx="2089">
                  <c:v>2.1291436951454398E-2</c:v>
                </c:pt>
                <c:pt idx="2090">
                  <c:v>2.1293632932628179E-2</c:v>
                </c:pt>
                <c:pt idx="2091">
                  <c:v>2.1295805154106815E-2</c:v>
                </c:pt>
                <c:pt idx="2092">
                  <c:v>2.1297953615735912E-2</c:v>
                </c:pt>
                <c:pt idx="2093">
                  <c:v>2.1300840062654175E-2</c:v>
                </c:pt>
                <c:pt idx="2094">
                  <c:v>2.1302939429835036E-2</c:v>
                </c:pt>
                <c:pt idx="2095">
                  <c:v>2.130501503532645E-2</c:v>
                </c:pt>
                <c:pt idx="2096">
                  <c:v>2.1307066878981214E-2</c:v>
                </c:pt>
                <c:pt idx="2097">
                  <c:v>2.1309094960653651E-2</c:v>
                </c:pt>
                <c:pt idx="2098">
                  <c:v>2.1311099280200051E-2</c:v>
                </c:pt>
                <c:pt idx="2099">
                  <c:v>2.1313641346468137E-2</c:v>
                </c:pt>
                <c:pt idx="2100">
                  <c:v>2.1315036632347104E-2</c:v>
                </c:pt>
                <c:pt idx="2101">
                  <c:v>2.1316969664668856E-2</c:v>
                </c:pt>
                <c:pt idx="2102">
                  <c:v>2.1318878934305674E-2</c:v>
                </c:pt>
                <c:pt idx="2103">
                  <c:v>2.1320764441122145E-2</c:v>
                </c:pt>
                <c:pt idx="2104">
                  <c:v>2.1322626184984608E-2</c:v>
                </c:pt>
                <c:pt idx="2105">
                  <c:v>2.1324464165761142E-2</c:v>
                </c:pt>
                <c:pt idx="2106">
                  <c:v>2.132627838332115E-2</c:v>
                </c:pt>
                <c:pt idx="2107">
                  <c:v>2.1328068837535546E-2</c:v>
                </c:pt>
                <c:pt idx="2108">
                  <c:v>2.13298355282781E-2</c:v>
                </c:pt>
                <c:pt idx="2109">
                  <c:v>2.1331578455423224E-2</c:v>
                </c:pt>
                <c:pt idx="2110">
                  <c:v>2.1333297618846645E-2</c:v>
                </c:pt>
                <c:pt idx="2111">
                  <c:v>2.1334993018427152E-2</c:v>
                </c:pt>
                <c:pt idx="2112">
                  <c:v>2.1336664654044185E-2</c:v>
                </c:pt>
                <c:pt idx="2113">
                  <c:v>2.1338312525578933E-2</c:v>
                </c:pt>
                <c:pt idx="2114">
                  <c:v>2.1339936632914981E-2</c:v>
                </c:pt>
                <c:pt idx="2115">
                  <c:v>2.1341536975936798E-2</c:v>
                </c:pt>
                <c:pt idx="2116">
                  <c:v>2.1343113554530377E-2</c:v>
                </c:pt>
                <c:pt idx="2117">
                  <c:v>2.1344666368584547E-2</c:v>
                </c:pt>
                <c:pt idx="2118">
                  <c:v>2.1346195417989235E-2</c:v>
                </c:pt>
                <c:pt idx="2119">
                  <c:v>2.1347700702635673E-2</c:v>
                </c:pt>
                <c:pt idx="2120">
                  <c:v>2.1349182222416406E-2</c:v>
                </c:pt>
                <c:pt idx="2121">
                  <c:v>2.1350639977227477E-2</c:v>
                </c:pt>
                <c:pt idx="2122">
                  <c:v>2.1352073966964924E-2</c:v>
                </c:pt>
                <c:pt idx="2123">
                  <c:v>2.1353484191527185E-2</c:v>
                </c:pt>
                <c:pt idx="2124">
                  <c:v>2.13548706508138E-2</c:v>
                </c:pt>
                <c:pt idx="2125">
                  <c:v>2.1356233344726701E-2</c:v>
                </c:pt>
                <c:pt idx="2126">
                  <c:v>2.1357572273169353E-2</c:v>
                </c:pt>
                <c:pt idx="2127">
                  <c:v>2.1358887436046317E-2</c:v>
                </c:pt>
                <c:pt idx="2128">
                  <c:v>2.1360178833264548E-2</c:v>
                </c:pt>
                <c:pt idx="2129">
                  <c:v>2.1361446464732321E-2</c:v>
                </c:pt>
                <c:pt idx="2130">
                  <c:v>2.1362690330360087E-2</c:v>
                </c:pt>
                <c:pt idx="2131">
                  <c:v>2.1363910430059394E-2</c:v>
                </c:pt>
                <c:pt idx="2132">
                  <c:v>2.1365106763743095E-2</c:v>
                </c:pt>
                <c:pt idx="2133">
                  <c:v>2.1366279331327325E-2</c:v>
                </c:pt>
                <c:pt idx="2134">
                  <c:v>2.1367428132728218E-2</c:v>
                </c:pt>
                <c:pt idx="2135">
                  <c:v>2.1368553167864308E-2</c:v>
                </c:pt>
                <c:pt idx="2136">
                  <c:v>2.1369809820654877E-2</c:v>
                </c:pt>
                <c:pt idx="2137">
                  <c:v>2.1370883927814159E-2</c:v>
                </c:pt>
                <c:pt idx="2138">
                  <c:v>2.1371934268464024E-2</c:v>
                </c:pt>
                <c:pt idx="2139">
                  <c:v>2.1372960842529341E-2</c:v>
                </c:pt>
                <c:pt idx="2140">
                  <c:v>2.1373963649936947E-2</c:v>
                </c:pt>
                <c:pt idx="2141">
                  <c:v>2.1374942690616731E-2</c:v>
                </c:pt>
                <c:pt idx="2142">
                  <c:v>2.1375897964498587E-2</c:v>
                </c:pt>
                <c:pt idx="2143">
                  <c:v>2.1376829471514591E-2</c:v>
                </c:pt>
                <c:pt idx="2144">
                  <c:v>2.1377737211599218E-2</c:v>
                </c:pt>
                <c:pt idx="2145">
                  <c:v>2.1377943385475086E-2</c:v>
                </c:pt>
                <c:pt idx="2146">
                  <c:v>2.1378805238531078E-2</c:v>
                </c:pt>
                <c:pt idx="2147">
                  <c:v>2.1379643325865842E-2</c:v>
                </c:pt>
                <c:pt idx="2148">
                  <c:v>2.138045764741937E-2</c:v>
                </c:pt>
                <c:pt idx="2149">
                  <c:v>2.1381248203134508E-2</c:v>
                </c:pt>
                <c:pt idx="2150">
                  <c:v>2.1382229710589326E-2</c:v>
                </c:pt>
                <c:pt idx="2151">
                  <c:v>2.1385634841380764E-2</c:v>
                </c:pt>
                <c:pt idx="2152">
                  <c:v>2.1383678411756028E-2</c:v>
                </c:pt>
                <c:pt idx="2153">
                  <c:v>2.1384367113264999E-2</c:v>
                </c:pt>
                <c:pt idx="2154">
                  <c:v>2.1385032048658978E-2</c:v>
                </c:pt>
                <c:pt idx="2155">
                  <c:v>2.1385673217890876E-2</c:v>
                </c:pt>
                <c:pt idx="2156">
                  <c:v>2.1386290620915144E-2</c:v>
                </c:pt>
                <c:pt idx="2157">
                  <c:v>2.1386884257688418E-2</c:v>
                </c:pt>
                <c:pt idx="2158">
                  <c:v>2.1387454128168209E-2</c:v>
                </c:pt>
                <c:pt idx="2159">
                  <c:v>2.1388000232314661E-2</c:v>
                </c:pt>
                <c:pt idx="2160">
                  <c:v>2.1388522570089011E-2</c:v>
                </c:pt>
                <c:pt idx="2161">
                  <c:v>2.1389021141454023E-2</c:v>
                </c:pt>
                <c:pt idx="2162">
                  <c:v>2.1389495946375105E-2</c:v>
                </c:pt>
                <c:pt idx="2163">
                  <c:v>2.1389946984817863E-2</c:v>
                </c:pt>
                <c:pt idx="2164">
                  <c:v>2.1390374256750545E-2</c:v>
                </c:pt>
                <c:pt idx="2165">
                  <c:v>2.1390777762143372E-2</c:v>
                </c:pt>
                <c:pt idx="2166">
                  <c:v>2.1391157500967428E-2</c:v>
                </c:pt>
                <c:pt idx="2167">
                  <c:v>2.1391513473195779E-2</c:v>
                </c:pt>
                <c:pt idx="2168">
                  <c:v>2.1391845678803898E-2</c:v>
                </c:pt>
                <c:pt idx="2169">
                  <c:v>2.1392154117767473E-2</c:v>
                </c:pt>
                <c:pt idx="2170">
                  <c:v>2.1392438790064826E-2</c:v>
                </c:pt>
                <c:pt idx="2171">
                  <c:v>2.139269969567624E-2</c:v>
                </c:pt>
                <c:pt idx="2172">
                  <c:v>2.139293683458289E-2</c:v>
                </c:pt>
                <c:pt idx="2173">
                  <c:v>2.1393150206768127E-2</c:v>
                </c:pt>
                <c:pt idx="2174">
                  <c:v>2.1393339812216836E-2</c:v>
                </c:pt>
                <c:pt idx="2175">
                  <c:v>2.1393505650915447E-2</c:v>
                </c:pt>
                <c:pt idx="2176">
                  <c:v>2.1393647722852564E-2</c:v>
                </c:pt>
                <c:pt idx="2177">
                  <c:v>2.1393766028017899E-2</c:v>
                </c:pt>
                <c:pt idx="2178">
                  <c:v>2.1393860566402911E-2</c:v>
                </c:pt>
                <c:pt idx="2179">
                  <c:v>2.1393931338001246E-2</c:v>
                </c:pt>
                <c:pt idx="2180">
                  <c:v>2.1393978342808088E-2</c:v>
                </c:pt>
                <c:pt idx="2181">
                  <c:v>2.1394001580819274E-2</c:v>
                </c:pt>
                <c:pt idx="2182">
                  <c:v>2.139400105203371E-2</c:v>
                </c:pt>
                <c:pt idx="2183">
                  <c:v>2.1393976756451834E-2</c:v>
                </c:pt>
                <c:pt idx="2184">
                  <c:v>2.1393928694074745E-2</c:v>
                </c:pt>
                <c:pt idx="2185">
                  <c:v>2.1393856864906156E-2</c:v>
                </c:pt>
                <c:pt idx="2186">
                  <c:v>2.1393761268950678E-2</c:v>
                </c:pt>
                <c:pt idx="2187">
                  <c:v>2.1393641906215531E-2</c:v>
                </c:pt>
                <c:pt idx="2188">
                  <c:v>2.1393498776709038E-2</c:v>
                </c:pt>
                <c:pt idx="2189">
                  <c:v>2.1393331880441492E-2</c:v>
                </c:pt>
                <c:pt idx="2190">
                  <c:v>2.1393141217424281E-2</c:v>
                </c:pt>
                <c:pt idx="2191">
                  <c:v>2.1392926787671421E-2</c:v>
                </c:pt>
                <c:pt idx="2192">
                  <c:v>2.1392688591198028E-2</c:v>
                </c:pt>
                <c:pt idx="2193">
                  <c:v>2.1392426628020302E-2</c:v>
                </c:pt>
                <c:pt idx="2194">
                  <c:v>2.1392140898157736E-2</c:v>
                </c:pt>
                <c:pt idx="2195">
                  <c:v>2.1391831401629605E-2</c:v>
                </c:pt>
                <c:pt idx="2196">
                  <c:v>2.1391498138458465E-2</c:v>
                </c:pt>
                <c:pt idx="2197">
                  <c:v>2.1391141108667307E-2</c:v>
                </c:pt>
                <c:pt idx="2198">
                  <c:v>2.1390760312282417E-2</c:v>
                </c:pt>
                <c:pt idx="2199">
                  <c:v>2.1390355749329636E-2</c:v>
                </c:pt>
                <c:pt idx="2200">
                  <c:v>2.1389927419837869E-2</c:v>
                </c:pt>
                <c:pt idx="2201">
                  <c:v>2.1389475323838E-2</c:v>
                </c:pt>
                <c:pt idx="2202">
                  <c:v>2.1391323382099779E-2</c:v>
                </c:pt>
                <c:pt idx="2203">
                  <c:v>2.1388499832441846E-2</c:v>
                </c:pt>
                <c:pt idx="2204">
                  <c:v>2.1387976437115205E-2</c:v>
                </c:pt>
                <c:pt idx="2205">
                  <c:v>2.1387429275417775E-2</c:v>
                </c:pt>
                <c:pt idx="2206">
                  <c:v>2.138685834738854E-2</c:v>
                </c:pt>
                <c:pt idx="2207">
                  <c:v>2.1386263653068231E-2</c:v>
                </c:pt>
                <c:pt idx="2208">
                  <c:v>2.138564519249846E-2</c:v>
                </c:pt>
                <c:pt idx="2209">
                  <c:v>2.1385002965723248E-2</c:v>
                </c:pt>
                <c:pt idx="2210">
                  <c:v>2.1384336972787708E-2</c:v>
                </c:pt>
                <c:pt idx="2211">
                  <c:v>2.1383647213739584E-2</c:v>
                </c:pt>
                <c:pt idx="2212">
                  <c:v>2.1382933688627054E-2</c:v>
                </c:pt>
                <c:pt idx="2213">
                  <c:v>2.1382196397500931E-2</c:v>
                </c:pt>
                <c:pt idx="2214">
                  <c:v>2.1381435340413334E-2</c:v>
                </c:pt>
                <c:pt idx="2215">
                  <c:v>2.1380650517417919E-2</c:v>
                </c:pt>
                <c:pt idx="2216">
                  <c:v>2.1379841928570752E-2</c:v>
                </c:pt>
                <c:pt idx="2217">
                  <c:v>2.1379009573928555E-2</c:v>
                </c:pt>
                <c:pt idx="2218">
                  <c:v>2.1378153453550021E-2</c:v>
                </c:pt>
                <c:pt idx="2219">
                  <c:v>2.1377273567496469E-2</c:v>
                </c:pt>
                <c:pt idx="2220">
                  <c:v>2.1376369915829439E-2</c:v>
                </c:pt>
                <c:pt idx="2221">
                  <c:v>2.1375442498613322E-2</c:v>
                </c:pt>
                <c:pt idx="2222">
                  <c:v>2.1374491315913374E-2</c:v>
                </c:pt>
                <c:pt idx="2223">
                  <c:v>2.137351636779727E-2</c:v>
                </c:pt>
                <c:pt idx="2224">
                  <c:v>2.1372517654333782E-2</c:v>
                </c:pt>
                <c:pt idx="2225">
                  <c:v>2.137149517559386E-2</c:v>
                </c:pt>
                <c:pt idx="2226">
                  <c:v>2.1370448931649338E-2</c:v>
                </c:pt>
                <c:pt idx="2227">
                  <c:v>2.1369378922574678E-2</c:v>
                </c:pt>
                <c:pt idx="2228">
                  <c:v>2.1368285148445219E-2</c:v>
                </c:pt>
                <c:pt idx="2229">
                  <c:v>2.1367167609338485E-2</c:v>
                </c:pt>
                <c:pt idx="2230">
                  <c:v>2.1366026305333977E-2</c:v>
                </c:pt>
                <c:pt idx="2231">
                  <c:v>2.1364861236511844E-2</c:v>
                </c:pt>
                <c:pt idx="2232">
                  <c:v>2.1363672402954659E-2</c:v>
                </c:pt>
                <c:pt idx="2233">
                  <c:v>2.136245980474695E-2</c:v>
                </c:pt>
                <c:pt idx="2234">
                  <c:v>2.1361223441973914E-2</c:v>
                </c:pt>
                <c:pt idx="2235">
                  <c:v>2.1359963314723587E-2</c:v>
                </c:pt>
                <c:pt idx="2236">
                  <c:v>2.1358679423084666E-2</c:v>
                </c:pt>
                <c:pt idx="2237">
                  <c:v>2.1357371767148255E-2</c:v>
                </c:pt>
                <c:pt idx="2238">
                  <c:v>2.1356040347006774E-2</c:v>
                </c:pt>
                <c:pt idx="2239">
                  <c:v>2.1354685162754398E-2</c:v>
                </c:pt>
                <c:pt idx="2240">
                  <c:v>2.1353306214487045E-2</c:v>
                </c:pt>
                <c:pt idx="2241">
                  <c:v>2.1351903502302611E-2</c:v>
                </c:pt>
                <c:pt idx="2242">
                  <c:v>2.1350477026299646E-2</c:v>
                </c:pt>
                <c:pt idx="2243">
                  <c:v>2.1349026786579992E-2</c:v>
                </c:pt>
                <c:pt idx="2244">
                  <c:v>2.1347552783245478E-2</c:v>
                </c:pt>
                <c:pt idx="2245">
                  <c:v>2.1346055016400356E-2</c:v>
                </c:pt>
                <c:pt idx="2246">
                  <c:v>2.1344533486151274E-2</c:v>
                </c:pt>
                <c:pt idx="2247">
                  <c:v>2.1342988192605328E-2</c:v>
                </c:pt>
                <c:pt idx="2248">
                  <c:v>2.1341419135872019E-2</c:v>
                </c:pt>
                <c:pt idx="2249">
                  <c:v>2.1339826316062384E-2</c:v>
                </c:pt>
                <c:pt idx="2250">
                  <c:v>2.1338209733289423E-2</c:v>
                </c:pt>
                <c:pt idx="2251">
                  <c:v>2.133656938766702E-2</c:v>
                </c:pt>
                <c:pt idx="2252">
                  <c:v>2.1334905279311249E-2</c:v>
                </c:pt>
                <c:pt idx="2253">
                  <c:v>2.1332725911734692E-2</c:v>
                </c:pt>
                <c:pt idx="2254">
                  <c:v>2.133150577487308E-2</c:v>
                </c:pt>
                <c:pt idx="2255">
                  <c:v>2.1329770379031145E-2</c:v>
                </c:pt>
                <c:pt idx="2256">
                  <c:v>2.1328011220936992E-2</c:v>
                </c:pt>
                <c:pt idx="2257">
                  <c:v>2.1326228300715011E-2</c:v>
                </c:pt>
                <c:pt idx="2258">
                  <c:v>2.132442161849157E-2</c:v>
                </c:pt>
                <c:pt idx="2259">
                  <c:v>2.132259117439456E-2</c:v>
                </c:pt>
                <c:pt idx="2260">
                  <c:v>2.1320736968553199E-2</c:v>
                </c:pt>
                <c:pt idx="2261">
                  <c:v>2.1318859001098887E-2</c:v>
                </c:pt>
                <c:pt idx="2262">
                  <c:v>2.1316957272164559E-2</c:v>
                </c:pt>
                <c:pt idx="2263">
                  <c:v>2.1315031781884684E-2</c:v>
                </c:pt>
                <c:pt idx="2264">
                  <c:v>2.131308253039526E-2</c:v>
                </c:pt>
                <c:pt idx="2265">
                  <c:v>2.1311109517834478E-2</c:v>
                </c:pt>
                <c:pt idx="2266">
                  <c:v>2.1309112744341843E-2</c:v>
                </c:pt>
                <c:pt idx="2267">
                  <c:v>2.1307092210058835E-2</c:v>
                </c:pt>
                <c:pt idx="2268">
                  <c:v>2.1305047915127797E-2</c:v>
                </c:pt>
                <c:pt idx="2269">
                  <c:v>2.1302979859694156E-2</c:v>
                </c:pt>
                <c:pt idx="2270">
                  <c:v>2.1300888043903766E-2</c:v>
                </c:pt>
                <c:pt idx="2271">
                  <c:v>2.1298772467904667E-2</c:v>
                </c:pt>
                <c:pt idx="2272">
                  <c:v>2.1296633131846883E-2</c:v>
                </c:pt>
                <c:pt idx="2273">
                  <c:v>2.1294470035881086E-2</c:v>
                </c:pt>
                <c:pt idx="2274">
                  <c:v>2.1292283180160795E-2</c:v>
                </c:pt>
                <c:pt idx="2275">
                  <c:v>2.1290072564840848E-2</c:v>
                </c:pt>
                <c:pt idx="2276">
                  <c:v>2.1287838190077391E-2</c:v>
                </c:pt>
                <c:pt idx="2277">
                  <c:v>2.1285580056028545E-2</c:v>
                </c:pt>
                <c:pt idx="2278">
                  <c:v>2.1283298162854184E-2</c:v>
                </c:pt>
                <c:pt idx="2279">
                  <c:v>2.1280992510715493E-2</c:v>
                </c:pt>
                <c:pt idx="2280">
                  <c:v>2.1278663099776066E-2</c:v>
                </c:pt>
                <c:pt idx="2281">
                  <c:v>2.1276309930199938E-2</c:v>
                </c:pt>
                <c:pt idx="2282">
                  <c:v>2.1273933002154424E-2</c:v>
                </c:pt>
                <c:pt idx="2283">
                  <c:v>2.1271532315807286E-2</c:v>
                </c:pt>
                <c:pt idx="2284">
                  <c:v>2.1269107871328685E-2</c:v>
                </c:pt>
                <c:pt idx="2285">
                  <c:v>2.1266659668889663E-2</c:v>
                </c:pt>
                <c:pt idx="2286">
                  <c:v>2.126418770866367E-2</c:v>
                </c:pt>
                <c:pt idx="2287">
                  <c:v>2.1261691990825688E-2</c:v>
                </c:pt>
                <c:pt idx="2288">
                  <c:v>2.1259172515552018E-2</c:v>
                </c:pt>
                <c:pt idx="2289">
                  <c:v>2.1256629283021144E-2</c:v>
                </c:pt>
                <c:pt idx="2290">
                  <c:v>2.125406229341309E-2</c:v>
                </c:pt>
                <c:pt idx="2291">
                  <c:v>2.1251471546909404E-2</c:v>
                </c:pt>
                <c:pt idx="2292">
                  <c:v>2.1248857043692958E-2</c:v>
                </c:pt>
                <c:pt idx="2293">
                  <c:v>2.124621878394925E-2</c:v>
                </c:pt>
                <c:pt idx="2294">
                  <c:v>2.1243556767864644E-2</c:v>
                </c:pt>
                <c:pt idx="2295">
                  <c:v>2.1240870995627922E-2</c:v>
                </c:pt>
                <c:pt idx="2296">
                  <c:v>2.1238161467428306E-2</c:v>
                </c:pt>
                <c:pt idx="2297">
                  <c:v>2.1235428183458301E-2</c:v>
                </c:pt>
                <c:pt idx="2298">
                  <c:v>2.1232671143910843E-2</c:v>
                </c:pt>
                <c:pt idx="2299">
                  <c:v>2.1229890348981286E-2</c:v>
                </c:pt>
                <c:pt idx="2300">
                  <c:v>2.1227085798865637E-2</c:v>
                </c:pt>
                <c:pt idx="2301">
                  <c:v>2.1225467532587895E-2</c:v>
                </c:pt>
                <c:pt idx="2302">
                  <c:v>2.1222609882563671E-2</c:v>
                </c:pt>
                <c:pt idx="2303">
                  <c:v>2.1219728473909169E-2</c:v>
                </c:pt>
                <c:pt idx="2304">
                  <c:v>2.1216823306829877E-2</c:v>
                </c:pt>
                <c:pt idx="2305">
                  <c:v>2.1212706727508697E-2</c:v>
                </c:pt>
                <c:pt idx="2306">
                  <c:v>2.1210941698227983E-2</c:v>
                </c:pt>
                <c:pt idx="2307">
                  <c:v>2.1207965257125049E-2</c:v>
                </c:pt>
                <c:pt idx="2308">
                  <c:v>2.1205355004210929E-2</c:v>
                </c:pt>
                <c:pt idx="2309">
                  <c:v>2.1201941102376311E-2</c:v>
                </c:pt>
                <c:pt idx="2310">
                  <c:v>2.1198893389160166E-2</c:v>
                </c:pt>
                <c:pt idx="2311">
                  <c:v>2.1195821919005865E-2</c:v>
                </c:pt>
                <c:pt idx="2312">
                  <c:v>2.1192726692131712E-2</c:v>
                </c:pt>
                <c:pt idx="2313">
                  <c:v>2.1189607708758832E-2</c:v>
                </c:pt>
                <c:pt idx="2314">
                  <c:v>2.1186464969110311E-2</c:v>
                </c:pt>
                <c:pt idx="2315">
                  <c:v>2.118329847340945E-2</c:v>
                </c:pt>
                <c:pt idx="2316">
                  <c:v>2.1180108221882366E-2</c:v>
                </c:pt>
                <c:pt idx="2317">
                  <c:v>2.1176894214756707E-2</c:v>
                </c:pt>
                <c:pt idx="2318">
                  <c:v>2.1172541994391426E-2</c:v>
                </c:pt>
                <c:pt idx="2319">
                  <c:v>2.1170394934628498E-2</c:v>
                </c:pt>
                <c:pt idx="2320">
                  <c:v>2.1167109662089487E-2</c:v>
                </c:pt>
                <c:pt idx="2321">
                  <c:v>2.1163800634878768E-2</c:v>
                </c:pt>
                <c:pt idx="2322">
                  <c:v>2.1160467853232889E-2</c:v>
                </c:pt>
                <c:pt idx="2323">
                  <c:v>2.1157111317389059E-2</c:v>
                </c:pt>
                <c:pt idx="2324">
                  <c:v>2.1153731027586858E-2</c:v>
                </c:pt>
                <c:pt idx="2325">
                  <c:v>2.1150326984067623E-2</c:v>
                </c:pt>
                <c:pt idx="2326">
                  <c:v>2.1146899187073982E-2</c:v>
                </c:pt>
                <c:pt idx="2327">
                  <c:v>2.1142384250523234E-2</c:v>
                </c:pt>
                <c:pt idx="2328">
                  <c:v>2.1139972333643137E-2</c:v>
                </c:pt>
                <c:pt idx="2329">
                  <c:v>2.1136473277699887E-2</c:v>
                </c:pt>
                <c:pt idx="2330">
                  <c:v>2.1132950469270138E-2</c:v>
                </c:pt>
                <c:pt idx="2331">
                  <c:v>2.1129403908605644E-2</c:v>
                </c:pt>
                <c:pt idx="2332">
                  <c:v>2.1125833595959244E-2</c:v>
                </c:pt>
                <c:pt idx="2333">
                  <c:v>2.1122239531585089E-2</c:v>
                </c:pt>
                <c:pt idx="2334">
                  <c:v>2.1118621715740141E-2</c:v>
                </c:pt>
                <c:pt idx="2335">
                  <c:v>2.1114980148681808E-2</c:v>
                </c:pt>
                <c:pt idx="2336">
                  <c:v>2.1111314830670747E-2</c:v>
                </c:pt>
                <c:pt idx="2337">
                  <c:v>2.1107625761967189E-2</c:v>
                </c:pt>
                <c:pt idx="2338">
                  <c:v>2.1103912942835482E-2</c:v>
                </c:pt>
                <c:pt idx="2339">
                  <c:v>2.1100176373539333E-2</c:v>
                </c:pt>
                <c:pt idx="2340">
                  <c:v>2.1095427007953745E-2</c:v>
                </c:pt>
                <c:pt idx="2341">
                  <c:v>2.1092631985523282E-2</c:v>
                </c:pt>
                <c:pt idx="2342">
                  <c:v>2.1088824167340994E-2</c:v>
                </c:pt>
                <c:pt idx="2343">
                  <c:v>2.1084992600071444E-2</c:v>
                </c:pt>
                <c:pt idx="2344">
                  <c:v>2.108058458588365E-2</c:v>
                </c:pt>
                <c:pt idx="2345">
                  <c:v>2.1076382482980469E-2</c:v>
                </c:pt>
                <c:pt idx="2346">
                  <c:v>2.1072478199885062E-2</c:v>
                </c:pt>
                <c:pt idx="2347">
                  <c:v>2.1068550170157962E-2</c:v>
                </c:pt>
                <c:pt idx="2348">
                  <c:v>2.1064598394079495E-2</c:v>
                </c:pt>
                <c:pt idx="2349">
                  <c:v>2.1060622871929977E-2</c:v>
                </c:pt>
                <c:pt idx="2350">
                  <c:v>2.1056623603992346E-2</c:v>
                </c:pt>
                <c:pt idx="2351">
                  <c:v>2.1052600590551272E-2</c:v>
                </c:pt>
                <c:pt idx="2352">
                  <c:v>2.1048553831892532E-2</c:v>
                </c:pt>
                <c:pt idx="2353">
                  <c:v>2.1044483328304494E-2</c:v>
                </c:pt>
                <c:pt idx="2354">
                  <c:v>2.1040389080076636E-2</c:v>
                </c:pt>
                <c:pt idx="2355">
                  <c:v>2.1036271087499073E-2</c:v>
                </c:pt>
                <c:pt idx="2356">
                  <c:v>2.1032129350866069E-2</c:v>
                </c:pt>
                <c:pt idx="2357">
                  <c:v>2.1027963870471671E-2</c:v>
                </c:pt>
                <c:pt idx="2358">
                  <c:v>2.1024069199181428E-2</c:v>
                </c:pt>
                <c:pt idx="2359">
                  <c:v>2.1019561679585515E-2</c:v>
                </c:pt>
                <c:pt idx="2360">
                  <c:v>2.1012313681981181E-2</c:v>
                </c:pt>
                <c:pt idx="2361">
                  <c:v>2.101106451723107E-2</c:v>
                </c:pt>
                <c:pt idx="2362">
                  <c:v>2.1004364537186938E-2</c:v>
                </c:pt>
                <c:pt idx="2363">
                  <c:v>2.1000050315139934E-2</c:v>
                </c:pt>
                <c:pt idx="2364">
                  <c:v>2.0995712354167362E-2</c:v>
                </c:pt>
                <c:pt idx="2365">
                  <c:v>2.0991350654575174E-2</c:v>
                </c:pt>
                <c:pt idx="2366">
                  <c:v>2.09869652166726E-2</c:v>
                </c:pt>
                <c:pt idx="2367">
                  <c:v>2.098255604076953E-2</c:v>
                </c:pt>
                <c:pt idx="2368">
                  <c:v>2.097812312717804E-2</c:v>
                </c:pt>
                <c:pt idx="2369">
                  <c:v>2.0973666476211527E-2</c:v>
                </c:pt>
                <c:pt idx="2370">
                  <c:v>2.0969186088185134E-2</c:v>
                </c:pt>
                <c:pt idx="2371">
                  <c:v>2.0964681963416196E-2</c:v>
                </c:pt>
                <c:pt idx="2372">
                  <c:v>2.0960154102222926E-2</c:v>
                </c:pt>
                <c:pt idx="2373">
                  <c:v>2.0955602504925726E-2</c:v>
                </c:pt>
                <c:pt idx="2374">
                  <c:v>2.0951027171846527E-2</c:v>
                </c:pt>
                <c:pt idx="2375">
                  <c:v>2.0946428103309017E-2</c:v>
                </c:pt>
                <c:pt idx="2376">
                  <c:v>2.0941805299638634E-2</c:v>
                </c:pt>
                <c:pt idx="2377">
                  <c:v>2.0937158761161912E-2</c:v>
                </c:pt>
                <c:pt idx="2378">
                  <c:v>2.093248848820823E-2</c:v>
                </c:pt>
                <c:pt idx="2379">
                  <c:v>2.0927794481107188E-2</c:v>
                </c:pt>
                <c:pt idx="2380">
                  <c:v>2.0923076740191456E-2</c:v>
                </c:pt>
                <c:pt idx="2381">
                  <c:v>2.0918335265794348E-2</c:v>
                </c:pt>
                <c:pt idx="2382">
                  <c:v>2.0913570058251379E-2</c:v>
                </c:pt>
                <c:pt idx="2383">
                  <c:v>2.0908781117899598E-2</c:v>
                </c:pt>
                <c:pt idx="2384">
                  <c:v>2.0903968445078022E-2</c:v>
                </c:pt>
                <c:pt idx="2385">
                  <c:v>2.0899132040126535E-2</c:v>
                </c:pt>
                <c:pt idx="2386">
                  <c:v>2.0894271903387229E-2</c:v>
                </c:pt>
                <c:pt idx="2387">
                  <c:v>2.0889388035204154E-2</c:v>
                </c:pt>
                <c:pt idx="2388">
                  <c:v>2.0884480435922895E-2</c:v>
                </c:pt>
                <c:pt idx="2389">
                  <c:v>2.0879549105890575E-2</c:v>
                </c:pt>
                <c:pt idx="2390">
                  <c:v>2.0874594045455625E-2</c:v>
                </c:pt>
                <c:pt idx="2391">
                  <c:v>2.0869615254968672E-2</c:v>
                </c:pt>
                <c:pt idx="2392">
                  <c:v>2.0864612734782087E-2</c:v>
                </c:pt>
                <c:pt idx="2393">
                  <c:v>2.085958648524934E-2</c:v>
                </c:pt>
                <c:pt idx="2394">
                  <c:v>2.0854536506726317E-2</c:v>
                </c:pt>
                <c:pt idx="2395">
                  <c:v>2.0849462799569989E-2</c:v>
                </c:pt>
                <c:pt idx="2396">
                  <c:v>2.0843635222096913E-2</c:v>
                </c:pt>
                <c:pt idx="2397">
                  <c:v>2.08385106690798E-2</c:v>
                </c:pt>
                <c:pt idx="2398">
                  <c:v>2.0833362388562943E-2</c:v>
                </c:pt>
                <c:pt idx="2399">
                  <c:v>2.0828190380910543E-2</c:v>
                </c:pt>
                <c:pt idx="2400">
                  <c:v>2.0822994646488551E-2</c:v>
                </c:pt>
                <c:pt idx="2401">
                  <c:v>2.0817775185664019E-2</c:v>
                </c:pt>
                <c:pt idx="2402">
                  <c:v>2.0812531998806404E-2</c:v>
                </c:pt>
                <c:pt idx="2403">
                  <c:v>2.0807265086286258E-2</c:v>
                </c:pt>
                <c:pt idx="2404">
                  <c:v>2.0801974448476764E-2</c:v>
                </c:pt>
                <c:pt idx="2405">
                  <c:v>2.0796660085751317E-2</c:v>
                </c:pt>
                <c:pt idx="2406">
                  <c:v>2.0791321998486389E-2</c:v>
                </c:pt>
                <c:pt idx="2407">
                  <c:v>2.0785960187059537E-2</c:v>
                </c:pt>
                <c:pt idx="2408">
                  <c:v>2.0780574651849418E-2</c:v>
                </c:pt>
                <c:pt idx="2409">
                  <c:v>2.0775165393237316E-2</c:v>
                </c:pt>
                <c:pt idx="2410">
                  <c:v>2.0768175773904243E-2</c:v>
                </c:pt>
                <c:pt idx="2411">
                  <c:v>2.0762712291812518E-2</c:v>
                </c:pt>
                <c:pt idx="2412">
                  <c:v>2.0757225087582019E-2</c:v>
                </c:pt>
                <c:pt idx="2413">
                  <c:v>2.0751293450087062E-2</c:v>
                </c:pt>
                <c:pt idx="2414">
                  <c:v>2.0746179514259621E-2</c:v>
                </c:pt>
                <c:pt idx="2415">
                  <c:v>2.0740621145948684E-2</c:v>
                </c:pt>
                <c:pt idx="2416">
                  <c:v>2.0735039057061561E-2</c:v>
                </c:pt>
                <c:pt idx="2417">
                  <c:v>2.0729433247992674E-2</c:v>
                </c:pt>
                <c:pt idx="2418">
                  <c:v>2.0723803719138855E-2</c:v>
                </c:pt>
                <c:pt idx="2419">
                  <c:v>2.0718150470898252E-2</c:v>
                </c:pt>
                <c:pt idx="2420">
                  <c:v>2.0712473503670548E-2</c:v>
                </c:pt>
                <c:pt idx="2421">
                  <c:v>2.0706772817857391E-2</c:v>
                </c:pt>
                <c:pt idx="2422">
                  <c:v>2.0701048413861965E-2</c:v>
                </c:pt>
                <c:pt idx="2423">
                  <c:v>2.0695300292088992E-2</c:v>
                </c:pt>
                <c:pt idx="2424">
                  <c:v>2.0689528452944937E-2</c:v>
                </c:pt>
                <c:pt idx="2425">
                  <c:v>2.0683732896838239E-2</c:v>
                </c:pt>
                <c:pt idx="2426">
                  <c:v>2.0677913624178437E-2</c:v>
                </c:pt>
                <c:pt idx="2427">
                  <c:v>2.0672070635377696E-2</c:v>
                </c:pt>
                <c:pt idx="2428">
                  <c:v>2.0666203930848615E-2</c:v>
                </c:pt>
                <c:pt idx="2429">
                  <c:v>2.0660313511006202E-2</c:v>
                </c:pt>
                <c:pt idx="2430">
                  <c:v>2.0654399376267441E-2</c:v>
                </c:pt>
                <c:pt idx="2431">
                  <c:v>2.0648461527049973E-2</c:v>
                </c:pt>
                <c:pt idx="2432">
                  <c:v>2.0642499963774277E-2</c:v>
                </c:pt>
                <c:pt idx="2433">
                  <c:v>2.0636514686861722E-2</c:v>
                </c:pt>
                <c:pt idx="2434">
                  <c:v>2.0630505696735638E-2</c:v>
                </c:pt>
                <c:pt idx="2435">
                  <c:v>2.0624472993820888E-2</c:v>
                </c:pt>
                <c:pt idx="2436">
                  <c:v>2.061841657854431E-2</c:v>
                </c:pt>
                <c:pt idx="2437">
                  <c:v>2.0612336451334055E-2</c:v>
                </c:pt>
                <c:pt idx="2438">
                  <c:v>2.0606232612620026E-2</c:v>
                </c:pt>
                <c:pt idx="2439">
                  <c:v>2.06001050628341E-2</c:v>
                </c:pt>
                <c:pt idx="2440">
                  <c:v>2.0593953813332445E-2</c:v>
                </c:pt>
                <c:pt idx="2441">
                  <c:v>2.0587779236333051E-2</c:v>
                </c:pt>
                <c:pt idx="2442">
                  <c:v>2.0581582138936055E-2</c:v>
                </c:pt>
                <c:pt idx="2443">
                  <c:v>2.0575363354115913E-2</c:v>
                </c:pt>
                <c:pt idx="2444">
                  <c:v>2.056912371482628E-2</c:v>
                </c:pt>
                <c:pt idx="2445">
                  <c:v>2.0562864054002625E-2</c:v>
                </c:pt>
                <c:pt idx="2446">
                  <c:v>2.0556585204559837E-2</c:v>
                </c:pt>
                <c:pt idx="2447">
                  <c:v>2.0546681675622638E-2</c:v>
                </c:pt>
                <c:pt idx="2448">
                  <c:v>2.0543304619301494E-2</c:v>
                </c:pt>
                <c:pt idx="2449">
                  <c:v>2.0537641853379984E-2</c:v>
                </c:pt>
                <c:pt idx="2450">
                  <c:v>2.0531294578223006E-2</c:v>
                </c:pt>
                <c:pt idx="2451">
                  <c:v>2.0524932278727655E-2</c:v>
                </c:pt>
                <c:pt idx="2452">
                  <c:v>2.0518555787689016E-2</c:v>
                </c:pt>
                <c:pt idx="2453">
                  <c:v>2.0512165937882701E-2</c:v>
                </c:pt>
                <c:pt idx="2454">
                  <c:v>2.050576356206284E-2</c:v>
                </c:pt>
                <c:pt idx="2455">
                  <c:v>2.0499349492963212E-2</c:v>
                </c:pt>
                <c:pt idx="2456">
                  <c:v>2.0492924563297221E-2</c:v>
                </c:pt>
                <c:pt idx="2457">
                  <c:v>2.0486489605756369E-2</c:v>
                </c:pt>
                <c:pt idx="2458">
                  <c:v>2.0480045453012453E-2</c:v>
                </c:pt>
                <c:pt idx="2459">
                  <c:v>2.0473592937715366E-2</c:v>
                </c:pt>
                <c:pt idx="2460">
                  <c:v>2.046713289249398E-2</c:v>
                </c:pt>
                <c:pt idx="2461">
                  <c:v>2.0460666149956137E-2</c:v>
                </c:pt>
                <c:pt idx="2462">
                  <c:v>2.0454193542688442E-2</c:v>
                </c:pt>
                <c:pt idx="2463">
                  <c:v>2.0448158651203245E-2</c:v>
                </c:pt>
                <c:pt idx="2464">
                  <c:v>2.044123406420369E-2</c:v>
                </c:pt>
                <c:pt idx="2465">
                  <c:v>2.0434748858052961E-2</c:v>
                </c:pt>
                <c:pt idx="2466">
                  <c:v>2.0428261117305484E-2</c:v>
                </c:pt>
                <c:pt idx="2467">
                  <c:v>2.0421771674440543E-2</c:v>
                </c:pt>
                <c:pt idx="2468">
                  <c:v>2.0415281361916629E-2</c:v>
                </c:pt>
                <c:pt idx="2469">
                  <c:v>2.0408791012170982E-2</c:v>
                </c:pt>
                <c:pt idx="2470">
                  <c:v>2.0402301457618507E-2</c:v>
                </c:pt>
                <c:pt idx="2471">
                  <c:v>2.0395813530652864E-2</c:v>
                </c:pt>
                <c:pt idx="2472">
                  <c:v>2.0389328063646909E-2</c:v>
                </c:pt>
                <c:pt idx="2473">
                  <c:v>2.0382845888951596E-2</c:v>
                </c:pt>
                <c:pt idx="2474">
                  <c:v>2.0376367838896202E-2</c:v>
                </c:pt>
                <c:pt idx="2475">
                  <c:v>2.0369894745789412E-2</c:v>
                </c:pt>
                <c:pt idx="2476">
                  <c:v>2.036342744191736E-2</c:v>
                </c:pt>
                <c:pt idx="2477">
                  <c:v>2.0356966759546024E-2</c:v>
                </c:pt>
                <c:pt idx="2478">
                  <c:v>2.0350513530919923E-2</c:v>
                </c:pt>
                <c:pt idx="2479">
                  <c:v>2.0344068588261682E-2</c:v>
                </c:pt>
                <c:pt idx="2480">
                  <c:v>2.0337632763773768E-2</c:v>
                </c:pt>
                <c:pt idx="2481">
                  <c:v>2.0331206889636536E-2</c:v>
                </c:pt>
                <c:pt idx="2482">
                  <c:v>2.0324791798010406E-2</c:v>
                </c:pt>
                <c:pt idx="2483">
                  <c:v>2.0318388321034341E-2</c:v>
                </c:pt>
                <c:pt idx="2484">
                  <c:v>2.0311997290826493E-2</c:v>
                </c:pt>
                <c:pt idx="2485">
                  <c:v>2.0305619539484652E-2</c:v>
                </c:pt>
                <c:pt idx="2486">
                  <c:v>2.0299255899085364E-2</c:v>
                </c:pt>
                <c:pt idx="2487">
                  <c:v>2.0292907201685896E-2</c:v>
                </c:pt>
                <c:pt idx="2488">
                  <c:v>2.0286574279321849E-2</c:v>
                </c:pt>
                <c:pt idx="2489">
                  <c:v>2.0280257964009091E-2</c:v>
                </c:pt>
                <c:pt idx="2490">
                  <c:v>2.0273959087743803E-2</c:v>
                </c:pt>
                <c:pt idx="2491">
                  <c:v>2.0267678482501567E-2</c:v>
                </c:pt>
                <c:pt idx="2492">
                  <c:v>2.0261416977003142E-2</c:v>
                </c:pt>
                <c:pt idx="2493">
                  <c:v>2.0255175118070297E-2</c:v>
                </c:pt>
                <c:pt idx="2494">
                  <c:v>2.0248952955889958E-2</c:v>
                </c:pt>
                <c:pt idx="2495">
                  <c:v>2.0242750490097699E-2</c:v>
                </c:pt>
                <c:pt idx="2496">
                  <c:v>2.0236567720329321E-2</c:v>
                </c:pt>
                <c:pt idx="2497">
                  <c:v>2.0230404646222371E-2</c:v>
                </c:pt>
                <c:pt idx="2498">
                  <c:v>2.0224261267415718E-2</c:v>
                </c:pt>
                <c:pt idx="2499">
                  <c:v>2.0218137583549321E-2</c:v>
                </c:pt>
                <c:pt idx="2500">
                  <c:v>2.021203359426401E-2</c:v>
                </c:pt>
                <c:pt idx="2501">
                  <c:v>2.020594929920172E-2</c:v>
                </c:pt>
                <c:pt idx="2502">
                  <c:v>2.0199884698006133E-2</c:v>
                </c:pt>
                <c:pt idx="2503">
                  <c:v>2.0193839790321366E-2</c:v>
                </c:pt>
                <c:pt idx="2504">
                  <c:v>2.0187814575793075E-2</c:v>
                </c:pt>
                <c:pt idx="2505">
                  <c:v>2.0181809054068446E-2</c:v>
                </c:pt>
                <c:pt idx="2506">
                  <c:v>2.0175823224794883E-2</c:v>
                </c:pt>
                <c:pt idx="2507">
                  <c:v>2.0169857087621985E-2</c:v>
                </c:pt>
                <c:pt idx="2508">
                  <c:v>2.0163910642199342E-2</c:v>
                </c:pt>
                <c:pt idx="2509">
                  <c:v>2.0158434758447939E-2</c:v>
                </c:pt>
                <c:pt idx="2510">
                  <c:v>2.015253093327116E-2</c:v>
                </c:pt>
                <c:pt idx="2511">
                  <c:v>2.0146646802286314E-2</c:v>
                </c:pt>
                <c:pt idx="2512">
                  <c:v>2.0140782365146066E-2</c:v>
                </c:pt>
                <c:pt idx="2513">
                  <c:v>2.0135092455161239E-2</c:v>
                </c:pt>
                <c:pt idx="2514">
                  <c:v>2.0129112571012211E-2</c:v>
                </c:pt>
                <c:pt idx="2515">
                  <c:v>2.0123307213329156E-2</c:v>
                </c:pt>
                <c:pt idx="2516">
                  <c:v>2.0117521548110934E-2</c:v>
                </c:pt>
                <c:pt idx="2517">
                  <c:v>2.011127870503223E-2</c:v>
                </c:pt>
                <c:pt idx="2518">
                  <c:v>2.0106009293701391E-2</c:v>
                </c:pt>
                <c:pt idx="2519">
                  <c:v>2.0100282703830175E-2</c:v>
                </c:pt>
                <c:pt idx="2520">
                  <c:v>2.0094575805062489E-2</c:v>
                </c:pt>
                <c:pt idx="2521">
                  <c:v>2.0088888597061649E-2</c:v>
                </c:pt>
                <c:pt idx="2522">
                  <c:v>2.0083221079490746E-2</c:v>
                </c:pt>
                <c:pt idx="2523">
                  <c:v>2.0077573252015483E-2</c:v>
                </c:pt>
                <c:pt idx="2524">
                  <c:v>2.0071945114301781E-2</c:v>
                </c:pt>
                <c:pt idx="2525">
                  <c:v>2.0066336666017079E-2</c:v>
                </c:pt>
                <c:pt idx="2526">
                  <c:v>2.0060747906829903E-2</c:v>
                </c:pt>
                <c:pt idx="2527">
                  <c:v>2.005517883640965E-2</c:v>
                </c:pt>
                <c:pt idx="2528">
                  <c:v>2.004962945442745E-2</c:v>
                </c:pt>
                <c:pt idx="2529">
                  <c:v>2.0044099760555305E-2</c:v>
                </c:pt>
                <c:pt idx="2530">
                  <c:v>2.003858975446652E-2</c:v>
                </c:pt>
                <c:pt idx="2531">
                  <c:v>2.0033099435835269E-2</c:v>
                </c:pt>
                <c:pt idx="2532">
                  <c:v>2.002762880433703E-2</c:v>
                </c:pt>
                <c:pt idx="2533">
                  <c:v>2.002217785964858E-2</c:v>
                </c:pt>
                <c:pt idx="2534">
                  <c:v>2.0016746601447571E-2</c:v>
                </c:pt>
                <c:pt idx="2535">
                  <c:v>2.0011335029413171E-2</c:v>
                </c:pt>
                <c:pt idx="2536">
                  <c:v>2.0005943143225638E-2</c:v>
                </c:pt>
                <c:pt idx="2537">
                  <c:v>2.0000570942566093E-2</c:v>
                </c:pt>
                <c:pt idx="2538">
                  <c:v>1.9995218427117187E-2</c:v>
                </c:pt>
                <c:pt idx="2539">
                  <c:v>1.9989336087643726E-2</c:v>
                </c:pt>
                <c:pt idx="2540">
                  <c:v>1.9984572450586637E-2</c:v>
                </c:pt>
                <c:pt idx="2541">
                  <c:v>1.9979278988876151E-2</c:v>
                </c:pt>
                <c:pt idx="2542">
                  <c:v>1.9974005211117741E-2</c:v>
                </c:pt>
                <c:pt idx="2543">
                  <c:v>1.9968751117000135E-2</c:v>
                </c:pt>
                <c:pt idx="2544">
                  <c:v>1.996351670621228E-2</c:v>
                </c:pt>
                <c:pt idx="2545">
                  <c:v>1.9958301978445069E-2</c:v>
                </c:pt>
                <c:pt idx="2546">
                  <c:v>1.9953106933390495E-2</c:v>
                </c:pt>
                <c:pt idx="2547">
                  <c:v>1.9947931570741408E-2</c:v>
                </c:pt>
                <c:pt idx="2548">
                  <c:v>1.9942775890191968E-2</c:v>
                </c:pt>
                <c:pt idx="2549">
                  <c:v>1.9937639891437198E-2</c:v>
                </c:pt>
                <c:pt idx="2550">
                  <c:v>1.9932523574173865E-2</c:v>
                </c:pt>
                <c:pt idx="2551">
                  <c:v>1.9927820733533656E-2</c:v>
                </c:pt>
                <c:pt idx="2552">
                  <c:v>1.9921756773305214E-2</c:v>
                </c:pt>
                <c:pt idx="2553">
                  <c:v>1.9917292708314684E-2</c:v>
                </c:pt>
                <c:pt idx="2554">
                  <c:v>1.991225511400516E-2</c:v>
                </c:pt>
                <c:pt idx="2555">
                  <c:v>1.9907237199686536E-2</c:v>
                </c:pt>
                <c:pt idx="2556">
                  <c:v>1.9902238965062737E-2</c:v>
                </c:pt>
                <c:pt idx="2557">
                  <c:v>1.9897260409838139E-2</c:v>
                </c:pt>
                <c:pt idx="2558">
                  <c:v>1.9892301533718407E-2</c:v>
                </c:pt>
                <c:pt idx="2559">
                  <c:v>1.9887362336411168E-2</c:v>
                </c:pt>
                <c:pt idx="2560">
                  <c:v>1.988244281762383E-2</c:v>
                </c:pt>
                <c:pt idx="2561">
                  <c:v>1.987691917810951E-2</c:v>
                </c:pt>
                <c:pt idx="2562">
                  <c:v>1.9872035599840063E-2</c:v>
                </c:pt>
                <c:pt idx="2563">
                  <c:v>1.9867171695862836E-2</c:v>
                </c:pt>
                <c:pt idx="2564">
                  <c:v>1.9862327465892914E-2</c:v>
                </c:pt>
                <c:pt idx="2565">
                  <c:v>1.9857502909646458E-2</c:v>
                </c:pt>
                <c:pt idx="2566">
                  <c:v>1.9852698026840306E-2</c:v>
                </c:pt>
                <c:pt idx="2567">
                  <c:v>1.9847912817193478E-2</c:v>
                </c:pt>
                <c:pt idx="2568">
                  <c:v>1.9844011221495792E-2</c:v>
                </c:pt>
                <c:pt idx="2569">
                  <c:v>1.9838401416255827E-2</c:v>
                </c:pt>
                <c:pt idx="2570">
                  <c:v>1.9833675224407425E-2</c:v>
                </c:pt>
                <c:pt idx="2571">
                  <c:v>1.9828968704602962E-2</c:v>
                </c:pt>
                <c:pt idx="2572">
                  <c:v>1.9824281856566713E-2</c:v>
                </c:pt>
                <c:pt idx="2573">
                  <c:v>1.9819614680023832E-2</c:v>
                </c:pt>
                <c:pt idx="2574">
                  <c:v>1.9814967174700781E-2</c:v>
                </c:pt>
                <c:pt idx="2575">
                  <c:v>1.9810339340325559E-2</c:v>
                </c:pt>
                <c:pt idx="2576">
                  <c:v>1.9805731176625947E-2</c:v>
                </c:pt>
                <c:pt idx="2577">
                  <c:v>1.9801142683333006E-2</c:v>
                </c:pt>
                <c:pt idx="2578">
                  <c:v>1.979657386017715E-2</c:v>
                </c:pt>
                <c:pt idx="2579">
                  <c:v>1.9792024706890531E-2</c:v>
                </c:pt>
                <c:pt idx="2580">
                  <c:v>1.9787495223206625E-2</c:v>
                </c:pt>
                <c:pt idx="2581">
                  <c:v>1.9782985408860223E-2</c:v>
                </c:pt>
                <c:pt idx="2582">
                  <c:v>1.9778495263586764E-2</c:v>
                </c:pt>
                <c:pt idx="2583">
                  <c:v>1.977402478712301E-2</c:v>
                </c:pt>
                <c:pt idx="2584">
                  <c:v>1.9769573979207252E-2</c:v>
                </c:pt>
                <c:pt idx="2585">
                  <c:v>1.9765142839578219E-2</c:v>
                </c:pt>
                <c:pt idx="2586">
                  <c:v>1.9760731367976396E-2</c:v>
                </c:pt>
                <c:pt idx="2587">
                  <c:v>1.9756339564143573E-2</c:v>
                </c:pt>
                <c:pt idx="2588">
                  <c:v>1.9751967427821766E-2</c:v>
                </c:pt>
                <c:pt idx="2589">
                  <c:v>1.9747614958754961E-2</c:v>
                </c:pt>
                <c:pt idx="2590">
                  <c:v>1.9743282156688243E-2</c:v>
                </c:pt>
                <c:pt idx="2591">
                  <c:v>1.9738969021367344E-2</c:v>
                </c:pt>
                <c:pt idx="2592">
                  <c:v>1.9734675552539754E-2</c:v>
                </c:pt>
                <c:pt idx="2593">
                  <c:v>1.9730401749953844E-2</c:v>
                </c:pt>
                <c:pt idx="2594">
                  <c:v>1.9726147613358627E-2</c:v>
                </c:pt>
                <c:pt idx="2595">
                  <c:v>1.9721913142505328E-2</c:v>
                </c:pt>
                <c:pt idx="2596">
                  <c:v>1.9717698337146025E-2</c:v>
                </c:pt>
                <c:pt idx="2597">
                  <c:v>1.9713503197032814E-2</c:v>
                </c:pt>
                <c:pt idx="2598">
                  <c:v>1.9709327721920626E-2</c:v>
                </c:pt>
                <c:pt idx="2599">
                  <c:v>1.9705171911564179E-2</c:v>
                </c:pt>
                <c:pt idx="2600">
                  <c:v>1.9701035765720163E-2</c:v>
                </c:pt>
                <c:pt idx="2601">
                  <c:v>1.9696919284146141E-2</c:v>
                </c:pt>
                <c:pt idx="2602">
                  <c:v>1.9692822466601208E-2</c:v>
                </c:pt>
                <c:pt idx="2603">
                  <c:v>1.9688745312844678E-2</c:v>
                </c:pt>
                <c:pt idx="2604">
                  <c:v>1.9684625788602417E-2</c:v>
                </c:pt>
                <c:pt idx="2605">
                  <c:v>1.9680593143083323E-2</c:v>
                </c:pt>
                <c:pt idx="2606">
                  <c:v>1.9676580162789753E-2</c:v>
                </c:pt>
                <c:pt idx="2607">
                  <c:v>1.9672586847484293E-2</c:v>
                </c:pt>
                <c:pt idx="2608">
                  <c:v>1.9668613196932801E-2</c:v>
                </c:pt>
                <c:pt idx="2609">
                  <c:v>1.9664659210900479E-2</c:v>
                </c:pt>
                <c:pt idx="2610">
                  <c:v>1.9660724889154269E-2</c:v>
                </c:pt>
                <c:pt idx="2611">
                  <c:v>1.9656810231462419E-2</c:v>
                </c:pt>
                <c:pt idx="2612">
                  <c:v>1.9652915237594493E-2</c:v>
                </c:pt>
                <c:pt idx="2613">
                  <c:v>1.9649039907320916E-2</c:v>
                </c:pt>
                <c:pt idx="2614">
                  <c:v>1.9645184240412769E-2</c:v>
                </c:pt>
                <c:pt idx="2615">
                  <c:v>1.9641348236643534E-2</c:v>
                </c:pt>
                <c:pt idx="2616">
                  <c:v>1.9637531895787121E-2</c:v>
                </c:pt>
                <c:pt idx="2617">
                  <c:v>1.9632914885881196E-2</c:v>
                </c:pt>
                <c:pt idx="2618">
                  <c:v>1.9629958201913433E-2</c:v>
                </c:pt>
                <c:pt idx="2619">
                  <c:v>1.9626476944538819E-2</c:v>
                </c:pt>
                <c:pt idx="2620">
                  <c:v>1.9619780564569169E-2</c:v>
                </c:pt>
                <c:pt idx="2621">
                  <c:v>1.9618745127363033E-2</c:v>
                </c:pt>
                <c:pt idx="2622">
                  <c:v>1.9615046759300443E-2</c:v>
                </c:pt>
                <c:pt idx="2623">
                  <c:v>1.9611368052600529E-2</c:v>
                </c:pt>
                <c:pt idx="2624">
                  <c:v>1.9607709007046566E-2</c:v>
                </c:pt>
                <c:pt idx="2625">
                  <c:v>1.9604069622423146E-2</c:v>
                </c:pt>
                <c:pt idx="2626">
                  <c:v>1.9600449898515504E-2</c:v>
                </c:pt>
                <c:pt idx="2627">
                  <c:v>1.9596849835110845E-2</c:v>
                </c:pt>
                <c:pt idx="2628">
                  <c:v>1.9593269431996366E-2</c:v>
                </c:pt>
                <c:pt idx="2629">
                  <c:v>1.9589708688961444E-2</c:v>
                </c:pt>
                <c:pt idx="2630">
                  <c:v>1.9585300210854015E-2</c:v>
                </c:pt>
                <c:pt idx="2631">
                  <c:v>1.958264618229302E-2</c:v>
                </c:pt>
                <c:pt idx="2632">
                  <c:v>1.9579144418242628E-2</c:v>
                </c:pt>
                <c:pt idx="2633">
                  <c:v>1.9575662313439549E-2</c:v>
                </c:pt>
                <c:pt idx="2634">
                  <c:v>1.9572199867678816E-2</c:v>
                </c:pt>
                <c:pt idx="2635">
                  <c:v>1.9568757080756349E-2</c:v>
                </c:pt>
                <c:pt idx="2636">
                  <c:v>1.9565333952468709E-2</c:v>
                </c:pt>
                <c:pt idx="2637">
                  <c:v>1.9561930482614641E-2</c:v>
                </c:pt>
                <c:pt idx="2638">
                  <c:v>1.9558546670993764E-2</c:v>
                </c:pt>
                <c:pt idx="2639">
                  <c:v>1.9554282219744343E-2</c:v>
                </c:pt>
                <c:pt idx="2640">
                  <c:v>1.9551838021654173E-2</c:v>
                </c:pt>
                <c:pt idx="2641">
                  <c:v>1.9548513183540353E-2</c:v>
                </c:pt>
                <c:pt idx="2642">
                  <c:v>1.9545208002869074E-2</c:v>
                </c:pt>
                <c:pt idx="2643">
                  <c:v>1.9541922479445396E-2</c:v>
                </c:pt>
                <c:pt idx="2644">
                  <c:v>1.953865661307547E-2</c:v>
                </c:pt>
                <c:pt idx="2645">
                  <c:v>1.953541040356762E-2</c:v>
                </c:pt>
                <c:pt idx="2646">
                  <c:v>1.9532183850730175E-2</c:v>
                </c:pt>
                <c:pt idx="2647">
                  <c:v>1.9528976954372772E-2</c:v>
                </c:pt>
                <c:pt idx="2648">
                  <c:v>1.9525789714306352E-2</c:v>
                </c:pt>
                <c:pt idx="2649">
                  <c:v>1.9522622130344031E-2</c:v>
                </c:pt>
                <c:pt idx="2650">
                  <c:v>1.9519474202298059E-2</c:v>
                </c:pt>
                <c:pt idx="2651">
                  <c:v>1.9516345929983518E-2</c:v>
                </c:pt>
                <c:pt idx="2652">
                  <c:v>1.9512289028872035E-2</c:v>
                </c:pt>
                <c:pt idx="2653">
                  <c:v>1.9510148351812747E-2</c:v>
                </c:pt>
                <c:pt idx="2654">
                  <c:v>1.9507079045591031E-2</c:v>
                </c:pt>
                <c:pt idx="2655">
                  <c:v>1.9504029394370431E-2</c:v>
                </c:pt>
                <c:pt idx="2656">
                  <c:v>1.9499063543956731E-2</c:v>
                </c:pt>
                <c:pt idx="2657">
                  <c:v>1.9496059140132267E-2</c:v>
                </c:pt>
                <c:pt idx="2658">
                  <c:v>1.9493074388565266E-2</c:v>
                </c:pt>
                <c:pt idx="2659">
                  <c:v>1.9490109289081188E-2</c:v>
                </c:pt>
                <c:pt idx="2660">
                  <c:v>1.9487163841506141E-2</c:v>
                </c:pt>
                <c:pt idx="2661">
                  <c:v>1.9484238045667551E-2</c:v>
                </c:pt>
                <c:pt idx="2662">
                  <c:v>1.9481331901394155E-2</c:v>
                </c:pt>
                <c:pt idx="2663">
                  <c:v>1.9478445408515357E-2</c:v>
                </c:pt>
                <c:pt idx="2664">
                  <c:v>1.94755785668623E-2</c:v>
                </c:pt>
                <c:pt idx="2665">
                  <c:v>1.947273137626657E-2</c:v>
                </c:pt>
                <c:pt idx="2666">
                  <c:v>1.946990383656173E-2</c:v>
                </c:pt>
                <c:pt idx="2667">
                  <c:v>1.9467095947581992E-2</c:v>
                </c:pt>
                <c:pt idx="2668">
                  <c:v>1.9464307709162663E-2</c:v>
                </c:pt>
                <c:pt idx="2669">
                  <c:v>1.9461539121140591E-2</c:v>
                </c:pt>
                <c:pt idx="2670">
                  <c:v>1.9458790183353492E-2</c:v>
                </c:pt>
                <c:pt idx="2671">
                  <c:v>1.9455284708325429E-2</c:v>
                </c:pt>
                <c:pt idx="2672">
                  <c:v>1.9453351257840566E-2</c:v>
                </c:pt>
                <c:pt idx="2673">
                  <c:v>1.9450661269796308E-2</c:v>
                </c:pt>
                <c:pt idx="2674">
                  <c:v>1.9447990931349506E-2</c:v>
                </c:pt>
                <c:pt idx="2675">
                  <c:v>1.9445340242343352E-2</c:v>
                </c:pt>
                <c:pt idx="2676">
                  <c:v>1.9442709202623452E-2</c:v>
                </c:pt>
                <c:pt idx="2677">
                  <c:v>1.9440097812034533E-2</c:v>
                </c:pt>
                <c:pt idx="2678">
                  <c:v>1.9437506070424385E-2</c:v>
                </c:pt>
                <c:pt idx="2679">
                  <c:v>1.9434933977640803E-2</c:v>
                </c:pt>
                <c:pt idx="2680">
                  <c:v>1.9432381533533334E-2</c:v>
                </c:pt>
                <c:pt idx="2681">
                  <c:v>1.9429848737952178E-2</c:v>
                </c:pt>
                <c:pt idx="2682">
                  <c:v>1.9427335590748628E-2</c:v>
                </c:pt>
                <c:pt idx="2683">
                  <c:v>1.942484209177596E-2</c:v>
                </c:pt>
                <c:pt idx="2684">
                  <c:v>1.9422368240887875E-2</c:v>
                </c:pt>
                <c:pt idx="2685">
                  <c:v>1.9419914037939391E-2</c:v>
                </c:pt>
                <c:pt idx="2686">
                  <c:v>1.9417479482786628E-2</c:v>
                </c:pt>
                <c:pt idx="2687">
                  <c:v>1.9415064575287015E-2</c:v>
                </c:pt>
                <c:pt idx="2688">
                  <c:v>1.9412669315299072E-2</c:v>
                </c:pt>
                <c:pt idx="2689">
                  <c:v>1.941029370268264E-2</c:v>
                </c:pt>
                <c:pt idx="2690">
                  <c:v>1.9407937737297997E-2</c:v>
                </c:pt>
                <c:pt idx="2691">
                  <c:v>1.9405601419007386E-2</c:v>
                </c:pt>
                <c:pt idx="2692">
                  <c:v>1.9403284747674152E-2</c:v>
                </c:pt>
                <c:pt idx="2693">
                  <c:v>1.9400987723162073E-2</c:v>
                </c:pt>
                <c:pt idx="2694">
                  <c:v>1.9398710345336901E-2</c:v>
                </c:pt>
                <c:pt idx="2695">
                  <c:v>1.9396452614065047E-2</c:v>
                </c:pt>
                <c:pt idx="2696">
                  <c:v>1.9394214529214446E-2</c:v>
                </c:pt>
                <c:pt idx="2697">
                  <c:v>1.9391996090653486E-2</c:v>
                </c:pt>
                <c:pt idx="2698">
                  <c:v>1.9389797298252291E-2</c:v>
                </c:pt>
                <c:pt idx="2699">
                  <c:v>1.938761815188253E-2</c:v>
                </c:pt>
                <c:pt idx="2700">
                  <c:v>1.9385458651416082E-2</c:v>
                </c:pt>
                <c:pt idx="2701">
                  <c:v>1.9383318796726584E-2</c:v>
                </c:pt>
                <c:pt idx="2702">
                  <c:v>1.9381198587688331E-2</c:v>
                </c:pt>
                <c:pt idx="2703">
                  <c:v>1.9379098024177362E-2</c:v>
                </c:pt>
                <c:pt idx="2704">
                  <c:v>1.9377017106070822E-2</c:v>
                </c:pt>
                <c:pt idx="2705">
                  <c:v>1.9374955833246284E-2</c:v>
                </c:pt>
                <c:pt idx="2706">
                  <c:v>1.937291420558308E-2</c:v>
                </c:pt>
                <c:pt idx="2707">
                  <c:v>1.9370892222962073E-2</c:v>
                </c:pt>
                <c:pt idx="2708">
                  <c:v>1.9368605440682043E-2</c:v>
                </c:pt>
                <c:pt idx="2709">
                  <c:v>1.936662555418138E-2</c:v>
                </c:pt>
                <c:pt idx="2710">
                  <c:v>1.9364665312354326E-2</c:v>
                </c:pt>
                <c:pt idx="2711">
                  <c:v>1.9362724715085693E-2</c:v>
                </c:pt>
                <c:pt idx="2712">
                  <c:v>1.9360803762261819E-2</c:v>
                </c:pt>
                <c:pt idx="2713">
                  <c:v>1.9358902453770348E-2</c:v>
                </c:pt>
                <c:pt idx="2714">
                  <c:v>1.9357020789499375E-2</c:v>
                </c:pt>
                <c:pt idx="2715">
                  <c:v>1.935515876933918E-2</c:v>
                </c:pt>
                <c:pt idx="2716">
                  <c:v>1.9353316393180258E-2</c:v>
                </c:pt>
                <c:pt idx="2717">
                  <c:v>1.9351893171835458E-2</c:v>
                </c:pt>
                <c:pt idx="2718">
                  <c:v>1.9350091390551067E-2</c:v>
                </c:pt>
                <c:pt idx="2719">
                  <c:v>1.9348309253994705E-2</c:v>
                </c:pt>
                <c:pt idx="2720">
                  <c:v>1.9346546762061542E-2</c:v>
                </c:pt>
                <c:pt idx="2721">
                  <c:v>1.9345120227964984E-2</c:v>
                </c:pt>
                <c:pt idx="2722">
                  <c:v>1.9343405261436415E-2</c:v>
                </c:pt>
                <c:pt idx="2723">
                  <c:v>1.9342118107612549E-2</c:v>
                </c:pt>
                <c:pt idx="2724">
                  <c:v>1.934003426741988E-2</c:v>
                </c:pt>
                <c:pt idx="2725">
                  <c:v>1.9337732425135774E-2</c:v>
                </c:pt>
                <c:pt idx="2726">
                  <c:v>1.9336741858127941E-2</c:v>
                </c:pt>
                <c:pt idx="2727">
                  <c:v>1.9335125122509948E-2</c:v>
                </c:pt>
                <c:pt idx="2728">
                  <c:v>1.9333528032783178E-2</c:v>
                </c:pt>
                <c:pt idx="2729">
                  <c:v>1.9331950588852915E-2</c:v>
                </c:pt>
                <c:pt idx="2730">
                  <c:v>1.9330392790626198E-2</c:v>
                </c:pt>
                <c:pt idx="2731">
                  <c:v>1.9328854638010703E-2</c:v>
                </c:pt>
                <c:pt idx="2732">
                  <c:v>1.9327336130915418E-2</c:v>
                </c:pt>
                <c:pt idx="2733">
                  <c:v>1.9325837269251505E-2</c:v>
                </c:pt>
                <c:pt idx="2734">
                  <c:v>1.9324358052929466E-2</c:v>
                </c:pt>
                <c:pt idx="2735">
                  <c:v>1.9322898481862846E-2</c:v>
                </c:pt>
                <c:pt idx="2736">
                  <c:v>1.9321458555964548E-2</c:v>
                </c:pt>
                <c:pt idx="2737">
                  <c:v>1.9320038275150071E-2</c:v>
                </c:pt>
                <c:pt idx="2738">
                  <c:v>1.9317354527648777E-2</c:v>
                </c:pt>
                <c:pt idx="2739">
                  <c:v>1.9317256648436972E-2</c:v>
                </c:pt>
                <c:pt idx="2740">
                  <c:v>1.9315895302374573E-2</c:v>
                </c:pt>
                <c:pt idx="2741">
                  <c:v>1.9314553601066691E-2</c:v>
                </c:pt>
                <c:pt idx="2742">
                  <c:v>1.9313231544435129E-2</c:v>
                </c:pt>
                <c:pt idx="2743">
                  <c:v>1.9311929132400821E-2</c:v>
                </c:pt>
                <c:pt idx="2744">
                  <c:v>1.931064636488709E-2</c:v>
                </c:pt>
                <c:pt idx="2745">
                  <c:v>1.9309383241818343E-2</c:v>
                </c:pt>
                <c:pt idx="2746">
                  <c:v>1.9308139763120069E-2</c:v>
                </c:pt>
                <c:pt idx="2747">
                  <c:v>1.9306915928718426E-2</c:v>
                </c:pt>
                <c:pt idx="2748">
                  <c:v>1.9305711738541287E-2</c:v>
                </c:pt>
                <c:pt idx="2749">
                  <c:v>1.9304527192517844E-2</c:v>
                </c:pt>
                <c:pt idx="2750">
                  <c:v>1.9303362290577497E-2</c:v>
                </c:pt>
                <c:pt idx="2751">
                  <c:v>1.9300881823029685E-2</c:v>
                </c:pt>
                <c:pt idx="2752">
                  <c:v>1.9301091418673064E-2</c:v>
                </c:pt>
                <c:pt idx="2753">
                  <c:v>1.9299985448574739E-2</c:v>
                </c:pt>
                <c:pt idx="2754">
                  <c:v>1.9298899122291897E-2</c:v>
                </c:pt>
                <c:pt idx="2755">
                  <c:v>1.9297832439759594E-2</c:v>
                </c:pt>
                <c:pt idx="2756">
                  <c:v>1.929678540091527E-2</c:v>
                </c:pt>
                <c:pt idx="2757">
                  <c:v>1.9295758005697241E-2</c:v>
                </c:pt>
                <c:pt idx="2758">
                  <c:v>1.9294750254044462E-2</c:v>
                </c:pt>
                <c:pt idx="2759">
                  <c:v>1.9292292953796565E-2</c:v>
                </c:pt>
                <c:pt idx="2760">
                  <c:v>1.9292199397993703E-2</c:v>
                </c:pt>
                <c:pt idx="2761">
                  <c:v>1.9291844859888982E-2</c:v>
                </c:pt>
                <c:pt idx="2762">
                  <c:v>1.9290915681914204E-2</c:v>
                </c:pt>
                <c:pt idx="2763">
                  <c:v>1.92900061472186E-2</c:v>
                </c:pt>
                <c:pt idx="2764">
                  <c:v>1.9289116255748522E-2</c:v>
                </c:pt>
                <c:pt idx="2765">
                  <c:v>1.9288246007451836E-2</c:v>
                </c:pt>
                <c:pt idx="2766">
                  <c:v>1.9287395402276628E-2</c:v>
                </c:pt>
                <c:pt idx="2767">
                  <c:v>1.928656444017272E-2</c:v>
                </c:pt>
                <c:pt idx="2768">
                  <c:v>1.9285753121091237E-2</c:v>
                </c:pt>
                <c:pt idx="2769">
                  <c:v>1.9283553227769382E-2</c:v>
                </c:pt>
                <c:pt idx="2770">
                  <c:v>1.9282777108946693E-2</c:v>
                </c:pt>
                <c:pt idx="2771">
                  <c:v>1.928202062988451E-2</c:v>
                </c:pt>
                <c:pt idx="2772">
                  <c:v>1.9281283790538367E-2</c:v>
                </c:pt>
                <c:pt idx="2773">
                  <c:v>1.9280566590865127E-2</c:v>
                </c:pt>
                <c:pt idx="2774">
                  <c:v>1.9281774228815305E-2</c:v>
                </c:pt>
                <c:pt idx="2775">
                  <c:v>1.9279191110370911E-2</c:v>
                </c:pt>
                <c:pt idx="2776">
                  <c:v>1.9278532829469123E-2</c:v>
                </c:pt>
                <c:pt idx="2777">
                  <c:v>1.927789418807949E-2</c:v>
                </c:pt>
                <c:pt idx="2778">
                  <c:v>1.9277275186163682E-2</c:v>
                </c:pt>
                <c:pt idx="2779">
                  <c:v>1.9276675823686005E-2</c:v>
                </c:pt>
                <c:pt idx="2780">
                  <c:v>1.9276096100611637E-2</c:v>
                </c:pt>
                <c:pt idx="2781">
                  <c:v>1.9275536016905757E-2</c:v>
                </c:pt>
                <c:pt idx="2782">
                  <c:v>1.9274995572536393E-2</c:v>
                </c:pt>
                <c:pt idx="2783">
                  <c:v>1.9274474767471565E-2</c:v>
                </c:pt>
                <c:pt idx="2784">
                  <c:v>1.9273973601680833E-2</c:v>
                </c:pt>
                <c:pt idx="2785">
                  <c:v>1.9273492075134634E-2</c:v>
                </c:pt>
                <c:pt idx="2786">
                  <c:v>1.9273030187804716E-2</c:v>
                </c:pt>
                <c:pt idx="2787">
                  <c:v>1.9272587939664583E-2</c:v>
                </c:pt>
                <c:pt idx="2788">
                  <c:v>1.9272165330687509E-2</c:v>
                </c:pt>
                <c:pt idx="2789">
                  <c:v>1.9271762360849407E-2</c:v>
                </c:pt>
                <c:pt idx="2790">
                  <c:v>1.9271379030126188E-2</c:v>
                </c:pt>
                <c:pt idx="2791">
                  <c:v>1.9271015338495515E-2</c:v>
                </c:pt>
                <c:pt idx="2792">
                  <c:v>1.927067128593658E-2</c:v>
                </c:pt>
                <c:pt idx="2793">
                  <c:v>1.9270346872428356E-2</c:v>
                </c:pt>
                <c:pt idx="2794">
                  <c:v>1.9270042097952453E-2</c:v>
                </c:pt>
                <c:pt idx="2795">
                  <c:v>1.9269756962490912E-2</c:v>
                </c:pt>
                <c:pt idx="2796">
                  <c:v>1.9269491466027085E-2</c:v>
                </c:pt>
                <c:pt idx="2797">
                  <c:v>1.9269245608544983E-2</c:v>
                </c:pt>
                <c:pt idx="2798">
                  <c:v>1.9269019390030596E-2</c:v>
                </c:pt>
                <c:pt idx="2799">
                  <c:v>1.9268812810470784E-2</c:v>
                </c:pt>
                <c:pt idx="2800">
                  <c:v>1.9268625869853059E-2</c:v>
                </c:pt>
                <c:pt idx="2801">
                  <c:v>1.9268458568166908E-2</c:v>
                </c:pt>
                <c:pt idx="2802">
                  <c:v>1.9268310905402045E-2</c:v>
                </c:pt>
                <c:pt idx="2803">
                  <c:v>1.9268182881549922E-2</c:v>
                </c:pt>
                <c:pt idx="2804">
                  <c:v>1.9268074496603536E-2</c:v>
                </c:pt>
                <c:pt idx="2805">
                  <c:v>1.9267985750555654E-2</c:v>
                </c:pt>
                <c:pt idx="2806">
                  <c:v>1.9267916643402119E-2</c:v>
                </c:pt>
                <c:pt idx="2807">
                  <c:v>1.9267867175138113E-2</c:v>
                </c:pt>
                <c:pt idx="2808">
                  <c:v>1.926783734576101E-2</c:v>
                </c:pt>
                <c:pt idx="2809">
                  <c:v>1.9267827155268834E-2</c:v>
                </c:pt>
                <c:pt idx="2810">
                  <c:v>1.9267836603661586E-2</c:v>
                </c:pt>
                <c:pt idx="2811">
                  <c:v>1.9267865690939051E-2</c:v>
                </c:pt>
                <c:pt idx="2812">
                  <c:v>1.9267914417103411E-2</c:v>
                </c:pt>
                <c:pt idx="2813">
                  <c:v>1.9267982782157522E-2</c:v>
                </c:pt>
                <c:pt idx="2814">
                  <c:v>1.9268070786105106E-2</c:v>
                </c:pt>
                <c:pt idx="2815">
                  <c:v>1.9268178428951632E-2</c:v>
                </c:pt>
                <c:pt idx="2816">
                  <c:v>1.9268305710703235E-2</c:v>
                </c:pt>
                <c:pt idx="2817">
                  <c:v>1.9268452631367363E-2</c:v>
                </c:pt>
                <c:pt idx="2818">
                  <c:v>1.9268619190952775E-2</c:v>
                </c:pt>
                <c:pt idx="2819">
                  <c:v>1.9268805389468888E-2</c:v>
                </c:pt>
                <c:pt idx="2820">
                  <c:v>1.9269011226926869E-2</c:v>
                </c:pt>
                <c:pt idx="2821">
                  <c:v>1.9269236703338768E-2</c:v>
                </c:pt>
                <c:pt idx="2822">
                  <c:v>1.9269481818717939E-2</c:v>
                </c:pt>
                <c:pt idx="2823">
                  <c:v>1.926974657307862E-2</c:v>
                </c:pt>
                <c:pt idx="2824">
                  <c:v>1.9272214694603711E-2</c:v>
                </c:pt>
                <c:pt idx="2825">
                  <c:v>1.927033499880693E-2</c:v>
                </c:pt>
                <c:pt idx="2826">
                  <c:v>1.9270658670209814E-2</c:v>
                </c:pt>
                <c:pt idx="2827">
                  <c:v>1.9271001980662977E-2</c:v>
                </c:pt>
                <c:pt idx="2828">
                  <c:v>1.9271364930186562E-2</c:v>
                </c:pt>
                <c:pt idx="2829">
                  <c:v>1.9271747518802035E-2</c:v>
                </c:pt>
                <c:pt idx="2830">
                  <c:v>1.9272149746531516E-2</c:v>
                </c:pt>
                <c:pt idx="2831">
                  <c:v>1.9272571613399091E-2</c:v>
                </c:pt>
                <c:pt idx="2832">
                  <c:v>1.9273013119429073E-2</c:v>
                </c:pt>
                <c:pt idx="2833">
                  <c:v>1.9273474264647084E-2</c:v>
                </c:pt>
                <c:pt idx="2834">
                  <c:v>1.927395504908094E-2</c:v>
                </c:pt>
                <c:pt idx="2835">
                  <c:v>1.9274455472758013E-2</c:v>
                </c:pt>
                <c:pt idx="2836">
                  <c:v>1.9274975535708085E-2</c:v>
                </c:pt>
                <c:pt idx="2837">
                  <c:v>1.9275515237961605E-2</c:v>
                </c:pt>
                <c:pt idx="2838">
                  <c:v>1.9276074579550103E-2</c:v>
                </c:pt>
                <c:pt idx="2839">
                  <c:v>1.9276653560506212E-2</c:v>
                </c:pt>
                <c:pt idx="2840">
                  <c:v>1.92772521808641E-2</c:v>
                </c:pt>
                <c:pt idx="2841">
                  <c:v>1.92778704406588E-2</c:v>
                </c:pt>
                <c:pt idx="2842">
                  <c:v>1.9278508339926236E-2</c:v>
                </c:pt>
                <c:pt idx="2843">
                  <c:v>1.9279165878704294E-2</c:v>
                </c:pt>
                <c:pt idx="2844">
                  <c:v>1.9279843057031076E-2</c:v>
                </c:pt>
                <c:pt idx="2845">
                  <c:v>1.9280539874946444E-2</c:v>
                </c:pt>
                <c:pt idx="2846">
                  <c:v>1.9281256332491135E-2</c:v>
                </c:pt>
                <c:pt idx="2847">
                  <c:v>1.9281992429707191E-2</c:v>
                </c:pt>
                <c:pt idx="2848">
                  <c:v>1.9282748166637543E-2</c:v>
                </c:pt>
                <c:pt idx="2849">
                  <c:v>1.9283523543326863E-2</c:v>
                </c:pt>
                <c:pt idx="2850">
                  <c:v>1.9284318559820268E-2</c:v>
                </c:pt>
                <c:pt idx="2851">
                  <c:v>1.9285133216164405E-2</c:v>
                </c:pt>
                <c:pt idx="2852">
                  <c:v>1.9285967512407236E-2</c:v>
                </c:pt>
                <c:pt idx="2853">
                  <c:v>1.9286821448597159E-2</c:v>
                </c:pt>
                <c:pt idx="2854">
                  <c:v>1.9287695024784765E-2</c:v>
                </c:pt>
                <c:pt idx="2855">
                  <c:v>1.9288588241021084E-2</c:v>
                </c:pt>
                <c:pt idx="2856">
                  <c:v>1.9289501097358015E-2</c:v>
                </c:pt>
                <c:pt idx="2857">
                  <c:v>1.9290433593849438E-2</c:v>
                </c:pt>
                <c:pt idx="2858">
                  <c:v>1.9291385730549879E-2</c:v>
                </c:pt>
                <c:pt idx="2859">
                  <c:v>1.9292357507515404E-2</c:v>
                </c:pt>
                <c:pt idx="2860">
                  <c:v>1.9293348924802303E-2</c:v>
                </c:pt>
                <c:pt idx="2861">
                  <c:v>1.9294359982469259E-2</c:v>
                </c:pt>
                <c:pt idx="2862">
                  <c:v>1.9295390680575411E-2</c:v>
                </c:pt>
                <c:pt idx="2863">
                  <c:v>1.9296441019181199E-2</c:v>
                </c:pt>
                <c:pt idx="2864">
                  <c:v>1.9297510998347728E-2</c:v>
                </c:pt>
                <c:pt idx="2865">
                  <c:v>1.9298600618138071E-2</c:v>
                </c:pt>
                <c:pt idx="2866">
                  <c:v>1.9299709878615953E-2</c:v>
                </c:pt>
                <c:pt idx="2867">
                  <c:v>1.9300838779846421E-2</c:v>
                </c:pt>
                <c:pt idx="2868">
                  <c:v>1.9301987321895614E-2</c:v>
                </c:pt>
                <c:pt idx="2869">
                  <c:v>1.9303155504830766E-2</c:v>
                </c:pt>
                <c:pt idx="2870">
                  <c:v>1.9304343328720424E-2</c:v>
                </c:pt>
                <c:pt idx="2871">
                  <c:v>1.9305550793634232E-2</c:v>
                </c:pt>
                <c:pt idx="2872">
                  <c:v>1.9306777899642493E-2</c:v>
                </c:pt>
                <c:pt idx="2873">
                  <c:v>1.9308024646817908E-2</c:v>
                </c:pt>
                <c:pt idx="2874">
                  <c:v>1.9309291035232972E-2</c:v>
                </c:pt>
                <c:pt idx="2875">
                  <c:v>1.9310577064961709E-2</c:v>
                </c:pt>
                <c:pt idx="2876">
                  <c:v>1.931188273607989E-2</c:v>
                </c:pt>
                <c:pt idx="2877">
                  <c:v>1.9313208048663953E-2</c:v>
                </c:pt>
                <c:pt idx="2878">
                  <c:v>1.9314553002791199E-2</c:v>
                </c:pt>
                <c:pt idx="2879">
                  <c:v>1.9318419766996053E-2</c:v>
                </c:pt>
                <c:pt idx="2880">
                  <c:v>1.931730183599259E-2</c:v>
                </c:pt>
                <c:pt idx="2881">
                  <c:v>1.9318705715227698E-2</c:v>
                </c:pt>
                <c:pt idx="2882">
                  <c:v>1.9320129236328584E-2</c:v>
                </c:pt>
                <c:pt idx="2883">
                  <c:v>1.9321572399378251E-2</c:v>
                </c:pt>
                <c:pt idx="2884">
                  <c:v>1.932303520446145E-2</c:v>
                </c:pt>
                <c:pt idx="2885">
                  <c:v>1.9324517651664035E-2</c:v>
                </c:pt>
                <c:pt idx="2886">
                  <c:v>1.9326019741072505E-2</c:v>
                </c:pt>
                <c:pt idx="2887">
                  <c:v>1.9327541472775347E-2</c:v>
                </c:pt>
                <c:pt idx="2888">
                  <c:v>1.9329082846861245E-2</c:v>
                </c:pt>
                <c:pt idx="2889">
                  <c:v>1.9330643863420659E-2</c:v>
                </c:pt>
                <c:pt idx="2890">
                  <c:v>1.9332224522545346E-2</c:v>
                </c:pt>
                <c:pt idx="2891">
                  <c:v>1.933382482432772E-2</c:v>
                </c:pt>
                <c:pt idx="2892">
                  <c:v>1.9335444768861305E-2</c:v>
                </c:pt>
                <c:pt idx="2893">
                  <c:v>1.9337084356241579E-2</c:v>
                </c:pt>
                <c:pt idx="2894">
                  <c:v>1.9338743586564032E-2</c:v>
                </c:pt>
                <c:pt idx="2895">
                  <c:v>1.9340422459926117E-2</c:v>
                </c:pt>
                <c:pt idx="2896">
                  <c:v>1.934212097642617E-2</c:v>
                </c:pt>
                <c:pt idx="2897">
                  <c:v>1.934383913616405E-2</c:v>
                </c:pt>
                <c:pt idx="2898">
                  <c:v>1.9345576939239849E-2</c:v>
                </c:pt>
                <c:pt idx="2899">
                  <c:v>1.9347334385755834E-2</c:v>
                </c:pt>
                <c:pt idx="2900">
                  <c:v>1.9349111475814505E-2</c:v>
                </c:pt>
                <c:pt idx="2901">
                  <c:v>1.9350908209520758E-2</c:v>
                </c:pt>
                <c:pt idx="2902">
                  <c:v>1.9352724586979064E-2</c:v>
                </c:pt>
                <c:pt idx="2903">
                  <c:v>1.935456060829651E-2</c:v>
                </c:pt>
                <c:pt idx="2904">
                  <c:v>1.9356416273579972E-2</c:v>
                </c:pt>
                <c:pt idx="2905">
                  <c:v>1.935829158293895E-2</c:v>
                </c:pt>
                <c:pt idx="2906">
                  <c:v>1.9360186536482728E-2</c:v>
                </c:pt>
                <c:pt idx="2907">
                  <c:v>1.936210113432256E-2</c:v>
                </c:pt>
                <c:pt idx="2908">
                  <c:v>1.9364035376571012E-2</c:v>
                </c:pt>
                <c:pt idx="2909">
                  <c:v>1.9365989263340651E-2</c:v>
                </c:pt>
                <c:pt idx="2910">
                  <c:v>1.9367962794746452E-2</c:v>
                </c:pt>
                <c:pt idx="2911">
                  <c:v>1.9369955970904056E-2</c:v>
                </c:pt>
                <c:pt idx="2912">
                  <c:v>1.9371968791929962E-2</c:v>
                </c:pt>
                <c:pt idx="2913">
                  <c:v>1.937400125794244E-2</c:v>
                </c:pt>
                <c:pt idx="2914">
                  <c:v>1.9376053369060408E-2</c:v>
                </c:pt>
                <c:pt idx="2915">
                  <c:v>1.9378125125404093E-2</c:v>
                </c:pt>
                <c:pt idx="2916">
                  <c:v>1.9381878779725151E-2</c:v>
                </c:pt>
                <c:pt idx="2917">
                  <c:v>1.9383995665668851E-2</c:v>
                </c:pt>
                <c:pt idx="2918">
                  <c:v>1.9386132199361705E-2</c:v>
                </c:pt>
                <c:pt idx="2919">
                  <c:v>1.93882883809296E-2</c:v>
                </c:pt>
                <c:pt idx="2920">
                  <c:v>1.9390464210499742E-2</c:v>
                </c:pt>
                <c:pt idx="2921">
                  <c:v>1.9392659688199983E-2</c:v>
                </c:pt>
                <c:pt idx="2922">
                  <c:v>1.9394874814159916E-2</c:v>
                </c:pt>
                <c:pt idx="2923">
                  <c:v>1.9397109588509796E-2</c:v>
                </c:pt>
                <c:pt idx="2924">
                  <c:v>1.9399364011381832E-2</c:v>
                </c:pt>
                <c:pt idx="2925">
                  <c:v>1.9401638082908013E-2</c:v>
                </c:pt>
                <c:pt idx="2926">
                  <c:v>1.9403931803222949E-2</c:v>
                </c:pt>
                <c:pt idx="2927">
                  <c:v>1.9406245172461683E-2</c:v>
                </c:pt>
                <c:pt idx="2928">
                  <c:v>1.9408578190760341E-2</c:v>
                </c:pt>
                <c:pt idx="2929">
                  <c:v>1.9410930858256584E-2</c:v>
                </c:pt>
                <c:pt idx="2930">
                  <c:v>1.9414005694616484E-2</c:v>
                </c:pt>
                <c:pt idx="2931">
                  <c:v>1.9416366047022498E-2</c:v>
                </c:pt>
                <c:pt idx="2932">
                  <c:v>1.9418106757321949E-2</c:v>
                </c:pt>
                <c:pt idx="2933">
                  <c:v>1.9420538023005769E-2</c:v>
                </c:pt>
                <c:pt idx="2934">
                  <c:v>1.9422988938591564E-2</c:v>
                </c:pt>
                <c:pt idx="2935">
                  <c:v>1.9425459504224182E-2</c:v>
                </c:pt>
                <c:pt idx="2936">
                  <c:v>1.9427949720048902E-2</c:v>
                </c:pt>
                <c:pt idx="2937">
                  <c:v>1.9430459586212086E-2</c:v>
                </c:pt>
                <c:pt idx="2938">
                  <c:v>1.9432989102862289E-2</c:v>
                </c:pt>
                <c:pt idx="2939">
                  <c:v>1.943553827014783E-2</c:v>
                </c:pt>
                <c:pt idx="2940">
                  <c:v>1.9438107088219438E-2</c:v>
                </c:pt>
                <c:pt idx="2941">
                  <c:v>1.9440695557228493E-2</c:v>
                </c:pt>
                <c:pt idx="2942">
                  <c:v>1.9443303677327023E-2</c:v>
                </c:pt>
                <c:pt idx="2943">
                  <c:v>1.94459314486688E-2</c:v>
                </c:pt>
                <c:pt idx="2944">
                  <c:v>1.9448578871409338E-2</c:v>
                </c:pt>
                <c:pt idx="2945">
                  <c:v>1.9451245945703726E-2</c:v>
                </c:pt>
                <c:pt idx="2946">
                  <c:v>1.945393267170965E-2</c:v>
                </c:pt>
                <c:pt idx="2947">
                  <c:v>1.9456639049585243E-2</c:v>
                </c:pt>
                <c:pt idx="2948">
                  <c:v>1.9459365079489938E-2</c:v>
                </c:pt>
                <c:pt idx="2949">
                  <c:v>1.9462110761584051E-2</c:v>
                </c:pt>
                <c:pt idx="2950">
                  <c:v>1.9464876096030058E-2</c:v>
                </c:pt>
                <c:pt idx="2951">
                  <c:v>1.9465457417947429E-2</c:v>
                </c:pt>
                <c:pt idx="2952">
                  <c:v>1.9470465722629456E-2</c:v>
                </c:pt>
                <c:pt idx="2953">
                  <c:v>1.9473290015111958E-2</c:v>
                </c:pt>
                <c:pt idx="2954">
                  <c:v>1.9476133960604793E-2</c:v>
                </c:pt>
                <c:pt idx="2955">
                  <c:v>1.9479738687227258E-2</c:v>
                </c:pt>
                <c:pt idx="2956">
                  <c:v>1.9481880811292328E-2</c:v>
                </c:pt>
                <c:pt idx="2957">
                  <c:v>1.9484783716825719E-2</c:v>
                </c:pt>
                <c:pt idx="2958">
                  <c:v>1.9487706276046398E-2</c:v>
                </c:pt>
                <c:pt idx="2959">
                  <c:v>1.9490648489127089E-2</c:v>
                </c:pt>
                <c:pt idx="2960">
                  <c:v>1.9493610356240296E-2</c:v>
                </c:pt>
                <c:pt idx="2961">
                  <c:v>1.9496591793875924E-2</c:v>
                </c:pt>
                <c:pt idx="2962">
                  <c:v>1.9499592383782387E-2</c:v>
                </c:pt>
                <c:pt idx="2963">
                  <c:v>1.9502611624018302E-2</c:v>
                </c:pt>
                <c:pt idx="2964">
                  <c:v>1.9503386009610438E-2</c:v>
                </c:pt>
                <c:pt idx="2965">
                  <c:v>1.9508704047689906E-2</c:v>
                </c:pt>
                <c:pt idx="2966">
                  <c:v>1.9511776227217795E-2</c:v>
                </c:pt>
                <c:pt idx="2967">
                  <c:v>1.9514865049259748E-2</c:v>
                </c:pt>
                <c:pt idx="2968">
                  <c:v>1.9518545935754316E-2</c:v>
                </c:pt>
                <c:pt idx="2969">
                  <c:v>1.9521672095966981E-2</c:v>
                </c:pt>
                <c:pt idx="2970">
                  <c:v>1.9524813235794351E-2</c:v>
                </c:pt>
                <c:pt idx="2971">
                  <c:v>1.9527968851905938E-2</c:v>
                </c:pt>
                <c:pt idx="2972">
                  <c:v>1.9531138440965351E-2</c:v>
                </c:pt>
                <c:pt idx="2973">
                  <c:v>1.953432149963074E-2</c:v>
                </c:pt>
                <c:pt idx="2974">
                  <c:v>1.9537517524553703E-2</c:v>
                </c:pt>
                <c:pt idx="2975">
                  <c:v>1.9540726012381038E-2</c:v>
                </c:pt>
                <c:pt idx="2976">
                  <c:v>1.9543946459752548E-2</c:v>
                </c:pt>
                <c:pt idx="2977">
                  <c:v>1.9546411900137416E-2</c:v>
                </c:pt>
                <c:pt idx="2978">
                  <c:v>1.9549654237510251E-2</c:v>
                </c:pt>
                <c:pt idx="2979">
                  <c:v>1.9552907070613617E-2</c:v>
                </c:pt>
                <c:pt idx="2980">
                  <c:v>1.9556169894711317E-2</c:v>
                </c:pt>
                <c:pt idx="2981">
                  <c:v>1.9559442205061239E-2</c:v>
                </c:pt>
                <c:pt idx="2982">
                  <c:v>1.956366258790028E-2</c:v>
                </c:pt>
                <c:pt idx="2983">
                  <c:v>1.9566013265516016E-2</c:v>
                </c:pt>
                <c:pt idx="2984">
                  <c:v>1.9569311006104456E-2</c:v>
                </c:pt>
                <c:pt idx="2985">
                  <c:v>1.9572616213911629E-2</c:v>
                </c:pt>
                <c:pt idx="2986">
                  <c:v>1.957640209027231E-2</c:v>
                </c:pt>
                <c:pt idx="2987">
                  <c:v>1.9579721599504406E-2</c:v>
                </c:pt>
                <c:pt idx="2988">
                  <c:v>1.9583046989499992E-2</c:v>
                </c:pt>
                <c:pt idx="2989">
                  <c:v>1.9586377755464398E-2</c:v>
                </c:pt>
                <c:pt idx="2990">
                  <c:v>1.9589713392595947E-2</c:v>
                </c:pt>
                <c:pt idx="2991">
                  <c:v>1.9593053396086607E-2</c:v>
                </c:pt>
                <c:pt idx="2992">
                  <c:v>1.9596397261121553E-2</c:v>
                </c:pt>
                <c:pt idx="2993">
                  <c:v>1.9599744482879402E-2</c:v>
                </c:pt>
                <c:pt idx="2994">
                  <c:v>1.9603094556532408E-2</c:v>
                </c:pt>
                <c:pt idx="2995">
                  <c:v>1.9606446977245385E-2</c:v>
                </c:pt>
                <c:pt idx="2996">
                  <c:v>1.9609801240177232E-2</c:v>
                </c:pt>
                <c:pt idx="2997">
                  <c:v>1.9613156840479404E-2</c:v>
                </c:pt>
                <c:pt idx="2998">
                  <c:v>1.9616513273297442E-2</c:v>
                </c:pt>
                <c:pt idx="2999">
                  <c:v>1.9619870033769218E-2</c:v>
                </c:pt>
                <c:pt idx="3000">
                  <c:v>1.9623226617026694E-2</c:v>
                </c:pt>
                <c:pt idx="3001">
                  <c:v>1.9626582518194831E-2</c:v>
                </c:pt>
                <c:pt idx="3002">
                  <c:v>1.9629937232391127E-2</c:v>
                </c:pt>
                <c:pt idx="3003">
                  <c:v>1.9633290254727404E-2</c:v>
                </c:pt>
                <c:pt idx="3004">
                  <c:v>1.9636641080308246E-2</c:v>
                </c:pt>
                <c:pt idx="3005">
                  <c:v>1.963998920423167E-2</c:v>
                </c:pt>
                <c:pt idx="3006">
                  <c:v>1.9643334121589119E-2</c:v>
                </c:pt>
                <c:pt idx="3007">
                  <c:v>1.9646675327465037E-2</c:v>
                </c:pt>
                <c:pt idx="3008">
                  <c:v>1.9650012316937072E-2</c:v>
                </c:pt>
                <c:pt idx="3009">
                  <c:v>1.965334458507674E-2</c:v>
                </c:pt>
                <c:pt idx="3010">
                  <c:v>1.9656671626948771E-2</c:v>
                </c:pt>
                <c:pt idx="3011">
                  <c:v>1.9659992937610667E-2</c:v>
                </c:pt>
                <c:pt idx="3012">
                  <c:v>1.9663308012359732E-2</c:v>
                </c:pt>
                <c:pt idx="3013">
                  <c:v>1.9666616471114472E-2</c:v>
                </c:pt>
                <c:pt idx="3014">
                  <c:v>1.9669918260818146E-2</c:v>
                </c:pt>
                <c:pt idx="3015">
                  <c:v>1.9673213381404618E-2</c:v>
                </c:pt>
                <c:pt idx="3016">
                  <c:v>1.9676501832808401E-2</c:v>
                </c:pt>
                <c:pt idx="3017">
                  <c:v>1.967978361496402E-2</c:v>
                </c:pt>
                <c:pt idx="3018">
                  <c:v>1.9683058727806207E-2</c:v>
                </c:pt>
                <c:pt idx="3019">
                  <c:v>1.9686327171269481E-2</c:v>
                </c:pt>
                <c:pt idx="3020">
                  <c:v>1.969005436855804E-2</c:v>
                </c:pt>
                <c:pt idx="3021">
                  <c:v>1.9693308520276762E-2</c:v>
                </c:pt>
                <c:pt idx="3022">
                  <c:v>1.9696556002412678E-2</c:v>
                </c:pt>
                <c:pt idx="3023">
                  <c:v>1.9699796814900746E-2</c:v>
                </c:pt>
                <c:pt idx="3024">
                  <c:v>1.9703030957677236E-2</c:v>
                </c:pt>
                <c:pt idx="3025">
                  <c:v>1.9706258430677106E-2</c:v>
                </c:pt>
                <c:pt idx="3026">
                  <c:v>1.9709479233836407E-2</c:v>
                </c:pt>
                <c:pt idx="3027">
                  <c:v>1.9712693367091187E-2</c:v>
                </c:pt>
                <c:pt idx="3028">
                  <c:v>1.9715900830376842E-2</c:v>
                </c:pt>
                <c:pt idx="3029">
                  <c:v>1.9719101623630299E-2</c:v>
                </c:pt>
                <c:pt idx="3030">
                  <c:v>1.9722295746787171E-2</c:v>
                </c:pt>
                <c:pt idx="3031">
                  <c:v>1.9725483199783952E-2</c:v>
                </c:pt>
                <c:pt idx="3032">
                  <c:v>1.9728663982557341E-2</c:v>
                </c:pt>
                <c:pt idx="3033">
                  <c:v>1.9732290995168031E-2</c:v>
                </c:pt>
                <c:pt idx="3034">
                  <c:v>1.9738494174694268E-2</c:v>
                </c:pt>
                <c:pt idx="3035">
                  <c:v>1.9738617303195167E-2</c:v>
                </c:pt>
                <c:pt idx="3036">
                  <c:v>1.9741770451512739E-2</c:v>
                </c:pt>
                <c:pt idx="3037">
                  <c:v>1.9744916929282579E-2</c:v>
                </c:pt>
                <c:pt idx="3038">
                  <c:v>1.9748056736442053E-2</c:v>
                </c:pt>
                <c:pt idx="3039">
                  <c:v>1.9751189872928527E-2</c:v>
                </c:pt>
                <c:pt idx="3040">
                  <c:v>1.9754316338680022E-2</c:v>
                </c:pt>
                <c:pt idx="3041">
                  <c:v>1.9757436133633906E-2</c:v>
                </c:pt>
                <c:pt idx="3042">
                  <c:v>1.9760549257728199E-2</c:v>
                </c:pt>
                <c:pt idx="3043">
                  <c:v>1.9763655710900704E-2</c:v>
                </c:pt>
                <c:pt idx="3044">
                  <c:v>1.9766755493089882E-2</c:v>
                </c:pt>
                <c:pt idx="3045">
                  <c:v>1.9769848604233534E-2</c:v>
                </c:pt>
                <c:pt idx="3046">
                  <c:v>1.9772935044270998E-2</c:v>
                </c:pt>
                <c:pt idx="3047">
                  <c:v>1.9776014813139862E-2</c:v>
                </c:pt>
                <c:pt idx="3048">
                  <c:v>1.9779087910779015E-2</c:v>
                </c:pt>
                <c:pt idx="3049">
                  <c:v>1.9782154337128023E-2</c:v>
                </c:pt>
                <c:pt idx="3050">
                  <c:v>1.9785214092124682E-2</c:v>
                </c:pt>
                <c:pt idx="3051">
                  <c:v>1.9788267175708547E-2</c:v>
                </c:pt>
                <c:pt idx="3052">
                  <c:v>1.9791313587819395E-2</c:v>
                </c:pt>
                <c:pt idx="3053">
                  <c:v>1.9794353328395464E-2</c:v>
                </c:pt>
                <c:pt idx="3054">
                  <c:v>1.9797386397377412E-2</c:v>
                </c:pt>
                <c:pt idx="3055">
                  <c:v>1.980041279470391E-2</c:v>
                </c:pt>
                <c:pt idx="3056">
                  <c:v>1.9803432520315172E-2</c:v>
                </c:pt>
                <c:pt idx="3057">
                  <c:v>1.9806445574150754E-2</c:v>
                </c:pt>
                <c:pt idx="3058">
                  <c:v>1.9809451956151088E-2</c:v>
                </c:pt>
                <c:pt idx="3059">
                  <c:v>1.9812451666255729E-2</c:v>
                </c:pt>
                <c:pt idx="3060">
                  <c:v>1.9815444704405764E-2</c:v>
                </c:pt>
                <c:pt idx="3061">
                  <c:v>1.9818431070540533E-2</c:v>
                </c:pt>
                <c:pt idx="3062">
                  <c:v>1.9821410764601553E-2</c:v>
                </c:pt>
                <c:pt idx="3063">
                  <c:v>1.9824383786529048E-2</c:v>
                </c:pt>
                <c:pt idx="3064">
                  <c:v>1.9827350136264316E-2</c:v>
                </c:pt>
                <c:pt idx="3065">
                  <c:v>1.9830309813747359E-2</c:v>
                </c:pt>
                <c:pt idx="3066">
                  <c:v>1.9833262818919912E-2</c:v>
                </c:pt>
                <c:pt idx="3067">
                  <c:v>1.9836209151722413E-2</c:v>
                </c:pt>
                <c:pt idx="3068">
                  <c:v>1.983914881209748E-2</c:v>
                </c:pt>
                <c:pt idx="3069">
                  <c:v>1.9842081799985766E-2</c:v>
                </c:pt>
                <c:pt idx="3070">
                  <c:v>1.9845008115328577E-2</c:v>
                </c:pt>
                <c:pt idx="3071">
                  <c:v>1.9847927758068314E-2</c:v>
                </c:pt>
                <c:pt idx="3072">
                  <c:v>1.9850840728146725E-2</c:v>
                </c:pt>
                <c:pt idx="3073">
                  <c:v>1.9853747025505554E-2</c:v>
                </c:pt>
                <c:pt idx="3074">
                  <c:v>1.9856646650086546E-2</c:v>
                </c:pt>
                <c:pt idx="3075">
                  <c:v>1.9859539601832978E-2</c:v>
                </c:pt>
                <c:pt idx="3076">
                  <c:v>1.9862425880686815E-2</c:v>
                </c:pt>
                <c:pt idx="3077">
                  <c:v>1.9865305486589803E-2</c:v>
                </c:pt>
                <c:pt idx="3078">
                  <c:v>1.9868178419485877E-2</c:v>
                </c:pt>
                <c:pt idx="3079">
                  <c:v>1.9871044679317003E-2</c:v>
                </c:pt>
                <c:pt idx="3080">
                  <c:v>1.9873904266026234E-2</c:v>
                </c:pt>
                <c:pt idx="3081">
                  <c:v>1.9876757179556635E-2</c:v>
                </c:pt>
                <c:pt idx="3082">
                  <c:v>1.9879603419851923E-2</c:v>
                </c:pt>
                <c:pt idx="3083">
                  <c:v>1.9882442986854716E-2</c:v>
                </c:pt>
                <c:pt idx="3084">
                  <c:v>1.9885275880508733E-2</c:v>
                </c:pt>
                <c:pt idx="3085">
                  <c:v>1.9891074820857762E-2</c:v>
                </c:pt>
                <c:pt idx="3086">
                  <c:v>1.9890921647544857E-2</c:v>
                </c:pt>
                <c:pt idx="3087">
                  <c:v>1.9893734520814835E-2</c:v>
                </c:pt>
                <c:pt idx="3088">
                  <c:v>1.9896540720510683E-2</c:v>
                </c:pt>
                <c:pt idx="3089">
                  <c:v>1.989934024657743E-2</c:v>
                </c:pt>
                <c:pt idx="3090">
                  <c:v>1.9902133098958791E-2</c:v>
                </c:pt>
                <c:pt idx="3091">
                  <c:v>1.9904919277599579E-2</c:v>
                </c:pt>
                <c:pt idx="3092">
                  <c:v>1.9907698782443726E-2</c:v>
                </c:pt>
                <c:pt idx="3093">
                  <c:v>1.9910471613435829E-2</c:v>
                </c:pt>
                <c:pt idx="3094">
                  <c:v>1.9913237770521574E-2</c:v>
                </c:pt>
                <c:pt idx="3095">
                  <c:v>1.9915997253645113E-2</c:v>
                </c:pt>
                <c:pt idx="3096">
                  <c:v>1.9918750062751695E-2</c:v>
                </c:pt>
                <c:pt idx="3097">
                  <c:v>1.9921496197786572E-2</c:v>
                </c:pt>
                <c:pt idx="3098">
                  <c:v>1.9924235658694993E-2</c:v>
                </c:pt>
                <c:pt idx="3099">
                  <c:v>1.9926968445422206E-2</c:v>
                </c:pt>
                <c:pt idx="3100">
                  <c:v>1.9929694557914334E-2</c:v>
                </c:pt>
                <c:pt idx="3101">
                  <c:v>1.993241399611663E-2</c:v>
                </c:pt>
                <c:pt idx="3102">
                  <c:v>1.9935126759974782E-2</c:v>
                </c:pt>
                <c:pt idx="3103">
                  <c:v>1.9937832849435351E-2</c:v>
                </c:pt>
                <c:pt idx="3104">
                  <c:v>1.9940532264444241E-2</c:v>
                </c:pt>
                <c:pt idx="3105">
                  <c:v>1.9943225004947364E-2</c:v>
                </c:pt>
                <c:pt idx="3106">
                  <c:v>1.9945911070891498E-2</c:v>
                </c:pt>
                <c:pt idx="3107">
                  <c:v>1.9948590462222769E-2</c:v>
                </c:pt>
                <c:pt idx="3108">
                  <c:v>1.9951263178888401E-2</c:v>
                </c:pt>
                <c:pt idx="3109">
                  <c:v>1.9953929220834731E-2</c:v>
                </c:pt>
                <c:pt idx="3110">
                  <c:v>1.9956588588008549E-2</c:v>
                </c:pt>
                <c:pt idx="3111">
                  <c:v>1.9959241280357289E-2</c:v>
                </c:pt>
                <c:pt idx="3112">
                  <c:v>1.9961887297827736E-2</c:v>
                </c:pt>
                <c:pt idx="3113">
                  <c:v>1.9964526640367766E-2</c:v>
                </c:pt>
                <c:pt idx="3114">
                  <c:v>1.9967159307923942E-2</c:v>
                </c:pt>
                <c:pt idx="3115">
                  <c:v>1.9969785300444798E-2</c:v>
                </c:pt>
                <c:pt idx="3116">
                  <c:v>1.9972404617877339E-2</c:v>
                </c:pt>
                <c:pt idx="3117">
                  <c:v>1.9975017260169658E-2</c:v>
                </c:pt>
                <c:pt idx="3118">
                  <c:v>1.997762322726963E-2</c:v>
                </c:pt>
                <c:pt idx="3119">
                  <c:v>1.9980222519126015E-2</c:v>
                </c:pt>
                <c:pt idx="3120">
                  <c:v>1.9982815135685589E-2</c:v>
                </c:pt>
                <c:pt idx="3121">
                  <c:v>1.9985401076897984E-2</c:v>
                </c:pt>
                <c:pt idx="3122">
                  <c:v>1.9987980342711736E-2</c:v>
                </c:pt>
                <c:pt idx="3123">
                  <c:v>1.9990552933074938E-2</c:v>
                </c:pt>
                <c:pt idx="3124">
                  <c:v>1.9993118847936347E-2</c:v>
                </c:pt>
                <c:pt idx="3125">
                  <c:v>1.9995678087244711E-2</c:v>
                </c:pt>
                <c:pt idx="3126">
                  <c:v>1.9998230650950102E-2</c:v>
                </c:pt>
                <c:pt idx="3127">
                  <c:v>2.0000776539000398E-2</c:v>
                </c:pt>
                <c:pt idx="3128">
                  <c:v>2.000331575134566E-2</c:v>
                </c:pt>
                <c:pt idx="3129">
                  <c:v>2.0005848287935085E-2</c:v>
                </c:pt>
                <c:pt idx="3130">
                  <c:v>2.00083741487183E-2</c:v>
                </c:pt>
                <c:pt idx="3131">
                  <c:v>2.0010893333645158E-2</c:v>
                </c:pt>
                <c:pt idx="3132">
                  <c:v>2.0013405842665061E-2</c:v>
                </c:pt>
                <c:pt idx="3133">
                  <c:v>2.0018093594729485E-2</c:v>
                </c:pt>
                <c:pt idx="3134">
                  <c:v>2.0020591733693218E-2</c:v>
                </c:pt>
                <c:pt idx="3135">
                  <c:v>2.0023083195538964E-2</c:v>
                </c:pt>
                <c:pt idx="3136">
                  <c:v>2.0025567980215677E-2</c:v>
                </c:pt>
                <c:pt idx="3137">
                  <c:v>2.0025868247417502E-2</c:v>
                </c:pt>
                <c:pt idx="3138">
                  <c:v>2.0030517517862802E-2</c:v>
                </c:pt>
                <c:pt idx="3139">
                  <c:v>2.0032982270734388E-2</c:v>
                </c:pt>
                <c:pt idx="3140">
                  <c:v>2.0036165257178103E-2</c:v>
                </c:pt>
                <c:pt idx="3141">
                  <c:v>2.0037891744324878E-2</c:v>
                </c:pt>
                <c:pt idx="3142">
                  <c:v>2.0040336464945383E-2</c:v>
                </c:pt>
                <c:pt idx="3143">
                  <c:v>2.0042774508050611E-2</c:v>
                </c:pt>
                <c:pt idx="3144">
                  <c:v>2.0045205873591904E-2</c:v>
                </c:pt>
                <c:pt idx="3145">
                  <c:v>2.0047630561519734E-2</c:v>
                </c:pt>
                <c:pt idx="3146">
                  <c:v>2.0050048571785876E-2</c:v>
                </c:pt>
                <c:pt idx="3147">
                  <c:v>2.0052459904341898E-2</c:v>
                </c:pt>
                <c:pt idx="3148">
                  <c:v>2.0054864559139574E-2</c:v>
                </c:pt>
                <c:pt idx="3149">
                  <c:v>2.005726253612981E-2</c:v>
                </c:pt>
                <c:pt idx="3150">
                  <c:v>2.0057489368580761E-2</c:v>
                </c:pt>
                <c:pt idx="3151">
                  <c:v>2.0062038456497254E-2</c:v>
                </c:pt>
                <c:pt idx="3152">
                  <c:v>2.0064416399778233E-2</c:v>
                </c:pt>
                <c:pt idx="3153">
                  <c:v>2.0066787665060842E-2</c:v>
                </c:pt>
                <c:pt idx="3154">
                  <c:v>2.0069152252296857E-2</c:v>
                </c:pt>
                <c:pt idx="3155">
                  <c:v>2.0071510161438925E-2</c:v>
                </c:pt>
                <c:pt idx="3156">
                  <c:v>2.0073861392439909E-2</c:v>
                </c:pt>
                <c:pt idx="3157">
                  <c:v>2.0076205945252456E-2</c:v>
                </c:pt>
                <c:pt idx="3158">
                  <c:v>2.0078543819829646E-2</c:v>
                </c:pt>
                <c:pt idx="3159">
                  <c:v>2.0080875016124343E-2</c:v>
                </c:pt>
                <c:pt idx="3160">
                  <c:v>2.0083199534089411E-2</c:v>
                </c:pt>
                <c:pt idx="3161">
                  <c:v>2.0085517373679022E-2</c:v>
                </c:pt>
                <c:pt idx="3162">
                  <c:v>2.0087828534846249E-2</c:v>
                </c:pt>
                <c:pt idx="3163">
                  <c:v>2.0087982105001009E-2</c:v>
                </c:pt>
                <c:pt idx="3164">
                  <c:v>2.009243082172741E-2</c:v>
                </c:pt>
                <c:pt idx="3165">
                  <c:v>2.0094721947349025E-2</c:v>
                </c:pt>
                <c:pt idx="3166">
                  <c:v>2.0097006394363622E-2</c:v>
                </c:pt>
                <c:pt idx="3167">
                  <c:v>2.009928416272494E-2</c:v>
                </c:pt>
                <c:pt idx="3168">
                  <c:v>2.0101555252387573E-2</c:v>
                </c:pt>
                <c:pt idx="3169">
                  <c:v>2.0103819663305697E-2</c:v>
                </c:pt>
                <c:pt idx="3170">
                  <c:v>2.0106077395433904E-2</c:v>
                </c:pt>
                <c:pt idx="3171">
                  <c:v>2.0108328448726585E-2</c:v>
                </c:pt>
                <c:pt idx="3172">
                  <c:v>2.0110572823138991E-2</c:v>
                </c:pt>
                <c:pt idx="3173">
                  <c:v>2.0112810518626158E-2</c:v>
                </c:pt>
                <c:pt idx="3174">
                  <c:v>2.0115041535142035E-2</c:v>
                </c:pt>
                <c:pt idx="3175">
                  <c:v>2.0117265872643182E-2</c:v>
                </c:pt>
                <c:pt idx="3176">
                  <c:v>2.0119483531084413E-2</c:v>
                </c:pt>
                <c:pt idx="3177">
                  <c:v>2.0121694510420982E-2</c:v>
                </c:pt>
                <c:pt idx="3178">
                  <c:v>2.0123898810609015E-2</c:v>
                </c:pt>
                <c:pt idx="3179">
                  <c:v>2.0126096431603544E-2</c:v>
                </c:pt>
                <c:pt idx="3180">
                  <c:v>2.0128287373360695E-2</c:v>
                </c:pt>
                <c:pt idx="3181">
                  <c:v>2.0130471635836804E-2</c:v>
                </c:pt>
                <c:pt idx="3182">
                  <c:v>2.013264921898799E-2</c:v>
                </c:pt>
                <c:pt idx="3183">
                  <c:v>2.0134820122770167E-2</c:v>
                </c:pt>
                <c:pt idx="3184">
                  <c:v>2.0136984347139883E-2</c:v>
                </c:pt>
                <c:pt idx="3185">
                  <c:v>2.0137014330864289E-2</c:v>
                </c:pt>
                <c:pt idx="3186">
                  <c:v>2.0139166270105445E-2</c:v>
                </c:pt>
                <c:pt idx="3187">
                  <c:v>2.0141311530885862E-2</c:v>
                </c:pt>
                <c:pt idx="3188">
                  <c:v>2.0143450113161512E-2</c:v>
                </c:pt>
                <c:pt idx="3189">
                  <c:v>2.0145582016891008E-2</c:v>
                </c:pt>
                <c:pt idx="3190">
                  <c:v>2.014770724203099E-2</c:v>
                </c:pt>
                <c:pt idx="3191">
                  <c:v>2.0152653907656373E-2</c:v>
                </c:pt>
                <c:pt idx="3192">
                  <c:v>2.01519376563753E-2</c:v>
                </c:pt>
                <c:pt idx="3193">
                  <c:v>2.0154042845494657E-2</c:v>
                </c:pt>
                <c:pt idx="3194">
                  <c:v>2.0157852408478397E-2</c:v>
                </c:pt>
                <c:pt idx="3195">
                  <c:v>2.0159942563486379E-2</c:v>
                </c:pt>
                <c:pt idx="3196">
                  <c:v>2.0162026038925199E-2</c:v>
                </c:pt>
                <c:pt idx="3197">
                  <c:v>2.016410283475174E-2</c:v>
                </c:pt>
                <c:pt idx="3198">
                  <c:v>2.0166172950925914E-2</c:v>
                </c:pt>
                <c:pt idx="3199">
                  <c:v>2.0168236387405034E-2</c:v>
                </c:pt>
                <c:pt idx="3200">
                  <c:v>2.0170293144149243E-2</c:v>
                </c:pt>
                <c:pt idx="3201">
                  <c:v>2.017234322111585E-2</c:v>
                </c:pt>
                <c:pt idx="3202">
                  <c:v>2.01722775885168E-2</c:v>
                </c:pt>
                <c:pt idx="3203">
                  <c:v>2.0176423335554639E-2</c:v>
                </c:pt>
                <c:pt idx="3204">
                  <c:v>2.0178453372944924E-2</c:v>
                </c:pt>
                <c:pt idx="3205">
                  <c:v>2.0180476730394904E-2</c:v>
                </c:pt>
                <c:pt idx="3206">
                  <c:v>2.0182493407863846E-2</c:v>
                </c:pt>
                <c:pt idx="3207">
                  <c:v>2.0184503405311457E-2</c:v>
                </c:pt>
                <c:pt idx="3208">
                  <c:v>2.0186506722698096E-2</c:v>
                </c:pt>
                <c:pt idx="3209">
                  <c:v>2.0188503359982377E-2</c:v>
                </c:pt>
                <c:pt idx="3210">
                  <c:v>2.0190493317125312E-2</c:v>
                </c:pt>
                <c:pt idx="3211">
                  <c:v>2.0190377433891373E-2</c:v>
                </c:pt>
                <c:pt idx="3212">
                  <c:v>2.0194453190827279E-2</c:v>
                </c:pt>
                <c:pt idx="3213">
                  <c:v>2.0196423107306811E-2</c:v>
                </c:pt>
                <c:pt idx="3214">
                  <c:v>2.0198386343485992E-2</c:v>
                </c:pt>
                <c:pt idx="3215">
                  <c:v>2.0200342899325843E-2</c:v>
                </c:pt>
                <c:pt idx="3216">
                  <c:v>2.0202292774786936E-2</c:v>
                </c:pt>
                <c:pt idx="3217">
                  <c:v>2.0204235969830068E-2</c:v>
                </c:pt>
                <c:pt idx="3218">
                  <c:v>2.0206172484416685E-2</c:v>
                </c:pt>
                <c:pt idx="3219">
                  <c:v>2.020810231850758E-2</c:v>
                </c:pt>
                <c:pt idx="3220">
                  <c:v>2.0210025472064855E-2</c:v>
                </c:pt>
                <c:pt idx="3221">
                  <c:v>2.0211941945049088E-2</c:v>
                </c:pt>
                <c:pt idx="3222">
                  <c:v>2.0213851737422597E-2</c:v>
                </c:pt>
                <c:pt idx="3223">
                  <c:v>2.0215754849146828E-2</c:v>
                </c:pt>
                <c:pt idx="3224">
                  <c:v>2.0215566531780204E-2</c:v>
                </c:pt>
                <c:pt idx="3225">
                  <c:v>2.0219541030494999E-2</c:v>
                </c:pt>
                <c:pt idx="3226">
                  <c:v>2.0221424100043139E-2</c:v>
                </c:pt>
                <c:pt idx="3227">
                  <c:v>2.0223300488790626E-2</c:v>
                </c:pt>
                <c:pt idx="3228">
                  <c:v>2.0224582933904892E-2</c:v>
                </c:pt>
                <c:pt idx="3229">
                  <c:v>2.0226443845129019E-2</c:v>
                </c:pt>
                <c:pt idx="3230">
                  <c:v>2.0228298076153523E-2</c:v>
                </c:pt>
                <c:pt idx="3231">
                  <c:v>2.0230145626941389E-2</c:v>
                </c:pt>
                <c:pt idx="3232">
                  <c:v>2.0231986497456046E-2</c:v>
                </c:pt>
                <c:pt idx="3233">
                  <c:v>2.0233820687660477E-2</c:v>
                </c:pt>
                <c:pt idx="3234">
                  <c:v>2.023564819751833E-2</c:v>
                </c:pt>
                <c:pt idx="3235">
                  <c:v>2.0237469026993693E-2</c:v>
                </c:pt>
                <c:pt idx="3236">
                  <c:v>2.0239283176049328E-2</c:v>
                </c:pt>
                <c:pt idx="3237">
                  <c:v>2.0241090644649982E-2</c:v>
                </c:pt>
                <c:pt idx="3238">
                  <c:v>2.0242891432759296E-2</c:v>
                </c:pt>
                <c:pt idx="3239">
                  <c:v>2.0244685540341135E-2</c:v>
                </c:pt>
                <c:pt idx="3240">
                  <c:v>2.0246472967360023E-2</c:v>
                </c:pt>
                <c:pt idx="3241">
                  <c:v>2.0248253713780702E-2</c:v>
                </c:pt>
                <c:pt idx="3242">
                  <c:v>2.0250027779567033E-2</c:v>
                </c:pt>
                <c:pt idx="3243">
                  <c:v>2.0252298904793985E-2</c:v>
                </c:pt>
                <c:pt idx="3244">
                  <c:v>2.0253555869097144E-2</c:v>
                </c:pt>
                <c:pt idx="3245">
                  <c:v>2.0255309892770194E-2</c:v>
                </c:pt>
                <c:pt idx="3246">
                  <c:v>2.0257057235668292E-2</c:v>
                </c:pt>
                <c:pt idx="3247">
                  <c:v>2.0258797897757717E-2</c:v>
                </c:pt>
                <c:pt idx="3248">
                  <c:v>2.0260531879002553E-2</c:v>
                </c:pt>
                <c:pt idx="3249">
                  <c:v>2.0262259179368854E-2</c:v>
                </c:pt>
                <c:pt idx="3250">
                  <c:v>2.0263979798822673E-2</c:v>
                </c:pt>
                <c:pt idx="3251">
                  <c:v>2.0265693737329189E-2</c:v>
                </c:pt>
                <c:pt idx="3252">
                  <c:v>2.0267400994853801E-2</c:v>
                </c:pt>
                <c:pt idx="3253">
                  <c:v>2.0269101571363222E-2</c:v>
                </c:pt>
                <c:pt idx="3254">
                  <c:v>2.0270795466823505E-2</c:v>
                </c:pt>
                <c:pt idx="3255">
                  <c:v>2.027248268120092E-2</c:v>
                </c:pt>
                <c:pt idx="3256">
                  <c:v>2.0274163214461523E-2</c:v>
                </c:pt>
                <c:pt idx="3257">
                  <c:v>2.0275837066572031E-2</c:v>
                </c:pt>
                <c:pt idx="3258">
                  <c:v>2.0277504237499151E-2</c:v>
                </c:pt>
                <c:pt idx="3259">
                  <c:v>2.0279164727209593E-2</c:v>
                </c:pt>
                <c:pt idx="3260">
                  <c:v>2.028081853567051E-2</c:v>
                </c:pt>
                <c:pt idx="3261">
                  <c:v>2.0282465662848831E-2</c:v>
                </c:pt>
                <c:pt idx="3262">
                  <c:v>2.0284106108711706E-2</c:v>
                </c:pt>
                <c:pt idx="3263">
                  <c:v>2.0285739873226287E-2</c:v>
                </c:pt>
                <c:pt idx="3264">
                  <c:v>2.0287366956360155E-2</c:v>
                </c:pt>
                <c:pt idx="3265">
                  <c:v>2.0288987358081125E-2</c:v>
                </c:pt>
                <c:pt idx="3266">
                  <c:v>2.0290601078356996E-2</c:v>
                </c:pt>
                <c:pt idx="3267">
                  <c:v>2.0292208117154702E-2</c:v>
                </c:pt>
                <c:pt idx="3268">
                  <c:v>2.0293808474443144E-2</c:v>
                </c:pt>
                <c:pt idx="3269">
                  <c:v>2.0295402150190569E-2</c:v>
                </c:pt>
                <c:pt idx="3270">
                  <c:v>2.0296989144364778E-2</c:v>
                </c:pt>
                <c:pt idx="3271">
                  <c:v>2.0298569456934243E-2</c:v>
                </c:pt>
                <c:pt idx="3272">
                  <c:v>2.0300143087867199E-2</c:v>
                </c:pt>
                <c:pt idx="3273">
                  <c:v>2.030171003713321E-2</c:v>
                </c:pt>
                <c:pt idx="3274">
                  <c:v>2.0303270304699864E-2</c:v>
                </c:pt>
                <c:pt idx="3275">
                  <c:v>2.0304823890536939E-2</c:v>
                </c:pt>
                <c:pt idx="3276">
                  <c:v>2.0306370794613116E-2</c:v>
                </c:pt>
                <c:pt idx="3277">
                  <c:v>2.0307911016897731E-2</c:v>
                </c:pt>
                <c:pt idx="3278">
                  <c:v>2.030944455736013E-2</c:v>
                </c:pt>
                <c:pt idx="3279">
                  <c:v>2.0310971415969867E-2</c:v>
                </c:pt>
                <c:pt idx="3280">
                  <c:v>2.0312708215338302E-2</c:v>
                </c:pt>
                <c:pt idx="3281">
                  <c:v>2.0314220755589595E-2</c:v>
                </c:pt>
                <c:pt idx="3282">
                  <c:v>2.0315726613892741E-2</c:v>
                </c:pt>
                <c:pt idx="3283">
                  <c:v>2.0317225790218399E-2</c:v>
                </c:pt>
                <c:pt idx="3284">
                  <c:v>2.0318718284535905E-2</c:v>
                </c:pt>
                <c:pt idx="3285">
                  <c:v>2.0320204096816126E-2</c:v>
                </c:pt>
                <c:pt idx="3286">
                  <c:v>2.0321683227029069E-2</c:v>
                </c:pt>
                <c:pt idx="3287">
                  <c:v>2.0323155675145161E-2</c:v>
                </c:pt>
                <c:pt idx="3288">
                  <c:v>2.0324621441135716E-2</c:v>
                </c:pt>
                <c:pt idx="3289">
                  <c:v>2.0326080524970952E-2</c:v>
                </c:pt>
                <c:pt idx="3290">
                  <c:v>2.0327532926621733E-2</c:v>
                </c:pt>
                <c:pt idx="3291">
                  <c:v>2.0328978646059818E-2</c:v>
                </c:pt>
                <c:pt idx="3292">
                  <c:v>2.033041768325607E-2</c:v>
                </c:pt>
                <c:pt idx="3293">
                  <c:v>2.0332258055086014E-2</c:v>
                </c:pt>
                <c:pt idx="3294">
                  <c:v>2.0333681818479006E-2</c:v>
                </c:pt>
                <c:pt idx="3295">
                  <c:v>2.0337767806226269E-2</c:v>
                </c:pt>
                <c:pt idx="3296">
                  <c:v>2.0336509298229614E-2</c:v>
                </c:pt>
                <c:pt idx="3297">
                  <c:v>2.033944577117849E-2</c:v>
                </c:pt>
                <c:pt idx="3298">
                  <c:v>2.0339310048412839E-2</c:v>
                </c:pt>
                <c:pt idx="3299">
                  <c:v>2.0340700399846822E-2</c:v>
                </c:pt>
                <c:pt idx="3300">
                  <c:v>2.0342084068805302E-2</c:v>
                </c:pt>
                <c:pt idx="3301">
                  <c:v>2.03434610552609E-2</c:v>
                </c:pt>
                <c:pt idx="3302">
                  <c:v>2.0344831359186244E-2</c:v>
                </c:pt>
                <c:pt idx="3303">
                  <c:v>2.03461949805533E-2</c:v>
                </c:pt>
                <c:pt idx="3304">
                  <c:v>2.0347551919336005E-2</c:v>
                </c:pt>
                <c:pt idx="3305">
                  <c:v>2.0348902175507208E-2</c:v>
                </c:pt>
                <c:pt idx="3306">
                  <c:v>2.0350245749039309E-2</c:v>
                </c:pt>
                <c:pt idx="3307">
                  <c:v>2.0351582639905594E-2</c:v>
                </c:pt>
                <c:pt idx="3308">
                  <c:v>2.0352912848079999E-2</c:v>
                </c:pt>
                <c:pt idx="3309">
                  <c:v>2.0354236373535808E-2</c:v>
                </c:pt>
                <c:pt idx="3310">
                  <c:v>2.0355553216246516E-2</c:v>
                </c:pt>
                <c:pt idx="3311">
                  <c:v>2.0356863376185631E-2</c:v>
                </c:pt>
                <c:pt idx="3312">
                  <c:v>2.0358166853327964E-2</c:v>
                </c:pt>
                <c:pt idx="3313">
                  <c:v>2.0359463647646577E-2</c:v>
                </c:pt>
                <c:pt idx="3314">
                  <c:v>2.0360753759116505E-2</c:v>
                </c:pt>
                <c:pt idx="3315">
                  <c:v>2.0362037187711027E-2</c:v>
                </c:pt>
                <c:pt idx="3316">
                  <c:v>2.036331393340584E-2</c:v>
                </c:pt>
                <c:pt idx="3317">
                  <c:v>2.0364583996174E-2</c:v>
                </c:pt>
                <c:pt idx="3318">
                  <c:v>2.0365847375991637E-2</c:v>
                </c:pt>
                <c:pt idx="3319">
                  <c:v>2.0367104072832914E-2</c:v>
                </c:pt>
                <c:pt idx="3320">
                  <c:v>2.0368354086672417E-2</c:v>
                </c:pt>
                <c:pt idx="3321">
                  <c:v>2.0369597417486066E-2</c:v>
                </c:pt>
                <c:pt idx="3322">
                  <c:v>2.0370834065248668E-2</c:v>
                </c:pt>
                <c:pt idx="3323">
                  <c:v>2.037206402993548E-2</c:v>
                </c:pt>
                <c:pt idx="3324">
                  <c:v>2.0373287311522194E-2</c:v>
                </c:pt>
                <c:pt idx="3325">
                  <c:v>2.0374503909984493E-2</c:v>
                </c:pt>
                <c:pt idx="3326">
                  <c:v>2.0375713825297858E-2</c:v>
                </c:pt>
                <c:pt idx="3327">
                  <c:v>2.0376917057438628E-2</c:v>
                </c:pt>
                <c:pt idx="3328">
                  <c:v>2.0378113606382722E-2</c:v>
                </c:pt>
                <c:pt idx="3329">
                  <c:v>2.037930347210604E-2</c:v>
                </c:pt>
                <c:pt idx="3330">
                  <c:v>2.0380486654584938E-2</c:v>
                </c:pt>
                <c:pt idx="3331">
                  <c:v>2.0382332438399604E-2</c:v>
                </c:pt>
                <c:pt idx="3332">
                  <c:v>2.0384303919338872E-2</c:v>
                </c:pt>
                <c:pt idx="3333">
                  <c:v>2.0383996102320751E-2</c:v>
                </c:pt>
                <c:pt idx="3334">
                  <c:v>2.0385152551588057E-2</c:v>
                </c:pt>
                <c:pt idx="3335">
                  <c:v>2.0386302317494432E-2</c:v>
                </c:pt>
                <c:pt idx="3336">
                  <c:v>2.0387445400017093E-2</c:v>
                </c:pt>
                <c:pt idx="3337">
                  <c:v>2.0388581799133054E-2</c:v>
                </c:pt>
                <c:pt idx="3338">
                  <c:v>2.0389711514819969E-2</c:v>
                </c:pt>
                <c:pt idx="3339">
                  <c:v>2.0390834547055505E-2</c:v>
                </c:pt>
                <c:pt idx="3340">
                  <c:v>2.0391950895816663E-2</c:v>
                </c:pt>
                <c:pt idx="3341">
                  <c:v>2.0395006111280766E-2</c:v>
                </c:pt>
                <c:pt idx="3342">
                  <c:v>2.0396107846141282E-2</c:v>
                </c:pt>
                <c:pt idx="3343">
                  <c:v>2.0397202896342451E-2</c:v>
                </c:pt>
                <c:pt idx="3344">
                  <c:v>2.0398291261862767E-2</c:v>
                </c:pt>
                <c:pt idx="3345">
                  <c:v>2.0399372942679208E-2</c:v>
                </c:pt>
                <c:pt idx="3346">
                  <c:v>2.0401094341918318E-2</c:v>
                </c:pt>
                <c:pt idx="3347">
                  <c:v>2.0401516250115301E-2</c:v>
                </c:pt>
                <c:pt idx="3348">
                  <c:v>2.040257787669195E-2</c:v>
                </c:pt>
                <c:pt idx="3349">
                  <c:v>2.0401697274711406E-2</c:v>
                </c:pt>
                <c:pt idx="3350">
                  <c:v>2.0404681075455362E-2</c:v>
                </c:pt>
                <c:pt idx="3351">
                  <c:v>2.0405722647600197E-2</c:v>
                </c:pt>
                <c:pt idx="3352">
                  <c:v>2.0406757534892583E-2</c:v>
                </c:pt>
                <c:pt idx="3353">
                  <c:v>2.0407785737311439E-2</c:v>
                </c:pt>
                <c:pt idx="3354">
                  <c:v>2.0408807254836139E-2</c:v>
                </c:pt>
                <c:pt idx="3355">
                  <c:v>2.0409822087446693E-2</c:v>
                </c:pt>
                <c:pt idx="3356">
                  <c:v>2.0410830235121819E-2</c:v>
                </c:pt>
                <c:pt idx="3357">
                  <c:v>2.0411831697841745E-2</c:v>
                </c:pt>
                <c:pt idx="3358">
                  <c:v>2.0412826475587138E-2</c:v>
                </c:pt>
                <c:pt idx="3359">
                  <c:v>2.0413814568336717E-2</c:v>
                </c:pt>
                <c:pt idx="3360">
                  <c:v>2.0414795976071144E-2</c:v>
                </c:pt>
                <c:pt idx="3361">
                  <c:v>2.0415770698770437E-2</c:v>
                </c:pt>
                <c:pt idx="3362">
                  <c:v>2.041481960604145E-2</c:v>
                </c:pt>
                <c:pt idx="3363">
                  <c:v>2.0417700088987377E-2</c:v>
                </c:pt>
                <c:pt idx="3364">
                  <c:v>2.0418654756465926E-2</c:v>
                </c:pt>
                <c:pt idx="3365">
                  <c:v>2.0419602738831793E-2</c:v>
                </c:pt>
                <c:pt idx="3366">
                  <c:v>2.0420544036066079E-2</c:v>
                </c:pt>
                <c:pt idx="3367">
                  <c:v>2.0421478648150328E-2</c:v>
                </c:pt>
                <c:pt idx="3368">
                  <c:v>2.042240657506585E-2</c:v>
                </c:pt>
                <c:pt idx="3369">
                  <c:v>2.0423327816793537E-2</c:v>
                </c:pt>
                <c:pt idx="3370">
                  <c:v>2.0424242373314919E-2</c:v>
                </c:pt>
                <c:pt idx="3371">
                  <c:v>2.0425150244611973E-2</c:v>
                </c:pt>
                <c:pt idx="3372">
                  <c:v>2.0426051430665799E-2</c:v>
                </c:pt>
                <c:pt idx="3373">
                  <c:v>2.0426945931459235E-2</c:v>
                </c:pt>
                <c:pt idx="3374">
                  <c:v>2.0427833746973382E-2</c:v>
                </c:pt>
                <c:pt idx="3375">
                  <c:v>2.0428714877191303E-2</c:v>
                </c:pt>
                <c:pt idx="3376">
                  <c:v>2.0429589322094311E-2</c:v>
                </c:pt>
                <c:pt idx="3377">
                  <c:v>2.0430457081666117E-2</c:v>
                </c:pt>
                <c:pt idx="3378">
                  <c:v>2.0431318155887827E-2</c:v>
                </c:pt>
                <c:pt idx="3379">
                  <c:v>2.043217254474336E-2</c:v>
                </c:pt>
                <c:pt idx="3380">
                  <c:v>2.0433020248215125E-2</c:v>
                </c:pt>
                <c:pt idx="3381">
                  <c:v>2.0433861266285745E-2</c:v>
                </c:pt>
                <c:pt idx="3382">
                  <c:v>2.0434695598938929E-2</c:v>
                </c:pt>
                <c:pt idx="3383">
                  <c:v>2.0436153949300564E-2</c:v>
                </c:pt>
                <c:pt idx="3384">
                  <c:v>2.0434453286183957E-2</c:v>
                </c:pt>
                <c:pt idx="3385">
                  <c:v>2.0437158484224643E-2</c:v>
                </c:pt>
                <c:pt idx="3386">
                  <c:v>2.0437966075040385E-2</c:v>
                </c:pt>
                <c:pt idx="3387">
                  <c:v>2.0438766980355932E-2</c:v>
                </c:pt>
                <c:pt idx="3388">
                  <c:v>2.0439561200155641E-2</c:v>
                </c:pt>
                <c:pt idx="3389">
                  <c:v>2.0440348734422572E-2</c:v>
                </c:pt>
                <c:pt idx="3390">
                  <c:v>2.044112958314195E-2</c:v>
                </c:pt>
                <c:pt idx="3391">
                  <c:v>2.0441903746297705E-2</c:v>
                </c:pt>
                <c:pt idx="3392">
                  <c:v>2.0442671223873762E-2</c:v>
                </c:pt>
                <c:pt idx="3393">
                  <c:v>2.0441552790834094E-2</c:v>
                </c:pt>
                <c:pt idx="3394">
                  <c:v>2.0442308202467615E-2</c:v>
                </c:pt>
                <c:pt idx="3395">
                  <c:v>2.0443056929602042E-2</c:v>
                </c:pt>
                <c:pt idx="3396">
                  <c:v>2.0446299343264845E-2</c:v>
                </c:pt>
                <c:pt idx="3397">
                  <c:v>2.0444534330313402E-2</c:v>
                </c:pt>
                <c:pt idx="3398">
                  <c:v>2.0445263003860546E-2</c:v>
                </c:pt>
                <c:pt idx="3399">
                  <c:v>2.0445984992849688E-2</c:v>
                </c:pt>
                <c:pt idx="3400">
                  <c:v>2.0446700297266154E-2</c:v>
                </c:pt>
                <c:pt idx="3401">
                  <c:v>2.0447408917095709E-2</c:v>
                </c:pt>
                <c:pt idx="3402">
                  <c:v>2.0448110852324116E-2</c:v>
                </c:pt>
                <c:pt idx="3403">
                  <c:v>2.0448806102938019E-2</c:v>
                </c:pt>
                <c:pt idx="3404">
                  <c:v>2.0449494668922961E-2</c:v>
                </c:pt>
                <c:pt idx="3405">
                  <c:v>2.0450176550265146E-2</c:v>
                </c:pt>
                <c:pt idx="3406">
                  <c:v>2.0450851746950997E-2</c:v>
                </c:pt>
                <c:pt idx="3407">
                  <c:v>2.0451520258967588E-2</c:v>
                </c:pt>
                <c:pt idx="3408">
                  <c:v>2.0452182086301566E-2</c:v>
                </c:pt>
                <c:pt idx="3409">
                  <c:v>2.045283722893913E-2</c:v>
                </c:pt>
                <c:pt idx="3410">
                  <c:v>2.0453485686867581E-2</c:v>
                </c:pt>
                <c:pt idx="3411">
                  <c:v>2.0454127460073995E-2</c:v>
                </c:pt>
                <c:pt idx="3412">
                  <c:v>2.045476254854545E-2</c:v>
                </c:pt>
                <c:pt idx="3413">
                  <c:v>2.0455390952269684E-2</c:v>
                </c:pt>
                <c:pt idx="3414">
                  <c:v>2.0456012671233776E-2</c:v>
                </c:pt>
                <c:pt idx="3415">
                  <c:v>2.0456627705425463E-2</c:v>
                </c:pt>
                <c:pt idx="3416">
                  <c:v>2.0457236054832694E-2</c:v>
                </c:pt>
                <c:pt idx="3417">
                  <c:v>2.0457837719442991E-2</c:v>
                </c:pt>
                <c:pt idx="3418">
                  <c:v>2.0458432699244529E-2</c:v>
                </c:pt>
                <c:pt idx="3419">
                  <c:v>2.0459020994225696E-2</c:v>
                </c:pt>
                <c:pt idx="3420">
                  <c:v>2.045960260437445E-2</c:v>
                </c:pt>
                <c:pt idx="3421">
                  <c:v>2.0460177529679404E-2</c:v>
                </c:pt>
                <c:pt idx="3422">
                  <c:v>2.0460745770128731E-2</c:v>
                </c:pt>
                <c:pt idx="3423">
                  <c:v>2.0461307325711695E-2</c:v>
                </c:pt>
                <c:pt idx="3424">
                  <c:v>2.0461862196416474E-2</c:v>
                </c:pt>
                <c:pt idx="3425">
                  <c:v>2.0462410382232558E-2</c:v>
                </c:pt>
                <c:pt idx="3426">
                  <c:v>2.0462951883148773E-2</c:v>
                </c:pt>
                <c:pt idx="3427">
                  <c:v>2.0463486699154394E-2</c:v>
                </c:pt>
                <c:pt idx="3428">
                  <c:v>2.0464014830238682E-2</c:v>
                </c:pt>
                <c:pt idx="3429">
                  <c:v>2.0464536276391353E-2</c:v>
                </c:pt>
                <c:pt idx="3430">
                  <c:v>2.0465051037601666E-2</c:v>
                </c:pt>
                <c:pt idx="3431">
                  <c:v>2.0465559113859336E-2</c:v>
                </c:pt>
                <c:pt idx="3432">
                  <c:v>2.0466060505154721E-2</c:v>
                </c:pt>
                <c:pt idx="3433">
                  <c:v>2.0466555211477749E-2</c:v>
                </c:pt>
                <c:pt idx="3434">
                  <c:v>2.046704323281813E-2</c:v>
                </c:pt>
                <c:pt idx="3435">
                  <c:v>2.0467524569166663E-2</c:v>
                </c:pt>
                <c:pt idx="3436">
                  <c:v>2.0467999220513056E-2</c:v>
                </c:pt>
                <c:pt idx="3437">
                  <c:v>2.0468467186848544E-2</c:v>
                </c:pt>
                <c:pt idx="3438">
                  <c:v>2.0468928468163498E-2</c:v>
                </c:pt>
                <c:pt idx="3439">
                  <c:v>2.0469383064448936E-2</c:v>
                </c:pt>
                <c:pt idx="3440">
                  <c:v>2.0469830975695439E-2</c:v>
                </c:pt>
                <c:pt idx="3441">
                  <c:v>2.047027220189403E-2</c:v>
                </c:pt>
                <c:pt idx="3442">
                  <c:v>2.0470706743037043E-2</c:v>
                </c:pt>
                <c:pt idx="3443">
                  <c:v>2.0471134599113969E-2</c:v>
                </c:pt>
                <c:pt idx="3444">
                  <c:v>2.0471555770118013E-2</c:v>
                </c:pt>
                <c:pt idx="3445">
                  <c:v>2.047197025603998E-2</c:v>
                </c:pt>
                <c:pt idx="3446">
                  <c:v>2.0472378056871552E-2</c:v>
                </c:pt>
                <c:pt idx="3447">
                  <c:v>2.04727791726044E-2</c:v>
                </c:pt>
                <c:pt idx="3448">
                  <c:v>2.047317360323108E-2</c:v>
                </c:pt>
                <c:pt idx="3449">
                  <c:v>2.0473561348743709E-2</c:v>
                </c:pt>
                <c:pt idx="3450">
                  <c:v>2.0473942409134183E-2</c:v>
                </c:pt>
                <c:pt idx="3451">
                  <c:v>2.0476718950609998E-2</c:v>
                </c:pt>
                <c:pt idx="3452">
                  <c:v>2.0474684474519105E-2</c:v>
                </c:pt>
                <c:pt idx="3453">
                  <c:v>2.0475045479498875E-2</c:v>
                </c:pt>
                <c:pt idx="3454">
                  <c:v>2.0475399799326929E-2</c:v>
                </c:pt>
                <c:pt idx="3455">
                  <c:v>2.0475747433996255E-2</c:v>
                </c:pt>
                <c:pt idx="3456">
                  <c:v>2.0476088383500502E-2</c:v>
                </c:pt>
                <c:pt idx="3457">
                  <c:v>2.0476422647832223E-2</c:v>
                </c:pt>
                <c:pt idx="3458">
                  <c:v>2.0476750226984846E-2</c:v>
                </c:pt>
                <c:pt idx="3459">
                  <c:v>2.0477071120952244E-2</c:v>
                </c:pt>
                <c:pt idx="3460">
                  <c:v>2.0477385329727187E-2</c:v>
                </c:pt>
                <c:pt idx="3461">
                  <c:v>2.0477692853304641E-2</c:v>
                </c:pt>
                <c:pt idx="3462">
                  <c:v>2.0477993691677812E-2</c:v>
                </c:pt>
                <c:pt idx="3463">
                  <c:v>2.0478287844840574E-2</c:v>
                </c:pt>
                <c:pt idx="3464">
                  <c:v>2.0478575312787007E-2</c:v>
                </c:pt>
                <c:pt idx="3465">
                  <c:v>2.0478856095511637E-2</c:v>
                </c:pt>
                <c:pt idx="3466">
                  <c:v>2.0479130193009214E-2</c:v>
                </c:pt>
                <c:pt idx="3467">
                  <c:v>2.0479397605273821E-2</c:v>
                </c:pt>
                <c:pt idx="3468">
                  <c:v>2.0479658332299762E-2</c:v>
                </c:pt>
                <c:pt idx="3469">
                  <c:v>2.0479912374082442E-2</c:v>
                </c:pt>
                <c:pt idx="3470">
                  <c:v>2.04801597306166E-2</c:v>
                </c:pt>
                <c:pt idx="3471">
                  <c:v>2.0480400401897862E-2</c:v>
                </c:pt>
                <c:pt idx="3472">
                  <c:v>2.0480634387920527E-2</c:v>
                </c:pt>
                <c:pt idx="3473">
                  <c:v>2.048086168868022E-2</c:v>
                </c:pt>
                <c:pt idx="3474">
                  <c:v>2.0481082304172778E-2</c:v>
                </c:pt>
                <c:pt idx="3475">
                  <c:v>2.0481296234393168E-2</c:v>
                </c:pt>
                <c:pt idx="3476">
                  <c:v>2.0481503479338099E-2</c:v>
                </c:pt>
                <c:pt idx="3477">
                  <c:v>2.0481704039002537E-2</c:v>
                </c:pt>
                <c:pt idx="3478">
                  <c:v>2.0481897913382757E-2</c:v>
                </c:pt>
                <c:pt idx="3479">
                  <c:v>2.0482085102475039E-2</c:v>
                </c:pt>
                <c:pt idx="3480">
                  <c:v>2.048226560627522E-2</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67983872"/>
        <c:axId val="66798579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41976</c:v>
                </c:pt>
                <c:pt idx="1">
                  <c:v>42009</c:v>
                </c:pt>
                <c:pt idx="2">
                  <c:v>42038</c:v>
                </c:pt>
                <c:pt idx="3">
                  <c:v>42066</c:v>
                </c:pt>
                <c:pt idx="4">
                  <c:v>42101</c:v>
                </c:pt>
                <c:pt idx="5">
                  <c:v>42128</c:v>
                </c:pt>
                <c:pt idx="6">
                  <c:v>42158</c:v>
                </c:pt>
                <c:pt idx="7">
                  <c:v>42188</c:v>
                </c:pt>
                <c:pt idx="8">
                  <c:v>42219</c:v>
                </c:pt>
                <c:pt idx="9">
                  <c:v>42250</c:v>
                </c:pt>
                <c:pt idx="10">
                  <c:v>42282</c:v>
                </c:pt>
                <c:pt idx="11">
                  <c:v>42311</c:v>
                </c:pt>
                <c:pt idx="12">
                  <c:v>42341</c:v>
                </c:pt>
                <c:pt idx="13">
                  <c:v>42373</c:v>
                </c:pt>
                <c:pt idx="14">
                  <c:v>42403</c:v>
                </c:pt>
                <c:pt idx="15">
                  <c:v>42432</c:v>
                </c:pt>
                <c:pt idx="16">
                  <c:v>42464</c:v>
                </c:pt>
                <c:pt idx="17">
                  <c:v>42493</c:v>
                </c:pt>
              </c:numCache>
            </c:numRef>
          </c:xVal>
          <c:yVal>
            <c:numRef>
              <c:f>[0]!FRASeries</c:f>
              <c:numCache>
                <c:formatCode>0.0000%</c:formatCode>
                <c:ptCount val="18"/>
                <c:pt idx="0">
                  <c:v>3.741E-3</c:v>
                </c:pt>
                <c:pt idx="1">
                  <c:v>3.7260000000000001E-3</c:v>
                </c:pt>
                <c:pt idx="2">
                  <c:v>3.735E-3</c:v>
                </c:pt>
                <c:pt idx="3">
                  <c:v>3.7299999999999998E-3</c:v>
                </c:pt>
                <c:pt idx="4">
                  <c:v>3.702E-3</c:v>
                </c:pt>
                <c:pt idx="5">
                  <c:v>3.7039999999999998E-3</c:v>
                </c:pt>
                <c:pt idx="6">
                  <c:v>3.735E-3</c:v>
                </c:pt>
                <c:pt idx="7">
                  <c:v>3.7820000000000002E-3</c:v>
                </c:pt>
                <c:pt idx="8">
                  <c:v>3.8430000000000001E-3</c:v>
                </c:pt>
                <c:pt idx="9">
                  <c:v>3.901E-3</c:v>
                </c:pt>
                <c:pt idx="10">
                  <c:v>3.9750000000000002E-3</c:v>
                </c:pt>
                <c:pt idx="11">
                  <c:v>4.0400000000000002E-3</c:v>
                </c:pt>
                <c:pt idx="12">
                  <c:v>4.13E-3</c:v>
                </c:pt>
                <c:pt idx="13">
                  <c:v>4.2059999999999997E-3</c:v>
                </c:pt>
                <c:pt idx="14">
                  <c:v>4.2779999999999997E-3</c:v>
                </c:pt>
                <c:pt idx="15">
                  <c:v>4.3699999999999998E-3</c:v>
                </c:pt>
                <c:pt idx="16">
                  <c:v>4.4949999999999999E-3</c:v>
                </c:pt>
                <c:pt idx="17">
                  <c:v>4.6150000000000002E-3</c:v>
                </c:pt>
              </c:numCache>
            </c:numRef>
          </c:yVal>
          <c:smooth val="0"/>
        </c:ser>
        <c:dLbls>
          <c:showLegendKey val="0"/>
          <c:showVal val="0"/>
          <c:showCatName val="0"/>
          <c:showSerName val="0"/>
          <c:showPercent val="0"/>
          <c:showBubbleSize val="0"/>
        </c:dLbls>
        <c:axId val="667983872"/>
        <c:axId val="667985792"/>
      </c:scatterChart>
      <c:dateAx>
        <c:axId val="667983872"/>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667985792"/>
        <c:crosses val="autoZero"/>
        <c:auto val="1"/>
        <c:lblOffset val="100"/>
        <c:baseTimeUnit val="days"/>
        <c:majorUnit val="3"/>
        <c:majorTimeUnit val="months"/>
        <c:minorUnit val="1"/>
        <c:minorTimeUnit val="years"/>
      </c:dateAx>
      <c:valAx>
        <c:axId val="667985792"/>
        <c:scaling>
          <c:orientation val="minMax"/>
          <c:max val="6.0000000000000001E-3"/>
          <c:min val="3.0000000000000001E-3"/>
        </c:scaling>
        <c:delete val="0"/>
        <c:axPos val="l"/>
        <c:majorGridlines/>
        <c:numFmt formatCode="0.00%" sourceLinked="0"/>
        <c:majorTickMark val="out"/>
        <c:minorTickMark val="none"/>
        <c:tickLblPos val="nextTo"/>
        <c:crossAx val="66798387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41946</c:v>
                </c:pt>
                <c:pt idx="1">
                  <c:v>41947</c:v>
                </c:pt>
                <c:pt idx="2">
                  <c:v>41948</c:v>
                </c:pt>
                <c:pt idx="3">
                  <c:v>41949</c:v>
                </c:pt>
                <c:pt idx="4">
                  <c:v>41950</c:v>
                </c:pt>
                <c:pt idx="5">
                  <c:v>41953</c:v>
                </c:pt>
                <c:pt idx="6">
                  <c:v>41954</c:v>
                </c:pt>
                <c:pt idx="7">
                  <c:v>41955</c:v>
                </c:pt>
                <c:pt idx="8">
                  <c:v>41956</c:v>
                </c:pt>
                <c:pt idx="9">
                  <c:v>41957</c:v>
                </c:pt>
                <c:pt idx="10">
                  <c:v>41960</c:v>
                </c:pt>
                <c:pt idx="11">
                  <c:v>41961</c:v>
                </c:pt>
                <c:pt idx="12">
                  <c:v>41962</c:v>
                </c:pt>
                <c:pt idx="13">
                  <c:v>41963</c:v>
                </c:pt>
                <c:pt idx="14">
                  <c:v>41964</c:v>
                </c:pt>
                <c:pt idx="15">
                  <c:v>41967</c:v>
                </c:pt>
                <c:pt idx="16">
                  <c:v>41968</c:v>
                </c:pt>
                <c:pt idx="17">
                  <c:v>41969</c:v>
                </c:pt>
                <c:pt idx="18">
                  <c:v>41970</c:v>
                </c:pt>
                <c:pt idx="19">
                  <c:v>41971</c:v>
                </c:pt>
                <c:pt idx="20">
                  <c:v>41974</c:v>
                </c:pt>
                <c:pt idx="21">
                  <c:v>41975</c:v>
                </c:pt>
                <c:pt idx="22">
                  <c:v>41976</c:v>
                </c:pt>
                <c:pt idx="23">
                  <c:v>41977</c:v>
                </c:pt>
                <c:pt idx="24">
                  <c:v>41978</c:v>
                </c:pt>
                <c:pt idx="25">
                  <c:v>41981</c:v>
                </c:pt>
                <c:pt idx="26">
                  <c:v>41982</c:v>
                </c:pt>
                <c:pt idx="27">
                  <c:v>41983</c:v>
                </c:pt>
                <c:pt idx="28">
                  <c:v>41984</c:v>
                </c:pt>
                <c:pt idx="29">
                  <c:v>41985</c:v>
                </c:pt>
                <c:pt idx="30">
                  <c:v>41988</c:v>
                </c:pt>
                <c:pt idx="31">
                  <c:v>41989</c:v>
                </c:pt>
                <c:pt idx="32">
                  <c:v>41990</c:v>
                </c:pt>
                <c:pt idx="33">
                  <c:v>41991</c:v>
                </c:pt>
                <c:pt idx="34">
                  <c:v>41992</c:v>
                </c:pt>
                <c:pt idx="35">
                  <c:v>41995</c:v>
                </c:pt>
                <c:pt idx="36">
                  <c:v>41996</c:v>
                </c:pt>
                <c:pt idx="37">
                  <c:v>41997</c:v>
                </c:pt>
                <c:pt idx="38">
                  <c:v>42002</c:v>
                </c:pt>
                <c:pt idx="39">
                  <c:v>42003</c:v>
                </c:pt>
                <c:pt idx="40">
                  <c:v>42004</c:v>
                </c:pt>
                <c:pt idx="41">
                  <c:v>42006</c:v>
                </c:pt>
                <c:pt idx="42">
                  <c:v>42009</c:v>
                </c:pt>
                <c:pt idx="43">
                  <c:v>42010</c:v>
                </c:pt>
                <c:pt idx="44">
                  <c:v>42011</c:v>
                </c:pt>
                <c:pt idx="45">
                  <c:v>42012</c:v>
                </c:pt>
                <c:pt idx="46">
                  <c:v>42013</c:v>
                </c:pt>
                <c:pt idx="47">
                  <c:v>42016</c:v>
                </c:pt>
                <c:pt idx="48">
                  <c:v>42017</c:v>
                </c:pt>
                <c:pt idx="49">
                  <c:v>42018</c:v>
                </c:pt>
                <c:pt idx="50">
                  <c:v>42019</c:v>
                </c:pt>
                <c:pt idx="51">
                  <c:v>42020</c:v>
                </c:pt>
                <c:pt idx="52">
                  <c:v>42023</c:v>
                </c:pt>
                <c:pt idx="53">
                  <c:v>42024</c:v>
                </c:pt>
                <c:pt idx="54">
                  <c:v>42025</c:v>
                </c:pt>
                <c:pt idx="55">
                  <c:v>42026</c:v>
                </c:pt>
                <c:pt idx="56">
                  <c:v>42027</c:v>
                </c:pt>
                <c:pt idx="57">
                  <c:v>42030</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42128</c:v>
                </c:pt>
                <c:pt idx="125">
                  <c:v>42129</c:v>
                </c:pt>
                <c:pt idx="126">
                  <c:v>42130</c:v>
                </c:pt>
                <c:pt idx="127">
                  <c:v>42131</c:v>
                </c:pt>
                <c:pt idx="128">
                  <c:v>42132</c:v>
                </c:pt>
                <c:pt idx="129">
                  <c:v>42135</c:v>
                </c:pt>
                <c:pt idx="130">
                  <c:v>42136</c:v>
                </c:pt>
                <c:pt idx="131">
                  <c:v>42137</c:v>
                </c:pt>
                <c:pt idx="132">
                  <c:v>42138</c:v>
                </c:pt>
                <c:pt idx="133">
                  <c:v>42139</c:v>
                </c:pt>
                <c:pt idx="134">
                  <c:v>42142</c:v>
                </c:pt>
                <c:pt idx="135">
                  <c:v>42143</c:v>
                </c:pt>
                <c:pt idx="136">
                  <c:v>42144</c:v>
                </c:pt>
                <c:pt idx="137">
                  <c:v>42145</c:v>
                </c:pt>
                <c:pt idx="138">
                  <c:v>42146</c:v>
                </c:pt>
                <c:pt idx="139">
                  <c:v>42149</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42247</c:v>
                </c:pt>
                <c:pt idx="210">
                  <c:v>42248</c:v>
                </c:pt>
                <c:pt idx="211">
                  <c:v>42249</c:v>
                </c:pt>
                <c:pt idx="212">
                  <c:v>42250</c:v>
                </c:pt>
                <c:pt idx="213">
                  <c:v>42251</c:v>
                </c:pt>
                <c:pt idx="214">
                  <c:v>42254</c:v>
                </c:pt>
                <c:pt idx="215">
                  <c:v>42255</c:v>
                </c:pt>
                <c:pt idx="216">
                  <c:v>42256</c:v>
                </c:pt>
                <c:pt idx="217">
                  <c:v>42257</c:v>
                </c:pt>
                <c:pt idx="218">
                  <c:v>42258</c:v>
                </c:pt>
                <c:pt idx="219">
                  <c:v>42261</c:v>
                </c:pt>
                <c:pt idx="220">
                  <c:v>42262</c:v>
                </c:pt>
                <c:pt idx="221">
                  <c:v>42263</c:v>
                </c:pt>
                <c:pt idx="222">
                  <c:v>42264</c:v>
                </c:pt>
                <c:pt idx="223">
                  <c:v>42265</c:v>
                </c:pt>
                <c:pt idx="224">
                  <c:v>42268</c:v>
                </c:pt>
                <c:pt idx="225">
                  <c:v>42269</c:v>
                </c:pt>
                <c:pt idx="226">
                  <c:v>42270</c:v>
                </c:pt>
                <c:pt idx="227">
                  <c:v>42271</c:v>
                </c:pt>
                <c:pt idx="228">
                  <c:v>42272</c:v>
                </c:pt>
                <c:pt idx="229">
                  <c:v>42275</c:v>
                </c:pt>
                <c:pt idx="230">
                  <c:v>42276</c:v>
                </c:pt>
                <c:pt idx="231">
                  <c:v>42277</c:v>
                </c:pt>
                <c:pt idx="232">
                  <c:v>42278</c:v>
                </c:pt>
                <c:pt idx="233">
                  <c:v>42279</c:v>
                </c:pt>
                <c:pt idx="234">
                  <c:v>42282</c:v>
                </c:pt>
                <c:pt idx="235">
                  <c:v>42283</c:v>
                </c:pt>
                <c:pt idx="236">
                  <c:v>42284</c:v>
                </c:pt>
                <c:pt idx="237">
                  <c:v>42285</c:v>
                </c:pt>
                <c:pt idx="238">
                  <c:v>42286</c:v>
                </c:pt>
                <c:pt idx="239">
                  <c:v>42289</c:v>
                </c:pt>
                <c:pt idx="240">
                  <c:v>42290</c:v>
                </c:pt>
                <c:pt idx="241">
                  <c:v>42291</c:v>
                </c:pt>
                <c:pt idx="242">
                  <c:v>42292</c:v>
                </c:pt>
                <c:pt idx="243">
                  <c:v>42293</c:v>
                </c:pt>
                <c:pt idx="244">
                  <c:v>42296</c:v>
                </c:pt>
                <c:pt idx="245">
                  <c:v>42297</c:v>
                </c:pt>
                <c:pt idx="246">
                  <c:v>42298</c:v>
                </c:pt>
                <c:pt idx="247">
                  <c:v>42299</c:v>
                </c:pt>
                <c:pt idx="248">
                  <c:v>42300</c:v>
                </c:pt>
                <c:pt idx="249">
                  <c:v>42303</c:v>
                </c:pt>
                <c:pt idx="250">
                  <c:v>42304</c:v>
                </c:pt>
                <c:pt idx="251">
                  <c:v>42305</c:v>
                </c:pt>
                <c:pt idx="252">
                  <c:v>42306</c:v>
                </c:pt>
                <c:pt idx="253">
                  <c:v>42307</c:v>
                </c:pt>
                <c:pt idx="254">
                  <c:v>42310</c:v>
                </c:pt>
                <c:pt idx="255">
                  <c:v>42311</c:v>
                </c:pt>
                <c:pt idx="256">
                  <c:v>42312</c:v>
                </c:pt>
                <c:pt idx="257">
                  <c:v>42313</c:v>
                </c:pt>
                <c:pt idx="258">
                  <c:v>42314</c:v>
                </c:pt>
                <c:pt idx="259">
                  <c:v>42317</c:v>
                </c:pt>
                <c:pt idx="260">
                  <c:v>42318</c:v>
                </c:pt>
                <c:pt idx="261">
                  <c:v>42319</c:v>
                </c:pt>
                <c:pt idx="262">
                  <c:v>42320</c:v>
                </c:pt>
                <c:pt idx="263">
                  <c:v>42321</c:v>
                </c:pt>
                <c:pt idx="264">
                  <c:v>42324</c:v>
                </c:pt>
                <c:pt idx="265">
                  <c:v>42325</c:v>
                </c:pt>
                <c:pt idx="266">
                  <c:v>42326</c:v>
                </c:pt>
                <c:pt idx="267">
                  <c:v>42327</c:v>
                </c:pt>
                <c:pt idx="268">
                  <c:v>42328</c:v>
                </c:pt>
                <c:pt idx="269">
                  <c:v>42331</c:v>
                </c:pt>
                <c:pt idx="270">
                  <c:v>42332</c:v>
                </c:pt>
                <c:pt idx="271">
                  <c:v>42333</c:v>
                </c:pt>
                <c:pt idx="272">
                  <c:v>42334</c:v>
                </c:pt>
                <c:pt idx="273">
                  <c:v>42335</c:v>
                </c:pt>
                <c:pt idx="274">
                  <c:v>42338</c:v>
                </c:pt>
                <c:pt idx="275">
                  <c:v>42339</c:v>
                </c:pt>
                <c:pt idx="276">
                  <c:v>42340</c:v>
                </c:pt>
                <c:pt idx="277">
                  <c:v>42341</c:v>
                </c:pt>
                <c:pt idx="278">
                  <c:v>42342</c:v>
                </c:pt>
                <c:pt idx="279">
                  <c:v>42345</c:v>
                </c:pt>
                <c:pt idx="280">
                  <c:v>42346</c:v>
                </c:pt>
                <c:pt idx="281">
                  <c:v>42347</c:v>
                </c:pt>
                <c:pt idx="282">
                  <c:v>42348</c:v>
                </c:pt>
                <c:pt idx="283">
                  <c:v>42349</c:v>
                </c:pt>
                <c:pt idx="284">
                  <c:v>42352</c:v>
                </c:pt>
                <c:pt idx="285">
                  <c:v>42353</c:v>
                </c:pt>
                <c:pt idx="286">
                  <c:v>42354</c:v>
                </c:pt>
                <c:pt idx="287">
                  <c:v>42355</c:v>
                </c:pt>
                <c:pt idx="288">
                  <c:v>42356</c:v>
                </c:pt>
                <c:pt idx="289">
                  <c:v>42359</c:v>
                </c:pt>
                <c:pt idx="290">
                  <c:v>42360</c:v>
                </c:pt>
                <c:pt idx="291">
                  <c:v>42361</c:v>
                </c:pt>
                <c:pt idx="292">
                  <c:v>42362</c:v>
                </c:pt>
                <c:pt idx="293">
                  <c:v>42366</c:v>
                </c:pt>
                <c:pt idx="294">
                  <c:v>42367</c:v>
                </c:pt>
                <c:pt idx="295">
                  <c:v>42368</c:v>
                </c:pt>
                <c:pt idx="296">
                  <c:v>42369</c:v>
                </c:pt>
                <c:pt idx="297">
                  <c:v>42373</c:v>
                </c:pt>
                <c:pt idx="298">
                  <c:v>42374</c:v>
                </c:pt>
                <c:pt idx="299">
                  <c:v>42375</c:v>
                </c:pt>
                <c:pt idx="300">
                  <c:v>42376</c:v>
                </c:pt>
                <c:pt idx="301">
                  <c:v>42377</c:v>
                </c:pt>
                <c:pt idx="302">
                  <c:v>42380</c:v>
                </c:pt>
                <c:pt idx="303">
                  <c:v>42381</c:v>
                </c:pt>
                <c:pt idx="304">
                  <c:v>42382</c:v>
                </c:pt>
                <c:pt idx="305">
                  <c:v>42383</c:v>
                </c:pt>
                <c:pt idx="306">
                  <c:v>42384</c:v>
                </c:pt>
                <c:pt idx="307">
                  <c:v>42387</c:v>
                </c:pt>
                <c:pt idx="308">
                  <c:v>42388</c:v>
                </c:pt>
                <c:pt idx="309">
                  <c:v>42389</c:v>
                </c:pt>
                <c:pt idx="310">
                  <c:v>42390</c:v>
                </c:pt>
                <c:pt idx="311">
                  <c:v>42391</c:v>
                </c:pt>
                <c:pt idx="312">
                  <c:v>42394</c:v>
                </c:pt>
                <c:pt idx="313">
                  <c:v>42395</c:v>
                </c:pt>
                <c:pt idx="314">
                  <c:v>42396</c:v>
                </c:pt>
                <c:pt idx="315">
                  <c:v>42397</c:v>
                </c:pt>
                <c:pt idx="316">
                  <c:v>42398</c:v>
                </c:pt>
                <c:pt idx="317">
                  <c:v>42401</c:v>
                </c:pt>
                <c:pt idx="318">
                  <c:v>42402</c:v>
                </c:pt>
                <c:pt idx="319">
                  <c:v>42403</c:v>
                </c:pt>
                <c:pt idx="320">
                  <c:v>42404</c:v>
                </c:pt>
                <c:pt idx="321">
                  <c:v>42405</c:v>
                </c:pt>
                <c:pt idx="322">
                  <c:v>42408</c:v>
                </c:pt>
                <c:pt idx="323">
                  <c:v>42409</c:v>
                </c:pt>
                <c:pt idx="324">
                  <c:v>42410</c:v>
                </c:pt>
                <c:pt idx="325">
                  <c:v>42411</c:v>
                </c:pt>
                <c:pt idx="326">
                  <c:v>42412</c:v>
                </c:pt>
                <c:pt idx="327">
                  <c:v>42415</c:v>
                </c:pt>
                <c:pt idx="328">
                  <c:v>42416</c:v>
                </c:pt>
                <c:pt idx="329">
                  <c:v>42417</c:v>
                </c:pt>
                <c:pt idx="330">
                  <c:v>42418</c:v>
                </c:pt>
                <c:pt idx="331">
                  <c:v>42419</c:v>
                </c:pt>
                <c:pt idx="332">
                  <c:v>42422</c:v>
                </c:pt>
                <c:pt idx="333">
                  <c:v>42423</c:v>
                </c:pt>
                <c:pt idx="334">
                  <c:v>42424</c:v>
                </c:pt>
                <c:pt idx="335">
                  <c:v>42425</c:v>
                </c:pt>
                <c:pt idx="336">
                  <c:v>42426</c:v>
                </c:pt>
                <c:pt idx="337">
                  <c:v>42429</c:v>
                </c:pt>
                <c:pt idx="338">
                  <c:v>42430</c:v>
                </c:pt>
                <c:pt idx="339">
                  <c:v>42431</c:v>
                </c:pt>
                <c:pt idx="340">
                  <c:v>42432</c:v>
                </c:pt>
                <c:pt idx="341">
                  <c:v>42433</c:v>
                </c:pt>
                <c:pt idx="342">
                  <c:v>42436</c:v>
                </c:pt>
                <c:pt idx="343">
                  <c:v>42437</c:v>
                </c:pt>
                <c:pt idx="344">
                  <c:v>42438</c:v>
                </c:pt>
                <c:pt idx="345">
                  <c:v>42439</c:v>
                </c:pt>
                <c:pt idx="346">
                  <c:v>42440</c:v>
                </c:pt>
                <c:pt idx="347">
                  <c:v>42443</c:v>
                </c:pt>
                <c:pt idx="348">
                  <c:v>42444</c:v>
                </c:pt>
                <c:pt idx="349">
                  <c:v>42445</c:v>
                </c:pt>
                <c:pt idx="350">
                  <c:v>42446</c:v>
                </c:pt>
                <c:pt idx="351">
                  <c:v>42447</c:v>
                </c:pt>
                <c:pt idx="352">
                  <c:v>42450</c:v>
                </c:pt>
                <c:pt idx="353">
                  <c:v>42451</c:v>
                </c:pt>
                <c:pt idx="354">
                  <c:v>42452</c:v>
                </c:pt>
                <c:pt idx="355">
                  <c:v>42453</c:v>
                </c:pt>
                <c:pt idx="356">
                  <c:v>42458</c:v>
                </c:pt>
                <c:pt idx="357">
                  <c:v>42459</c:v>
                </c:pt>
                <c:pt idx="358">
                  <c:v>42460</c:v>
                </c:pt>
                <c:pt idx="359">
                  <c:v>42461</c:v>
                </c:pt>
                <c:pt idx="360">
                  <c:v>42464</c:v>
                </c:pt>
                <c:pt idx="361">
                  <c:v>42465</c:v>
                </c:pt>
                <c:pt idx="362">
                  <c:v>42466</c:v>
                </c:pt>
                <c:pt idx="363">
                  <c:v>42467</c:v>
                </c:pt>
                <c:pt idx="364">
                  <c:v>42468</c:v>
                </c:pt>
                <c:pt idx="365">
                  <c:v>42471</c:v>
                </c:pt>
                <c:pt idx="366">
                  <c:v>42472</c:v>
                </c:pt>
                <c:pt idx="367">
                  <c:v>42473</c:v>
                </c:pt>
                <c:pt idx="368">
                  <c:v>42474</c:v>
                </c:pt>
                <c:pt idx="369">
                  <c:v>42475</c:v>
                </c:pt>
                <c:pt idx="370">
                  <c:v>42478</c:v>
                </c:pt>
                <c:pt idx="371">
                  <c:v>42479</c:v>
                </c:pt>
                <c:pt idx="372">
                  <c:v>42480</c:v>
                </c:pt>
                <c:pt idx="373">
                  <c:v>42481</c:v>
                </c:pt>
                <c:pt idx="374">
                  <c:v>42482</c:v>
                </c:pt>
                <c:pt idx="375">
                  <c:v>42485</c:v>
                </c:pt>
                <c:pt idx="376">
                  <c:v>42486</c:v>
                </c:pt>
                <c:pt idx="377">
                  <c:v>42487</c:v>
                </c:pt>
                <c:pt idx="378">
                  <c:v>42488</c:v>
                </c:pt>
                <c:pt idx="379">
                  <c:v>42489</c:v>
                </c:pt>
                <c:pt idx="380">
                  <c:v>42492</c:v>
                </c:pt>
                <c:pt idx="381">
                  <c:v>42493</c:v>
                </c:pt>
                <c:pt idx="382">
                  <c:v>42494</c:v>
                </c:pt>
                <c:pt idx="383">
                  <c:v>42495</c:v>
                </c:pt>
                <c:pt idx="384">
                  <c:v>42496</c:v>
                </c:pt>
                <c:pt idx="385">
                  <c:v>42499</c:v>
                </c:pt>
                <c:pt idx="386">
                  <c:v>42500</c:v>
                </c:pt>
                <c:pt idx="387">
                  <c:v>42501</c:v>
                </c:pt>
                <c:pt idx="388">
                  <c:v>42502</c:v>
                </c:pt>
                <c:pt idx="389">
                  <c:v>42503</c:v>
                </c:pt>
                <c:pt idx="390">
                  <c:v>42506</c:v>
                </c:pt>
                <c:pt idx="391">
                  <c:v>42507</c:v>
                </c:pt>
                <c:pt idx="392">
                  <c:v>42508</c:v>
                </c:pt>
                <c:pt idx="393">
                  <c:v>42509</c:v>
                </c:pt>
                <c:pt idx="394">
                  <c:v>42510</c:v>
                </c:pt>
                <c:pt idx="395">
                  <c:v>42513</c:v>
                </c:pt>
                <c:pt idx="396">
                  <c:v>42514</c:v>
                </c:pt>
                <c:pt idx="397">
                  <c:v>42515</c:v>
                </c:pt>
                <c:pt idx="398">
                  <c:v>42516</c:v>
                </c:pt>
                <c:pt idx="399">
                  <c:v>42517</c:v>
                </c:pt>
                <c:pt idx="400">
                  <c:v>42520</c:v>
                </c:pt>
                <c:pt idx="401">
                  <c:v>42521</c:v>
                </c:pt>
                <c:pt idx="402">
                  <c:v>42522</c:v>
                </c:pt>
                <c:pt idx="403">
                  <c:v>42523</c:v>
                </c:pt>
                <c:pt idx="404">
                  <c:v>42524</c:v>
                </c:pt>
                <c:pt idx="405">
                  <c:v>42527</c:v>
                </c:pt>
                <c:pt idx="406">
                  <c:v>42528</c:v>
                </c:pt>
                <c:pt idx="407">
                  <c:v>42529</c:v>
                </c:pt>
                <c:pt idx="408">
                  <c:v>42530</c:v>
                </c:pt>
                <c:pt idx="409">
                  <c:v>42531</c:v>
                </c:pt>
                <c:pt idx="410">
                  <c:v>42534</c:v>
                </c:pt>
                <c:pt idx="411">
                  <c:v>42535</c:v>
                </c:pt>
                <c:pt idx="412">
                  <c:v>42536</c:v>
                </c:pt>
                <c:pt idx="413">
                  <c:v>42537</c:v>
                </c:pt>
                <c:pt idx="414">
                  <c:v>42538</c:v>
                </c:pt>
                <c:pt idx="415">
                  <c:v>42541</c:v>
                </c:pt>
                <c:pt idx="416">
                  <c:v>42542</c:v>
                </c:pt>
                <c:pt idx="417">
                  <c:v>42543</c:v>
                </c:pt>
                <c:pt idx="418">
                  <c:v>42544</c:v>
                </c:pt>
                <c:pt idx="419">
                  <c:v>42545</c:v>
                </c:pt>
                <c:pt idx="420">
                  <c:v>42548</c:v>
                </c:pt>
                <c:pt idx="421">
                  <c:v>42549</c:v>
                </c:pt>
                <c:pt idx="422">
                  <c:v>42550</c:v>
                </c:pt>
                <c:pt idx="423">
                  <c:v>42551</c:v>
                </c:pt>
                <c:pt idx="424">
                  <c:v>42552</c:v>
                </c:pt>
                <c:pt idx="425">
                  <c:v>42555</c:v>
                </c:pt>
                <c:pt idx="426">
                  <c:v>42556</c:v>
                </c:pt>
                <c:pt idx="427">
                  <c:v>42557</c:v>
                </c:pt>
                <c:pt idx="428">
                  <c:v>42558</c:v>
                </c:pt>
                <c:pt idx="429">
                  <c:v>42559</c:v>
                </c:pt>
                <c:pt idx="430">
                  <c:v>42562</c:v>
                </c:pt>
                <c:pt idx="431">
                  <c:v>42563</c:v>
                </c:pt>
                <c:pt idx="432">
                  <c:v>42564</c:v>
                </c:pt>
                <c:pt idx="433">
                  <c:v>42565</c:v>
                </c:pt>
                <c:pt idx="434">
                  <c:v>42566</c:v>
                </c:pt>
                <c:pt idx="435">
                  <c:v>42569</c:v>
                </c:pt>
                <c:pt idx="436">
                  <c:v>42570</c:v>
                </c:pt>
                <c:pt idx="437">
                  <c:v>42571</c:v>
                </c:pt>
                <c:pt idx="438">
                  <c:v>42572</c:v>
                </c:pt>
                <c:pt idx="439">
                  <c:v>42573</c:v>
                </c:pt>
                <c:pt idx="440">
                  <c:v>42576</c:v>
                </c:pt>
                <c:pt idx="441">
                  <c:v>42577</c:v>
                </c:pt>
                <c:pt idx="442">
                  <c:v>42578</c:v>
                </c:pt>
                <c:pt idx="443">
                  <c:v>42579</c:v>
                </c:pt>
                <c:pt idx="444">
                  <c:v>42580</c:v>
                </c:pt>
                <c:pt idx="445">
                  <c:v>42583</c:v>
                </c:pt>
                <c:pt idx="446">
                  <c:v>42584</c:v>
                </c:pt>
                <c:pt idx="447">
                  <c:v>42585</c:v>
                </c:pt>
                <c:pt idx="448">
                  <c:v>42586</c:v>
                </c:pt>
                <c:pt idx="449">
                  <c:v>42587</c:v>
                </c:pt>
                <c:pt idx="450">
                  <c:v>42590</c:v>
                </c:pt>
                <c:pt idx="451">
                  <c:v>42591</c:v>
                </c:pt>
                <c:pt idx="452">
                  <c:v>42592</c:v>
                </c:pt>
                <c:pt idx="453">
                  <c:v>42593</c:v>
                </c:pt>
                <c:pt idx="454">
                  <c:v>42594</c:v>
                </c:pt>
                <c:pt idx="455">
                  <c:v>42597</c:v>
                </c:pt>
                <c:pt idx="456">
                  <c:v>42598</c:v>
                </c:pt>
                <c:pt idx="457">
                  <c:v>42599</c:v>
                </c:pt>
                <c:pt idx="458">
                  <c:v>42600</c:v>
                </c:pt>
                <c:pt idx="459">
                  <c:v>42601</c:v>
                </c:pt>
                <c:pt idx="460">
                  <c:v>42604</c:v>
                </c:pt>
                <c:pt idx="461">
                  <c:v>42605</c:v>
                </c:pt>
                <c:pt idx="462">
                  <c:v>42606</c:v>
                </c:pt>
                <c:pt idx="463">
                  <c:v>42607</c:v>
                </c:pt>
                <c:pt idx="464">
                  <c:v>42608</c:v>
                </c:pt>
                <c:pt idx="465">
                  <c:v>42611</c:v>
                </c:pt>
                <c:pt idx="466">
                  <c:v>42612</c:v>
                </c:pt>
                <c:pt idx="467">
                  <c:v>42613</c:v>
                </c:pt>
                <c:pt idx="468">
                  <c:v>42614</c:v>
                </c:pt>
                <c:pt idx="469">
                  <c:v>42615</c:v>
                </c:pt>
                <c:pt idx="470">
                  <c:v>42618</c:v>
                </c:pt>
                <c:pt idx="471">
                  <c:v>42619</c:v>
                </c:pt>
                <c:pt idx="472">
                  <c:v>42620</c:v>
                </c:pt>
                <c:pt idx="473">
                  <c:v>42621</c:v>
                </c:pt>
                <c:pt idx="474">
                  <c:v>42622</c:v>
                </c:pt>
                <c:pt idx="475">
                  <c:v>42625</c:v>
                </c:pt>
                <c:pt idx="476">
                  <c:v>42626</c:v>
                </c:pt>
                <c:pt idx="477">
                  <c:v>42627</c:v>
                </c:pt>
                <c:pt idx="478">
                  <c:v>42628</c:v>
                </c:pt>
                <c:pt idx="479">
                  <c:v>42629</c:v>
                </c:pt>
                <c:pt idx="480">
                  <c:v>42632</c:v>
                </c:pt>
                <c:pt idx="481">
                  <c:v>42633</c:v>
                </c:pt>
                <c:pt idx="482">
                  <c:v>42634</c:v>
                </c:pt>
                <c:pt idx="483">
                  <c:v>42635</c:v>
                </c:pt>
                <c:pt idx="484">
                  <c:v>42636</c:v>
                </c:pt>
                <c:pt idx="485">
                  <c:v>42639</c:v>
                </c:pt>
                <c:pt idx="486">
                  <c:v>42640</c:v>
                </c:pt>
                <c:pt idx="487">
                  <c:v>42641</c:v>
                </c:pt>
                <c:pt idx="488">
                  <c:v>42642</c:v>
                </c:pt>
                <c:pt idx="489">
                  <c:v>42643</c:v>
                </c:pt>
                <c:pt idx="490">
                  <c:v>42646</c:v>
                </c:pt>
                <c:pt idx="491">
                  <c:v>42647</c:v>
                </c:pt>
                <c:pt idx="492">
                  <c:v>42648</c:v>
                </c:pt>
                <c:pt idx="493">
                  <c:v>42649</c:v>
                </c:pt>
                <c:pt idx="494">
                  <c:v>42650</c:v>
                </c:pt>
                <c:pt idx="495">
                  <c:v>42653</c:v>
                </c:pt>
                <c:pt idx="496">
                  <c:v>42654</c:v>
                </c:pt>
                <c:pt idx="497">
                  <c:v>42655</c:v>
                </c:pt>
                <c:pt idx="498">
                  <c:v>42656</c:v>
                </c:pt>
                <c:pt idx="499">
                  <c:v>42657</c:v>
                </c:pt>
                <c:pt idx="500">
                  <c:v>42660</c:v>
                </c:pt>
                <c:pt idx="501">
                  <c:v>42661</c:v>
                </c:pt>
                <c:pt idx="502">
                  <c:v>42662</c:v>
                </c:pt>
                <c:pt idx="503">
                  <c:v>42663</c:v>
                </c:pt>
                <c:pt idx="504">
                  <c:v>42664</c:v>
                </c:pt>
                <c:pt idx="505">
                  <c:v>42667</c:v>
                </c:pt>
                <c:pt idx="506">
                  <c:v>42668</c:v>
                </c:pt>
                <c:pt idx="507">
                  <c:v>42669</c:v>
                </c:pt>
                <c:pt idx="508">
                  <c:v>42670</c:v>
                </c:pt>
                <c:pt idx="509">
                  <c:v>42671</c:v>
                </c:pt>
                <c:pt idx="510">
                  <c:v>42674</c:v>
                </c:pt>
                <c:pt idx="511">
                  <c:v>42675</c:v>
                </c:pt>
                <c:pt idx="512">
                  <c:v>42676</c:v>
                </c:pt>
                <c:pt idx="513">
                  <c:v>42677</c:v>
                </c:pt>
                <c:pt idx="514">
                  <c:v>42678</c:v>
                </c:pt>
                <c:pt idx="515">
                  <c:v>42681</c:v>
                </c:pt>
                <c:pt idx="516">
                  <c:v>42682</c:v>
                </c:pt>
                <c:pt idx="517">
                  <c:v>42683</c:v>
                </c:pt>
                <c:pt idx="518">
                  <c:v>42690</c:v>
                </c:pt>
                <c:pt idx="519">
                  <c:v>42697</c:v>
                </c:pt>
                <c:pt idx="520">
                  <c:v>42704</c:v>
                </c:pt>
                <c:pt idx="521">
                  <c:v>42711</c:v>
                </c:pt>
                <c:pt idx="522">
                  <c:v>42718</c:v>
                </c:pt>
                <c:pt idx="523">
                  <c:v>42725</c:v>
                </c:pt>
                <c:pt idx="524">
                  <c:v>42733</c:v>
                </c:pt>
                <c:pt idx="525">
                  <c:v>42740</c:v>
                </c:pt>
                <c:pt idx="526">
                  <c:v>42747</c:v>
                </c:pt>
                <c:pt idx="527">
                  <c:v>42754</c:v>
                </c:pt>
                <c:pt idx="528">
                  <c:v>42761</c:v>
                </c:pt>
                <c:pt idx="529">
                  <c:v>42768</c:v>
                </c:pt>
                <c:pt idx="530">
                  <c:v>42775</c:v>
                </c:pt>
                <c:pt idx="531">
                  <c:v>42782</c:v>
                </c:pt>
                <c:pt idx="532">
                  <c:v>42789</c:v>
                </c:pt>
                <c:pt idx="533">
                  <c:v>42796</c:v>
                </c:pt>
                <c:pt idx="534">
                  <c:v>42803</c:v>
                </c:pt>
                <c:pt idx="535">
                  <c:v>42810</c:v>
                </c:pt>
                <c:pt idx="536">
                  <c:v>42817</c:v>
                </c:pt>
                <c:pt idx="537">
                  <c:v>42824</c:v>
                </c:pt>
                <c:pt idx="538">
                  <c:v>42831</c:v>
                </c:pt>
                <c:pt idx="539">
                  <c:v>42838</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Monitor!$Z$19:$Z$3552</c:f>
              <c:numCache>
                <c:formatCode>0.0000%</c:formatCode>
                <c:ptCount val="3534"/>
                <c:pt idx="0">
                  <c:v>-3.9217345031428152E-4</c:v>
                </c:pt>
                <c:pt idx="1">
                  <c:v>-3.9219815755053844E-4</c:v>
                </c:pt>
                <c:pt idx="2">
                  <c:v>-3.9224757202305227E-4</c:v>
                </c:pt>
                <c:pt idx="3">
                  <c:v>-3.9232169389169513E-4</c:v>
                </c:pt>
                <c:pt idx="4">
                  <c:v>-3.9255186695896782E-4</c:v>
                </c:pt>
                <c:pt idx="5">
                  <c:v>-3.9286525372883574E-4</c:v>
                </c:pt>
                <c:pt idx="6">
                  <c:v>-3.9306291181873121E-4</c:v>
                </c:pt>
                <c:pt idx="7">
                  <c:v>-3.9328527722481965E-4</c:v>
                </c:pt>
                <c:pt idx="8">
                  <c:v>-3.9353234986716501E-4</c:v>
                </c:pt>
                <c:pt idx="9">
                  <c:v>-3.941084212710777E-4</c:v>
                </c:pt>
                <c:pt idx="10">
                  <c:v>-3.947677130788918E-4</c:v>
                </c:pt>
                <c:pt idx="11">
                  <c:v>-3.9513832214232991E-4</c:v>
                </c:pt>
                <c:pt idx="12">
                  <c:v>-3.9553363832212085E-4</c:v>
                </c:pt>
                <c:pt idx="13">
                  <c:v>-3.9595366181810476E-4</c:v>
                </c:pt>
                <c:pt idx="14">
                  <c:v>-3.968756288941222E-4</c:v>
                </c:pt>
                <c:pt idx="15">
                  <c:v>-3.9788082852432183E-4</c:v>
                </c:pt>
                <c:pt idx="16">
                  <c:v>-3.9842438836146243E-4</c:v>
                </c:pt>
                <c:pt idx="17">
                  <c:v>-3.9899265543485996E-4</c:v>
                </c:pt>
                <c:pt idx="18">
                  <c:v>-3.9958562986441848E-4</c:v>
                </c:pt>
                <c:pt idx="19">
                  <c:v>-4.0085348970819723E-4</c:v>
                </c:pt>
                <c:pt idx="20">
                  <c:v>-4.0220459986528567E-4</c:v>
                </c:pt>
                <c:pt idx="21">
                  <c:v>-4.0292111059603286E-4</c:v>
                </c:pt>
                <c:pt idx="22">
                  <c:v>-4.0366232844313288E-4</c:v>
                </c:pt>
                <c:pt idx="23">
                  <c:v>-4.0442825372632996E-4</c:v>
                </c:pt>
                <c:pt idx="24">
                  <c:v>-4.0604200364668941E-4</c:v>
                </c:pt>
                <c:pt idx="25">
                  <c:v>-4.0773902714175136E-4</c:v>
                </c:pt>
                <c:pt idx="26">
                  <c:v>-4.0862848860623302E-4</c:v>
                </c:pt>
                <c:pt idx="27">
                  <c:v>-4.0954265746684371E-4</c:v>
                </c:pt>
                <c:pt idx="28">
                  <c:v>-4.1048153340383919E-4</c:v>
                </c:pt>
                <c:pt idx="29">
                  <c:v>-4.1244117054972662E-4</c:v>
                </c:pt>
                <c:pt idx="30">
                  <c:v>-4.1448411023381482E-4</c:v>
                </c:pt>
                <c:pt idx="31">
                  <c:v>-4.15546522511967E-4</c:v>
                </c:pt>
                <c:pt idx="32">
                  <c:v>-4.1663364214628018E-4</c:v>
                </c:pt>
                <c:pt idx="33">
                  <c:v>-4.1774546901685028E-4</c:v>
                </c:pt>
                <c:pt idx="34">
                  <c:v>-4.2005099016417802E-4</c:v>
                </c:pt>
                <c:pt idx="35">
                  <c:v>-4.2243984914147603E-4</c:v>
                </c:pt>
                <c:pt idx="36">
                  <c:v>-4.2367521223329874E-4</c:v>
                </c:pt>
                <c:pt idx="37">
                  <c:v>-4.2755323695864433E-4</c:v>
                </c:pt>
                <c:pt idx="38">
                  <c:v>-4.3160624370486289E-4</c:v>
                </c:pt>
                <c:pt idx="39">
                  <c:v>-4.3301455761035612E-4</c:v>
                </c:pt>
                <c:pt idx="40">
                  <c:v>-4.3517618007138381E-4</c:v>
                </c:pt>
                <c:pt idx="41">
                  <c:v>-4.3890258670131743E-4</c:v>
                </c:pt>
                <c:pt idx="42">
                  <c:v>-4.4198329376410328E-4</c:v>
                </c:pt>
                <c:pt idx="43">
                  <c:v>-4.4356455856320309E-4</c:v>
                </c:pt>
                <c:pt idx="44">
                  <c:v>-4.4517053055859179E-4</c:v>
                </c:pt>
                <c:pt idx="45">
                  <c:v>-4.4680120987017347E-4</c:v>
                </c:pt>
                <c:pt idx="46">
                  <c:v>-4.5014436306445305E-4</c:v>
                </c:pt>
                <c:pt idx="47">
                  <c:v>-4.5357099947906931E-4</c:v>
                </c:pt>
                <c:pt idx="48">
                  <c:v>-4.5532521501190359E-4</c:v>
                </c:pt>
                <c:pt idx="49">
                  <c:v>-4.5710413778099479E-4</c:v>
                </c:pt>
                <c:pt idx="50">
                  <c:v>-4.5890776786627896E-4</c:v>
                </c:pt>
                <c:pt idx="51">
                  <c:v>-4.6259679099325268E-4</c:v>
                </c:pt>
                <c:pt idx="52">
                  <c:v>-4.6636936053001676E-4</c:v>
                </c:pt>
                <c:pt idx="53">
                  <c:v>-4.6829652679658551E-4</c:v>
                </c:pt>
                <c:pt idx="54">
                  <c:v>-4.7024840037934723E-4</c:v>
                </c:pt>
                <c:pt idx="55">
                  <c:v>-4.7222498115839784E-4</c:v>
                </c:pt>
                <c:pt idx="56">
                  <c:v>-4.7625987018129479E-4</c:v>
                </c:pt>
                <c:pt idx="57">
                  <c:v>-4.8037837679704154E-4</c:v>
                </c:pt>
                <c:pt idx="58">
                  <c:v>-4.8247849387728081E-4</c:v>
                </c:pt>
                <c:pt idx="59">
                  <c:v>-4.8460331811384094E-4</c:v>
                </c:pt>
                <c:pt idx="60">
                  <c:v>-4.8675284966659405E-4</c:v>
                </c:pt>
                <c:pt idx="61">
                  <c:v>-4.9113360018893104E-4</c:v>
                </c:pt>
                <c:pt idx="62">
                  <c:v>-4.9559804828014364E-4</c:v>
                </c:pt>
                <c:pt idx="63">
                  <c:v>-4.931245250539007E-4</c:v>
                </c:pt>
                <c:pt idx="64">
                  <c:v>-4.8593790999085229E-4</c:v>
                </c:pt>
                <c:pt idx="65">
                  <c:v>-4.7878919005484022E-4</c:v>
                </c:pt>
                <c:pt idx="66">
                  <c:v>-4.6461746769921319E-4</c:v>
                </c:pt>
                <c:pt idx="67">
                  <c:v>-4.5057326154118726E-4</c:v>
                </c:pt>
                <c:pt idx="68">
                  <c:v>-4.4361401732029293E-4</c:v>
                </c:pt>
                <c:pt idx="69">
                  <c:v>-4.3669266810653085E-4</c:v>
                </c:pt>
                <c:pt idx="70">
                  <c:v>-4.2980921405977313E-4</c:v>
                </c:pt>
                <c:pt idx="71">
                  <c:v>-4.1616814200118313E-4</c:v>
                </c:pt>
                <c:pt idx="72">
                  <c:v>-4.0265434926300969E-4</c:v>
                </c:pt>
                <c:pt idx="73">
                  <c:v>-3.9596037085143365E-4</c:v>
                </c:pt>
                <c:pt idx="74">
                  <c:v>-3.8930428764683001E-4</c:v>
                </c:pt>
                <c:pt idx="75">
                  <c:v>-3.8268609956926269E-4</c:v>
                </c:pt>
                <c:pt idx="76">
                  <c:v>-3.6957566123430041E-4</c:v>
                </c:pt>
                <c:pt idx="77">
                  <c:v>-3.5659229880913301E-4</c:v>
                </c:pt>
                <c:pt idx="78">
                  <c:v>-3.5016358644668344E-4</c:v>
                </c:pt>
                <c:pt idx="79">
                  <c:v>-3.4377276933117429E-4</c:v>
                </c:pt>
                <c:pt idx="80">
                  <c:v>-3.3741984734270147E-4</c:v>
                </c:pt>
                <c:pt idx="81">
                  <c:v>-3.248400275035479E-4</c:v>
                </c:pt>
                <c:pt idx="82">
                  <c:v>-3.1238711105885386E-4</c:v>
                </c:pt>
                <c:pt idx="83">
                  <c:v>-3.0622366490540287E-4</c:v>
                </c:pt>
                <c:pt idx="84">
                  <c:v>-3.0009811391895624E-4</c:v>
                </c:pt>
                <c:pt idx="85">
                  <c:v>-2.9401045809951398E-4</c:v>
                </c:pt>
                <c:pt idx="86">
                  <c:v>-2.819612429405538E-4</c:v>
                </c:pt>
                <c:pt idx="87">
                  <c:v>-2.7003878661169267E-4</c:v>
                </c:pt>
                <c:pt idx="88">
                  <c:v>-2.6414060674717632E-4</c:v>
                </c:pt>
                <c:pt idx="89">
                  <c:v>-2.5828032200969631E-4</c:v>
                </c:pt>
                <c:pt idx="90">
                  <c:v>-2.5245793247918868E-4</c:v>
                </c:pt>
                <c:pt idx="91">
                  <c:v>-2.4093930951707421E-4</c:v>
                </c:pt>
                <c:pt idx="92">
                  <c:v>-2.2954732622704199E-4</c:v>
                </c:pt>
                <c:pt idx="93">
                  <c:v>-2.2391441269142831E-4</c:v>
                </c:pt>
                <c:pt idx="94">
                  <c:v>-2.1831939428285096E-4</c:v>
                </c:pt>
                <c:pt idx="95">
                  <c:v>-2.127622712011501E-4</c:v>
                </c:pt>
                <c:pt idx="96">
                  <c:v>-2.0177422905831577E-4</c:v>
                </c:pt>
                <c:pt idx="97">
                  <c:v>-1.9091273050442226E-4</c:v>
                </c:pt>
                <c:pt idx="98">
                  <c:v>-1.8554508341761533E-4</c:v>
                </c:pt>
                <c:pt idx="99">
                  <c:v>-1.8021533137790868E-4</c:v>
                </c:pt>
                <c:pt idx="100">
                  <c:v>-1.7492347470504654E-4</c:v>
                </c:pt>
                <c:pt idx="101">
                  <c:v>-1.644660035227119E-4</c:v>
                </c:pt>
                <c:pt idx="102">
                  <c:v>-1.5413500000338587E-4</c:v>
                </c:pt>
                <c:pt idx="103">
                  <c:v>-1.4903261928544964E-4</c:v>
                </c:pt>
                <c:pt idx="104">
                  <c:v>-1.4396813397432595E-4</c:v>
                </c:pt>
                <c:pt idx="105">
                  <c:v>-1.2903985182788347E-4</c:v>
                </c:pt>
                <c:pt idx="106">
                  <c:v>-1.1437702121419591E-4</c:v>
                </c:pt>
                <c:pt idx="107">
                  <c:v>-1.09577802391847E-4</c:v>
                </c:pt>
                <c:pt idx="108">
                  <c:v>-1.0481647881643852E-4</c:v>
                </c:pt>
                <c:pt idx="109">
                  <c:v>-9.5420123829015324E-5</c:v>
                </c:pt>
                <c:pt idx="110">
                  <c:v>-8.6150136904272756E-5</c:v>
                </c:pt>
                <c:pt idx="111">
                  <c:v>-8.1578289483630329E-5</c:v>
                </c:pt>
                <c:pt idx="112">
                  <c:v>-7.7044337309928324E-5</c:v>
                </c:pt>
                <c:pt idx="113">
                  <c:v>-7.254828042313477E-5</c:v>
                </c:pt>
                <c:pt idx="114">
                  <c:v>-6.3682472921655631E-5</c:v>
                </c:pt>
                <c:pt idx="115">
                  <c:v>-5.4943005305396753E-5</c:v>
                </c:pt>
                <c:pt idx="116">
                  <c:v>-5.063642473324137E-5</c:v>
                </c:pt>
                <c:pt idx="117">
                  <c:v>-4.6367739248154294E-5</c:v>
                </c:pt>
                <c:pt idx="118">
                  <c:v>-4.2136949209847785E-5</c:v>
                </c:pt>
                <c:pt idx="119">
                  <c:v>-3.3801683239076397E-5</c:v>
                </c:pt>
                <c:pt idx="120">
                  <c:v>-2.5592741126345686E-5</c:v>
                </c:pt>
                <c:pt idx="121">
                  <c:v>-2.155142732274129E-5</c:v>
                </c:pt>
                <c:pt idx="122">
                  <c:v>-1.7548008686141259E-5</c:v>
                </c:pt>
                <c:pt idx="123">
                  <c:v>-7.7289383493273078E-6</c:v>
                </c:pt>
                <c:pt idx="124">
                  <c:v>-7.2712488030646227E-6</c:v>
                </c:pt>
                <c:pt idx="125">
                  <c:v>-2.1632244155966873E-5</c:v>
                </c:pt>
                <c:pt idx="126">
                  <c:v>-3.5720985889220458E-5</c:v>
                </c:pt>
                <c:pt idx="127">
                  <c:v>-4.9537474362537637E-5</c:v>
                </c:pt>
                <c:pt idx="128">
                  <c:v>-7.6262923935921378E-5</c:v>
                </c:pt>
                <c:pt idx="129">
                  <c:v>-1.020808944174334E-4</c:v>
                </c:pt>
                <c:pt idx="130">
                  <c:v>-1.1453611623135629E-4</c:v>
                </c:pt>
                <c:pt idx="131">
                  <c:v>-1.2671908470540671E-4</c:v>
                </c:pt>
                <c:pt idx="132">
                  <c:v>-1.3862980003942482E-4</c:v>
                </c:pt>
                <c:pt idx="133">
                  <c:v>-1.615436478186183E-4</c:v>
                </c:pt>
                <c:pt idx="134">
                  <c:v>-1.8355012993520603E-4</c:v>
                </c:pt>
                <c:pt idx="135">
                  <c:v>-1.9409957952909451E-4</c:v>
                </c:pt>
                <c:pt idx="136">
                  <c:v>-2.0437677614282279E-4</c:v>
                </c:pt>
                <c:pt idx="137">
                  <c:v>-2.1438171965648678E-4</c:v>
                </c:pt>
                <c:pt idx="138">
                  <c:v>-2.3348394553757146E-4</c:v>
                </c:pt>
                <c:pt idx="139">
                  <c:v>-2.5167896414934887E-4</c:v>
                </c:pt>
                <c:pt idx="140">
                  <c:v>-2.6032264292208396E-4</c:v>
                </c:pt>
                <c:pt idx="141">
                  <c:v>-2.6869406867469081E-4</c:v>
                </c:pt>
                <c:pt idx="142">
                  <c:v>-2.7679324168694563E-4</c:v>
                </c:pt>
                <c:pt idx="143">
                  <c:v>-2.9208384110024355E-4</c:v>
                </c:pt>
                <c:pt idx="144">
                  <c:v>-3.0646740489359559E-4</c:v>
                </c:pt>
                <c:pt idx="145">
                  <c:v>-3.1320531368450588E-4</c:v>
                </c:pt>
                <c:pt idx="146">
                  <c:v>-3.1967096961516006E-4</c:v>
                </c:pt>
                <c:pt idx="147">
                  <c:v>-3.2586437284543024E-4</c:v>
                </c:pt>
                <c:pt idx="148">
                  <c:v>-3.3734335399770998E-4</c:v>
                </c:pt>
                <c:pt idx="149">
                  <c:v>-3.479154581631505E-4</c:v>
                </c:pt>
                <c:pt idx="150">
                  <c:v>-3.5274759773162856E-4</c:v>
                </c:pt>
                <c:pt idx="151">
                  <c:v>-3.5730748455975458E-4</c:v>
                </c:pt>
                <c:pt idx="152">
                  <c:v>-3.6159511876743267E-4</c:v>
                </c:pt>
                <c:pt idx="153">
                  <c:v>-3.6926249936453104E-4</c:v>
                </c:pt>
                <c:pt idx="154">
                  <c:v>-3.7602312863427301E-4</c:v>
                </c:pt>
                <c:pt idx="155">
                  <c:v>-3.7894949945993517E-4</c:v>
                </c:pt>
                <c:pt idx="156">
                  <c:v>-3.8160361770511741E-4</c:v>
                </c:pt>
                <c:pt idx="157">
                  <c:v>-3.8398548332985172E-4</c:v>
                </c:pt>
                <c:pt idx="158">
                  <c:v>-3.8784128781887972E-4</c:v>
                </c:pt>
                <c:pt idx="159">
                  <c:v>-3.9079041934453329E-4</c:v>
                </c:pt>
                <c:pt idx="160">
                  <c:v>-3.918110219069959E-4</c:v>
                </c:pt>
                <c:pt idx="161">
                  <c:v>-3.9255937168913846E-4</c:v>
                </c:pt>
                <c:pt idx="162">
                  <c:v>-3.9303546897073716E-4</c:v>
                </c:pt>
                <c:pt idx="163">
                  <c:v>-3.9307972563573657E-4</c:v>
                </c:pt>
                <c:pt idx="164">
                  <c:v>-3.9221733193262054E-4</c:v>
                </c:pt>
                <c:pt idx="165">
                  <c:v>-3.9133216627185163E-4</c:v>
                </c:pt>
                <c:pt idx="166">
                  <c:v>-3.9017474783076267E-4</c:v>
                </c:pt>
                <c:pt idx="167">
                  <c:v>-3.8874507688912985E-4</c:v>
                </c:pt>
                <c:pt idx="168">
                  <c:v>-3.8497781444046808E-4</c:v>
                </c:pt>
                <c:pt idx="169">
                  <c:v>-3.8030386671827898E-4</c:v>
                </c:pt>
                <c:pt idx="170">
                  <c:v>-3.7751293251453433E-4</c:v>
                </c:pt>
                <c:pt idx="171">
                  <c:v>-3.7444974585021384E-4</c:v>
                </c:pt>
                <c:pt idx="172">
                  <c:v>-3.7111430644554133E-4</c:v>
                </c:pt>
                <c:pt idx="173">
                  <c:v>-3.6353555162182971E-4</c:v>
                </c:pt>
                <c:pt idx="174">
                  <c:v>-3.5505002210278747E-4</c:v>
                </c:pt>
                <c:pt idx="175">
                  <c:v>-3.5035331935606706E-4</c:v>
                </c:pt>
                <c:pt idx="176">
                  <c:v>-3.4538436394893068E-4</c:v>
                </c:pt>
                <c:pt idx="177">
                  <c:v>-3.4014315568153819E-4</c:v>
                </c:pt>
                <c:pt idx="178">
                  <c:v>-3.2875293001222161E-4</c:v>
                </c:pt>
                <c:pt idx="179">
                  <c:v>-3.1645579552819214E-4</c:v>
                </c:pt>
                <c:pt idx="180">
                  <c:v>-3.0985332359900752E-4</c:v>
                </c:pt>
                <c:pt idx="181">
                  <c:v>-3.0297859880956679E-4</c:v>
                </c:pt>
                <c:pt idx="182">
                  <c:v>-2.95831621239806E-4</c:v>
                </c:pt>
                <c:pt idx="183">
                  <c:v>-2.8062993800759273E-4</c:v>
                </c:pt>
                <c:pt idx="184">
                  <c:v>-2.6452118251807377E-4</c:v>
                </c:pt>
                <c:pt idx="185">
                  <c:v>-2.5601294068700042E-4</c:v>
                </c:pt>
                <c:pt idx="186">
                  <c:v>-2.4723244595570293E-4</c:v>
                </c:pt>
                <c:pt idx="187">
                  <c:v>-2.381796982042772E-4</c:v>
                </c:pt>
                <c:pt idx="188">
                  <c:v>-2.1916655950082742E-4</c:v>
                </c:pt>
                <c:pt idx="189">
                  <c:v>-2.0213882651720638E-4</c:v>
                </c:pt>
                <c:pt idx="190">
                  <c:v>-1.9768250916207819E-4</c:v>
                </c:pt>
                <c:pt idx="191">
                  <c:v>-1.9321253485138357E-4</c:v>
                </c:pt>
                <c:pt idx="192">
                  <c:v>-1.8872890358512251E-4</c:v>
                </c:pt>
                <c:pt idx="193">
                  <c:v>-1.7971602783273255E-4</c:v>
                </c:pt>
                <c:pt idx="194">
                  <c:v>-1.7065780820502141E-4</c:v>
                </c:pt>
                <c:pt idx="195">
                  <c:v>-1.6610589180121593E-4</c:v>
                </c:pt>
                <c:pt idx="196">
                  <c:v>-1.6154031848181205E-4</c:v>
                </c:pt>
                <c:pt idx="197">
                  <c:v>-1.5696108816687371E-4</c:v>
                </c:pt>
                <c:pt idx="198">
                  <c:v>-1.4775704344049956E-4</c:v>
                </c:pt>
                <c:pt idx="199">
                  <c:v>-1.3850759667199952E-4</c:v>
                </c:pt>
                <c:pt idx="200">
                  <c:v>-1.3386008125948479E-4</c:v>
                </c:pt>
                <c:pt idx="201">
                  <c:v>-1.2919890877149953E-4</c:v>
                </c:pt>
                <c:pt idx="202">
                  <c:v>-1.2452407948781996E-4</c:v>
                </c:pt>
                <c:pt idx="203">
                  <c:v>-1.1512886044506843E-4</c:v>
                </c:pt>
                <c:pt idx="204">
                  <c:v>-1.0568819163836451E-4</c:v>
                </c:pt>
                <c:pt idx="205">
                  <c:v>-1.0094507721714052E-4</c:v>
                </c:pt>
                <c:pt idx="206">
                  <c:v>-9.618830572044601E-5</c:v>
                </c:pt>
                <c:pt idx="207">
                  <c:v>-9.1417877268185066E-5</c:v>
                </c:pt>
                <c:pt idx="208">
                  <c:v>-8.183147828688675E-5</c:v>
                </c:pt>
                <c:pt idx="209">
                  <c:v>-7.2199593144084417E-5</c:v>
                </c:pt>
                <c:pt idx="210">
                  <c:v>-6.7360879514311023E-5</c:v>
                </c:pt>
                <c:pt idx="211">
                  <c:v>-6.2508508968939225E-5</c:v>
                </c:pt>
                <c:pt idx="212">
                  <c:v>-5.7642481388064937E-5</c:v>
                </c:pt>
                <c:pt idx="213">
                  <c:v>-4.7864896419724801E-5</c:v>
                </c:pt>
                <c:pt idx="214">
                  <c:v>-3.8041800789478941E-5</c:v>
                </c:pt>
                <c:pt idx="215">
                  <c:v>-3.3107488071060232E-5</c:v>
                </c:pt>
                <c:pt idx="216">
                  <c:v>-2.815951839707509E-5</c:v>
                </c:pt>
                <c:pt idx="217">
                  <c:v>-2.3197891647619429E-5</c:v>
                </c:pt>
                <c:pt idx="218">
                  <c:v>-1.3229114297352851E-5</c:v>
                </c:pt>
                <c:pt idx="219">
                  <c:v>-3.2148144546439994E-6</c:v>
                </c:pt>
                <c:pt idx="220">
                  <c:v>1.8150973524200253E-6</c:v>
                </c:pt>
                <c:pt idx="221">
                  <c:v>6.8586662749225979E-6</c:v>
                </c:pt>
                <c:pt idx="222">
                  <c:v>1.1915892192959632E-5</c:v>
                </c:pt>
                <c:pt idx="223">
                  <c:v>2.2075868679749533E-5</c:v>
                </c:pt>
                <c:pt idx="224">
                  <c:v>3.2281365980324495E-5</c:v>
                </c:pt>
                <c:pt idx="225">
                  <c:v>3.7406877115842008E-5</c:v>
                </c:pt>
                <c:pt idx="226">
                  <c:v>4.2546045087021866E-5</c:v>
                </c:pt>
                <c:pt idx="227">
                  <c:v>4.7698870213608302E-5</c:v>
                </c:pt>
                <c:pt idx="228">
                  <c:v>5.8050053111102784E-5</c:v>
                </c:pt>
                <c:pt idx="229">
                  <c:v>6.8446740835170772E-5</c:v>
                </c:pt>
                <c:pt idx="230">
                  <c:v>7.3667851099301629E-5</c:v>
                </c:pt>
                <c:pt idx="231">
                  <c:v>7.8902618438903005E-5</c:v>
                </c:pt>
                <c:pt idx="232">
                  <c:v>8.4151042694102784E-5</c:v>
                </c:pt>
                <c:pt idx="233">
                  <c:v>9.4693439622872688E-5</c:v>
                </c:pt>
                <c:pt idx="234">
                  <c:v>1.0528131022979892E-4</c:v>
                </c:pt>
                <c:pt idx="235">
                  <c:v>1.1059801978241524E-4</c:v>
                </c:pt>
                <c:pt idx="236">
                  <c:v>1.1592838625062996E-4</c:v>
                </c:pt>
                <c:pt idx="237">
                  <c:v>1.2127240979431519E-4</c:v>
                </c:pt>
                <c:pt idx="238">
                  <c:v>1.32006028801257E-4</c:v>
                </c:pt>
                <c:pt idx="239">
                  <c:v>1.4278507440401711E-4</c:v>
                </c:pt>
                <c:pt idx="240">
                  <c:v>1.4819738324511889E-4</c:v>
                </c:pt>
                <c:pt idx="241">
                  <c:v>1.5362334892188301E-4</c:v>
                </c:pt>
                <c:pt idx="242">
                  <c:v>1.5906297183398976E-4</c:v>
                </c:pt>
                <c:pt idx="243">
                  <c:v>1.6998782120580813E-4</c:v>
                </c:pt>
                <c:pt idx="244">
                  <c:v>1.8095803359763352E-4</c:v>
                </c:pt>
                <c:pt idx="245">
                  <c:v>1.8646594164728469E-4</c:v>
                </c:pt>
                <c:pt idx="246">
                  <c:v>1.9198750669247033E-4</c:v>
                </c:pt>
                <c:pt idx="247">
                  <c:v>1.9752272889306255E-4</c:v>
                </c:pt>
                <c:pt idx="248">
                  <c:v>2.086388175559506E-4</c:v>
                </c:pt>
                <c:pt idx="249">
                  <c:v>2.1980018797052026E-4</c:v>
                </c:pt>
                <c:pt idx="250">
                  <c:v>2.2540369530865689E-4</c:v>
                </c:pt>
                <c:pt idx="251">
                  <c:v>2.3102085980220011E-4</c:v>
                </c:pt>
                <c:pt idx="252">
                  <c:v>2.3665168121134172E-4</c:v>
                </c:pt>
                <c:pt idx="253">
                  <c:v>2.4795901849117286E-4</c:v>
                </c:pt>
                <c:pt idx="254">
                  <c:v>2.593115377624855E-4</c:v>
                </c:pt>
                <c:pt idx="255">
                  <c:v>7.4121142191962974E-4</c:v>
                </c:pt>
                <c:pt idx="256">
                  <c:v>1.6854345201888776E-3</c:v>
                </c:pt>
                <c:pt idx="257">
                  <c:v>2.6088339993091125E-3</c:v>
                </c:pt>
                <c:pt idx="258">
                  <c:v>4.3862728379817639E-3</c:v>
                </c:pt>
                <c:pt idx="259">
                  <c:v>6.0941925724211643E-3</c:v>
                </c:pt>
                <c:pt idx="260">
                  <c:v>6.9134716238217209E-3</c:v>
                </c:pt>
                <c:pt idx="261">
                  <c:v>7.7119261487190727E-3</c:v>
                </c:pt>
                <c:pt idx="262">
                  <c:v>8.4895560084241595E-3</c:v>
                </c:pt>
                <c:pt idx="263">
                  <c:v>9.9756754379409784E-3</c:v>
                </c:pt>
                <c:pt idx="264">
                  <c:v>1.1391826151596618E-2</c:v>
                </c:pt>
                <c:pt idx="265">
                  <c:v>1.2065330733861401E-2</c:v>
                </c:pt>
                <c:pt idx="266">
                  <c:v>1.2718009895458238E-2</c:v>
                </c:pt>
                <c:pt idx="267">
                  <c:v>1.3349863523197669E-2</c:v>
                </c:pt>
                <c:pt idx="268">
                  <c:v>1.4544739077777535E-2</c:v>
                </c:pt>
                <c:pt idx="269">
                  <c:v>1.5669020556252633E-2</c:v>
                </c:pt>
                <c:pt idx="270">
                  <c:v>1.619674494204304E-2</c:v>
                </c:pt>
                <c:pt idx="271">
                  <c:v>1.6703643190139061E-2</c:v>
                </c:pt>
                <c:pt idx="272">
                  <c:v>1.7189715212770906E-2</c:v>
                </c:pt>
                <c:pt idx="273">
                  <c:v>1.8093347199634735E-2</c:v>
                </c:pt>
                <c:pt idx="274">
                  <c:v>1.8925739414203946E-2</c:v>
                </c:pt>
                <c:pt idx="275">
                  <c:v>1.9307679115749821E-2</c:v>
                </c:pt>
                <c:pt idx="276">
                  <c:v>1.9668792139873048E-2</c:v>
                </c:pt>
                <c:pt idx="277">
                  <c:v>2.0009078423743887E-2</c:v>
                </c:pt>
                <c:pt idx="278">
                  <c:v>2.0621409275713987E-2</c:v>
                </c:pt>
                <c:pt idx="279">
                  <c:v>2.1161955030644108E-2</c:v>
                </c:pt>
                <c:pt idx="280">
                  <c:v>2.1398106800063488E-2</c:v>
                </c:pt>
                <c:pt idx="281">
                  <c:v>2.1613431529230454E-2</c:v>
                </c:pt>
                <c:pt idx="282">
                  <c:v>2.1807929180734931E-2</c:v>
                </c:pt>
                <c:pt idx="283">
                  <c:v>2.2128860812031803E-2</c:v>
                </c:pt>
                <c:pt idx="284">
                  <c:v>2.2377648389184657E-2</c:v>
                </c:pt>
                <c:pt idx="285">
                  <c:v>2.2468010218323897E-2</c:v>
                </c:pt>
                <c:pt idx="286">
                  <c:v>2.2537544821439326E-2</c:v>
                </c:pt>
                <c:pt idx="287">
                  <c:v>2.2586252186540534E-2</c:v>
                </c:pt>
                <c:pt idx="288">
                  <c:v>2.2615663351217563E-2</c:v>
                </c:pt>
                <c:pt idx="289">
                  <c:v>2.2572809151695239E-2</c:v>
                </c:pt>
                <c:pt idx="290">
                  <c:v>2.2517380272049081E-2</c:v>
                </c:pt>
                <c:pt idx="291">
                  <c:v>2.2441124157825953E-2</c:v>
                </c:pt>
                <c:pt idx="292">
                  <c:v>2.2148391471055184E-2</c:v>
                </c:pt>
                <c:pt idx="293">
                  <c:v>2.1747435658463488E-2</c:v>
                </c:pt>
                <c:pt idx="294">
                  <c:v>2.15462165414948E-2</c:v>
                </c:pt>
                <c:pt idx="295">
                  <c:v>2.1324170358454353E-2</c:v>
                </c:pt>
                <c:pt idx="296">
                  <c:v>2.0666699183231607E-2</c:v>
                </c:pt>
                <c:pt idx="297">
                  <c:v>1.9901534928514764E-2</c:v>
                </c:pt>
                <c:pt idx="298">
                  <c:v>1.9554527285254864E-2</c:v>
                </c:pt>
                <c:pt idx="299">
                  <c:v>1.9186692921646653E-2</c:v>
                </c:pt>
                <c:pt idx="300">
                  <c:v>1.8798031901559042E-2</c:v>
                </c:pt>
                <c:pt idx="301">
                  <c:v>1.7952182987741594E-2</c:v>
                </c:pt>
                <c:pt idx="302">
                  <c:v>1.703512265913254E-2</c:v>
                </c:pt>
                <c:pt idx="303">
                  <c:v>1.6542329440500936E-2</c:v>
                </c:pt>
                <c:pt idx="304">
                  <c:v>1.6028710024382775E-2</c:v>
                </c:pt>
                <c:pt idx="305">
                  <c:v>1.5494264499666954E-2</c:v>
                </c:pt>
                <c:pt idx="306">
                  <c:v>1.4356525730629954E-2</c:v>
                </c:pt>
                <c:pt idx="307">
                  <c:v>1.3148223225858402E-2</c:v>
                </c:pt>
                <c:pt idx="308">
                  <c:v>1.2509648622582858E-2</c:v>
                </c:pt>
                <c:pt idx="309">
                  <c:v>1.1850248521421136E-2</c:v>
                </c:pt>
                <c:pt idx="310">
                  <c:v>1.1170023037161414E-2</c:v>
                </c:pt>
                <c:pt idx="311">
                  <c:v>9.7404177569249129E-3</c:v>
                </c:pt>
                <c:pt idx="312">
                  <c:v>8.2408696820923666E-3</c:v>
                </c:pt>
                <c:pt idx="313">
                  <c:v>7.4565191243891604E-3</c:v>
                </c:pt>
                <c:pt idx="314">
                  <c:v>6.6513439457782653E-3</c:v>
                </c:pt>
                <c:pt idx="315">
                  <c:v>5.8253442862277183E-3</c:v>
                </c:pt>
                <c:pt idx="316">
                  <c:v>4.103976824509914E-3</c:v>
                </c:pt>
                <c:pt idx="317">
                  <c:v>2.3131037586132663E-3</c:v>
                </c:pt>
                <c:pt idx="318">
                  <c:v>1.3829839163470581E-3</c:v>
                </c:pt>
                <c:pt idx="319">
                  <c:v>8.8173374481748112E-4</c:v>
                </c:pt>
                <c:pt idx="320">
                  <c:v>8.2394217584713658E-4</c:v>
                </c:pt>
                <c:pt idx="321">
                  <c:v>7.1189411637639921E-4</c:v>
                </c:pt>
                <c:pt idx="322">
                  <c:v>6.0337691810907756E-4</c:v>
                </c:pt>
                <c:pt idx="323">
                  <c:v>5.5088585581231087E-4</c:v>
                </c:pt>
                <c:pt idx="324">
                  <c:v>4.9945489344338512E-4</c:v>
                </c:pt>
                <c:pt idx="325">
                  <c:v>4.4908403044274792E-4</c:v>
                </c:pt>
                <c:pt idx="326">
                  <c:v>3.5187630905042511E-4</c:v>
                </c:pt>
                <c:pt idx="327">
                  <c:v>2.5820156444922304E-4</c:v>
                </c:pt>
                <c:pt idx="328">
                  <c:v>2.1313119229482425E-4</c:v>
                </c:pt>
                <c:pt idx="329">
                  <c:v>1.6912091703069621E-4</c:v>
                </c:pt>
                <c:pt idx="330">
                  <c:v>1.2617073825715863E-4</c:v>
                </c:pt>
                <c:pt idx="331">
                  <c:v>4.3804037943573348E-5</c:v>
                </c:pt>
                <c:pt idx="332">
                  <c:v>-3.5029018645715837E-5</c:v>
                </c:pt>
                <c:pt idx="333">
                  <c:v>-7.2678720162144828E-5</c:v>
                </c:pt>
                <c:pt idx="334">
                  <c:v>-1.0926832734625691E-4</c:v>
                </c:pt>
                <c:pt idx="335">
                  <c:v>-1.4479784039789223E-4</c:v>
                </c:pt>
                <c:pt idx="336">
                  <c:v>-2.1232309695751184E-4</c:v>
                </c:pt>
                <c:pt idx="337">
                  <c:v>-2.7631495807423079E-4</c:v>
                </c:pt>
                <c:pt idx="338">
                  <c:v>-3.0654400529961379E-4</c:v>
                </c:pt>
                <c:pt idx="339">
                  <c:v>-3.3571296019108132E-4</c:v>
                </c:pt>
                <c:pt idx="340">
                  <c:v>-3.6382182298844157E-4</c:v>
                </c:pt>
                <c:pt idx="341">
                  <c:v>-4.1650542830673487E-4</c:v>
                </c:pt>
                <c:pt idx="342">
                  <c:v>-4.6565635831274932E-4</c:v>
                </c:pt>
                <c:pt idx="343">
                  <c:v>-4.8846476431663177E-4</c:v>
                </c:pt>
                <c:pt idx="344">
                  <c:v>-5.1021307950538386E-4</c:v>
                </c:pt>
                <c:pt idx="345">
                  <c:v>-5.3090130427868587E-4</c:v>
                </c:pt>
                <c:pt idx="346">
                  <c:v>-5.6874322123867671E-4</c:v>
                </c:pt>
                <c:pt idx="347">
                  <c:v>-6.0305330125576262E-4</c:v>
                </c:pt>
                <c:pt idx="348">
                  <c:v>-6.1844107591024766E-4</c:v>
                </c:pt>
                <c:pt idx="349">
                  <c:v>-6.3276876094864321E-4</c:v>
                </c:pt>
                <c:pt idx="350">
                  <c:v>-6.4603635649085334E-4</c:v>
                </c:pt>
                <c:pt idx="351">
                  <c:v>-6.6903667346185358E-4</c:v>
                </c:pt>
                <c:pt idx="352">
                  <c:v>-6.8850584649560176E-4</c:v>
                </c:pt>
                <c:pt idx="353">
                  <c:v>-6.9647299639541416E-4</c:v>
                </c:pt>
                <c:pt idx="354">
                  <c:v>-7.033800574385296E-4</c:v>
                </c:pt>
                <c:pt idx="355">
                  <c:v>-7.1667776549322326E-4</c:v>
                </c:pt>
                <c:pt idx="356">
                  <c:v>-7.2256055954511567E-4</c:v>
                </c:pt>
                <c:pt idx="357">
                  <c:v>-7.2204699955058516E-4</c:v>
                </c:pt>
                <c:pt idx="358">
                  <c:v>-7.2047335089919784E-4</c:v>
                </c:pt>
                <c:pt idx="359">
                  <c:v>-7.1379100927249084E-4</c:v>
                </c:pt>
                <c:pt idx="360">
                  <c:v>-7.0357786908559206E-4</c:v>
                </c:pt>
                <c:pt idx="361">
                  <c:v>-6.9670377671027239E-4</c:v>
                </c:pt>
                <c:pt idx="362">
                  <c:v>-6.8876959539831972E-4</c:v>
                </c:pt>
                <c:pt idx="363">
                  <c:v>-6.7977532518970207E-4</c:v>
                </c:pt>
                <c:pt idx="364">
                  <c:v>-6.582519509867879E-4</c:v>
                </c:pt>
                <c:pt idx="365">
                  <c:v>-6.3319735295053192E-4</c:v>
                </c:pt>
                <c:pt idx="366">
                  <c:v>-6.1890263661990019E-4</c:v>
                </c:pt>
                <c:pt idx="367">
                  <c:v>-6.0354783063321094E-4</c:v>
                </c:pt>
                <c:pt idx="368">
                  <c:v>-5.8713293495049612E-4</c:v>
                </c:pt>
                <c:pt idx="369">
                  <c:v>-5.5076866820602532E-4</c:v>
                </c:pt>
                <c:pt idx="370">
                  <c:v>-5.1087245214187504E-4</c:v>
                </c:pt>
                <c:pt idx="371">
                  <c:v>-4.8915710554098268E-4</c:v>
                </c:pt>
                <c:pt idx="372">
                  <c:v>-4.6638166824486404E-4</c:v>
                </c:pt>
                <c:pt idx="373">
                  <c:v>-4.4254614005367898E-4</c:v>
                </c:pt>
                <c:pt idx="374">
                  <c:v>-3.9134102138849158E-4</c:v>
                </c:pt>
                <c:pt idx="375">
                  <c:v>-3.3660311362204709E-4</c:v>
                </c:pt>
                <c:pt idx="376">
                  <c:v>-3.074671274783114E-4</c:v>
                </c:pt>
                <c:pt idx="377">
                  <c:v>-2.7727104896069221E-4</c:v>
                </c:pt>
                <c:pt idx="378">
                  <c:v>-2.4601487790931742E-4</c:v>
                </c:pt>
                <c:pt idx="379">
                  <c:v>-1.799688034731517E-4</c:v>
                </c:pt>
                <c:pt idx="380">
                  <c:v>-1.1038926201134558E-4</c:v>
                </c:pt>
                <c:pt idx="381">
                  <c:v>-7.3832623654901397E-5</c:v>
                </c:pt>
                <c:pt idx="382">
                  <c:v>-4.5261269612240085E-5</c:v>
                </c:pt>
                <c:pt idx="383">
                  <c:v>-2.5666397487356107E-5</c:v>
                </c:pt>
                <c:pt idx="384">
                  <c:v>1.2101008088905019E-5</c:v>
                </c:pt>
                <c:pt idx="385">
                  <c:v>4.8446074272234796E-5</c:v>
                </c:pt>
                <c:pt idx="386">
                  <c:v>6.5907437587497952E-5</c:v>
                </c:pt>
                <c:pt idx="387">
                  <c:v>8.2942099028926464E-5</c:v>
                </c:pt>
                <c:pt idx="388">
                  <c:v>9.9550058356712157E-5</c:v>
                </c:pt>
                <c:pt idx="389">
                  <c:v>1.3134368451517275E-4</c:v>
                </c:pt>
                <c:pt idx="390">
                  <c:v>1.617148746113628E-4</c:v>
                </c:pt>
                <c:pt idx="391">
                  <c:v>1.7618932305119017E-4</c:v>
                </c:pt>
                <c:pt idx="392">
                  <c:v>1.9023706913756655E-4</c:v>
                </c:pt>
                <c:pt idx="393">
                  <c:v>2.0385811287049194E-4</c:v>
                </c:pt>
                <c:pt idx="394">
                  <c:v>2.2967800509476888E-4</c:v>
                </c:pt>
                <c:pt idx="395">
                  <c:v>2.5407526274889847E-4</c:v>
                </c:pt>
                <c:pt idx="396">
                  <c:v>2.655627937553362E-4</c:v>
                </c:pt>
                <c:pt idx="397">
                  <c:v>2.7662362208857871E-4</c:v>
                </c:pt>
                <c:pt idx="398">
                  <c:v>2.87257747748626E-4</c:v>
                </c:pt>
                <c:pt idx="399">
                  <c:v>3.0710391840216289E-4</c:v>
                </c:pt>
                <c:pt idx="400">
                  <c:v>3.2552722261769418E-4</c:v>
                </c:pt>
                <c:pt idx="401">
                  <c:v>3.3402783411240478E-4</c:v>
                </c:pt>
                <c:pt idx="402">
                  <c:v>3.4210174285398409E-4</c:v>
                </c:pt>
                <c:pt idx="403">
                  <c:v>3.4974894860262395E-4</c:v>
                </c:pt>
                <c:pt idx="404">
                  <c:v>3.6362138404300026E-4</c:v>
                </c:pt>
                <c:pt idx="405">
                  <c:v>3.7607074166778887E-4</c:v>
                </c:pt>
                <c:pt idx="406">
                  <c:v>3.815844323717954E-4</c:v>
                </c:pt>
                <c:pt idx="407">
                  <c:v>3.8667141992299037E-4</c:v>
                </c:pt>
                <c:pt idx="408">
                  <c:v>3.9133170440130982E-4</c:v>
                </c:pt>
                <c:pt idx="409">
                  <c:v>3.9923037241429427E-4</c:v>
                </c:pt>
                <c:pt idx="410">
                  <c:v>4.0570581110621617E-4</c:v>
                </c:pt>
                <c:pt idx="411">
                  <c:v>4.082325799803499E-4</c:v>
                </c:pt>
                <c:pt idx="412">
                  <c:v>4.1033264562173599E-4</c:v>
                </c:pt>
                <c:pt idx="413">
                  <c:v>4.1200600803037446E-4</c:v>
                </c:pt>
                <c:pt idx="414">
                  <c:v>4.1393086489094344E-4</c:v>
                </c:pt>
                <c:pt idx="415">
                  <c:v>4.1443242589700446E-4</c:v>
                </c:pt>
                <c:pt idx="416">
                  <c:v>4.1397227238171297E-4</c:v>
                </c:pt>
                <c:pt idx="417">
                  <c:v>4.130854157136099E-4</c:v>
                </c:pt>
                <c:pt idx="418">
                  <c:v>4.1177185581275921E-4</c:v>
                </c:pt>
                <c:pt idx="419">
                  <c:v>4.0772285385237694E-4</c:v>
                </c:pt>
                <c:pt idx="420">
                  <c:v>4.0225058444143258E-4</c:v>
                </c:pt>
                <c:pt idx="421">
                  <c:v>3.9880350869658798E-4</c:v>
                </c:pt>
                <c:pt idx="422">
                  <c:v>3.9492972979893182E-4</c:v>
                </c:pt>
                <c:pt idx="423">
                  <c:v>3.9062924782840014E-4</c:v>
                </c:pt>
                <c:pt idx="424">
                  <c:v>3.8060634249603709E-4</c:v>
                </c:pt>
                <c:pt idx="425">
                  <c:v>3.6916028881783802E-4</c:v>
                </c:pt>
                <c:pt idx="426">
                  <c:v>3.6272629148292879E-4</c:v>
                </c:pt>
                <c:pt idx="427">
                  <c:v>3.5586559107514404E-4</c:v>
                </c:pt>
                <c:pt idx="428">
                  <c:v>3.4857818775435589E-4</c:v>
                </c:pt>
                <c:pt idx="429">
                  <c:v>3.3258134499725145E-4</c:v>
                </c:pt>
                <c:pt idx="430">
                  <c:v>3.1516154486155301E-4</c:v>
                </c:pt>
                <c:pt idx="431">
                  <c:v>3.0574062705568394E-4</c:v>
                </c:pt>
                <c:pt idx="432">
                  <c:v>2.9589300625687542E-4</c:v>
                </c:pt>
                <c:pt idx="433">
                  <c:v>2.8561868286480774E-4</c:v>
                </c:pt>
                <c:pt idx="434">
                  <c:v>2.6364788645594217E-4</c:v>
                </c:pt>
                <c:pt idx="435">
                  <c:v>2.4025436200503236E-4</c:v>
                </c:pt>
                <c:pt idx="436">
                  <c:v>2.2784652524698856E-4</c:v>
                </c:pt>
                <c:pt idx="437">
                  <c:v>2.150119858956856E-4</c:v>
                </c:pt>
                <c:pt idx="438">
                  <c:v>2.0175074419093164E-4</c:v>
                </c:pt>
                <c:pt idx="439">
                  <c:v>1.7380600292327131E-4</c:v>
                </c:pt>
                <c:pt idx="440">
                  <c:v>1.4443875311798138E-4</c:v>
                </c:pt>
                <c:pt idx="441">
                  <c:v>1.2904399964597246E-4</c:v>
                </c:pt>
                <c:pt idx="442">
                  <c:v>1.1322254406032073E-4</c:v>
                </c:pt>
                <c:pt idx="443">
                  <c:v>9.6974386281090119E-5</c:v>
                </c:pt>
                <c:pt idx="444">
                  <c:v>6.3055741374995478E-5</c:v>
                </c:pt>
                <c:pt idx="445">
                  <c:v>2.7714735146844305E-5</c:v>
                </c:pt>
                <c:pt idx="446">
                  <c:v>9.3330675987601808E-6</c:v>
                </c:pt>
                <c:pt idx="447">
                  <c:v>9.450080717954279E-8</c:v>
                </c:pt>
                <c:pt idx="448">
                  <c:v>6.6150565025679953E-7</c:v>
                </c:pt>
                <c:pt idx="449">
                  <c:v>3.685531533292874E-6</c:v>
                </c:pt>
                <c:pt idx="450">
                  <c:v>8.5995736132105094E-6</c:v>
                </c:pt>
                <c:pt idx="451">
                  <c:v>1.200160267167405E-5</c:v>
                </c:pt>
                <c:pt idx="452">
                  <c:v>1.5970636733086963E-5</c:v>
                </c:pt>
                <c:pt idx="453">
                  <c:v>2.050667571751319E-5</c:v>
                </c:pt>
                <c:pt idx="454">
                  <c:v>3.1468772920817401E-5</c:v>
                </c:pt>
                <c:pt idx="455">
                  <c:v>4.4320881285031533E-5</c:v>
                </c:pt>
                <c:pt idx="456">
                  <c:v>5.1691945204268563E-5</c:v>
                </c:pt>
                <c:pt idx="457">
                  <c:v>5.9630014286327082E-5</c:v>
                </c:pt>
                <c:pt idx="458">
                  <c:v>6.8135088371334973E-5</c:v>
                </c:pt>
                <c:pt idx="459">
                  <c:v>8.7035274987101729E-5</c:v>
                </c:pt>
                <c:pt idx="460">
                  <c:v>1.0782543713894199E-4</c:v>
                </c:pt>
                <c:pt idx="461">
                  <c:v>1.1916553759760973E-4</c:v>
                </c:pt>
                <c:pt idx="462">
                  <c:v>1.3107264337897107E-4</c:v>
                </c:pt>
                <c:pt idx="463">
                  <c:v>1.4354675472283418E-4</c:v>
                </c:pt>
                <c:pt idx="464">
                  <c:v>1.7038507631461641E-4</c:v>
                </c:pt>
                <c:pt idx="465">
                  <c:v>1.9911325580324046E-4</c:v>
                </c:pt>
                <c:pt idx="466">
                  <c:v>2.1442239535929275E-4</c:v>
                </c:pt>
                <c:pt idx="467">
                  <c:v>2.3029854079759104E-4</c:v>
                </c:pt>
                <c:pt idx="468">
                  <c:v>2.4674169211813535E-4</c:v>
                </c:pt>
                <c:pt idx="469">
                  <c:v>2.8151823480371263E-4</c:v>
                </c:pt>
                <c:pt idx="470">
                  <c:v>3.181843583810462E-4</c:v>
                </c:pt>
                <c:pt idx="471">
                  <c:v>3.3746254063160563E-4</c:v>
                </c:pt>
                <c:pt idx="472">
                  <c:v>3.5730772924402743E-4</c:v>
                </c:pt>
                <c:pt idx="473">
                  <c:v>3.7771992445811975E-4</c:v>
                </c:pt>
                <c:pt idx="474">
                  <c:v>4.2043482767262219E-4</c:v>
                </c:pt>
                <c:pt idx="475">
                  <c:v>4.6503877253023518E-4</c:v>
                </c:pt>
                <c:pt idx="476">
                  <c:v>4.8828600187178495E-4</c:v>
                </c:pt>
                <c:pt idx="477">
                  <c:v>5.1210023837455765E-4</c:v>
                </c:pt>
                <c:pt idx="478">
                  <c:v>5.3648148211848934E-4</c:v>
                </c:pt>
                <c:pt idx="479">
                  <c:v>5.8713495137752147E-4</c:v>
                </c:pt>
                <c:pt idx="480">
                  <c:v>6.3967653206375985E-4</c:v>
                </c:pt>
                <c:pt idx="481">
                  <c:v>6.6689281401188794E-4</c:v>
                </c:pt>
                <c:pt idx="482">
                  <c:v>6.9467610384066347E-4</c:v>
                </c:pt>
                <c:pt idx="483">
                  <c:v>7.2302640178989463E-4</c:v>
                </c:pt>
                <c:pt idx="484">
                  <c:v>7.8161872171911284E-4</c:v>
                </c:pt>
                <c:pt idx="485">
                  <c:v>8.4209767766907362E-4</c:v>
                </c:pt>
                <c:pt idx="486">
                  <c:v>8.7328301837885647E-4</c:v>
                </c:pt>
                <c:pt idx="487">
                  <c:v>9.0503536800845552E-4</c:v>
                </c:pt>
                <c:pt idx="488">
                  <c:v>9.3735472671774289E-4</c:v>
                </c:pt>
                <c:pt idx="489">
                  <c:v>1.0038862737893339E-3</c:v>
                </c:pt>
                <c:pt idx="490">
                  <c:v>1.0723022561087703E-3</c:v>
                </c:pt>
                <c:pt idx="491">
                  <c:v>1.1074566627744531E-3</c:v>
                </c:pt>
                <c:pt idx="492">
                  <c:v>1.143178079558993E-3</c:v>
                </c:pt>
                <c:pt idx="493">
                  <c:v>1.179466506542326E-3</c:v>
                </c:pt>
                <c:pt idx="494">
                  <c:v>1.2539377619713576E-3</c:v>
                </c:pt>
                <c:pt idx="495">
                  <c:v>1.3302903205403283E-3</c:v>
                </c:pt>
                <c:pt idx="496">
                  <c:v>1.369413801395325E-3</c:v>
                </c:pt>
                <c:pt idx="497">
                  <c:v>1.4091042936481557E-3</c:v>
                </c:pt>
                <c:pt idx="498">
                  <c:v>1.4493617972988204E-3</c:v>
                </c:pt>
                <c:pt idx="499">
                  <c:v>1.5317733599129468E-3</c:v>
                </c:pt>
                <c:pt idx="500">
                  <c:v>1.6160619309157909E-3</c:v>
                </c:pt>
                <c:pt idx="501">
                  <c:v>1.659154494992876E-3</c:v>
                </c:pt>
                <c:pt idx="502">
                  <c:v>1.7028140717467721E-3</c:v>
                </c:pt>
                <c:pt idx="503">
                  <c:v>1.7470406614972234E-3</c:v>
                </c:pt>
                <c:pt idx="504">
                  <c:v>1.8373932606330357E-3</c:v>
                </c:pt>
                <c:pt idx="505">
                  <c:v>1.9296171532623418E-3</c:v>
                </c:pt>
                <c:pt idx="506">
                  <c:v>1.9766788105535227E-3</c:v>
                </c:pt>
                <c:pt idx="507">
                  <c:v>2.0243074820402995E-3</c:v>
                </c:pt>
                <c:pt idx="508">
                  <c:v>2.0725031679624806E-3</c:v>
                </c:pt>
                <c:pt idx="509">
                  <c:v>2.1707976764151482E-3</c:v>
                </c:pt>
                <c:pt idx="510">
                  <c:v>2.2709560602418577E-3</c:v>
                </c:pt>
                <c:pt idx="511">
                  <c:v>2.321986821538502E-3</c:v>
                </c:pt>
                <c:pt idx="512">
                  <c:v>2.3735845988692716E-3</c:v>
                </c:pt>
                <c:pt idx="513">
                  <c:v>2.8398846558363999E-3</c:v>
                </c:pt>
                <c:pt idx="514">
                  <c:v>4.5501886815468851E-3</c:v>
                </c:pt>
                <c:pt idx="515">
                  <c:v>6.1966261166279679E-3</c:v>
                </c:pt>
                <c:pt idx="516">
                  <c:v>6.9879964973740272E-3</c:v>
                </c:pt>
                <c:pt idx="517">
                  <c:v>7.7602406276167102E-3</c:v>
                </c:pt>
                <c:pt idx="518">
                  <c:v>1.2630404566467135E-2</c:v>
                </c:pt>
                <c:pt idx="519">
                  <c:v>1.6563338754629342E-2</c:v>
                </c:pt>
                <c:pt idx="520">
                  <c:v>1.9559012474754667E-2</c:v>
                </c:pt>
                <c:pt idx="521">
                  <c:v>2.1617402329479063E-2</c:v>
                </c:pt>
                <c:pt idx="522">
                  <c:v>2.2738492242062591E-2</c:v>
                </c:pt>
                <c:pt idx="523">
                  <c:v>2.2922273456389419E-2</c:v>
                </c:pt>
                <c:pt idx="524">
                  <c:v>2.1984582687197829E-2</c:v>
                </c:pt>
                <c:pt idx="525">
                  <c:v>2.015984981975194E-2</c:v>
                </c:pt>
                <c:pt idx="526">
                  <c:v>1.7397828394178916E-2</c:v>
                </c:pt>
                <c:pt idx="527">
                  <c:v>1.3698539982902602E-2</c:v>
                </c:pt>
                <c:pt idx="528">
                  <c:v>9.0620134784114015E-3</c:v>
                </c:pt>
                <c:pt idx="529">
                  <c:v>3.4882850933382059E-3</c:v>
                </c:pt>
                <c:pt idx="530">
                  <c:v>2.5894931383163566E-3</c:v>
                </c:pt>
                <c:pt idx="531">
                  <c:v>2.1342989397421519E-3</c:v>
                </c:pt>
                <c:pt idx="532">
                  <c:v>1.727087989502607E-3</c:v>
                </c:pt>
                <c:pt idx="533">
                  <c:v>1.3678601249278444E-3</c:v>
                </c:pt>
                <c:pt idx="534">
                  <c:v>1.05661520213296E-3</c:v>
                </c:pt>
                <c:pt idx="535">
                  <c:v>7.9335309681738408E-4</c:v>
                </c:pt>
                <c:pt idx="536">
                  <c:v>5.7807370370532851E-4</c:v>
                </c:pt>
                <c:pt idx="537">
                  <c:v>4.1077693670565907E-4</c:v>
                </c:pt>
                <c:pt idx="538">
                  <c:v>2.9146272883195934E-4</c:v>
                </c:pt>
                <c:pt idx="539">
                  <c:v>2.095431358348776E-4</c:v>
                </c:pt>
                <c:pt idx="540">
                  <c:v>1.9678181915949722E-4</c:v>
                </c:pt>
                <c:pt idx="541">
                  <c:v>2.2141507947104344E-4</c:v>
                </c:pt>
                <c:pt idx="542">
                  <c:v>5.2792201618245826E-4</c:v>
                </c:pt>
                <c:pt idx="543">
                  <c:v>1.6766395106682097E-3</c:v>
                </c:pt>
                <c:pt idx="544">
                  <c:v>2.7682733480727251E-3</c:v>
                </c:pt>
                <c:pt idx="545">
                  <c:v>3.8028230092113091E-3</c:v>
                </c:pt>
                <c:pt idx="546">
                  <c:v>4.7802880018377181E-3</c:v>
                </c:pt>
                <c:pt idx="547">
                  <c:v>5.7006678608839678E-3</c:v>
                </c:pt>
                <c:pt idx="548">
                  <c:v>6.5639621487001421E-3</c:v>
                </c:pt>
                <c:pt idx="549">
                  <c:v>7.3701704544149038E-3</c:v>
                </c:pt>
                <c:pt idx="550">
                  <c:v>8.11929239465492E-3</c:v>
                </c:pt>
                <c:pt idx="551">
                  <c:v>8.811327612905373E-3</c:v>
                </c:pt>
                <c:pt idx="552">
                  <c:v>9.4462757799895769E-3</c:v>
                </c:pt>
                <c:pt idx="553">
                  <c:v>1.0024136593989041E-2</c:v>
                </c:pt>
                <c:pt idx="554">
                  <c:v>1.0544909779843792E-2</c:v>
                </c:pt>
                <c:pt idx="555">
                  <c:v>1.1008595089831985E-2</c:v>
                </c:pt>
                <c:pt idx="556">
                  <c:v>1.1415192303410038E-2</c:v>
                </c:pt>
                <c:pt idx="557">
                  <c:v>1.176470122713269E-2</c:v>
                </c:pt>
                <c:pt idx="558">
                  <c:v>1.2057121694732942E-2</c:v>
                </c:pt>
                <c:pt idx="559">
                  <c:v>1.2292453567122053E-2</c:v>
                </c:pt>
                <c:pt idx="560">
                  <c:v>1.2470696732309605E-2</c:v>
                </c:pt>
                <c:pt idx="561">
                  <c:v>1.2591851105483443E-2</c:v>
                </c:pt>
                <c:pt idx="562">
                  <c:v>1.2655916629089603E-2</c:v>
                </c:pt>
                <c:pt idx="563">
                  <c:v>1.2662893272592513E-2</c:v>
                </c:pt>
                <c:pt idx="564">
                  <c:v>1.2612781032714793E-2</c:v>
                </c:pt>
                <c:pt idx="565">
                  <c:v>1.2505579933197453E-2</c:v>
                </c:pt>
                <c:pt idx="566">
                  <c:v>1.2341290025119633E-2</c:v>
                </c:pt>
                <c:pt idx="567">
                  <c:v>1.2119911386658799E-2</c:v>
                </c:pt>
                <c:pt idx="568">
                  <c:v>1.1841444123090739E-2</c:v>
                </c:pt>
                <c:pt idx="569">
                  <c:v>1.1534351965627465E-2</c:v>
                </c:pt>
                <c:pt idx="570">
                  <c:v>1.1235839345324905E-2</c:v>
                </c:pt>
                <c:pt idx="571">
                  <c:v>1.0946130363160833E-2</c:v>
                </c:pt>
                <c:pt idx="572">
                  <c:v>1.066522499803213E-2</c:v>
                </c:pt>
                <c:pt idx="573">
                  <c:v>1.0393123229155421E-2</c:v>
                </c:pt>
                <c:pt idx="574">
                  <c:v>1.0129825036706563E-2</c:v>
                </c:pt>
                <c:pt idx="575">
                  <c:v>9.8753304013410315E-3</c:v>
                </c:pt>
                <c:pt idx="576">
                  <c:v>9.5445178295250344E-3</c:v>
                </c:pt>
                <c:pt idx="577">
                  <c:v>9.3269880562907304E-3</c:v>
                </c:pt>
                <c:pt idx="578">
                  <c:v>9.1014077193740661E-3</c:v>
                </c:pt>
                <c:pt idx="579">
                  <c:v>8.8846315810542364E-3</c:v>
                </c:pt>
                <c:pt idx="580">
                  <c:v>8.6766595936094149E-3</c:v>
                </c:pt>
                <c:pt idx="581">
                  <c:v>8.4774917112895309E-3</c:v>
                </c:pt>
                <c:pt idx="582">
                  <c:v>8.2871278902363343E-3</c:v>
                </c:pt>
                <c:pt idx="583">
                  <c:v>8.1055680885899761E-3</c:v>
                </c:pt>
                <c:pt idx="584">
                  <c:v>7.9328122663557821E-3</c:v>
                </c:pt>
                <c:pt idx="585">
                  <c:v>7.7688603855374794E-3</c:v>
                </c:pt>
                <c:pt idx="586">
                  <c:v>7.6137124100572606E-3</c:v>
                </c:pt>
                <c:pt idx="587">
                  <c:v>7.4673683057557838E-3</c:v>
                </c:pt>
                <c:pt idx="588">
                  <c:v>7.3298280403921723E-3</c:v>
                </c:pt>
                <c:pt idx="589">
                  <c:v>7.1484120194398315E-3</c:v>
                </c:pt>
                <c:pt idx="590">
                  <c:v>7.0811589075070458E-3</c:v>
                </c:pt>
                <c:pt idx="591">
                  <c:v>6.9700299852293313E-3</c:v>
                </c:pt>
                <c:pt idx="592">
                  <c:v>6.8677047924570189E-3</c:v>
                </c:pt>
                <c:pt idx="593">
                  <c:v>6.7741833067014312E-3</c:v>
                </c:pt>
                <c:pt idx="594">
                  <c:v>6.6894655073657106E-3</c:v>
                </c:pt>
                <c:pt idx="595">
                  <c:v>6.6135513757714648E-3</c:v>
                </c:pt>
                <c:pt idx="596">
                  <c:v>6.5464408952919939E-3</c:v>
                </c:pt>
                <c:pt idx="597">
                  <c:v>6.4881340510591912E-3</c:v>
                </c:pt>
                <c:pt idx="598">
                  <c:v>6.438630830336578E-3</c:v>
                </c:pt>
                <c:pt idx="599">
                  <c:v>6.3979312221729145E-3</c:v>
                </c:pt>
                <c:pt idx="600">
                  <c:v>6.3660352175887169E-3</c:v>
                </c:pt>
                <c:pt idx="601">
                  <c:v>6.3429428096561935E-3</c:v>
                </c:pt>
                <c:pt idx="602">
                  <c:v>6.3286539932061459E-3</c:v>
                </c:pt>
                <c:pt idx="603">
                  <c:v>6.3231687650944224E-3</c:v>
                </c:pt>
                <c:pt idx="604">
                  <c:v>6.3264871241752729E-3</c:v>
                </c:pt>
                <c:pt idx="605">
                  <c:v>6.3386090711414766E-3</c:v>
                </c:pt>
                <c:pt idx="606">
                  <c:v>6.3595346086575688E-3</c:v>
                </c:pt>
                <c:pt idx="607">
                  <c:v>6.3892637413598408E-3</c:v>
                </c:pt>
                <c:pt idx="608">
                  <c:v>6.4277964757497585E-3</c:v>
                </c:pt>
                <c:pt idx="609">
                  <c:v>6.4751328203271896E-3</c:v>
                </c:pt>
                <c:pt idx="610">
                  <c:v>6.5312727855104669E-3</c:v>
                </c:pt>
                <c:pt idx="611">
                  <c:v>6.5962163836363885E-3</c:v>
                </c:pt>
                <c:pt idx="612">
                  <c:v>6.6699636290135089E-3</c:v>
                </c:pt>
                <c:pt idx="613">
                  <c:v>6.7525145379221385E-3</c:v>
                </c:pt>
                <c:pt idx="614">
                  <c:v>6.8438691284278264E-3</c:v>
                </c:pt>
                <c:pt idx="615">
                  <c:v>6.9440274207277497E-3</c:v>
                </c:pt>
                <c:pt idx="616">
                  <c:v>7.0529894368043244E-3</c:v>
                </c:pt>
                <c:pt idx="617">
                  <c:v>7.1707552006383679E-3</c:v>
                </c:pt>
                <c:pt idx="618">
                  <c:v>7.2973247381824535E-3</c:v>
                </c:pt>
                <c:pt idx="619">
                  <c:v>7.4326980772809748E-3</c:v>
                </c:pt>
                <c:pt idx="620">
                  <c:v>7.5768752477234358E-3</c:v>
                </c:pt>
                <c:pt idx="621">
                  <c:v>7.7262716699433298E-3</c:v>
                </c:pt>
                <c:pt idx="622">
                  <c:v>7.873486866323276E-3</c:v>
                </c:pt>
                <c:pt idx="623">
                  <c:v>8.0181739301465882E-3</c:v>
                </c:pt>
                <c:pt idx="624">
                  <c:v>8.1603328522739105E-3</c:v>
                </c:pt>
                <c:pt idx="625">
                  <c:v>8.2999636236991137E-3</c:v>
                </c:pt>
                <c:pt idx="626">
                  <c:v>8.4370662356292314E-3</c:v>
                </c:pt>
                <c:pt idx="627">
                  <c:v>8.5716406794045241E-3</c:v>
                </c:pt>
                <c:pt idx="628">
                  <c:v>8.7501380404964024E-3</c:v>
                </c:pt>
                <c:pt idx="629">
                  <c:v>8.8695445064512768E-3</c:v>
                </c:pt>
                <c:pt idx="630">
                  <c:v>8.995805787002098E-3</c:v>
                </c:pt>
                <c:pt idx="631">
                  <c:v>9.1195389035547691E-3</c:v>
                </c:pt>
                <c:pt idx="632">
                  <c:v>9.2407438534714004E-3</c:v>
                </c:pt>
                <c:pt idx="633">
                  <c:v>9.359420634433846E-3</c:v>
                </c:pt>
                <c:pt idx="634">
                  <c:v>9.4755692436443439E-3</c:v>
                </c:pt>
                <c:pt idx="635">
                  <c:v>9.5891896788646847E-3</c:v>
                </c:pt>
                <c:pt idx="636">
                  <c:v>9.7002819375369143E-3</c:v>
                </c:pt>
                <c:pt idx="637">
                  <c:v>9.8088460175027592E-3</c:v>
                </c:pt>
                <c:pt idx="638">
                  <c:v>9.9148819163641377E-3</c:v>
                </c:pt>
                <c:pt idx="639">
                  <c:v>1.0018389631802904E-2</c:v>
                </c:pt>
                <c:pt idx="640">
                  <c:v>1.0119369161820657E-2</c:v>
                </c:pt>
                <c:pt idx="641">
                  <c:v>1.0217820504179187E-2</c:v>
                </c:pt>
                <c:pt idx="642">
                  <c:v>1.0313743656800156E-2</c:v>
                </c:pt>
                <c:pt idx="643">
                  <c:v>1.0407138617765099E-2</c:v>
                </c:pt>
                <c:pt idx="644">
                  <c:v>1.0523502956090169E-2</c:v>
                </c:pt>
                <c:pt idx="645">
                  <c:v>1.0586343956493494E-2</c:v>
                </c:pt>
                <c:pt idx="646">
                  <c:v>1.0672154330659822E-2</c:v>
                </c:pt>
                <c:pt idx="647">
                  <c:v>1.0755436505496263E-2</c:v>
                </c:pt>
                <c:pt idx="648">
                  <c:v>1.0836190479324159E-2</c:v>
                </c:pt>
                <c:pt idx="649">
                  <c:v>1.0914416250464853E-2</c:v>
                </c:pt>
                <c:pt idx="650">
                  <c:v>1.0990113817159752E-2</c:v>
                </c:pt>
                <c:pt idx="651">
                  <c:v>1.1063283177810135E-2</c:v>
                </c:pt>
                <c:pt idx="652">
                  <c:v>1.1133924330977152E-2</c:v>
                </c:pt>
                <c:pt idx="653">
                  <c:v>1.1202037275221954E-2</c:v>
                </c:pt>
                <c:pt idx="654">
                  <c:v>1.1267622009025757E-2</c:v>
                </c:pt>
                <c:pt idx="655">
                  <c:v>1.1330678530869775E-2</c:v>
                </c:pt>
                <c:pt idx="656">
                  <c:v>1.1391206839634904E-2</c:v>
                </c:pt>
                <c:pt idx="657">
                  <c:v>1.144920693396223E-2</c:v>
                </c:pt>
                <c:pt idx="658">
                  <c:v>1.1504678812652713E-2</c:v>
                </c:pt>
                <c:pt idx="659">
                  <c:v>1.1557622474507312E-2</c:v>
                </c:pt>
                <c:pt idx="660">
                  <c:v>1.1608037918406922E-2</c:v>
                </c:pt>
                <c:pt idx="661">
                  <c:v>1.1655925143312373E-2</c:v>
                </c:pt>
                <c:pt idx="662">
                  <c:v>1.1701284148264435E-2</c:v>
                </c:pt>
                <c:pt idx="663">
                  <c:v>1.1744114932223937E-2</c:v>
                </c:pt>
                <c:pt idx="664">
                  <c:v>1.1784417494311583E-2</c:v>
                </c:pt>
                <c:pt idx="665">
                  <c:v>1.1822191833648077E-2</c:v>
                </c:pt>
                <c:pt idx="666">
                  <c:v>1.185743794959393E-2</c:v>
                </c:pt>
                <c:pt idx="667">
                  <c:v>1.1890155841189909E-2</c:v>
                </c:pt>
                <c:pt idx="668">
                  <c:v>1.1920345507796526E-2</c:v>
                </c:pt>
                <c:pt idx="669">
                  <c:v>1.1948006948934164E-2</c:v>
                </c:pt>
                <c:pt idx="670">
                  <c:v>1.19731401638834E-2</c:v>
                </c:pt>
                <c:pt idx="671">
                  <c:v>1.199574515208468E-2</c:v>
                </c:pt>
                <c:pt idx="672">
                  <c:v>1.2015834117056201E-2</c:v>
                </c:pt>
                <c:pt idx="673">
                  <c:v>1.2035432897175014E-2</c:v>
                </c:pt>
                <c:pt idx="674">
                  <c:v>1.2056091381298373E-2</c:v>
                </c:pt>
                <c:pt idx="675">
                  <c:v>1.2077809569746023E-2</c:v>
                </c:pt>
                <c:pt idx="676">
                  <c:v>1.21005874625979E-2</c:v>
                </c:pt>
                <c:pt idx="677">
                  <c:v>1.2124425060093813E-2</c:v>
                </c:pt>
                <c:pt idx="678">
                  <c:v>1.2149322362473569E-2</c:v>
                </c:pt>
                <c:pt idx="679">
                  <c:v>1.2175279369817105E-2</c:v>
                </c:pt>
                <c:pt idx="680">
                  <c:v>1.2208432952336423E-2</c:v>
                </c:pt>
                <c:pt idx="681">
                  <c:v>1.2234469924115032E-2</c:v>
                </c:pt>
                <c:pt idx="682">
                  <c:v>1.2263757434691769E-2</c:v>
                </c:pt>
                <c:pt idx="683">
                  <c:v>1.2294104651271454E-2</c:v>
                </c:pt>
                <c:pt idx="684">
                  <c:v>1.2325511574253767E-2</c:v>
                </c:pt>
                <c:pt idx="685">
                  <c:v>1.2357978203798581E-2</c:v>
                </c:pt>
                <c:pt idx="686">
                  <c:v>1.2391504540305576E-2</c:v>
                </c:pt>
                <c:pt idx="687">
                  <c:v>1.2426090583934624E-2</c:v>
                </c:pt>
                <c:pt idx="688">
                  <c:v>1.2461736335085405E-2</c:v>
                </c:pt>
                <c:pt idx="689">
                  <c:v>1.2498441794077664E-2</c:v>
                </c:pt>
                <c:pt idx="690">
                  <c:v>1.2536206961231144E-2</c:v>
                </c:pt>
                <c:pt idx="691">
                  <c:v>1.2575031836785655E-2</c:v>
                </c:pt>
                <c:pt idx="692">
                  <c:v>1.2614916421220812E-2</c:v>
                </c:pt>
                <c:pt idx="693">
                  <c:v>1.2655860714776423E-2</c:v>
                </c:pt>
                <c:pt idx="694">
                  <c:v>1.2697864717932106E-2</c:v>
                </c:pt>
                <c:pt idx="695">
                  <c:v>1.2753426989595695E-2</c:v>
                </c:pt>
                <c:pt idx="696">
                  <c:v>1.2797853187356267E-2</c:v>
                </c:pt>
                <c:pt idx="697">
                  <c:v>1.2853925837039704E-2</c:v>
                </c:pt>
                <c:pt idx="698">
                  <c:v>1.2889884715674427E-2</c:v>
                </c:pt>
                <c:pt idx="699">
                  <c:v>1.2937490046951439E-2</c:v>
                </c:pt>
                <c:pt idx="700">
                  <c:v>1.2986155090306539E-2</c:v>
                </c:pt>
                <c:pt idx="701">
                  <c:v>1.3035879846059473E-2</c:v>
                </c:pt>
                <c:pt idx="702">
                  <c:v>1.3086664314769791E-2</c:v>
                </c:pt>
                <c:pt idx="703">
                  <c:v>1.313850849675724E-2</c:v>
                </c:pt>
                <c:pt idx="704">
                  <c:v>1.319141239258137E-2</c:v>
                </c:pt>
                <c:pt idx="705">
                  <c:v>1.3245376002641862E-2</c:v>
                </c:pt>
                <c:pt idx="706">
                  <c:v>1.3300399327498269E-2</c:v>
                </c:pt>
                <c:pt idx="707">
                  <c:v>1.3356482367550271E-2</c:v>
                </c:pt>
                <c:pt idx="708">
                  <c:v>1.3413625123277484E-2</c:v>
                </c:pt>
                <c:pt idx="709">
                  <c:v>1.3471827595239461E-2</c:v>
                </c:pt>
                <c:pt idx="710">
                  <c:v>1.3531089783995753E-2</c:v>
                </c:pt>
                <c:pt idx="711">
                  <c:v>1.3591411689946042E-2</c:v>
                </c:pt>
                <c:pt idx="712">
                  <c:v>1.3652793313729816E-2</c:v>
                </c:pt>
                <c:pt idx="713">
                  <c:v>1.3715234655826691E-2</c:v>
                </c:pt>
                <c:pt idx="714">
                  <c:v>1.377873571679622E-2</c:v>
                </c:pt>
                <c:pt idx="715">
                  <c:v>1.3843296497357827E-2</c:v>
                </c:pt>
                <c:pt idx="716">
                  <c:v>1.3908916997751319E-2</c:v>
                </c:pt>
                <c:pt idx="717">
                  <c:v>1.3975597218855995E-2</c:v>
                </c:pt>
                <c:pt idx="718">
                  <c:v>1.404333716115147E-2</c:v>
                </c:pt>
                <c:pt idx="719">
                  <c:v>1.4112136825117361E-2</c:v>
                </c:pt>
                <c:pt idx="720">
                  <c:v>1.4181996211553027E-2</c:v>
                </c:pt>
                <c:pt idx="721">
                  <c:v>1.4252915321018023E-2</c:v>
                </c:pt>
                <c:pt idx="722">
                  <c:v>1.4324894154071899E-2</c:v>
                </c:pt>
                <c:pt idx="723">
                  <c:v>1.439793271143408E-2</c:v>
                </c:pt>
                <c:pt idx="724">
                  <c:v>1.4471940288061091E-2</c:v>
                </c:pt>
                <c:pt idx="725">
                  <c:v>1.4545895253013086E-2</c:v>
                </c:pt>
                <c:pt idx="726">
                  <c:v>1.4619506393316328E-2</c:v>
                </c:pt>
                <c:pt idx="727">
                  <c:v>1.4692773708810947E-2</c:v>
                </c:pt>
                <c:pt idx="728">
                  <c:v>1.4765697199337069E-2</c:v>
                </c:pt>
                <c:pt idx="729">
                  <c:v>1.4838276864574951E-2</c:v>
                </c:pt>
                <c:pt idx="730">
                  <c:v>1.4910512704444656E-2</c:v>
                </c:pt>
                <c:pt idx="731">
                  <c:v>1.4998698278227973E-2</c:v>
                </c:pt>
                <c:pt idx="732">
                  <c:v>1.50701817441945E-2</c:v>
                </c:pt>
                <c:pt idx="733">
                  <c:v>1.5125157269206824E-2</c:v>
                </c:pt>
                <c:pt idx="734">
                  <c:v>1.5196017805205742E-2</c:v>
                </c:pt>
                <c:pt idx="735">
                  <c:v>1.5266534514717378E-2</c:v>
                </c:pt>
                <c:pt idx="736">
                  <c:v>1.5336707397661797E-2</c:v>
                </c:pt>
                <c:pt idx="737">
                  <c:v>1.5406536453639319E-2</c:v>
                </c:pt>
                <c:pt idx="738">
                  <c:v>1.5476021682649943E-2</c:v>
                </c:pt>
                <c:pt idx="739">
                  <c:v>1.5545163084293989E-2</c:v>
                </c:pt>
                <c:pt idx="740">
                  <c:v>1.5613960658571457E-2</c:v>
                </c:pt>
                <c:pt idx="741">
                  <c:v>1.5682414405162604E-2</c:v>
                </c:pt>
                <c:pt idx="742">
                  <c:v>1.5750524323827619E-2</c:v>
                </c:pt>
                <c:pt idx="743">
                  <c:v>1.5818290414486569E-2</c:v>
                </c:pt>
                <c:pt idx="744">
                  <c:v>1.5885712676899644E-2</c:v>
                </c:pt>
                <c:pt idx="745">
                  <c:v>1.5973303499894342E-2</c:v>
                </c:pt>
                <c:pt idx="746">
                  <c:v>1.6019525716268745E-2</c:v>
                </c:pt>
                <c:pt idx="747">
                  <c:v>1.6085916492825092E-2</c:v>
                </c:pt>
                <c:pt idx="748">
                  <c:v>1.6151963440336203E-2</c:v>
                </c:pt>
                <c:pt idx="749">
                  <c:v>1.6217666558642208E-2</c:v>
                </c:pt>
                <c:pt idx="750">
                  <c:v>1.6283025847583232E-2</c:v>
                </c:pt>
                <c:pt idx="751">
                  <c:v>1.6348041306839534E-2</c:v>
                </c:pt>
                <c:pt idx="752">
                  <c:v>1.6412712936491047E-2</c:v>
                </c:pt>
                <c:pt idx="753">
                  <c:v>1.6477040736138093E-2</c:v>
                </c:pt>
                <c:pt idx="754">
                  <c:v>1.6541024705620799E-2</c:v>
                </c:pt>
                <c:pt idx="755">
                  <c:v>1.6604664844859229E-2</c:v>
                </c:pt>
                <c:pt idx="756">
                  <c:v>1.6667961153533639E-2</c:v>
                </c:pt>
                <c:pt idx="757">
                  <c:v>1.6730913631484157E-2</c:v>
                </c:pt>
                <c:pt idx="758">
                  <c:v>1.6793522278710782E-2</c:v>
                </c:pt>
                <c:pt idx="759">
                  <c:v>1.6855787094813834E-2</c:v>
                </c:pt>
                <c:pt idx="760">
                  <c:v>1.6917708079713378E-2</c:v>
                </c:pt>
                <c:pt idx="761">
                  <c:v>1.6979285233169605E-2</c:v>
                </c:pt>
                <c:pt idx="762">
                  <c:v>1.704051855510258E-2</c:v>
                </c:pt>
                <c:pt idx="763">
                  <c:v>1.7101408045352429E-2</c:v>
                </c:pt>
                <c:pt idx="764">
                  <c:v>1.7161953703519472E-2</c:v>
                </c:pt>
                <c:pt idx="765">
                  <c:v>1.7222155529683647E-2</c:v>
                </c:pt>
                <c:pt idx="766">
                  <c:v>1.728201352368508E-2</c:v>
                </c:pt>
                <c:pt idx="767">
                  <c:v>1.7341527685124092E-2</c:v>
                </c:pt>
                <c:pt idx="768">
                  <c:v>1.7400698013920746E-2</c:v>
                </c:pt>
                <c:pt idx="769">
                  <c:v>1.7459524509995106E-2</c:v>
                </c:pt>
                <c:pt idx="770">
                  <c:v>1.75180071731873E-2</c:v>
                </c:pt>
                <c:pt idx="771">
                  <c:v>1.7576146003177584E-2</c:v>
                </c:pt>
                <c:pt idx="772">
                  <c:v>1.7633940999886022E-2</c:v>
                </c:pt>
                <c:pt idx="773">
                  <c:v>1.7691392163152742E-2</c:v>
                </c:pt>
                <c:pt idx="774">
                  <c:v>1.7748499492817871E-2</c:v>
                </c:pt>
                <c:pt idx="775">
                  <c:v>1.7805262988721537E-2</c:v>
                </c:pt>
                <c:pt idx="776">
                  <c:v>1.7861682469808571E-2</c:v>
                </c:pt>
                <c:pt idx="777">
                  <c:v>1.7917752872929071E-2</c:v>
                </c:pt>
                <c:pt idx="778">
                  <c:v>1.7973471847083644E-2</c:v>
                </c:pt>
                <c:pt idx="779">
                  <c:v>1.8028839392112417E-2</c:v>
                </c:pt>
                <c:pt idx="780">
                  <c:v>1.8083855507855517E-2</c:v>
                </c:pt>
                <c:pt idx="781">
                  <c:v>1.813852019423301E-2</c:v>
                </c:pt>
                <c:pt idx="782">
                  <c:v>1.8192833450845214E-2</c:v>
                </c:pt>
                <c:pt idx="783">
                  <c:v>1.8246795277852002E-2</c:v>
                </c:pt>
                <c:pt idx="784">
                  <c:v>1.8300405674933629E-2</c:v>
                </c:pt>
                <c:pt idx="785">
                  <c:v>1.8353664641930223E-2</c:v>
                </c:pt>
                <c:pt idx="786">
                  <c:v>1.8406572178761849E-2</c:v>
                </c:pt>
                <c:pt idx="787">
                  <c:v>1.8459128285108761E-2</c:v>
                </c:pt>
                <c:pt idx="788">
                  <c:v>1.8511332960970961E-2</c:v>
                </c:pt>
                <c:pt idx="789">
                  <c:v>1.8563186206188576E-2</c:v>
                </c:pt>
                <c:pt idx="790">
                  <c:v>1.8614688020521797E-2</c:v>
                </c:pt>
                <c:pt idx="791">
                  <c:v>1.8665838403890689E-2</c:v>
                </c:pt>
                <c:pt idx="792">
                  <c:v>1.8716637356135379E-2</c:v>
                </c:pt>
                <c:pt idx="793">
                  <c:v>1.8767084877095996E-2</c:v>
                </c:pt>
                <c:pt idx="794">
                  <c:v>1.8817180966612668E-2</c:v>
                </c:pt>
                <c:pt idx="795">
                  <c:v>1.8866925624525521E-2</c:v>
                </c:pt>
                <c:pt idx="796">
                  <c:v>1.8916318850754621E-2</c:v>
                </c:pt>
                <c:pt idx="797">
                  <c:v>1.8965360645140095E-2</c:v>
                </c:pt>
                <c:pt idx="798">
                  <c:v>1.9014051007362198E-2</c:v>
                </c:pt>
                <c:pt idx="799">
                  <c:v>1.9078151106143082E-2</c:v>
                </c:pt>
                <c:pt idx="800">
                  <c:v>1.9110377435476167E-2</c:v>
                </c:pt>
                <c:pt idx="801">
                  <c:v>1.9158013500968352E-2</c:v>
                </c:pt>
                <c:pt idx="802">
                  <c:v>1.9205298133737614E-2</c:v>
                </c:pt>
                <c:pt idx="803">
                  <c:v>1.925223133386389E-2</c:v>
                </c:pt>
                <c:pt idx="804">
                  <c:v>1.9298813101187307E-2</c:v>
                </c:pt>
                <c:pt idx="805">
                  <c:v>1.9345043435468057E-2</c:v>
                </c:pt>
                <c:pt idx="806">
                  <c:v>1.939092233670614E-2</c:v>
                </c:pt>
                <c:pt idx="807">
                  <c:v>1.9436449804581812E-2</c:v>
                </c:pt>
                <c:pt idx="808">
                  <c:v>1.9481625839095074E-2</c:v>
                </c:pt>
                <c:pt idx="809">
                  <c:v>1.9526450440086052E-2</c:v>
                </c:pt>
                <c:pt idx="810">
                  <c:v>1.9570923607474811E-2</c:v>
                </c:pt>
                <c:pt idx="811">
                  <c:v>1.9615045340941606E-2</c:v>
                </c:pt>
                <c:pt idx="812">
                  <c:v>1.9658815640566374E-2</c:v>
                </c:pt>
                <c:pt idx="813">
                  <c:v>1.9702234506189242E-2</c:v>
                </c:pt>
                <c:pt idx="814">
                  <c:v>1.9745301937650339E-2</c:v>
                </c:pt>
                <c:pt idx="815">
                  <c:v>1.9788017934709856E-2</c:v>
                </c:pt>
                <c:pt idx="816">
                  <c:v>1.9830382497447729E-2</c:v>
                </c:pt>
                <c:pt idx="817">
                  <c:v>1.9872395625544215E-2</c:v>
                </c:pt>
                <c:pt idx="818">
                  <c:v>1.9914057319079248E-2</c:v>
                </c:pt>
                <c:pt idx="819">
                  <c:v>1.9955367577733085E-2</c:v>
                </c:pt>
                <c:pt idx="820">
                  <c:v>1.9996326401585662E-2</c:v>
                </c:pt>
                <c:pt idx="821">
                  <c:v>2.0036933790317235E-2</c:v>
                </c:pt>
                <c:pt idx="822">
                  <c:v>2.0077189743847867E-2</c:v>
                </c:pt>
                <c:pt idx="823">
                  <c:v>2.0117094262177559E-2</c:v>
                </c:pt>
                <c:pt idx="824">
                  <c:v>2.0156647345146439E-2</c:v>
                </c:pt>
                <c:pt idx="825">
                  <c:v>2.0195848992594634E-2</c:v>
                </c:pt>
                <c:pt idx="826">
                  <c:v>2.0234699204442208E-2</c:v>
                </c:pt>
                <c:pt idx="827">
                  <c:v>2.0273197980449353E-2</c:v>
                </c:pt>
                <c:pt idx="828">
                  <c:v>2.0311345522614488E-2</c:v>
                </c:pt>
                <c:pt idx="829">
                  <c:v>2.0349175345248938E-2</c:v>
                </c:pt>
                <c:pt idx="830">
                  <c:v>2.038671308912221E-2</c:v>
                </c:pt>
                <c:pt idx="831">
                  <c:v>2.0423958753994498E-2</c:v>
                </c:pt>
                <c:pt idx="832">
                  <c:v>2.0460912339945736E-2</c:v>
                </c:pt>
                <c:pt idx="833">
                  <c:v>2.0497573846656181E-2</c:v>
                </c:pt>
                <c:pt idx="834">
                  <c:v>2.0533943274125832E-2</c:v>
                </c:pt>
                <c:pt idx="835">
                  <c:v>2.057002062235469E-2</c:v>
                </c:pt>
                <c:pt idx="836">
                  <c:v>2.0605805891182882E-2</c:v>
                </c:pt>
                <c:pt idx="837">
                  <c:v>2.0641299080530473E-2</c:v>
                </c:pt>
                <c:pt idx="838">
                  <c:v>2.0676500190317526E-2</c:v>
                </c:pt>
                <c:pt idx="839">
                  <c:v>2.0711409220464105E-2</c:v>
                </c:pt>
                <c:pt idx="840">
                  <c:v>2.0746026170890275E-2</c:v>
                </c:pt>
                <c:pt idx="841">
                  <c:v>2.0780351041436163E-2</c:v>
                </c:pt>
                <c:pt idx="842">
                  <c:v>2.0814383832181704E-2</c:v>
                </c:pt>
                <c:pt idx="843">
                  <c:v>2.0848124542887092E-2</c:v>
                </c:pt>
                <c:pt idx="844">
                  <c:v>2.088157317347239E-2</c:v>
                </c:pt>
                <c:pt idx="845">
                  <c:v>2.0914729724017533E-2</c:v>
                </c:pt>
                <c:pt idx="846">
                  <c:v>2.0947594194202779E-2</c:v>
                </c:pt>
                <c:pt idx="847">
                  <c:v>2.0980166584187998E-2</c:v>
                </c:pt>
                <c:pt idx="848">
                  <c:v>2.1012446893733383E-2</c:v>
                </c:pt>
                <c:pt idx="849">
                  <c:v>2.1044435122838934E-2</c:v>
                </c:pt>
                <c:pt idx="850">
                  <c:v>2.1087597753540521E-2</c:v>
                </c:pt>
                <c:pt idx="851">
                  <c:v>2.1107535339330852E-2</c:v>
                </c:pt>
                <c:pt idx="852">
                  <c:v>2.1138647326557347E-2</c:v>
                </c:pt>
                <c:pt idx="853">
                  <c:v>2.1169467232944328E-2</c:v>
                </c:pt>
                <c:pt idx="854">
                  <c:v>2.119999505857173E-2</c:v>
                </c:pt>
                <c:pt idx="855">
                  <c:v>2.1230230803279682E-2</c:v>
                </c:pt>
                <c:pt idx="856">
                  <c:v>2.1260174466988246E-2</c:v>
                </c:pt>
                <c:pt idx="857">
                  <c:v>2.1289826049617488E-2</c:v>
                </c:pt>
                <c:pt idx="858">
                  <c:v>2.1319185551087472E-2</c:v>
                </c:pt>
                <c:pt idx="859">
                  <c:v>2.134825297131826E-2</c:v>
                </c:pt>
                <c:pt idx="860">
                  <c:v>2.1377028310309854E-2</c:v>
                </c:pt>
                <c:pt idx="861">
                  <c:v>2.140551156790238E-2</c:v>
                </c:pt>
                <c:pt idx="862">
                  <c:v>2.1433702744095839E-2</c:v>
                </c:pt>
                <c:pt idx="863">
                  <c:v>2.1461601838810296E-2</c:v>
                </c:pt>
                <c:pt idx="864">
                  <c:v>2.1489208851965813E-2</c:v>
                </c:pt>
                <c:pt idx="865">
                  <c:v>2.1516523783482455E-2</c:v>
                </c:pt>
                <c:pt idx="866">
                  <c:v>2.1543546633360222E-2</c:v>
                </c:pt>
                <c:pt idx="867">
                  <c:v>2.1570277401359306E-2</c:v>
                </c:pt>
                <c:pt idx="868">
                  <c:v>2.1596716087639578E-2</c:v>
                </c:pt>
                <c:pt idx="869">
                  <c:v>2.1622862692041167E-2</c:v>
                </c:pt>
                <c:pt idx="870">
                  <c:v>2.1648717214404201E-2</c:v>
                </c:pt>
                <c:pt idx="871">
                  <c:v>2.1674279654808615E-2</c:v>
                </c:pt>
                <c:pt idx="872">
                  <c:v>2.1699550013094537E-2</c:v>
                </c:pt>
                <c:pt idx="873">
                  <c:v>2.1724528289261968E-2</c:v>
                </c:pt>
                <c:pt idx="874">
                  <c:v>2.1749214483230972E-2</c:v>
                </c:pt>
                <c:pt idx="875">
                  <c:v>2.1773608594921612E-2</c:v>
                </c:pt>
                <c:pt idx="876">
                  <c:v>2.1797710624333888E-2</c:v>
                </c:pt>
                <c:pt idx="877">
                  <c:v>2.1821520571387865E-2</c:v>
                </c:pt>
                <c:pt idx="878">
                  <c:v>2.1845038435923669E-2</c:v>
                </c:pt>
                <c:pt idx="879">
                  <c:v>2.1868264217941302E-2</c:v>
                </c:pt>
                <c:pt idx="880">
                  <c:v>2.1891197917520699E-2</c:v>
                </c:pt>
                <c:pt idx="881">
                  <c:v>2.1913940400217768E-2</c:v>
                </c:pt>
                <c:pt idx="882">
                  <c:v>2.1936623506331188E-2</c:v>
                </c:pt>
                <c:pt idx="883">
                  <c:v>2.1959248029945755E-2</c:v>
                </c:pt>
                <c:pt idx="884">
                  <c:v>2.1981813971141406E-2</c:v>
                </c:pt>
                <c:pt idx="885">
                  <c:v>2.2004321329918142E-2</c:v>
                </c:pt>
                <c:pt idx="886">
                  <c:v>2.2026770106275961E-2</c:v>
                </c:pt>
                <c:pt idx="887">
                  <c:v>2.2049160300214865E-2</c:v>
                </c:pt>
                <c:pt idx="888">
                  <c:v>2.2081483884943687E-2</c:v>
                </c:pt>
                <c:pt idx="889">
                  <c:v>2.2101474241207342E-2</c:v>
                </c:pt>
                <c:pt idx="890">
                  <c:v>2.2123674676670646E-2</c:v>
                </c:pt>
                <c:pt idx="891">
                  <c:v>2.2145816525158679E-2</c:v>
                </c:pt>
                <c:pt idx="892">
                  <c:v>2.2167899786671441E-2</c:v>
                </c:pt>
                <c:pt idx="893">
                  <c:v>2.2189924461128996E-2</c:v>
                </c:pt>
                <c:pt idx="894">
                  <c:v>2.2211890548504698E-2</c:v>
                </c:pt>
                <c:pt idx="895">
                  <c:v>2.2233798048798548E-2</c:v>
                </c:pt>
                <c:pt idx="896">
                  <c:v>2.2255646961957254E-2</c:v>
                </c:pt>
                <c:pt idx="897">
                  <c:v>2.2277437287954172E-2</c:v>
                </c:pt>
                <c:pt idx="898">
                  <c:v>2.2299169026762655E-2</c:v>
                </c:pt>
                <c:pt idx="899">
                  <c:v>2.2320842178329414E-2</c:v>
                </c:pt>
                <c:pt idx="900">
                  <c:v>2.2342456742627803E-2</c:v>
                </c:pt>
                <c:pt idx="901">
                  <c:v>2.2371843154411764E-2</c:v>
                </c:pt>
                <c:pt idx="902">
                  <c:v>2.2385510109339535E-2</c:v>
                </c:pt>
                <c:pt idx="903">
                  <c:v>2.2406948911699587E-2</c:v>
                </c:pt>
                <c:pt idx="904">
                  <c:v>2.2428329126658042E-2</c:v>
                </c:pt>
                <c:pt idx="905">
                  <c:v>2.2449650754188255E-2</c:v>
                </c:pt>
                <c:pt idx="906">
                  <c:v>2.2475575358438249E-2</c:v>
                </c:pt>
                <c:pt idx="907">
                  <c:v>2.2496760425179119E-2</c:v>
                </c:pt>
                <c:pt idx="908">
                  <c:v>2.2517886909261264E-2</c:v>
                </c:pt>
                <c:pt idx="909">
                  <c:v>2.253895481060475E-2</c:v>
                </c:pt>
                <c:pt idx="910">
                  <c:v>2.2559964129289511E-2</c:v>
                </c:pt>
                <c:pt idx="911">
                  <c:v>2.2580914865155677E-2</c:v>
                </c:pt>
                <c:pt idx="912">
                  <c:v>2.2601807018443054E-2</c:v>
                </c:pt>
                <c:pt idx="913">
                  <c:v>2.2622640588911835E-2</c:v>
                </c:pt>
                <c:pt idx="914">
                  <c:v>2.2643415576641956E-2</c:v>
                </c:pt>
                <c:pt idx="915">
                  <c:v>2.2664131981633417E-2</c:v>
                </c:pt>
                <c:pt idx="916">
                  <c:v>2.2684789803886218E-2</c:v>
                </c:pt>
                <c:pt idx="917">
                  <c:v>2.2705389043240487E-2</c:v>
                </c:pt>
                <c:pt idx="918">
                  <c:v>2.2725929699936032E-2</c:v>
                </c:pt>
                <c:pt idx="919">
                  <c:v>2.274641177381298E-2</c:v>
                </c:pt>
                <c:pt idx="920">
                  <c:v>2.2766835264871332E-2</c:v>
                </c:pt>
                <c:pt idx="921">
                  <c:v>2.2787200173111088E-2</c:v>
                </c:pt>
                <c:pt idx="922">
                  <c:v>2.2807506498532248E-2</c:v>
                </c:pt>
                <c:pt idx="923">
                  <c:v>2.2827754241054876E-2</c:v>
                </c:pt>
                <c:pt idx="924">
                  <c:v>2.2847943400838844E-2</c:v>
                </c:pt>
                <c:pt idx="925">
                  <c:v>2.2868073977724279E-2</c:v>
                </c:pt>
                <c:pt idx="926">
                  <c:v>2.2888145971791118E-2</c:v>
                </c:pt>
                <c:pt idx="927">
                  <c:v>2.2908159382879489E-2</c:v>
                </c:pt>
                <c:pt idx="928">
                  <c:v>2.2928114211149264E-2</c:v>
                </c:pt>
                <c:pt idx="929">
                  <c:v>2.2948010456520507E-2</c:v>
                </c:pt>
                <c:pt idx="930">
                  <c:v>2.2967848118993217E-2</c:v>
                </c:pt>
                <c:pt idx="931">
                  <c:v>2.2987627198487459E-2</c:v>
                </c:pt>
                <c:pt idx="932">
                  <c:v>2.3007347353276586E-2</c:v>
                </c:pt>
                <c:pt idx="933">
                  <c:v>2.3026951842188836E-2</c:v>
                </c:pt>
                <c:pt idx="934">
                  <c:v>2.3046397254828932E-2</c:v>
                </c:pt>
                <c:pt idx="935">
                  <c:v>2.3065683591116937E-2</c:v>
                </c:pt>
                <c:pt idx="936">
                  <c:v>2.3084810851212723E-2</c:v>
                </c:pt>
                <c:pt idx="937">
                  <c:v>2.3103779034796545E-2</c:v>
                </c:pt>
                <c:pt idx="938">
                  <c:v>2.3122588142028278E-2</c:v>
                </c:pt>
                <c:pt idx="939">
                  <c:v>2.3141238172748047E-2</c:v>
                </c:pt>
                <c:pt idx="940">
                  <c:v>2.3164415588654563E-2</c:v>
                </c:pt>
                <c:pt idx="941">
                  <c:v>2.3180666858904075E-2</c:v>
                </c:pt>
                <c:pt idx="942">
                  <c:v>2.3198816935066091E-2</c:v>
                </c:pt>
                <c:pt idx="943">
                  <c:v>2.3216807934716144E-2</c:v>
                </c:pt>
                <c:pt idx="944">
                  <c:v>2.3234639857854233E-2</c:v>
                </c:pt>
                <c:pt idx="945">
                  <c:v>2.3252312704400424E-2</c:v>
                </c:pt>
                <c:pt idx="946">
                  <c:v>2.3269826474354716E-2</c:v>
                </c:pt>
                <c:pt idx="947">
                  <c:v>2.3287181167717108E-2</c:v>
                </c:pt>
                <c:pt idx="948">
                  <c:v>2.3304376784407665E-2</c:v>
                </c:pt>
                <c:pt idx="949">
                  <c:v>2.3321413324506324E-2</c:v>
                </c:pt>
                <c:pt idx="950">
                  <c:v>2.3338290787933147E-2</c:v>
                </c:pt>
                <c:pt idx="951">
                  <c:v>2.3355009174608199E-2</c:v>
                </c:pt>
                <c:pt idx="952">
                  <c:v>2.3371568484611416E-2</c:v>
                </c:pt>
                <c:pt idx="953">
                  <c:v>2.3387968717782925E-2</c:v>
                </c:pt>
                <c:pt idx="954">
                  <c:v>2.3404209874122728E-2</c:v>
                </c:pt>
                <c:pt idx="955">
                  <c:v>2.3420291953790695E-2</c:v>
                </c:pt>
                <c:pt idx="956">
                  <c:v>2.3440735167872262E-2</c:v>
                </c:pt>
                <c:pt idx="957">
                  <c:v>2.3462443298338798E-2</c:v>
                </c:pt>
                <c:pt idx="958">
                  <c:v>2.3472013041923034E-2</c:v>
                </c:pt>
                <c:pt idx="959">
                  <c:v>2.3487413363740828E-2</c:v>
                </c:pt>
                <c:pt idx="960">
                  <c:v>2.3502654608567042E-2</c:v>
                </c:pt>
                <c:pt idx="961">
                  <c:v>2.3517736776401676E-2</c:v>
                </c:pt>
                <c:pt idx="962">
                  <c:v>2.3532659867404604E-2</c:v>
                </c:pt>
                <c:pt idx="963">
                  <c:v>2.3547423881415952E-2</c:v>
                </c:pt>
                <c:pt idx="964">
                  <c:v>2.3562028818435721E-2</c:v>
                </c:pt>
                <c:pt idx="965">
                  <c:v>2.357647467846391E-2</c:v>
                </c:pt>
                <c:pt idx="966">
                  <c:v>2.359076146150052E-2</c:v>
                </c:pt>
                <c:pt idx="967">
                  <c:v>2.3604889167465615E-2</c:v>
                </c:pt>
                <c:pt idx="968">
                  <c:v>2.3618857796359194E-2</c:v>
                </c:pt>
                <c:pt idx="969">
                  <c:v>2.3632667348261194E-2</c:v>
                </c:pt>
                <c:pt idx="970">
                  <c:v>2.3646317823011742E-2</c:v>
                </c:pt>
                <c:pt idx="971">
                  <c:v>2.3659809220690775E-2</c:v>
                </c:pt>
                <c:pt idx="972">
                  <c:v>2.3673141541138421E-2</c:v>
                </c:pt>
                <c:pt idx="973">
                  <c:v>2.3686314784434614E-2</c:v>
                </c:pt>
                <c:pt idx="974">
                  <c:v>2.3699328950659293E-2</c:v>
                </c:pt>
                <c:pt idx="975">
                  <c:v>2.371218403973252E-2</c:v>
                </c:pt>
                <c:pt idx="976">
                  <c:v>2.372488005157436E-2</c:v>
                </c:pt>
                <c:pt idx="977">
                  <c:v>2.3737416986184812E-2</c:v>
                </c:pt>
                <c:pt idx="978">
                  <c:v>2.374979484348394E-2</c:v>
                </c:pt>
                <c:pt idx="979">
                  <c:v>2.3762013623631617E-2</c:v>
                </c:pt>
                <c:pt idx="980">
                  <c:v>2.3774073326547907E-2</c:v>
                </c:pt>
                <c:pt idx="981">
                  <c:v>2.3785973952072936E-2</c:v>
                </c:pt>
                <c:pt idx="982">
                  <c:v>2.3797715500366579E-2</c:v>
                </c:pt>
                <c:pt idx="983">
                  <c:v>2.3809297971348897E-2</c:v>
                </c:pt>
                <c:pt idx="984">
                  <c:v>2.3820721364939956E-2</c:v>
                </c:pt>
                <c:pt idx="985">
                  <c:v>2.3831985681299628E-2</c:v>
                </c:pt>
                <c:pt idx="986">
                  <c:v>2.3843090920188104E-2</c:v>
                </c:pt>
                <c:pt idx="987">
                  <c:v>2.3854037081765256E-2</c:v>
                </c:pt>
                <c:pt idx="988">
                  <c:v>2.3864824165951148E-2</c:v>
                </c:pt>
                <c:pt idx="989">
                  <c:v>2.3875452172745781E-2</c:v>
                </c:pt>
                <c:pt idx="990">
                  <c:v>2.3885921102149155E-2</c:v>
                </c:pt>
                <c:pt idx="991">
                  <c:v>2.3902050875426184E-2</c:v>
                </c:pt>
                <c:pt idx="992">
                  <c:v>2.391083960759488E-2</c:v>
                </c:pt>
                <c:pt idx="993">
                  <c:v>2.39163734255321E-2</c:v>
                </c:pt>
                <c:pt idx="994">
                  <c:v>2.3926206045130627E-2</c:v>
                </c:pt>
                <c:pt idx="995">
                  <c:v>2.3935879587257958E-2</c:v>
                </c:pt>
                <c:pt idx="996">
                  <c:v>2.3945394051834157E-2</c:v>
                </c:pt>
                <c:pt idx="997">
                  <c:v>2.3954749438859224E-2</c:v>
                </c:pt>
                <c:pt idx="998">
                  <c:v>2.3963945748413096E-2</c:v>
                </c:pt>
                <c:pt idx="999">
                  <c:v>2.3972982980495772E-2</c:v>
                </c:pt>
                <c:pt idx="1000">
                  <c:v>2.398186113494738E-2</c:v>
                </c:pt>
                <c:pt idx="1001">
                  <c:v>2.3990580211927792E-2</c:v>
                </c:pt>
                <c:pt idx="1002">
                  <c:v>2.3999140211277137E-2</c:v>
                </c:pt>
                <c:pt idx="1003">
                  <c:v>2.400754113307535E-2</c:v>
                </c:pt>
                <c:pt idx="1004">
                  <c:v>2.4015782977242495E-2</c:v>
                </c:pt>
                <c:pt idx="1005">
                  <c:v>2.4029349830083646E-2</c:v>
                </c:pt>
                <c:pt idx="1006">
                  <c:v>2.4031789432763517E-2</c:v>
                </c:pt>
                <c:pt idx="1007">
                  <c:v>2.4039554044117395E-2</c:v>
                </c:pt>
                <c:pt idx="1008">
                  <c:v>2.4047159577920141E-2</c:v>
                </c:pt>
                <c:pt idx="1009">
                  <c:v>2.4058590334121721E-2</c:v>
                </c:pt>
                <c:pt idx="1010">
                  <c:v>2.4061893412392621E-2</c:v>
                </c:pt>
                <c:pt idx="1011">
                  <c:v>2.4069021713142291E-2</c:v>
                </c:pt>
                <c:pt idx="1012">
                  <c:v>2.4075990936260894E-2</c:v>
                </c:pt>
                <c:pt idx="1013">
                  <c:v>2.4082801081668492E-2</c:v>
                </c:pt>
                <c:pt idx="1014">
                  <c:v>2.4089452149445023E-2</c:v>
                </c:pt>
                <c:pt idx="1015">
                  <c:v>2.4095944139430614E-2</c:v>
                </c:pt>
                <c:pt idx="1016">
                  <c:v>2.4102277051785137E-2</c:v>
                </c:pt>
                <c:pt idx="1017">
                  <c:v>2.410845088634872E-2</c:v>
                </c:pt>
                <c:pt idx="1018">
                  <c:v>2.4114465643281235E-2</c:v>
                </c:pt>
                <c:pt idx="1019">
                  <c:v>2.4120321322342875E-2</c:v>
                </c:pt>
                <c:pt idx="1020">
                  <c:v>2.4126017923773446E-2</c:v>
                </c:pt>
                <c:pt idx="1021">
                  <c:v>2.4131555447413078E-2</c:v>
                </c:pt>
                <c:pt idx="1022">
                  <c:v>2.4136933893341705E-2</c:v>
                </c:pt>
                <c:pt idx="1023">
                  <c:v>2.4142153261479393E-2</c:v>
                </c:pt>
                <c:pt idx="1024">
                  <c:v>2.4147213551826141E-2</c:v>
                </c:pt>
                <c:pt idx="1025">
                  <c:v>2.4152114764381949E-2</c:v>
                </c:pt>
                <c:pt idx="1026">
                  <c:v>2.4156856899306689E-2</c:v>
                </c:pt>
                <c:pt idx="1027">
                  <c:v>2.4161439956360553E-2</c:v>
                </c:pt>
                <c:pt idx="1028">
                  <c:v>2.4165863935543541E-2</c:v>
                </c:pt>
                <c:pt idx="1029">
                  <c:v>2.4170128836935589E-2</c:v>
                </c:pt>
                <c:pt idx="1030">
                  <c:v>2.4174234660616634E-2</c:v>
                </c:pt>
                <c:pt idx="1031">
                  <c:v>2.4178181406346866E-2</c:v>
                </c:pt>
                <c:pt idx="1032">
                  <c:v>2.418196907444603E-2</c:v>
                </c:pt>
                <c:pt idx="1033">
                  <c:v>2.4185597664594383E-2</c:v>
                </c:pt>
                <c:pt idx="1034">
                  <c:v>2.4189067176951795E-2</c:v>
                </c:pt>
                <c:pt idx="1035">
                  <c:v>2.4192377611438332E-2</c:v>
                </c:pt>
                <c:pt idx="1036">
                  <c:v>2.4195538455265009E-2</c:v>
                </c:pt>
                <c:pt idx="1037">
                  <c:v>2.4198656562797183E-2</c:v>
                </c:pt>
                <c:pt idx="1038">
                  <c:v>2.4201762392790371E-2</c:v>
                </c:pt>
                <c:pt idx="1039">
                  <c:v>2.4204855945164638E-2</c:v>
                </c:pt>
                <c:pt idx="1040">
                  <c:v>2.4207937219760112E-2</c:v>
                </c:pt>
                <c:pt idx="1041">
                  <c:v>2.42110062168166E-2</c:v>
                </c:pt>
                <c:pt idx="1042">
                  <c:v>2.4214062936254166E-2</c:v>
                </c:pt>
                <c:pt idx="1043">
                  <c:v>2.4220201863220936E-2</c:v>
                </c:pt>
                <c:pt idx="1044">
                  <c:v>2.4223232007916096E-2</c:v>
                </c:pt>
                <c:pt idx="1045">
                  <c:v>2.4223159428613528E-2</c:v>
                </c:pt>
                <c:pt idx="1046">
                  <c:v>2.4226167037575408E-2</c:v>
                </c:pt>
                <c:pt idx="1047">
                  <c:v>2.4229162368678558E-2</c:v>
                </c:pt>
                <c:pt idx="1048">
                  <c:v>2.423214542232266E-2</c:v>
                </c:pt>
                <c:pt idx="1049">
                  <c:v>2.4235116198267903E-2</c:v>
                </c:pt>
                <c:pt idx="1050">
                  <c:v>2.4238074696514289E-2</c:v>
                </c:pt>
                <c:pt idx="1051">
                  <c:v>2.4241020917141753E-2</c:v>
                </c:pt>
                <c:pt idx="1052">
                  <c:v>2.4243954860150296E-2</c:v>
                </c:pt>
                <c:pt idx="1053">
                  <c:v>2.4246876525619854E-2</c:v>
                </c:pt>
                <c:pt idx="1054">
                  <c:v>2.4249785913310618E-2</c:v>
                </c:pt>
                <c:pt idx="1055">
                  <c:v>2.425268302338246E-2</c:v>
                </c:pt>
                <c:pt idx="1056">
                  <c:v>2.4259658544039553E-2</c:v>
                </c:pt>
                <c:pt idx="1057">
                  <c:v>2.425844041066938E-2</c:v>
                </c:pt>
                <c:pt idx="1058">
                  <c:v>2.4261300687804521E-2</c:v>
                </c:pt>
                <c:pt idx="1059">
                  <c:v>2.4264148687320741E-2</c:v>
                </c:pt>
                <c:pt idx="1060">
                  <c:v>2.4266984409138104E-2</c:v>
                </c:pt>
                <c:pt idx="1061">
                  <c:v>2.4269807853416481E-2</c:v>
                </c:pt>
                <c:pt idx="1062">
                  <c:v>2.4272619019996E-2</c:v>
                </c:pt>
                <c:pt idx="1063">
                  <c:v>2.4275417908956598E-2</c:v>
                </c:pt>
                <c:pt idx="1064">
                  <c:v>2.4278204520298274E-2</c:v>
                </c:pt>
                <c:pt idx="1065">
                  <c:v>2.4280978853941093E-2</c:v>
                </c:pt>
                <c:pt idx="1066">
                  <c:v>2.428374090996499E-2</c:v>
                </c:pt>
                <c:pt idx="1067">
                  <c:v>2.428649068829003E-2</c:v>
                </c:pt>
                <c:pt idx="1068">
                  <c:v>2.4289228189076084E-2</c:v>
                </c:pt>
                <c:pt idx="1069">
                  <c:v>2.4291953412163281E-2</c:v>
                </c:pt>
                <c:pt idx="1070">
                  <c:v>2.429466635755162E-2</c:v>
                </c:pt>
                <c:pt idx="1071">
                  <c:v>2.4297367025321037E-2</c:v>
                </c:pt>
                <c:pt idx="1072">
                  <c:v>2.4300055415471533E-2</c:v>
                </c:pt>
                <c:pt idx="1073">
                  <c:v>2.4302731528003108E-2</c:v>
                </c:pt>
                <c:pt idx="1074">
                  <c:v>2.4305395362835824E-2</c:v>
                </c:pt>
                <c:pt idx="1075">
                  <c:v>2.4308046919969684E-2</c:v>
                </c:pt>
                <c:pt idx="1076">
                  <c:v>2.4310686199564557E-2</c:v>
                </c:pt>
                <c:pt idx="1077">
                  <c:v>2.4313313201460574E-2</c:v>
                </c:pt>
                <c:pt idx="1078">
                  <c:v>2.4315927925657732E-2</c:v>
                </c:pt>
                <c:pt idx="1079">
                  <c:v>2.4318530372315905E-2</c:v>
                </c:pt>
                <c:pt idx="1080">
                  <c:v>2.4321120541195285E-2</c:v>
                </c:pt>
                <c:pt idx="1081">
                  <c:v>2.4323698432535679E-2</c:v>
                </c:pt>
                <c:pt idx="1082">
                  <c:v>2.4326264046257151E-2</c:v>
                </c:pt>
                <c:pt idx="1083">
                  <c:v>2.432881738219983E-2</c:v>
                </c:pt>
                <c:pt idx="1084">
                  <c:v>2.4331358440603523E-2</c:v>
                </c:pt>
                <c:pt idx="1085">
                  <c:v>2.4333887221308359E-2</c:v>
                </c:pt>
                <c:pt idx="1086">
                  <c:v>2.4336403724314337E-2</c:v>
                </c:pt>
                <c:pt idx="1087">
                  <c:v>2.433890794978133E-2</c:v>
                </c:pt>
                <c:pt idx="1088">
                  <c:v>2.4341399897469529E-2</c:v>
                </c:pt>
                <c:pt idx="1089">
                  <c:v>2.4343879567538806E-2</c:v>
                </c:pt>
                <c:pt idx="1090">
                  <c:v>2.4346346959989162E-2</c:v>
                </c:pt>
                <c:pt idx="1091">
                  <c:v>2.4348802074900533E-2</c:v>
                </c:pt>
                <c:pt idx="1092">
                  <c:v>2.435124491203311E-2</c:v>
                </c:pt>
                <c:pt idx="1093">
                  <c:v>2.4353675471466829E-2</c:v>
                </c:pt>
                <c:pt idx="1094">
                  <c:v>2.4356093753361563E-2</c:v>
                </c:pt>
                <c:pt idx="1095">
                  <c:v>2.4358499757477503E-2</c:v>
                </c:pt>
                <c:pt idx="1096">
                  <c:v>2.4360893484054458E-2</c:v>
                </c:pt>
                <c:pt idx="1097">
                  <c:v>2.4363274932932555E-2</c:v>
                </c:pt>
                <c:pt idx="1098">
                  <c:v>2.436564410419173E-2</c:v>
                </c:pt>
                <c:pt idx="1099">
                  <c:v>2.4368000997752048E-2</c:v>
                </c:pt>
                <c:pt idx="1100">
                  <c:v>2.4370345613693445E-2</c:v>
                </c:pt>
                <c:pt idx="1101">
                  <c:v>2.437267795201592E-2</c:v>
                </c:pt>
                <c:pt idx="1102">
                  <c:v>2.4374998012639537E-2</c:v>
                </c:pt>
                <c:pt idx="1103">
                  <c:v>2.4377305795564297E-2</c:v>
                </c:pt>
                <c:pt idx="1104">
                  <c:v>2.4379601300870135E-2</c:v>
                </c:pt>
                <c:pt idx="1105">
                  <c:v>2.4381884528557052E-2</c:v>
                </c:pt>
                <c:pt idx="1106">
                  <c:v>2.4384155478545111E-2</c:v>
                </c:pt>
                <c:pt idx="1107">
                  <c:v>2.4386414150834312E-2</c:v>
                </c:pt>
                <c:pt idx="1108">
                  <c:v>2.4388660545584528E-2</c:v>
                </c:pt>
                <c:pt idx="1109">
                  <c:v>2.4390894662555951E-2</c:v>
                </c:pt>
                <c:pt idx="1110">
                  <c:v>2.4393116501988388E-2</c:v>
                </c:pt>
                <c:pt idx="1111">
                  <c:v>2.4399261544415296E-2</c:v>
                </c:pt>
                <c:pt idx="1112">
                  <c:v>2.4397523347756689E-2</c:v>
                </c:pt>
                <c:pt idx="1113">
                  <c:v>2.4399708354172489E-2</c:v>
                </c:pt>
                <c:pt idx="1114">
                  <c:v>2.4401881082889432E-2</c:v>
                </c:pt>
                <c:pt idx="1115">
                  <c:v>2.4404041533987453E-2</c:v>
                </c:pt>
                <c:pt idx="1116">
                  <c:v>2.4406189707386616E-2</c:v>
                </c:pt>
                <c:pt idx="1117">
                  <c:v>2.4408325603166858E-2</c:v>
                </c:pt>
                <c:pt idx="1118">
                  <c:v>2.4410449221328179E-2</c:v>
                </c:pt>
                <c:pt idx="1119">
                  <c:v>2.4412560561710706E-2</c:v>
                </c:pt>
                <c:pt idx="1120">
                  <c:v>2.4414659624554247E-2</c:v>
                </c:pt>
                <c:pt idx="1121">
                  <c:v>2.4416746409778867E-2</c:v>
                </c:pt>
                <c:pt idx="1122">
                  <c:v>2.4418820917224693E-2</c:v>
                </c:pt>
                <c:pt idx="1123">
                  <c:v>2.4420883146971661E-2</c:v>
                </c:pt>
                <c:pt idx="1124">
                  <c:v>2.4422933099179645E-2</c:v>
                </c:pt>
                <c:pt idx="1125">
                  <c:v>2.442497077368877E-2</c:v>
                </c:pt>
                <c:pt idx="1126">
                  <c:v>2.4426996170578974E-2</c:v>
                </c:pt>
                <c:pt idx="1127">
                  <c:v>2.4429009289690384E-2</c:v>
                </c:pt>
                <c:pt idx="1128">
                  <c:v>2.4431010131262809E-2</c:v>
                </c:pt>
                <c:pt idx="1129">
                  <c:v>2.4432998695136376E-2</c:v>
                </c:pt>
                <c:pt idx="1130">
                  <c:v>2.4434974981311086E-2</c:v>
                </c:pt>
                <c:pt idx="1131">
                  <c:v>2.4436938989866874E-2</c:v>
                </c:pt>
                <c:pt idx="1132">
                  <c:v>2.4438890720803741E-2</c:v>
                </c:pt>
                <c:pt idx="1133">
                  <c:v>2.444083017404175E-2</c:v>
                </c:pt>
                <c:pt idx="1134">
                  <c:v>2.4442757349500965E-2</c:v>
                </c:pt>
                <c:pt idx="1135">
                  <c:v>2.4444672247421195E-2</c:v>
                </c:pt>
                <c:pt idx="1136">
                  <c:v>2.4446574867722504E-2</c:v>
                </c:pt>
                <c:pt idx="1137">
                  <c:v>2.4448465210245018E-2</c:v>
                </c:pt>
                <c:pt idx="1138">
                  <c:v>2.4450343275148612E-2</c:v>
                </c:pt>
                <c:pt idx="1139">
                  <c:v>2.4452209062433283E-2</c:v>
                </c:pt>
                <c:pt idx="1140">
                  <c:v>2.4454062572099033E-2</c:v>
                </c:pt>
                <c:pt idx="1141">
                  <c:v>2.445590380398599E-2</c:v>
                </c:pt>
                <c:pt idx="1142">
                  <c:v>2.4457732758254025E-2</c:v>
                </c:pt>
                <c:pt idx="1143">
                  <c:v>2.4459549434823202E-2</c:v>
                </c:pt>
                <c:pt idx="1144">
                  <c:v>2.4461353833773458E-2</c:v>
                </c:pt>
                <c:pt idx="1145">
                  <c:v>2.4463145955024856E-2</c:v>
                </c:pt>
                <c:pt idx="1146">
                  <c:v>2.4464925798657333E-2</c:v>
                </c:pt>
                <c:pt idx="1147">
                  <c:v>2.4466693364590952E-2</c:v>
                </c:pt>
                <c:pt idx="1148">
                  <c:v>2.4471567253823157E-2</c:v>
                </c:pt>
                <c:pt idx="1149">
                  <c:v>2.4472350739372928E-2</c:v>
                </c:pt>
                <c:pt idx="1150">
                  <c:v>2.4474078199254734E-2</c:v>
                </c:pt>
                <c:pt idx="1151">
                  <c:v>2.4475793379838962E-2</c:v>
                </c:pt>
                <c:pt idx="1152">
                  <c:v>2.4477496281045674E-2</c:v>
                </c:pt>
                <c:pt idx="1153">
                  <c:v>2.4479186902981453E-2</c:v>
                </c:pt>
                <c:pt idx="1154">
                  <c:v>2.4480865245619654E-2</c:v>
                </c:pt>
                <c:pt idx="1155">
                  <c:v>2.4482531308906985E-2</c:v>
                </c:pt>
                <c:pt idx="1156">
                  <c:v>2.4484185092870092E-2</c:v>
                </c:pt>
                <c:pt idx="1157">
                  <c:v>2.448582659753562E-2</c:v>
                </c:pt>
                <c:pt idx="1158">
                  <c:v>2.4487455822850279E-2</c:v>
                </c:pt>
                <c:pt idx="1159">
                  <c:v>2.4489072768867359E-2</c:v>
                </c:pt>
                <c:pt idx="1160">
                  <c:v>2.4490677435560215E-2</c:v>
                </c:pt>
                <c:pt idx="1161">
                  <c:v>2.4491282386689406E-2</c:v>
                </c:pt>
                <c:pt idx="1162">
                  <c:v>2.449384993094661E-2</c:v>
                </c:pt>
                <c:pt idx="1163">
                  <c:v>2.4495417759666793E-2</c:v>
                </c:pt>
                <c:pt idx="1164">
                  <c:v>2.4496973309062753E-2</c:v>
                </c:pt>
                <c:pt idx="1165">
                  <c:v>2.4498516579134488E-2</c:v>
                </c:pt>
                <c:pt idx="1166">
                  <c:v>2.4500047569882E-2</c:v>
                </c:pt>
                <c:pt idx="1167">
                  <c:v>2.4501566281305287E-2</c:v>
                </c:pt>
                <c:pt idx="1168">
                  <c:v>2.4503072713377705E-2</c:v>
                </c:pt>
                <c:pt idx="1169">
                  <c:v>2.4504566866152544E-2</c:v>
                </c:pt>
                <c:pt idx="1170">
                  <c:v>2.4506048739603159E-2</c:v>
                </c:pt>
                <c:pt idx="1171">
                  <c:v>2.450751833372955E-2</c:v>
                </c:pt>
                <c:pt idx="1172">
                  <c:v>2.4508975648531717E-2</c:v>
                </c:pt>
                <c:pt idx="1173">
                  <c:v>2.4510420683983014E-2</c:v>
                </c:pt>
                <c:pt idx="1174">
                  <c:v>2.4511853440083442E-2</c:v>
                </c:pt>
                <c:pt idx="1175">
                  <c:v>2.4513273916886291E-2</c:v>
                </c:pt>
                <c:pt idx="1176">
                  <c:v>2.4514682114364916E-2</c:v>
                </c:pt>
                <c:pt idx="1177">
                  <c:v>2.4516078032492672E-2</c:v>
                </c:pt>
                <c:pt idx="1178">
                  <c:v>2.4517461671322849E-2</c:v>
                </c:pt>
                <c:pt idx="1179">
                  <c:v>2.4518833030802156E-2</c:v>
                </c:pt>
                <c:pt idx="1180">
                  <c:v>2.452019211095724E-2</c:v>
                </c:pt>
                <c:pt idx="1181">
                  <c:v>2.4521538911761454E-2</c:v>
                </c:pt>
                <c:pt idx="1182">
                  <c:v>2.4522873433268089E-2</c:v>
                </c:pt>
                <c:pt idx="1183">
                  <c:v>2.4524195675423854E-2</c:v>
                </c:pt>
                <c:pt idx="1184">
                  <c:v>2.4525505638228751E-2</c:v>
                </c:pt>
                <c:pt idx="1185">
                  <c:v>2.4526803321736068E-2</c:v>
                </c:pt>
                <c:pt idx="1186">
                  <c:v>2.4528088725865871E-2</c:v>
                </c:pt>
                <c:pt idx="1187">
                  <c:v>2.4529361850698095E-2</c:v>
                </c:pt>
                <c:pt idx="1188">
                  <c:v>2.4530622696179449E-2</c:v>
                </c:pt>
                <c:pt idx="1189">
                  <c:v>2.453187126233658E-2</c:v>
                </c:pt>
                <c:pt idx="1190">
                  <c:v>2.4533107549142841E-2</c:v>
                </c:pt>
                <c:pt idx="1191">
                  <c:v>2.4534331556651523E-2</c:v>
                </c:pt>
                <c:pt idx="1192">
                  <c:v>2.453554328478269E-2</c:v>
                </c:pt>
                <c:pt idx="1193">
                  <c:v>2.4536731495032882E-2</c:v>
                </c:pt>
                <c:pt idx="1194">
                  <c:v>2.4537872985241904E-2</c:v>
                </c:pt>
                <c:pt idx="1195">
                  <c:v>2.453896666777311E-2</c:v>
                </c:pt>
                <c:pt idx="1196">
                  <c:v>2.4540012542653145E-2</c:v>
                </c:pt>
                <c:pt idx="1197">
                  <c:v>2.4541010609855363E-2</c:v>
                </c:pt>
                <c:pt idx="1198">
                  <c:v>2.454196086940641E-2</c:v>
                </c:pt>
                <c:pt idx="1199">
                  <c:v>2.454286332127964E-2</c:v>
                </c:pt>
                <c:pt idx="1200">
                  <c:v>2.4543175210327561E-2</c:v>
                </c:pt>
                <c:pt idx="1201">
                  <c:v>2.4543073603844334E-2</c:v>
                </c:pt>
                <c:pt idx="1202">
                  <c:v>2.4543818871771705E-2</c:v>
                </c:pt>
                <c:pt idx="1203">
                  <c:v>2.4544516338576017E-2</c:v>
                </c:pt>
                <c:pt idx="1204">
                  <c:v>2.4545166004097396E-2</c:v>
                </c:pt>
                <c:pt idx="1205">
                  <c:v>2.4545767868575652E-2</c:v>
                </c:pt>
                <c:pt idx="1206">
                  <c:v>2.4546321931850912E-2</c:v>
                </c:pt>
                <c:pt idx="1207">
                  <c:v>2.4546828194003112E-2</c:v>
                </c:pt>
                <c:pt idx="1208">
                  <c:v>2.4547286655032252E-2</c:v>
                </c:pt>
                <c:pt idx="1209">
                  <c:v>2.4547697314698524E-2</c:v>
                </c:pt>
                <c:pt idx="1210">
                  <c:v>2.4548060173401609E-2</c:v>
                </c:pt>
                <c:pt idx="1211">
                  <c:v>2.4548375230901698E-2</c:v>
                </c:pt>
                <c:pt idx="1212">
                  <c:v>2.4548642487198791E-2</c:v>
                </c:pt>
                <c:pt idx="1213">
                  <c:v>2.4548861942372824E-2</c:v>
                </c:pt>
                <c:pt idx="1214">
                  <c:v>2.4549033596423797E-2</c:v>
                </c:pt>
                <c:pt idx="1215">
                  <c:v>2.4549157449271775E-2</c:v>
                </c:pt>
                <c:pt idx="1216">
                  <c:v>2.4549246450238371E-2</c:v>
                </c:pt>
                <c:pt idx="1217">
                  <c:v>2.4549261751518614E-2</c:v>
                </c:pt>
                <c:pt idx="1218">
                  <c:v>2.454924220083754E-2</c:v>
                </c:pt>
                <c:pt idx="1219">
                  <c:v>2.4549174849113342E-2</c:v>
                </c:pt>
                <c:pt idx="1220">
                  <c:v>2.4549059696106212E-2</c:v>
                </c:pt>
                <c:pt idx="1221">
                  <c:v>2.4548896742055959E-2</c:v>
                </c:pt>
                <c:pt idx="1222">
                  <c:v>2.454868598680271E-2</c:v>
                </c:pt>
                <c:pt idx="1223">
                  <c:v>2.4548427430426401E-2</c:v>
                </c:pt>
                <c:pt idx="1224">
                  <c:v>2.4548121072847096E-2</c:v>
                </c:pt>
                <c:pt idx="1225">
                  <c:v>2.4547766914144731E-2</c:v>
                </c:pt>
                <c:pt idx="1226">
                  <c:v>2.454736495423937E-2</c:v>
                </c:pt>
                <c:pt idx="1227">
                  <c:v>2.454691519321095E-2</c:v>
                </c:pt>
                <c:pt idx="1228">
                  <c:v>2.4546417630979533E-2</c:v>
                </c:pt>
                <c:pt idx="1229">
                  <c:v>2.4545872267625057E-2</c:v>
                </c:pt>
                <c:pt idx="1230">
                  <c:v>2.4545279103147521E-2</c:v>
                </c:pt>
                <c:pt idx="1231">
                  <c:v>2.454463813746699E-2</c:v>
                </c:pt>
                <c:pt idx="1232">
                  <c:v>2.4543949370663398E-2</c:v>
                </c:pt>
                <c:pt idx="1233">
                  <c:v>2.4543212802656811E-2</c:v>
                </c:pt>
                <c:pt idx="1234">
                  <c:v>2.4542428433527164E-2</c:v>
                </c:pt>
                <c:pt idx="1235">
                  <c:v>2.4541596263194521E-2</c:v>
                </c:pt>
                <c:pt idx="1236">
                  <c:v>2.4540716291738818E-2</c:v>
                </c:pt>
                <c:pt idx="1237">
                  <c:v>2.4539788519160055E-2</c:v>
                </c:pt>
                <c:pt idx="1238">
                  <c:v>2.4538812945378297E-2</c:v>
                </c:pt>
                <c:pt idx="1239">
                  <c:v>2.4537789570473478E-2</c:v>
                </c:pt>
                <c:pt idx="1240">
                  <c:v>2.4536718394365664E-2</c:v>
                </c:pt>
                <c:pt idx="1241">
                  <c:v>2.453559941713479E-2</c:v>
                </c:pt>
                <c:pt idx="1242">
                  <c:v>2.4534432638780856E-2</c:v>
                </c:pt>
                <c:pt idx="1243">
                  <c:v>2.4533218059303863E-2</c:v>
                </c:pt>
                <c:pt idx="1244">
                  <c:v>2.4531955678623873E-2</c:v>
                </c:pt>
                <c:pt idx="1245">
                  <c:v>2.4530645496740888E-2</c:v>
                </c:pt>
                <c:pt idx="1246">
                  <c:v>2.4529287513734843E-2</c:v>
                </c:pt>
                <c:pt idx="1247">
                  <c:v>2.4527881729605738E-2</c:v>
                </c:pt>
                <c:pt idx="1248">
                  <c:v>2.4526428144353574E-2</c:v>
                </c:pt>
                <c:pt idx="1249">
                  <c:v>2.4524926757898413E-2</c:v>
                </c:pt>
                <c:pt idx="1250">
                  <c:v>2.4523377570320193E-2</c:v>
                </c:pt>
                <c:pt idx="1251">
                  <c:v>2.4521780581618913E-2</c:v>
                </c:pt>
                <c:pt idx="1252">
                  <c:v>2.4520612022769228E-2</c:v>
                </c:pt>
                <c:pt idx="1253">
                  <c:v>2.4518197499787675E-2</c:v>
                </c:pt>
                <c:pt idx="1254">
                  <c:v>2.4516450278939672E-2</c:v>
                </c:pt>
                <c:pt idx="1255">
                  <c:v>2.4514655256888673E-2</c:v>
                </c:pt>
                <c:pt idx="1256">
                  <c:v>2.4512812433634679E-2</c:v>
                </c:pt>
                <c:pt idx="1257">
                  <c:v>2.451092180933756E-2</c:v>
                </c:pt>
                <c:pt idx="1258">
                  <c:v>2.4508983383837446E-2</c:v>
                </c:pt>
                <c:pt idx="1259">
                  <c:v>2.4506997157134336E-2</c:v>
                </c:pt>
                <c:pt idx="1260">
                  <c:v>2.4504963129388102E-2</c:v>
                </c:pt>
                <c:pt idx="1261">
                  <c:v>2.4502881300518808E-2</c:v>
                </c:pt>
                <c:pt idx="1262">
                  <c:v>2.4500751670446519E-2</c:v>
                </c:pt>
                <c:pt idx="1263">
                  <c:v>2.449857423925117E-2</c:v>
                </c:pt>
                <c:pt idx="1264">
                  <c:v>2.4496349006932761E-2</c:v>
                </c:pt>
                <c:pt idx="1265">
                  <c:v>2.4494075973411356E-2</c:v>
                </c:pt>
                <c:pt idx="1266">
                  <c:v>2.4491755138846827E-2</c:v>
                </c:pt>
                <c:pt idx="1267">
                  <c:v>2.44887009702488E-2</c:v>
                </c:pt>
                <c:pt idx="1268">
                  <c:v>2.4486270875883065E-2</c:v>
                </c:pt>
                <c:pt idx="1269">
                  <c:v>2.4484741001415955E-2</c:v>
                </c:pt>
                <c:pt idx="1270">
                  <c:v>2.4481267283862351E-2</c:v>
                </c:pt>
                <c:pt idx="1271">
                  <c:v>2.4478693786047501E-2</c:v>
                </c:pt>
                <c:pt idx="1272">
                  <c:v>2.4476072487189526E-2</c:v>
                </c:pt>
                <c:pt idx="1273">
                  <c:v>2.4473403387208492E-2</c:v>
                </c:pt>
                <c:pt idx="1274">
                  <c:v>2.4470686486024462E-2</c:v>
                </c:pt>
                <c:pt idx="1275">
                  <c:v>2.4467921783797308E-2</c:v>
                </c:pt>
                <c:pt idx="1276">
                  <c:v>2.4465109280447095E-2</c:v>
                </c:pt>
                <c:pt idx="1277">
                  <c:v>2.4462248975973822E-2</c:v>
                </c:pt>
                <c:pt idx="1278">
                  <c:v>2.4459340870297552E-2</c:v>
                </c:pt>
                <c:pt idx="1279">
                  <c:v>2.4456384963578159E-2</c:v>
                </c:pt>
                <c:pt idx="1280">
                  <c:v>2.4453381255655771E-2</c:v>
                </c:pt>
                <c:pt idx="1281">
                  <c:v>2.4450329746690258E-2</c:v>
                </c:pt>
                <c:pt idx="1282">
                  <c:v>2.444723043652175E-2</c:v>
                </c:pt>
                <c:pt idx="1283">
                  <c:v>2.4444083325310118E-2</c:v>
                </c:pt>
                <c:pt idx="1284">
                  <c:v>2.4440888412975426E-2</c:v>
                </c:pt>
                <c:pt idx="1285">
                  <c:v>2.4437645699517674E-2</c:v>
                </c:pt>
                <c:pt idx="1286">
                  <c:v>2.4434355184936862E-2</c:v>
                </c:pt>
                <c:pt idx="1287">
                  <c:v>2.4431016869232991E-2</c:v>
                </c:pt>
                <c:pt idx="1288">
                  <c:v>2.442763075240606E-2</c:v>
                </c:pt>
                <c:pt idx="1289">
                  <c:v>2.4424196834615941E-2</c:v>
                </c:pt>
                <c:pt idx="1290">
                  <c:v>2.4420715115462954E-2</c:v>
                </c:pt>
                <c:pt idx="1291">
                  <c:v>2.441718559534678E-2</c:v>
                </c:pt>
                <c:pt idx="1292">
                  <c:v>2.4413608274187482E-2</c:v>
                </c:pt>
                <c:pt idx="1293">
                  <c:v>2.4409983151745251E-2</c:v>
                </c:pt>
                <c:pt idx="1294">
                  <c:v>2.4406310228339834E-2</c:v>
                </c:pt>
                <c:pt idx="1295">
                  <c:v>2.4402589503811356E-2</c:v>
                </c:pt>
                <c:pt idx="1296">
                  <c:v>2.4398820978159819E-2</c:v>
                </c:pt>
                <c:pt idx="1297">
                  <c:v>2.4395004651385221E-2</c:v>
                </c:pt>
                <c:pt idx="1298">
                  <c:v>2.4391140523567501E-2</c:v>
                </c:pt>
                <c:pt idx="1299">
                  <c:v>2.4387228594706656E-2</c:v>
                </c:pt>
                <c:pt idx="1300">
                  <c:v>2.4383268864642815E-2</c:v>
                </c:pt>
                <c:pt idx="1301">
                  <c:v>2.4379261333535851E-2</c:v>
                </c:pt>
                <c:pt idx="1302">
                  <c:v>2.4375206001305827E-2</c:v>
                </c:pt>
                <c:pt idx="1303">
                  <c:v>2.4368736758724197E-2</c:v>
                </c:pt>
                <c:pt idx="1304">
                  <c:v>2.4367406023761973E-2</c:v>
                </c:pt>
                <c:pt idx="1305">
                  <c:v>2.4362753198117204E-2</c:v>
                </c:pt>
                <c:pt idx="1306">
                  <c:v>2.4358506661554813E-2</c:v>
                </c:pt>
                <c:pt idx="1307">
                  <c:v>2.4354212323869362E-2</c:v>
                </c:pt>
                <c:pt idx="1308">
                  <c:v>2.4349870185220723E-2</c:v>
                </c:pt>
                <c:pt idx="1309">
                  <c:v>2.4345480245449025E-2</c:v>
                </c:pt>
                <c:pt idx="1310">
                  <c:v>2.4341042504554267E-2</c:v>
                </c:pt>
                <c:pt idx="1311">
                  <c:v>2.4336556962536449E-2</c:v>
                </c:pt>
                <c:pt idx="1312">
                  <c:v>2.4332023619555443E-2</c:v>
                </c:pt>
                <c:pt idx="1313">
                  <c:v>2.4327442475371441E-2</c:v>
                </c:pt>
                <c:pt idx="1314">
                  <c:v>2.4322813530224252E-2</c:v>
                </c:pt>
                <c:pt idx="1315">
                  <c:v>2.4318136784033939E-2</c:v>
                </c:pt>
                <c:pt idx="1316">
                  <c:v>2.4315336587479308E-2</c:v>
                </c:pt>
                <c:pt idx="1317">
                  <c:v>2.4308639888284134E-2</c:v>
                </c:pt>
                <c:pt idx="1318">
                  <c:v>2.4303819738884513E-2</c:v>
                </c:pt>
                <c:pt idx="1319">
                  <c:v>2.4298951788441769E-2</c:v>
                </c:pt>
                <c:pt idx="1320">
                  <c:v>2.429403603679603E-2</c:v>
                </c:pt>
                <c:pt idx="1321">
                  <c:v>2.4289072484267038E-2</c:v>
                </c:pt>
                <c:pt idx="1322">
                  <c:v>2.4284061130535051E-2</c:v>
                </c:pt>
                <c:pt idx="1323">
                  <c:v>2.4279001975839876E-2</c:v>
                </c:pt>
                <c:pt idx="1324">
                  <c:v>2.4273895020101577E-2</c:v>
                </c:pt>
                <c:pt idx="1325">
                  <c:v>2.4268740263160282E-2</c:v>
                </c:pt>
                <c:pt idx="1326">
                  <c:v>2.4263537705335736E-2</c:v>
                </c:pt>
                <c:pt idx="1327">
                  <c:v>2.4258287346468066E-2</c:v>
                </c:pt>
                <c:pt idx="1328">
                  <c:v>2.4252989186477336E-2</c:v>
                </c:pt>
                <c:pt idx="1329">
                  <c:v>2.4247643225443483E-2</c:v>
                </c:pt>
                <c:pt idx="1330">
                  <c:v>2.4242249463526377E-2</c:v>
                </c:pt>
                <c:pt idx="1331">
                  <c:v>2.4236807900406276E-2</c:v>
                </c:pt>
                <c:pt idx="1332">
                  <c:v>2.4231318536322988E-2</c:v>
                </c:pt>
                <c:pt idx="1333">
                  <c:v>2.4225781371116639E-2</c:v>
                </c:pt>
                <c:pt idx="1334">
                  <c:v>2.4220196404947103E-2</c:v>
                </c:pt>
                <c:pt idx="1335">
                  <c:v>2.4214563637814379E-2</c:v>
                </c:pt>
                <c:pt idx="1336">
                  <c:v>2.4208883069558595E-2</c:v>
                </c:pt>
                <c:pt idx="1337">
                  <c:v>2.4203154700339624E-2</c:v>
                </c:pt>
                <c:pt idx="1338">
                  <c:v>2.4197378530077529E-2</c:v>
                </c:pt>
                <c:pt idx="1339">
                  <c:v>2.4191554558852246E-2</c:v>
                </c:pt>
                <c:pt idx="1340">
                  <c:v>2.4185682786423968E-2</c:v>
                </c:pt>
                <c:pt idx="1341">
                  <c:v>2.4179763213192373E-2</c:v>
                </c:pt>
                <c:pt idx="1342">
                  <c:v>2.4173795838837719E-2</c:v>
                </c:pt>
                <c:pt idx="1343">
                  <c:v>2.4167780663519878E-2</c:v>
                </c:pt>
                <c:pt idx="1344">
                  <c:v>2.4161717687238848E-2</c:v>
                </c:pt>
                <c:pt idx="1345">
                  <c:v>2.4155606909834759E-2</c:v>
                </c:pt>
                <c:pt idx="1346">
                  <c:v>2.4149448331547418E-2</c:v>
                </c:pt>
                <c:pt idx="1347">
                  <c:v>2.4143241952137018E-2</c:v>
                </c:pt>
                <c:pt idx="1348">
                  <c:v>2.4136987771843366E-2</c:v>
                </c:pt>
                <c:pt idx="1349">
                  <c:v>2.4130685790426654E-2</c:v>
                </c:pt>
                <c:pt idx="1350">
                  <c:v>2.4124336008206626E-2</c:v>
                </c:pt>
                <c:pt idx="1351">
                  <c:v>2.4117938424863539E-2</c:v>
                </c:pt>
                <c:pt idx="1352">
                  <c:v>2.4111493040557264E-2</c:v>
                </c:pt>
                <c:pt idx="1353">
                  <c:v>2.4104999855287801E-2</c:v>
                </c:pt>
                <c:pt idx="1354">
                  <c:v>2.4098458868975214E-2</c:v>
                </c:pt>
                <c:pt idx="1355">
                  <c:v>2.409187008169944E-2</c:v>
                </c:pt>
                <c:pt idx="1356">
                  <c:v>2.4085233493540414E-2</c:v>
                </c:pt>
                <c:pt idx="1357">
                  <c:v>2.4078549104338265E-2</c:v>
                </c:pt>
                <c:pt idx="1358">
                  <c:v>2.4071816914172928E-2</c:v>
                </c:pt>
                <c:pt idx="1359">
                  <c:v>2.4065036923044403E-2</c:v>
                </c:pt>
                <c:pt idx="1360">
                  <c:v>2.4058209130872754E-2</c:v>
                </c:pt>
                <c:pt idx="1361">
                  <c:v>2.4051333537817854E-2</c:v>
                </c:pt>
                <c:pt idx="1362">
                  <c:v>2.4044410143799766E-2</c:v>
                </c:pt>
                <c:pt idx="1363">
                  <c:v>2.403743894881849E-2</c:v>
                </c:pt>
                <c:pt idx="1364">
                  <c:v>2.4030419952874027E-2</c:v>
                </c:pt>
                <c:pt idx="1365">
                  <c:v>2.4023353156046312E-2</c:v>
                </c:pt>
                <c:pt idx="1366">
                  <c:v>2.4016238558175473E-2</c:v>
                </c:pt>
                <c:pt idx="1367">
                  <c:v>2.4009076159341447E-2</c:v>
                </c:pt>
                <c:pt idx="1368">
                  <c:v>2.4001865959704105E-2</c:v>
                </c:pt>
                <c:pt idx="1369">
                  <c:v>2.3994607959023639E-2</c:v>
                </c:pt>
                <c:pt idx="1370">
                  <c:v>2.3987302157379986E-2</c:v>
                </c:pt>
                <c:pt idx="1371">
                  <c:v>2.3981032075774067E-2</c:v>
                </c:pt>
                <c:pt idx="1372">
                  <c:v>2.3972547151362988E-2</c:v>
                </c:pt>
                <c:pt idx="1373">
                  <c:v>2.3965097946909708E-2</c:v>
                </c:pt>
                <c:pt idx="1374">
                  <c:v>2.3957600941573176E-2</c:v>
                </c:pt>
                <c:pt idx="1375">
                  <c:v>2.3950056135353393E-2</c:v>
                </c:pt>
                <c:pt idx="1376">
                  <c:v>2.3942463528170421E-2</c:v>
                </c:pt>
                <c:pt idx="1377">
                  <c:v>2.3934823120104198E-2</c:v>
                </c:pt>
                <c:pt idx="1378">
                  <c:v>2.3927134911074788E-2</c:v>
                </c:pt>
                <c:pt idx="1379">
                  <c:v>2.3919398901242062E-2</c:v>
                </c:pt>
                <c:pt idx="1380">
                  <c:v>2.3911615090286276E-2</c:v>
                </c:pt>
                <c:pt idx="1381">
                  <c:v>2.3903783478527174E-2</c:v>
                </c:pt>
                <c:pt idx="1382">
                  <c:v>2.3895904066044693E-2</c:v>
                </c:pt>
                <c:pt idx="1383">
                  <c:v>2.3887976852439152E-2</c:v>
                </c:pt>
                <c:pt idx="1384">
                  <c:v>2.3880001838110232E-2</c:v>
                </c:pt>
                <c:pt idx="1385">
                  <c:v>2.3871979022658252E-2</c:v>
                </c:pt>
                <c:pt idx="1386">
                  <c:v>2.3863908406562828E-2</c:v>
                </c:pt>
                <c:pt idx="1387">
                  <c:v>2.3855789989504217E-2</c:v>
                </c:pt>
                <c:pt idx="1388">
                  <c:v>2.3847623771482418E-2</c:v>
                </c:pt>
                <c:pt idx="1389">
                  <c:v>2.3839409752657303E-2</c:v>
                </c:pt>
                <c:pt idx="1390">
                  <c:v>2.3831147932869001E-2</c:v>
                </c:pt>
                <c:pt idx="1391">
                  <c:v>2.382283831235732E-2</c:v>
                </c:pt>
                <c:pt idx="1392">
                  <c:v>2.3814480890802514E-2</c:v>
                </c:pt>
                <c:pt idx="1393">
                  <c:v>2.3806075668524329E-2</c:v>
                </c:pt>
                <c:pt idx="1394">
                  <c:v>2.3797622645362893E-2</c:v>
                </c:pt>
                <c:pt idx="1395">
                  <c:v>2.3789121821238268E-2</c:v>
                </c:pt>
                <c:pt idx="1396">
                  <c:v>2.3780573196310328E-2</c:v>
                </c:pt>
                <c:pt idx="1397">
                  <c:v>2.3771976770659009E-2</c:v>
                </c:pt>
                <c:pt idx="1398">
                  <c:v>2.3763332543964566E-2</c:v>
                </c:pt>
                <c:pt idx="1399">
                  <c:v>2.3754640516546743E-2</c:v>
                </c:pt>
                <c:pt idx="1400">
                  <c:v>2.3745900688245669E-2</c:v>
                </c:pt>
                <c:pt idx="1401">
                  <c:v>2.3737113059061343E-2</c:v>
                </c:pt>
                <c:pt idx="1402">
                  <c:v>2.3728277629153638E-2</c:v>
                </c:pt>
                <c:pt idx="1403">
                  <c:v>2.3719394398282745E-2</c:v>
                </c:pt>
                <c:pt idx="1404">
                  <c:v>2.3710463366688472E-2</c:v>
                </c:pt>
                <c:pt idx="1405">
                  <c:v>2.3701484534210948E-2</c:v>
                </c:pt>
                <c:pt idx="1406">
                  <c:v>2.3692457900930108E-2</c:v>
                </c:pt>
                <c:pt idx="1407">
                  <c:v>2.3683383466845953E-2</c:v>
                </c:pt>
                <c:pt idx="1408">
                  <c:v>2.3674261231878546E-2</c:v>
                </c:pt>
                <c:pt idx="1409">
                  <c:v>2.366509119618776E-2</c:v>
                </c:pt>
                <c:pt idx="1410">
                  <c:v>2.3655873359693658E-2</c:v>
                </c:pt>
                <c:pt idx="1411">
                  <c:v>2.3646607722316304E-2</c:v>
                </c:pt>
                <c:pt idx="1412">
                  <c:v>2.3637294284215571E-2</c:v>
                </c:pt>
                <c:pt idx="1413">
                  <c:v>2.3627933045311522E-2</c:v>
                </c:pt>
                <c:pt idx="1414">
                  <c:v>2.3618524005604158E-2</c:v>
                </c:pt>
                <c:pt idx="1415">
                  <c:v>2.3609067165173414E-2</c:v>
                </c:pt>
                <c:pt idx="1416">
                  <c:v>2.3599562523779483E-2</c:v>
                </c:pt>
                <c:pt idx="1417">
                  <c:v>2.3590010081742108E-2</c:v>
                </c:pt>
                <c:pt idx="1418">
                  <c:v>2.3580409838901417E-2</c:v>
                </c:pt>
                <c:pt idx="1419">
                  <c:v>2.3570761795257411E-2</c:v>
                </c:pt>
                <c:pt idx="1420">
                  <c:v>2.3561065950890026E-2</c:v>
                </c:pt>
                <c:pt idx="1421">
                  <c:v>2.3551322305719324E-2</c:v>
                </c:pt>
                <c:pt idx="1422">
                  <c:v>2.3541801924915617E-2</c:v>
                </c:pt>
                <c:pt idx="1423">
                  <c:v>2.3531691613207784E-2</c:v>
                </c:pt>
                <c:pt idx="1424">
                  <c:v>2.3521804565787008E-2</c:v>
                </c:pt>
                <c:pt idx="1425">
                  <c:v>2.3511869717562917E-2</c:v>
                </c:pt>
                <c:pt idx="1426">
                  <c:v>2.3501887068695382E-2</c:v>
                </c:pt>
                <c:pt idx="1427">
                  <c:v>2.3491856619024531E-2</c:v>
                </c:pt>
                <c:pt idx="1428">
                  <c:v>2.3481778368630302E-2</c:v>
                </c:pt>
                <c:pt idx="1429">
                  <c:v>2.3471652317432756E-2</c:v>
                </c:pt>
                <c:pt idx="1430">
                  <c:v>2.3461478465671703E-2</c:v>
                </c:pt>
                <c:pt idx="1431">
                  <c:v>2.3451256813027399E-2</c:v>
                </c:pt>
                <c:pt idx="1432">
                  <c:v>2.3440987359739651E-2</c:v>
                </c:pt>
                <c:pt idx="1433">
                  <c:v>2.3430670105728524E-2</c:v>
                </c:pt>
                <c:pt idx="1434">
                  <c:v>2.3420305050914081E-2</c:v>
                </c:pt>
                <c:pt idx="1435">
                  <c:v>2.3409892195536131E-2</c:v>
                </c:pt>
                <c:pt idx="1436">
                  <c:v>2.3399431539354865E-2</c:v>
                </c:pt>
                <c:pt idx="1437">
                  <c:v>2.3388923082530155E-2</c:v>
                </c:pt>
                <c:pt idx="1438">
                  <c:v>2.3378366825062002E-2</c:v>
                </c:pt>
                <c:pt idx="1439">
                  <c:v>2.3367762766710598E-2</c:v>
                </c:pt>
                <c:pt idx="1440">
                  <c:v>2.3357110907795686E-2</c:v>
                </c:pt>
                <c:pt idx="1441">
                  <c:v>2.3346411248237331E-2</c:v>
                </c:pt>
                <c:pt idx="1442">
                  <c:v>2.3335663787955596E-2</c:v>
                </c:pt>
                <c:pt idx="1443">
                  <c:v>2.3324868526950482E-2</c:v>
                </c:pt>
                <c:pt idx="1444">
                  <c:v>2.3314025465301924E-2</c:v>
                </c:pt>
                <c:pt idx="1445">
                  <c:v>2.3303134603009923E-2</c:v>
                </c:pt>
                <c:pt idx="1446">
                  <c:v>2.3292195939994542E-2</c:v>
                </c:pt>
                <c:pt idx="1447">
                  <c:v>2.3281209476415654E-2</c:v>
                </c:pt>
                <c:pt idx="1448">
                  <c:v>2.3270175212113386E-2</c:v>
                </c:pt>
                <c:pt idx="1449">
                  <c:v>2.3259093147247611E-2</c:v>
                </c:pt>
                <c:pt idx="1450">
                  <c:v>2.3247963281658457E-2</c:v>
                </c:pt>
                <c:pt idx="1451">
                  <c:v>2.3236785615505795E-2</c:v>
                </c:pt>
                <c:pt idx="1452">
                  <c:v>2.3225560148629754E-2</c:v>
                </c:pt>
                <c:pt idx="1453">
                  <c:v>2.3214313740664849E-2</c:v>
                </c:pt>
                <c:pt idx="1454">
                  <c:v>2.3203081499207912E-2</c:v>
                </c:pt>
                <c:pt idx="1455">
                  <c:v>2.3191863635769749E-2</c:v>
                </c:pt>
                <c:pt idx="1456">
                  <c:v>2.3180660150350363E-2</c:v>
                </c:pt>
                <c:pt idx="1457">
                  <c:v>2.3169471043029688E-2</c:v>
                </c:pt>
                <c:pt idx="1458">
                  <c:v>2.3158296313567917E-2</c:v>
                </c:pt>
                <c:pt idx="1459">
                  <c:v>2.3147135962284793E-2</c:v>
                </c:pt>
                <c:pt idx="1460">
                  <c:v>2.3134242589315512E-2</c:v>
                </c:pt>
                <c:pt idx="1461">
                  <c:v>2.3123165741969487E-2</c:v>
                </c:pt>
                <c:pt idx="1462">
                  <c:v>2.3112051205451678E-2</c:v>
                </c:pt>
                <c:pt idx="1463">
                  <c:v>2.3100951049510599E-2</c:v>
                </c:pt>
                <c:pt idx="1464">
                  <c:v>2.3089865274092958E-2</c:v>
                </c:pt>
                <c:pt idx="1465">
                  <c:v>2.3078793879225401E-2</c:v>
                </c:pt>
                <c:pt idx="1466">
                  <c:v>2.3067736864881283E-2</c:v>
                </c:pt>
                <c:pt idx="1467">
                  <c:v>2.3056694231060604E-2</c:v>
                </c:pt>
                <c:pt idx="1468">
                  <c:v>2.3045665977790009E-2</c:v>
                </c:pt>
                <c:pt idx="1469">
                  <c:v>2.3034652105042852E-2</c:v>
                </c:pt>
                <c:pt idx="1470">
                  <c:v>2.3023652612792489E-2</c:v>
                </c:pt>
                <c:pt idx="1471">
                  <c:v>2.3012667501065565E-2</c:v>
                </c:pt>
                <c:pt idx="1472">
                  <c:v>2.2995530427598609E-2</c:v>
                </c:pt>
                <c:pt idx="1473">
                  <c:v>2.2990740419102096E-2</c:v>
                </c:pt>
                <c:pt idx="1474">
                  <c:v>2.2979798448918842E-2</c:v>
                </c:pt>
                <c:pt idx="1475">
                  <c:v>2.2968870859205737E-2</c:v>
                </c:pt>
                <c:pt idx="1476">
                  <c:v>2.2957957649989424E-2</c:v>
                </c:pt>
                <c:pt idx="1477">
                  <c:v>2.2947058821269906E-2</c:v>
                </c:pt>
                <c:pt idx="1478">
                  <c:v>2.2936174373020535E-2</c:v>
                </c:pt>
                <c:pt idx="1479">
                  <c:v>2.2925304305267957E-2</c:v>
                </c:pt>
                <c:pt idx="1480">
                  <c:v>2.2914448617985528E-2</c:v>
                </c:pt>
                <c:pt idx="1481">
                  <c:v>2.2903607311199892E-2</c:v>
                </c:pt>
                <c:pt idx="1482">
                  <c:v>2.2892780384857758E-2</c:v>
                </c:pt>
                <c:pt idx="1483">
                  <c:v>2.2881967839012418E-2</c:v>
                </c:pt>
                <c:pt idx="1484">
                  <c:v>2.2871169673610581E-2</c:v>
                </c:pt>
                <c:pt idx="1485">
                  <c:v>2.2860385888678891E-2</c:v>
                </c:pt>
                <c:pt idx="1486">
                  <c:v>2.2849616484190705E-2</c:v>
                </c:pt>
                <c:pt idx="1487">
                  <c:v>2.2838861460172666E-2</c:v>
                </c:pt>
                <c:pt idx="1488">
                  <c:v>2.2828120816571484E-2</c:v>
                </c:pt>
                <c:pt idx="1489">
                  <c:v>2.2817394553440451E-2</c:v>
                </c:pt>
                <c:pt idx="1490">
                  <c:v>2.2806682670726275E-2</c:v>
                </c:pt>
                <c:pt idx="1491">
                  <c:v>2.2795985168482247E-2</c:v>
                </c:pt>
                <c:pt idx="1492">
                  <c:v>2.2785302046655076E-2</c:v>
                </c:pt>
                <c:pt idx="1493">
                  <c:v>2.2774633305244762E-2</c:v>
                </c:pt>
                <c:pt idx="1494">
                  <c:v>2.2763978944277952E-2</c:v>
                </c:pt>
                <c:pt idx="1495">
                  <c:v>2.2753338963727998E-2</c:v>
                </c:pt>
                <c:pt idx="1496">
                  <c:v>2.2742713363594902E-2</c:v>
                </c:pt>
                <c:pt idx="1497">
                  <c:v>2.2732102143878663E-2</c:v>
                </c:pt>
                <c:pt idx="1498">
                  <c:v>2.2721505304525991E-2</c:v>
                </c:pt>
                <c:pt idx="1499">
                  <c:v>2.2710922845643466E-2</c:v>
                </c:pt>
                <c:pt idx="1500">
                  <c:v>2.2700354767124509E-2</c:v>
                </c:pt>
                <c:pt idx="1501">
                  <c:v>2.2689801069022408E-2</c:v>
                </c:pt>
                <c:pt idx="1502">
                  <c:v>2.267926175131052E-2</c:v>
                </c:pt>
                <c:pt idx="1503">
                  <c:v>2.2668736813988843E-2</c:v>
                </c:pt>
                <c:pt idx="1504">
                  <c:v>2.2658226257057379E-2</c:v>
                </c:pt>
                <c:pt idx="1505">
                  <c:v>2.2647730080516126E-2</c:v>
                </c:pt>
                <c:pt idx="1506">
                  <c:v>2.2637248284365086E-2</c:v>
                </c:pt>
                <c:pt idx="1507">
                  <c:v>2.2626780868550966E-2</c:v>
                </c:pt>
                <c:pt idx="1508">
                  <c:v>2.2616327833100414E-2</c:v>
                </c:pt>
                <c:pt idx="1509">
                  <c:v>2.2605889178066718E-2</c:v>
                </c:pt>
                <c:pt idx="1510">
                  <c:v>2.2595464903369944E-2</c:v>
                </c:pt>
                <c:pt idx="1511">
                  <c:v>2.2585055009036736E-2</c:v>
                </c:pt>
                <c:pt idx="1512">
                  <c:v>2.2570242728141565E-2</c:v>
                </c:pt>
                <c:pt idx="1513">
                  <c:v>2.2559901089556078E-2</c:v>
                </c:pt>
                <c:pt idx="1514">
                  <c:v>2.2549539743375036E-2</c:v>
                </c:pt>
                <c:pt idx="1515">
                  <c:v>2.2539192775052896E-2</c:v>
                </c:pt>
                <c:pt idx="1516">
                  <c:v>2.2528860184749533E-2</c:v>
                </c:pt>
                <c:pt idx="1517">
                  <c:v>2.2518541972305073E-2</c:v>
                </c:pt>
                <c:pt idx="1518">
                  <c:v>2.2508238137879388E-2</c:v>
                </c:pt>
                <c:pt idx="1519">
                  <c:v>2.2497948681232671E-2</c:v>
                </c:pt>
                <c:pt idx="1520">
                  <c:v>2.2487673602764602E-2</c:v>
                </c:pt>
                <c:pt idx="1521">
                  <c:v>2.2477412902155436E-2</c:v>
                </c:pt>
                <c:pt idx="1522">
                  <c:v>2.2467166579405173E-2</c:v>
                </c:pt>
                <c:pt idx="1523">
                  <c:v>2.2456934634673686E-2</c:v>
                </c:pt>
                <c:pt idx="1524">
                  <c:v>2.2446717067801103E-2</c:v>
                </c:pt>
                <c:pt idx="1525">
                  <c:v>2.2436513878947295E-2</c:v>
                </c:pt>
                <c:pt idx="1526">
                  <c:v>2.2426325068032327E-2</c:v>
                </c:pt>
                <c:pt idx="1527">
                  <c:v>2.2413246294927802E-2</c:v>
                </c:pt>
                <c:pt idx="1528">
                  <c:v>2.2405990579938972E-2</c:v>
                </c:pt>
                <c:pt idx="1529">
                  <c:v>2.2395844902760587E-2</c:v>
                </c:pt>
                <c:pt idx="1530">
                  <c:v>2.2384267448725126E-2</c:v>
                </c:pt>
                <c:pt idx="1531">
                  <c:v>2.2374152581541296E-2</c:v>
                </c:pt>
                <c:pt idx="1532">
                  <c:v>2.2364052092056497E-2</c:v>
                </c:pt>
                <c:pt idx="1533">
                  <c:v>2.2353965980670409E-2</c:v>
                </c:pt>
                <c:pt idx="1534">
                  <c:v>2.2343894247143226E-2</c:v>
                </c:pt>
                <c:pt idx="1535">
                  <c:v>2.2333836891474945E-2</c:v>
                </c:pt>
                <c:pt idx="1536">
                  <c:v>2.232379391382544E-2</c:v>
                </c:pt>
                <c:pt idx="1537">
                  <c:v>2.2313765314034839E-2</c:v>
                </c:pt>
                <c:pt idx="1538">
                  <c:v>2.2303751092183077E-2</c:v>
                </c:pt>
                <c:pt idx="1539">
                  <c:v>2.2293751248190219E-2</c:v>
                </c:pt>
                <c:pt idx="1540">
                  <c:v>2.2283765782216136E-2</c:v>
                </c:pt>
                <c:pt idx="1541">
                  <c:v>2.2273794694100957E-2</c:v>
                </c:pt>
                <c:pt idx="1542">
                  <c:v>2.2263837983924617E-2</c:v>
                </c:pt>
                <c:pt idx="1543">
                  <c:v>2.2253895651687117E-2</c:v>
                </c:pt>
                <c:pt idx="1544">
                  <c:v>2.224396769730852E-2</c:v>
                </c:pt>
                <c:pt idx="1545">
                  <c:v>2.2234054120948699E-2</c:v>
                </c:pt>
                <c:pt idx="1546">
                  <c:v>2.2224154922287909E-2</c:v>
                </c:pt>
                <c:pt idx="1547">
                  <c:v>2.221427010172583E-2</c:v>
                </c:pt>
                <c:pt idx="1548">
                  <c:v>2.2204399659022656E-2</c:v>
                </c:pt>
                <c:pt idx="1549">
                  <c:v>2.2194543594178384E-2</c:v>
                </c:pt>
                <c:pt idx="1550">
                  <c:v>2.2184701907352888E-2</c:v>
                </c:pt>
                <c:pt idx="1551">
                  <c:v>2.2174874598226424E-2</c:v>
                </c:pt>
                <c:pt idx="1552">
                  <c:v>2.2165061667198671E-2</c:v>
                </c:pt>
                <c:pt idx="1553">
                  <c:v>2.2155263113949886E-2</c:v>
                </c:pt>
                <c:pt idx="1554">
                  <c:v>2.2145478938719876E-2</c:v>
                </c:pt>
                <c:pt idx="1555">
                  <c:v>2.2135709141348769E-2</c:v>
                </c:pt>
                <c:pt idx="1556">
                  <c:v>2.2125953721836567E-2</c:v>
                </c:pt>
                <c:pt idx="1557">
                  <c:v>2.2116212680183267E-2</c:v>
                </c:pt>
                <c:pt idx="1558">
                  <c:v>2.2106486016468807E-2</c:v>
                </c:pt>
                <c:pt idx="1559">
                  <c:v>2.2096773730693187E-2</c:v>
                </c:pt>
                <c:pt idx="1560">
                  <c:v>2.2087075822696534E-2</c:v>
                </c:pt>
                <c:pt idx="1561">
                  <c:v>2.2077392292718656E-2</c:v>
                </c:pt>
                <c:pt idx="1562">
                  <c:v>2.2067723140519746E-2</c:v>
                </c:pt>
                <c:pt idx="1563">
                  <c:v>2.2058068366339612E-2</c:v>
                </c:pt>
                <c:pt idx="1564">
                  <c:v>2.2047039136610103E-2</c:v>
                </c:pt>
                <c:pt idx="1565">
                  <c:v>2.2037427979739732E-2</c:v>
                </c:pt>
                <c:pt idx="1566">
                  <c:v>2.2027818393093312E-2</c:v>
                </c:pt>
                <c:pt idx="1567">
                  <c:v>2.2018223184385732E-2</c:v>
                </c:pt>
                <c:pt idx="1568">
                  <c:v>2.2008642353537056E-2</c:v>
                </c:pt>
                <c:pt idx="1569">
                  <c:v>2.1999075900627219E-2</c:v>
                </c:pt>
                <c:pt idx="1570">
                  <c:v>2.1989523825576285E-2</c:v>
                </c:pt>
                <c:pt idx="1571">
                  <c:v>2.1979986128384255E-2</c:v>
                </c:pt>
                <c:pt idx="1572">
                  <c:v>2.1970462809051128E-2</c:v>
                </c:pt>
                <c:pt idx="1573">
                  <c:v>2.1960953867656841E-2</c:v>
                </c:pt>
                <c:pt idx="1574">
                  <c:v>2.1951459304121457E-2</c:v>
                </c:pt>
                <c:pt idx="1575">
                  <c:v>2.194197911836504E-2</c:v>
                </c:pt>
                <c:pt idx="1576">
                  <c:v>2.1932513310547463E-2</c:v>
                </c:pt>
                <c:pt idx="1577">
                  <c:v>2.1923061880668726E-2</c:v>
                </c:pt>
                <c:pt idx="1578">
                  <c:v>2.1912277852038642E-2</c:v>
                </c:pt>
                <c:pt idx="1579">
                  <c:v>2.190285723175478E-2</c:v>
                </c:pt>
                <c:pt idx="1580">
                  <c:v>2.1893450989489693E-2</c:v>
                </c:pt>
                <c:pt idx="1581">
                  <c:v>2.1884043817688159E-2</c:v>
                </c:pt>
                <c:pt idx="1582">
                  <c:v>2.1874681638456295E-2</c:v>
                </c:pt>
                <c:pt idx="1583">
                  <c:v>2.1865318529767919E-2</c:v>
                </c:pt>
                <c:pt idx="1584">
                  <c:v>2.185596979885851E-2</c:v>
                </c:pt>
                <c:pt idx="1585">
                  <c:v>2.1846635445808005E-2</c:v>
                </c:pt>
                <c:pt idx="1586">
                  <c:v>2.1837315470696339E-2</c:v>
                </c:pt>
                <c:pt idx="1587">
                  <c:v>2.1828009873443577E-2</c:v>
                </c:pt>
                <c:pt idx="1588">
                  <c:v>2.1818718654049718E-2</c:v>
                </c:pt>
                <c:pt idx="1589">
                  <c:v>2.1809441812514763E-2</c:v>
                </c:pt>
                <c:pt idx="1590">
                  <c:v>2.1800179348838711E-2</c:v>
                </c:pt>
                <c:pt idx="1591">
                  <c:v>2.1790931262941626E-2</c:v>
                </c:pt>
                <c:pt idx="1592">
                  <c:v>2.1781697554983381E-2</c:v>
                </c:pt>
                <c:pt idx="1593">
                  <c:v>2.177247822488404E-2</c:v>
                </c:pt>
                <c:pt idx="1594">
                  <c:v>2.1763273272563666E-2</c:v>
                </c:pt>
                <c:pt idx="1595">
                  <c:v>2.1754082698182131E-2</c:v>
                </c:pt>
                <c:pt idx="1596">
                  <c:v>2.17449065016595E-2</c:v>
                </c:pt>
                <c:pt idx="1597">
                  <c:v>2.1735744682915836E-2</c:v>
                </c:pt>
                <c:pt idx="1598">
                  <c:v>2.1726597242111012E-2</c:v>
                </c:pt>
                <c:pt idx="1599">
                  <c:v>2.1717464179085155E-2</c:v>
                </c:pt>
                <c:pt idx="1600">
                  <c:v>2.1708345493918202E-2</c:v>
                </c:pt>
                <c:pt idx="1601">
                  <c:v>2.1699241186610152E-2</c:v>
                </c:pt>
                <c:pt idx="1602">
                  <c:v>2.169015125708107E-2</c:v>
                </c:pt>
                <c:pt idx="1603">
                  <c:v>2.1681075705490827E-2</c:v>
                </c:pt>
                <c:pt idx="1604">
                  <c:v>2.1672014531679551E-2</c:v>
                </c:pt>
                <c:pt idx="1605">
                  <c:v>2.1662967735727179E-2</c:v>
                </c:pt>
                <c:pt idx="1606">
                  <c:v>2.1653935317713646E-2</c:v>
                </c:pt>
                <c:pt idx="1607">
                  <c:v>2.1644917277479081E-2</c:v>
                </c:pt>
                <c:pt idx="1608">
                  <c:v>2.1635913615023483E-2</c:v>
                </c:pt>
                <c:pt idx="1609">
                  <c:v>2.1626924330426789E-2</c:v>
                </c:pt>
                <c:pt idx="1610">
                  <c:v>2.1617949423768934E-2</c:v>
                </c:pt>
                <c:pt idx="1611">
                  <c:v>2.1608988894890047E-2</c:v>
                </c:pt>
                <c:pt idx="1612">
                  <c:v>2.1600042743710191E-2</c:v>
                </c:pt>
                <c:pt idx="1613">
                  <c:v>2.159111097054911E-2</c:v>
                </c:pt>
                <c:pt idx="1614">
                  <c:v>2.1582193575087061E-2</c:v>
                </c:pt>
                <c:pt idx="1615">
                  <c:v>2.1573323752130946E-2</c:v>
                </c:pt>
                <c:pt idx="1616">
                  <c:v>2.156443659631968E-2</c:v>
                </c:pt>
                <c:pt idx="1617">
                  <c:v>2.1555527655854334E-2</c:v>
                </c:pt>
                <c:pt idx="1618">
                  <c:v>2.1546667771827899E-2</c:v>
                </c:pt>
                <c:pt idx="1619">
                  <c:v>2.1537822265500495E-2</c:v>
                </c:pt>
                <c:pt idx="1620">
                  <c:v>2.152899113711193E-2</c:v>
                </c:pt>
                <c:pt idx="1621">
                  <c:v>2.1520174386502333E-2</c:v>
                </c:pt>
                <c:pt idx="1622">
                  <c:v>2.1511372013671703E-2</c:v>
                </c:pt>
                <c:pt idx="1623">
                  <c:v>2.1502584018779913E-2</c:v>
                </c:pt>
                <c:pt idx="1624">
                  <c:v>2.1493810401667091E-2</c:v>
                </c:pt>
                <c:pt idx="1625">
                  <c:v>2.1485051162333235E-2</c:v>
                </c:pt>
                <c:pt idx="1626">
                  <c:v>2.1476306300858283E-2</c:v>
                </c:pt>
                <c:pt idx="1627">
                  <c:v>2.1467575817162299E-2</c:v>
                </c:pt>
                <c:pt idx="1628">
                  <c:v>2.1458859711325218E-2</c:v>
                </c:pt>
                <c:pt idx="1629">
                  <c:v>2.1450157983267104E-2</c:v>
                </c:pt>
                <c:pt idx="1630">
                  <c:v>2.1441470633067894E-2</c:v>
                </c:pt>
                <c:pt idx="1631">
                  <c:v>2.1432797660647651E-2</c:v>
                </c:pt>
                <c:pt idx="1632">
                  <c:v>2.1424217644877785E-2</c:v>
                </c:pt>
                <c:pt idx="1633">
                  <c:v>2.141549484930394E-2</c:v>
                </c:pt>
                <c:pt idx="1634">
                  <c:v>2.1406865010300535E-2</c:v>
                </c:pt>
                <c:pt idx="1635">
                  <c:v>2.1398249549156034E-2</c:v>
                </c:pt>
                <c:pt idx="1636">
                  <c:v>2.1389648465790501E-2</c:v>
                </c:pt>
                <c:pt idx="1637">
                  <c:v>2.138106176028387E-2</c:v>
                </c:pt>
                <c:pt idx="1638">
                  <c:v>2.1372489432556208E-2</c:v>
                </c:pt>
                <c:pt idx="1639">
                  <c:v>2.1363931482607512E-2</c:v>
                </c:pt>
                <c:pt idx="1640">
                  <c:v>2.135538791051772E-2</c:v>
                </c:pt>
                <c:pt idx="1641">
                  <c:v>2.1346858716206896E-2</c:v>
                </c:pt>
                <c:pt idx="1642">
                  <c:v>2.1338343899675039E-2</c:v>
                </c:pt>
                <c:pt idx="1643">
                  <c:v>2.1329843461002085E-2</c:v>
                </c:pt>
                <c:pt idx="1644">
                  <c:v>2.1321357400108099E-2</c:v>
                </c:pt>
                <c:pt idx="1645">
                  <c:v>2.131288571699308E-2</c:v>
                </c:pt>
                <c:pt idx="1646">
                  <c:v>2.1304428411657028E-2</c:v>
                </c:pt>
                <c:pt idx="1647">
                  <c:v>2.129598548417988E-2</c:v>
                </c:pt>
                <c:pt idx="1648">
                  <c:v>2.1287556934481699E-2</c:v>
                </c:pt>
                <c:pt idx="1649">
                  <c:v>2.1279142762562486E-2</c:v>
                </c:pt>
                <c:pt idx="1650">
                  <c:v>2.127074296842224E-2</c:v>
                </c:pt>
                <c:pt idx="1651">
                  <c:v>2.1262357552060962E-2</c:v>
                </c:pt>
                <c:pt idx="1652">
                  <c:v>2.1253986513558587E-2</c:v>
                </c:pt>
                <c:pt idx="1653">
                  <c:v>2.1245629852835179E-2</c:v>
                </c:pt>
                <c:pt idx="1654">
                  <c:v>2.1237287569890739E-2</c:v>
                </c:pt>
                <c:pt idx="1655">
                  <c:v>2.1228959664725267E-2</c:v>
                </c:pt>
                <c:pt idx="1656">
                  <c:v>2.1220646137418697E-2</c:v>
                </c:pt>
                <c:pt idx="1657">
                  <c:v>2.1212346987731223E-2</c:v>
                </c:pt>
                <c:pt idx="1658">
                  <c:v>2.1204062215982589E-2</c:v>
                </c:pt>
                <c:pt idx="1659">
                  <c:v>2.1195791821932985E-2</c:v>
                </c:pt>
                <c:pt idx="1660">
                  <c:v>2.1187535805742286E-2</c:v>
                </c:pt>
                <c:pt idx="1661">
                  <c:v>2.1179294167330553E-2</c:v>
                </c:pt>
                <c:pt idx="1662">
                  <c:v>2.1171066906617853E-2</c:v>
                </c:pt>
                <c:pt idx="1663">
                  <c:v>2.1162854023843991E-2</c:v>
                </c:pt>
                <c:pt idx="1664">
                  <c:v>2.1154655518769161E-2</c:v>
                </c:pt>
                <c:pt idx="1665">
                  <c:v>2.1146471391473298E-2</c:v>
                </c:pt>
                <c:pt idx="1666">
                  <c:v>2.1138301641876467E-2</c:v>
                </c:pt>
                <c:pt idx="1667">
                  <c:v>2.1130146270218475E-2</c:v>
                </c:pt>
                <c:pt idx="1668">
                  <c:v>2.1122005276179578E-2</c:v>
                </c:pt>
                <c:pt idx="1669">
                  <c:v>2.1113878659999585E-2</c:v>
                </c:pt>
                <c:pt idx="1670">
                  <c:v>2.110576642159856E-2</c:v>
                </c:pt>
                <c:pt idx="1671">
                  <c:v>2.1097668560976501E-2</c:v>
                </c:pt>
                <c:pt idx="1672">
                  <c:v>2.1089585078053474E-2</c:v>
                </c:pt>
                <c:pt idx="1673">
                  <c:v>2.1081515972989351E-2</c:v>
                </c:pt>
                <c:pt idx="1674">
                  <c:v>2.1073461245704195E-2</c:v>
                </c:pt>
                <c:pt idx="1675">
                  <c:v>2.1065420896038134E-2</c:v>
                </c:pt>
                <c:pt idx="1676">
                  <c:v>2.1057394924390849E-2</c:v>
                </c:pt>
                <c:pt idx="1677">
                  <c:v>2.1049383330282723E-2</c:v>
                </c:pt>
                <c:pt idx="1678">
                  <c:v>2.1041386114113436E-2</c:v>
                </c:pt>
                <c:pt idx="1679">
                  <c:v>2.1033403275563245E-2</c:v>
                </c:pt>
                <c:pt idx="1680">
                  <c:v>2.1025434814951893E-2</c:v>
                </c:pt>
                <c:pt idx="1681">
                  <c:v>2.1017480731959637E-2</c:v>
                </c:pt>
                <c:pt idx="1682">
                  <c:v>2.1009727314771354E-2</c:v>
                </c:pt>
                <c:pt idx="1683">
                  <c:v>2.1001615699312026E-2</c:v>
                </c:pt>
                <c:pt idx="1684">
                  <c:v>2.0993704749656672E-2</c:v>
                </c:pt>
                <c:pt idx="1685">
                  <c:v>2.0985808177860221E-2</c:v>
                </c:pt>
                <c:pt idx="1686">
                  <c:v>2.0977925983682866E-2</c:v>
                </c:pt>
                <c:pt idx="1687">
                  <c:v>2.0970058167364414E-2</c:v>
                </c:pt>
                <c:pt idx="1688">
                  <c:v>2.0962204728665057E-2</c:v>
                </c:pt>
                <c:pt idx="1689">
                  <c:v>2.0954365667744668E-2</c:v>
                </c:pt>
                <c:pt idx="1690">
                  <c:v>2.0946540984683182E-2</c:v>
                </c:pt>
                <c:pt idx="1691">
                  <c:v>2.0938730679400663E-2</c:v>
                </c:pt>
                <c:pt idx="1692">
                  <c:v>2.093093475173724E-2</c:v>
                </c:pt>
                <c:pt idx="1693">
                  <c:v>2.0923153201852784E-2</c:v>
                </c:pt>
                <c:pt idx="1694">
                  <c:v>2.0915386029827232E-2</c:v>
                </c:pt>
                <c:pt idx="1695">
                  <c:v>2.0907633235500711E-2</c:v>
                </c:pt>
                <c:pt idx="1696">
                  <c:v>2.0899894818953157E-2</c:v>
                </c:pt>
                <c:pt idx="1697">
                  <c:v>2.0892170780024699E-2</c:v>
                </c:pt>
                <c:pt idx="1698">
                  <c:v>2.0884461118955144E-2</c:v>
                </c:pt>
                <c:pt idx="1699">
                  <c:v>2.0876765835664557E-2</c:v>
                </c:pt>
                <c:pt idx="1700">
                  <c:v>2.0869084930073001E-2</c:v>
                </c:pt>
                <c:pt idx="1701">
                  <c:v>2.0861418402180476E-2</c:v>
                </c:pt>
                <c:pt idx="1702">
                  <c:v>2.0853766252066919E-2</c:v>
                </c:pt>
                <c:pt idx="1703">
                  <c:v>2.0846128479812265E-2</c:v>
                </c:pt>
                <c:pt idx="1704">
                  <c:v>2.0838505085176706E-2</c:v>
                </c:pt>
                <c:pt idx="1705">
                  <c:v>2.0830896068320115E-2</c:v>
                </c:pt>
                <c:pt idx="1706">
                  <c:v>2.0823301429082619E-2</c:v>
                </c:pt>
                <c:pt idx="1707">
                  <c:v>2.0815721167704027E-2</c:v>
                </c:pt>
                <c:pt idx="1708">
                  <c:v>2.0808155284184338E-2</c:v>
                </c:pt>
                <c:pt idx="1709">
                  <c:v>2.0800603778203808E-2</c:v>
                </c:pt>
                <c:pt idx="1710">
                  <c:v>2.0793066650002245E-2</c:v>
                </c:pt>
                <c:pt idx="1711">
                  <c:v>2.078554389957965E-2</c:v>
                </c:pt>
                <c:pt idx="1712">
                  <c:v>2.0778035647559534E-2</c:v>
                </c:pt>
                <c:pt idx="1713">
                  <c:v>2.0770561910090635E-2</c:v>
                </c:pt>
                <c:pt idx="1714">
                  <c:v>2.0763138001163028E-2</c:v>
                </c:pt>
                <c:pt idx="1715">
                  <c:v>2.0755763920696779E-2</c:v>
                </c:pt>
                <c:pt idx="1716">
                  <c:v>2.0748439668611951E-2</c:v>
                </c:pt>
                <c:pt idx="1717">
                  <c:v>2.074116524498848E-2</c:v>
                </c:pt>
                <c:pt idx="1718">
                  <c:v>2.0733940649826366E-2</c:v>
                </c:pt>
                <c:pt idx="1719">
                  <c:v>2.0726765883045672E-2</c:v>
                </c:pt>
                <c:pt idx="1720">
                  <c:v>2.0719640944726336E-2</c:v>
                </c:pt>
                <c:pt idx="1721">
                  <c:v>2.0712565834868357E-2</c:v>
                </c:pt>
                <c:pt idx="1722">
                  <c:v>2.0705540553391799E-2</c:v>
                </c:pt>
                <c:pt idx="1723">
                  <c:v>2.0698565100376598E-2</c:v>
                </c:pt>
                <c:pt idx="1724">
                  <c:v>2.0691639475742818E-2</c:v>
                </c:pt>
                <c:pt idx="1725">
                  <c:v>2.0684763679570395E-2</c:v>
                </c:pt>
                <c:pt idx="1726">
                  <c:v>2.0677937711859329E-2</c:v>
                </c:pt>
                <c:pt idx="1727">
                  <c:v>2.0671161572529684E-2</c:v>
                </c:pt>
                <c:pt idx="1728">
                  <c:v>2.0664435261501524E-2</c:v>
                </c:pt>
                <c:pt idx="1729">
                  <c:v>2.0657758778934721E-2</c:v>
                </c:pt>
                <c:pt idx="1730">
                  <c:v>2.0651132124829275E-2</c:v>
                </c:pt>
                <c:pt idx="1731">
                  <c:v>2.0644555299105249E-2</c:v>
                </c:pt>
                <c:pt idx="1732">
                  <c:v>2.0638028301842581E-2</c:v>
                </c:pt>
                <c:pt idx="1733">
                  <c:v>2.0632075178568243E-2</c:v>
                </c:pt>
                <c:pt idx="1734">
                  <c:v>2.06251237922217E-2</c:v>
                </c:pt>
                <c:pt idx="1735">
                  <c:v>2.0618746280103295E-2</c:v>
                </c:pt>
                <c:pt idx="1736">
                  <c:v>2.0612418596286375E-2</c:v>
                </c:pt>
                <c:pt idx="1737">
                  <c:v>2.0606140740850876E-2</c:v>
                </c:pt>
                <c:pt idx="1738">
                  <c:v>2.059932135648701E-2</c:v>
                </c:pt>
                <c:pt idx="1739">
                  <c:v>2.0593156689256986E-2</c:v>
                </c:pt>
                <c:pt idx="1740">
                  <c:v>2.0587041856350297E-2</c:v>
                </c:pt>
                <c:pt idx="1741">
                  <c:v>2.0580976857687006E-2</c:v>
                </c:pt>
                <c:pt idx="1742">
                  <c:v>2.0574961693320404E-2</c:v>
                </c:pt>
                <c:pt idx="1743">
                  <c:v>2.0568996363197201E-2</c:v>
                </c:pt>
                <c:pt idx="1744">
                  <c:v>2.0563080867317396E-2</c:v>
                </c:pt>
                <c:pt idx="1745">
                  <c:v>2.055721520568099E-2</c:v>
                </c:pt>
                <c:pt idx="1746">
                  <c:v>2.0551399378341273E-2</c:v>
                </c:pt>
                <c:pt idx="1747">
                  <c:v>2.0545633385191664E-2</c:v>
                </c:pt>
                <c:pt idx="1748">
                  <c:v>2.0539917226312099E-2</c:v>
                </c:pt>
                <c:pt idx="1749">
                  <c:v>2.0534250901595996E-2</c:v>
                </c:pt>
                <c:pt idx="1750">
                  <c:v>2.0528634411123292E-2</c:v>
                </c:pt>
                <c:pt idx="1751">
                  <c:v>2.0523067754867341E-2</c:v>
                </c:pt>
                <c:pt idx="1752">
                  <c:v>2.0517550932801498E-2</c:v>
                </c:pt>
                <c:pt idx="1753">
                  <c:v>2.0512083944925763E-2</c:v>
                </c:pt>
                <c:pt idx="1754">
                  <c:v>2.0506666791240136E-2</c:v>
                </c:pt>
                <c:pt idx="1755">
                  <c:v>2.0501299471717971E-2</c:v>
                </c:pt>
                <c:pt idx="1756">
                  <c:v>2.0495981986359268E-2</c:v>
                </c:pt>
                <c:pt idx="1757">
                  <c:v>2.0490714335190674E-2</c:v>
                </c:pt>
                <c:pt idx="1758">
                  <c:v>2.0485496518185542E-2</c:v>
                </c:pt>
                <c:pt idx="1759">
                  <c:v>2.0480328535343872E-2</c:v>
                </c:pt>
                <c:pt idx="1760">
                  <c:v>2.047521038663902E-2</c:v>
                </c:pt>
                <c:pt idx="1761">
                  <c:v>2.0470142072044339E-2</c:v>
                </c:pt>
                <c:pt idx="1762">
                  <c:v>2.0465123591613121E-2</c:v>
                </c:pt>
                <c:pt idx="1763">
                  <c:v>2.0460154945292075E-2</c:v>
                </c:pt>
                <c:pt idx="1764">
                  <c:v>2.0455236133134491E-2</c:v>
                </c:pt>
                <c:pt idx="1765">
                  <c:v>2.0450367155060434E-2</c:v>
                </c:pt>
                <c:pt idx="1766">
                  <c:v>2.0445548011069903E-2</c:v>
                </c:pt>
                <c:pt idx="1767">
                  <c:v>2.0440778701216189E-2</c:v>
                </c:pt>
                <c:pt idx="1768">
                  <c:v>2.0436059225446002E-2</c:v>
                </c:pt>
                <c:pt idx="1769">
                  <c:v>2.0431389583759341E-2</c:v>
                </c:pt>
                <c:pt idx="1770">
                  <c:v>2.0426769776156206E-2</c:v>
                </c:pt>
                <c:pt idx="1771">
                  <c:v>2.0422199802689889E-2</c:v>
                </c:pt>
                <c:pt idx="1772">
                  <c:v>2.0415498325356829E-2</c:v>
                </c:pt>
                <c:pt idx="1773">
                  <c:v>2.0410783697588641E-2</c:v>
                </c:pt>
                <c:pt idx="1774">
                  <c:v>2.040637796421052E-2</c:v>
                </c:pt>
                <c:pt idx="1775">
                  <c:v>2.0402022058974012E-2</c:v>
                </c:pt>
                <c:pt idx="1776">
                  <c:v>2.0397715982118925E-2</c:v>
                </c:pt>
                <c:pt idx="1777">
                  <c:v>2.0393459733565322E-2</c:v>
                </c:pt>
                <c:pt idx="1778">
                  <c:v>2.0389253313313205E-2</c:v>
                </c:pt>
                <c:pt idx="1779">
                  <c:v>2.0385096721282636E-2</c:v>
                </c:pt>
                <c:pt idx="1780">
                  <c:v>2.0380989957633489E-2</c:v>
                </c:pt>
                <c:pt idx="1781">
                  <c:v>2.0376933022285826E-2</c:v>
                </c:pt>
                <c:pt idx="1782">
                  <c:v>2.0372925915159712E-2</c:v>
                </c:pt>
                <c:pt idx="1783">
                  <c:v>2.0368968636335083E-2</c:v>
                </c:pt>
                <c:pt idx="1784">
                  <c:v>2.0365061185732003E-2</c:v>
                </c:pt>
                <c:pt idx="1785">
                  <c:v>2.0361203563510344E-2</c:v>
                </c:pt>
                <c:pt idx="1786">
                  <c:v>2.0357395769510234E-2</c:v>
                </c:pt>
                <c:pt idx="1787">
                  <c:v>2.0353637803811608E-2</c:v>
                </c:pt>
                <c:pt idx="1788">
                  <c:v>2.0348879350740035E-2</c:v>
                </c:pt>
                <c:pt idx="1789">
                  <c:v>2.0346271357318813E-2</c:v>
                </c:pt>
                <c:pt idx="1790">
                  <c:v>2.0342662876444706E-2</c:v>
                </c:pt>
                <c:pt idx="1791">
                  <c:v>2.0339104223792148E-2</c:v>
                </c:pt>
                <c:pt idx="1792">
                  <c:v>2.0335595399521011E-2</c:v>
                </c:pt>
                <c:pt idx="1793">
                  <c:v>2.0332136403471424E-2</c:v>
                </c:pt>
                <c:pt idx="1794">
                  <c:v>2.0328727235643385E-2</c:v>
                </c:pt>
                <c:pt idx="1795">
                  <c:v>2.032536789611683E-2</c:v>
                </c:pt>
                <c:pt idx="1796">
                  <c:v>2.0322058384971697E-2</c:v>
                </c:pt>
                <c:pt idx="1797">
                  <c:v>2.0318798701888241E-2</c:v>
                </c:pt>
                <c:pt idx="1798">
                  <c:v>2.0315588847266142E-2</c:v>
                </c:pt>
                <c:pt idx="1799">
                  <c:v>2.0312428820785655E-2</c:v>
                </c:pt>
                <c:pt idx="1800">
                  <c:v>2.0309318622606654E-2</c:v>
                </c:pt>
                <c:pt idx="1801">
                  <c:v>2.0306258252729137E-2</c:v>
                </c:pt>
                <c:pt idx="1802">
                  <c:v>2.0303247710993233E-2</c:v>
                </c:pt>
                <c:pt idx="1803">
                  <c:v>2.0300286997558814E-2</c:v>
                </c:pt>
                <c:pt idx="1804">
                  <c:v>2.029737611242588E-2</c:v>
                </c:pt>
                <c:pt idx="1805">
                  <c:v>2.0294515055434559E-2</c:v>
                </c:pt>
                <c:pt idx="1806">
                  <c:v>2.0291703826824659E-2</c:v>
                </c:pt>
                <c:pt idx="1807">
                  <c:v>2.0288942426436307E-2</c:v>
                </c:pt>
                <c:pt idx="1808">
                  <c:v>2.0286230854269505E-2</c:v>
                </c:pt>
                <c:pt idx="1809">
                  <c:v>2.0283569110404187E-2</c:v>
                </c:pt>
                <c:pt idx="1810">
                  <c:v>2.0280957194840354E-2</c:v>
                </c:pt>
                <c:pt idx="1811">
                  <c:v>2.0278395107338198E-2</c:v>
                </c:pt>
                <c:pt idx="1812">
                  <c:v>2.0275882848137528E-2</c:v>
                </c:pt>
                <c:pt idx="1813">
                  <c:v>2.0273420417238341E-2</c:v>
                </c:pt>
                <c:pt idx="1814">
                  <c:v>2.027100781464064E-2</c:v>
                </c:pt>
                <c:pt idx="1815">
                  <c:v>2.0268645040184552E-2</c:v>
                </c:pt>
                <c:pt idx="1816">
                  <c:v>2.0266332093950012E-2</c:v>
                </c:pt>
                <c:pt idx="1817">
                  <c:v>2.0264068976096894E-2</c:v>
                </c:pt>
                <c:pt idx="1818">
                  <c:v>2.0261855686385388E-2</c:v>
                </c:pt>
                <c:pt idx="1819">
                  <c:v>2.0259692224975367E-2</c:v>
                </c:pt>
                <c:pt idx="1820">
                  <c:v>2.025757859170696E-2</c:v>
                </c:pt>
                <c:pt idx="1821">
                  <c:v>2.0255514786740036E-2</c:v>
                </c:pt>
                <c:pt idx="1822">
                  <c:v>2.0253500809994662E-2</c:v>
                </c:pt>
                <c:pt idx="1823">
                  <c:v>2.0251536661470837E-2</c:v>
                </c:pt>
                <c:pt idx="1824">
                  <c:v>2.0249788226913701E-2</c:v>
                </c:pt>
                <c:pt idx="1825">
                  <c:v>2.0247495560816731E-2</c:v>
                </c:pt>
                <c:pt idx="1826">
                  <c:v>2.0245688015263497E-2</c:v>
                </c:pt>
                <c:pt idx="1827">
                  <c:v>2.0243930298091684E-2</c:v>
                </c:pt>
                <c:pt idx="1828">
                  <c:v>2.0242222408981547E-2</c:v>
                </c:pt>
                <c:pt idx="1829">
                  <c:v>2.0240564348252832E-2</c:v>
                </c:pt>
                <c:pt idx="1830">
                  <c:v>2.0238956115665729E-2</c:v>
                </c:pt>
                <c:pt idx="1831">
                  <c:v>2.0237397711380112E-2</c:v>
                </c:pt>
                <c:pt idx="1832">
                  <c:v>2.0235889135316043E-2</c:v>
                </c:pt>
                <c:pt idx="1833">
                  <c:v>2.0234430387553459E-2</c:v>
                </c:pt>
                <c:pt idx="1834">
                  <c:v>2.0233021467852552E-2</c:v>
                </c:pt>
                <c:pt idx="1835">
                  <c:v>2.0231662376373194E-2</c:v>
                </c:pt>
                <c:pt idx="1836">
                  <c:v>2.0230353113275257E-2</c:v>
                </c:pt>
                <c:pt idx="1837">
                  <c:v>2.0229093678318932E-2</c:v>
                </c:pt>
                <c:pt idx="1838">
                  <c:v>2.0227547621676223E-2</c:v>
                </c:pt>
                <c:pt idx="1839">
                  <c:v>2.0226402079934758E-2</c:v>
                </c:pt>
                <c:pt idx="1840">
                  <c:v>2.0225306366175033E-2</c:v>
                </c:pt>
                <c:pt idx="1841">
                  <c:v>2.0225107304954193E-2</c:v>
                </c:pt>
                <c:pt idx="1842">
                  <c:v>2.0223264423719911E-2</c:v>
                </c:pt>
                <c:pt idx="1843">
                  <c:v>2.0222318194784705E-2</c:v>
                </c:pt>
                <c:pt idx="1844">
                  <c:v>2.0221421793991112E-2</c:v>
                </c:pt>
                <c:pt idx="1845">
                  <c:v>2.0220575221499004E-2</c:v>
                </c:pt>
                <c:pt idx="1846">
                  <c:v>2.0219778477148509E-2</c:v>
                </c:pt>
                <c:pt idx="1847">
                  <c:v>2.0219031561019563E-2</c:v>
                </c:pt>
                <c:pt idx="1848">
                  <c:v>2.0218334473272037E-2</c:v>
                </c:pt>
                <c:pt idx="1849">
                  <c:v>2.0217687213586188E-2</c:v>
                </c:pt>
                <c:pt idx="1850">
                  <c:v>2.0217089782201825E-2</c:v>
                </c:pt>
                <c:pt idx="1851">
                  <c:v>2.021654217903901E-2</c:v>
                </c:pt>
                <c:pt idx="1852">
                  <c:v>2.0216044404017808E-2</c:v>
                </c:pt>
                <c:pt idx="1853">
                  <c:v>2.0215596457218155E-2</c:v>
                </c:pt>
                <c:pt idx="1854">
                  <c:v>2.0215198338799922E-2</c:v>
                </c:pt>
                <c:pt idx="1855">
                  <c:v>2.0214850048523303E-2</c:v>
                </c:pt>
                <c:pt idx="1856">
                  <c:v>2.0214551586388296E-2</c:v>
                </c:pt>
                <c:pt idx="1857">
                  <c:v>2.0214302952554775E-2</c:v>
                </c:pt>
                <c:pt idx="1858">
                  <c:v>2.0214104146942802E-2</c:v>
                </c:pt>
                <c:pt idx="1859">
                  <c:v>2.0213955169472442E-2</c:v>
                </c:pt>
                <c:pt idx="1860">
                  <c:v>2.0213856020223631E-2</c:v>
                </c:pt>
                <c:pt idx="1861">
                  <c:v>2.021380669935624E-2</c:v>
                </c:pt>
                <c:pt idx="1862">
                  <c:v>2.0213807206550527E-2</c:v>
                </c:pt>
                <c:pt idx="1863">
                  <c:v>2.0213857541966362E-2</c:v>
                </c:pt>
                <c:pt idx="1864">
                  <c:v>2.0213957705763619E-2</c:v>
                </c:pt>
                <c:pt idx="1865">
                  <c:v>2.0214107697622552E-2</c:v>
                </c:pt>
                <c:pt idx="1866">
                  <c:v>2.0214307517703034E-2</c:v>
                </c:pt>
                <c:pt idx="1867">
                  <c:v>2.0214557166085001E-2</c:v>
                </c:pt>
                <c:pt idx="1868">
                  <c:v>2.0214856642608581E-2</c:v>
                </c:pt>
                <c:pt idx="1869">
                  <c:v>2.0215205947353709E-2</c:v>
                </c:pt>
                <c:pt idx="1870">
                  <c:v>2.0215605080480259E-2</c:v>
                </c:pt>
                <c:pt idx="1871">
                  <c:v>2.0216054041668485E-2</c:v>
                </c:pt>
                <c:pt idx="1872">
                  <c:v>2.0216552831078261E-2</c:v>
                </c:pt>
                <c:pt idx="1873">
                  <c:v>2.0217101448789521E-2</c:v>
                </c:pt>
                <c:pt idx="1874">
                  <c:v>2.0217699894562458E-2</c:v>
                </c:pt>
                <c:pt idx="1875">
                  <c:v>2.0218740982897998E-2</c:v>
                </c:pt>
                <c:pt idx="1876">
                  <c:v>2.0220390847596192E-2</c:v>
                </c:pt>
                <c:pt idx="1877">
                  <c:v>2.0219794201690178E-2</c:v>
                </c:pt>
                <c:pt idx="1878">
                  <c:v>2.022059196034931E-2</c:v>
                </c:pt>
                <c:pt idx="1879">
                  <c:v>2.0221439547469799E-2</c:v>
                </c:pt>
                <c:pt idx="1880">
                  <c:v>2.022233696257203E-2</c:v>
                </c:pt>
                <c:pt idx="1881">
                  <c:v>2.0223284206055681E-2</c:v>
                </c:pt>
                <c:pt idx="1882">
                  <c:v>2.0224281277840817E-2</c:v>
                </c:pt>
                <c:pt idx="1883">
                  <c:v>2.0225328177687629E-2</c:v>
                </c:pt>
                <c:pt idx="1884">
                  <c:v>2.0226424905835927E-2</c:v>
                </c:pt>
                <c:pt idx="1885">
                  <c:v>2.0227571462125837E-2</c:v>
                </c:pt>
                <c:pt idx="1886">
                  <c:v>2.0228767846717233E-2</c:v>
                </c:pt>
                <c:pt idx="1887">
                  <c:v>2.0230014059450241E-2</c:v>
                </c:pt>
                <c:pt idx="1888">
                  <c:v>2.0233964701999341E-2</c:v>
                </c:pt>
                <c:pt idx="1889">
                  <c:v>2.0232655969820712E-2</c:v>
                </c:pt>
                <c:pt idx="1890">
                  <c:v>2.0234051667218367E-2</c:v>
                </c:pt>
                <c:pt idx="1891">
                  <c:v>2.0235497192997443E-2</c:v>
                </c:pt>
                <c:pt idx="1892">
                  <c:v>2.0236992546838195E-2</c:v>
                </c:pt>
                <c:pt idx="1893">
                  <c:v>2.0240582738901836E-2</c:v>
                </c:pt>
                <c:pt idx="1894">
                  <c:v>2.0240132739424155E-2</c:v>
                </c:pt>
                <c:pt idx="1895">
                  <c:v>2.0241777578089426E-2</c:v>
                </c:pt>
                <c:pt idx="1896">
                  <c:v>2.0243472244976246E-2</c:v>
                </c:pt>
                <c:pt idx="1897">
                  <c:v>2.0245216740004679E-2</c:v>
                </c:pt>
                <c:pt idx="1898">
                  <c:v>2.0247011063414533E-2</c:v>
                </c:pt>
                <c:pt idx="1899">
                  <c:v>2.0248855214886063E-2</c:v>
                </c:pt>
                <c:pt idx="1900">
                  <c:v>2.0250749194659079E-2</c:v>
                </c:pt>
                <c:pt idx="1901">
                  <c:v>2.0252693002733579E-2</c:v>
                </c:pt>
                <c:pt idx="1902">
                  <c:v>2.0254686639029629E-2</c:v>
                </c:pt>
                <c:pt idx="1903">
                  <c:v>2.0256730103467291E-2</c:v>
                </c:pt>
                <c:pt idx="1904">
                  <c:v>2.0258823396206438E-2</c:v>
                </c:pt>
                <c:pt idx="1905">
                  <c:v>2.0260966517167134E-2</c:v>
                </c:pt>
                <c:pt idx="1906">
                  <c:v>2.0263159466509251E-2</c:v>
                </c:pt>
                <c:pt idx="1907">
                  <c:v>2.0265402243913044E-2</c:v>
                </c:pt>
                <c:pt idx="1908">
                  <c:v>2.0267694849618323E-2</c:v>
                </c:pt>
                <c:pt idx="1909">
                  <c:v>2.027003728354515E-2</c:v>
                </c:pt>
                <c:pt idx="1910">
                  <c:v>2.0272429545773463E-2</c:v>
                </c:pt>
                <c:pt idx="1911">
                  <c:v>2.0274871636223324E-2</c:v>
                </c:pt>
                <c:pt idx="1912">
                  <c:v>2.0277363554814798E-2</c:v>
                </c:pt>
                <c:pt idx="1913">
                  <c:v>2.0279905301787693E-2</c:v>
                </c:pt>
                <c:pt idx="1914">
                  <c:v>2.0282496876982137E-2</c:v>
                </c:pt>
                <c:pt idx="1915">
                  <c:v>2.0285138280398129E-2</c:v>
                </c:pt>
                <c:pt idx="1916">
                  <c:v>2.0287829512035671E-2</c:v>
                </c:pt>
                <c:pt idx="1917">
                  <c:v>2.0290570571974698E-2</c:v>
                </c:pt>
                <c:pt idx="1918">
                  <c:v>2.0293361460055337E-2</c:v>
                </c:pt>
                <c:pt idx="1919">
                  <c:v>2.0296202176597333E-2</c:v>
                </c:pt>
                <c:pt idx="1920">
                  <c:v>2.029909272112107E-2</c:v>
                </c:pt>
                <c:pt idx="1921">
                  <c:v>2.03020330941861E-2</c:v>
                </c:pt>
                <c:pt idx="1922">
                  <c:v>2.0305023295312807E-2</c:v>
                </c:pt>
                <c:pt idx="1923">
                  <c:v>2.0308063324740999E-2</c:v>
                </c:pt>
                <c:pt idx="1924">
                  <c:v>2.0311153182550612E-2</c:v>
                </c:pt>
                <c:pt idx="1925">
                  <c:v>2.0314292868501838E-2</c:v>
                </c:pt>
                <c:pt idx="1926">
                  <c:v>2.0317482382674612E-2</c:v>
                </c:pt>
                <c:pt idx="1927">
                  <c:v>2.0323143720732961E-2</c:v>
                </c:pt>
                <c:pt idx="1928">
                  <c:v>2.0326444127860555E-2</c:v>
                </c:pt>
                <c:pt idx="1929">
                  <c:v>2.0327349895001845E-2</c:v>
                </c:pt>
                <c:pt idx="1930">
                  <c:v>2.0330738722220687E-2</c:v>
                </c:pt>
                <c:pt idx="1931">
                  <c:v>2.0334177377741014E-2</c:v>
                </c:pt>
                <c:pt idx="1932">
                  <c:v>2.0337665861642762E-2</c:v>
                </c:pt>
                <c:pt idx="1933">
                  <c:v>2.0341204173766059E-2</c:v>
                </c:pt>
                <c:pt idx="1934">
                  <c:v>2.0344792314110904E-2</c:v>
                </c:pt>
                <c:pt idx="1935">
                  <c:v>2.0348430282757235E-2</c:v>
                </c:pt>
                <c:pt idx="1936">
                  <c:v>2.035211807970505E-2</c:v>
                </c:pt>
                <c:pt idx="1937">
                  <c:v>2.0355855704954351E-2</c:v>
                </c:pt>
                <c:pt idx="1938">
                  <c:v>2.03596431584252E-2</c:v>
                </c:pt>
                <c:pt idx="1939">
                  <c:v>2.0363480440197534E-2</c:v>
                </c:pt>
                <c:pt idx="1940">
                  <c:v>2.0367367550191418E-2</c:v>
                </c:pt>
                <c:pt idx="1941">
                  <c:v>2.0371304488486786E-2</c:v>
                </c:pt>
                <c:pt idx="1942">
                  <c:v>2.0375291255083638E-2</c:v>
                </c:pt>
                <c:pt idx="1943">
                  <c:v>2.0382799042707234E-2</c:v>
                </c:pt>
                <c:pt idx="1944">
                  <c:v>2.0383414273341671E-2</c:v>
                </c:pt>
                <c:pt idx="1945">
                  <c:v>2.0387550524683107E-2</c:v>
                </c:pt>
                <c:pt idx="1946">
                  <c:v>2.0391736604485899E-2</c:v>
                </c:pt>
                <c:pt idx="1947">
                  <c:v>2.0395972512590177E-2</c:v>
                </c:pt>
                <c:pt idx="1948">
                  <c:v>2.0400258248916003E-2</c:v>
                </c:pt>
                <c:pt idx="1949">
                  <c:v>2.0404593813623251E-2</c:v>
                </c:pt>
                <c:pt idx="1950">
                  <c:v>2.0408979206472111E-2</c:v>
                </c:pt>
                <c:pt idx="1951">
                  <c:v>2.0413414427782328E-2</c:v>
                </c:pt>
                <c:pt idx="1952">
                  <c:v>2.0417899477314094E-2</c:v>
                </c:pt>
                <c:pt idx="1953">
                  <c:v>2.0422434355227281E-2</c:v>
                </c:pt>
                <c:pt idx="1954">
                  <c:v>2.0427019061362017E-2</c:v>
                </c:pt>
                <c:pt idx="1955">
                  <c:v>2.0431653595878174E-2</c:v>
                </c:pt>
                <c:pt idx="1956">
                  <c:v>2.043633795861588E-2</c:v>
                </c:pt>
                <c:pt idx="1957">
                  <c:v>2.0441072149814943E-2</c:v>
                </c:pt>
                <c:pt idx="1958">
                  <c:v>2.0445856169155618E-2</c:v>
                </c:pt>
                <c:pt idx="1959">
                  <c:v>2.0450690016877715E-2</c:v>
                </c:pt>
                <c:pt idx="1960">
                  <c:v>2.0455573692981233E-2</c:v>
                </c:pt>
                <c:pt idx="1961">
                  <c:v>2.0460507197306299E-2</c:v>
                </c:pt>
                <c:pt idx="1962">
                  <c:v>2.0465490530092723E-2</c:v>
                </c:pt>
                <c:pt idx="1963">
                  <c:v>2.0470523691100695E-2</c:v>
                </c:pt>
                <c:pt idx="1964">
                  <c:v>2.0475606680410152E-2</c:v>
                </c:pt>
                <c:pt idx="1965">
                  <c:v>2.048073949810103E-2</c:v>
                </c:pt>
                <c:pt idx="1966">
                  <c:v>2.0485922144093394E-2</c:v>
                </c:pt>
                <c:pt idx="1967">
                  <c:v>2.0491154618467178E-2</c:v>
                </c:pt>
                <c:pt idx="1968">
                  <c:v>2.0496436921142447E-2</c:v>
                </c:pt>
                <c:pt idx="1969">
                  <c:v>2.0501769052199137E-2</c:v>
                </c:pt>
                <c:pt idx="1970">
                  <c:v>2.0507151011477376E-2</c:v>
                </c:pt>
                <c:pt idx="1971">
                  <c:v>2.0512582799216972E-2</c:v>
                </c:pt>
                <c:pt idx="1972">
                  <c:v>2.0518064166656913E-2</c:v>
                </c:pt>
                <c:pt idx="1973">
                  <c:v>2.052355384424942E-2</c:v>
                </c:pt>
                <c:pt idx="1974">
                  <c:v>2.0529020258450714E-2</c:v>
                </c:pt>
                <c:pt idx="1975">
                  <c:v>2.0534463409260795E-2</c:v>
                </c:pt>
                <c:pt idx="1976">
                  <c:v>2.053988329651979E-2</c:v>
                </c:pt>
                <c:pt idx="1977">
                  <c:v>2.0545279920227699E-2</c:v>
                </c:pt>
                <c:pt idx="1978">
                  <c:v>2.0550653280624331E-2</c:v>
                </c:pt>
                <c:pt idx="1979">
                  <c:v>2.0556003377469878E-2</c:v>
                </c:pt>
                <c:pt idx="1980">
                  <c:v>2.0561330210924211E-2</c:v>
                </c:pt>
                <c:pt idx="1981">
                  <c:v>2.0566633780907395E-2</c:v>
                </c:pt>
                <c:pt idx="1982">
                  <c:v>2.057191408741943E-2</c:v>
                </c:pt>
                <c:pt idx="1983">
                  <c:v>2.0577171130380378E-2</c:v>
                </c:pt>
                <c:pt idx="1984">
                  <c:v>2.058240491003005E-2</c:v>
                </c:pt>
                <c:pt idx="1985">
                  <c:v>2.0587615426128636E-2</c:v>
                </c:pt>
                <c:pt idx="1986">
                  <c:v>2.0592802678756073E-2</c:v>
                </c:pt>
                <c:pt idx="1987">
                  <c:v>2.059796666791236E-2</c:v>
                </c:pt>
                <c:pt idx="1988">
                  <c:v>2.0603107393597497E-2</c:v>
                </c:pt>
                <c:pt idx="1989">
                  <c:v>2.0608224855811486E-2</c:v>
                </c:pt>
                <c:pt idx="1990">
                  <c:v>2.0613319054554324E-2</c:v>
                </c:pt>
                <c:pt idx="1991">
                  <c:v>2.0618389989826014E-2</c:v>
                </c:pt>
                <c:pt idx="1992">
                  <c:v>2.0623437661626554E-2</c:v>
                </c:pt>
                <c:pt idx="1993">
                  <c:v>2.0628462070115816E-2</c:v>
                </c:pt>
                <c:pt idx="1994">
                  <c:v>2.0637253048972681E-2</c:v>
                </c:pt>
                <c:pt idx="1995">
                  <c:v>2.0638441096201277E-2</c:v>
                </c:pt>
                <c:pt idx="1996">
                  <c:v>2.0643395714117219E-2</c:v>
                </c:pt>
                <c:pt idx="1997">
                  <c:v>2.0648327068482075E-2</c:v>
                </c:pt>
                <c:pt idx="1998">
                  <c:v>2.0653235159375782E-2</c:v>
                </c:pt>
                <c:pt idx="1999">
                  <c:v>2.0658119986958212E-2</c:v>
                </c:pt>
                <c:pt idx="2000">
                  <c:v>2.066298155090962E-2</c:v>
                </c:pt>
                <c:pt idx="2001">
                  <c:v>2.0667819851389879E-2</c:v>
                </c:pt>
                <c:pt idx="2002">
                  <c:v>2.0672634888398989E-2</c:v>
                </c:pt>
                <c:pt idx="2003">
                  <c:v>2.0677426661936948E-2</c:v>
                </c:pt>
                <c:pt idx="2004">
                  <c:v>2.0682195171923823E-2</c:v>
                </c:pt>
                <c:pt idx="2005">
                  <c:v>2.0686940418439548E-2</c:v>
                </c:pt>
                <c:pt idx="2006">
                  <c:v>2.0691662401643995E-2</c:v>
                </c:pt>
                <c:pt idx="2007">
                  <c:v>2.0696361121137485E-2</c:v>
                </c:pt>
                <c:pt idx="2008">
                  <c:v>2.0701036577159826E-2</c:v>
                </c:pt>
                <c:pt idx="2009">
                  <c:v>2.0705688769870889E-2</c:v>
                </c:pt>
                <c:pt idx="2010">
                  <c:v>2.0710317698950931E-2</c:v>
                </c:pt>
                <c:pt idx="2011">
                  <c:v>2.0714923364559823E-2</c:v>
                </c:pt>
                <c:pt idx="2012">
                  <c:v>2.0719505766537694E-2</c:v>
                </c:pt>
                <c:pt idx="2013">
                  <c:v>2.0724064905284223E-2</c:v>
                </c:pt>
                <c:pt idx="2014">
                  <c:v>2.0728600780399731E-2</c:v>
                </c:pt>
                <c:pt idx="2015">
                  <c:v>2.0733113391964153E-2</c:v>
                </c:pt>
                <c:pt idx="2016">
                  <c:v>2.0737602740137362E-2</c:v>
                </c:pt>
                <c:pt idx="2017">
                  <c:v>2.0742068824839421E-2</c:v>
                </c:pt>
                <c:pt idx="2018">
                  <c:v>2.0746511645910459E-2</c:v>
                </c:pt>
                <c:pt idx="2019">
                  <c:v>2.0750931203590284E-2</c:v>
                </c:pt>
                <c:pt idx="2020">
                  <c:v>2.0755327497798959E-2</c:v>
                </c:pt>
                <c:pt idx="2021">
                  <c:v>2.0759700528376612E-2</c:v>
                </c:pt>
                <c:pt idx="2022">
                  <c:v>2.0764050295563052E-2</c:v>
                </c:pt>
                <c:pt idx="2023">
                  <c:v>2.0768376799118471E-2</c:v>
                </c:pt>
                <c:pt idx="2024">
                  <c:v>2.0772680039362612E-2</c:v>
                </c:pt>
                <c:pt idx="2025">
                  <c:v>2.0776960015975732E-2</c:v>
                </c:pt>
                <c:pt idx="2026">
                  <c:v>2.078121672895783E-2</c:v>
                </c:pt>
                <c:pt idx="2027">
                  <c:v>2.0785450178708587E-2</c:v>
                </c:pt>
                <c:pt idx="2028">
                  <c:v>2.0789660364828322E-2</c:v>
                </c:pt>
                <c:pt idx="2029">
                  <c:v>2.0793847287396972E-2</c:v>
                </c:pt>
                <c:pt idx="2030">
                  <c:v>2.0798010946494472E-2</c:v>
                </c:pt>
                <c:pt idx="2031">
                  <c:v>2.0802151342040887E-2</c:v>
                </c:pt>
                <c:pt idx="2032">
                  <c:v>2.0809537020669566E-2</c:v>
                </c:pt>
                <c:pt idx="2033">
                  <c:v>2.0812730721679884E-2</c:v>
                </c:pt>
                <c:pt idx="2034">
                  <c:v>2.0816795149940504E-2</c:v>
                </c:pt>
                <c:pt idx="2035">
                  <c:v>2.0820836312092084E-2</c:v>
                </c:pt>
                <c:pt idx="2036">
                  <c:v>2.0824854208134624E-2</c:v>
                </c:pt>
                <c:pt idx="2037">
                  <c:v>2.0828848838068126E-2</c:v>
                </c:pt>
                <c:pt idx="2038">
                  <c:v>2.0832820201865943E-2</c:v>
                </c:pt>
                <c:pt idx="2039">
                  <c:v>2.0836768299581365E-2</c:v>
                </c:pt>
                <c:pt idx="2040">
                  <c:v>2.0840693131134458E-2</c:v>
                </c:pt>
                <c:pt idx="2041">
                  <c:v>2.0844594696578511E-2</c:v>
                </c:pt>
                <c:pt idx="2042">
                  <c:v>2.0848472995860234E-2</c:v>
                </c:pt>
                <c:pt idx="2043">
                  <c:v>2.0852328029059564E-2</c:v>
                </c:pt>
                <c:pt idx="2044">
                  <c:v>2.0856586669086852E-2</c:v>
                </c:pt>
                <c:pt idx="2045">
                  <c:v>2.0859968297051168E-2</c:v>
                </c:pt>
                <c:pt idx="2046">
                  <c:v>2.0863753531790152E-2</c:v>
                </c:pt>
                <c:pt idx="2047">
                  <c:v>2.0867515500446743E-2</c:v>
                </c:pt>
                <c:pt idx="2048">
                  <c:v>2.0871254202914358E-2</c:v>
                </c:pt>
                <c:pt idx="2049">
                  <c:v>2.0874969639299579E-2</c:v>
                </c:pt>
                <c:pt idx="2050">
                  <c:v>2.0878661809495824E-2</c:v>
                </c:pt>
                <c:pt idx="2051">
                  <c:v>2.0882330713556385E-2</c:v>
                </c:pt>
                <c:pt idx="2052">
                  <c:v>2.0885976351454616E-2</c:v>
                </c:pt>
                <c:pt idx="2053">
                  <c:v>2.0889598723217162E-2</c:v>
                </c:pt>
                <c:pt idx="2054">
                  <c:v>2.0893197828817378E-2</c:v>
                </c:pt>
                <c:pt idx="2055">
                  <c:v>2.0896773668255264E-2</c:v>
                </c:pt>
                <c:pt idx="2056">
                  <c:v>2.0900326241584111E-2</c:v>
                </c:pt>
                <c:pt idx="2057">
                  <c:v>2.0903855548670691E-2</c:v>
                </c:pt>
                <c:pt idx="2058">
                  <c:v>2.0907361589674878E-2</c:v>
                </c:pt>
                <c:pt idx="2059">
                  <c:v>2.0910844364463443E-2</c:v>
                </c:pt>
                <c:pt idx="2060">
                  <c:v>2.0914303873089679E-2</c:v>
                </c:pt>
                <c:pt idx="2061">
                  <c:v>2.0917740115553585E-2</c:v>
                </c:pt>
                <c:pt idx="2062">
                  <c:v>2.0921153091881806E-2</c:v>
                </c:pt>
                <c:pt idx="2063">
                  <c:v>2.0924542801994406E-2</c:v>
                </c:pt>
                <c:pt idx="2064">
                  <c:v>2.0927909245944676E-2</c:v>
                </c:pt>
                <c:pt idx="2065">
                  <c:v>2.0931252423705971E-2</c:v>
                </c:pt>
                <c:pt idx="2066">
                  <c:v>2.093457233533158E-2</c:v>
                </c:pt>
                <c:pt idx="2067">
                  <c:v>2.093786898074157E-2</c:v>
                </c:pt>
                <c:pt idx="2068">
                  <c:v>2.0941142359989229E-2</c:v>
                </c:pt>
                <c:pt idx="2069">
                  <c:v>2.0944392473021267E-2</c:v>
                </c:pt>
                <c:pt idx="2070">
                  <c:v>2.0947619319890975E-2</c:v>
                </c:pt>
                <c:pt idx="2071">
                  <c:v>2.0950822900545063E-2</c:v>
                </c:pt>
                <c:pt idx="2072">
                  <c:v>2.0954003215063466E-2</c:v>
                </c:pt>
                <c:pt idx="2073">
                  <c:v>2.0957160263339603E-2</c:v>
                </c:pt>
                <c:pt idx="2074">
                  <c:v>2.0960294045480055E-2</c:v>
                </c:pt>
                <c:pt idx="2075">
                  <c:v>2.0963404561351595E-2</c:v>
                </c:pt>
                <c:pt idx="2076">
                  <c:v>2.0966491811060806E-2</c:v>
                </c:pt>
                <c:pt idx="2077">
                  <c:v>2.0969555794581041E-2</c:v>
                </c:pt>
                <c:pt idx="2078">
                  <c:v>2.0972596511885655E-2</c:v>
                </c:pt>
                <c:pt idx="2079">
                  <c:v>2.0975613963001294E-2</c:v>
                </c:pt>
                <c:pt idx="2080">
                  <c:v>2.0978608147927957E-2</c:v>
                </c:pt>
                <c:pt idx="2081">
                  <c:v>2.0981579066612355E-2</c:v>
                </c:pt>
                <c:pt idx="2082">
                  <c:v>2.0984526719107777E-2</c:v>
                </c:pt>
                <c:pt idx="2083">
                  <c:v>2.0987451105414223E-2</c:v>
                </c:pt>
                <c:pt idx="2084">
                  <c:v>2.0990770850373153E-2</c:v>
                </c:pt>
                <c:pt idx="2085">
                  <c:v>2.099282402144631E-2</c:v>
                </c:pt>
                <c:pt idx="2086">
                  <c:v>2.0995671629435719E-2</c:v>
                </c:pt>
                <c:pt idx="2087">
                  <c:v>2.0998495973953979E-2</c:v>
                </c:pt>
                <c:pt idx="2088">
                  <c:v>2.1001297054841217E-2</c:v>
                </c:pt>
                <c:pt idx="2089">
                  <c:v>2.100407487217737E-2</c:v>
                </c:pt>
                <c:pt idx="2090">
                  <c:v>2.1006829426042373E-2</c:v>
                </c:pt>
                <c:pt idx="2091">
                  <c:v>2.100956071635629E-2</c:v>
                </c:pt>
                <c:pt idx="2092">
                  <c:v>2.1012268743039186E-2</c:v>
                </c:pt>
                <c:pt idx="2093">
                  <c:v>2.1014953506170997E-2</c:v>
                </c:pt>
                <c:pt idx="2094">
                  <c:v>2.1017615005831658E-2</c:v>
                </c:pt>
                <c:pt idx="2095">
                  <c:v>2.1020253241861298E-2</c:v>
                </c:pt>
                <c:pt idx="2096">
                  <c:v>2.1022868214419788E-2</c:v>
                </c:pt>
                <c:pt idx="2097">
                  <c:v>2.1025459923427192E-2</c:v>
                </c:pt>
                <c:pt idx="2098">
                  <c:v>2.1028028368803575E-2</c:v>
                </c:pt>
                <c:pt idx="2099">
                  <c:v>2.1031296472511229E-2</c:v>
                </c:pt>
                <c:pt idx="2100">
                  <c:v>2.1033095468903085E-2</c:v>
                </c:pt>
                <c:pt idx="2101">
                  <c:v>2.1035594123786083E-2</c:v>
                </c:pt>
                <c:pt idx="2102">
                  <c:v>2.1038069514958124E-2</c:v>
                </c:pt>
                <c:pt idx="2103">
                  <c:v>2.1040521642499144E-2</c:v>
                </c:pt>
                <c:pt idx="2104">
                  <c:v>2.1042950506569014E-2</c:v>
                </c:pt>
                <c:pt idx="2105">
                  <c:v>2.1045356107167734E-2</c:v>
                </c:pt>
                <c:pt idx="2106">
                  <c:v>2.1047738444135433E-2</c:v>
                </c:pt>
                <c:pt idx="2107">
                  <c:v>2.1050097517472111E-2</c:v>
                </c:pt>
                <c:pt idx="2108">
                  <c:v>2.1052433327417575E-2</c:v>
                </c:pt>
                <c:pt idx="2109">
                  <c:v>2.1054745873652081E-2</c:v>
                </c:pt>
                <c:pt idx="2110">
                  <c:v>2.1057035156335502E-2</c:v>
                </c:pt>
                <c:pt idx="2111">
                  <c:v>2.1059301175627709E-2</c:v>
                </c:pt>
                <c:pt idx="2112">
                  <c:v>2.1061543931129023E-2</c:v>
                </c:pt>
                <c:pt idx="2113">
                  <c:v>2.1063763423239124E-2</c:v>
                </c:pt>
                <c:pt idx="2114">
                  <c:v>2.1065959651718202E-2</c:v>
                </c:pt>
                <c:pt idx="2115">
                  <c:v>2.1068132616806068E-2</c:v>
                </c:pt>
                <c:pt idx="2116">
                  <c:v>2.107028231810304E-2</c:v>
                </c:pt>
                <c:pt idx="2117">
                  <c:v>2.1072408755848926E-2</c:v>
                </c:pt>
                <c:pt idx="2118">
                  <c:v>2.1074511930123663E-2</c:v>
                </c:pt>
                <c:pt idx="2119">
                  <c:v>2.107659184092725E-2</c:v>
                </c:pt>
                <c:pt idx="2120">
                  <c:v>2.1078648487939944E-2</c:v>
                </c:pt>
                <c:pt idx="2121">
                  <c:v>2.1080681871401552E-2</c:v>
                </c:pt>
                <c:pt idx="2122">
                  <c:v>2.1082691991471947E-2</c:v>
                </c:pt>
                <c:pt idx="2123">
                  <c:v>2.108467884791132E-2</c:v>
                </c:pt>
                <c:pt idx="2124">
                  <c:v>2.1086642440719672E-2</c:v>
                </c:pt>
                <c:pt idx="2125">
                  <c:v>2.108858277013681E-2</c:v>
                </c:pt>
                <c:pt idx="2126">
                  <c:v>2.1090499835842991E-2</c:v>
                </c:pt>
                <c:pt idx="2127">
                  <c:v>2.1092393637998086E-2</c:v>
                </c:pt>
                <c:pt idx="2128">
                  <c:v>2.1094264176522159E-2</c:v>
                </c:pt>
                <c:pt idx="2129">
                  <c:v>2.1096111451575084E-2</c:v>
                </c:pt>
                <c:pt idx="2130">
                  <c:v>2.1097935463156858E-2</c:v>
                </c:pt>
                <c:pt idx="2131">
                  <c:v>2.1099736211027675E-2</c:v>
                </c:pt>
                <c:pt idx="2132">
                  <c:v>2.1101513695267471E-2</c:v>
                </c:pt>
                <c:pt idx="2133">
                  <c:v>2.1103267916116053E-2</c:v>
                </c:pt>
                <c:pt idx="2134">
                  <c:v>2.1104998873333614E-2</c:v>
                </c:pt>
                <c:pt idx="2135">
                  <c:v>2.1106706566920153E-2</c:v>
                </c:pt>
                <c:pt idx="2136">
                  <c:v>2.1109367720457684E-2</c:v>
                </c:pt>
                <c:pt idx="2137">
                  <c:v>2.1110287573851139E-2</c:v>
                </c:pt>
                <c:pt idx="2138">
                  <c:v>2.1111922153442819E-2</c:v>
                </c:pt>
                <c:pt idx="2139">
                  <c:v>2.1113533469483414E-2</c:v>
                </c:pt>
                <c:pt idx="2140">
                  <c:v>2.1115121521892988E-2</c:v>
                </c:pt>
                <c:pt idx="2141">
                  <c:v>2.111668631067154E-2</c:v>
                </c:pt>
                <c:pt idx="2142">
                  <c:v>2.1118227835978942E-2</c:v>
                </c:pt>
                <c:pt idx="2143">
                  <c:v>2.1119746097655323E-2</c:v>
                </c:pt>
                <c:pt idx="2144">
                  <c:v>2.1121241095780618E-2</c:v>
                </c:pt>
                <c:pt idx="2145">
                  <c:v>2.1122712830354828E-2</c:v>
                </c:pt>
                <c:pt idx="2146">
                  <c:v>2.1124161301377953E-2</c:v>
                </c:pt>
                <c:pt idx="2147">
                  <c:v>2.1125586508849992E-2</c:v>
                </c:pt>
                <c:pt idx="2148">
                  <c:v>2.1126988452611073E-2</c:v>
                </c:pt>
                <c:pt idx="2149">
                  <c:v>2.1128367132901005E-2</c:v>
                </c:pt>
                <c:pt idx="2150">
                  <c:v>2.1130105538640365E-2</c:v>
                </c:pt>
                <c:pt idx="2151">
                  <c:v>2.113143104498505E-2</c:v>
                </c:pt>
                <c:pt idx="2152">
                  <c:v>2.1132733287778649E-2</c:v>
                </c:pt>
                <c:pt idx="2153">
                  <c:v>2.1136144158144798E-2</c:v>
                </c:pt>
                <c:pt idx="2154">
                  <c:v>2.1135267982712591E-2</c:v>
                </c:pt>
                <c:pt idx="2155">
                  <c:v>2.1136500434852934E-2</c:v>
                </c:pt>
                <c:pt idx="2156">
                  <c:v>2.1137709623362255E-2</c:v>
                </c:pt>
                <c:pt idx="2157">
                  <c:v>2.1138895548240555E-2</c:v>
                </c:pt>
                <c:pt idx="2158">
                  <c:v>2.1140058209567769E-2</c:v>
                </c:pt>
                <c:pt idx="2159">
                  <c:v>2.114119760750377E-2</c:v>
                </c:pt>
                <c:pt idx="2160">
                  <c:v>2.1142313741648877E-2</c:v>
                </c:pt>
                <c:pt idx="2161">
                  <c:v>2.1143406612242899E-2</c:v>
                </c:pt>
                <c:pt idx="2162">
                  <c:v>2.1144476219285835E-2</c:v>
                </c:pt>
                <c:pt idx="2163">
                  <c:v>2.1145522562857622E-2</c:v>
                </c:pt>
                <c:pt idx="2164">
                  <c:v>2.1146545642718451E-2</c:v>
                </c:pt>
                <c:pt idx="2165">
                  <c:v>2.1147545458948258E-2</c:v>
                </c:pt>
                <c:pt idx="2166">
                  <c:v>2.1148522011706916E-2</c:v>
                </c:pt>
                <c:pt idx="2167">
                  <c:v>2.1149475300994425E-2</c:v>
                </c:pt>
                <c:pt idx="2168">
                  <c:v>2.1150405326650912E-2</c:v>
                </c:pt>
                <c:pt idx="2169">
                  <c:v>2.1151312088516505E-2</c:v>
                </c:pt>
                <c:pt idx="2170">
                  <c:v>2.1152195587070821E-2</c:v>
                </c:pt>
                <c:pt idx="2171">
                  <c:v>2.115305582191418E-2</c:v>
                </c:pt>
                <c:pt idx="2172">
                  <c:v>2.1153892793206452E-2</c:v>
                </c:pt>
                <c:pt idx="2173">
                  <c:v>2.115470650094764E-2</c:v>
                </c:pt>
                <c:pt idx="2174">
                  <c:v>2.1155496945057806E-2</c:v>
                </c:pt>
                <c:pt idx="2175">
                  <c:v>2.1156264125616886E-2</c:v>
                </c:pt>
                <c:pt idx="2176">
                  <c:v>2.1157008042544945E-2</c:v>
                </c:pt>
                <c:pt idx="2177">
                  <c:v>2.1157728696001854E-2</c:v>
                </c:pt>
                <c:pt idx="2178">
                  <c:v>2.1158426085907678E-2</c:v>
                </c:pt>
                <c:pt idx="2179">
                  <c:v>2.1159100212022608E-2</c:v>
                </c:pt>
                <c:pt idx="2180">
                  <c:v>2.1159751074666389E-2</c:v>
                </c:pt>
                <c:pt idx="2181">
                  <c:v>2.116037867383902E-2</c:v>
                </c:pt>
                <c:pt idx="2182">
                  <c:v>2.1160983009300693E-2</c:v>
                </c:pt>
                <c:pt idx="2183">
                  <c:v>2.1161564081211282E-2</c:v>
                </c:pt>
                <c:pt idx="2184">
                  <c:v>2.1162121889570784E-2</c:v>
                </c:pt>
                <c:pt idx="2185">
                  <c:v>2.1162656434379201E-2</c:v>
                </c:pt>
                <c:pt idx="2186">
                  <c:v>2.1163167715476661E-2</c:v>
                </c:pt>
                <c:pt idx="2187">
                  <c:v>2.116562332729055E-2</c:v>
                </c:pt>
                <c:pt idx="2188">
                  <c:v>2.1166083177348582E-2</c:v>
                </c:pt>
                <c:pt idx="2189">
                  <c:v>2.1164561977622398E-2</c:v>
                </c:pt>
                <c:pt idx="2190">
                  <c:v>2.1164980204435579E-2</c:v>
                </c:pt>
                <c:pt idx="2191">
                  <c:v>2.1165375167617739E-2</c:v>
                </c:pt>
                <c:pt idx="2192">
                  <c:v>2.1165746867488622E-2</c:v>
                </c:pt>
                <c:pt idx="2193">
                  <c:v>2.1166095303488675E-2</c:v>
                </c:pt>
                <c:pt idx="2194">
                  <c:v>2.1166420476097514E-2</c:v>
                </c:pt>
                <c:pt idx="2195">
                  <c:v>2.1166722385075332E-2</c:v>
                </c:pt>
                <c:pt idx="2196">
                  <c:v>2.1167001030422128E-2</c:v>
                </c:pt>
                <c:pt idx="2197">
                  <c:v>2.1167256412217839E-2</c:v>
                </c:pt>
                <c:pt idx="2198">
                  <c:v>2.1167488530462464E-2</c:v>
                </c:pt>
                <c:pt idx="2199">
                  <c:v>2.1167697385076067E-2</c:v>
                </c:pt>
                <c:pt idx="2200">
                  <c:v>2.1167882976138586E-2</c:v>
                </c:pt>
                <c:pt idx="2201">
                  <c:v>2.1168045303570082E-2</c:v>
                </c:pt>
                <c:pt idx="2202">
                  <c:v>2.1168184367450493E-2</c:v>
                </c:pt>
                <c:pt idx="2203">
                  <c:v>2.1170818086421406E-2</c:v>
                </c:pt>
                <c:pt idx="2204">
                  <c:v>2.1168392704637995E-2</c:v>
                </c:pt>
                <c:pt idx="2205">
                  <c:v>2.1168461977705277E-2</c:v>
                </c:pt>
                <c:pt idx="2206">
                  <c:v>2.116850798730141E-2</c:v>
                </c:pt>
                <c:pt idx="2207">
                  <c:v>2.1168530733346458E-2</c:v>
                </c:pt>
                <c:pt idx="2208">
                  <c:v>2.1168530215680548E-2</c:v>
                </c:pt>
                <c:pt idx="2209">
                  <c:v>2.1168506434463552E-2</c:v>
                </c:pt>
                <c:pt idx="2210">
                  <c:v>2.1168459389775407E-2</c:v>
                </c:pt>
                <c:pt idx="2211">
                  <c:v>2.116838908145624E-2</c:v>
                </c:pt>
                <c:pt idx="2212">
                  <c:v>2.1168295509506052E-2</c:v>
                </c:pt>
                <c:pt idx="2213">
                  <c:v>2.1168178674004778E-2</c:v>
                </c:pt>
                <c:pt idx="2214">
                  <c:v>2.1168038575032355E-2</c:v>
                </c:pt>
                <c:pt idx="2215">
                  <c:v>2.1167875212348974E-2</c:v>
                </c:pt>
                <c:pt idx="2216">
                  <c:v>2.1167688586034572E-2</c:v>
                </c:pt>
                <c:pt idx="2217">
                  <c:v>2.1167478696328956E-2</c:v>
                </c:pt>
                <c:pt idx="2218">
                  <c:v>2.1167245542832447E-2</c:v>
                </c:pt>
                <c:pt idx="2219">
                  <c:v>2.1166989125864788E-2</c:v>
                </c:pt>
                <c:pt idx="2220">
                  <c:v>2.1166709445346044E-2</c:v>
                </c:pt>
                <c:pt idx="2221">
                  <c:v>2.1166406501196278E-2</c:v>
                </c:pt>
                <c:pt idx="2222">
                  <c:v>2.116608029341549E-2</c:v>
                </c:pt>
                <c:pt idx="2223">
                  <c:v>2.1165730822163553E-2</c:v>
                </c:pt>
                <c:pt idx="2224">
                  <c:v>2.1165358087280595E-2</c:v>
                </c:pt>
                <c:pt idx="2225">
                  <c:v>2.1164962088846551E-2</c:v>
                </c:pt>
                <c:pt idx="2226">
                  <c:v>2.1164542826781485E-2</c:v>
                </c:pt>
                <c:pt idx="2227">
                  <c:v>2.1164100301085398E-2</c:v>
                </c:pt>
                <c:pt idx="2228">
                  <c:v>2.1163634511918161E-2</c:v>
                </c:pt>
                <c:pt idx="2229">
                  <c:v>2.1163145459199839E-2</c:v>
                </c:pt>
                <c:pt idx="2230">
                  <c:v>2.1162633142770559E-2</c:v>
                </c:pt>
                <c:pt idx="2231">
                  <c:v>2.1162097562790194E-2</c:v>
                </c:pt>
                <c:pt idx="2232">
                  <c:v>2.1161538719418616E-2</c:v>
                </c:pt>
                <c:pt idx="2233">
                  <c:v>2.1160956612256143E-2</c:v>
                </c:pt>
                <c:pt idx="2234">
                  <c:v>2.1160351241462649E-2</c:v>
                </c:pt>
                <c:pt idx="2235">
                  <c:v>2.1159722607277942E-2</c:v>
                </c:pt>
                <c:pt idx="2236">
                  <c:v>2.1159070709462213E-2</c:v>
                </c:pt>
                <c:pt idx="2237">
                  <c:v>2.1158395548095399E-2</c:v>
                </c:pt>
                <c:pt idx="2238">
                  <c:v>2.1157697123017627E-2</c:v>
                </c:pt>
                <c:pt idx="2239">
                  <c:v>2.1156975434468706E-2</c:v>
                </c:pt>
                <c:pt idx="2240">
                  <c:v>2.1156230482288763E-2</c:v>
                </c:pt>
                <c:pt idx="2241">
                  <c:v>2.1155462266477798E-2</c:v>
                </c:pt>
                <c:pt idx="2242">
                  <c:v>2.1154670787195684E-2</c:v>
                </c:pt>
                <c:pt idx="2243">
                  <c:v>2.1153856044362485E-2</c:v>
                </c:pt>
                <c:pt idx="2244">
                  <c:v>2.1153018037898264E-2</c:v>
                </c:pt>
                <c:pt idx="2245">
                  <c:v>2.1152156767803021E-2</c:v>
                </c:pt>
                <c:pt idx="2246">
                  <c:v>2.1151272234316565E-2</c:v>
                </c:pt>
                <c:pt idx="2247">
                  <c:v>2.1150364437039215E-2</c:v>
                </c:pt>
                <c:pt idx="2248">
                  <c:v>2.114943337621078E-2</c:v>
                </c:pt>
                <c:pt idx="2249">
                  <c:v>2.1148479051831259E-2</c:v>
                </c:pt>
                <c:pt idx="2250">
                  <c:v>2.1147501463980589E-2</c:v>
                </c:pt>
                <c:pt idx="2251">
                  <c:v>2.1146500612498897E-2</c:v>
                </c:pt>
                <c:pt idx="2252">
                  <c:v>2.1145476497306248E-2</c:v>
                </c:pt>
                <c:pt idx="2253">
                  <c:v>2.1144429118722385E-2</c:v>
                </c:pt>
                <c:pt idx="2254">
                  <c:v>2.1145531468357959E-2</c:v>
                </c:pt>
                <c:pt idx="2255">
                  <c:v>2.1142264570581659E-2</c:v>
                </c:pt>
                <c:pt idx="2256">
                  <c:v>2.1141147401184668E-2</c:v>
                </c:pt>
                <c:pt idx="2257">
                  <c:v>2.1140006968236591E-2</c:v>
                </c:pt>
                <c:pt idx="2258">
                  <c:v>2.1138843271737429E-2</c:v>
                </c:pt>
                <c:pt idx="2259">
                  <c:v>2.1137656311527309E-2</c:v>
                </c:pt>
                <c:pt idx="2260">
                  <c:v>2.1136446087846039E-2</c:v>
                </c:pt>
                <c:pt idx="2261">
                  <c:v>2.113521260069362E-2</c:v>
                </c:pt>
                <c:pt idx="2262">
                  <c:v>2.1133955849830244E-2</c:v>
                </c:pt>
                <c:pt idx="2263">
                  <c:v>2.1132675835335846E-2</c:v>
                </c:pt>
                <c:pt idx="2264">
                  <c:v>2.1131372557450234E-2</c:v>
                </c:pt>
                <c:pt idx="2265">
                  <c:v>2.1130046015853665E-2</c:v>
                </c:pt>
                <c:pt idx="2266">
                  <c:v>2.1128696210626075E-2</c:v>
                </c:pt>
                <c:pt idx="2267">
                  <c:v>2.1127323141927334E-2</c:v>
                </c:pt>
                <c:pt idx="2268">
                  <c:v>2.1125926809757445E-2</c:v>
                </c:pt>
                <c:pt idx="2269">
                  <c:v>2.1124507213876598E-2</c:v>
                </c:pt>
                <c:pt idx="2270">
                  <c:v>2.1123064354364729E-2</c:v>
                </c:pt>
                <c:pt idx="2271">
                  <c:v>2.1121598231381711E-2</c:v>
                </c:pt>
                <c:pt idx="2272">
                  <c:v>2.1120108844847607E-2</c:v>
                </c:pt>
                <c:pt idx="2273">
                  <c:v>2.1118596194682482E-2</c:v>
                </c:pt>
                <c:pt idx="2274">
                  <c:v>2.1117060280886335E-2</c:v>
                </c:pt>
                <c:pt idx="2275">
                  <c:v>2.1115501103698975E-2</c:v>
                </c:pt>
                <c:pt idx="2276">
                  <c:v>2.1113918662880593E-2</c:v>
                </c:pt>
                <c:pt idx="2277">
                  <c:v>2.1112312958351254E-2</c:v>
                </c:pt>
                <c:pt idx="2278">
                  <c:v>2.1110683990350765E-2</c:v>
                </c:pt>
                <c:pt idx="2279">
                  <c:v>2.1109031758879127E-2</c:v>
                </c:pt>
                <c:pt idx="2280">
                  <c:v>2.1107356263696531E-2</c:v>
                </c:pt>
                <c:pt idx="2281">
                  <c:v>2.1105657504962849E-2</c:v>
                </c:pt>
                <c:pt idx="2282">
                  <c:v>2.1103935482678082E-2</c:v>
                </c:pt>
                <c:pt idx="2283">
                  <c:v>2.110219019684223E-2</c:v>
                </c:pt>
                <c:pt idx="2284">
                  <c:v>2.1100421647455292E-2</c:v>
                </c:pt>
                <c:pt idx="2285">
                  <c:v>2.1098629834437332E-2</c:v>
                </c:pt>
                <c:pt idx="2286">
                  <c:v>2.1096814757948223E-2</c:v>
                </c:pt>
                <c:pt idx="2287">
                  <c:v>2.1094976417828093E-2</c:v>
                </c:pt>
                <c:pt idx="2288">
                  <c:v>2.1093114814076941E-2</c:v>
                </c:pt>
                <c:pt idx="2289">
                  <c:v>2.1091229946854639E-2</c:v>
                </c:pt>
                <c:pt idx="2290">
                  <c:v>2.1089321816081252E-2</c:v>
                </c:pt>
                <c:pt idx="2291">
                  <c:v>2.1087390421676844E-2</c:v>
                </c:pt>
                <c:pt idx="2292">
                  <c:v>2.1085435763641414E-2</c:v>
                </c:pt>
                <c:pt idx="2293">
                  <c:v>2.108345784221477E-2</c:v>
                </c:pt>
                <c:pt idx="2294">
                  <c:v>2.1081456657157105E-2</c:v>
                </c:pt>
                <c:pt idx="2295">
                  <c:v>2.1079432208468418E-2</c:v>
                </c:pt>
                <c:pt idx="2296">
                  <c:v>2.1077384496228646E-2</c:v>
                </c:pt>
                <c:pt idx="2297">
                  <c:v>2.107531352059766E-2</c:v>
                </c:pt>
                <c:pt idx="2298">
                  <c:v>2.1073219281255717E-2</c:v>
                </c:pt>
                <c:pt idx="2299">
                  <c:v>2.1071101778282753E-2</c:v>
                </c:pt>
                <c:pt idx="2300">
                  <c:v>2.1068961011918574E-2</c:v>
                </c:pt>
                <c:pt idx="2301">
                  <c:v>2.1066796981843439E-2</c:v>
                </c:pt>
                <c:pt idx="2302">
                  <c:v>2.1064609688297153E-2</c:v>
                </c:pt>
                <c:pt idx="2303">
                  <c:v>2.1062399131119847E-2</c:v>
                </c:pt>
                <c:pt idx="2304">
                  <c:v>2.106016531047139E-2</c:v>
                </c:pt>
                <c:pt idx="2305">
                  <c:v>2.1059722119947111E-2</c:v>
                </c:pt>
                <c:pt idx="2306">
                  <c:v>2.1055627878361349E-2</c:v>
                </c:pt>
                <c:pt idx="2307">
                  <c:v>2.10533242669797E-2</c:v>
                </c:pt>
                <c:pt idx="2308">
                  <c:v>2.1050997392046966E-2</c:v>
                </c:pt>
                <c:pt idx="2309">
                  <c:v>2.1048647253563146E-2</c:v>
                </c:pt>
                <c:pt idx="2310">
                  <c:v>2.1046273851448305E-2</c:v>
                </c:pt>
                <c:pt idx="2311">
                  <c:v>2.104387718594225E-2</c:v>
                </c:pt>
                <c:pt idx="2312">
                  <c:v>2.1041457256805174E-2</c:v>
                </c:pt>
                <c:pt idx="2313">
                  <c:v>2.103901406395714E-2</c:v>
                </c:pt>
                <c:pt idx="2314">
                  <c:v>2.1036547607717893E-2</c:v>
                </c:pt>
                <c:pt idx="2315">
                  <c:v>2.103405788792756E-2</c:v>
                </c:pt>
                <c:pt idx="2316">
                  <c:v>2.1031544904506205E-2</c:v>
                </c:pt>
                <c:pt idx="2317">
                  <c:v>2.1029008657533765E-2</c:v>
                </c:pt>
                <c:pt idx="2318">
                  <c:v>2.1026449147170112E-2</c:v>
                </c:pt>
                <c:pt idx="2319">
                  <c:v>2.1023866373095501E-2</c:v>
                </c:pt>
                <c:pt idx="2320">
                  <c:v>2.1021260335469805E-2</c:v>
                </c:pt>
                <c:pt idx="2321">
                  <c:v>2.1018631034293023E-2</c:v>
                </c:pt>
                <c:pt idx="2322">
                  <c:v>2.1015978469645091E-2</c:v>
                </c:pt>
                <c:pt idx="2323">
                  <c:v>2.1013302641366138E-2</c:v>
                </c:pt>
                <c:pt idx="2324">
                  <c:v>2.10106035495361E-2</c:v>
                </c:pt>
                <c:pt idx="2325">
                  <c:v>2.1007881194154976E-2</c:v>
                </c:pt>
                <c:pt idx="2326">
                  <c:v>2.1005135575302702E-2</c:v>
                </c:pt>
                <c:pt idx="2327">
                  <c:v>2.1002366692819407E-2</c:v>
                </c:pt>
                <c:pt idx="2328">
                  <c:v>2.0999574546785027E-2</c:v>
                </c:pt>
                <c:pt idx="2329">
                  <c:v>2.0996759137279497E-2</c:v>
                </c:pt>
                <c:pt idx="2330">
                  <c:v>2.0993920464142946E-2</c:v>
                </c:pt>
                <c:pt idx="2331">
                  <c:v>2.0991058527455309E-2</c:v>
                </c:pt>
                <c:pt idx="2332">
                  <c:v>2.0988173327296522E-2</c:v>
                </c:pt>
                <c:pt idx="2333">
                  <c:v>2.098526486358665E-2</c:v>
                </c:pt>
                <c:pt idx="2334">
                  <c:v>2.0982333136245757E-2</c:v>
                </c:pt>
                <c:pt idx="2335">
                  <c:v>2.0979378145433714E-2</c:v>
                </c:pt>
                <c:pt idx="2336">
                  <c:v>2.0976399891070585E-2</c:v>
                </c:pt>
                <c:pt idx="2337">
                  <c:v>2.0973398373156371E-2</c:v>
                </c:pt>
                <c:pt idx="2338">
                  <c:v>2.0970373591771008E-2</c:v>
                </c:pt>
                <c:pt idx="2339">
                  <c:v>2.0967325546674687E-2</c:v>
                </c:pt>
                <c:pt idx="2340">
                  <c:v>2.0964254238187152E-2</c:v>
                </c:pt>
                <c:pt idx="2341">
                  <c:v>2.0961159666068596E-2</c:v>
                </c:pt>
                <c:pt idx="2342">
                  <c:v>2.0958041830398955E-2</c:v>
                </c:pt>
                <c:pt idx="2343">
                  <c:v>2.0954900731258164E-2</c:v>
                </c:pt>
                <c:pt idx="2344">
                  <c:v>2.0952429240566062E-2</c:v>
                </c:pt>
                <c:pt idx="2345">
                  <c:v>2.0948852482609581E-2</c:v>
                </c:pt>
                <c:pt idx="2346">
                  <c:v>2.094563457168519E-2</c:v>
                </c:pt>
                <c:pt idx="2347">
                  <c:v>2.0942393394545178E-2</c:v>
                </c:pt>
                <c:pt idx="2348">
                  <c:v>2.0939128951242836E-2</c:v>
                </c:pt>
                <c:pt idx="2349">
                  <c:v>2.0935841241751518E-2</c:v>
                </c:pt>
                <c:pt idx="2350">
                  <c:v>2.0932530266071225E-2</c:v>
                </c:pt>
                <c:pt idx="2351">
                  <c:v>2.0929196024201957E-2</c:v>
                </c:pt>
                <c:pt idx="2352">
                  <c:v>2.0925838516197004E-2</c:v>
                </c:pt>
                <c:pt idx="2353">
                  <c:v>2.092245774197643E-2</c:v>
                </c:pt>
                <c:pt idx="2354">
                  <c:v>2.0919053701620172E-2</c:v>
                </c:pt>
                <c:pt idx="2355">
                  <c:v>2.0915626395074938E-2</c:v>
                </c:pt>
                <c:pt idx="2356">
                  <c:v>2.0912175822367374E-2</c:v>
                </c:pt>
                <c:pt idx="2357">
                  <c:v>2.0908701983470834E-2</c:v>
                </c:pt>
                <c:pt idx="2358">
                  <c:v>2.0905204878411965E-2</c:v>
                </c:pt>
                <c:pt idx="2359">
                  <c:v>2.0901684507217411E-2</c:v>
                </c:pt>
                <c:pt idx="2360">
                  <c:v>2.0895402353273695E-2</c:v>
                </c:pt>
                <c:pt idx="2361">
                  <c:v>2.0894573966314667E-2</c:v>
                </c:pt>
                <c:pt idx="2362">
                  <c:v>2.0888741840972003E-2</c:v>
                </c:pt>
                <c:pt idx="2363">
                  <c:v>2.0885122177682902E-2</c:v>
                </c:pt>
                <c:pt idx="2364">
                  <c:v>2.0881479250922652E-2</c:v>
                </c:pt>
                <c:pt idx="2365">
                  <c:v>2.0877813060611317E-2</c:v>
                </c:pt>
                <c:pt idx="2366">
                  <c:v>2.0874123606748896E-2</c:v>
                </c:pt>
                <c:pt idx="2367">
                  <c:v>2.0870410889335389E-2</c:v>
                </c:pt>
                <c:pt idx="2368">
                  <c:v>2.0866674908450733E-2</c:v>
                </c:pt>
                <c:pt idx="2369">
                  <c:v>2.0862915664094928E-2</c:v>
                </c:pt>
                <c:pt idx="2370">
                  <c:v>2.0859133156028165E-2</c:v>
                </c:pt>
                <c:pt idx="2371">
                  <c:v>2.0855327384650124E-2</c:v>
                </c:pt>
                <c:pt idx="2372">
                  <c:v>2.0851498349641062E-2</c:v>
                </c:pt>
                <c:pt idx="2373">
                  <c:v>2.0847646051080915E-2</c:v>
                </c:pt>
                <c:pt idx="2374">
                  <c:v>2.0843770489049618E-2</c:v>
                </c:pt>
                <c:pt idx="2375">
                  <c:v>2.0839871663547171E-2</c:v>
                </c:pt>
                <c:pt idx="2376">
                  <c:v>2.083594957449364E-2</c:v>
                </c:pt>
                <c:pt idx="2377">
                  <c:v>2.0832004221889022E-2</c:v>
                </c:pt>
                <c:pt idx="2378">
                  <c:v>2.0828035605813255E-2</c:v>
                </c:pt>
                <c:pt idx="2379">
                  <c:v>2.0824043726106467E-2</c:v>
                </c:pt>
                <c:pt idx="2380">
                  <c:v>2.0820028583008465E-2</c:v>
                </c:pt>
                <c:pt idx="2381">
                  <c:v>2.0815990176359378E-2</c:v>
                </c:pt>
                <c:pt idx="2382">
                  <c:v>2.0811928506239141E-2</c:v>
                </c:pt>
                <c:pt idx="2383">
                  <c:v>2.0807843572567819E-2</c:v>
                </c:pt>
                <c:pt idx="2384">
                  <c:v>2.0803735375425347E-2</c:v>
                </c:pt>
                <c:pt idx="2385">
                  <c:v>2.0799603914811726E-2</c:v>
                </c:pt>
                <c:pt idx="2386">
                  <c:v>2.0795449190567084E-2</c:v>
                </c:pt>
                <c:pt idx="2387">
                  <c:v>2.0791271202851291E-2</c:v>
                </c:pt>
                <c:pt idx="2388">
                  <c:v>2.0787069951584414E-2</c:v>
                </c:pt>
                <c:pt idx="2389">
                  <c:v>2.0782845436926323E-2</c:v>
                </c:pt>
                <c:pt idx="2390">
                  <c:v>2.0778597658717146E-2</c:v>
                </c:pt>
                <c:pt idx="2391">
                  <c:v>2.0774326616876948E-2</c:v>
                </c:pt>
                <c:pt idx="2392">
                  <c:v>2.0770032311725473E-2</c:v>
                </c:pt>
                <c:pt idx="2393">
                  <c:v>2.0765714742942976E-2</c:v>
                </c:pt>
                <c:pt idx="2394">
                  <c:v>2.0761373910769265E-2</c:v>
                </c:pt>
                <c:pt idx="2395">
                  <c:v>2.0757009814884597E-2</c:v>
                </c:pt>
                <c:pt idx="2396">
                  <c:v>2.0752277321607338E-2</c:v>
                </c:pt>
                <c:pt idx="2397">
                  <c:v>2.0747579844879738E-2</c:v>
                </c:pt>
                <c:pt idx="2398">
                  <c:v>2.0743142635399892E-2</c:v>
                </c:pt>
                <c:pt idx="2399">
                  <c:v>2.0738682162289024E-2</c:v>
                </c:pt>
                <c:pt idx="2400">
                  <c:v>2.0734198425627071E-2</c:v>
                </c:pt>
                <c:pt idx="2401">
                  <c:v>2.072969142565384E-2</c:v>
                </c:pt>
                <c:pt idx="2402">
                  <c:v>2.0725161162049588E-2</c:v>
                </c:pt>
                <c:pt idx="2403">
                  <c:v>2.072060763489425E-2</c:v>
                </c:pt>
                <c:pt idx="2404">
                  <c:v>2.0716030844267763E-2</c:v>
                </c:pt>
                <c:pt idx="2405">
                  <c:v>2.0711430790329999E-2</c:v>
                </c:pt>
                <c:pt idx="2406">
                  <c:v>2.0706807472761213E-2</c:v>
                </c:pt>
                <c:pt idx="2407">
                  <c:v>2.0702160891641341E-2</c:v>
                </c:pt>
                <c:pt idx="2408">
                  <c:v>2.069749104705032E-2</c:v>
                </c:pt>
                <c:pt idx="2409">
                  <c:v>2.0692797939068086E-2</c:v>
                </c:pt>
                <c:pt idx="2410">
                  <c:v>2.0686729759908928E-2</c:v>
                </c:pt>
                <c:pt idx="2411">
                  <c:v>2.0681983478221255E-2</c:v>
                </c:pt>
                <c:pt idx="2412">
                  <c:v>2.0677213933062433E-2</c:v>
                </c:pt>
                <c:pt idx="2413">
                  <c:v>2.0672234264731415E-2</c:v>
                </c:pt>
                <c:pt idx="2414">
                  <c:v>2.0667605052091531E-2</c:v>
                </c:pt>
                <c:pt idx="2415">
                  <c:v>2.0662765716439324E-2</c:v>
                </c:pt>
                <c:pt idx="2416">
                  <c:v>2.0657903117395904E-2</c:v>
                </c:pt>
                <c:pt idx="2417">
                  <c:v>2.0653017254641526E-2</c:v>
                </c:pt>
                <c:pt idx="2418">
                  <c:v>2.0648108128495934E-2</c:v>
                </c:pt>
                <c:pt idx="2419">
                  <c:v>2.0643175739039066E-2</c:v>
                </c:pt>
                <c:pt idx="2420">
                  <c:v>2.0638220085951176E-2</c:v>
                </c:pt>
                <c:pt idx="2421">
                  <c:v>2.06332411693122E-2</c:v>
                </c:pt>
                <c:pt idx="2422">
                  <c:v>2.0628238989361947E-2</c:v>
                </c:pt>
                <c:pt idx="2423">
                  <c:v>2.0623213545860608E-2</c:v>
                </c:pt>
                <c:pt idx="2424">
                  <c:v>2.0618164838808184E-2</c:v>
                </c:pt>
                <c:pt idx="2425">
                  <c:v>2.0613092868364546E-2</c:v>
                </c:pt>
                <c:pt idx="2426">
                  <c:v>2.060799763444976E-2</c:v>
                </c:pt>
                <c:pt idx="2427">
                  <c:v>2.0602879137063823E-2</c:v>
                </c:pt>
                <c:pt idx="2428">
                  <c:v>2.0597737376206737E-2</c:v>
                </c:pt>
                <c:pt idx="2429">
                  <c:v>2.0592572351878502E-2</c:v>
                </c:pt>
                <c:pt idx="2430">
                  <c:v>2.0587384064079117E-2</c:v>
                </c:pt>
                <c:pt idx="2431">
                  <c:v>2.0582172512808583E-2</c:v>
                </c:pt>
                <c:pt idx="2432">
                  <c:v>2.0576937697986963E-2</c:v>
                </c:pt>
                <c:pt idx="2433">
                  <c:v>2.0571679619854066E-2</c:v>
                </c:pt>
                <c:pt idx="2434">
                  <c:v>2.0566398278170084E-2</c:v>
                </c:pt>
                <c:pt idx="2435">
                  <c:v>2.0561093672935016E-2</c:v>
                </c:pt>
                <c:pt idx="2436">
                  <c:v>2.055576580438867E-2</c:v>
                </c:pt>
                <c:pt idx="2437">
                  <c:v>2.055041467229124E-2</c:v>
                </c:pt>
                <c:pt idx="2438">
                  <c:v>2.0545040276882531E-2</c:v>
                </c:pt>
                <c:pt idx="2439">
                  <c:v>2.0539642617842802E-2</c:v>
                </c:pt>
                <c:pt idx="2440">
                  <c:v>2.0534221695411858E-2</c:v>
                </c:pt>
                <c:pt idx="2441">
                  <c:v>2.0528777509509766E-2</c:v>
                </c:pt>
                <c:pt idx="2442">
                  <c:v>2.0523310060136524E-2</c:v>
                </c:pt>
                <c:pt idx="2443">
                  <c:v>2.0517819347292132E-2</c:v>
                </c:pt>
                <c:pt idx="2444">
                  <c:v>2.0512305371056527E-2</c:v>
                </c:pt>
                <c:pt idx="2445">
                  <c:v>2.0506768131349773E-2</c:v>
                </c:pt>
                <c:pt idx="2446">
                  <c:v>2.0501207628091933E-2</c:v>
                </c:pt>
                <c:pt idx="2447">
                  <c:v>2.0492422692912626E-2</c:v>
                </c:pt>
                <c:pt idx="2448">
                  <c:v>2.0489576455400282E-2</c:v>
                </c:pt>
                <c:pt idx="2449">
                  <c:v>2.0484386537971133E-2</c:v>
                </c:pt>
                <c:pt idx="2450">
                  <c:v>2.0478732980908632E-2</c:v>
                </c:pt>
                <c:pt idx="2451">
                  <c:v>2.0473056160454917E-2</c:v>
                </c:pt>
                <c:pt idx="2452">
                  <c:v>2.0467356076609988E-2</c:v>
                </c:pt>
                <c:pt idx="2453">
                  <c:v>2.0461632729373846E-2</c:v>
                </c:pt>
                <c:pt idx="2454">
                  <c:v>2.0455886118506683E-2</c:v>
                </c:pt>
                <c:pt idx="2455">
                  <c:v>2.0450116244408179E-2</c:v>
                </c:pt>
                <c:pt idx="2456">
                  <c:v>2.0444323106758588E-2</c:v>
                </c:pt>
                <c:pt idx="2457">
                  <c:v>2.0438506705557913E-2</c:v>
                </c:pt>
                <c:pt idx="2458">
                  <c:v>2.0432667041125896E-2</c:v>
                </c:pt>
                <c:pt idx="2459">
                  <c:v>2.0426804113142794E-2</c:v>
                </c:pt>
                <c:pt idx="2460">
                  <c:v>2.0421547897695902E-2</c:v>
                </c:pt>
                <c:pt idx="2461">
                  <c:v>2.0415008466843076E-2</c:v>
                </c:pt>
                <c:pt idx="2462">
                  <c:v>2.0409075748606398E-2</c:v>
                </c:pt>
                <c:pt idx="2463">
                  <c:v>2.0403119766978506E-2</c:v>
                </c:pt>
                <c:pt idx="2464">
                  <c:v>2.0397140521719592E-2</c:v>
                </c:pt>
                <c:pt idx="2465">
                  <c:v>2.0391580778094109E-2</c:v>
                </c:pt>
                <c:pt idx="2466">
                  <c:v>2.0385112241267933E-2</c:v>
                </c:pt>
                <c:pt idx="2467">
                  <c:v>2.0379063205835379E-2</c:v>
                </c:pt>
                <c:pt idx="2468">
                  <c:v>2.0372990906931676E-2</c:v>
                </c:pt>
                <c:pt idx="2469">
                  <c:v>2.0366895344716696E-2</c:v>
                </c:pt>
                <c:pt idx="2470">
                  <c:v>2.036077651895063E-2</c:v>
                </c:pt>
                <c:pt idx="2471">
                  <c:v>2.035463442979335E-2</c:v>
                </c:pt>
                <c:pt idx="2472">
                  <c:v>2.0348469077164921E-2</c:v>
                </c:pt>
                <c:pt idx="2473">
                  <c:v>2.0342280461305151E-2</c:v>
                </c:pt>
                <c:pt idx="2474">
                  <c:v>2.0336068581894295E-2</c:v>
                </c:pt>
                <c:pt idx="2475">
                  <c:v>2.032983343901229E-2</c:v>
                </c:pt>
                <c:pt idx="2476">
                  <c:v>2.0323575032898944E-2</c:v>
                </c:pt>
                <c:pt idx="2477">
                  <c:v>2.0317293363234512E-2</c:v>
                </c:pt>
                <c:pt idx="2478">
                  <c:v>2.0310988430178867E-2</c:v>
                </c:pt>
                <c:pt idx="2479">
                  <c:v>2.0304660233652072E-2</c:v>
                </c:pt>
                <c:pt idx="2480">
                  <c:v>2.0298308773734064E-2</c:v>
                </c:pt>
                <c:pt idx="2481">
                  <c:v>2.0291934050424842E-2</c:v>
                </c:pt>
                <c:pt idx="2482">
                  <c:v>2.0285536063644471E-2</c:v>
                </c:pt>
                <c:pt idx="2483">
                  <c:v>2.0279114813552823E-2</c:v>
                </c:pt>
                <c:pt idx="2484">
                  <c:v>2.0272670300069962E-2</c:v>
                </c:pt>
                <c:pt idx="2485">
                  <c:v>2.026620252311595E-2</c:v>
                </c:pt>
                <c:pt idx="2486">
                  <c:v>2.025971148269079E-2</c:v>
                </c:pt>
                <c:pt idx="2487">
                  <c:v>2.0253197178954352E-2</c:v>
                </c:pt>
                <c:pt idx="2488">
                  <c:v>2.0246659611826701E-2</c:v>
                </c:pt>
                <c:pt idx="2489">
                  <c:v>2.02400987812279E-2</c:v>
                </c:pt>
                <c:pt idx="2490">
                  <c:v>2.0233514687237886E-2</c:v>
                </c:pt>
                <c:pt idx="2491">
                  <c:v>2.0226907329936594E-2</c:v>
                </c:pt>
                <c:pt idx="2492">
                  <c:v>2.0220279457525692E-2</c:v>
                </c:pt>
                <c:pt idx="2493">
                  <c:v>2.0213662025243551E-2</c:v>
                </c:pt>
                <c:pt idx="2494">
                  <c:v>2.0207063856672036E-2</c:v>
                </c:pt>
                <c:pt idx="2495">
                  <c:v>2.0200484952050957E-2</c:v>
                </c:pt>
                <c:pt idx="2496">
                  <c:v>2.0193925311060568E-2</c:v>
                </c:pt>
                <c:pt idx="2497">
                  <c:v>2.0187384933860741E-2</c:v>
                </c:pt>
                <c:pt idx="2498">
                  <c:v>2.0180863820531414E-2</c:v>
                </c:pt>
                <c:pt idx="2499">
                  <c:v>2.017466715269256E-2</c:v>
                </c:pt>
                <c:pt idx="2500">
                  <c:v>2.0168187605833499E-2</c:v>
                </c:pt>
                <c:pt idx="2501">
                  <c:v>2.0161416063047E-2</c:v>
                </c:pt>
                <c:pt idx="2502">
                  <c:v>2.0154972004879923E-2</c:v>
                </c:pt>
                <c:pt idx="2503">
                  <c:v>2.0148547210343537E-2</c:v>
                </c:pt>
                <c:pt idx="2504">
                  <c:v>2.0142141679597714E-2</c:v>
                </c:pt>
                <c:pt idx="2505">
                  <c:v>2.0135755412642453E-2</c:v>
                </c:pt>
                <c:pt idx="2506">
                  <c:v>2.0129388409477755E-2</c:v>
                </c:pt>
                <c:pt idx="2507">
                  <c:v>2.012304067010362E-2</c:v>
                </c:pt>
                <c:pt idx="2508">
                  <c:v>2.0116712194440112E-2</c:v>
                </c:pt>
                <c:pt idx="2509">
                  <c:v>2.0110402982567166E-2</c:v>
                </c:pt>
                <c:pt idx="2510">
                  <c:v>2.0104113034484783E-2</c:v>
                </c:pt>
                <c:pt idx="2511">
                  <c:v>2.0097842350113027E-2</c:v>
                </c:pt>
                <c:pt idx="2512">
                  <c:v>2.0091590929611769E-2</c:v>
                </c:pt>
                <c:pt idx="2513">
                  <c:v>2.0085358772741202E-2</c:v>
                </c:pt>
                <c:pt idx="2514">
                  <c:v>2.007914587982107E-2</c:v>
                </c:pt>
                <c:pt idx="2515">
                  <c:v>2.0073424767884873E-2</c:v>
                </c:pt>
                <c:pt idx="2516">
                  <c:v>2.0066777884952813E-2</c:v>
                </c:pt>
                <c:pt idx="2517">
                  <c:v>2.0060622783244497E-2</c:v>
                </c:pt>
                <c:pt idx="2518">
                  <c:v>2.0054486945246808E-2</c:v>
                </c:pt>
                <c:pt idx="2519">
                  <c:v>2.0048370370959745E-2</c:v>
                </c:pt>
                <c:pt idx="2520">
                  <c:v>2.0042273060543181E-2</c:v>
                </c:pt>
                <c:pt idx="2521">
                  <c:v>2.0036195013837244E-2</c:v>
                </c:pt>
                <c:pt idx="2522">
                  <c:v>2.0030136230841933E-2</c:v>
                </c:pt>
                <c:pt idx="2523">
                  <c:v>2.0024096711637185E-2</c:v>
                </c:pt>
                <c:pt idx="2524">
                  <c:v>2.0018076456223E-2</c:v>
                </c:pt>
                <c:pt idx="2525">
                  <c:v>2.0012075464519441E-2</c:v>
                </c:pt>
                <c:pt idx="2526">
                  <c:v>2.0006093736526509E-2</c:v>
                </c:pt>
                <c:pt idx="2527">
                  <c:v>2.0000131272404076E-2</c:v>
                </c:pt>
                <c:pt idx="2528">
                  <c:v>1.9994188071912333E-2</c:v>
                </c:pt>
                <c:pt idx="2529">
                  <c:v>1.9988264135131217E-2</c:v>
                </c:pt>
                <c:pt idx="2530">
                  <c:v>1.99823594622206E-2</c:v>
                </c:pt>
                <c:pt idx="2531">
                  <c:v>1.997647405302061E-2</c:v>
                </c:pt>
                <c:pt idx="2532">
                  <c:v>1.9970607907611182E-2</c:v>
                </c:pt>
                <c:pt idx="2533">
                  <c:v>1.9964761025832445E-2</c:v>
                </c:pt>
                <c:pt idx="2534">
                  <c:v>1.9958933407924206E-2</c:v>
                </c:pt>
                <c:pt idx="2535">
                  <c:v>1.9953125053726595E-2</c:v>
                </c:pt>
                <c:pt idx="2536">
                  <c:v>1.9947335963159674E-2</c:v>
                </c:pt>
                <c:pt idx="2537">
                  <c:v>1.9941566136463251E-2</c:v>
                </c:pt>
                <c:pt idx="2538">
                  <c:v>1.9935815573477456E-2</c:v>
                </c:pt>
                <c:pt idx="2539">
                  <c:v>1.9930084274202287E-2</c:v>
                </c:pt>
                <c:pt idx="2540">
                  <c:v>1.9924372238637744E-2</c:v>
                </c:pt>
                <c:pt idx="2541">
                  <c:v>1.9918679466943701E-2</c:v>
                </c:pt>
                <c:pt idx="2542">
                  <c:v>1.9913005958880348E-2</c:v>
                </c:pt>
                <c:pt idx="2543">
                  <c:v>1.9907351714607557E-2</c:v>
                </c:pt>
                <c:pt idx="2544">
                  <c:v>1.9901716733885522E-2</c:v>
                </c:pt>
                <c:pt idx="2545">
                  <c:v>1.9896101017193857E-2</c:v>
                </c:pt>
                <c:pt idx="2546">
                  <c:v>1.9890504564052947E-2</c:v>
                </c:pt>
                <c:pt idx="2547">
                  <c:v>1.9884927374702599E-2</c:v>
                </c:pt>
                <c:pt idx="2548">
                  <c:v>1.9879369449062878E-2</c:v>
                </c:pt>
                <c:pt idx="2549">
                  <c:v>1.9873830787133784E-2</c:v>
                </c:pt>
                <c:pt idx="2550">
                  <c:v>1.9868311388995252E-2</c:v>
                </c:pt>
                <c:pt idx="2551">
                  <c:v>1.9862811254487411E-2</c:v>
                </c:pt>
                <c:pt idx="2552">
                  <c:v>1.9857330383770133E-2</c:v>
                </c:pt>
                <c:pt idx="2553">
                  <c:v>1.9851868776763482E-2</c:v>
                </c:pt>
                <c:pt idx="2554">
                  <c:v>1.9846426433627329E-2</c:v>
                </c:pt>
                <c:pt idx="2555">
                  <c:v>1.9841003353882058E-2</c:v>
                </c:pt>
                <c:pt idx="2556">
                  <c:v>1.9835599538167159E-2</c:v>
                </c:pt>
                <c:pt idx="2557">
                  <c:v>1.983021498608295E-2</c:v>
                </c:pt>
                <c:pt idx="2558">
                  <c:v>1.9824849697629432E-2</c:v>
                </c:pt>
                <c:pt idx="2559">
                  <c:v>1.9819503673046412E-2</c:v>
                </c:pt>
                <c:pt idx="2560">
                  <c:v>1.9814176912094084E-2</c:v>
                </c:pt>
                <c:pt idx="2561">
                  <c:v>1.9808869414932317E-2</c:v>
                </c:pt>
                <c:pt idx="2562">
                  <c:v>1.9803581181321306E-2</c:v>
                </c:pt>
                <c:pt idx="2563">
                  <c:v>1.9798312211660729E-2</c:v>
                </c:pt>
                <c:pt idx="2564">
                  <c:v>1.9793062505630843E-2</c:v>
                </c:pt>
                <c:pt idx="2565">
                  <c:v>1.9788516698236336E-2</c:v>
                </c:pt>
                <c:pt idx="2566">
                  <c:v>1.9782620884543078E-2</c:v>
                </c:pt>
                <c:pt idx="2567">
                  <c:v>1.9777428969725008E-2</c:v>
                </c:pt>
                <c:pt idx="2568">
                  <c:v>1.9772256318537629E-2</c:v>
                </c:pt>
                <c:pt idx="2569">
                  <c:v>1.9767102931060876E-2</c:v>
                </c:pt>
                <c:pt idx="2570">
                  <c:v>1.976196880729475E-2</c:v>
                </c:pt>
                <c:pt idx="2571">
                  <c:v>1.975685394723925E-2</c:v>
                </c:pt>
                <c:pt idx="2572">
                  <c:v>1.9751758350894377E-2</c:v>
                </c:pt>
                <c:pt idx="2573">
                  <c:v>1.9746682018180195E-2</c:v>
                </c:pt>
                <c:pt idx="2574">
                  <c:v>1.9741624949336511E-2</c:v>
                </c:pt>
                <c:pt idx="2575">
                  <c:v>1.9736587144123519E-2</c:v>
                </c:pt>
                <c:pt idx="2576">
                  <c:v>1.9731568602541216E-2</c:v>
                </c:pt>
                <c:pt idx="2577">
                  <c:v>1.9726569324749477E-2</c:v>
                </c:pt>
                <c:pt idx="2578">
                  <c:v>1.97215893107483E-2</c:v>
                </c:pt>
                <c:pt idx="2579">
                  <c:v>1.9716628560297877E-2</c:v>
                </c:pt>
                <c:pt idx="2580">
                  <c:v>1.9711687073558082E-2</c:v>
                </c:pt>
                <c:pt idx="2581">
                  <c:v>1.9706764850608849E-2</c:v>
                </c:pt>
                <c:pt idx="2582">
                  <c:v>1.9701861891370243E-2</c:v>
                </c:pt>
                <c:pt idx="2583">
                  <c:v>1.9696978195762327E-2</c:v>
                </c:pt>
                <c:pt idx="2584">
                  <c:v>1.9692113763944974E-2</c:v>
                </c:pt>
                <c:pt idx="2585">
                  <c:v>1.9687268595758312E-2</c:v>
                </c:pt>
                <c:pt idx="2586">
                  <c:v>1.9682442691282276E-2</c:v>
                </c:pt>
                <c:pt idx="2587">
                  <c:v>1.9677636050436931E-2</c:v>
                </c:pt>
                <c:pt idx="2588">
                  <c:v>1.9672848673462084E-2</c:v>
                </c:pt>
                <c:pt idx="2589">
                  <c:v>1.9668080560037993E-2</c:v>
                </c:pt>
                <c:pt idx="2590">
                  <c:v>1.9663331710324528E-2</c:v>
                </c:pt>
                <c:pt idx="2591">
                  <c:v>1.9658602124321689E-2</c:v>
                </c:pt>
                <c:pt idx="2592">
                  <c:v>1.9653891802109413E-2</c:v>
                </c:pt>
                <c:pt idx="2593">
                  <c:v>1.9649200743527828E-2</c:v>
                </c:pt>
                <c:pt idx="2594">
                  <c:v>1.9644528948496998E-2</c:v>
                </c:pt>
                <c:pt idx="2595">
                  <c:v>1.9639876417336666E-2</c:v>
                </c:pt>
                <c:pt idx="2596">
                  <c:v>1.9635243149886961E-2</c:v>
                </c:pt>
                <c:pt idx="2597">
                  <c:v>1.9630629146067946E-2</c:v>
                </c:pt>
                <c:pt idx="2598">
                  <c:v>1.9626034405879622E-2</c:v>
                </c:pt>
                <c:pt idx="2599">
                  <c:v>1.9621458929481861E-2</c:v>
                </c:pt>
                <c:pt idx="2600">
                  <c:v>1.961690271671479E-2</c:v>
                </c:pt>
                <c:pt idx="2601">
                  <c:v>1.961236576757841E-2</c:v>
                </c:pt>
                <c:pt idx="2602">
                  <c:v>1.9607848082232593E-2</c:v>
                </c:pt>
                <c:pt idx="2603">
                  <c:v>1.9603349660597402E-2</c:v>
                </c:pt>
                <c:pt idx="2604">
                  <c:v>1.9598875997277609E-2</c:v>
                </c:pt>
                <c:pt idx="2605">
                  <c:v>1.9594206405617598E-2</c:v>
                </c:pt>
                <c:pt idx="2606">
                  <c:v>1.958977079616453E-2</c:v>
                </c:pt>
                <c:pt idx="2607">
                  <c:v>1.9585354452580361E-2</c:v>
                </c:pt>
                <c:pt idx="2608">
                  <c:v>1.9580957374918384E-2</c:v>
                </c:pt>
                <c:pt idx="2609">
                  <c:v>1.9576579563125307E-2</c:v>
                </c:pt>
                <c:pt idx="2610">
                  <c:v>1.9572221017227776E-2</c:v>
                </c:pt>
                <c:pt idx="2611">
                  <c:v>1.9567881737199144E-2</c:v>
                </c:pt>
                <c:pt idx="2612">
                  <c:v>1.9563561723066059E-2</c:v>
                </c:pt>
                <c:pt idx="2613">
                  <c:v>1.9559260974775228E-2</c:v>
                </c:pt>
                <c:pt idx="2614">
                  <c:v>1.9554979492406588E-2</c:v>
                </c:pt>
                <c:pt idx="2615">
                  <c:v>1.9550717275880203E-2</c:v>
                </c:pt>
                <c:pt idx="2616">
                  <c:v>1.9546474325222718E-2</c:v>
                </c:pt>
                <c:pt idx="2617">
                  <c:v>1.9542250640407488E-2</c:v>
                </c:pt>
                <c:pt idx="2618">
                  <c:v>1.9538046221541094E-2</c:v>
                </c:pt>
                <c:pt idx="2619">
                  <c:v>1.9533861068463665E-2</c:v>
                </c:pt>
                <c:pt idx="2620">
                  <c:v>1.9526856387122038E-2</c:v>
                </c:pt>
                <c:pt idx="2621">
                  <c:v>1.9525548559942152E-2</c:v>
                </c:pt>
                <c:pt idx="2622">
                  <c:v>1.9521421204471423E-2</c:v>
                </c:pt>
                <c:pt idx="2623">
                  <c:v>1.9517313114869594E-2</c:v>
                </c:pt>
                <c:pt idx="2624">
                  <c:v>1.9513224291110021E-2</c:v>
                </c:pt>
                <c:pt idx="2625">
                  <c:v>1.9509154733192702E-2</c:v>
                </c:pt>
                <c:pt idx="2626">
                  <c:v>1.9505104441144283E-2</c:v>
                </c:pt>
                <c:pt idx="2627">
                  <c:v>1.9501073414911474E-2</c:v>
                </c:pt>
                <c:pt idx="2628">
                  <c:v>1.949706165457421E-2</c:v>
                </c:pt>
                <c:pt idx="2629">
                  <c:v>1.9493069160052556E-2</c:v>
                </c:pt>
                <c:pt idx="2630">
                  <c:v>1.9489095931373157E-2</c:v>
                </c:pt>
                <c:pt idx="2631">
                  <c:v>1.9485141968536013E-2</c:v>
                </c:pt>
                <c:pt idx="2632">
                  <c:v>1.9481207271567769E-2</c:v>
                </c:pt>
                <c:pt idx="2633">
                  <c:v>1.9477291840388489E-2</c:v>
                </c:pt>
                <c:pt idx="2634">
                  <c:v>1.9473395675051464E-2</c:v>
                </c:pt>
                <c:pt idx="2635">
                  <c:v>1.9469518775556693E-2</c:v>
                </c:pt>
                <c:pt idx="2636">
                  <c:v>1.9465661141904178E-2</c:v>
                </c:pt>
                <c:pt idx="2637">
                  <c:v>1.9461822774067272E-2</c:v>
                </c:pt>
                <c:pt idx="2638">
                  <c:v>1.9458003672072621E-2</c:v>
                </c:pt>
                <c:pt idx="2639">
                  <c:v>1.9454203835866934E-2</c:v>
                </c:pt>
                <c:pt idx="2640">
                  <c:v>1.9450423265556793E-2</c:v>
                </c:pt>
                <c:pt idx="2641">
                  <c:v>1.9446661961035616E-2</c:v>
                </c:pt>
                <c:pt idx="2642">
                  <c:v>1.9442919922330049E-2</c:v>
                </c:pt>
                <c:pt idx="2643">
                  <c:v>1.9439197149440091E-2</c:v>
                </c:pt>
                <c:pt idx="2644">
                  <c:v>1.9435493642339097E-2</c:v>
                </c:pt>
                <c:pt idx="2645">
                  <c:v>1.9431809401107003E-2</c:v>
                </c:pt>
                <c:pt idx="2646">
                  <c:v>1.9428144425637228E-2</c:v>
                </c:pt>
                <c:pt idx="2647">
                  <c:v>1.9424498716036354E-2</c:v>
                </c:pt>
                <c:pt idx="2648">
                  <c:v>1.9420872272171152E-2</c:v>
                </c:pt>
                <c:pt idx="2649">
                  <c:v>1.9417265094174851E-2</c:v>
                </c:pt>
                <c:pt idx="2650">
                  <c:v>1.9413677181940869E-2</c:v>
                </c:pt>
                <c:pt idx="2651">
                  <c:v>1.9410108535575787E-2</c:v>
                </c:pt>
                <c:pt idx="2652">
                  <c:v>1.9406559154973024E-2</c:v>
                </c:pt>
                <c:pt idx="2653">
                  <c:v>1.9403029040159225E-2</c:v>
                </c:pt>
                <c:pt idx="2654">
                  <c:v>1.9399518191134391E-2</c:v>
                </c:pt>
                <c:pt idx="2655">
                  <c:v>1.9396026607951811E-2</c:v>
                </c:pt>
                <c:pt idx="2656">
                  <c:v>1.9390796547247291E-2</c:v>
                </c:pt>
                <c:pt idx="2657">
                  <c:v>1.9387073989864945E-2</c:v>
                </c:pt>
                <c:pt idx="2658">
                  <c:v>1.9383646077670846E-2</c:v>
                </c:pt>
                <c:pt idx="2659">
                  <c:v>1.9380237429187375E-2</c:v>
                </c:pt>
                <c:pt idx="2660">
                  <c:v>1.9376848044334594E-2</c:v>
                </c:pt>
                <c:pt idx="2661">
                  <c:v>1.9373477923192439E-2</c:v>
                </c:pt>
                <c:pt idx="2662">
                  <c:v>1.9370127065601039E-2</c:v>
                </c:pt>
                <c:pt idx="2663">
                  <c:v>1.9366795471800202E-2</c:v>
                </c:pt>
                <c:pt idx="2664">
                  <c:v>1.936348314155012E-2</c:v>
                </c:pt>
                <c:pt idx="2665">
                  <c:v>1.9360190074930728E-2</c:v>
                </c:pt>
                <c:pt idx="2666">
                  <c:v>1.9356916272021962E-2</c:v>
                </c:pt>
                <c:pt idx="2667">
                  <c:v>1.9353661732743888E-2</c:v>
                </c:pt>
                <c:pt idx="2668">
                  <c:v>1.9350426457176439E-2</c:v>
                </c:pt>
                <c:pt idx="2669">
                  <c:v>1.934721044507981E-2</c:v>
                </c:pt>
                <c:pt idx="2670">
                  <c:v>1.9344013696773743E-2</c:v>
                </c:pt>
                <c:pt idx="2671">
                  <c:v>1.9339931897475182E-2</c:v>
                </c:pt>
                <c:pt idx="2672">
                  <c:v>1.9337677990973745E-2</c:v>
                </c:pt>
                <c:pt idx="2673">
                  <c:v>1.933453903355975E-2</c:v>
                </c:pt>
                <c:pt idx="2674">
                  <c:v>1.9331419339856382E-2</c:v>
                </c:pt>
                <c:pt idx="2675">
                  <c:v>1.9328318909703768E-2</c:v>
                </c:pt>
                <c:pt idx="2676">
                  <c:v>1.9325237743261781E-2</c:v>
                </c:pt>
                <c:pt idx="2677">
                  <c:v>1.9322175840450484E-2</c:v>
                </c:pt>
                <c:pt idx="2678">
                  <c:v>1.9319133201189942E-2</c:v>
                </c:pt>
                <c:pt idx="2679">
                  <c:v>1.931610982556009E-2</c:v>
                </c:pt>
                <c:pt idx="2680">
                  <c:v>1.9313105713640866E-2</c:v>
                </c:pt>
                <c:pt idx="2681">
                  <c:v>1.9310120865432268E-2</c:v>
                </c:pt>
                <c:pt idx="2682">
                  <c:v>1.9307155280774424E-2</c:v>
                </c:pt>
                <c:pt idx="2683">
                  <c:v>1.9304208959747271E-2</c:v>
                </c:pt>
                <c:pt idx="2684">
                  <c:v>1.9301281902430745E-2</c:v>
                </c:pt>
                <c:pt idx="2685">
                  <c:v>1.9298374108664973E-2</c:v>
                </c:pt>
                <c:pt idx="2686">
                  <c:v>1.9295485578609828E-2</c:v>
                </c:pt>
                <c:pt idx="2687">
                  <c:v>1.9292616312105437E-2</c:v>
                </c:pt>
                <c:pt idx="2688">
                  <c:v>1.9289766309311673E-2</c:v>
                </c:pt>
                <c:pt idx="2689">
                  <c:v>1.92869355701486E-2</c:v>
                </c:pt>
                <c:pt idx="2690">
                  <c:v>1.9284124094536281E-2</c:v>
                </c:pt>
                <c:pt idx="2691">
                  <c:v>1.9281331882634589E-2</c:v>
                </c:pt>
                <c:pt idx="2692">
                  <c:v>1.9278558934443524E-2</c:v>
                </c:pt>
                <c:pt idx="2693">
                  <c:v>1.9275805249723277E-2</c:v>
                </c:pt>
                <c:pt idx="2694">
                  <c:v>1.9273070828713657E-2</c:v>
                </c:pt>
                <c:pt idx="2695">
                  <c:v>1.9270355671414663E-2</c:v>
                </c:pt>
                <c:pt idx="2696">
                  <c:v>1.9267659777666424E-2</c:v>
                </c:pt>
                <c:pt idx="2697">
                  <c:v>1.9264983147468939E-2</c:v>
                </c:pt>
                <c:pt idx="2698">
                  <c:v>1.9262325780982081E-2</c:v>
                </c:pt>
                <c:pt idx="2699">
                  <c:v>1.925968767820585E-2</c:v>
                </c:pt>
                <c:pt idx="2700">
                  <c:v>1.925706883906031E-2</c:v>
                </c:pt>
                <c:pt idx="2701">
                  <c:v>1.9254469263385587E-2</c:v>
                </c:pt>
                <c:pt idx="2702">
                  <c:v>1.9251888951421492E-2</c:v>
                </c:pt>
                <c:pt idx="2703">
                  <c:v>1.9249327903088087E-2</c:v>
                </c:pt>
                <c:pt idx="2704">
                  <c:v>1.9246786118465309E-2</c:v>
                </c:pt>
                <c:pt idx="2705">
                  <c:v>1.9244263597313349E-2</c:v>
                </c:pt>
                <c:pt idx="2706">
                  <c:v>1.9241760339951952E-2</c:v>
                </c:pt>
                <c:pt idx="2707">
                  <c:v>1.923927634614131E-2</c:v>
                </c:pt>
                <c:pt idx="2708">
                  <c:v>1.9236799951931616E-2</c:v>
                </c:pt>
                <c:pt idx="2709">
                  <c:v>1.9234018369607142E-2</c:v>
                </c:pt>
                <c:pt idx="2710">
                  <c:v>1.923159491848736E-2</c:v>
                </c:pt>
                <c:pt idx="2711">
                  <c:v>1.9229190731238077E-2</c:v>
                </c:pt>
                <c:pt idx="2712">
                  <c:v>1.9226805807539549E-2</c:v>
                </c:pt>
                <c:pt idx="2713">
                  <c:v>1.9224440147391775E-2</c:v>
                </c:pt>
                <c:pt idx="2714">
                  <c:v>1.9222093750874691E-2</c:v>
                </c:pt>
                <c:pt idx="2715">
                  <c:v>1.9219766618068235E-2</c:v>
                </c:pt>
                <c:pt idx="2716">
                  <c:v>1.9217458748892469E-2</c:v>
                </c:pt>
                <c:pt idx="2717">
                  <c:v>1.9215170143267457E-2</c:v>
                </c:pt>
                <c:pt idx="2718">
                  <c:v>1.9212900801353072E-2</c:v>
                </c:pt>
                <c:pt idx="2719">
                  <c:v>1.9210650722989442E-2</c:v>
                </c:pt>
                <c:pt idx="2720">
                  <c:v>1.9208419908176566E-2</c:v>
                </c:pt>
                <c:pt idx="2721">
                  <c:v>1.9205580023609059E-2</c:v>
                </c:pt>
                <c:pt idx="2722">
                  <c:v>1.9203393239974886E-2</c:v>
                </c:pt>
                <c:pt idx="2723">
                  <c:v>1.920122572005134E-2</c:v>
                </c:pt>
                <c:pt idx="2724">
                  <c:v>1.9199077463678549E-2</c:v>
                </c:pt>
                <c:pt idx="2725">
                  <c:v>1.9197367484800054E-2</c:v>
                </c:pt>
                <c:pt idx="2726">
                  <c:v>1.9194838741904974E-2</c:v>
                </c:pt>
                <c:pt idx="2727">
                  <c:v>1.9192748276344318E-2</c:v>
                </c:pt>
                <c:pt idx="2728">
                  <c:v>1.9190677074494289E-2</c:v>
                </c:pt>
                <c:pt idx="2729">
                  <c:v>1.9188625136354887E-2</c:v>
                </c:pt>
                <c:pt idx="2730">
                  <c:v>1.9186592461686303E-2</c:v>
                </c:pt>
                <c:pt idx="2731">
                  <c:v>1.9184579050568473E-2</c:v>
                </c:pt>
                <c:pt idx="2732">
                  <c:v>1.9182584903241207E-2</c:v>
                </c:pt>
                <c:pt idx="2733">
                  <c:v>1.9180610019464694E-2</c:v>
                </c:pt>
                <c:pt idx="2734">
                  <c:v>1.9178654399318873E-2</c:v>
                </c:pt>
                <c:pt idx="2735">
                  <c:v>1.9176718042803742E-2</c:v>
                </c:pt>
                <c:pt idx="2736">
                  <c:v>1.9174800949919302E-2</c:v>
                </c:pt>
                <c:pt idx="2737">
                  <c:v>1.9172903120665552E-2</c:v>
                </c:pt>
                <c:pt idx="2738">
                  <c:v>1.9171024554962557E-2</c:v>
                </c:pt>
                <c:pt idx="2739">
                  <c:v>1.9169165252890252E-2</c:v>
                </c:pt>
                <c:pt idx="2740">
                  <c:v>1.9167325214448638E-2</c:v>
                </c:pt>
                <c:pt idx="2741">
                  <c:v>1.9165504439557779E-2</c:v>
                </c:pt>
                <c:pt idx="2742">
                  <c:v>1.9163702928377546E-2</c:v>
                </c:pt>
                <c:pt idx="2743">
                  <c:v>1.9161920680828004E-2</c:v>
                </c:pt>
                <c:pt idx="2744">
                  <c:v>1.9160157696909152E-2</c:v>
                </c:pt>
                <c:pt idx="2745">
                  <c:v>1.9158413976381183E-2</c:v>
                </c:pt>
                <c:pt idx="2746">
                  <c:v>1.9156689519723713E-2</c:v>
                </c:pt>
                <c:pt idx="2747">
                  <c:v>1.9154984326537061E-2</c:v>
                </c:pt>
                <c:pt idx="2748">
                  <c:v>1.9153298397061036E-2</c:v>
                </c:pt>
                <c:pt idx="2749">
                  <c:v>1.9151631731135765E-2</c:v>
                </c:pt>
                <c:pt idx="2750">
                  <c:v>1.9149984328921121E-2</c:v>
                </c:pt>
                <c:pt idx="2751">
                  <c:v>1.9148356190177296E-2</c:v>
                </c:pt>
                <c:pt idx="2752">
                  <c:v>1.9146747315064161E-2</c:v>
                </c:pt>
                <c:pt idx="2753">
                  <c:v>1.9145157703581717E-2</c:v>
                </c:pt>
                <c:pt idx="2754">
                  <c:v>1.9143587355889835E-2</c:v>
                </c:pt>
                <c:pt idx="2755">
                  <c:v>1.9142036271668772E-2</c:v>
                </c:pt>
                <c:pt idx="2756">
                  <c:v>1.9140504450998463E-2</c:v>
                </c:pt>
                <c:pt idx="2757">
                  <c:v>1.9138991894038782E-2</c:v>
                </c:pt>
                <c:pt idx="2758">
                  <c:v>1.913749860070979E-2</c:v>
                </c:pt>
                <c:pt idx="2759">
                  <c:v>1.9135190917065614E-2</c:v>
                </c:pt>
                <c:pt idx="2760">
                  <c:v>1.9135174833371238E-2</c:v>
                </c:pt>
                <c:pt idx="2761">
                  <c:v>1.913313430210728E-2</c:v>
                </c:pt>
                <c:pt idx="2762">
                  <c:v>1.9131718063141179E-2</c:v>
                </c:pt>
                <c:pt idx="2763">
                  <c:v>1.9130321087805768E-2</c:v>
                </c:pt>
                <c:pt idx="2764">
                  <c:v>1.9128943376101049E-2</c:v>
                </c:pt>
                <c:pt idx="2765">
                  <c:v>1.9127584928027019E-2</c:v>
                </c:pt>
                <c:pt idx="2766">
                  <c:v>1.9126245743583681E-2</c:v>
                </c:pt>
                <c:pt idx="2767">
                  <c:v>1.9124925822611161E-2</c:v>
                </c:pt>
                <c:pt idx="2768">
                  <c:v>1.9123625165349267E-2</c:v>
                </c:pt>
                <c:pt idx="2769">
                  <c:v>1.9122343771638128E-2</c:v>
                </c:pt>
                <c:pt idx="2770">
                  <c:v>1.912108164155768E-2</c:v>
                </c:pt>
                <c:pt idx="2771">
                  <c:v>1.9119838775107922E-2</c:v>
                </c:pt>
                <c:pt idx="2772">
                  <c:v>1.9118615172288855E-2</c:v>
                </c:pt>
                <c:pt idx="2773">
                  <c:v>1.9117410833100479E-2</c:v>
                </c:pt>
                <c:pt idx="2774">
                  <c:v>1.9116225757382921E-2</c:v>
                </c:pt>
                <c:pt idx="2775">
                  <c:v>1.9116760745021111E-2</c:v>
                </c:pt>
                <c:pt idx="2776">
                  <c:v>1.9113913396999749E-2</c:v>
                </c:pt>
                <c:pt idx="2777">
                  <c:v>1.9112786112254199E-2</c:v>
                </c:pt>
                <c:pt idx="2778">
                  <c:v>1.9111678090979467E-2</c:v>
                </c:pt>
                <c:pt idx="2779">
                  <c:v>1.9110589333415362E-2</c:v>
                </c:pt>
                <c:pt idx="2780">
                  <c:v>1.9109519839481948E-2</c:v>
                </c:pt>
                <c:pt idx="2781">
                  <c:v>1.9108469609019352E-2</c:v>
                </c:pt>
                <c:pt idx="2782">
                  <c:v>1.9107438642267383E-2</c:v>
                </c:pt>
                <c:pt idx="2783">
                  <c:v>1.9106426939146104E-2</c:v>
                </c:pt>
                <c:pt idx="2784">
                  <c:v>1.910543449957558E-2</c:v>
                </c:pt>
                <c:pt idx="2785">
                  <c:v>1.910446132355581E-2</c:v>
                </c:pt>
                <c:pt idx="2786">
                  <c:v>1.9103507411246667E-2</c:v>
                </c:pt>
                <c:pt idx="2787">
                  <c:v>1.9102572762568215E-2</c:v>
                </c:pt>
                <c:pt idx="2788">
                  <c:v>1.9101657377360581E-2</c:v>
                </c:pt>
                <c:pt idx="2789">
                  <c:v>1.9100761255863574E-2</c:v>
                </c:pt>
                <c:pt idx="2790">
                  <c:v>1.9099884397917322E-2</c:v>
                </c:pt>
                <c:pt idx="2791">
                  <c:v>1.909902680360176E-2</c:v>
                </c:pt>
                <c:pt idx="2792">
                  <c:v>1.9098188472916888E-2</c:v>
                </c:pt>
                <c:pt idx="2793">
                  <c:v>1.9097369405862707E-2</c:v>
                </c:pt>
                <c:pt idx="2794">
                  <c:v>1.9096569602279345E-2</c:v>
                </c:pt>
                <c:pt idx="2795">
                  <c:v>1.9095789062486546E-2</c:v>
                </c:pt>
                <c:pt idx="2796">
                  <c:v>1.9095027786084628E-2</c:v>
                </c:pt>
                <c:pt idx="2797">
                  <c:v>1.9094285773473274E-2</c:v>
                </c:pt>
                <c:pt idx="2798">
                  <c:v>1.9093563024412674E-2</c:v>
                </c:pt>
                <c:pt idx="2799">
                  <c:v>1.9092859538822893E-2</c:v>
                </c:pt>
                <c:pt idx="2800">
                  <c:v>1.9092175317023674E-2</c:v>
                </c:pt>
                <c:pt idx="2801">
                  <c:v>1.9091510358855146E-2</c:v>
                </c:pt>
                <c:pt idx="2802">
                  <c:v>1.9090864664157436E-2</c:v>
                </c:pt>
                <c:pt idx="2803">
                  <c:v>1.9090238233090417E-2</c:v>
                </c:pt>
                <c:pt idx="2804">
                  <c:v>1.9089631065654089E-2</c:v>
                </c:pt>
                <c:pt idx="2805">
                  <c:v>1.9089043161768515E-2</c:v>
                </c:pt>
                <c:pt idx="2806">
                  <c:v>1.9088474521513632E-2</c:v>
                </c:pt>
                <c:pt idx="2807">
                  <c:v>1.9087925144889439E-2</c:v>
                </c:pt>
                <c:pt idx="2808">
                  <c:v>1.9087395031895937E-2</c:v>
                </c:pt>
                <c:pt idx="2809">
                  <c:v>1.908688418245319E-2</c:v>
                </c:pt>
                <c:pt idx="2810">
                  <c:v>1.9086392596561197E-2</c:v>
                </c:pt>
                <c:pt idx="2811">
                  <c:v>1.9085920274299895E-2</c:v>
                </c:pt>
                <c:pt idx="2812">
                  <c:v>1.9085467215749219E-2</c:v>
                </c:pt>
                <c:pt idx="2813">
                  <c:v>1.9085033420749298E-2</c:v>
                </c:pt>
                <c:pt idx="2814">
                  <c:v>1.9084618889220195E-2</c:v>
                </c:pt>
                <c:pt idx="2815">
                  <c:v>1.9084223621481655E-2</c:v>
                </c:pt>
                <c:pt idx="2816">
                  <c:v>1.908384761729387E-2</c:v>
                </c:pt>
                <c:pt idx="2817">
                  <c:v>1.9083490876656839E-2</c:v>
                </c:pt>
                <c:pt idx="2818">
                  <c:v>1.9083153399730435E-2</c:v>
                </c:pt>
                <c:pt idx="2819">
                  <c:v>1.9082835186354785E-2</c:v>
                </c:pt>
                <c:pt idx="2820">
                  <c:v>1.9082536236449954E-2</c:v>
                </c:pt>
                <c:pt idx="2821">
                  <c:v>1.9082256550175813E-2</c:v>
                </c:pt>
                <c:pt idx="2822">
                  <c:v>1.90819961276123E-2</c:v>
                </c:pt>
                <c:pt idx="2823">
                  <c:v>1.9081754968759412E-2</c:v>
                </c:pt>
                <c:pt idx="2824">
                  <c:v>1.9081533073297408E-2</c:v>
                </c:pt>
                <c:pt idx="2825">
                  <c:v>1.9081330441386157E-2</c:v>
                </c:pt>
                <c:pt idx="2826">
                  <c:v>1.9083121433892458E-2</c:v>
                </c:pt>
                <c:pt idx="2827">
                  <c:v>1.9080982968775473E-2</c:v>
                </c:pt>
                <c:pt idx="2828">
                  <c:v>1.9080838127676358E-2</c:v>
                </c:pt>
                <c:pt idx="2829">
                  <c:v>1.9080712550447743E-2</c:v>
                </c:pt>
                <c:pt idx="2830">
                  <c:v>1.9080606236610009E-2</c:v>
                </c:pt>
                <c:pt idx="2831">
                  <c:v>1.9080519186482903E-2</c:v>
                </c:pt>
                <c:pt idx="2832">
                  <c:v>1.9080451399906551E-2</c:v>
                </c:pt>
                <c:pt idx="2833">
                  <c:v>1.9080402876880953E-2</c:v>
                </c:pt>
                <c:pt idx="2834">
                  <c:v>1.9080373617565982E-2</c:v>
                </c:pt>
                <c:pt idx="2835">
                  <c:v>1.908036362172183E-2</c:v>
                </c:pt>
                <c:pt idx="2836">
                  <c:v>1.9080372889588304E-2</c:v>
                </c:pt>
                <c:pt idx="2837">
                  <c:v>1.9080401421085469E-2</c:v>
                </c:pt>
                <c:pt idx="2838">
                  <c:v>1.9080449216133388E-2</c:v>
                </c:pt>
                <c:pt idx="2839">
                  <c:v>1.9080516274732062E-2</c:v>
                </c:pt>
                <c:pt idx="2840">
                  <c:v>1.9080602596961427E-2</c:v>
                </c:pt>
                <c:pt idx="2841">
                  <c:v>1.9080708182981354E-2</c:v>
                </c:pt>
                <c:pt idx="2842">
                  <c:v>1.9080833032392164E-2</c:v>
                </c:pt>
                <c:pt idx="2843">
                  <c:v>1.9080977145353728E-2</c:v>
                </c:pt>
                <c:pt idx="2844">
                  <c:v>1.9081140522105855E-2</c:v>
                </c:pt>
                <c:pt idx="2845">
                  <c:v>1.90813231623288E-2</c:v>
                </c:pt>
                <c:pt idx="2846">
                  <c:v>1.9081525066182436E-2</c:v>
                </c:pt>
                <c:pt idx="2847">
                  <c:v>1.9081746233666763E-2</c:v>
                </c:pt>
                <c:pt idx="2848">
                  <c:v>1.9081986664701844E-2</c:v>
                </c:pt>
                <c:pt idx="2849">
                  <c:v>1.9082246359447552E-2</c:v>
                </c:pt>
                <c:pt idx="2850">
                  <c:v>1.9082525317664079E-2</c:v>
                </c:pt>
                <c:pt idx="2851">
                  <c:v>1.9082823539591232E-2</c:v>
                </c:pt>
                <c:pt idx="2852">
                  <c:v>1.9083141024989203E-2</c:v>
                </c:pt>
                <c:pt idx="2853">
                  <c:v>1.9083477774097801E-2</c:v>
                </c:pt>
                <c:pt idx="2854">
                  <c:v>1.9083833786757154E-2</c:v>
                </c:pt>
                <c:pt idx="2855">
                  <c:v>1.9084209063127133E-2</c:v>
                </c:pt>
                <c:pt idx="2856">
                  <c:v>1.9084603603047867E-2</c:v>
                </c:pt>
                <c:pt idx="2857">
                  <c:v>1.9085017406519356E-2</c:v>
                </c:pt>
                <c:pt idx="2858">
                  <c:v>1.9085450473621535E-2</c:v>
                </c:pt>
                <c:pt idx="2859">
                  <c:v>1.9085902804354404E-2</c:v>
                </c:pt>
                <c:pt idx="2860">
                  <c:v>1.9086374398638029E-2</c:v>
                </c:pt>
                <c:pt idx="2861">
                  <c:v>1.9086865256472407E-2</c:v>
                </c:pt>
                <c:pt idx="2862">
                  <c:v>1.9087375378097349E-2</c:v>
                </c:pt>
                <c:pt idx="2863">
                  <c:v>1.9087904763193109E-2</c:v>
                </c:pt>
                <c:pt idx="2864">
                  <c:v>1.9088453411919559E-2</c:v>
                </c:pt>
                <c:pt idx="2865">
                  <c:v>1.9089021324196764E-2</c:v>
                </c:pt>
                <c:pt idx="2866">
                  <c:v>1.9089608500184596E-2</c:v>
                </c:pt>
                <c:pt idx="2867">
                  <c:v>1.9090214939643246E-2</c:v>
                </c:pt>
                <c:pt idx="2868">
                  <c:v>1.9090840642812523E-2</c:v>
                </c:pt>
                <c:pt idx="2869">
                  <c:v>1.9091485609532555E-2</c:v>
                </c:pt>
                <c:pt idx="2870">
                  <c:v>1.9092149839883277E-2</c:v>
                </c:pt>
                <c:pt idx="2871">
                  <c:v>1.9092833333864689E-2</c:v>
                </c:pt>
                <c:pt idx="2872">
                  <c:v>1.9093536091316921E-2</c:v>
                </c:pt>
                <c:pt idx="2873">
                  <c:v>1.9094258112559714E-2</c:v>
                </c:pt>
                <c:pt idx="2874">
                  <c:v>1.9094999397353263E-2</c:v>
                </c:pt>
                <c:pt idx="2875">
                  <c:v>1.9095759945697566E-2</c:v>
                </c:pt>
                <c:pt idx="2876">
                  <c:v>1.909879263598846E-2</c:v>
                </c:pt>
                <c:pt idx="2877">
                  <c:v>1.9097338833278243E-2</c:v>
                </c:pt>
                <c:pt idx="2878">
                  <c:v>1.9098157172434682E-2</c:v>
                </c:pt>
                <c:pt idx="2879">
                  <c:v>1.9098994775141875E-2</c:v>
                </c:pt>
                <c:pt idx="2880">
                  <c:v>1.9099851641639631E-2</c:v>
                </c:pt>
                <c:pt idx="2881">
                  <c:v>1.9100727771608206E-2</c:v>
                </c:pt>
                <c:pt idx="2882">
                  <c:v>1.9101623165207471E-2</c:v>
                </c:pt>
                <c:pt idx="2883">
                  <c:v>1.9102537822437426E-2</c:v>
                </c:pt>
                <c:pt idx="2884">
                  <c:v>1.9103471743298073E-2</c:v>
                </c:pt>
                <c:pt idx="2885">
                  <c:v>1.9104424927709474E-2</c:v>
                </c:pt>
                <c:pt idx="2886">
                  <c:v>1.9105397375671629E-2</c:v>
                </c:pt>
                <c:pt idx="2887">
                  <c:v>1.9106389087424347E-2</c:v>
                </c:pt>
                <c:pt idx="2888">
                  <c:v>1.9107400062567947E-2</c:v>
                </c:pt>
                <c:pt idx="2889">
                  <c:v>1.9108430301422175E-2</c:v>
                </c:pt>
                <c:pt idx="2890">
                  <c:v>1.9109479803907092E-2</c:v>
                </c:pt>
                <c:pt idx="2891">
                  <c:v>1.9110548569942765E-2</c:v>
                </c:pt>
                <c:pt idx="2892">
                  <c:v>1.9111636599689064E-2</c:v>
                </c:pt>
                <c:pt idx="2893">
                  <c:v>1.9112743892906181E-2</c:v>
                </c:pt>
                <c:pt idx="2894">
                  <c:v>1.9113870449753989E-2</c:v>
                </c:pt>
                <c:pt idx="2895">
                  <c:v>1.9115016270312424E-2</c:v>
                </c:pt>
                <c:pt idx="2896">
                  <c:v>1.9116181354421613E-2</c:v>
                </c:pt>
                <c:pt idx="2897">
                  <c:v>1.9117365702081557E-2</c:v>
                </c:pt>
                <c:pt idx="2898">
                  <c:v>1.9118569313452127E-2</c:v>
                </c:pt>
                <c:pt idx="2899">
                  <c:v>1.9119792188373452E-2</c:v>
                </c:pt>
                <c:pt idx="2900">
                  <c:v>1.9121034326845532E-2</c:v>
                </c:pt>
                <c:pt idx="2901">
                  <c:v>1.9122295728948302E-2</c:v>
                </c:pt>
                <c:pt idx="2902">
                  <c:v>1.9123576394841635E-2</c:v>
                </c:pt>
                <c:pt idx="2903">
                  <c:v>1.9124876324205786E-2</c:v>
                </c:pt>
                <c:pt idx="2904">
                  <c:v>1.9126195517120692E-2</c:v>
                </c:pt>
                <c:pt idx="2905">
                  <c:v>1.9127533973746225E-2</c:v>
                </c:pt>
                <c:pt idx="2906">
                  <c:v>1.9128891693922512E-2</c:v>
                </c:pt>
                <c:pt idx="2907">
                  <c:v>1.9130268677729489E-2</c:v>
                </c:pt>
                <c:pt idx="2908">
                  <c:v>1.9131664925087222E-2</c:v>
                </c:pt>
                <c:pt idx="2909">
                  <c:v>1.9133080436155581E-2</c:v>
                </c:pt>
                <c:pt idx="2910">
                  <c:v>1.9134515210774694E-2</c:v>
                </c:pt>
                <c:pt idx="2911">
                  <c:v>1.9135969249024498E-2</c:v>
                </c:pt>
                <c:pt idx="2912">
                  <c:v>1.9137442550825057E-2</c:v>
                </c:pt>
                <c:pt idx="2913">
                  <c:v>1.9138935116336242E-2</c:v>
                </c:pt>
                <c:pt idx="2914">
                  <c:v>1.9140446945478118E-2</c:v>
                </c:pt>
                <c:pt idx="2915">
                  <c:v>1.9141978038090812E-2</c:v>
                </c:pt>
                <c:pt idx="2916">
                  <c:v>1.9145614128379673E-2</c:v>
                </c:pt>
                <c:pt idx="2917">
                  <c:v>1.9146568364742933E-2</c:v>
                </c:pt>
                <c:pt idx="2918">
                  <c:v>1.914816292176269E-2</c:v>
                </c:pt>
                <c:pt idx="2919">
                  <c:v>1.9149776744438185E-2</c:v>
                </c:pt>
                <c:pt idx="2920">
                  <c:v>1.9151409832822708E-2</c:v>
                </c:pt>
                <c:pt idx="2921">
                  <c:v>1.9153062186862968E-2</c:v>
                </c:pt>
                <c:pt idx="2922">
                  <c:v>1.9154733806612256E-2</c:v>
                </c:pt>
                <c:pt idx="2923">
                  <c:v>1.9156424691990637E-2</c:v>
                </c:pt>
                <c:pt idx="2924">
                  <c:v>1.9158134843104691E-2</c:v>
                </c:pt>
                <c:pt idx="2925">
                  <c:v>1.9159864259874482E-2</c:v>
                </c:pt>
                <c:pt idx="2926">
                  <c:v>1.9161612942326656E-2</c:v>
                </c:pt>
                <c:pt idx="2927">
                  <c:v>1.9163380890461212E-2</c:v>
                </c:pt>
                <c:pt idx="2928">
                  <c:v>1.9165168104304797E-2</c:v>
                </c:pt>
                <c:pt idx="2929">
                  <c:v>1.9166974583777474E-2</c:v>
                </c:pt>
                <c:pt idx="2930">
                  <c:v>1.9168800328959179E-2</c:v>
                </c:pt>
                <c:pt idx="2931">
                  <c:v>1.9170420959948586E-2</c:v>
                </c:pt>
                <c:pt idx="2932">
                  <c:v>1.9172509616423028E-2</c:v>
                </c:pt>
                <c:pt idx="2933">
                  <c:v>1.9174393158705172E-2</c:v>
                </c:pt>
                <c:pt idx="2934">
                  <c:v>1.9176295966616408E-2</c:v>
                </c:pt>
                <c:pt idx="2935">
                  <c:v>1.9178218040263317E-2</c:v>
                </c:pt>
                <c:pt idx="2936">
                  <c:v>1.918015937959261E-2</c:v>
                </c:pt>
                <c:pt idx="2937">
                  <c:v>1.9182119984577639E-2</c:v>
                </c:pt>
                <c:pt idx="2938">
                  <c:v>1.9184099855298342E-2</c:v>
                </c:pt>
                <c:pt idx="2939">
                  <c:v>1.9186098991701428E-2</c:v>
                </c:pt>
                <c:pt idx="2940">
                  <c:v>1.9188117393786897E-2</c:v>
                </c:pt>
                <c:pt idx="2941">
                  <c:v>1.9190155061581393E-2</c:v>
                </c:pt>
                <c:pt idx="2942">
                  <c:v>1.9192211995084918E-2</c:v>
                </c:pt>
                <c:pt idx="2943">
                  <c:v>1.9194288194270825E-2</c:v>
                </c:pt>
                <c:pt idx="2944">
                  <c:v>1.9196383659165761E-2</c:v>
                </c:pt>
                <c:pt idx="2945">
                  <c:v>1.9198498389743079E-2</c:v>
                </c:pt>
                <c:pt idx="2946">
                  <c:v>1.9200632386029426E-2</c:v>
                </c:pt>
                <c:pt idx="2947">
                  <c:v>1.92027856480248E-2</c:v>
                </c:pt>
                <c:pt idx="2948">
                  <c:v>1.9204958175702558E-2</c:v>
                </c:pt>
                <c:pt idx="2949">
                  <c:v>1.9207149969115989E-2</c:v>
                </c:pt>
                <c:pt idx="2950">
                  <c:v>1.9209361028211802E-2</c:v>
                </c:pt>
                <c:pt idx="2951">
                  <c:v>1.9211591353016644E-2</c:v>
                </c:pt>
                <c:pt idx="2952">
                  <c:v>1.9213840943503868E-2</c:v>
                </c:pt>
                <c:pt idx="2953">
                  <c:v>1.9216109799753411E-2</c:v>
                </c:pt>
                <c:pt idx="2954">
                  <c:v>1.9218397921711983E-2</c:v>
                </c:pt>
                <c:pt idx="2955">
                  <c:v>1.9220705309326291E-2</c:v>
                </c:pt>
                <c:pt idx="2956">
                  <c:v>1.9223031962676274E-2</c:v>
                </c:pt>
                <c:pt idx="2957">
                  <c:v>1.9225377881761929E-2</c:v>
                </c:pt>
                <c:pt idx="2958">
                  <c:v>1.9227743066529968E-2</c:v>
                </c:pt>
                <c:pt idx="2959">
                  <c:v>1.9230127517033679E-2</c:v>
                </c:pt>
                <c:pt idx="2960">
                  <c:v>1.9232531233273065E-2</c:v>
                </c:pt>
                <c:pt idx="2961">
                  <c:v>1.9234954215194833E-2</c:v>
                </c:pt>
                <c:pt idx="2962">
                  <c:v>1.9237396462825629E-2</c:v>
                </c:pt>
                <c:pt idx="2963">
                  <c:v>1.9239857976192098E-2</c:v>
                </c:pt>
                <c:pt idx="2964">
                  <c:v>1.9242338755267596E-2</c:v>
                </c:pt>
                <c:pt idx="2965">
                  <c:v>1.9244838800078767E-2</c:v>
                </c:pt>
                <c:pt idx="2966">
                  <c:v>1.9247358110598967E-2</c:v>
                </c:pt>
                <c:pt idx="2967">
                  <c:v>1.9249896686854839E-2</c:v>
                </c:pt>
                <c:pt idx="2968">
                  <c:v>1.9252857817169122E-2</c:v>
                </c:pt>
                <c:pt idx="2969">
                  <c:v>1.925474149482298E-2</c:v>
                </c:pt>
                <c:pt idx="2970">
                  <c:v>1.9257343094478685E-2</c:v>
                </c:pt>
                <c:pt idx="2971">
                  <c:v>1.9259963957685144E-2</c:v>
                </c:pt>
                <c:pt idx="2972">
                  <c:v>1.9262604084522295E-2</c:v>
                </c:pt>
                <c:pt idx="2973">
                  <c:v>1.9265263475070071E-2</c:v>
                </c:pt>
                <c:pt idx="2974">
                  <c:v>1.9267942129248539E-2</c:v>
                </c:pt>
                <c:pt idx="2975">
                  <c:v>1.9270640046977761E-2</c:v>
                </c:pt>
                <c:pt idx="2976">
                  <c:v>1.9273357228337673E-2</c:v>
                </c:pt>
                <c:pt idx="2977">
                  <c:v>1.9276093673408212E-2</c:v>
                </c:pt>
                <c:pt idx="2978">
                  <c:v>1.9278849382029506E-2</c:v>
                </c:pt>
                <c:pt idx="2979">
                  <c:v>1.9281624354361426E-2</c:v>
                </c:pt>
                <c:pt idx="2980">
                  <c:v>1.9284418590324037E-2</c:v>
                </c:pt>
                <c:pt idx="2981">
                  <c:v>1.9287232089837403E-2</c:v>
                </c:pt>
                <c:pt idx="2982">
                  <c:v>1.9290877752169422E-2</c:v>
                </c:pt>
                <c:pt idx="2983">
                  <c:v>1.9292916879916078E-2</c:v>
                </c:pt>
                <c:pt idx="2984">
                  <c:v>1.9295788170481387E-2</c:v>
                </c:pt>
                <c:pt idx="2985">
                  <c:v>1.9298678724517515E-2</c:v>
                </c:pt>
                <c:pt idx="2986">
                  <c:v>1.9302005803130129E-2</c:v>
                </c:pt>
                <c:pt idx="2987">
                  <c:v>1.9304937636386299E-2</c:v>
                </c:pt>
                <c:pt idx="2988">
                  <c:v>1.9307888733353096E-2</c:v>
                </c:pt>
                <c:pt idx="2989">
                  <c:v>1.9310859094030519E-2</c:v>
                </c:pt>
                <c:pt idx="2990">
                  <c:v>1.9313848718338633E-2</c:v>
                </c:pt>
                <c:pt idx="2991">
                  <c:v>1.9316857606197502E-2</c:v>
                </c:pt>
                <c:pt idx="2992">
                  <c:v>1.9319885757766997E-2</c:v>
                </c:pt>
                <c:pt idx="2993">
                  <c:v>1.9322933172887247E-2</c:v>
                </c:pt>
                <c:pt idx="2994">
                  <c:v>1.9325999851718123E-2</c:v>
                </c:pt>
                <c:pt idx="2995">
                  <c:v>1.932908579417969E-2</c:v>
                </c:pt>
                <c:pt idx="2996">
                  <c:v>1.9332191000351884E-2</c:v>
                </c:pt>
                <c:pt idx="2997">
                  <c:v>1.9335315470074832E-2</c:v>
                </c:pt>
                <c:pt idx="2998">
                  <c:v>1.9338459203428471E-2</c:v>
                </c:pt>
                <c:pt idx="2999">
                  <c:v>1.9341622200492736E-2</c:v>
                </c:pt>
                <c:pt idx="3000">
                  <c:v>1.9344804461187692E-2</c:v>
                </c:pt>
                <c:pt idx="3001">
                  <c:v>1.9348005985513339E-2</c:v>
                </c:pt>
                <c:pt idx="3002">
                  <c:v>1.9351226773469676E-2</c:v>
                </c:pt>
                <c:pt idx="3003">
                  <c:v>1.935446682513664E-2</c:v>
                </c:pt>
                <c:pt idx="3004">
                  <c:v>1.9357726140354359E-2</c:v>
                </c:pt>
                <c:pt idx="3005">
                  <c:v>1.9361004719282704E-2</c:v>
                </c:pt>
                <c:pt idx="3006">
                  <c:v>1.936430256184174E-2</c:v>
                </c:pt>
                <c:pt idx="3007">
                  <c:v>1.9367619668031466E-2</c:v>
                </c:pt>
                <c:pt idx="3008">
                  <c:v>1.9370956037931819E-2</c:v>
                </c:pt>
                <c:pt idx="3009">
                  <c:v>1.9374311671382927E-2</c:v>
                </c:pt>
                <c:pt idx="3010">
                  <c:v>1.9377686568544661E-2</c:v>
                </c:pt>
                <c:pt idx="3011">
                  <c:v>1.9381080729337086E-2</c:v>
                </c:pt>
                <c:pt idx="3012">
                  <c:v>1.9384493539211789E-2</c:v>
                </c:pt>
                <c:pt idx="3013">
                  <c:v>1.9387907789214509E-2</c:v>
                </c:pt>
                <c:pt idx="3014">
                  <c:v>1.9391315489656336E-2</c:v>
                </c:pt>
                <c:pt idx="3015">
                  <c:v>1.9394716640457332E-2</c:v>
                </c:pt>
                <c:pt idx="3016">
                  <c:v>1.9398111241537563E-2</c:v>
                </c:pt>
                <c:pt idx="3017">
                  <c:v>1.9401499293056901E-2</c:v>
                </c:pt>
                <c:pt idx="3018">
                  <c:v>1.9404880794935409E-2</c:v>
                </c:pt>
                <c:pt idx="3019">
                  <c:v>1.940825574709315E-2</c:v>
                </c:pt>
                <c:pt idx="3020">
                  <c:v>1.9412868469097511E-2</c:v>
                </c:pt>
                <c:pt idx="3021">
                  <c:v>1.9415465732581794E-2</c:v>
                </c:pt>
                <c:pt idx="3022">
                  <c:v>1.9418820100245426E-2</c:v>
                </c:pt>
                <c:pt idx="3023">
                  <c:v>1.9422167918268229E-2</c:v>
                </c:pt>
                <c:pt idx="3024">
                  <c:v>1.9425509186570267E-2</c:v>
                </c:pt>
                <c:pt idx="3025">
                  <c:v>1.9428843905151538E-2</c:v>
                </c:pt>
                <c:pt idx="3026">
                  <c:v>1.9432172074331788E-2</c:v>
                </c:pt>
                <c:pt idx="3027">
                  <c:v>1.9435493693791273E-2</c:v>
                </c:pt>
                <c:pt idx="3028">
                  <c:v>1.9438808763450055E-2</c:v>
                </c:pt>
                <c:pt idx="3029">
                  <c:v>1.944211728362788E-2</c:v>
                </c:pt>
                <c:pt idx="3030">
                  <c:v>1.9445419254164875E-2</c:v>
                </c:pt>
                <c:pt idx="3031">
                  <c:v>1.9448714674981105E-2</c:v>
                </c:pt>
                <c:pt idx="3032">
                  <c:v>1.9452003546156504E-2</c:v>
                </c:pt>
                <c:pt idx="3033">
                  <c:v>1.9455754236075151E-2</c:v>
                </c:pt>
                <c:pt idx="3034">
                  <c:v>1.9459029072477207E-2</c:v>
                </c:pt>
                <c:pt idx="3035">
                  <c:v>1.9462297358998626E-2</c:v>
                </c:pt>
                <c:pt idx="3036">
                  <c:v>1.9465559095959151E-2</c:v>
                </c:pt>
                <c:pt idx="3037">
                  <c:v>1.9471090369118649E-2</c:v>
                </c:pt>
                <c:pt idx="3038">
                  <c:v>1.9472062921037647E-2</c:v>
                </c:pt>
                <c:pt idx="3039">
                  <c:v>1.9475305009075683E-2</c:v>
                </c:pt>
                <c:pt idx="3040">
                  <c:v>1.9478540547472889E-2</c:v>
                </c:pt>
                <c:pt idx="3041">
                  <c:v>1.9481769536229265E-2</c:v>
                </c:pt>
                <c:pt idx="3042">
                  <c:v>1.9484991975344812E-2</c:v>
                </c:pt>
                <c:pt idx="3043">
                  <c:v>1.9488207864819529E-2</c:v>
                </c:pt>
                <c:pt idx="3044">
                  <c:v>1.949141720457348E-2</c:v>
                </c:pt>
                <c:pt idx="3045">
                  <c:v>1.9494619994766538E-2</c:v>
                </c:pt>
                <c:pt idx="3046">
                  <c:v>1.9497816235398702E-2</c:v>
                </c:pt>
                <c:pt idx="3047">
                  <c:v>1.9501005926230164E-2</c:v>
                </c:pt>
                <c:pt idx="3048">
                  <c:v>1.9504189067500732E-2</c:v>
                </c:pt>
                <c:pt idx="3049">
                  <c:v>1.9507365659130471E-2</c:v>
                </c:pt>
                <c:pt idx="3050">
                  <c:v>1.9510535701039444E-2</c:v>
                </c:pt>
                <c:pt idx="3051">
                  <c:v>1.9513699193227652E-2</c:v>
                </c:pt>
                <c:pt idx="3052">
                  <c:v>1.9516856135934901E-2</c:v>
                </c:pt>
                <c:pt idx="3053">
                  <c:v>1.9520006529001321E-2</c:v>
                </c:pt>
                <c:pt idx="3054">
                  <c:v>1.9523150372426912E-2</c:v>
                </c:pt>
                <c:pt idx="3055">
                  <c:v>1.95262876660518E-2</c:v>
                </c:pt>
                <c:pt idx="3056">
                  <c:v>1.9529418410195731E-2</c:v>
                </c:pt>
                <c:pt idx="3057">
                  <c:v>1.9532542604618897E-2</c:v>
                </c:pt>
                <c:pt idx="3058">
                  <c:v>1.9535660249321296E-2</c:v>
                </c:pt>
                <c:pt idx="3059">
                  <c:v>1.9538771344462802E-2</c:v>
                </c:pt>
                <c:pt idx="3060">
                  <c:v>1.9541875890043414E-2</c:v>
                </c:pt>
                <c:pt idx="3061">
                  <c:v>1.9544973885743389E-2</c:v>
                </c:pt>
                <c:pt idx="3062">
                  <c:v>1.9548065331962405E-2</c:v>
                </c:pt>
                <c:pt idx="3063">
                  <c:v>1.9551150228460656E-2</c:v>
                </c:pt>
                <c:pt idx="3064">
                  <c:v>1.955422857547795E-2</c:v>
                </c:pt>
                <c:pt idx="3065">
                  <c:v>1.9557300372774478E-2</c:v>
                </c:pt>
                <c:pt idx="3066">
                  <c:v>1.9560365620270304E-2</c:v>
                </c:pt>
                <c:pt idx="3067">
                  <c:v>1.9563424318285172E-2</c:v>
                </c:pt>
                <c:pt idx="3068">
                  <c:v>1.9566476466579275E-2</c:v>
                </c:pt>
                <c:pt idx="3069">
                  <c:v>1.9569522065232547E-2</c:v>
                </c:pt>
                <c:pt idx="3070">
                  <c:v>1.9572561114165055E-2</c:v>
                </c:pt>
                <c:pt idx="3071">
                  <c:v>1.9577839345756853E-2</c:v>
                </c:pt>
                <c:pt idx="3072">
                  <c:v>1.9580864385455587E-2</c:v>
                </c:pt>
                <c:pt idx="3073">
                  <c:v>1.9581638963357406E-2</c:v>
                </c:pt>
                <c:pt idx="3074">
                  <c:v>1.9584651813806531E-2</c:v>
                </c:pt>
                <c:pt idx="3075">
                  <c:v>1.9587658114614825E-2</c:v>
                </c:pt>
                <c:pt idx="3076">
                  <c:v>1.9590657865702354E-2</c:v>
                </c:pt>
                <c:pt idx="3077">
                  <c:v>1.9593651067069118E-2</c:v>
                </c:pt>
                <c:pt idx="3078">
                  <c:v>1.9596637718954923E-2</c:v>
                </c:pt>
                <c:pt idx="3079">
                  <c:v>1.9599617821119963E-2</c:v>
                </c:pt>
                <c:pt idx="3080">
                  <c:v>1.9602591373484302E-2</c:v>
                </c:pt>
                <c:pt idx="3081">
                  <c:v>1.9605558376367682E-2</c:v>
                </c:pt>
                <c:pt idx="3082">
                  <c:v>1.9608518829610233E-2</c:v>
                </c:pt>
                <c:pt idx="3083">
                  <c:v>1.9611472733211954E-2</c:v>
                </c:pt>
                <c:pt idx="3084">
                  <c:v>1.961442008709291E-2</c:v>
                </c:pt>
                <c:pt idx="3085">
                  <c:v>1.9617360891333036E-2</c:v>
                </c:pt>
                <c:pt idx="3086">
                  <c:v>1.9623271111150586E-2</c:v>
                </c:pt>
                <c:pt idx="3087">
                  <c:v>1.9623222850810862E-2</c:v>
                </c:pt>
                <c:pt idx="3088">
                  <c:v>1.9626144006208435E-2</c:v>
                </c:pt>
                <c:pt idx="3089">
                  <c:v>1.9629058611965178E-2</c:v>
                </c:pt>
                <c:pt idx="3090">
                  <c:v>1.9631966667921219E-2</c:v>
                </c:pt>
                <c:pt idx="3091">
                  <c:v>1.9634868174236431E-2</c:v>
                </c:pt>
                <c:pt idx="3092">
                  <c:v>1.9637763130910812E-2</c:v>
                </c:pt>
                <c:pt idx="3093">
                  <c:v>1.9640651537944365E-2</c:v>
                </c:pt>
                <c:pt idx="3094">
                  <c:v>1.9643533395337087E-2</c:v>
                </c:pt>
                <c:pt idx="3095">
                  <c:v>1.964640870308898E-2</c:v>
                </c:pt>
                <c:pt idx="3096">
                  <c:v>1.9649277461120107E-2</c:v>
                </c:pt>
                <c:pt idx="3097">
                  <c:v>1.9652139669590341E-2</c:v>
                </c:pt>
                <c:pt idx="3098">
                  <c:v>1.9654995328339808E-2</c:v>
                </c:pt>
                <c:pt idx="3099">
                  <c:v>1.9657844437448446E-2</c:v>
                </c:pt>
                <c:pt idx="3100">
                  <c:v>1.9660686996916255E-2</c:v>
                </c:pt>
                <c:pt idx="3101">
                  <c:v>1.9663523006823169E-2</c:v>
                </c:pt>
                <c:pt idx="3102">
                  <c:v>1.9666352466849446E-2</c:v>
                </c:pt>
                <c:pt idx="3103">
                  <c:v>1.9669175377394765E-2</c:v>
                </c:pt>
                <c:pt idx="3104">
                  <c:v>1.9671991738379191E-2</c:v>
                </c:pt>
                <c:pt idx="3105">
                  <c:v>1.9674801549403043E-2</c:v>
                </c:pt>
                <c:pt idx="3106">
                  <c:v>1.9677604810945937E-2</c:v>
                </c:pt>
                <c:pt idx="3107">
                  <c:v>1.9680401522848001E-2</c:v>
                </c:pt>
                <c:pt idx="3108">
                  <c:v>1.9683191685109236E-2</c:v>
                </c:pt>
                <c:pt idx="3109">
                  <c:v>1.9685975297649705E-2</c:v>
                </c:pt>
                <c:pt idx="3110">
                  <c:v>1.968875236062928E-2</c:v>
                </c:pt>
                <c:pt idx="3111">
                  <c:v>1.969152287388809E-2</c:v>
                </c:pt>
                <c:pt idx="3112">
                  <c:v>1.969428683750607E-2</c:v>
                </c:pt>
                <c:pt idx="3113">
                  <c:v>1.9697044251403284E-2</c:v>
                </c:pt>
                <c:pt idx="3114">
                  <c:v>1.9699795115739605E-2</c:v>
                </c:pt>
                <c:pt idx="3115">
                  <c:v>1.9702539430355159E-2</c:v>
                </c:pt>
                <c:pt idx="3116">
                  <c:v>1.970527719540982E-2</c:v>
                </c:pt>
                <c:pt idx="3117">
                  <c:v>1.9708008410743716E-2</c:v>
                </c:pt>
                <c:pt idx="3118">
                  <c:v>1.9710733076356846E-2</c:v>
                </c:pt>
                <c:pt idx="3119">
                  <c:v>1.9713451192409082E-2</c:v>
                </c:pt>
                <c:pt idx="3120">
                  <c:v>1.9716162758740552E-2</c:v>
                </c:pt>
                <c:pt idx="3121">
                  <c:v>1.9718867775431193E-2</c:v>
                </c:pt>
                <c:pt idx="3122">
                  <c:v>1.9721566242481003E-2</c:v>
                </c:pt>
                <c:pt idx="3123">
                  <c:v>1.9724258159889985E-2</c:v>
                </c:pt>
                <c:pt idx="3124">
                  <c:v>1.9726943527658136E-2</c:v>
                </c:pt>
                <c:pt idx="3125">
                  <c:v>1.9729622345705522E-2</c:v>
                </c:pt>
                <c:pt idx="3126">
                  <c:v>1.9732294614112078E-2</c:v>
                </c:pt>
                <c:pt idx="3127">
                  <c:v>1.9734960332797868E-2</c:v>
                </c:pt>
                <c:pt idx="3128">
                  <c:v>1.9737619502002701E-2</c:v>
                </c:pt>
                <c:pt idx="3129">
                  <c:v>1.9740272121406832E-2</c:v>
                </c:pt>
                <c:pt idx="3130">
                  <c:v>1.974291819125007E-2</c:v>
                </c:pt>
                <c:pt idx="3131">
                  <c:v>1.9745557711292605E-2</c:v>
                </c:pt>
                <c:pt idx="3132">
                  <c:v>1.9748190681854183E-2</c:v>
                </c:pt>
                <c:pt idx="3133">
                  <c:v>1.9750817102615059E-2</c:v>
                </c:pt>
                <c:pt idx="3134">
                  <c:v>1.9753436973735106E-2</c:v>
                </c:pt>
                <c:pt idx="3135">
                  <c:v>1.9756050295214322E-2</c:v>
                </c:pt>
                <c:pt idx="3136">
                  <c:v>1.975865706705271E-2</c:v>
                </c:pt>
                <c:pt idx="3137">
                  <c:v>1.9764168640106661E-2</c:v>
                </c:pt>
                <c:pt idx="3138">
                  <c:v>1.9763850961727059E-2</c:v>
                </c:pt>
                <c:pt idx="3139">
                  <c:v>1.9766438084722893E-2</c:v>
                </c:pt>
                <c:pt idx="3140">
                  <c:v>1.9769018657838089E-2</c:v>
                </c:pt>
                <c:pt idx="3141">
                  <c:v>1.9771592681392391E-2</c:v>
                </c:pt>
                <c:pt idx="3142">
                  <c:v>1.9774160155225928E-2</c:v>
                </c:pt>
                <c:pt idx="3143">
                  <c:v>1.9776721079498571E-2</c:v>
                </c:pt>
                <c:pt idx="3144">
                  <c:v>1.9779275454130385E-2</c:v>
                </c:pt>
                <c:pt idx="3145">
                  <c:v>1.9781823278961497E-2</c:v>
                </c:pt>
                <c:pt idx="3146">
                  <c:v>1.9784364554231715E-2</c:v>
                </c:pt>
                <c:pt idx="3147">
                  <c:v>1.9786899279701231E-2</c:v>
                </c:pt>
                <c:pt idx="3148">
                  <c:v>1.978942745568979E-2</c:v>
                </c:pt>
                <c:pt idx="3149">
                  <c:v>1.9791949081877647E-2</c:v>
                </c:pt>
                <c:pt idx="3150">
                  <c:v>1.9794464158584546E-2</c:v>
                </c:pt>
                <c:pt idx="3151">
                  <c:v>1.9796972685490744E-2</c:v>
                </c:pt>
                <c:pt idx="3152">
                  <c:v>1.9799474662756111E-2</c:v>
                </c:pt>
                <c:pt idx="3153">
                  <c:v>1.9801970090300713E-2</c:v>
                </c:pt>
                <c:pt idx="3154">
                  <c:v>1.9804458968204486E-2</c:v>
                </c:pt>
                <c:pt idx="3155">
                  <c:v>1.9806941296547365E-2</c:v>
                </c:pt>
                <c:pt idx="3156">
                  <c:v>1.9809417075169478E-2</c:v>
                </c:pt>
                <c:pt idx="3157">
                  <c:v>1.9811886304150761E-2</c:v>
                </c:pt>
                <c:pt idx="3158">
                  <c:v>1.9814348983411278E-2</c:v>
                </c:pt>
                <c:pt idx="3159">
                  <c:v>1.9816805113110902E-2</c:v>
                </c:pt>
                <c:pt idx="3160">
                  <c:v>1.9819254693009825E-2</c:v>
                </c:pt>
                <c:pt idx="3161">
                  <c:v>1.9821697723427789E-2</c:v>
                </c:pt>
                <c:pt idx="3162">
                  <c:v>1.9824134204045052E-2</c:v>
                </c:pt>
                <c:pt idx="3163">
                  <c:v>1.9826564135021485E-2</c:v>
                </c:pt>
                <c:pt idx="3164">
                  <c:v>1.9828987516277152E-2</c:v>
                </c:pt>
                <c:pt idx="3165">
                  <c:v>1.9831404347971926E-2</c:v>
                </c:pt>
                <c:pt idx="3166">
                  <c:v>1.9833814629945934E-2</c:v>
                </c:pt>
                <c:pt idx="3167">
                  <c:v>1.9836218362279112E-2</c:v>
                </c:pt>
                <c:pt idx="3168">
                  <c:v>1.9838615545051397E-2</c:v>
                </c:pt>
                <c:pt idx="3169">
                  <c:v>1.9841006177943044E-2</c:v>
                </c:pt>
                <c:pt idx="3170">
                  <c:v>1.9843390261353733E-2</c:v>
                </c:pt>
                <c:pt idx="3171">
                  <c:v>1.984576779496372E-2</c:v>
                </c:pt>
                <c:pt idx="3172">
                  <c:v>1.9848138779012814E-2</c:v>
                </c:pt>
                <c:pt idx="3173">
                  <c:v>1.9850503213421078E-2</c:v>
                </c:pt>
                <c:pt idx="3174">
                  <c:v>1.985286109802864E-2</c:v>
                </c:pt>
                <c:pt idx="3175">
                  <c:v>1.9855212433155245E-2</c:v>
                </c:pt>
                <c:pt idx="3176">
                  <c:v>1.9857557218481148E-2</c:v>
                </c:pt>
                <c:pt idx="3177">
                  <c:v>1.9859895454166221E-2</c:v>
                </c:pt>
                <c:pt idx="3178">
                  <c:v>1.9862227140210464E-2</c:v>
                </c:pt>
                <c:pt idx="3179">
                  <c:v>1.9864552276613878E-2</c:v>
                </c:pt>
                <c:pt idx="3180">
                  <c:v>1.986687086321659E-2</c:v>
                </c:pt>
                <c:pt idx="3181">
                  <c:v>1.9869182900338345E-2</c:v>
                </c:pt>
                <c:pt idx="3182">
                  <c:v>1.9871488387579461E-2</c:v>
                </c:pt>
                <c:pt idx="3183">
                  <c:v>1.987378732533962E-2</c:v>
                </c:pt>
                <c:pt idx="3184">
                  <c:v>1.987607971345895E-2</c:v>
                </c:pt>
                <c:pt idx="3185">
                  <c:v>1.9878365551697641E-2</c:v>
                </c:pt>
                <c:pt idx="3186">
                  <c:v>1.9880644840455375E-2</c:v>
                </c:pt>
                <c:pt idx="3187">
                  <c:v>1.9882917579652215E-2</c:v>
                </c:pt>
                <c:pt idx="3188">
                  <c:v>1.9885183768888481E-2</c:v>
                </c:pt>
                <c:pt idx="3189">
                  <c:v>1.9887443408563854E-2</c:v>
                </c:pt>
                <c:pt idx="3190">
                  <c:v>1.9889696498678333E-2</c:v>
                </c:pt>
                <c:pt idx="3191">
                  <c:v>1.9891943039072046E-2</c:v>
                </c:pt>
                <c:pt idx="3192">
                  <c:v>1.9897020722689618E-2</c:v>
                </c:pt>
                <c:pt idx="3193">
                  <c:v>1.9896416470777112E-2</c:v>
                </c:pt>
                <c:pt idx="3194">
                  <c:v>1.9900378337558422E-2</c:v>
                </c:pt>
                <c:pt idx="3195">
                  <c:v>1.9902597053222948E-2</c:v>
                </c:pt>
                <c:pt idx="3196">
                  <c:v>1.990480921852722E-2</c:v>
                </c:pt>
                <c:pt idx="3197">
                  <c:v>1.9907014833417946E-2</c:v>
                </c:pt>
                <c:pt idx="3198">
                  <c:v>1.990921389800171E-2</c:v>
                </c:pt>
                <c:pt idx="3199">
                  <c:v>1.9911406412198573E-2</c:v>
                </c:pt>
                <c:pt idx="3200">
                  <c:v>1.9913592376061828E-2</c:v>
                </c:pt>
                <c:pt idx="3201">
                  <c:v>1.9915771789484893E-2</c:v>
                </c:pt>
                <c:pt idx="3202">
                  <c:v>1.9917944652574349E-2</c:v>
                </c:pt>
                <c:pt idx="3203">
                  <c:v>1.9920110965330196E-2</c:v>
                </c:pt>
                <c:pt idx="3204">
                  <c:v>1.9922270727645852E-2</c:v>
                </c:pt>
                <c:pt idx="3205">
                  <c:v>1.9924423939707836E-2</c:v>
                </c:pt>
                <c:pt idx="3206">
                  <c:v>1.992657060132963E-2</c:v>
                </c:pt>
                <c:pt idx="3207">
                  <c:v>1.9928710712564524E-2</c:v>
                </c:pt>
                <c:pt idx="3208">
                  <c:v>1.9930844273492454E-2</c:v>
                </c:pt>
                <c:pt idx="3209">
                  <c:v>1.993297128400684E-2</c:v>
                </c:pt>
                <c:pt idx="3210">
                  <c:v>1.9935091744187616E-2</c:v>
                </c:pt>
                <c:pt idx="3211">
                  <c:v>1.9937205653954848E-2</c:v>
                </c:pt>
                <c:pt idx="3212">
                  <c:v>1.9939313013388471E-2</c:v>
                </c:pt>
                <c:pt idx="3213">
                  <c:v>1.9941413822435194E-2</c:v>
                </c:pt>
                <c:pt idx="3214">
                  <c:v>1.9943508081095018E-2</c:v>
                </c:pt>
                <c:pt idx="3215">
                  <c:v>1.9945595789421233E-2</c:v>
                </c:pt>
                <c:pt idx="3216">
                  <c:v>1.9947676947333903E-2</c:v>
                </c:pt>
                <c:pt idx="3217">
                  <c:v>1.9949751554912964E-2</c:v>
                </c:pt>
                <c:pt idx="3218">
                  <c:v>1.9951819612131771E-2</c:v>
                </c:pt>
                <c:pt idx="3219">
                  <c:v>1.9953881118883743E-2</c:v>
                </c:pt>
                <c:pt idx="3220">
                  <c:v>1.9955936075355396E-2</c:v>
                </c:pt>
                <c:pt idx="3221">
                  <c:v>1.995798448144015E-2</c:v>
                </c:pt>
                <c:pt idx="3222">
                  <c:v>1.9960026337164649E-2</c:v>
                </c:pt>
                <c:pt idx="3223">
                  <c:v>1.9962061642502249E-2</c:v>
                </c:pt>
                <c:pt idx="3224">
                  <c:v>1.9964090397479595E-2</c:v>
                </c:pt>
                <c:pt idx="3225">
                  <c:v>1.9966112602043395E-2</c:v>
                </c:pt>
                <c:pt idx="3226">
                  <c:v>1.9968128256220297E-2</c:v>
                </c:pt>
                <c:pt idx="3227">
                  <c:v>1.9970137360063589E-2</c:v>
                </c:pt>
                <c:pt idx="3228">
                  <c:v>1.9972299544122052E-2</c:v>
                </c:pt>
                <c:pt idx="3229">
                  <c:v>1.9973596844788943E-2</c:v>
                </c:pt>
                <c:pt idx="3230">
                  <c:v>1.9975584205385033E-2</c:v>
                </c:pt>
                <c:pt idx="3231">
                  <c:v>1.9977565016340293E-2</c:v>
                </c:pt>
                <c:pt idx="3232">
                  <c:v>1.9979539277734659E-2</c:v>
                </c:pt>
                <c:pt idx="3233">
                  <c:v>1.9981506989328324E-2</c:v>
                </c:pt>
                <c:pt idx="3234">
                  <c:v>1.9983468151201222E-2</c:v>
                </c:pt>
                <c:pt idx="3235">
                  <c:v>1.9985422763513228E-2</c:v>
                </c:pt>
                <c:pt idx="3236">
                  <c:v>1.9987370826184403E-2</c:v>
                </c:pt>
                <c:pt idx="3237">
                  <c:v>1.9989312339054877E-2</c:v>
                </c:pt>
                <c:pt idx="3238">
                  <c:v>1.9991247302204584E-2</c:v>
                </c:pt>
                <c:pt idx="3239">
                  <c:v>1.9993175715873335E-2</c:v>
                </c:pt>
                <c:pt idx="3240">
                  <c:v>1.9995097579821319E-2</c:v>
                </c:pt>
                <c:pt idx="3241">
                  <c:v>1.9997012893968602E-2</c:v>
                </c:pt>
                <c:pt idx="3242">
                  <c:v>1.9998921658475055E-2</c:v>
                </c:pt>
                <c:pt idx="3243">
                  <c:v>2.0001366160515843E-2</c:v>
                </c:pt>
                <c:pt idx="3244">
                  <c:v>2.000271953880528E-2</c:v>
                </c:pt>
                <c:pt idx="3245">
                  <c:v>2.0004608654309308E-2</c:v>
                </c:pt>
                <c:pt idx="3246">
                  <c:v>2.0006491220172506E-2</c:v>
                </c:pt>
                <c:pt idx="3247">
                  <c:v>2.0008367236394875E-2</c:v>
                </c:pt>
                <c:pt idx="3248">
                  <c:v>2.0010236702896478E-2</c:v>
                </c:pt>
                <c:pt idx="3249">
                  <c:v>2.0012099619677315E-2</c:v>
                </c:pt>
                <c:pt idx="3250">
                  <c:v>2.0013955986977194E-2</c:v>
                </c:pt>
                <c:pt idx="3251">
                  <c:v>2.0015805804556308E-2</c:v>
                </c:pt>
                <c:pt idx="3252">
                  <c:v>2.001764907233472E-2</c:v>
                </c:pt>
                <c:pt idx="3253">
                  <c:v>2.0019485790472302E-2</c:v>
                </c:pt>
                <c:pt idx="3254">
                  <c:v>2.0021315959048991E-2</c:v>
                </c:pt>
                <c:pt idx="3255">
                  <c:v>2.0023139577904914E-2</c:v>
                </c:pt>
                <c:pt idx="3256">
                  <c:v>2.0024956646960135E-2</c:v>
                </c:pt>
                <c:pt idx="3257">
                  <c:v>2.0026767166454462E-2</c:v>
                </c:pt>
                <c:pt idx="3258">
                  <c:v>2.0028571136228024E-2</c:v>
                </c:pt>
                <c:pt idx="3259">
                  <c:v>2.0030368556360756E-2</c:v>
                </c:pt>
                <c:pt idx="3260">
                  <c:v>2.0032159426772722E-2</c:v>
                </c:pt>
                <c:pt idx="3261">
                  <c:v>2.0033943747623795E-2</c:v>
                </c:pt>
                <c:pt idx="3262">
                  <c:v>2.0035721518754102E-2</c:v>
                </c:pt>
                <c:pt idx="3263">
                  <c:v>2.0037492740083707E-2</c:v>
                </c:pt>
                <c:pt idx="3264">
                  <c:v>2.0039257411932354E-2</c:v>
                </c:pt>
                <c:pt idx="3265">
                  <c:v>2.0041015534060236E-2</c:v>
                </c:pt>
                <c:pt idx="3266">
                  <c:v>2.0042767106387416E-2</c:v>
                </c:pt>
                <c:pt idx="3267">
                  <c:v>2.004451212899383E-2</c:v>
                </c:pt>
                <c:pt idx="3268">
                  <c:v>2.0046250602119287E-2</c:v>
                </c:pt>
                <c:pt idx="3269">
                  <c:v>2.0047982525603913E-2</c:v>
                </c:pt>
                <c:pt idx="3270">
                  <c:v>2.0049707899287839E-2</c:v>
                </c:pt>
                <c:pt idx="3271">
                  <c:v>2.0051426723330934E-2</c:v>
                </c:pt>
                <c:pt idx="3272">
                  <c:v>2.0053138997653264E-2</c:v>
                </c:pt>
                <c:pt idx="3273">
                  <c:v>2.00548447224147E-2</c:v>
                </c:pt>
                <c:pt idx="3274">
                  <c:v>2.0056543897375434E-2</c:v>
                </c:pt>
                <c:pt idx="3275">
                  <c:v>2.0058236522695339E-2</c:v>
                </c:pt>
                <c:pt idx="3276">
                  <c:v>2.0059922598374413E-2</c:v>
                </c:pt>
                <c:pt idx="3277">
                  <c:v>2.0061602124252786E-2</c:v>
                </c:pt>
                <c:pt idx="3278">
                  <c:v>2.0063275100650202E-2</c:v>
                </c:pt>
                <c:pt idx="3279">
                  <c:v>2.0064941527246916E-2</c:v>
                </c:pt>
                <c:pt idx="3280">
                  <c:v>2.0067515504917921E-2</c:v>
                </c:pt>
                <c:pt idx="3281">
                  <c:v>2.0068490386453419E-2</c:v>
                </c:pt>
                <c:pt idx="3282">
                  <c:v>2.0070136228316215E-2</c:v>
                </c:pt>
                <c:pt idx="3283">
                  <c:v>2.0071775520618118E-2</c:v>
                </c:pt>
                <c:pt idx="3284">
                  <c:v>2.0073408263279191E-2</c:v>
                </c:pt>
                <c:pt idx="3285">
                  <c:v>2.0075034456139562E-2</c:v>
                </c:pt>
                <c:pt idx="3286">
                  <c:v>2.0076654099279168E-2</c:v>
                </c:pt>
                <c:pt idx="3287">
                  <c:v>2.0078267192937815E-2</c:v>
                </c:pt>
                <c:pt idx="3288">
                  <c:v>2.0079873736795761E-2</c:v>
                </c:pt>
                <c:pt idx="3289">
                  <c:v>2.0081473731092814E-2</c:v>
                </c:pt>
                <c:pt idx="3290">
                  <c:v>2.0083067175429292E-2</c:v>
                </c:pt>
                <c:pt idx="3291">
                  <c:v>2.0084654070284813E-2</c:v>
                </c:pt>
                <c:pt idx="3292">
                  <c:v>2.008623441557944E-2</c:v>
                </c:pt>
                <c:pt idx="3293">
                  <c:v>2.0088256663788329E-2</c:v>
                </c:pt>
                <c:pt idx="3294">
                  <c:v>2.0089822038338312E-2</c:v>
                </c:pt>
                <c:pt idx="3295">
                  <c:v>2.0091380863167529E-2</c:v>
                </c:pt>
                <c:pt idx="3296">
                  <c:v>2.0092933138275981E-2</c:v>
                </c:pt>
                <c:pt idx="3297">
                  <c:v>2.0096040955586147E-2</c:v>
                </c:pt>
                <c:pt idx="3298">
                  <c:v>2.009601803949046E-2</c:v>
                </c:pt>
                <c:pt idx="3299">
                  <c:v>2.0097550665676422E-2</c:v>
                </c:pt>
                <c:pt idx="3300">
                  <c:v>2.0099076741981747E-2</c:v>
                </c:pt>
                <c:pt idx="3301">
                  <c:v>2.0100596268806115E-2</c:v>
                </c:pt>
                <c:pt idx="3302">
                  <c:v>2.010210924582978E-2</c:v>
                </c:pt>
                <c:pt idx="3303">
                  <c:v>2.010361567313268E-2</c:v>
                </c:pt>
                <c:pt idx="3304">
                  <c:v>2.010511555079475E-2</c:v>
                </c:pt>
                <c:pt idx="3305">
                  <c:v>2.0106608878895926E-2</c:v>
                </c:pt>
                <c:pt idx="3306">
                  <c:v>2.0108095657356273E-2</c:v>
                </c:pt>
                <c:pt idx="3307">
                  <c:v>2.0109575885935982E-2</c:v>
                </c:pt>
                <c:pt idx="3308">
                  <c:v>2.0111049564954797E-2</c:v>
                </c:pt>
                <c:pt idx="3309">
                  <c:v>2.0112516694172911E-2</c:v>
                </c:pt>
                <c:pt idx="3310">
                  <c:v>2.011397727383013E-2</c:v>
                </c:pt>
                <c:pt idx="3311">
                  <c:v>2.0115431303766584E-2</c:v>
                </c:pt>
                <c:pt idx="3312">
                  <c:v>2.0116878784062209E-2</c:v>
                </c:pt>
                <c:pt idx="3313">
                  <c:v>2.0118319714637067E-2</c:v>
                </c:pt>
                <c:pt idx="3314">
                  <c:v>2.0119754095571096E-2</c:v>
                </c:pt>
                <c:pt idx="3315">
                  <c:v>2.0121181926864296E-2</c:v>
                </c:pt>
                <c:pt idx="3316">
                  <c:v>2.0122603208436729E-2</c:v>
                </c:pt>
                <c:pt idx="3317">
                  <c:v>2.0124017940288397E-2</c:v>
                </c:pt>
                <c:pt idx="3318">
                  <c:v>2.0125426122419299E-2</c:v>
                </c:pt>
                <c:pt idx="3319">
                  <c:v>2.0126827754989307E-2</c:v>
                </c:pt>
                <c:pt idx="3320">
                  <c:v>2.012822283783855E-2</c:v>
                </c:pt>
                <c:pt idx="3321">
                  <c:v>2.0129611370967027E-2</c:v>
                </c:pt>
                <c:pt idx="3322">
                  <c:v>2.0130993354454674E-2</c:v>
                </c:pt>
                <c:pt idx="3323">
                  <c:v>2.0132368788221555E-2</c:v>
                </c:pt>
                <c:pt idx="3324">
                  <c:v>2.0133737672427543E-2</c:v>
                </c:pt>
                <c:pt idx="3325">
                  <c:v>2.0135100006832829E-2</c:v>
                </c:pt>
                <c:pt idx="3326">
                  <c:v>2.0136455791517349E-2</c:v>
                </c:pt>
                <c:pt idx="3327">
                  <c:v>2.0137805026720912E-2</c:v>
                </c:pt>
                <c:pt idx="3328">
                  <c:v>2.0139147712123773E-2</c:v>
                </c:pt>
                <c:pt idx="3329">
                  <c:v>2.0140483847805868E-2</c:v>
                </c:pt>
                <c:pt idx="3330">
                  <c:v>2.0141813433927069E-2</c:v>
                </c:pt>
                <c:pt idx="3331">
                  <c:v>2.0143889550405802E-2</c:v>
                </c:pt>
                <c:pt idx="3332">
                  <c:v>2.0145955130832505E-2</c:v>
                </c:pt>
                <c:pt idx="3333">
                  <c:v>2.0145762893966079E-2</c:v>
                </c:pt>
                <c:pt idx="3334">
                  <c:v>2.0147066281284154E-2</c:v>
                </c:pt>
                <c:pt idx="3335">
                  <c:v>2.0148363118961399E-2</c:v>
                </c:pt>
                <c:pt idx="3336">
                  <c:v>2.0149653406837942E-2</c:v>
                </c:pt>
                <c:pt idx="3337">
                  <c:v>2.0150937145233527E-2</c:v>
                </c:pt>
                <c:pt idx="3338">
                  <c:v>2.0152214333828411E-2</c:v>
                </c:pt>
                <c:pt idx="3339">
                  <c:v>2.0153484972702529E-2</c:v>
                </c:pt>
                <c:pt idx="3340">
                  <c:v>2.0154749061935817E-2</c:v>
                </c:pt>
                <c:pt idx="3341">
                  <c:v>2.0156006601528276E-2</c:v>
                </c:pt>
                <c:pt idx="3342">
                  <c:v>2.0157257591399969E-2</c:v>
                </c:pt>
                <c:pt idx="3343">
                  <c:v>2.015850203147096E-2</c:v>
                </c:pt>
                <c:pt idx="3344">
                  <c:v>2.0159739922140929E-2</c:v>
                </c:pt>
                <c:pt idx="3345">
                  <c:v>2.0160971263010197E-2</c:v>
                </c:pt>
                <c:pt idx="3346">
                  <c:v>2.0162196054158699E-2</c:v>
                </c:pt>
                <c:pt idx="3347">
                  <c:v>2.0166019916953104E-2</c:v>
                </c:pt>
                <c:pt idx="3348">
                  <c:v>2.0164625987453277E-2</c:v>
                </c:pt>
                <c:pt idx="3349">
                  <c:v>2.0167782964852776E-2</c:v>
                </c:pt>
                <c:pt idx="3350">
                  <c:v>2.0167029721864793E-2</c:v>
                </c:pt>
                <c:pt idx="3351">
                  <c:v>2.0168221764649275E-2</c:v>
                </c:pt>
                <c:pt idx="3352">
                  <c:v>2.0169407257792926E-2</c:v>
                </c:pt>
                <c:pt idx="3353">
                  <c:v>2.017058620105594E-2</c:v>
                </c:pt>
                <c:pt idx="3354">
                  <c:v>2.017175859475806E-2</c:v>
                </c:pt>
                <c:pt idx="3355">
                  <c:v>2.0172924438819351E-2</c:v>
                </c:pt>
                <c:pt idx="3356">
                  <c:v>2.0174083733079939E-2</c:v>
                </c:pt>
                <c:pt idx="3357">
                  <c:v>2.0175236477779634E-2</c:v>
                </c:pt>
                <c:pt idx="3358">
                  <c:v>2.0176382672758564E-2</c:v>
                </c:pt>
                <c:pt idx="3359">
                  <c:v>2.0177522318176599E-2</c:v>
                </c:pt>
                <c:pt idx="3360">
                  <c:v>2.0178655413713997E-2</c:v>
                </c:pt>
                <c:pt idx="3361">
                  <c:v>2.0179781959610565E-2</c:v>
                </c:pt>
                <c:pt idx="3362">
                  <c:v>2.0180901956026176E-2</c:v>
                </c:pt>
                <c:pt idx="3363">
                  <c:v>2.0182015402481213E-2</c:v>
                </c:pt>
                <c:pt idx="3364">
                  <c:v>2.0183122299375356E-2</c:v>
                </c:pt>
                <c:pt idx="3365">
                  <c:v>2.0184222646468797E-2</c:v>
                </c:pt>
                <c:pt idx="3366">
                  <c:v>2.018531644408128E-2</c:v>
                </c:pt>
                <c:pt idx="3367">
                  <c:v>2.0186403691893062E-2</c:v>
                </c:pt>
                <c:pt idx="3368">
                  <c:v>2.018748439014395E-2</c:v>
                </c:pt>
                <c:pt idx="3369">
                  <c:v>2.0188558538514201E-2</c:v>
                </c:pt>
                <c:pt idx="3370">
                  <c:v>2.0189626137403494E-2</c:v>
                </c:pt>
                <c:pt idx="3371">
                  <c:v>2.0190687186572021E-2</c:v>
                </c:pt>
                <c:pt idx="3372">
                  <c:v>2.019174168585991E-2</c:v>
                </c:pt>
                <c:pt idx="3373">
                  <c:v>2.0192789635666841E-2</c:v>
                </c:pt>
                <c:pt idx="3374">
                  <c:v>2.0193831035753007E-2</c:v>
                </c:pt>
                <c:pt idx="3375">
                  <c:v>2.0194865886038471E-2</c:v>
                </c:pt>
                <c:pt idx="3376">
                  <c:v>2.0195894186603169E-2</c:v>
                </c:pt>
                <c:pt idx="3377">
                  <c:v>2.0196915937766846E-2</c:v>
                </c:pt>
                <c:pt idx="3378">
                  <c:v>2.0197931139049885E-2</c:v>
                </c:pt>
                <c:pt idx="3379">
                  <c:v>2.0198939790612158E-2</c:v>
                </c:pt>
                <c:pt idx="3380">
                  <c:v>2.0199941892613538E-2</c:v>
                </c:pt>
                <c:pt idx="3381">
                  <c:v>2.0200937444974087E-2</c:v>
                </c:pt>
                <c:pt idx="3382">
                  <c:v>2.0201926447613872E-2</c:v>
                </c:pt>
                <c:pt idx="3383">
                  <c:v>2.0204819245674965E-2</c:v>
                </c:pt>
                <c:pt idx="3384">
                  <c:v>2.0205793909484626E-2</c:v>
                </c:pt>
                <c:pt idx="3385">
                  <c:v>2.0204854157288565E-2</c:v>
                </c:pt>
                <c:pt idx="3386">
                  <c:v>2.0205816961125223E-2</c:v>
                </c:pt>
                <c:pt idx="3387">
                  <c:v>2.0206773215161178E-2</c:v>
                </c:pt>
                <c:pt idx="3388">
                  <c:v>2.0207722919796112E-2</c:v>
                </c:pt>
                <c:pt idx="3389">
                  <c:v>2.0208666074550408E-2</c:v>
                </c:pt>
                <c:pt idx="3390">
                  <c:v>2.0209602679663874E-2</c:v>
                </c:pt>
                <c:pt idx="3391">
                  <c:v>2.0210532735216447E-2</c:v>
                </c:pt>
                <c:pt idx="3392">
                  <c:v>2.0211456240968317E-2</c:v>
                </c:pt>
                <c:pt idx="3393">
                  <c:v>2.0212373196999422E-2</c:v>
                </c:pt>
                <c:pt idx="3394">
                  <c:v>2.0213283603309762E-2</c:v>
                </c:pt>
                <c:pt idx="3395">
                  <c:v>2.0214187460059208E-2</c:v>
                </c:pt>
                <c:pt idx="3396">
                  <c:v>2.0215084767087887E-2</c:v>
                </c:pt>
                <c:pt idx="3397">
                  <c:v>2.0215975524395802E-2</c:v>
                </c:pt>
                <c:pt idx="3398">
                  <c:v>2.0219381884677645E-2</c:v>
                </c:pt>
                <c:pt idx="3399">
                  <c:v>2.0217737390089141E-2</c:v>
                </c:pt>
                <c:pt idx="3400">
                  <c:v>2.021860849839463E-2</c:v>
                </c:pt>
                <c:pt idx="3401">
                  <c:v>2.0219473056899417E-2</c:v>
                </c:pt>
                <c:pt idx="3402">
                  <c:v>2.0220331065843311E-2</c:v>
                </c:pt>
                <c:pt idx="3403">
                  <c:v>2.0221182525066439E-2</c:v>
                </c:pt>
                <c:pt idx="3404">
                  <c:v>2.0222027434648737E-2</c:v>
                </c:pt>
                <c:pt idx="3405">
                  <c:v>2.0222865794430334E-2</c:v>
                </c:pt>
                <c:pt idx="3406">
                  <c:v>2.02236976045711E-2</c:v>
                </c:pt>
                <c:pt idx="3407">
                  <c:v>2.0224522865230909E-2</c:v>
                </c:pt>
                <c:pt idx="3408">
                  <c:v>2.0225341576090017E-2</c:v>
                </c:pt>
                <c:pt idx="3409">
                  <c:v>2.0226153737148422E-2</c:v>
                </c:pt>
                <c:pt idx="3410">
                  <c:v>2.0226959348486062E-2</c:v>
                </c:pt>
                <c:pt idx="3411">
                  <c:v>2.0227758410262808E-2</c:v>
                </c:pt>
                <c:pt idx="3412">
                  <c:v>2.0228550922398725E-2</c:v>
                </c:pt>
                <c:pt idx="3413">
                  <c:v>2.0229336884813875E-2</c:v>
                </c:pt>
                <c:pt idx="3414">
                  <c:v>2.023011629750826E-2</c:v>
                </c:pt>
                <c:pt idx="3415">
                  <c:v>2.023088916048188E-2</c:v>
                </c:pt>
                <c:pt idx="3416">
                  <c:v>2.0231655473814669E-2</c:v>
                </c:pt>
                <c:pt idx="3417">
                  <c:v>2.0232415237506629E-2</c:v>
                </c:pt>
                <c:pt idx="3418">
                  <c:v>2.0233168451477823E-2</c:v>
                </c:pt>
                <c:pt idx="3419">
                  <c:v>2.0233915115648315E-2</c:v>
                </c:pt>
                <c:pt idx="3420">
                  <c:v>2.023465523033785E-2</c:v>
                </c:pt>
                <c:pt idx="3421">
                  <c:v>2.0235388795306619E-2</c:v>
                </c:pt>
                <c:pt idx="3422">
                  <c:v>2.023611581039475E-2</c:v>
                </c:pt>
                <c:pt idx="3423">
                  <c:v>2.0236836275842052E-2</c:v>
                </c:pt>
                <c:pt idx="3424">
                  <c:v>2.0237550191808396E-2</c:v>
                </c:pt>
                <c:pt idx="3425">
                  <c:v>2.0238257557894102E-2</c:v>
                </c:pt>
                <c:pt idx="3426">
                  <c:v>2.0238958374418914E-2</c:v>
                </c:pt>
                <c:pt idx="3427">
                  <c:v>2.023965264122296E-2</c:v>
                </c:pt>
                <c:pt idx="3428">
                  <c:v>2.0240340358386177E-2</c:v>
                </c:pt>
                <c:pt idx="3429">
                  <c:v>2.0241021525908565E-2</c:v>
                </c:pt>
                <c:pt idx="3430">
                  <c:v>2.0241696143470378E-2</c:v>
                </c:pt>
                <c:pt idx="3431">
                  <c:v>2.0242364211551234E-2</c:v>
                </c:pt>
                <c:pt idx="3432">
                  <c:v>2.024302572999126E-2</c:v>
                </c:pt>
                <c:pt idx="3433">
                  <c:v>2.0243680698550648E-2</c:v>
                </c:pt>
                <c:pt idx="3434">
                  <c:v>2.0244329117549142E-2</c:v>
                </c:pt>
                <c:pt idx="3435">
                  <c:v>2.0244970986986743E-2</c:v>
                </c:pt>
                <c:pt idx="3436">
                  <c:v>2.0245606306543706E-2</c:v>
                </c:pt>
                <c:pt idx="3437">
                  <c:v>2.024623507645984E-2</c:v>
                </c:pt>
                <c:pt idx="3438">
                  <c:v>2.0246857296735143E-2</c:v>
                </c:pt>
                <c:pt idx="3439">
                  <c:v>2.0247472967289681E-2</c:v>
                </c:pt>
                <c:pt idx="3440">
                  <c:v>2.0248082088283326E-2</c:v>
                </c:pt>
                <c:pt idx="3441">
                  <c:v>2.024868465923646E-2</c:v>
                </c:pt>
                <c:pt idx="3442">
                  <c:v>2.0249280680948445E-2</c:v>
                </c:pt>
                <c:pt idx="3443">
                  <c:v>2.0249870152779792E-2</c:v>
                </c:pt>
                <c:pt idx="3444">
                  <c:v>2.0250453074810437E-2</c:v>
                </c:pt>
                <c:pt idx="3445">
                  <c:v>2.0251029447360125E-2</c:v>
                </c:pt>
                <c:pt idx="3446">
                  <c:v>2.0251599270109111E-2</c:v>
                </c:pt>
                <c:pt idx="3447">
                  <c:v>2.0252162543137331E-2</c:v>
                </c:pt>
                <c:pt idx="3448">
                  <c:v>2.0255155894256305E-2</c:v>
                </c:pt>
                <c:pt idx="3449">
                  <c:v>2.0253269440351218E-2</c:v>
                </c:pt>
                <c:pt idx="3450">
                  <c:v>2.0253813064297077E-2</c:v>
                </c:pt>
                <c:pt idx="3451">
                  <c:v>2.025435013852217E-2</c:v>
                </c:pt>
                <c:pt idx="3452">
                  <c:v>2.025488066318637E-2</c:v>
                </c:pt>
                <c:pt idx="3453">
                  <c:v>2.0255404638289676E-2</c:v>
                </c:pt>
                <c:pt idx="3454">
                  <c:v>2.0255922063512344E-2</c:v>
                </c:pt>
                <c:pt idx="3455">
                  <c:v>2.0256432939014246E-2</c:v>
                </c:pt>
                <c:pt idx="3456">
                  <c:v>2.0256937265115127E-2</c:v>
                </c:pt>
                <c:pt idx="3457">
                  <c:v>2.0257435041255434E-2</c:v>
                </c:pt>
                <c:pt idx="3458">
                  <c:v>2.0257926267754911E-2</c:v>
                </c:pt>
                <c:pt idx="3459">
                  <c:v>2.0258410944453686E-2</c:v>
                </c:pt>
                <c:pt idx="3460">
                  <c:v>2.025888907175144E-2</c:v>
                </c:pt>
                <c:pt idx="3461">
                  <c:v>2.0259360649248492E-2</c:v>
                </c:pt>
                <c:pt idx="3462">
                  <c:v>2.0259825677024779E-2</c:v>
                </c:pt>
                <c:pt idx="3463">
                  <c:v>2.0260284155160235E-2</c:v>
                </c:pt>
                <c:pt idx="3464">
                  <c:v>2.026073608349499E-2</c:v>
                </c:pt>
                <c:pt idx="3465">
                  <c:v>2.0261181462188915E-2</c:v>
                </c:pt>
                <c:pt idx="3466">
                  <c:v>2.0261620291242011E-2</c:v>
                </c:pt>
                <c:pt idx="3467">
                  <c:v>2.0262052570654276E-2</c:v>
                </c:pt>
                <c:pt idx="3468">
                  <c:v>2.026247830026584E-2</c:v>
                </c:pt>
                <c:pt idx="3469">
                  <c:v>2.0262897480156639E-2</c:v>
                </c:pt>
                <c:pt idx="3470">
                  <c:v>2.0263310110406607E-2</c:v>
                </c:pt>
                <c:pt idx="3471">
                  <c:v>2.0263716191175618E-2</c:v>
                </c:pt>
                <c:pt idx="3472">
                  <c:v>2.0264115722063991E-2</c:v>
                </c:pt>
                <c:pt idx="3473">
                  <c:v>2.0264508703311535E-2</c:v>
                </c:pt>
                <c:pt idx="3474">
                  <c:v>2.0264895134918248E-2</c:v>
                </c:pt>
                <c:pt idx="3475">
                  <c:v>2.026527501672426E-2</c:v>
                </c:pt>
                <c:pt idx="3476">
                  <c:v>2.0265648348969378E-2</c:v>
                </c:pt>
                <c:pt idx="3477">
                  <c:v>2.0266015131333859E-2</c:v>
                </c:pt>
                <c:pt idx="3478">
                  <c:v>2.0266375364217382E-2</c:v>
                </c:pt>
                <c:pt idx="3479">
                  <c:v>2.0266729047300203E-2</c:v>
                </c:pt>
                <c:pt idx="3480">
                  <c:v>2.0267076180662258E-2</c:v>
                </c:pt>
                <c:pt idx="3481">
                  <c:v>2.026741676446342E-2</c:v>
                </c:pt>
                <c:pt idx="3482">
                  <c:v>2.0267750798543815E-2</c:v>
                </c:pt>
                <c:pt idx="3483">
                  <c:v>2.0268078282903446E-2</c:v>
                </c:pt>
                <c:pt idx="3484">
                  <c:v>2.0268399217462374E-2</c:v>
                </c:pt>
                <c:pt idx="3485">
                  <c:v>2.0268713602620281E-2</c:v>
                </c:pt>
                <c:pt idx="3486">
                  <c:v>2.0269021437817614E-2</c:v>
                </c:pt>
                <c:pt idx="3487">
                  <c:v>2.0269322723454053E-2</c:v>
                </c:pt>
                <c:pt idx="3488">
                  <c:v>2.0271433038916431E-2</c:v>
                </c:pt>
                <c:pt idx="3489">
                  <c:v>2.0271128070472599E-2</c:v>
                </c:pt>
                <c:pt idx="3490">
                  <c:v>2.0271407867218372E-2</c:v>
                </c:pt>
                <c:pt idx="3491">
                  <c:v>2.0271681113523954E-2</c:v>
                </c:pt>
                <c:pt idx="3492">
                  <c:v>2.0271947809415991E-2</c:v>
                </c:pt>
                <c:pt idx="3493">
                  <c:v>2.0272207954867838E-2</c:v>
                </c:pt>
                <c:pt idx="3494">
                  <c:v>2.0272461549852849E-2</c:v>
                </c:pt>
                <c:pt idx="3495">
                  <c:v>2.0272708594504252E-2</c:v>
                </c:pt>
                <c:pt idx="3496">
                  <c:v>2.0272949088635528E-2</c:v>
                </c:pt>
                <c:pt idx="3497">
                  <c:v>2.0273183032379904E-2</c:v>
                </c:pt>
                <c:pt idx="3498">
                  <c:v>2.0273410425737382E-2</c:v>
                </c:pt>
                <c:pt idx="3499">
                  <c:v>2.0273631268628023E-2</c:v>
                </c:pt>
                <c:pt idx="3500">
                  <c:v>2.0273845561105119E-2</c:v>
                </c:pt>
                <c:pt idx="3501">
                  <c:v>2.0274053303142026E-2</c:v>
                </c:pt>
                <c:pt idx="3502">
                  <c:v>2.0274254494765387E-2</c:v>
                </c:pt>
                <c:pt idx="3503">
                  <c:v>2.0273388876228537E-2</c:v>
                </c:pt>
                <c:pt idx="3504">
                  <c:v>2.0274637226744829E-2</c:v>
                </c:pt>
                <c:pt idx="3505">
                  <c:v>2.0274818767074265E-2</c:v>
                </c:pt>
                <c:pt idx="3506">
                  <c:v>2.0274993757043447E-2</c:v>
                </c:pt>
                <c:pt idx="3507">
                  <c:v>2.0275162196519148E-2</c:v>
                </c:pt>
                <c:pt idx="3508">
                  <c:v>2.0275324085607949E-2</c:v>
                </c:pt>
                <c:pt idx="3509">
                  <c:v>2.0275479424283205E-2</c:v>
                </c:pt>
                <c:pt idx="3510">
                  <c:v>2.0275628212518271E-2</c:v>
                </c:pt>
                <c:pt idx="3511">
                  <c:v>2.0275770450286501E-2</c:v>
                </c:pt>
                <c:pt idx="3512">
                  <c:v>2.0275906137694477E-2</c:v>
                </c:pt>
                <c:pt idx="3513">
                  <c:v>2.0276035274635618E-2</c:v>
                </c:pt>
                <c:pt idx="3514">
                  <c:v>2.0276157861109922E-2</c:v>
                </c:pt>
                <c:pt idx="3515">
                  <c:v>2.0276273897277264E-2</c:v>
                </c:pt>
                <c:pt idx="3516">
                  <c:v>2.0276383382951124E-2</c:v>
                </c:pt>
                <c:pt idx="3517">
                  <c:v>2.0276486318184794E-2</c:v>
                </c:pt>
                <c:pt idx="3518">
                  <c:v>2.0276582703031565E-2</c:v>
                </c:pt>
                <c:pt idx="3519">
                  <c:v>2.02766725374115E-2</c:v>
                </c:pt>
                <c:pt idx="3520">
                  <c:v>2.027675582137789E-2</c:v>
                </c:pt>
                <c:pt idx="3521">
                  <c:v>2.027683255495738E-2</c:v>
                </c:pt>
                <c:pt idx="3522">
                  <c:v>2.0276902738070035E-2</c:v>
                </c:pt>
                <c:pt idx="3523">
                  <c:v>2.0276966370769145E-2</c:v>
                </c:pt>
                <c:pt idx="3524">
                  <c:v>2.0277023453081355E-2</c:v>
                </c:pt>
                <c:pt idx="3525">
                  <c:v>2.0277073984900085E-2</c:v>
                </c:pt>
                <c:pt idx="3526">
                  <c:v>2.0277117966331915E-2</c:v>
                </c:pt>
                <c:pt idx="3527">
                  <c:v>2.0277155397350199E-2</c:v>
                </c:pt>
                <c:pt idx="3528">
                  <c:v>2.0277186277928294E-2</c:v>
                </c:pt>
                <c:pt idx="3529">
                  <c:v>2.0277210608066198E-2</c:v>
                </c:pt>
                <c:pt idx="3530">
                  <c:v>2.0277228387790558E-2</c:v>
                </c:pt>
                <c:pt idx="3531">
                  <c:v>2.0277239617074727E-2</c:v>
                </c:pt>
                <c:pt idx="3532">
                  <c:v>2.0277244295945351E-2</c:v>
                </c:pt>
                <c:pt idx="3533">
                  <c:v>#N/A</c:v>
                </c:pt>
              </c:numCache>
            </c:numRef>
          </c:val>
          <c:smooth val="0"/>
        </c:ser>
        <c:dLbls>
          <c:showLegendKey val="0"/>
          <c:showVal val="0"/>
          <c:showCatName val="0"/>
          <c:showSerName val="0"/>
          <c:showPercent val="0"/>
          <c:showBubbleSize val="0"/>
        </c:dLbls>
        <c:marker val="1"/>
        <c:smooth val="0"/>
        <c:axId val="668288128"/>
        <c:axId val="668290048"/>
      </c:lineChart>
      <c:dateAx>
        <c:axId val="668288128"/>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68290048"/>
        <c:crosses val="autoZero"/>
        <c:auto val="1"/>
        <c:lblOffset val="100"/>
        <c:baseTimeUnit val="days"/>
        <c:majorUnit val="3"/>
        <c:majorTimeUnit val="months"/>
      </c:dateAx>
      <c:valAx>
        <c:axId val="668290048"/>
        <c:scaling>
          <c:orientation val="minMax"/>
          <c:max val="4.0000000000000001E-3"/>
          <c:min val="3.0000000000000001E-3"/>
        </c:scaling>
        <c:delete val="0"/>
        <c:axPos val="l"/>
        <c:majorGridlines/>
        <c:numFmt formatCode="0.00%" sourceLinked="0"/>
        <c:majorTickMark val="out"/>
        <c:minorTickMark val="none"/>
        <c:tickLblPos val="nextTo"/>
        <c:crossAx val="66828812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37</xdr:row>
      <xdr:rowOff>19050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36</xdr:row>
          <xdr:rowOff>47625</xdr:rowOff>
        </xdr:from>
        <xdr:to>
          <xdr:col>10</xdr:col>
          <xdr:colOff>247650</xdr:colOff>
          <xdr:row>38</xdr:row>
          <xdr:rowOff>28575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38100</xdr:rowOff>
        </xdr:from>
        <xdr:to>
          <xdr:col>10</xdr:col>
          <xdr:colOff>247650</xdr:colOff>
          <xdr:row>30</xdr:row>
          <xdr:rowOff>28575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44</xdr:row>
          <xdr:rowOff>57150</xdr:rowOff>
        </xdr:from>
        <xdr:to>
          <xdr:col>10</xdr:col>
          <xdr:colOff>247650</xdr:colOff>
          <xdr:row>46</xdr:row>
          <xdr:rowOff>47625</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25</xdr:row>
          <xdr:rowOff>66675</xdr:rowOff>
        </xdr:from>
        <xdr:to>
          <xdr:col>10</xdr:col>
          <xdr:colOff>247650</xdr:colOff>
          <xdr:row>27</xdr:row>
          <xdr:rowOff>57150</xdr:rowOff>
        </xdr:to>
        <xdr:sp macro="" textlink="">
          <xdr:nvSpPr>
            <xdr:cNvPr id="6148" name="Length0"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30</xdr:row>
          <xdr:rowOff>123825</xdr:rowOff>
        </xdr:from>
        <xdr:to>
          <xdr:col>10</xdr:col>
          <xdr:colOff>247650</xdr:colOff>
          <xdr:row>32</xdr:row>
          <xdr:rowOff>114300</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95250</xdr:rowOff>
        </xdr:from>
        <xdr:to>
          <xdr:col>10</xdr:col>
          <xdr:colOff>247650</xdr:colOff>
          <xdr:row>35</xdr:row>
          <xdr:rowOff>85725</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38</xdr:row>
          <xdr:rowOff>133350</xdr:rowOff>
        </xdr:from>
        <xdr:to>
          <xdr:col>10</xdr:col>
          <xdr:colOff>247650</xdr:colOff>
          <xdr:row>40</xdr:row>
          <xdr:rowOff>123825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41</xdr:row>
          <xdr:rowOff>95250</xdr:rowOff>
        </xdr:from>
        <xdr:to>
          <xdr:col>10</xdr:col>
          <xdr:colOff>247650</xdr:colOff>
          <xdr:row>43</xdr:row>
          <xdr:rowOff>85725</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12">
          <cell r="E12" t="str">
            <v>EUR1Y#0000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workbookViewId="0">
      <selection activeCell="D11" sqref="D11"/>
    </sheetView>
  </sheetViews>
  <sheetFormatPr defaultColWidth="8" defaultRowHeight="11.25" x14ac:dyDescent="0.2"/>
  <cols>
    <col min="1" max="2" width="2.7109375" style="128" customWidth="1"/>
    <col min="3" max="3" width="18" style="128" bestFit="1" customWidth="1"/>
    <col min="4" max="4" width="23.85546875" style="128" bestFit="1" customWidth="1"/>
    <col min="5" max="6" width="2.7109375" style="128" customWidth="1"/>
    <col min="7" max="7" width="4" style="128" bestFit="1" customWidth="1"/>
    <col min="8" max="8" width="3.28515625" style="128" bestFit="1" customWidth="1"/>
    <col min="9" max="10" width="2.7109375" style="128" customWidth="1"/>
    <col min="11" max="11" width="18.5703125" style="128" bestFit="1" customWidth="1"/>
    <col min="12" max="12" width="53.7109375" style="128" bestFit="1" customWidth="1"/>
    <col min="13" max="13" width="2.7109375" style="128" customWidth="1"/>
    <col min="14" max="16384" width="8" style="128"/>
  </cols>
  <sheetData>
    <row r="1" spans="2:13" ht="12" thickBot="1" x14ac:dyDescent="0.25">
      <c r="B1" s="128" t="str">
        <f>_xll.qlxlVersion(TRUE,Trigger)</f>
        <v>QuantLibXL 1.5.0 - MS VC++ 9.0 - Multithreaded Dynamic Runtime library - Release Configuration - Oct 13 2014 15:51:57</v>
      </c>
    </row>
    <row r="2" spans="2:13" ht="18.75" thickBot="1" x14ac:dyDescent="0.3">
      <c r="B2" s="285" t="s">
        <v>98</v>
      </c>
      <c r="C2" s="286"/>
      <c r="D2" s="286"/>
      <c r="E2" s="287"/>
      <c r="J2" s="285" t="s">
        <v>117</v>
      </c>
      <c r="K2" s="286"/>
      <c r="L2" s="286"/>
      <c r="M2" s="288"/>
    </row>
    <row r="3" spans="2:13" ht="12" thickBot="1" x14ac:dyDescent="0.25">
      <c r="B3" s="24"/>
      <c r="C3" s="48"/>
      <c r="D3" s="23"/>
      <c r="E3" s="22"/>
      <c r="J3" s="74"/>
      <c r="K3" s="77"/>
      <c r="L3" s="77"/>
      <c r="M3" s="76"/>
    </row>
    <row r="4" spans="2:13" x14ac:dyDescent="0.2">
      <c r="B4" s="24"/>
      <c r="C4" s="47" t="s">
        <v>97</v>
      </c>
      <c r="D4" s="46" t="s">
        <v>94</v>
      </c>
      <c r="E4" s="22"/>
      <c r="G4" s="130" t="s">
        <v>96</v>
      </c>
      <c r="H4" s="131"/>
      <c r="J4" s="74"/>
      <c r="K4" s="73" t="s">
        <v>116</v>
      </c>
      <c r="L4" s="67" t="b">
        <v>0</v>
      </c>
      <c r="M4" s="72"/>
    </row>
    <row r="5" spans="2:13" x14ac:dyDescent="0.2">
      <c r="B5" s="24"/>
      <c r="C5" s="45" t="s">
        <v>95</v>
      </c>
      <c r="D5" s="25">
        <v>12</v>
      </c>
      <c r="E5" s="22"/>
      <c r="G5" s="132" t="s">
        <v>94</v>
      </c>
      <c r="H5" s="133" t="s">
        <v>93</v>
      </c>
      <c r="J5" s="74"/>
      <c r="K5" s="73" t="s">
        <v>115</v>
      </c>
      <c r="L5" s="75"/>
      <c r="M5" s="72"/>
    </row>
    <row r="6" spans="2:13" x14ac:dyDescent="0.2">
      <c r="B6" s="24"/>
      <c r="C6" s="45" t="s">
        <v>92</v>
      </c>
      <c r="D6" s="25" t="str">
        <f>_xll.qlPeriodEquivalent(D5&amp;"M")</f>
        <v>1Y</v>
      </c>
      <c r="E6" s="22"/>
      <c r="G6" s="132" t="s">
        <v>91</v>
      </c>
      <c r="H6" s="133"/>
      <c r="J6" s="74"/>
      <c r="K6" s="73" t="s">
        <v>114</v>
      </c>
      <c r="L6" s="64" t="b">
        <v>1</v>
      </c>
      <c r="M6" s="72"/>
    </row>
    <row r="7" spans="2:13" ht="12" thickBot="1" x14ac:dyDescent="0.25">
      <c r="B7" s="24"/>
      <c r="C7" s="45" t="s">
        <v>90</v>
      </c>
      <c r="D7" s="25" t="str">
        <f>Months&amp;IF(UPPER(Currency)="EUR","E","L")</f>
        <v>12E</v>
      </c>
      <c r="E7" s="22"/>
      <c r="G7" s="132" t="s">
        <v>89</v>
      </c>
      <c r="H7" s="133"/>
      <c r="J7" s="71"/>
      <c r="K7" s="70"/>
      <c r="L7" s="70"/>
      <c r="M7" s="69"/>
    </row>
    <row r="8" spans="2:13" ht="12" thickBot="1" x14ac:dyDescent="0.25">
      <c r="B8" s="24"/>
      <c r="C8" s="45" t="s">
        <v>88</v>
      </c>
      <c r="D8" s="25" t="str">
        <f>VLOOKUP(Currency,G4:H8,2)</f>
        <v>AB</v>
      </c>
      <c r="E8" s="22"/>
      <c r="G8" s="134" t="s">
        <v>87</v>
      </c>
      <c r="H8" s="135" t="s">
        <v>86</v>
      </c>
      <c r="J8" s="129"/>
      <c r="K8" s="129"/>
      <c r="L8" s="129"/>
      <c r="M8" s="129"/>
    </row>
    <row r="9" spans="2:13" ht="18.75" thickBot="1" x14ac:dyDescent="0.3">
      <c r="B9" s="24"/>
      <c r="C9" s="45" t="s">
        <v>85</v>
      </c>
      <c r="D9" s="25" t="str">
        <f>Currency&amp;"_YC"&amp;IndexTenor&amp;"RH"</f>
        <v>EUR_YC1YRH</v>
      </c>
      <c r="E9" s="22"/>
      <c r="J9" s="285" t="s">
        <v>113</v>
      </c>
      <c r="K9" s="286"/>
      <c r="L9" s="286"/>
      <c r="M9" s="288"/>
    </row>
    <row r="10" spans="2:13" ht="12.75" x14ac:dyDescent="0.2">
      <c r="B10" s="24"/>
      <c r="C10" s="44" t="s">
        <v>84</v>
      </c>
      <c r="D10" s="25" t="b">
        <v>1</v>
      </c>
      <c r="E10" s="22"/>
      <c r="J10" s="66"/>
      <c r="K10" s="68"/>
      <c r="L10" s="68"/>
      <c r="M10" s="63"/>
    </row>
    <row r="11" spans="2:13" ht="12.75" x14ac:dyDescent="0.2">
      <c r="B11" s="24"/>
      <c r="C11" s="44" t="s">
        <v>83</v>
      </c>
      <c r="D11" s="43">
        <v>41942.652708333335</v>
      </c>
      <c r="E11" s="22"/>
      <c r="J11" s="66"/>
      <c r="K11" s="65" t="s">
        <v>112</v>
      </c>
      <c r="L11" s="67" t="s">
        <v>111</v>
      </c>
      <c r="M11" s="63"/>
    </row>
    <row r="12" spans="2:13" ht="12.75" x14ac:dyDescent="0.2">
      <c r="B12" s="24"/>
      <c r="C12" s="42" t="s">
        <v>82</v>
      </c>
      <c r="D12" s="41" t="b">
        <v>1</v>
      </c>
      <c r="E12" s="22"/>
      <c r="J12" s="66"/>
      <c r="K12" s="65" t="s">
        <v>110</v>
      </c>
      <c r="L12" s="64" t="s">
        <v>109</v>
      </c>
      <c r="M12" s="63"/>
    </row>
    <row r="13" spans="2:13" ht="12.75" x14ac:dyDescent="0.2">
      <c r="B13" s="24"/>
      <c r="C13" s="29"/>
      <c r="D13" s="29"/>
      <c r="E13" s="22"/>
      <c r="J13" s="66"/>
      <c r="K13" s="65" t="s">
        <v>134</v>
      </c>
      <c r="L13" s="67" t="s">
        <v>133</v>
      </c>
      <c r="M13" s="63"/>
    </row>
    <row r="14" spans="2:13" ht="12.75" x14ac:dyDescent="0.2">
      <c r="B14" s="24"/>
      <c r="C14" s="38" t="s">
        <v>81</v>
      </c>
      <c r="D14" s="40" t="str">
        <f>_xll.qlPiecewiseYieldCurve(D16,NDays,Calendar,_xll.ohPack(Selected!D2:D126),DayCounter,IF(ISERROR(#REF!),NA(),#REF!),IF(ISERROR(#REF!),NA(),#REF!),Accuracy,TraitsID,InterpolatorID,Permanent,,ObjectOverwrite)</f>
        <v>_EURYC1Y#0000</v>
      </c>
      <c r="E14" s="22"/>
      <c r="J14" s="66"/>
      <c r="K14" s="65" t="s">
        <v>132</v>
      </c>
      <c r="L14" s="67" t="s">
        <v>131</v>
      </c>
      <c r="M14" s="63"/>
    </row>
    <row r="15" spans="2:13" ht="12.75" x14ac:dyDescent="0.2">
      <c r="B15" s="24"/>
      <c r="C15" s="31" t="s">
        <v>63</v>
      </c>
      <c r="D15" s="39" t="str">
        <f>_xll.ohRangeRetrieveError(YieldCurve)</f>
        <v/>
      </c>
      <c r="E15" s="22"/>
      <c r="J15" s="66"/>
      <c r="K15" s="65" t="s">
        <v>130</v>
      </c>
      <c r="L15" s="64" t="str">
        <f>PROPER(Currency)&amp;"ON"</f>
        <v>EurON</v>
      </c>
      <c r="M15" s="63"/>
    </row>
    <row r="16" spans="2:13" ht="13.5" thickBot="1" x14ac:dyDescent="0.25">
      <c r="B16" s="24"/>
      <c r="C16" s="38" t="s">
        <v>80</v>
      </c>
      <c r="D16" s="37" t="str">
        <f>"_"&amp;Currency&amp;"YC"&amp;IndexTenor</f>
        <v>_EURYC1Y</v>
      </c>
      <c r="E16" s="22"/>
      <c r="J16" s="62"/>
      <c r="K16" s="61"/>
      <c r="L16" s="61"/>
      <c r="M16" s="60"/>
    </row>
    <row r="17" spans="1:5" x14ac:dyDescent="0.2">
      <c r="B17" s="24"/>
      <c r="C17" s="33" t="s">
        <v>79</v>
      </c>
      <c r="D17" s="36">
        <v>2</v>
      </c>
      <c r="E17" s="22"/>
    </row>
    <row r="18" spans="1:5" x14ac:dyDescent="0.2">
      <c r="B18" s="24"/>
      <c r="C18" s="33" t="s">
        <v>78</v>
      </c>
      <c r="D18" s="35" t="s">
        <v>77</v>
      </c>
      <c r="E18" s="22"/>
    </row>
    <row r="19" spans="1:5" x14ac:dyDescent="0.2">
      <c r="B19" s="24"/>
      <c r="C19" s="33" t="s">
        <v>76</v>
      </c>
      <c r="D19" s="35"/>
      <c r="E19" s="22"/>
    </row>
    <row r="20" spans="1:5" x14ac:dyDescent="0.2">
      <c r="B20" s="24"/>
      <c r="C20" s="33" t="s">
        <v>75</v>
      </c>
      <c r="D20" s="34" t="e">
        <f>NA()</f>
        <v>#N/A</v>
      </c>
      <c r="E20" s="22"/>
    </row>
    <row r="21" spans="1:5" x14ac:dyDescent="0.2">
      <c r="B21" s="24"/>
      <c r="C21" s="33" t="s">
        <v>74</v>
      </c>
      <c r="D21" s="32" t="s">
        <v>73</v>
      </c>
      <c r="E21" s="22"/>
    </row>
    <row r="22" spans="1:5" x14ac:dyDescent="0.2">
      <c r="B22" s="24"/>
      <c r="C22" s="31" t="s">
        <v>72</v>
      </c>
      <c r="D22" s="30" t="s">
        <v>71</v>
      </c>
      <c r="E22" s="22"/>
    </row>
    <row r="23" spans="1:5" x14ac:dyDescent="0.2">
      <c r="B23" s="24"/>
      <c r="C23" s="29"/>
      <c r="D23" s="29"/>
      <c r="E23" s="22"/>
    </row>
    <row r="24" spans="1:5" x14ac:dyDescent="0.2">
      <c r="B24" s="24"/>
      <c r="C24" s="28">
        <f>_xll.qlTermStructureReferenceDate(YieldCurve)</f>
        <v>41946</v>
      </c>
      <c r="D24" s="27">
        <f>MAX(_xll.ohPack(Selected!J1:J126))</f>
        <v>1.0002381733797179</v>
      </c>
      <c r="E24" s="22"/>
    </row>
    <row r="25" spans="1:5" x14ac:dyDescent="0.2">
      <c r="B25" s="24"/>
      <c r="C25" s="26">
        <f>MAX(_xll.ohPack(Selected!I2:I126))</f>
        <v>63863</v>
      </c>
      <c r="D25" s="25">
        <f>MIN(_xll.ohPack(Selected!J1:J126))</f>
        <v>0.30258090164684942</v>
      </c>
      <c r="E25" s="22"/>
    </row>
    <row r="26" spans="1:5" x14ac:dyDescent="0.2">
      <c r="B26" s="24"/>
      <c r="C26" s="136" t="s">
        <v>63</v>
      </c>
      <c r="D26" s="137" t="str">
        <f>_xll.ohRangeRetrieveError(Selected!J1)</f>
        <v/>
      </c>
      <c r="E26" s="22"/>
    </row>
    <row r="27" spans="1:5" ht="11.25" customHeight="1" x14ac:dyDescent="0.2">
      <c r="B27" s="140"/>
      <c r="C27" s="206" t="str">
        <f>[1]Euribor!$E$12</f>
        <v>EUR1Y#0000</v>
      </c>
      <c r="D27" s="207" t="b">
        <f>_xll.qlRelinkableHandleLinkTo(C27,YieldCurve)</f>
        <v>1</v>
      </c>
      <c r="E27" s="141"/>
    </row>
    <row r="28" spans="1:5" x14ac:dyDescent="0.2">
      <c r="B28" s="24"/>
      <c r="C28" s="138" t="s">
        <v>159</v>
      </c>
      <c r="D28" s="139" t="b">
        <v>0</v>
      </c>
      <c r="E28" s="22"/>
    </row>
    <row r="29" spans="1:5" ht="12" thickBot="1" x14ac:dyDescent="0.25">
      <c r="A29" s="142"/>
      <c r="B29" s="21"/>
      <c r="C29" s="20"/>
      <c r="D29" s="20"/>
      <c r="E29" s="19"/>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65"/>
  <sheetViews>
    <sheetView topLeftCell="F1" workbookViewId="0">
      <selection activeCell="F1" sqref="F1"/>
    </sheetView>
  </sheetViews>
  <sheetFormatPr defaultRowHeight="11.25" x14ac:dyDescent="0.2"/>
  <cols>
    <col min="1" max="1" width="21.140625" style="3" hidden="1" customWidth="1"/>
    <col min="2" max="2" width="3.140625" style="4" hidden="1" customWidth="1"/>
    <col min="3" max="3" width="8" style="4" hidden="1" customWidth="1"/>
    <col min="4" max="4" width="5.85546875" style="4" hidden="1" customWidth="1"/>
    <col min="5" max="5" width="13.28515625" style="4" hidden="1" customWidth="1"/>
    <col min="6" max="6" width="24.42578125" style="4" bestFit="1" customWidth="1"/>
    <col min="7" max="7" width="9" style="4" bestFit="1" customWidth="1"/>
    <col min="8" max="8" width="8" style="4" bestFit="1" customWidth="1"/>
    <col min="9" max="9" width="8.140625" style="4" customWidth="1"/>
    <col min="10" max="10" width="9.140625" style="4" customWidth="1"/>
    <col min="11" max="11" width="9.7109375" style="4" customWidth="1"/>
    <col min="12" max="13" width="17.28515625" style="4" bestFit="1" customWidth="1"/>
    <col min="14" max="14" width="3" style="3" bestFit="1" customWidth="1"/>
    <col min="15" max="15" width="13.5703125" style="3" bestFit="1" customWidth="1"/>
    <col min="16" max="16" width="5.7109375" style="3" bestFit="1" customWidth="1"/>
    <col min="17" max="17" width="3.5703125" style="3" customWidth="1"/>
    <col min="18" max="16384" width="9.140625" style="3"/>
  </cols>
  <sheetData>
    <row r="1" spans="2:15" ht="33.75" x14ac:dyDescent="0.2">
      <c r="B1" s="289" t="s">
        <v>62</v>
      </c>
      <c r="C1" s="290"/>
      <c r="D1" s="291"/>
      <c r="E1" s="237" t="s">
        <v>61</v>
      </c>
      <c r="F1" s="237" t="s">
        <v>160</v>
      </c>
      <c r="G1" s="237" t="s">
        <v>60</v>
      </c>
      <c r="H1" s="237" t="s">
        <v>59</v>
      </c>
      <c r="I1" s="237" t="s">
        <v>58</v>
      </c>
      <c r="J1" s="237" t="s">
        <v>57</v>
      </c>
      <c r="K1" s="237" t="s">
        <v>56</v>
      </c>
      <c r="L1" s="237" t="s">
        <v>55</v>
      </c>
      <c r="M1" s="237" t="s">
        <v>54</v>
      </c>
    </row>
    <row r="2" spans="2:15" ht="11.25" customHeight="1" x14ac:dyDescent="0.2">
      <c r="B2" s="238"/>
      <c r="C2" s="239"/>
      <c r="D2" s="240" t="s">
        <v>53</v>
      </c>
      <c r="E2" s="240" t="str">
        <f>Deposits!E3</f>
        <v>obj_00bc6#0000</v>
      </c>
      <c r="F2" s="240" t="str">
        <f>_xll.qlRateHelperQuoteName(E2)</f>
        <v>EURSND_SYNTH1Y_Quote</v>
      </c>
      <c r="G2" s="241">
        <f>_xll.qlRateHelperQuoteValue($E2,Trigger)</f>
        <v>-2.8E-5</v>
      </c>
      <c r="H2" s="241"/>
      <c r="I2" s="242" t="b">
        <v>0</v>
      </c>
      <c r="J2" s="242">
        <v>10</v>
      </c>
      <c r="K2" s="242">
        <v>1</v>
      </c>
      <c r="L2" s="243">
        <f>_xll.qlRateHelperEarliestDate($E2,Trigger)</f>
        <v>41946</v>
      </c>
      <c r="M2" s="244">
        <f>_xll.qlRateHelperLatestDate($E2,Trigger)</f>
        <v>41947</v>
      </c>
      <c r="N2" s="3">
        <v>10</v>
      </c>
      <c r="O2" s="3" t="s">
        <v>52</v>
      </c>
    </row>
    <row r="3" spans="2:15" x14ac:dyDescent="0.2">
      <c r="B3" s="238"/>
      <c r="C3" s="239"/>
      <c r="D3" s="240" t="s">
        <v>51</v>
      </c>
      <c r="E3" s="240" t="str">
        <f>Deposits!E4</f>
        <v>obj_00b9d#0000</v>
      </c>
      <c r="F3" s="240" t="str">
        <f>_xll.qlRateHelperQuoteName(E3)</f>
        <v>EURSWD_SYNTH1Y_Quote</v>
      </c>
      <c r="G3" s="241">
        <f>_xll.qlRateHelperQuoteValue($E3,Trigger)</f>
        <v>-1.6699999999999999E-4</v>
      </c>
      <c r="H3" s="241"/>
      <c r="I3" s="242" t="b">
        <v>0</v>
      </c>
      <c r="J3" s="242">
        <v>10</v>
      </c>
      <c r="K3" s="242">
        <v>1</v>
      </c>
      <c r="L3" s="243">
        <f>_xll.qlRateHelperEarliestDate($E3,Trigger)</f>
        <v>41946</v>
      </c>
      <c r="M3" s="244">
        <f>_xll.qlRateHelperLatestDate($E3,Trigger)</f>
        <v>41953</v>
      </c>
      <c r="N3" s="3">
        <v>20</v>
      </c>
      <c r="O3" s="3" t="s">
        <v>50</v>
      </c>
    </row>
    <row r="4" spans="2:15" x14ac:dyDescent="0.2">
      <c r="B4" s="238"/>
      <c r="C4" s="239"/>
      <c r="D4" s="240" t="s">
        <v>49</v>
      </c>
      <c r="E4" s="240" t="str">
        <f>Deposits!E5</f>
        <v>obj_00b9c#0000</v>
      </c>
      <c r="F4" s="240" t="str">
        <f>_xll.qlRateHelperQuoteName(E4)</f>
        <v>EUR2WD_SYNTH1Y_Quote</v>
      </c>
      <c r="G4" s="241">
        <f>_xll.qlRateHelperQuoteValue($E4,Trigger)</f>
        <v>-3.9399999999999998E-4</v>
      </c>
      <c r="H4" s="241"/>
      <c r="I4" s="242" t="b">
        <v>0</v>
      </c>
      <c r="J4" s="242">
        <v>10</v>
      </c>
      <c r="K4" s="242">
        <v>1</v>
      </c>
      <c r="L4" s="243">
        <f>_xll.qlRateHelperEarliestDate($E4,Trigger)</f>
        <v>41946</v>
      </c>
      <c r="M4" s="244">
        <f>_xll.qlRateHelperLatestDate($E4,Trigger)</f>
        <v>41960</v>
      </c>
      <c r="N4" s="3">
        <v>30</v>
      </c>
      <c r="O4" s="3" t="s">
        <v>48</v>
      </c>
    </row>
    <row r="5" spans="2:15" x14ac:dyDescent="0.2">
      <c r="B5" s="238"/>
      <c r="C5" s="239"/>
      <c r="D5" s="240" t="s">
        <v>47</v>
      </c>
      <c r="E5" s="240" t="str">
        <f>Deposits!E6</f>
        <v>obj_00b98#0000</v>
      </c>
      <c r="F5" s="240" t="str">
        <f>_xll.qlRateHelperQuoteName(E5)</f>
        <v>EUR1MD_SYNTH1Y_Quote</v>
      </c>
      <c r="G5" s="241">
        <f>_xll.qlRateHelperQuoteValue($E5,Trigger)</f>
        <v>-4.5399999999999998E-4</v>
      </c>
      <c r="H5" s="241"/>
      <c r="I5" s="242" t="b">
        <v>0</v>
      </c>
      <c r="J5" s="242">
        <v>10</v>
      </c>
      <c r="K5" s="242">
        <v>1</v>
      </c>
      <c r="L5" s="243">
        <f>_xll.qlRateHelperEarliestDate($E5,Trigger)</f>
        <v>41946</v>
      </c>
      <c r="M5" s="244">
        <f>_xll.qlRateHelperLatestDate($E5,Trigger)</f>
        <v>41976</v>
      </c>
      <c r="N5" s="3">
        <v>40</v>
      </c>
      <c r="O5" s="3" t="s">
        <v>46</v>
      </c>
    </row>
    <row r="6" spans="2:15" x14ac:dyDescent="0.2">
      <c r="B6" s="238"/>
      <c r="C6" s="239"/>
      <c r="D6" s="240" t="s">
        <v>45</v>
      </c>
      <c r="E6" s="240" t="str">
        <f>Deposits!E7</f>
        <v>obj_00b99#0000</v>
      </c>
      <c r="F6" s="240" t="str">
        <f>_xll.qlRateHelperQuoteName(E6)</f>
        <v>EUR2MD_SYNTH1Y_Quote</v>
      </c>
      <c r="G6" s="241">
        <f>_xll.qlRateHelperQuoteValue($E6,Trigger)</f>
        <v>-4.2099999999999999E-4</v>
      </c>
      <c r="H6" s="241"/>
      <c r="I6" s="242" t="b">
        <v>0</v>
      </c>
      <c r="J6" s="242">
        <v>10</v>
      </c>
      <c r="K6" s="242">
        <v>1</v>
      </c>
      <c r="L6" s="243">
        <f>_xll.qlRateHelperEarliestDate($E6,Trigger)</f>
        <v>41946</v>
      </c>
      <c r="M6" s="244">
        <f>_xll.qlRateHelperLatestDate($E6,Trigger)</f>
        <v>42009</v>
      </c>
      <c r="N6" s="3">
        <v>50</v>
      </c>
      <c r="O6" s="3" t="s">
        <v>44</v>
      </c>
    </row>
    <row r="7" spans="2:15" x14ac:dyDescent="0.2">
      <c r="B7" s="238"/>
      <c r="C7" s="239"/>
      <c r="D7" s="240" t="s">
        <v>43</v>
      </c>
      <c r="E7" s="240" t="str">
        <f>Deposits!E8</f>
        <v>obj_00b9a#0000</v>
      </c>
      <c r="F7" s="240" t="str">
        <f>_xll.qlRateHelperQuoteName(E7)</f>
        <v>EUR3MD_SYNTH1Y_Quote</v>
      </c>
      <c r="G7" s="241">
        <f>_xll.qlRateHelperQuoteValue($E7,Trigger)</f>
        <v>-4.2700000000000002E-4</v>
      </c>
      <c r="H7" s="241"/>
      <c r="I7" s="242" t="b">
        <v>1</v>
      </c>
      <c r="J7" s="242">
        <v>10</v>
      </c>
      <c r="K7" s="242">
        <v>1</v>
      </c>
      <c r="L7" s="243">
        <f>_xll.qlRateHelperEarliestDate($E7,Trigger)</f>
        <v>41946</v>
      </c>
      <c r="M7" s="244">
        <f>_xll.qlRateHelperLatestDate($E7,Trigger)</f>
        <v>42038</v>
      </c>
      <c r="N7" s="3">
        <v>60</v>
      </c>
      <c r="O7" s="3" t="s">
        <v>42</v>
      </c>
    </row>
    <row r="8" spans="2:15" x14ac:dyDescent="0.2">
      <c r="B8" s="238"/>
      <c r="C8" s="239"/>
      <c r="D8" s="240" t="s">
        <v>41</v>
      </c>
      <c r="E8" s="240" t="str">
        <f>Deposits!E9</f>
        <v>obj_00b9b#0000</v>
      </c>
      <c r="F8" s="240" t="str">
        <f>_xll.qlRateHelperQuoteName(E8)</f>
        <v>EUR6MD_SYNTH1Y_Quote</v>
      </c>
      <c r="G8" s="241">
        <f>_xll.qlRateHelperQuoteValue($E8,Trigger)</f>
        <v>-3.2600000000000001E-4</v>
      </c>
      <c r="H8" s="241"/>
      <c r="I8" s="242" t="b">
        <v>1</v>
      </c>
      <c r="J8" s="242">
        <v>10</v>
      </c>
      <c r="K8" s="242">
        <v>1</v>
      </c>
      <c r="L8" s="243">
        <f>_xll.qlRateHelperEarliestDate($E8,Trigger)</f>
        <v>41946</v>
      </c>
      <c r="M8" s="244">
        <f>_xll.qlRateHelperLatestDate($E8,Trigger)</f>
        <v>42128</v>
      </c>
      <c r="N8" s="3">
        <v>70</v>
      </c>
      <c r="O8" s="3" t="s">
        <v>40</v>
      </c>
    </row>
    <row r="9" spans="2:15" x14ac:dyDescent="0.2">
      <c r="B9" s="238"/>
      <c r="C9" s="239"/>
      <c r="D9" s="240" t="s">
        <v>39</v>
      </c>
      <c r="E9" s="240" t="str">
        <f>Deposits!E10</f>
        <v>obj_00b9e#0000</v>
      </c>
      <c r="F9" s="240" t="str">
        <f>_xll.qlRateHelperQuoteName(E9)</f>
        <v>EUR9MD_SYNTH1Y_Quote</v>
      </c>
      <c r="G9" s="241">
        <f>_xll.qlRateHelperQuoteValue($E9,Trigger)</f>
        <v>-3.1399999999999999E-4</v>
      </c>
      <c r="H9" s="241"/>
      <c r="I9" s="242" t="b">
        <v>1</v>
      </c>
      <c r="J9" s="242">
        <v>10</v>
      </c>
      <c r="K9" s="242">
        <v>1</v>
      </c>
      <c r="L9" s="243">
        <f>_xll.qlRateHelperEarliestDate($E9,Trigger)</f>
        <v>41946</v>
      </c>
      <c r="M9" s="244">
        <f>_xll.qlRateHelperLatestDate($E9,Trigger)</f>
        <v>42219</v>
      </c>
    </row>
    <row r="10" spans="2:15" x14ac:dyDescent="0.2">
      <c r="B10" s="238"/>
      <c r="C10" s="239"/>
      <c r="D10" s="240" t="s">
        <v>38</v>
      </c>
      <c r="E10" s="240" t="str">
        <f>Deposits!E11</f>
        <v>obj_00b9f#0000</v>
      </c>
      <c r="F10" s="240" t="str">
        <f>_xll.qlRateHelperQuoteName(E10)</f>
        <v>EUR1YD_SYNTH1Y_Quote</v>
      </c>
      <c r="G10" s="241">
        <f>_xll.qlRateHelperQuoteValue($E10,Trigger)</f>
        <v>-2.3000000000000001E-4</v>
      </c>
      <c r="H10" s="241"/>
      <c r="I10" s="242" t="b">
        <v>1</v>
      </c>
      <c r="J10" s="242">
        <v>10</v>
      </c>
      <c r="K10" s="242">
        <v>1</v>
      </c>
      <c r="L10" s="243">
        <f>_xll.qlRateHelperEarliestDate($E10,Trigger)</f>
        <v>41946</v>
      </c>
      <c r="M10" s="244">
        <f>_xll.qlRateHelperLatestDate($E10,Trigger)</f>
        <v>42311</v>
      </c>
    </row>
    <row r="11" spans="2:15" x14ac:dyDescent="0.2">
      <c r="B11" s="245">
        <v>1</v>
      </c>
      <c r="C11" s="246" t="s">
        <v>37</v>
      </c>
      <c r="D11" s="247" t="str">
        <f t="shared" ref="D11:D28" si="0">(B11+Months)&amp;"F"</f>
        <v>13F</v>
      </c>
      <c r="E11" s="247" t="str">
        <f>FRAs!H3</f>
        <v>obj_00bcc#0000</v>
      </c>
      <c r="F11" s="247" t="str">
        <f>_xll.qlRateHelperQuoteName(E11)</f>
        <v>EUR1x13F_SYNTH1Y_Quote</v>
      </c>
      <c r="G11" s="248">
        <f>_xll.qlRateHelperQuoteValue($E11,Trigger)</f>
        <v>3.741E-3</v>
      </c>
      <c r="H11" s="248"/>
      <c r="I11" s="249" t="b">
        <v>0</v>
      </c>
      <c r="J11" s="249">
        <v>20</v>
      </c>
      <c r="K11" s="249">
        <v>7</v>
      </c>
      <c r="L11" s="250">
        <f>_xll.qlRateHelperEarliestDate($E11,Trigger)</f>
        <v>41976</v>
      </c>
      <c r="M11" s="251">
        <f>_xll.qlRateHelperLatestDate($E11,Trigger)</f>
        <v>42341</v>
      </c>
    </row>
    <row r="12" spans="2:15" x14ac:dyDescent="0.2">
      <c r="B12" s="252">
        <v>2</v>
      </c>
      <c r="C12" s="239" t="s">
        <v>37</v>
      </c>
      <c r="D12" s="240" t="str">
        <f t="shared" si="0"/>
        <v>14F</v>
      </c>
      <c r="E12" s="240" t="str">
        <f>FRAs!H4</f>
        <v>obj_00bba#0000</v>
      </c>
      <c r="F12" s="240" t="str">
        <f>_xll.qlRateHelperQuoteName(E12)</f>
        <v>EUR2x14F_SYNTH1Y_Quote</v>
      </c>
      <c r="G12" s="241">
        <f>_xll.qlRateHelperQuoteValue($E12,Trigger)</f>
        <v>3.7260000000000001E-3</v>
      </c>
      <c r="H12" s="241"/>
      <c r="I12" s="242" t="b">
        <v>0</v>
      </c>
      <c r="J12" s="242">
        <v>20</v>
      </c>
      <c r="K12" s="242">
        <v>7</v>
      </c>
      <c r="L12" s="243">
        <f>_xll.qlRateHelperEarliestDate($E12,Trigger)</f>
        <v>42009</v>
      </c>
      <c r="M12" s="244">
        <f>_xll.qlRateHelperLatestDate($E12,Trigger)</f>
        <v>42374</v>
      </c>
    </row>
    <row r="13" spans="2:15" x14ac:dyDescent="0.2">
      <c r="B13" s="252">
        <v>3</v>
      </c>
      <c r="C13" s="239" t="s">
        <v>37</v>
      </c>
      <c r="D13" s="240" t="str">
        <f t="shared" si="0"/>
        <v>15F</v>
      </c>
      <c r="E13" s="240" t="str">
        <f>FRAs!H5</f>
        <v>obj_00bc9#0000</v>
      </c>
      <c r="F13" s="240" t="str">
        <f>_xll.qlRateHelperQuoteName(E13)</f>
        <v>EUR3x15F_SYNTH1Y_Quote</v>
      </c>
      <c r="G13" s="241">
        <f>_xll.qlRateHelperQuoteValue($E13,Trigger)</f>
        <v>3.735E-3</v>
      </c>
      <c r="H13" s="241"/>
      <c r="I13" s="242" t="b">
        <v>1</v>
      </c>
      <c r="J13" s="242">
        <v>20</v>
      </c>
      <c r="K13" s="242">
        <v>7</v>
      </c>
      <c r="L13" s="243">
        <f>_xll.qlRateHelperEarliestDate($E13,Trigger)</f>
        <v>42038</v>
      </c>
      <c r="M13" s="244">
        <f>_xll.qlRateHelperLatestDate($E13,Trigger)</f>
        <v>42403</v>
      </c>
    </row>
    <row r="14" spans="2:15" x14ac:dyDescent="0.2">
      <c r="B14" s="252">
        <v>4</v>
      </c>
      <c r="C14" s="239" t="s">
        <v>37</v>
      </c>
      <c r="D14" s="240" t="str">
        <f t="shared" si="0"/>
        <v>16F</v>
      </c>
      <c r="E14" s="240" t="str">
        <f>FRAs!H6</f>
        <v>obj_00ba9#0000</v>
      </c>
      <c r="F14" s="240" t="str">
        <f>_xll.qlRateHelperQuoteName(E14)</f>
        <v>EUR4x16F_SYNTH1Y_Quote</v>
      </c>
      <c r="G14" s="241">
        <f>_xll.qlRateHelperQuoteValue($E14,Trigger)</f>
        <v>3.7299999999999998E-3</v>
      </c>
      <c r="H14" s="241"/>
      <c r="I14" s="242" t="b">
        <v>0</v>
      </c>
      <c r="J14" s="242">
        <v>20</v>
      </c>
      <c r="K14" s="242">
        <v>7</v>
      </c>
      <c r="L14" s="243">
        <f>_xll.qlRateHelperEarliestDate($E14,Trigger)</f>
        <v>42066</v>
      </c>
      <c r="M14" s="244">
        <f>_xll.qlRateHelperLatestDate($E14,Trigger)</f>
        <v>42432</v>
      </c>
    </row>
    <row r="15" spans="2:15" x14ac:dyDescent="0.2">
      <c r="B15" s="252">
        <v>5</v>
      </c>
      <c r="C15" s="239" t="s">
        <v>37</v>
      </c>
      <c r="D15" s="240" t="str">
        <f t="shared" si="0"/>
        <v>17F</v>
      </c>
      <c r="E15" s="240" t="str">
        <f>FRAs!H7</f>
        <v>obj_00bc5#0000</v>
      </c>
      <c r="F15" s="240" t="str">
        <f>_xll.qlRateHelperQuoteName(E15)</f>
        <v>EUR5x17F_SYNTH1Y_Quote</v>
      </c>
      <c r="G15" s="241">
        <f>_xll.qlRateHelperQuoteValue($E15,Trigger)</f>
        <v>3.702E-3</v>
      </c>
      <c r="H15" s="241"/>
      <c r="I15" s="242" t="b">
        <v>0</v>
      </c>
      <c r="J15" s="242">
        <v>20</v>
      </c>
      <c r="K15" s="242">
        <v>7</v>
      </c>
      <c r="L15" s="243">
        <f>_xll.qlRateHelperEarliestDate($E15,Trigger)</f>
        <v>42101</v>
      </c>
      <c r="M15" s="244">
        <f>_xll.qlRateHelperLatestDate($E15,Trigger)</f>
        <v>42467</v>
      </c>
    </row>
    <row r="16" spans="2:15" x14ac:dyDescent="0.2">
      <c r="B16" s="252">
        <v>6</v>
      </c>
      <c r="C16" s="239" t="s">
        <v>37</v>
      </c>
      <c r="D16" s="240" t="str">
        <f t="shared" si="0"/>
        <v>18F</v>
      </c>
      <c r="E16" s="240" t="str">
        <f>FRAs!H8</f>
        <v>obj_00bc7#0000</v>
      </c>
      <c r="F16" s="240" t="str">
        <f>_xll.qlRateHelperQuoteName(E16)</f>
        <v>EUR6x18F_SYNTH1Y_Quote</v>
      </c>
      <c r="G16" s="241">
        <f>_xll.qlRateHelperQuoteValue($E16,Trigger)</f>
        <v>3.7039999999999998E-3</v>
      </c>
      <c r="H16" s="241"/>
      <c r="I16" s="242" t="b">
        <v>1</v>
      </c>
      <c r="J16" s="242">
        <v>20</v>
      </c>
      <c r="K16" s="242">
        <v>7</v>
      </c>
      <c r="L16" s="243">
        <f>_xll.qlRateHelperEarliestDate($E16,Trigger)</f>
        <v>42128</v>
      </c>
      <c r="M16" s="244">
        <f>_xll.qlRateHelperLatestDate($E16,Trigger)</f>
        <v>42494</v>
      </c>
    </row>
    <row r="17" spans="2:13" x14ac:dyDescent="0.2">
      <c r="B17" s="252">
        <v>7</v>
      </c>
      <c r="C17" s="239" t="s">
        <v>37</v>
      </c>
      <c r="D17" s="240" t="str">
        <f t="shared" si="0"/>
        <v>19F</v>
      </c>
      <c r="E17" s="240" t="str">
        <f>FRAs!H9</f>
        <v>obj_00bc2#0000</v>
      </c>
      <c r="F17" s="240" t="str">
        <f>_xll.qlRateHelperQuoteName(E17)</f>
        <v>EUR7x19F_SYNTH1Y_Quote</v>
      </c>
      <c r="G17" s="241">
        <f>_xll.qlRateHelperQuoteValue($E17,Trigger)</f>
        <v>3.735E-3</v>
      </c>
      <c r="H17" s="241"/>
      <c r="I17" s="242" t="b">
        <v>0</v>
      </c>
      <c r="J17" s="242">
        <v>20</v>
      </c>
      <c r="K17" s="242">
        <v>7</v>
      </c>
      <c r="L17" s="243">
        <f>_xll.qlRateHelperEarliestDate($E17,Trigger)</f>
        <v>42158</v>
      </c>
      <c r="M17" s="244">
        <f>_xll.qlRateHelperLatestDate($E17,Trigger)</f>
        <v>42524</v>
      </c>
    </row>
    <row r="18" spans="2:13" x14ac:dyDescent="0.2">
      <c r="B18" s="252">
        <v>8</v>
      </c>
      <c r="C18" s="239" t="s">
        <v>37</v>
      </c>
      <c r="D18" s="240" t="str">
        <f t="shared" si="0"/>
        <v>20F</v>
      </c>
      <c r="E18" s="240" t="str">
        <f>FRAs!H10</f>
        <v>obj_00bc8#0000</v>
      </c>
      <c r="F18" s="240" t="str">
        <f>_xll.qlRateHelperQuoteName(E18)</f>
        <v>EUR8x20F_SYNTH1Y_Quote</v>
      </c>
      <c r="G18" s="241">
        <f>_xll.qlRateHelperQuoteValue($E18,Trigger)</f>
        <v>3.7820000000000002E-3</v>
      </c>
      <c r="H18" s="241"/>
      <c r="I18" s="242" t="b">
        <v>0</v>
      </c>
      <c r="J18" s="242">
        <v>20</v>
      </c>
      <c r="K18" s="242">
        <v>7</v>
      </c>
      <c r="L18" s="243">
        <f>_xll.qlRateHelperEarliestDate($E18,Trigger)</f>
        <v>42188</v>
      </c>
      <c r="M18" s="244">
        <f>_xll.qlRateHelperLatestDate($E18,Trigger)</f>
        <v>42555</v>
      </c>
    </row>
    <row r="19" spans="2:13" x14ac:dyDescent="0.2">
      <c r="B19" s="252">
        <v>9</v>
      </c>
      <c r="C19" s="239" t="s">
        <v>37</v>
      </c>
      <c r="D19" s="240" t="str">
        <f t="shared" si="0"/>
        <v>21F</v>
      </c>
      <c r="E19" s="240" t="str">
        <f>FRAs!H11</f>
        <v>obj_00bb3#0000</v>
      </c>
      <c r="F19" s="240" t="str">
        <f>_xll.qlRateHelperQuoteName(E19)</f>
        <v>EUR9x21F_SYNTH1Y_Quote</v>
      </c>
      <c r="G19" s="241">
        <f>_xll.qlRateHelperQuoteValue($E19,Trigger)</f>
        <v>3.8430000000000001E-3</v>
      </c>
      <c r="H19" s="241"/>
      <c r="I19" s="242" t="b">
        <v>1</v>
      </c>
      <c r="J19" s="242">
        <v>20</v>
      </c>
      <c r="K19" s="242">
        <v>7</v>
      </c>
      <c r="L19" s="243">
        <f>_xll.qlRateHelperEarliestDate($E19,Trigger)</f>
        <v>42219</v>
      </c>
      <c r="M19" s="244">
        <f>_xll.qlRateHelperLatestDate($E19,Trigger)</f>
        <v>42585</v>
      </c>
    </row>
    <row r="20" spans="2:13" x14ac:dyDescent="0.2">
      <c r="B20" s="252">
        <v>10</v>
      </c>
      <c r="C20" s="239" t="s">
        <v>37</v>
      </c>
      <c r="D20" s="240" t="str">
        <f t="shared" si="0"/>
        <v>22F</v>
      </c>
      <c r="E20" s="240" t="str">
        <f>FRAs!H12</f>
        <v>obj_00bbe#0000</v>
      </c>
      <c r="F20" s="240" t="str">
        <f>_xll.qlRateHelperQuoteName(E20)</f>
        <v>EUR10x22F_SYNTH1Y_Quote</v>
      </c>
      <c r="G20" s="241">
        <f>_xll.qlRateHelperQuoteValue($E20,Trigger)</f>
        <v>3.901E-3</v>
      </c>
      <c r="H20" s="241"/>
      <c r="I20" s="242" t="b">
        <v>0</v>
      </c>
      <c r="J20" s="242">
        <v>20</v>
      </c>
      <c r="K20" s="242">
        <v>7</v>
      </c>
      <c r="L20" s="243">
        <f>_xll.qlRateHelperEarliestDate($E20,Trigger)</f>
        <v>42250</v>
      </c>
      <c r="M20" s="244">
        <f>_xll.qlRateHelperLatestDate($E20,Trigger)</f>
        <v>42618</v>
      </c>
    </row>
    <row r="21" spans="2:13" x14ac:dyDescent="0.2">
      <c r="B21" s="252">
        <v>11</v>
      </c>
      <c r="C21" s="239" t="s">
        <v>37</v>
      </c>
      <c r="D21" s="240" t="str">
        <f t="shared" si="0"/>
        <v>23F</v>
      </c>
      <c r="E21" s="240" t="str">
        <f>FRAs!H13</f>
        <v>obj_00bb1#0000</v>
      </c>
      <c r="F21" s="240" t="str">
        <f>_xll.qlRateHelperQuoteName(E21)</f>
        <v>EUR11x23F_SYNTH1Y_Quote</v>
      </c>
      <c r="G21" s="241">
        <f>_xll.qlRateHelperQuoteValue($E21,Trigger)</f>
        <v>3.9750000000000002E-3</v>
      </c>
      <c r="H21" s="241"/>
      <c r="I21" s="242" t="b">
        <v>0</v>
      </c>
      <c r="J21" s="242">
        <v>20</v>
      </c>
      <c r="K21" s="242">
        <v>7</v>
      </c>
      <c r="L21" s="243">
        <f>_xll.qlRateHelperEarliestDate($E21,Trigger)</f>
        <v>42282</v>
      </c>
      <c r="M21" s="244">
        <f>_xll.qlRateHelperLatestDate($E21,Trigger)</f>
        <v>42648</v>
      </c>
    </row>
    <row r="22" spans="2:13" x14ac:dyDescent="0.2">
      <c r="B22" s="252">
        <v>12</v>
      </c>
      <c r="C22" s="239" t="s">
        <v>37</v>
      </c>
      <c r="D22" s="240" t="str">
        <f t="shared" si="0"/>
        <v>24F</v>
      </c>
      <c r="E22" s="240" t="str">
        <f>FRAs!H14</f>
        <v>obj_00bb9#0000</v>
      </c>
      <c r="F22" s="240" t="str">
        <f>_xll.qlRateHelperQuoteName(E22)</f>
        <v>EUR12x24F_Quote</v>
      </c>
      <c r="G22" s="241">
        <f>_xll.qlRateHelperQuoteValue($E22,Trigger)</f>
        <v>4.0400000000000002E-3</v>
      </c>
      <c r="H22" s="241"/>
      <c r="I22" s="242" t="b">
        <v>1</v>
      </c>
      <c r="J22" s="242">
        <v>20</v>
      </c>
      <c r="K22" s="242">
        <v>7</v>
      </c>
      <c r="L22" s="243">
        <f>_xll.qlRateHelperEarliestDate($E22,Trigger)</f>
        <v>42311</v>
      </c>
      <c r="M22" s="244">
        <f>_xll.qlRateHelperLatestDate($E22,Trigger)</f>
        <v>42677</v>
      </c>
    </row>
    <row r="23" spans="2:13" x14ac:dyDescent="0.2">
      <c r="B23" s="252">
        <v>13</v>
      </c>
      <c r="C23" s="239" t="s">
        <v>37</v>
      </c>
      <c r="D23" s="240" t="str">
        <f t="shared" si="0"/>
        <v>25F</v>
      </c>
      <c r="E23" s="240" t="str">
        <f>FRAs!H15</f>
        <v>obj_00ba2#0000</v>
      </c>
      <c r="F23" s="240" t="str">
        <f>_xll.qlRateHelperQuoteName(E23)</f>
        <v>EUR13x25F_SYNTH1Y_Quote</v>
      </c>
      <c r="G23" s="241">
        <f>_xll.qlRateHelperQuoteValue($E23,Trigger)</f>
        <v>4.13E-3</v>
      </c>
      <c r="H23" s="241"/>
      <c r="I23" s="242" t="b">
        <v>0</v>
      </c>
      <c r="J23" s="242">
        <v>20</v>
      </c>
      <c r="K23" s="242">
        <v>7</v>
      </c>
      <c r="L23" s="243">
        <f>_xll.qlRateHelperEarliestDate($E23,Trigger)</f>
        <v>42341</v>
      </c>
      <c r="M23" s="244">
        <f>_xll.qlRateHelperLatestDate($E23,Trigger)</f>
        <v>42709</v>
      </c>
    </row>
    <row r="24" spans="2:13" x14ac:dyDescent="0.2">
      <c r="B24" s="252">
        <v>14</v>
      </c>
      <c r="C24" s="239" t="s">
        <v>37</v>
      </c>
      <c r="D24" s="240" t="str">
        <f t="shared" si="0"/>
        <v>26F</v>
      </c>
      <c r="E24" s="240" t="str">
        <f>FRAs!H16</f>
        <v>obj_00bb6#0000</v>
      </c>
      <c r="F24" s="240" t="str">
        <f>_xll.qlRateHelperQuoteName(E24)</f>
        <v>EUR14x26F_SYNTH1Y_Quote</v>
      </c>
      <c r="G24" s="241">
        <f>_xll.qlRateHelperQuoteValue($E24,Trigger)</f>
        <v>4.2059999999999997E-3</v>
      </c>
      <c r="H24" s="241"/>
      <c r="I24" s="242" t="b">
        <v>0</v>
      </c>
      <c r="J24" s="242">
        <v>20</v>
      </c>
      <c r="K24" s="242">
        <v>7</v>
      </c>
      <c r="L24" s="243">
        <f>_xll.qlRateHelperEarliestDate($E24,Trigger)</f>
        <v>42373</v>
      </c>
      <c r="M24" s="244">
        <f>_xll.qlRateHelperLatestDate($E24,Trigger)</f>
        <v>42739</v>
      </c>
    </row>
    <row r="25" spans="2:13" x14ac:dyDescent="0.2">
      <c r="B25" s="252">
        <v>15</v>
      </c>
      <c r="C25" s="239" t="s">
        <v>37</v>
      </c>
      <c r="D25" s="240" t="str">
        <f t="shared" si="0"/>
        <v>27F</v>
      </c>
      <c r="E25" s="240" t="str">
        <f>FRAs!H17</f>
        <v>obj_00bca#0000</v>
      </c>
      <c r="F25" s="240" t="str">
        <f>_xll.qlRateHelperQuoteName(E25)</f>
        <v>EUR15x27F_SYNTH1Y_Quote</v>
      </c>
      <c r="G25" s="241">
        <f>_xll.qlRateHelperQuoteValue($E25,Trigger)</f>
        <v>4.2779999999999997E-3</v>
      </c>
      <c r="H25" s="241"/>
      <c r="I25" s="242" t="b">
        <v>1</v>
      </c>
      <c r="J25" s="242">
        <v>20</v>
      </c>
      <c r="K25" s="242">
        <v>7</v>
      </c>
      <c r="L25" s="243">
        <f>_xll.qlRateHelperEarliestDate($E25,Trigger)</f>
        <v>42403</v>
      </c>
      <c r="M25" s="244">
        <f>_xll.qlRateHelperLatestDate($E25,Trigger)</f>
        <v>42769</v>
      </c>
    </row>
    <row r="26" spans="2:13" x14ac:dyDescent="0.2">
      <c r="B26" s="252">
        <v>16</v>
      </c>
      <c r="C26" s="239" t="s">
        <v>37</v>
      </c>
      <c r="D26" s="240" t="str">
        <f t="shared" si="0"/>
        <v>28F</v>
      </c>
      <c r="E26" s="240" t="str">
        <f>FRAs!H18</f>
        <v>obj_00bc1#0000</v>
      </c>
      <c r="F26" s="240" t="str">
        <f>_xll.qlRateHelperQuoteName(E26)</f>
        <v>EUR16x28F_SYNTH1Y_Quote</v>
      </c>
      <c r="G26" s="241">
        <f>_xll.qlRateHelperQuoteValue($E26,Trigger)</f>
        <v>4.3699999999999998E-3</v>
      </c>
      <c r="H26" s="241"/>
      <c r="I26" s="242" t="b">
        <v>0</v>
      </c>
      <c r="J26" s="242">
        <v>20</v>
      </c>
      <c r="K26" s="242">
        <v>7</v>
      </c>
      <c r="L26" s="243">
        <f>_xll.qlRateHelperEarliestDate($E26,Trigger)</f>
        <v>42432</v>
      </c>
      <c r="M26" s="244">
        <f>_xll.qlRateHelperLatestDate($E26,Trigger)</f>
        <v>42797</v>
      </c>
    </row>
    <row r="27" spans="2:13" x14ac:dyDescent="0.2">
      <c r="B27" s="252">
        <v>17</v>
      </c>
      <c r="C27" s="239" t="s">
        <v>37</v>
      </c>
      <c r="D27" s="240" t="str">
        <f t="shared" si="0"/>
        <v>29F</v>
      </c>
      <c r="E27" s="240" t="str">
        <f>FRAs!H19</f>
        <v>obj_00bbd#0000</v>
      </c>
      <c r="F27" s="240" t="str">
        <f>_xll.qlRateHelperQuoteName(E27)</f>
        <v>EUR17x29F_SYNTH1Y_Quote</v>
      </c>
      <c r="G27" s="241">
        <f>_xll.qlRateHelperQuoteValue($E27,Trigger)</f>
        <v>4.4949999999999999E-3</v>
      </c>
      <c r="H27" s="241"/>
      <c r="I27" s="242" t="b">
        <v>0</v>
      </c>
      <c r="J27" s="242">
        <v>20</v>
      </c>
      <c r="K27" s="242">
        <v>7</v>
      </c>
      <c r="L27" s="243">
        <f>_xll.qlRateHelperEarliestDate($E27,Trigger)</f>
        <v>42464</v>
      </c>
      <c r="M27" s="244">
        <f>_xll.qlRateHelperLatestDate($E27,Trigger)</f>
        <v>42829</v>
      </c>
    </row>
    <row r="28" spans="2:13" x14ac:dyDescent="0.2">
      <c r="B28" s="253">
        <v>18</v>
      </c>
      <c r="C28" s="254" t="s">
        <v>37</v>
      </c>
      <c r="D28" s="255" t="str">
        <f t="shared" si="0"/>
        <v>30F</v>
      </c>
      <c r="E28" s="255" t="str">
        <f>FRAs!H20</f>
        <v>obj_00ba7#0000</v>
      </c>
      <c r="F28" s="255" t="str">
        <f>_xll.qlRateHelperQuoteName(E28)</f>
        <v>EUR18x30F_SYNTH1Y_Quote</v>
      </c>
      <c r="G28" s="256">
        <f>_xll.qlRateHelperQuoteValue($E28,Trigger)</f>
        <v>4.6150000000000002E-3</v>
      </c>
      <c r="H28" s="256"/>
      <c r="I28" s="257" t="b">
        <v>1</v>
      </c>
      <c r="J28" s="257">
        <v>20</v>
      </c>
      <c r="K28" s="257">
        <v>7</v>
      </c>
      <c r="L28" s="258">
        <f>_xll.qlRateHelperEarliestDate($E28,Trigger)</f>
        <v>42493</v>
      </c>
      <c r="M28" s="259">
        <f>_xll.qlRateHelperLatestDate($E28,Trigger)</f>
        <v>42858</v>
      </c>
    </row>
    <row r="29" spans="2:13" x14ac:dyDescent="0.2">
      <c r="B29" s="252" t="str">
        <f t="shared" ref="B29:B55" si="1">SwapFixedFreq</f>
        <v>AB</v>
      </c>
      <c r="C29" s="239" t="str">
        <f t="shared" ref="C29:C65" si="2">IborType&amp;"BASIS"</f>
        <v>12EBASIS</v>
      </c>
      <c r="D29" s="240" t="s">
        <v>36</v>
      </c>
      <c r="E29" s="240" t="str">
        <f>SwapsFromBasis!K6</f>
        <v>obj_00bb0#0000</v>
      </c>
      <c r="F29" s="240" t="str">
        <f>_xll.qlRateHelperQuoteName(E29)</f>
        <v>EURAB12EBASIS1Y_Quote</v>
      </c>
      <c r="G29" s="241">
        <f>_xll.qlRateHelperQuoteValue($E29,Trigger)</f>
        <v>3.47E-3</v>
      </c>
      <c r="H29" s="241">
        <f>_xll.qlSwapRateHelperSpread($E29,Trigger)</f>
        <v>0</v>
      </c>
      <c r="I29" s="242" t="b">
        <v>0</v>
      </c>
      <c r="J29" s="242">
        <v>40</v>
      </c>
      <c r="K29" s="242">
        <v>1</v>
      </c>
      <c r="L29" s="243">
        <f>_xll.qlRateHelperEarliestDate($E29,Trigger)</f>
        <v>41946</v>
      </c>
      <c r="M29" s="244">
        <f>_xll.qlRateHelperLatestDate($E29,Trigger)</f>
        <v>42311</v>
      </c>
    </row>
    <row r="30" spans="2:13" x14ac:dyDescent="0.2">
      <c r="B30" s="252" t="str">
        <f t="shared" si="1"/>
        <v>AB</v>
      </c>
      <c r="C30" s="239" t="str">
        <f t="shared" si="2"/>
        <v>12EBASIS</v>
      </c>
      <c r="D30" s="240" t="s">
        <v>35</v>
      </c>
      <c r="E30" s="240" t="str">
        <f>SwapsFromBasis!K7</f>
        <v>obj_00bd0#0000</v>
      </c>
      <c r="F30" s="240" t="str">
        <f>_xll.qlRateHelperQuoteName(E30)</f>
        <v>EURAB12EBASIS15M_Quote</v>
      </c>
      <c r="G30" s="241" t="e">
        <f>_xll.qlRateHelperQuoteValue($E30,Trigger)</f>
        <v>#NUM!</v>
      </c>
      <c r="H30" s="241">
        <f>_xll.qlSwapRateHelperSpread($E30,Trigger)</f>
        <v>0</v>
      </c>
      <c r="I30" s="242" t="b">
        <v>0</v>
      </c>
      <c r="J30" s="242">
        <v>40</v>
      </c>
      <c r="K30" s="242">
        <v>1</v>
      </c>
      <c r="L30" s="243">
        <f>_xll.qlRateHelperEarliestDate($E30,Trigger)</f>
        <v>41946</v>
      </c>
      <c r="M30" s="244">
        <f>_xll.qlRateHelperLatestDate($E30,Trigger)</f>
        <v>42403</v>
      </c>
    </row>
    <row r="31" spans="2:13" x14ac:dyDescent="0.2">
      <c r="B31" s="252" t="str">
        <f t="shared" si="1"/>
        <v>AB</v>
      </c>
      <c r="C31" s="239" t="str">
        <f t="shared" si="2"/>
        <v>12EBASIS</v>
      </c>
      <c r="D31" s="240" t="s">
        <v>34</v>
      </c>
      <c r="E31" s="240" t="str">
        <f>SwapsFromBasis!K8</f>
        <v>obj_00bd1#0000</v>
      </c>
      <c r="F31" s="240" t="str">
        <f>_xll.qlRateHelperQuoteName(E31)</f>
        <v>EURAB12EBASIS18M_Quote</v>
      </c>
      <c r="G31" s="241" t="e">
        <f>_xll.qlRateHelperQuoteValue($E31,Trigger)</f>
        <v>#NUM!</v>
      </c>
      <c r="H31" s="241">
        <f>_xll.qlSwapRateHelperSpread($E31,Trigger)</f>
        <v>0</v>
      </c>
      <c r="I31" s="242" t="b">
        <v>0</v>
      </c>
      <c r="J31" s="242">
        <v>40</v>
      </c>
      <c r="K31" s="242">
        <v>1</v>
      </c>
      <c r="L31" s="243">
        <f>_xll.qlRateHelperEarliestDate($E31,Trigger)</f>
        <v>41946</v>
      </c>
      <c r="M31" s="244">
        <f>_xll.qlRateHelperLatestDate($E31,Trigger)</f>
        <v>42493</v>
      </c>
    </row>
    <row r="32" spans="2:13" x14ac:dyDescent="0.2">
      <c r="B32" s="252" t="str">
        <f t="shared" si="1"/>
        <v>AB</v>
      </c>
      <c r="C32" s="239" t="str">
        <f t="shared" si="2"/>
        <v>12EBASIS</v>
      </c>
      <c r="D32" s="240" t="s">
        <v>33</v>
      </c>
      <c r="E32" s="240" t="str">
        <f>SwapsFromBasis!K9</f>
        <v>obj_00bd2#0000</v>
      </c>
      <c r="F32" s="240" t="str">
        <f>_xll.qlRateHelperQuoteName(E32)</f>
        <v>EURAB12EBASIS21M_Quote</v>
      </c>
      <c r="G32" s="241" t="e">
        <f>_xll.qlRateHelperQuoteValue($E32,Trigger)</f>
        <v>#NUM!</v>
      </c>
      <c r="H32" s="241">
        <f>_xll.qlSwapRateHelperSpread($E32,Trigger)</f>
        <v>0</v>
      </c>
      <c r="I32" s="242" t="b">
        <v>0</v>
      </c>
      <c r="J32" s="242">
        <v>40</v>
      </c>
      <c r="K32" s="242">
        <v>1</v>
      </c>
      <c r="L32" s="243">
        <f>_xll.qlRateHelperEarliestDate($E32,Trigger)</f>
        <v>41946</v>
      </c>
      <c r="M32" s="244">
        <f>_xll.qlRateHelperLatestDate($E32,Trigger)</f>
        <v>42585</v>
      </c>
    </row>
    <row r="33" spans="2:13" x14ac:dyDescent="0.2">
      <c r="B33" s="252" t="str">
        <f t="shared" si="1"/>
        <v>AB</v>
      </c>
      <c r="C33" s="239" t="str">
        <f t="shared" si="2"/>
        <v>12EBASIS</v>
      </c>
      <c r="D33" s="240" t="s">
        <v>32</v>
      </c>
      <c r="E33" s="240" t="str">
        <f>SwapsFromBasis!K10</f>
        <v>obj_00bd3#0000</v>
      </c>
      <c r="F33" s="240" t="str">
        <f>_xll.qlRateHelperQuoteName(E33)</f>
        <v>EURAB12EBASIS2Y_Quote</v>
      </c>
      <c r="G33" s="241">
        <f>_xll.qlRateHelperQuoteValue($E33,Trigger)</f>
        <v>3.79E-3</v>
      </c>
      <c r="H33" s="241">
        <f>_xll.qlSwapRateHelperSpread($E33,Trigger)</f>
        <v>0</v>
      </c>
      <c r="I33" s="242" t="b">
        <v>0</v>
      </c>
      <c r="J33" s="242">
        <v>40</v>
      </c>
      <c r="K33" s="242">
        <v>1</v>
      </c>
      <c r="L33" s="243">
        <f>_xll.qlRateHelperEarliestDate($E33,Trigger)</f>
        <v>41946</v>
      </c>
      <c r="M33" s="244">
        <f>_xll.qlRateHelperLatestDate($E33,Trigger)</f>
        <v>42677</v>
      </c>
    </row>
    <row r="34" spans="2:13" x14ac:dyDescent="0.2">
      <c r="B34" s="252" t="str">
        <f t="shared" si="1"/>
        <v>AB</v>
      </c>
      <c r="C34" s="239" t="str">
        <f t="shared" si="2"/>
        <v>12EBASIS</v>
      </c>
      <c r="D34" s="240" t="s">
        <v>31</v>
      </c>
      <c r="E34" s="240" t="str">
        <f>SwapsFromBasis!K11</f>
        <v>obj_00bd4#0000</v>
      </c>
      <c r="F34" s="240" t="str">
        <f>_xll.qlRateHelperQuoteName(E34)</f>
        <v>EURAB12EBASIS3Y_Quote</v>
      </c>
      <c r="G34" s="241">
        <f>_xll.qlRateHelperQuoteValue($E34,Trigger)</f>
        <v>4.3600000000000002E-3</v>
      </c>
      <c r="H34" s="241">
        <f>_xll.qlSwapRateHelperSpread($E34,Trigger)</f>
        <v>0</v>
      </c>
      <c r="I34" s="242" t="b">
        <v>1</v>
      </c>
      <c r="J34" s="242">
        <v>40</v>
      </c>
      <c r="K34" s="242">
        <v>1</v>
      </c>
      <c r="L34" s="243">
        <f>_xll.qlRateHelperEarliestDate($E34,Trigger)</f>
        <v>41946</v>
      </c>
      <c r="M34" s="244">
        <f>_xll.qlRateHelperLatestDate($E34,Trigger)</f>
        <v>43042</v>
      </c>
    </row>
    <row r="35" spans="2:13" x14ac:dyDescent="0.2">
      <c r="B35" s="252" t="str">
        <f t="shared" si="1"/>
        <v>AB</v>
      </c>
      <c r="C35" s="239" t="str">
        <f t="shared" si="2"/>
        <v>12EBASIS</v>
      </c>
      <c r="D35" s="240" t="s">
        <v>30</v>
      </c>
      <c r="E35" s="240" t="str">
        <f>SwapsFromBasis!K12</f>
        <v>obj_00bd5#0000</v>
      </c>
      <c r="F35" s="240" t="str">
        <f>_xll.qlRateHelperQuoteName(E35)</f>
        <v>EURAB12EBASIS4Y_Quote</v>
      </c>
      <c r="G35" s="241">
        <f>_xll.qlRateHelperQuoteValue($E35,Trigger)</f>
        <v>5.2300000000000003E-3</v>
      </c>
      <c r="H35" s="241">
        <f>_xll.qlSwapRateHelperSpread($E35,Trigger)</f>
        <v>0</v>
      </c>
      <c r="I35" s="242" t="b">
        <v>1</v>
      </c>
      <c r="J35" s="242">
        <v>40</v>
      </c>
      <c r="K35" s="242">
        <v>1</v>
      </c>
      <c r="L35" s="243">
        <f>_xll.qlRateHelperEarliestDate($E35,Trigger)</f>
        <v>41946</v>
      </c>
      <c r="M35" s="244">
        <f>_xll.qlRateHelperLatestDate($E35,Trigger)</f>
        <v>43409</v>
      </c>
    </row>
    <row r="36" spans="2:13" x14ac:dyDescent="0.2">
      <c r="B36" s="252" t="str">
        <f t="shared" si="1"/>
        <v>AB</v>
      </c>
      <c r="C36" s="239" t="str">
        <f t="shared" si="2"/>
        <v>12EBASIS</v>
      </c>
      <c r="D36" s="240" t="s">
        <v>29</v>
      </c>
      <c r="E36" s="240" t="str">
        <f>SwapsFromBasis!K13</f>
        <v>obj_00bd6#0000</v>
      </c>
      <c r="F36" s="240" t="str">
        <f>_xll.qlRateHelperQuoteName(E36)</f>
        <v>EURAB12EBASIS5Y_Quote</v>
      </c>
      <c r="G36" s="241">
        <f>_xll.qlRateHelperQuoteValue($E36,Trigger)</f>
        <v>6.2899999999999996E-3</v>
      </c>
      <c r="H36" s="241">
        <f>_xll.qlSwapRateHelperSpread($E36,Trigger)</f>
        <v>0</v>
      </c>
      <c r="I36" s="242" t="b">
        <v>1</v>
      </c>
      <c r="J36" s="242">
        <v>40</v>
      </c>
      <c r="K36" s="242">
        <v>1</v>
      </c>
      <c r="L36" s="243">
        <f>_xll.qlRateHelperEarliestDate($E36,Trigger)</f>
        <v>41946</v>
      </c>
      <c r="M36" s="244">
        <f>_xll.qlRateHelperLatestDate($E36,Trigger)</f>
        <v>43773</v>
      </c>
    </row>
    <row r="37" spans="2:13" x14ac:dyDescent="0.2">
      <c r="B37" s="252" t="str">
        <f t="shared" si="1"/>
        <v>AB</v>
      </c>
      <c r="C37" s="239" t="str">
        <f t="shared" si="2"/>
        <v>12EBASIS</v>
      </c>
      <c r="D37" s="240" t="s">
        <v>28</v>
      </c>
      <c r="E37" s="240" t="str">
        <f>SwapsFromBasis!K14</f>
        <v>obj_00bd7#0000</v>
      </c>
      <c r="F37" s="240" t="str">
        <f>_xll.qlRateHelperQuoteName(E37)</f>
        <v>EURAB12EBASIS6Y_Quote</v>
      </c>
      <c r="G37" s="241">
        <f>_xll.qlRateHelperQuoteValue($E37,Trigger)</f>
        <v>7.4399999999999996E-3</v>
      </c>
      <c r="H37" s="241">
        <f>_xll.qlSwapRateHelperSpread($E37,Trigger)</f>
        <v>0</v>
      </c>
      <c r="I37" s="242" t="b">
        <v>1</v>
      </c>
      <c r="J37" s="242">
        <v>40</v>
      </c>
      <c r="K37" s="242">
        <v>1</v>
      </c>
      <c r="L37" s="243">
        <f>_xll.qlRateHelperEarliestDate($E37,Trigger)</f>
        <v>41946</v>
      </c>
      <c r="M37" s="244">
        <f>_xll.qlRateHelperLatestDate($E37,Trigger)</f>
        <v>44138</v>
      </c>
    </row>
    <row r="38" spans="2:13" x14ac:dyDescent="0.2">
      <c r="B38" s="252" t="str">
        <f t="shared" si="1"/>
        <v>AB</v>
      </c>
      <c r="C38" s="239" t="str">
        <f t="shared" si="2"/>
        <v>12EBASIS</v>
      </c>
      <c r="D38" s="240" t="s">
        <v>27</v>
      </c>
      <c r="E38" s="240" t="str">
        <f>SwapsFromBasis!K15</f>
        <v>obj_00bd8#0000</v>
      </c>
      <c r="F38" s="240" t="str">
        <f>_xll.qlRateHelperQuoteName(E38)</f>
        <v>EURAB12EBASIS7Y_Quote</v>
      </c>
      <c r="G38" s="241">
        <f>_xll.qlRateHelperQuoteValue($E38,Trigger)</f>
        <v>8.7199999999999986E-3</v>
      </c>
      <c r="H38" s="241">
        <f>_xll.qlSwapRateHelperSpread($E38,Trigger)</f>
        <v>0</v>
      </c>
      <c r="I38" s="242" t="b">
        <v>1</v>
      </c>
      <c r="J38" s="242">
        <v>40</v>
      </c>
      <c r="K38" s="242">
        <v>1</v>
      </c>
      <c r="L38" s="243">
        <f>_xll.qlRateHelperEarliestDate($E38,Trigger)</f>
        <v>41946</v>
      </c>
      <c r="M38" s="244">
        <f>_xll.qlRateHelperLatestDate($E38,Trigger)</f>
        <v>44503</v>
      </c>
    </row>
    <row r="39" spans="2:13" x14ac:dyDescent="0.2">
      <c r="B39" s="252" t="str">
        <f t="shared" si="1"/>
        <v>AB</v>
      </c>
      <c r="C39" s="239" t="str">
        <f t="shared" si="2"/>
        <v>12EBASIS</v>
      </c>
      <c r="D39" s="240" t="s">
        <v>26</v>
      </c>
      <c r="E39" s="240" t="str">
        <f>SwapsFromBasis!K16</f>
        <v>obj_00bd9#0000</v>
      </c>
      <c r="F39" s="240" t="str">
        <f>_xll.qlRateHelperQuoteName(E39)</f>
        <v>EURAB12EBASIS8Y_Quote</v>
      </c>
      <c r="G39" s="241">
        <f>_xll.qlRateHelperQuoteValue($E39,Trigger)</f>
        <v>1.004E-2</v>
      </c>
      <c r="H39" s="241">
        <f>_xll.qlSwapRateHelperSpread($E39,Trigger)</f>
        <v>0</v>
      </c>
      <c r="I39" s="242" t="b">
        <v>1</v>
      </c>
      <c r="J39" s="242">
        <v>40</v>
      </c>
      <c r="K39" s="242">
        <v>1</v>
      </c>
      <c r="L39" s="243">
        <f>_xll.qlRateHelperEarliestDate($E39,Trigger)</f>
        <v>41946</v>
      </c>
      <c r="M39" s="244">
        <f>_xll.qlRateHelperLatestDate($E39,Trigger)</f>
        <v>44868</v>
      </c>
    </row>
    <row r="40" spans="2:13" x14ac:dyDescent="0.2">
      <c r="B40" s="252" t="str">
        <f t="shared" si="1"/>
        <v>AB</v>
      </c>
      <c r="C40" s="239" t="str">
        <f t="shared" si="2"/>
        <v>12EBASIS</v>
      </c>
      <c r="D40" s="240" t="s">
        <v>25</v>
      </c>
      <c r="E40" s="240" t="str">
        <f>SwapsFromBasis!K17</f>
        <v>obj_00bda#0000</v>
      </c>
      <c r="F40" s="240" t="str">
        <f>_xll.qlRateHelperQuoteName(E40)</f>
        <v>EURAB12EBASIS9Y_Quote</v>
      </c>
      <c r="G40" s="241">
        <f>_xll.qlRateHelperQuoteValue($E40,Trigger)</f>
        <v>1.1279999999999998E-2</v>
      </c>
      <c r="H40" s="241">
        <f>_xll.qlSwapRateHelperSpread($E40,Trigger)</f>
        <v>0</v>
      </c>
      <c r="I40" s="242" t="b">
        <v>1</v>
      </c>
      <c r="J40" s="242">
        <v>40</v>
      </c>
      <c r="K40" s="242">
        <v>1</v>
      </c>
      <c r="L40" s="243">
        <f>_xll.qlRateHelperEarliestDate($E40,Trigger)</f>
        <v>41946</v>
      </c>
      <c r="M40" s="244">
        <f>_xll.qlRateHelperLatestDate($E40,Trigger)</f>
        <v>45233</v>
      </c>
    </row>
    <row r="41" spans="2:13" x14ac:dyDescent="0.2">
      <c r="B41" s="252" t="str">
        <f t="shared" si="1"/>
        <v>AB</v>
      </c>
      <c r="C41" s="239" t="str">
        <f t="shared" si="2"/>
        <v>12EBASIS</v>
      </c>
      <c r="D41" s="240" t="s">
        <v>24</v>
      </c>
      <c r="E41" s="240" t="str">
        <f>SwapsFromBasis!K18</f>
        <v>obj_00bdc#0000</v>
      </c>
      <c r="F41" s="240" t="str">
        <f>_xll.qlRateHelperQuoteName(E41)</f>
        <v>EURAB12EBASIS10Y_Quote</v>
      </c>
      <c r="G41" s="241">
        <f>_xll.qlRateHelperQuoteValue($E41,Trigger)</f>
        <v>1.2400000000000001E-2</v>
      </c>
      <c r="H41" s="241">
        <f>_xll.qlSwapRateHelperSpread($E41,Trigger)</f>
        <v>0</v>
      </c>
      <c r="I41" s="242" t="b">
        <v>1</v>
      </c>
      <c r="J41" s="242">
        <v>40</v>
      </c>
      <c r="K41" s="242">
        <v>1</v>
      </c>
      <c r="L41" s="243">
        <f>_xll.qlRateHelperEarliestDate($E41,Trigger)</f>
        <v>41946</v>
      </c>
      <c r="M41" s="244">
        <f>_xll.qlRateHelperLatestDate($E41,Trigger)</f>
        <v>45600</v>
      </c>
    </row>
    <row r="42" spans="2:13" x14ac:dyDescent="0.2">
      <c r="B42" s="252" t="str">
        <f t="shared" si="1"/>
        <v>AB</v>
      </c>
      <c r="C42" s="239" t="str">
        <f t="shared" si="2"/>
        <v>12EBASIS</v>
      </c>
      <c r="D42" s="240" t="s">
        <v>23</v>
      </c>
      <c r="E42" s="240" t="str">
        <f>SwapsFromBasis!K19</f>
        <v>obj_00bdb#0000</v>
      </c>
      <c r="F42" s="240" t="str">
        <f>_xll.qlRateHelperQuoteName(E42)</f>
        <v>EURAB12EBASIS11Y_Quote</v>
      </c>
      <c r="G42" s="241">
        <f>_xll.qlRateHelperQuoteValue($E42,Trigger)</f>
        <v>1.3389999999999999E-2</v>
      </c>
      <c r="H42" s="241">
        <f>_xll.qlSwapRateHelperSpread($E42,Trigger)</f>
        <v>0</v>
      </c>
      <c r="I42" s="242" t="b">
        <v>0</v>
      </c>
      <c r="J42" s="242">
        <v>40</v>
      </c>
      <c r="K42" s="242">
        <v>1</v>
      </c>
      <c r="L42" s="243">
        <f>_xll.qlRateHelperEarliestDate($E42,Trigger)</f>
        <v>41946</v>
      </c>
      <c r="M42" s="244">
        <f>_xll.qlRateHelperLatestDate($E42,Trigger)</f>
        <v>45964</v>
      </c>
    </row>
    <row r="43" spans="2:13" x14ac:dyDescent="0.2">
      <c r="B43" s="252" t="str">
        <f t="shared" si="1"/>
        <v>AB</v>
      </c>
      <c r="C43" s="239" t="str">
        <f t="shared" si="2"/>
        <v>12EBASIS</v>
      </c>
      <c r="D43" s="240" t="s">
        <v>22</v>
      </c>
      <c r="E43" s="240" t="str">
        <f>SwapsFromBasis!K20</f>
        <v>obj_00bdd#0000</v>
      </c>
      <c r="F43" s="240" t="str">
        <f>_xll.qlRateHelperQuoteName(E43)</f>
        <v>EURAB12EBASIS12Y_Quote</v>
      </c>
      <c r="G43" s="241">
        <f>_xll.qlRateHelperQuoteValue($E43,Trigger)</f>
        <v>1.4250000000000001E-2</v>
      </c>
      <c r="H43" s="241">
        <f>_xll.qlSwapRateHelperSpread($E43,Trigger)</f>
        <v>0</v>
      </c>
      <c r="I43" s="242" t="b">
        <v>1</v>
      </c>
      <c r="J43" s="242">
        <v>40</v>
      </c>
      <c r="K43" s="242">
        <v>1</v>
      </c>
      <c r="L43" s="243">
        <f>_xll.qlRateHelperEarliestDate($E43,Trigger)</f>
        <v>41946</v>
      </c>
      <c r="M43" s="244">
        <f>_xll.qlRateHelperLatestDate($E43,Trigger)</f>
        <v>46329</v>
      </c>
    </row>
    <row r="44" spans="2:13" x14ac:dyDescent="0.2">
      <c r="B44" s="252" t="str">
        <f t="shared" si="1"/>
        <v>AB</v>
      </c>
      <c r="C44" s="239" t="str">
        <f t="shared" si="2"/>
        <v>12EBASIS</v>
      </c>
      <c r="D44" s="240" t="s">
        <v>21</v>
      </c>
      <c r="E44" s="240" t="str">
        <f>SwapsFromBasis!K21</f>
        <v>obj_00bde#0000</v>
      </c>
      <c r="F44" s="240" t="str">
        <f>_xll.qlRateHelperQuoteName(E44)</f>
        <v>EURAB12EBASIS13Y_Quote</v>
      </c>
      <c r="G44" s="241" t="e">
        <f>_xll.qlRateHelperQuoteValue($E44,Trigger)</f>
        <v>#NUM!</v>
      </c>
      <c r="H44" s="241">
        <f>_xll.qlSwapRateHelperSpread($E44,Trigger)</f>
        <v>0</v>
      </c>
      <c r="I44" s="242" t="b">
        <v>0</v>
      </c>
      <c r="J44" s="242">
        <v>40</v>
      </c>
      <c r="K44" s="242">
        <v>1</v>
      </c>
      <c r="L44" s="243">
        <f>_xll.qlRateHelperEarliestDate($E44,Trigger)</f>
        <v>41946</v>
      </c>
      <c r="M44" s="244">
        <f>_xll.qlRateHelperLatestDate($E44,Trigger)</f>
        <v>46694</v>
      </c>
    </row>
    <row r="45" spans="2:13" x14ac:dyDescent="0.2">
      <c r="B45" s="252" t="str">
        <f t="shared" si="1"/>
        <v>AB</v>
      </c>
      <c r="C45" s="239" t="str">
        <f t="shared" si="2"/>
        <v>12EBASIS</v>
      </c>
      <c r="D45" s="240" t="s">
        <v>20</v>
      </c>
      <c r="E45" s="240" t="str">
        <f>SwapsFromBasis!K22</f>
        <v>obj_00bdf#0000</v>
      </c>
      <c r="F45" s="240" t="str">
        <f>_xll.qlRateHelperQuoteName(E45)</f>
        <v>EURAB12EBASIS14Y_Quote</v>
      </c>
      <c r="G45" s="241" t="e">
        <f>_xll.qlRateHelperQuoteValue($E45,Trigger)</f>
        <v>#NUM!</v>
      </c>
      <c r="H45" s="241">
        <f>_xll.qlSwapRateHelperSpread($E45,Trigger)</f>
        <v>0</v>
      </c>
      <c r="I45" s="242" t="b">
        <v>0</v>
      </c>
      <c r="J45" s="242">
        <v>40</v>
      </c>
      <c r="K45" s="242">
        <v>1</v>
      </c>
      <c r="L45" s="243">
        <f>_xll.qlRateHelperEarliestDate($E45,Trigger)</f>
        <v>41946</v>
      </c>
      <c r="M45" s="244">
        <f>_xll.qlRateHelperLatestDate($E45,Trigger)</f>
        <v>47060</v>
      </c>
    </row>
    <row r="46" spans="2:13" x14ac:dyDescent="0.2">
      <c r="B46" s="252" t="str">
        <f t="shared" si="1"/>
        <v>AB</v>
      </c>
      <c r="C46" s="239" t="str">
        <f t="shared" si="2"/>
        <v>12EBASIS</v>
      </c>
      <c r="D46" s="240" t="s">
        <v>19</v>
      </c>
      <c r="E46" s="240" t="str">
        <f>SwapsFromBasis!K23</f>
        <v>obj_00be0#0000</v>
      </c>
      <c r="F46" s="240" t="str">
        <f>_xll.qlRateHelperQuoteName(E46)</f>
        <v>EURAB12EBASIS15Y_Quote</v>
      </c>
      <c r="G46" s="241">
        <f>_xll.qlRateHelperQuoteValue($E46,Trigger)</f>
        <v>1.6199999999999999E-2</v>
      </c>
      <c r="H46" s="241">
        <f>_xll.qlSwapRateHelperSpread($E46,Trigger)</f>
        <v>0</v>
      </c>
      <c r="I46" s="242" t="b">
        <v>1</v>
      </c>
      <c r="J46" s="242">
        <v>40</v>
      </c>
      <c r="K46" s="242">
        <v>1</v>
      </c>
      <c r="L46" s="243">
        <f>_xll.qlRateHelperEarliestDate($E46,Trigger)</f>
        <v>41946</v>
      </c>
      <c r="M46" s="244">
        <f>_xll.qlRateHelperLatestDate($E46,Trigger)</f>
        <v>47427</v>
      </c>
    </row>
    <row r="47" spans="2:13" x14ac:dyDescent="0.2">
      <c r="B47" s="252" t="str">
        <f t="shared" si="1"/>
        <v>AB</v>
      </c>
      <c r="C47" s="239" t="str">
        <f t="shared" si="2"/>
        <v>12EBASIS</v>
      </c>
      <c r="D47" s="240" t="s">
        <v>18</v>
      </c>
      <c r="E47" s="240" t="str">
        <f>SwapsFromBasis!K24</f>
        <v>obj_00be1#0000</v>
      </c>
      <c r="F47" s="240" t="str">
        <f>_xll.qlRateHelperQuoteName(E47)</f>
        <v>EURAB12EBASIS16Y_Quote</v>
      </c>
      <c r="G47" s="241" t="e">
        <f>_xll.qlRateHelperQuoteValue($E47,Trigger)</f>
        <v>#NUM!</v>
      </c>
      <c r="H47" s="241">
        <f>_xll.qlSwapRateHelperSpread($E47,Trigger)</f>
        <v>0</v>
      </c>
      <c r="I47" s="242" t="b">
        <v>0</v>
      </c>
      <c r="J47" s="242">
        <v>40</v>
      </c>
      <c r="K47" s="242">
        <v>1</v>
      </c>
      <c r="L47" s="243">
        <f>_xll.qlRateHelperEarliestDate($E47,Trigger)</f>
        <v>41946</v>
      </c>
      <c r="M47" s="244">
        <f>_xll.qlRateHelperLatestDate($E47,Trigger)</f>
        <v>47791</v>
      </c>
    </row>
    <row r="48" spans="2:13" x14ac:dyDescent="0.2">
      <c r="B48" s="252" t="str">
        <f t="shared" si="1"/>
        <v>AB</v>
      </c>
      <c r="C48" s="239" t="str">
        <f t="shared" si="2"/>
        <v>12EBASIS</v>
      </c>
      <c r="D48" s="240" t="s">
        <v>17</v>
      </c>
      <c r="E48" s="240" t="str">
        <f>SwapsFromBasis!K25</f>
        <v>obj_00be2#0000</v>
      </c>
      <c r="F48" s="240" t="str">
        <f>_xll.qlRateHelperQuoteName(E48)</f>
        <v>EURAB12EBASIS17Y_Quote</v>
      </c>
      <c r="G48" s="241" t="e">
        <f>_xll.qlRateHelperQuoteValue($E48,Trigger)</f>
        <v>#NUM!</v>
      </c>
      <c r="H48" s="241">
        <f>_xll.qlSwapRateHelperSpread($E48,Trigger)</f>
        <v>0</v>
      </c>
      <c r="I48" s="242" t="b">
        <v>0</v>
      </c>
      <c r="J48" s="242">
        <v>40</v>
      </c>
      <c r="K48" s="242">
        <v>1</v>
      </c>
      <c r="L48" s="243">
        <f>_xll.qlRateHelperEarliestDate($E48,Trigger)</f>
        <v>41946</v>
      </c>
      <c r="M48" s="244">
        <f>_xll.qlRateHelperLatestDate($E48,Trigger)</f>
        <v>48155</v>
      </c>
    </row>
    <row r="49" spans="2:13" x14ac:dyDescent="0.2">
      <c r="B49" s="252" t="str">
        <f t="shared" si="1"/>
        <v>AB</v>
      </c>
      <c r="C49" s="239" t="str">
        <f t="shared" si="2"/>
        <v>12EBASIS</v>
      </c>
      <c r="D49" s="240" t="s">
        <v>16</v>
      </c>
      <c r="E49" s="240" t="str">
        <f>SwapsFromBasis!K26</f>
        <v>obj_00be3#0000</v>
      </c>
      <c r="F49" s="240" t="str">
        <f>_xll.qlRateHelperQuoteName(E49)</f>
        <v>EURAB12EBASIS18Y_Quote</v>
      </c>
      <c r="G49" s="241" t="e">
        <f>_xll.qlRateHelperQuoteValue($E49,Trigger)</f>
        <v>#NUM!</v>
      </c>
      <c r="H49" s="241">
        <f>_xll.qlSwapRateHelperSpread($E49,Trigger)</f>
        <v>0</v>
      </c>
      <c r="I49" s="242" t="b">
        <v>0</v>
      </c>
      <c r="J49" s="242">
        <v>40</v>
      </c>
      <c r="K49" s="242">
        <v>1</v>
      </c>
      <c r="L49" s="243">
        <f>_xll.qlRateHelperEarliestDate($E49,Trigger)</f>
        <v>41946</v>
      </c>
      <c r="M49" s="244">
        <f>_xll.qlRateHelperLatestDate($E49,Trigger)</f>
        <v>48521</v>
      </c>
    </row>
    <row r="50" spans="2:13" x14ac:dyDescent="0.2">
      <c r="B50" s="252" t="str">
        <f t="shared" si="1"/>
        <v>AB</v>
      </c>
      <c r="C50" s="239" t="str">
        <f t="shared" si="2"/>
        <v>12EBASIS</v>
      </c>
      <c r="D50" s="240" t="s">
        <v>15</v>
      </c>
      <c r="E50" s="240" t="str">
        <f>SwapsFromBasis!K27</f>
        <v>obj_00be4#0000</v>
      </c>
      <c r="F50" s="240" t="str">
        <f>_xll.qlRateHelperQuoteName(E50)</f>
        <v>EURAB12EBASIS19Y_Quote</v>
      </c>
      <c r="G50" s="241" t="e">
        <f>_xll.qlRateHelperQuoteValue($E50,Trigger)</f>
        <v>#NUM!</v>
      </c>
      <c r="H50" s="241">
        <f>_xll.qlSwapRateHelperSpread($E50,Trigger)</f>
        <v>0</v>
      </c>
      <c r="I50" s="242" t="b">
        <v>0</v>
      </c>
      <c r="J50" s="242">
        <v>40</v>
      </c>
      <c r="K50" s="242">
        <v>1</v>
      </c>
      <c r="L50" s="243">
        <f>_xll.qlRateHelperEarliestDate($E50,Trigger)</f>
        <v>41946</v>
      </c>
      <c r="M50" s="244">
        <f>_xll.qlRateHelperLatestDate($E50,Trigger)</f>
        <v>48886</v>
      </c>
    </row>
    <row r="51" spans="2:13" x14ac:dyDescent="0.2">
      <c r="B51" s="252" t="str">
        <f t="shared" si="1"/>
        <v>AB</v>
      </c>
      <c r="C51" s="239" t="str">
        <f t="shared" si="2"/>
        <v>12EBASIS</v>
      </c>
      <c r="D51" s="240" t="s">
        <v>14</v>
      </c>
      <c r="E51" s="240" t="str">
        <f>SwapsFromBasis!K28</f>
        <v>obj_00be5#0000</v>
      </c>
      <c r="F51" s="240" t="str">
        <f>_xll.qlRateHelperQuoteName(E51)</f>
        <v>EURAB12EBASIS20Y_Quote</v>
      </c>
      <c r="G51" s="241">
        <f>_xll.qlRateHelperQuoteValue($E51,Trigger)</f>
        <v>1.805E-2</v>
      </c>
      <c r="H51" s="241">
        <f>_xll.qlSwapRateHelperSpread($E51,Trigger)</f>
        <v>0</v>
      </c>
      <c r="I51" s="242" t="b">
        <v>1</v>
      </c>
      <c r="J51" s="242">
        <v>40</v>
      </c>
      <c r="K51" s="242">
        <v>1</v>
      </c>
      <c r="L51" s="243">
        <f>_xll.qlRateHelperEarliestDate($E51,Trigger)</f>
        <v>41946</v>
      </c>
      <c r="M51" s="244">
        <f>_xll.qlRateHelperLatestDate($E51,Trigger)</f>
        <v>49251</v>
      </c>
    </row>
    <row r="52" spans="2:13" x14ac:dyDescent="0.2">
      <c r="B52" s="252" t="str">
        <f t="shared" si="1"/>
        <v>AB</v>
      </c>
      <c r="C52" s="239" t="str">
        <f t="shared" si="2"/>
        <v>12EBASIS</v>
      </c>
      <c r="D52" s="240" t="s">
        <v>13</v>
      </c>
      <c r="E52" s="240" t="str">
        <f>SwapsFromBasis!K29</f>
        <v>obj_00be6#0000</v>
      </c>
      <c r="F52" s="240" t="str">
        <f>_xll.qlRateHelperQuoteName(E52)</f>
        <v>EURAB12EBASIS21Y_Quote</v>
      </c>
      <c r="G52" s="241" t="e">
        <f>_xll.qlRateHelperQuoteValue($E52,Trigger)</f>
        <v>#NUM!</v>
      </c>
      <c r="H52" s="241">
        <f>_xll.qlSwapRateHelperSpread($E52,Trigger)</f>
        <v>0</v>
      </c>
      <c r="I52" s="242" t="b">
        <v>0</v>
      </c>
      <c r="J52" s="242">
        <v>40</v>
      </c>
      <c r="K52" s="242">
        <v>1</v>
      </c>
      <c r="L52" s="243">
        <f>_xll.qlRateHelperEarliestDate($E52,Trigger)</f>
        <v>41946</v>
      </c>
      <c r="M52" s="244">
        <f>_xll.qlRateHelperLatestDate($E52,Trigger)</f>
        <v>49618</v>
      </c>
    </row>
    <row r="53" spans="2:13" x14ac:dyDescent="0.2">
      <c r="B53" s="252" t="str">
        <f t="shared" si="1"/>
        <v>AB</v>
      </c>
      <c r="C53" s="239" t="str">
        <f t="shared" si="2"/>
        <v>12EBASIS</v>
      </c>
      <c r="D53" s="240" t="s">
        <v>12</v>
      </c>
      <c r="E53" s="240" t="str">
        <f>SwapsFromBasis!K30</f>
        <v>obj_00be7#0000</v>
      </c>
      <c r="F53" s="240" t="str">
        <f>_xll.qlRateHelperQuoteName(E53)</f>
        <v>EURAB12EBASIS22Y_Quote</v>
      </c>
      <c r="G53" s="241" t="e">
        <f>_xll.qlRateHelperQuoteValue($E53,Trigger)</f>
        <v>#NUM!</v>
      </c>
      <c r="H53" s="241">
        <f>_xll.qlSwapRateHelperSpread($E53,Trigger)</f>
        <v>0</v>
      </c>
      <c r="I53" s="242" t="b">
        <v>0</v>
      </c>
      <c r="J53" s="242">
        <v>40</v>
      </c>
      <c r="K53" s="242">
        <v>1</v>
      </c>
      <c r="L53" s="243">
        <f>_xll.qlRateHelperEarliestDate($E53,Trigger)</f>
        <v>41946</v>
      </c>
      <c r="M53" s="244">
        <f>_xll.qlRateHelperLatestDate($E53,Trigger)</f>
        <v>49982</v>
      </c>
    </row>
    <row r="54" spans="2:13" x14ac:dyDescent="0.2">
      <c r="B54" s="252" t="str">
        <f t="shared" si="1"/>
        <v>AB</v>
      </c>
      <c r="C54" s="239" t="str">
        <f t="shared" si="2"/>
        <v>12EBASIS</v>
      </c>
      <c r="D54" s="240" t="s">
        <v>11</v>
      </c>
      <c r="E54" s="240" t="str">
        <f>SwapsFromBasis!K31</f>
        <v>obj_00be8#0000</v>
      </c>
      <c r="F54" s="240" t="str">
        <f>_xll.qlRateHelperQuoteName(E54)</f>
        <v>EURAB12EBASIS23Y_Quote</v>
      </c>
      <c r="G54" s="241" t="e">
        <f>_xll.qlRateHelperQuoteValue($E54,Trigger)</f>
        <v>#NUM!</v>
      </c>
      <c r="H54" s="241">
        <f>_xll.qlSwapRateHelperSpread($E54,Trigger)</f>
        <v>0</v>
      </c>
      <c r="I54" s="242" t="b">
        <v>0</v>
      </c>
      <c r="J54" s="242">
        <v>40</v>
      </c>
      <c r="K54" s="242">
        <v>1</v>
      </c>
      <c r="L54" s="243">
        <f>_xll.qlRateHelperEarliestDate($E54,Trigger)</f>
        <v>41946</v>
      </c>
      <c r="M54" s="244">
        <f>_xll.qlRateHelperLatestDate($E54,Trigger)</f>
        <v>50347</v>
      </c>
    </row>
    <row r="55" spans="2:13" x14ac:dyDescent="0.2">
      <c r="B55" s="252" t="str">
        <f t="shared" si="1"/>
        <v>AB</v>
      </c>
      <c r="C55" s="239" t="str">
        <f t="shared" si="2"/>
        <v>12EBASIS</v>
      </c>
      <c r="D55" s="240" t="s">
        <v>10</v>
      </c>
      <c r="E55" s="240" t="str">
        <f>SwapsFromBasis!K32</f>
        <v>obj_00be9#0000</v>
      </c>
      <c r="F55" s="240" t="str">
        <f>_xll.qlRateHelperQuoteName(E55)</f>
        <v>EURAB12EBASIS24Y_Quote</v>
      </c>
      <c r="G55" s="241" t="e">
        <f>_xll.qlRateHelperQuoteValue($E55,Trigger)</f>
        <v>#NUM!</v>
      </c>
      <c r="H55" s="241">
        <f>_xll.qlSwapRateHelperSpread($E55,Trigger)</f>
        <v>0</v>
      </c>
      <c r="I55" s="242" t="b">
        <v>0</v>
      </c>
      <c r="J55" s="242">
        <v>40</v>
      </c>
      <c r="K55" s="242">
        <v>1</v>
      </c>
      <c r="L55" s="243">
        <f>_xll.qlRateHelperEarliestDate($E55,Trigger)</f>
        <v>41946</v>
      </c>
      <c r="M55" s="244">
        <f>_xll.qlRateHelperLatestDate($E55,Trigger)</f>
        <v>50712</v>
      </c>
    </row>
    <row r="56" spans="2:13" x14ac:dyDescent="0.2">
      <c r="B56" s="252" t="str">
        <f t="shared" ref="B56:B65" si="3">SwapFixedFreq</f>
        <v>AB</v>
      </c>
      <c r="C56" s="239" t="str">
        <f t="shared" si="2"/>
        <v>12EBASIS</v>
      </c>
      <c r="D56" s="240" t="s">
        <v>9</v>
      </c>
      <c r="E56" s="240" t="str">
        <f>SwapsFromBasis!K33</f>
        <v>obj_00bea#0000</v>
      </c>
      <c r="F56" s="240" t="str">
        <f>_xll.qlRateHelperQuoteName(E56)</f>
        <v>EURAB12EBASIS25Y_Quote</v>
      </c>
      <c r="G56" s="241">
        <f>_xll.qlRateHelperQuoteValue($E56,Trigger)</f>
        <v>1.8769999999999998E-2</v>
      </c>
      <c r="H56" s="241">
        <f>_xll.qlSwapRateHelperSpread($E56,Trigger)</f>
        <v>0</v>
      </c>
      <c r="I56" s="242" t="b">
        <v>1</v>
      </c>
      <c r="J56" s="242">
        <v>40</v>
      </c>
      <c r="K56" s="242">
        <v>1</v>
      </c>
      <c r="L56" s="243">
        <f>_xll.qlRateHelperEarliestDate($E56,Trigger)</f>
        <v>41946</v>
      </c>
      <c r="M56" s="244">
        <f>_xll.qlRateHelperLatestDate($E56,Trigger)</f>
        <v>51077</v>
      </c>
    </row>
    <row r="57" spans="2:13" x14ac:dyDescent="0.2">
      <c r="B57" s="252" t="str">
        <f t="shared" si="3"/>
        <v>AB</v>
      </c>
      <c r="C57" s="239" t="str">
        <f t="shared" si="2"/>
        <v>12EBASIS</v>
      </c>
      <c r="D57" s="240" t="s">
        <v>8</v>
      </c>
      <c r="E57" s="240" t="str">
        <f>SwapsFromBasis!K34</f>
        <v>obj_00beb#0000</v>
      </c>
      <c r="F57" s="240" t="str">
        <f>_xll.qlRateHelperQuoteName(E57)</f>
        <v>EURAB12EBASIS26Y_Quote</v>
      </c>
      <c r="G57" s="241" t="e">
        <f>_xll.qlRateHelperQuoteValue($E57,Trigger)</f>
        <v>#NUM!</v>
      </c>
      <c r="H57" s="241">
        <f>_xll.qlSwapRateHelperSpread($E57,Trigger)</f>
        <v>0</v>
      </c>
      <c r="I57" s="242" t="b">
        <v>0</v>
      </c>
      <c r="J57" s="242">
        <v>40</v>
      </c>
      <c r="K57" s="242">
        <v>1</v>
      </c>
      <c r="L57" s="243">
        <f>_xll.qlRateHelperEarliestDate($E57,Trigger)</f>
        <v>41946</v>
      </c>
      <c r="M57" s="244">
        <f>_xll.qlRateHelperLatestDate($E57,Trigger)</f>
        <v>51445</v>
      </c>
    </row>
    <row r="58" spans="2:13" x14ac:dyDescent="0.2">
      <c r="B58" s="252" t="str">
        <f t="shared" si="3"/>
        <v>AB</v>
      </c>
      <c r="C58" s="239" t="str">
        <f t="shared" si="2"/>
        <v>12EBASIS</v>
      </c>
      <c r="D58" s="240" t="s">
        <v>7</v>
      </c>
      <c r="E58" s="240" t="str">
        <f>SwapsFromBasis!K35</f>
        <v>obj_00bec#0000</v>
      </c>
      <c r="F58" s="240" t="str">
        <f>_xll.qlRateHelperQuoteName(E58)</f>
        <v>EURAB12EBASIS27Y_Quote</v>
      </c>
      <c r="G58" s="241" t="e">
        <f>_xll.qlRateHelperQuoteValue($E58,Trigger)</f>
        <v>#NUM!</v>
      </c>
      <c r="H58" s="241">
        <f>_xll.qlSwapRateHelperSpread($E58,Trigger)</f>
        <v>0</v>
      </c>
      <c r="I58" s="242" t="b">
        <v>0</v>
      </c>
      <c r="J58" s="242">
        <v>40</v>
      </c>
      <c r="K58" s="242">
        <v>1</v>
      </c>
      <c r="L58" s="243">
        <f>_xll.qlRateHelperEarliestDate($E58,Trigger)</f>
        <v>41946</v>
      </c>
      <c r="M58" s="244">
        <f>_xll.qlRateHelperLatestDate($E58,Trigger)</f>
        <v>51809</v>
      </c>
    </row>
    <row r="59" spans="2:13" x14ac:dyDescent="0.2">
      <c r="B59" s="252" t="str">
        <f t="shared" si="3"/>
        <v>AB</v>
      </c>
      <c r="C59" s="239" t="str">
        <f t="shared" si="2"/>
        <v>12EBASIS</v>
      </c>
      <c r="D59" s="240" t="s">
        <v>6</v>
      </c>
      <c r="E59" s="240" t="str">
        <f>SwapsFromBasis!K36</f>
        <v>obj_00bed#0000</v>
      </c>
      <c r="F59" s="240" t="str">
        <f>_xll.qlRateHelperQuoteName(E59)</f>
        <v>EURAB12EBASIS28Y_Quote</v>
      </c>
      <c r="G59" s="241" t="e">
        <f>_xll.qlRateHelperQuoteValue($E59,Trigger)</f>
        <v>#NUM!</v>
      </c>
      <c r="H59" s="241">
        <f>_xll.qlSwapRateHelperSpread($E59,Trigger)</f>
        <v>0</v>
      </c>
      <c r="I59" s="242" t="b">
        <v>0</v>
      </c>
      <c r="J59" s="242">
        <v>40</v>
      </c>
      <c r="K59" s="242">
        <v>1</v>
      </c>
      <c r="L59" s="243">
        <f>_xll.qlRateHelperEarliestDate($E59,Trigger)</f>
        <v>41946</v>
      </c>
      <c r="M59" s="244">
        <f>_xll.qlRateHelperLatestDate($E59,Trigger)</f>
        <v>52173</v>
      </c>
    </row>
    <row r="60" spans="2:13" x14ac:dyDescent="0.2">
      <c r="B60" s="252" t="str">
        <f t="shared" si="3"/>
        <v>AB</v>
      </c>
      <c r="C60" s="239" t="str">
        <f t="shared" si="2"/>
        <v>12EBASIS</v>
      </c>
      <c r="D60" s="240" t="s">
        <v>5</v>
      </c>
      <c r="E60" s="240" t="str">
        <f>SwapsFromBasis!K37</f>
        <v>obj_00bee#0000</v>
      </c>
      <c r="F60" s="240" t="str">
        <f>_xll.qlRateHelperQuoteName(E60)</f>
        <v>EURAB12EBASIS29Y_Quote</v>
      </c>
      <c r="G60" s="241" t="e">
        <f>_xll.qlRateHelperQuoteValue($E60,Trigger)</f>
        <v>#NUM!</v>
      </c>
      <c r="H60" s="241">
        <f>_xll.qlSwapRateHelperSpread($E60,Trigger)</f>
        <v>0</v>
      </c>
      <c r="I60" s="242" t="b">
        <v>0</v>
      </c>
      <c r="J60" s="242">
        <v>40</v>
      </c>
      <c r="K60" s="242">
        <v>1</v>
      </c>
      <c r="L60" s="243">
        <f>_xll.qlRateHelperEarliestDate($E60,Trigger)</f>
        <v>41946</v>
      </c>
      <c r="M60" s="244">
        <f>_xll.qlRateHelperLatestDate($E60,Trigger)</f>
        <v>52538</v>
      </c>
    </row>
    <row r="61" spans="2:13" x14ac:dyDescent="0.2">
      <c r="B61" s="252" t="str">
        <f t="shared" si="3"/>
        <v>AB</v>
      </c>
      <c r="C61" s="239" t="str">
        <f t="shared" si="2"/>
        <v>12EBASIS</v>
      </c>
      <c r="D61" s="240" t="s">
        <v>4</v>
      </c>
      <c r="E61" s="240" t="str">
        <f>SwapsFromBasis!K38</f>
        <v>obj_00bef#0000</v>
      </c>
      <c r="F61" s="240" t="str">
        <f>_xll.qlRateHelperQuoteName(E61)</f>
        <v>EURAB12EBASIS30Y_Quote</v>
      </c>
      <c r="G61" s="241">
        <f>_xll.qlRateHelperQuoteValue($E61,Trigger)</f>
        <v>1.9040000000000001E-2</v>
      </c>
      <c r="H61" s="241">
        <f>_xll.qlSwapRateHelperSpread($E61,Trigger)</f>
        <v>0</v>
      </c>
      <c r="I61" s="242" t="b">
        <v>1</v>
      </c>
      <c r="J61" s="242">
        <v>40</v>
      </c>
      <c r="K61" s="242">
        <v>1</v>
      </c>
      <c r="L61" s="243">
        <f>_xll.qlRateHelperEarliestDate($E61,Trigger)</f>
        <v>41946</v>
      </c>
      <c r="M61" s="244">
        <f>_xll.qlRateHelperLatestDate($E61,Trigger)</f>
        <v>52904</v>
      </c>
    </row>
    <row r="62" spans="2:13" x14ac:dyDescent="0.2">
      <c r="B62" s="252" t="str">
        <f t="shared" si="3"/>
        <v>AB</v>
      </c>
      <c r="C62" s="239" t="str">
        <f t="shared" si="2"/>
        <v>12EBASIS</v>
      </c>
      <c r="D62" s="240" t="s">
        <v>3</v>
      </c>
      <c r="E62" s="240" t="str">
        <f>SwapsFromBasis!K39</f>
        <v>obj_00bf0#0000</v>
      </c>
      <c r="F62" s="240" t="str">
        <f>_xll.qlRateHelperQuoteName(E62)</f>
        <v>EURAB12EBASIS35Y_Quote</v>
      </c>
      <c r="G62" s="241" t="e">
        <f>_xll.qlRateHelperQuoteValue($E62,Trigger)</f>
        <v>#NUM!</v>
      </c>
      <c r="H62" s="241">
        <f>_xll.qlSwapRateHelperSpread($E62,Trigger)</f>
        <v>0</v>
      </c>
      <c r="I62" s="242" t="b">
        <v>0</v>
      </c>
      <c r="J62" s="242">
        <v>40</v>
      </c>
      <c r="K62" s="242">
        <v>1</v>
      </c>
      <c r="L62" s="243">
        <f>_xll.qlRateHelperEarliestDate($E62,Trigger)</f>
        <v>41946</v>
      </c>
      <c r="M62" s="244">
        <f>_xll.qlRateHelperLatestDate($E62,Trigger)</f>
        <v>54730</v>
      </c>
    </row>
    <row r="63" spans="2:13" x14ac:dyDescent="0.2">
      <c r="B63" s="252" t="str">
        <f t="shared" si="3"/>
        <v>AB</v>
      </c>
      <c r="C63" s="239" t="str">
        <f t="shared" si="2"/>
        <v>12EBASIS</v>
      </c>
      <c r="D63" s="240" t="s">
        <v>2</v>
      </c>
      <c r="E63" s="240" t="str">
        <f>SwapsFromBasis!K40</f>
        <v>obj_00bf1#0000</v>
      </c>
      <c r="F63" s="240" t="str">
        <f>_xll.qlRateHelperQuoteName(E63)</f>
        <v>EURAB12EBASIS40Y_Quote</v>
      </c>
      <c r="G63" s="241">
        <f>_xll.qlRateHelperQuoteValue($E63,Trigger)</f>
        <v>1.9470000000000001E-2</v>
      </c>
      <c r="H63" s="241">
        <f>_xll.qlSwapRateHelperSpread($E63,Trigger)</f>
        <v>0</v>
      </c>
      <c r="I63" s="242" t="b">
        <v>1</v>
      </c>
      <c r="J63" s="242">
        <v>40</v>
      </c>
      <c r="K63" s="242">
        <v>1</v>
      </c>
      <c r="L63" s="243">
        <f>_xll.qlRateHelperEarliestDate($E63,Trigger)</f>
        <v>41946</v>
      </c>
      <c r="M63" s="244">
        <f>_xll.qlRateHelperLatestDate($E63,Trigger)</f>
        <v>56556</v>
      </c>
    </row>
    <row r="64" spans="2:13" x14ac:dyDescent="0.2">
      <c r="B64" s="252" t="str">
        <f t="shared" si="3"/>
        <v>AB</v>
      </c>
      <c r="C64" s="239" t="str">
        <f t="shared" si="2"/>
        <v>12EBASIS</v>
      </c>
      <c r="D64" s="240" t="s">
        <v>1</v>
      </c>
      <c r="E64" s="240" t="str">
        <f>SwapsFromBasis!K41</f>
        <v>obj_00bf2#0000</v>
      </c>
      <c r="F64" s="240" t="str">
        <f>_xll.qlRateHelperQuoteName(E64)</f>
        <v>EURAB12EBASIS50Y_Quote</v>
      </c>
      <c r="G64" s="241">
        <f>_xll.qlRateHelperQuoteValue($E64,Trigger)</f>
        <v>1.9519999999999999E-2</v>
      </c>
      <c r="H64" s="241">
        <f>_xll.qlSwapRateHelperSpread($E64,Trigger)</f>
        <v>0</v>
      </c>
      <c r="I64" s="242" t="b">
        <v>1</v>
      </c>
      <c r="J64" s="242">
        <v>40</v>
      </c>
      <c r="K64" s="242">
        <v>1</v>
      </c>
      <c r="L64" s="243">
        <f>_xll.qlRateHelperEarliestDate($E64,Trigger)</f>
        <v>41946</v>
      </c>
      <c r="M64" s="244">
        <f>_xll.qlRateHelperLatestDate($E64,Trigger)</f>
        <v>60209</v>
      </c>
    </row>
    <row r="65" spans="2:13" x14ac:dyDescent="0.2">
      <c r="B65" s="253" t="str">
        <f t="shared" si="3"/>
        <v>AB</v>
      </c>
      <c r="C65" s="254" t="str">
        <f t="shared" si="2"/>
        <v>12EBASIS</v>
      </c>
      <c r="D65" s="255" t="s">
        <v>0</v>
      </c>
      <c r="E65" s="255" t="str">
        <f>SwapsFromBasis!K42</f>
        <v>obj_00bf3#0000</v>
      </c>
      <c r="F65" s="255" t="str">
        <f>_xll.qlRateHelperQuoteName(E65)</f>
        <v>EURAB12EBASIS60Y_Quote</v>
      </c>
      <c r="G65" s="256">
        <f>_xll.qlRateHelperQuoteValue($E65,Trigger)</f>
        <v>1.9610000000000002E-2</v>
      </c>
      <c r="H65" s="256">
        <f>_xll.qlSwapRateHelperSpread($E65,Trigger)</f>
        <v>0</v>
      </c>
      <c r="I65" s="257" t="b">
        <v>1</v>
      </c>
      <c r="J65" s="257">
        <v>40</v>
      </c>
      <c r="K65" s="257">
        <v>1</v>
      </c>
      <c r="L65" s="258">
        <f>_xll.qlRateHelperEarliestDate($E65,Trigger)</f>
        <v>41946</v>
      </c>
      <c r="M65" s="259">
        <f>_xll.qlRateHelperLatestDate($E65,Trigger)</f>
        <v>63863</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tabSelected="1" workbookViewId="0">
      <selection activeCell="G1" sqref="G1"/>
    </sheetView>
  </sheetViews>
  <sheetFormatPr defaultRowHeight="11.25" x14ac:dyDescent="0.2"/>
  <cols>
    <col min="1" max="1" width="36.85546875" style="3" bestFit="1" customWidth="1"/>
    <col min="2" max="2" width="9" style="3" bestFit="1" customWidth="1"/>
    <col min="3" max="3" width="3.140625" style="3" customWidth="1"/>
    <col min="4" max="4" width="6.5703125" style="4" hidden="1" customWidth="1"/>
    <col min="5" max="5" width="25.5703125" style="4" customWidth="1"/>
    <col min="6" max="6" width="9" style="4" bestFit="1" customWidth="1"/>
    <col min="7" max="7" width="8" style="4" bestFit="1" customWidth="1"/>
    <col min="8" max="9" width="17.28515625" style="4" bestFit="1" customWidth="1"/>
    <col min="10" max="10" width="12" style="3" bestFit="1" customWidth="1"/>
    <col min="11" max="11" width="2.85546875" style="3" customWidth="1"/>
    <col min="12" max="16384" width="9.140625" style="3"/>
  </cols>
  <sheetData>
    <row r="1" spans="1:10" ht="24" customHeight="1" thickBot="1" x14ac:dyDescent="0.25">
      <c r="A1" s="292" t="s">
        <v>70</v>
      </c>
      <c r="B1" s="293"/>
      <c r="D1" s="208" t="s">
        <v>162</v>
      </c>
      <c r="E1" s="18" t="s">
        <v>161</v>
      </c>
      <c r="F1" s="17" t="s">
        <v>69</v>
      </c>
      <c r="G1" s="17"/>
      <c r="H1" s="17" t="s">
        <v>55</v>
      </c>
      <c r="I1" s="16" t="s">
        <v>54</v>
      </c>
      <c r="J1" s="5">
        <f t="array" ref="J1:J126">_xll.qlPiecewiseYieldCurveData(YieldCurve)</f>
        <v>1</v>
      </c>
    </row>
    <row r="2" spans="1:10" x14ac:dyDescent="0.2">
      <c r="A2" s="15" t="s">
        <v>68</v>
      </c>
      <c r="B2" s="14">
        <v>8</v>
      </c>
      <c r="D2" s="10" t="str">
        <f t="array" ref="D2:D126">_xll.qlRateHelperSelection(_xll.ohFilter(RateHelpers,RateHelpersIncluded),_xll.ohFilter(RateHelpersPriority,RateHelpersIncluded),nIMMFutures,nSerialFutures,FrontFuturesRollingDays,DepoInclusionCriteria,_xll.ohFilter(MinDistance,RateHelpersIncluded),Trigger)</f>
        <v>obj_00b9a</v>
      </c>
      <c r="E2" s="10" t="str">
        <f>_xll.qlRateHelperQuoteName(D2)</f>
        <v>EUR3MD_SYNTH1Y_Quote</v>
      </c>
      <c r="F2" s="9">
        <f>_xll.qlRateHelperRate($D2)</f>
        <v>-4.2700000000000002E-4</v>
      </c>
      <c r="G2" s="9" t="str">
        <f>IF(ISERROR(_xll.qlSwapRateHelperSpread($D2)),IF(ISERROR(_xll.qlFuturesRateHelperConvexityAdjustment($D2)),"--",_xll.qlFuturesRateHelperConvexityAdjustment($D2)),_xll.qlSwapRateHelperSpread($D2))</f>
        <v>--</v>
      </c>
      <c r="H2" s="8">
        <f>_xll.qlRateHelperEarliestDate($D2)</f>
        <v>41946</v>
      </c>
      <c r="I2" s="7">
        <f>_xll.qlRateHelperLatestDate($D2)</f>
        <v>42038</v>
      </c>
      <c r="J2" s="5">
        <v>1.0001091341312733</v>
      </c>
    </row>
    <row r="3" spans="1:10" x14ac:dyDescent="0.2">
      <c r="A3" s="11" t="s">
        <v>67</v>
      </c>
      <c r="B3" s="13">
        <v>1</v>
      </c>
      <c r="D3" s="10" t="str">
        <v>obj_00b9b</v>
      </c>
      <c r="E3" s="10" t="str">
        <f>_xll.qlRateHelperQuoteName(D3)</f>
        <v>EUR6MD_SYNTH1Y_Quote</v>
      </c>
      <c r="F3" s="9">
        <f>_xll.qlRateHelperRate($D3)</f>
        <v>-3.2600000000000001E-4</v>
      </c>
      <c r="G3" s="9" t="str">
        <f>IF(ISERROR(_xll.qlSwapRateHelperSpread($D3)),IF(ISERROR(_xll.qlFuturesRateHelperConvexityAdjustment($D3)),"--",_xll.qlFuturesRateHelperConvexityAdjustment($D3)),_xll.qlSwapRateHelperSpread($D3))</f>
        <v>--</v>
      </c>
      <c r="H3" s="8">
        <f>_xll.qlRateHelperEarliestDate($D3)</f>
        <v>41946</v>
      </c>
      <c r="I3" s="7">
        <f>_xll.qlRateHelperLatestDate($D3)</f>
        <v>42128</v>
      </c>
      <c r="J3" s="5">
        <v>1.0001648382782924</v>
      </c>
    </row>
    <row r="4" spans="1:10" x14ac:dyDescent="0.2">
      <c r="A4" s="11" t="s">
        <v>66</v>
      </c>
      <c r="B4" s="13">
        <v>2</v>
      </c>
      <c r="D4" s="10" t="str">
        <v>obj_00b9e</v>
      </c>
      <c r="E4" s="10" t="str">
        <f>_xll.qlRateHelperQuoteName(D4)</f>
        <v>EUR9MD_SYNTH1Y_Quote</v>
      </c>
      <c r="F4" s="9">
        <f>_xll.qlRateHelperRate($D4)</f>
        <v>-3.1399999999999999E-4</v>
      </c>
      <c r="G4" s="9" t="str">
        <f>IF(ISERROR(_xll.qlSwapRateHelperSpread($D4)),IF(ISERROR(_xll.qlFuturesRateHelperConvexityAdjustment($D4)),"--",_xll.qlFuturesRateHelperConvexityAdjustment($D4)),_xll.qlSwapRateHelperSpread($D4))</f>
        <v>--</v>
      </c>
      <c r="H4" s="8">
        <f>_xll.qlRateHelperEarliestDate($D4)</f>
        <v>41946</v>
      </c>
      <c r="I4" s="7">
        <f>_xll.qlRateHelperLatestDate($D4)</f>
        <v>42219</v>
      </c>
      <c r="J4" s="5">
        <v>1.0002381733797179</v>
      </c>
    </row>
    <row r="5" spans="1:10" x14ac:dyDescent="0.2">
      <c r="A5" s="11" t="s">
        <v>65</v>
      </c>
      <c r="B5" s="12" t="s">
        <v>64</v>
      </c>
      <c r="D5" s="10" t="str">
        <v>obj_00b9f</v>
      </c>
      <c r="E5" s="10" t="str">
        <f>_xll.qlRateHelperQuoteName(D5)</f>
        <v>EUR1YD_SYNTH1Y_Quote</v>
      </c>
      <c r="F5" s="9">
        <f>_xll.qlRateHelperRate($D5)</f>
        <v>-2.3000000000000001E-4</v>
      </c>
      <c r="G5" s="9" t="str">
        <f>IF(ISERROR(_xll.qlSwapRateHelperSpread($D5)),IF(ISERROR(_xll.qlFuturesRateHelperConvexityAdjustment($D5)),"--",_xll.qlFuturesRateHelperConvexityAdjustment($D5)),_xll.qlSwapRateHelperSpread($D5))</f>
        <v>--</v>
      </c>
      <c r="H5" s="8">
        <f>_xll.qlRateHelperEarliestDate($D5)</f>
        <v>41946</v>
      </c>
      <c r="I5" s="7">
        <f>_xll.qlRateHelperLatestDate($D5)</f>
        <v>42311</v>
      </c>
      <c r="J5" s="5">
        <v>1.0002332488367842</v>
      </c>
    </row>
    <row r="6" spans="1:10" x14ac:dyDescent="0.2">
      <c r="D6" s="10" t="str">
        <v>obj_00bc9</v>
      </c>
      <c r="E6" s="10" t="str">
        <f>_xll.qlRateHelperQuoteName(D6)</f>
        <v>EUR3x15F_SYNTH1Y_Quote</v>
      </c>
      <c r="F6" s="9">
        <f>_xll.qlRateHelperRate($D6)</f>
        <v>3.735E-3</v>
      </c>
      <c r="G6" s="9" t="str">
        <f>IF(ISERROR(_xll.qlSwapRateHelperSpread($D6)),IF(ISERROR(_xll.qlFuturesRateHelperConvexityAdjustment($D6)),"--",_xll.qlFuturesRateHelperConvexityAdjustment($D6)),_xll.qlSwapRateHelperSpread($D6))</f>
        <v>--</v>
      </c>
      <c r="H6" s="8">
        <f>_xll.qlRateHelperEarliestDate($D6)</f>
        <v>42038</v>
      </c>
      <c r="I6" s="7">
        <f>_xll.qlRateHelperLatestDate($D6)</f>
        <v>42403</v>
      </c>
      <c r="J6" s="5">
        <v>0.99633613373483665</v>
      </c>
    </row>
    <row r="7" spans="1:10" x14ac:dyDescent="0.2">
      <c r="D7" s="10" t="str">
        <v>obj_00bc7</v>
      </c>
      <c r="E7" s="10" t="str">
        <f>_xll.qlRateHelperQuoteName(D7)</f>
        <v>EUR6x18F_SYNTH1Y_Quote</v>
      </c>
      <c r="F7" s="9">
        <f>_xll.qlRateHelperRate($D7)</f>
        <v>3.7039999999999998E-3</v>
      </c>
      <c r="G7" s="9" t="str">
        <f>IF(ISERROR(_xll.qlSwapRateHelperSpread($D7)),IF(ISERROR(_xll.qlFuturesRateHelperConvexityAdjustment($D7)),"--",_xll.qlFuturesRateHelperConvexityAdjustment($D7)),_xll.qlSwapRateHelperSpread($D7))</f>
        <v>--</v>
      </c>
      <c r="H7" s="8">
        <f>_xll.qlRateHelperEarliestDate($D7)</f>
        <v>42128</v>
      </c>
      <c r="I7" s="7">
        <f>_xll.qlRateHelperLatestDate($D7)</f>
        <v>42494</v>
      </c>
      <c r="J7" s="5">
        <v>0.99641261408364978</v>
      </c>
    </row>
    <row r="8" spans="1:10" x14ac:dyDescent="0.2">
      <c r="D8" s="10" t="str">
        <v>obj_00bb3</v>
      </c>
      <c r="E8" s="10" t="str">
        <f>_xll.qlRateHelperQuoteName(D8)</f>
        <v>EUR9x21F_SYNTH1Y_Quote</v>
      </c>
      <c r="F8" s="9">
        <f>_xll.qlRateHelperRate($D8)</f>
        <v>3.8430000000000001E-3</v>
      </c>
      <c r="G8" s="9" t="str">
        <f>IF(ISERROR(_xll.qlSwapRateHelperSpread($D8)),IF(ISERROR(_xll.qlFuturesRateHelperConvexityAdjustment($D8)),"--",_xll.qlFuturesRateHelperConvexityAdjustment($D8)),_xll.qlSwapRateHelperSpread($D8))</f>
        <v>--</v>
      </c>
      <c r="H8" s="8">
        <f>_xll.qlRateHelperEarliestDate($D8)</f>
        <v>42219</v>
      </c>
      <c r="I8" s="7">
        <f>_xll.qlRateHelperLatestDate($D8)</f>
        <v>42585</v>
      </c>
      <c r="J8" s="5">
        <v>0.99634540207652844</v>
      </c>
    </row>
    <row r="9" spans="1:10" x14ac:dyDescent="0.2">
      <c r="D9" s="10" t="str">
        <v>obj_00bb9</v>
      </c>
      <c r="E9" s="10" t="str">
        <f>_xll.qlRateHelperQuoteName(D9)</f>
        <v>EUR12x24F_Quote</v>
      </c>
      <c r="F9" s="9">
        <f>_xll.qlRateHelperRate($D9)</f>
        <v>4.0400000000000002E-3</v>
      </c>
      <c r="G9" s="9" t="str">
        <f>IF(ISERROR(_xll.qlSwapRateHelperSpread($D9)),IF(ISERROR(_xll.qlFuturesRateHelperConvexityAdjustment($D9)),"--",_xll.qlFuturesRateHelperConvexityAdjustment($D9)),_xll.qlSwapRateHelperSpread($D9))</f>
        <v>--</v>
      </c>
      <c r="H9" s="8">
        <f>_xll.qlRateHelperEarliestDate($D9)</f>
        <v>42311</v>
      </c>
      <c r="I9" s="7">
        <f>_xll.qlRateHelperLatestDate($D9)</f>
        <v>42677</v>
      </c>
      <c r="J9" s="5">
        <v>0.99614176257065135</v>
      </c>
    </row>
    <row r="10" spans="1:10" x14ac:dyDescent="0.2">
      <c r="D10" s="10" t="str">
        <v>obj_00bca</v>
      </c>
      <c r="E10" s="10" t="str">
        <f>_xll.qlRateHelperQuoteName(D10)</f>
        <v>EUR15x27F_SYNTH1Y_Quote</v>
      </c>
      <c r="F10" s="9">
        <f>_xll.qlRateHelperRate($D10)</f>
        <v>4.2779999999999997E-3</v>
      </c>
      <c r="G10" s="9" t="str">
        <f>IF(ISERROR(_xll.qlSwapRateHelperSpread($D10)),IF(ISERROR(_xll.qlFuturesRateHelperConvexityAdjustment($D10)),"--",_xll.qlFuturesRateHelperConvexityAdjustment($D10)),_xll.qlSwapRateHelperSpread($D10))</f>
        <v>--</v>
      </c>
      <c r="H10" s="8">
        <f>_xll.qlRateHelperEarliestDate($D10)</f>
        <v>42403</v>
      </c>
      <c r="I10" s="7">
        <f>_xll.qlRateHelperLatestDate($D10)</f>
        <v>42769</v>
      </c>
      <c r="J10" s="5">
        <v>0.99202153447494501</v>
      </c>
    </row>
    <row r="11" spans="1:10" x14ac:dyDescent="0.2">
      <c r="D11" s="10" t="str">
        <v>obj_00ba7</v>
      </c>
      <c r="E11" s="10" t="str">
        <f>_xll.qlRateHelperQuoteName(D11)</f>
        <v>EUR18x30F_SYNTH1Y_Quote</v>
      </c>
      <c r="F11" s="9">
        <f>_xll.qlRateHelperRate($D11)</f>
        <v>4.6150000000000002E-3</v>
      </c>
      <c r="G11" s="9" t="str">
        <f>IF(ISERROR(_xll.qlSwapRateHelperSpread($D11)),IF(ISERROR(_xll.qlFuturesRateHelperConvexityAdjustment($D11)),"--",_xll.qlFuturesRateHelperConvexityAdjustment($D11)),_xll.qlSwapRateHelperSpread($D11))</f>
        <v>--</v>
      </c>
      <c r="H11" s="8">
        <f>_xll.qlRateHelperEarliestDate($D11)</f>
        <v>42493</v>
      </c>
      <c r="I11" s="7">
        <f>_xll.qlRateHelperLatestDate($D11)</f>
        <v>42858</v>
      </c>
      <c r="J11" s="5">
        <v>0.9917718129935007</v>
      </c>
    </row>
    <row r="12" spans="1:10" x14ac:dyDescent="0.2">
      <c r="D12" s="10" t="str">
        <v>obj_00bd4</v>
      </c>
      <c r="E12" s="10" t="str">
        <f>_xll.qlRateHelperQuoteName(D12)</f>
        <v>EURAB12EBASIS3Y_Quote</v>
      </c>
      <c r="F12" s="9">
        <f>_xll.qlRateHelperRate($D12)</f>
        <v>4.3600000000000002E-3</v>
      </c>
      <c r="G12" s="9">
        <f>IF(ISERROR(_xll.qlSwapRateHelperSpread($D12)),IF(ISERROR(_xll.qlFuturesRateHelperConvexityAdjustment($D12)),"--",_xll.qlFuturesRateHelperConvexityAdjustment($D12)),_xll.qlSwapRateHelperSpread($D12))</f>
        <v>0</v>
      </c>
      <c r="H12" s="8">
        <f>_xll.qlRateHelperEarliestDate($D12)</f>
        <v>41946</v>
      </c>
      <c r="I12" s="7">
        <f>_xll.qlRateHelperLatestDate($D12)</f>
        <v>43042</v>
      </c>
      <c r="J12" s="5">
        <v>0.98705174132797746</v>
      </c>
    </row>
    <row r="13" spans="1:10" x14ac:dyDescent="0.2">
      <c r="D13" s="10" t="str">
        <v>obj_00bd5</v>
      </c>
      <c r="E13" s="10" t="str">
        <f>_xll.qlRateHelperQuoteName(D13)</f>
        <v>EURAB12EBASIS4Y_Quote</v>
      </c>
      <c r="F13" s="9">
        <f>_xll.qlRateHelperRate($D13)</f>
        <v>5.2300000000000003E-3</v>
      </c>
      <c r="G13" s="9">
        <f>IF(ISERROR(_xll.qlSwapRateHelperSpread($D13)),IF(ISERROR(_xll.qlFuturesRateHelperConvexityAdjustment($D13)),"--",_xll.qlFuturesRateHelperConvexityAdjustment($D13)),_xll.qlSwapRateHelperSpread($D13))</f>
        <v>0</v>
      </c>
      <c r="H13" s="8">
        <f>_xll.qlRateHelperEarliestDate($D13)</f>
        <v>41946</v>
      </c>
      <c r="I13" s="7">
        <f>_xll.qlRateHelperLatestDate($D13)</f>
        <v>43409</v>
      </c>
      <c r="J13" s="5">
        <v>0.97933653967202672</v>
      </c>
    </row>
    <row r="14" spans="1:10" x14ac:dyDescent="0.2">
      <c r="D14" s="10" t="str">
        <v>obj_00bd6</v>
      </c>
      <c r="E14" s="10" t="str">
        <f>_xll.qlRateHelperQuoteName(D14)</f>
        <v>EURAB12EBASIS5Y_Quote</v>
      </c>
      <c r="F14" s="9">
        <f>_xll.qlRateHelperRate($D14)</f>
        <v>6.2899999999999996E-3</v>
      </c>
      <c r="G14" s="9">
        <f>IF(ISERROR(_xll.qlSwapRateHelperSpread($D14)),IF(ISERROR(_xll.qlFuturesRateHelperConvexityAdjustment($D14)),"--",_xll.qlFuturesRateHelperConvexityAdjustment($D14)),_xll.qlSwapRateHelperSpread($D14))</f>
        <v>0</v>
      </c>
      <c r="H14" s="8">
        <f>_xll.qlRateHelperEarliestDate($D14)</f>
        <v>41946</v>
      </c>
      <c r="I14" s="7">
        <f>_xll.qlRateHelperLatestDate($D14)</f>
        <v>43773</v>
      </c>
      <c r="J14" s="5">
        <v>0.96911073300392581</v>
      </c>
    </row>
    <row r="15" spans="1:10" x14ac:dyDescent="0.2">
      <c r="D15" s="10" t="str">
        <v>obj_00bd7</v>
      </c>
      <c r="E15" s="10" t="str">
        <f>_xll.qlRateHelperQuoteName(D15)</f>
        <v>EURAB12EBASIS6Y_Quote</v>
      </c>
      <c r="F15" s="9">
        <f>_xll.qlRateHelperRate($D15)</f>
        <v>7.4399999999999996E-3</v>
      </c>
      <c r="G15" s="9">
        <f>IF(ISERROR(_xll.qlSwapRateHelperSpread($D15)),IF(ISERROR(_xll.qlFuturesRateHelperConvexityAdjustment($D15)),"--",_xll.qlFuturesRateHelperConvexityAdjustment($D15)),_xll.qlSwapRateHelperSpread($D15))</f>
        <v>0</v>
      </c>
      <c r="H15" s="8">
        <f>_xll.qlRateHelperEarliestDate($D15)</f>
        <v>41946</v>
      </c>
      <c r="I15" s="7">
        <f>_xll.qlRateHelperLatestDate($D15)</f>
        <v>44138</v>
      </c>
      <c r="J15" s="5">
        <v>0.956431190552535</v>
      </c>
    </row>
    <row r="16" spans="1:10" x14ac:dyDescent="0.2">
      <c r="D16" s="10" t="str">
        <v>obj_00bd8</v>
      </c>
      <c r="E16" s="10" t="str">
        <f>_xll.qlRateHelperQuoteName(D16)</f>
        <v>EURAB12EBASIS7Y_Quote</v>
      </c>
      <c r="F16" s="9">
        <f>_xll.qlRateHelperRate($D16)</f>
        <v>8.7199999999999986E-3</v>
      </c>
      <c r="G16" s="9">
        <f>IF(ISERROR(_xll.qlSwapRateHelperSpread($D16)),IF(ISERROR(_xll.qlFuturesRateHelperConvexityAdjustment($D16)),"--",_xll.qlFuturesRateHelperConvexityAdjustment($D16)),_xll.qlSwapRateHelperSpread($D16))</f>
        <v>0</v>
      </c>
      <c r="H16" s="8">
        <f>_xll.qlRateHelperEarliestDate($D16)</f>
        <v>41946</v>
      </c>
      <c r="I16" s="7">
        <f>_xll.qlRateHelperLatestDate($D16)</f>
        <v>44503</v>
      </c>
      <c r="J16" s="5">
        <v>0.94082620473214906</v>
      </c>
    </row>
    <row r="17" spans="4:10" x14ac:dyDescent="0.2">
      <c r="D17" s="10" t="str">
        <v>obj_00bd9</v>
      </c>
      <c r="E17" s="10" t="str">
        <f>_xll.qlRateHelperQuoteName(D17)</f>
        <v>EURAB12EBASIS8Y_Quote</v>
      </c>
      <c r="F17" s="9">
        <f>_xll.qlRateHelperRate($D17)</f>
        <v>1.004E-2</v>
      </c>
      <c r="G17" s="9">
        <f>IF(ISERROR(_xll.qlSwapRateHelperSpread($D17)),IF(ISERROR(_xll.qlFuturesRateHelperConvexityAdjustment($D17)),"--",_xll.qlFuturesRateHelperConvexityAdjustment($D17)),_xll.qlSwapRateHelperSpread($D17))</f>
        <v>0</v>
      </c>
      <c r="H17" s="8">
        <f>_xll.qlRateHelperEarliestDate($D17)</f>
        <v>41946</v>
      </c>
      <c r="I17" s="7">
        <f>_xll.qlRateHelperLatestDate($D17)</f>
        <v>44868</v>
      </c>
      <c r="J17" s="5">
        <v>0.92272763272432168</v>
      </c>
    </row>
    <row r="18" spans="4:10" x14ac:dyDescent="0.2">
      <c r="D18" s="10" t="str">
        <v>obj_00bda</v>
      </c>
      <c r="E18" s="10" t="str">
        <f>_xll.qlRateHelperQuoteName(D18)</f>
        <v>EURAB12EBASIS9Y_Quote</v>
      </c>
      <c r="F18" s="9">
        <f>_xll.qlRateHelperRate($D18)</f>
        <v>1.1279999999999998E-2</v>
      </c>
      <c r="G18" s="9">
        <f>IF(ISERROR(_xll.qlSwapRateHelperSpread($D18)),IF(ISERROR(_xll.qlFuturesRateHelperConvexityAdjustment($D18)),"--",_xll.qlFuturesRateHelperConvexityAdjustment($D18)),_xll.qlSwapRateHelperSpread($D18))</f>
        <v>0</v>
      </c>
      <c r="H18" s="8">
        <f>_xll.qlRateHelperEarliestDate($D18)</f>
        <v>41946</v>
      </c>
      <c r="I18" s="7">
        <f>_xll.qlRateHelperLatestDate($D18)</f>
        <v>45233</v>
      </c>
      <c r="J18" s="5">
        <v>0.90313662367875425</v>
      </c>
    </row>
    <row r="19" spans="4:10" x14ac:dyDescent="0.2">
      <c r="D19" s="10" t="str">
        <v>obj_00bdc</v>
      </c>
      <c r="E19" s="10" t="str">
        <f>_xll.qlRateHelperQuoteName(D19)</f>
        <v>EURAB12EBASIS10Y_Quote</v>
      </c>
      <c r="F19" s="9">
        <f>_xll.qlRateHelperRate($D19)</f>
        <v>1.2400000000000001E-2</v>
      </c>
      <c r="G19" s="9">
        <f>IF(ISERROR(_xll.qlSwapRateHelperSpread($D19)),IF(ISERROR(_xll.qlFuturesRateHelperConvexityAdjustment($D19)),"--",_xll.qlFuturesRateHelperConvexityAdjustment($D19)),_xll.qlSwapRateHelperSpread($D19))</f>
        <v>0</v>
      </c>
      <c r="H19" s="8">
        <f>_xll.qlRateHelperEarliestDate($D19)</f>
        <v>41946</v>
      </c>
      <c r="I19" s="7">
        <f>_xll.qlRateHelperLatestDate($D19)</f>
        <v>45600</v>
      </c>
      <c r="J19" s="5">
        <v>0.88269080701298119</v>
      </c>
    </row>
    <row r="20" spans="4:10" x14ac:dyDescent="0.2">
      <c r="D20" s="10" t="str">
        <v>obj_00bdd</v>
      </c>
      <c r="E20" s="10" t="str">
        <f>_xll.qlRateHelperQuoteName(D20)</f>
        <v>EURAB12EBASIS12Y_Quote</v>
      </c>
      <c r="F20" s="9">
        <f>_xll.qlRateHelperRate($D20)</f>
        <v>1.4250000000000001E-2</v>
      </c>
      <c r="G20" s="9">
        <f>IF(ISERROR(_xll.qlSwapRateHelperSpread($D20)),IF(ISERROR(_xll.qlFuturesRateHelperConvexityAdjustment($D20)),"--",_xll.qlFuturesRateHelperConvexityAdjustment($D20)),_xll.qlSwapRateHelperSpread($D20))</f>
        <v>0</v>
      </c>
      <c r="H20" s="8">
        <f>_xll.qlRateHelperEarliestDate($D20)</f>
        <v>41946</v>
      </c>
      <c r="I20" s="7">
        <f>_xll.qlRateHelperLatestDate($D20)</f>
        <v>46329</v>
      </c>
      <c r="J20" s="5">
        <v>0.8412551894582635</v>
      </c>
    </row>
    <row r="21" spans="4:10" x14ac:dyDescent="0.2">
      <c r="D21" s="10" t="str">
        <v>obj_00be0</v>
      </c>
      <c r="E21" s="10" t="str">
        <f>_xll.qlRateHelperQuoteName(D21)</f>
        <v>EURAB12EBASIS15Y_Quote</v>
      </c>
      <c r="F21" s="9">
        <f>_xll.qlRateHelperRate($D21)</f>
        <v>1.6199999999999999E-2</v>
      </c>
      <c r="G21" s="9">
        <f>IF(ISERROR(_xll.qlSwapRateHelperSpread($D21)),IF(ISERROR(_xll.qlFuturesRateHelperConvexityAdjustment($D21)),"--",_xll.qlFuturesRateHelperConvexityAdjustment($D21)),_xll.qlSwapRateHelperSpread($D21))</f>
        <v>0</v>
      </c>
      <c r="H21" s="8">
        <f>_xll.qlRateHelperEarliestDate($D21)</f>
        <v>41946</v>
      </c>
      <c r="I21" s="7">
        <f>_xll.qlRateHelperLatestDate($D21)</f>
        <v>47427</v>
      </c>
      <c r="J21" s="5">
        <v>0.78094892417605122</v>
      </c>
    </row>
    <row r="22" spans="4:10" x14ac:dyDescent="0.2">
      <c r="D22" s="10" t="str">
        <v>obj_00be5</v>
      </c>
      <c r="E22" s="10" t="str">
        <f>_xll.qlRateHelperQuoteName(D22)</f>
        <v>EURAB12EBASIS20Y_Quote</v>
      </c>
      <c r="F22" s="9">
        <f>_xll.qlRateHelperRate($D22)</f>
        <v>1.805E-2</v>
      </c>
      <c r="G22" s="9">
        <f>IF(ISERROR(_xll.qlSwapRateHelperSpread($D22)),IF(ISERROR(_xll.qlFuturesRateHelperConvexityAdjustment($D22)),"--",_xll.qlFuturesRateHelperConvexityAdjustment($D22)),_xll.qlSwapRateHelperSpread($D22))</f>
        <v>0</v>
      </c>
      <c r="H22" s="8">
        <f>_xll.qlRateHelperEarliestDate($D22)</f>
        <v>41946</v>
      </c>
      <c r="I22" s="7">
        <f>_xll.qlRateHelperLatestDate($D22)</f>
        <v>49251</v>
      </c>
      <c r="J22" s="5">
        <v>0.69101002110956666</v>
      </c>
    </row>
    <row r="23" spans="4:10" x14ac:dyDescent="0.2">
      <c r="D23" s="10" t="str">
        <v>obj_00bea</v>
      </c>
      <c r="E23" s="10" t="str">
        <f>_xll.qlRateHelperQuoteName(D23)</f>
        <v>EURAB12EBASIS25Y_Quote</v>
      </c>
      <c r="F23" s="9">
        <f>_xll.qlRateHelperRate($D23)</f>
        <v>1.8769999999999998E-2</v>
      </c>
      <c r="G23" s="9">
        <f>IF(ISERROR(_xll.qlSwapRateHelperSpread($D23)),IF(ISERROR(_xll.qlFuturesRateHelperConvexityAdjustment($D23)),"--",_xll.qlFuturesRateHelperConvexityAdjustment($D23)),_xll.qlSwapRateHelperSpread($D23))</f>
        <v>0</v>
      </c>
      <c r="H23" s="8">
        <f>_xll.qlRateHelperEarliestDate($D23)</f>
        <v>41946</v>
      </c>
      <c r="I23" s="7">
        <f>_xll.qlRateHelperLatestDate($D23)</f>
        <v>51077</v>
      </c>
      <c r="J23" s="5">
        <v>0.61830009183267987</v>
      </c>
    </row>
    <row r="24" spans="4:10" x14ac:dyDescent="0.2">
      <c r="D24" s="10" t="str">
        <v>obj_00bef</v>
      </c>
      <c r="E24" s="10" t="str">
        <f>_xll.qlRateHelperQuoteName(D24)</f>
        <v>EURAB12EBASIS30Y_Quote</v>
      </c>
      <c r="F24" s="9">
        <f>_xll.qlRateHelperRate($D24)</f>
        <v>1.9040000000000001E-2</v>
      </c>
      <c r="G24" s="9">
        <f>IF(ISERROR(_xll.qlSwapRateHelperSpread($D24)),IF(ISERROR(_xll.qlFuturesRateHelperConvexityAdjustment($D24)),"--",_xll.qlFuturesRateHelperConvexityAdjustment($D24)),_xll.qlSwapRateHelperSpread($D24))</f>
        <v>0</v>
      </c>
      <c r="H24" s="8">
        <f>_xll.qlRateHelperEarliestDate($D24)</f>
        <v>41946</v>
      </c>
      <c r="I24" s="7">
        <f>_xll.qlRateHelperLatestDate($D24)</f>
        <v>52904</v>
      </c>
      <c r="J24" s="5">
        <v>0.55758957364319917</v>
      </c>
    </row>
    <row r="25" spans="4:10" x14ac:dyDescent="0.2">
      <c r="D25" s="10" t="str">
        <v>obj_00bf1</v>
      </c>
      <c r="E25" s="10" t="str">
        <f>_xll.qlRateHelperQuoteName(D25)</f>
        <v>EURAB12EBASIS40Y_Quote</v>
      </c>
      <c r="F25" s="9">
        <f>_xll.qlRateHelperRate($D25)</f>
        <v>1.9470000000000001E-2</v>
      </c>
      <c r="G25" s="9">
        <f>IF(ISERROR(_xll.qlSwapRateHelperSpread($D25)),IF(ISERROR(_xll.qlFuturesRateHelperConvexityAdjustment($D25)),"--",_xll.qlFuturesRateHelperConvexityAdjustment($D25)),_xll.qlSwapRateHelperSpread($D25))</f>
        <v>0</v>
      </c>
      <c r="H25" s="8">
        <f>_xll.qlRateHelperEarliestDate($D25)</f>
        <v>41946</v>
      </c>
      <c r="I25" s="7">
        <f>_xll.qlRateHelperLatestDate($D25)</f>
        <v>56556</v>
      </c>
      <c r="J25" s="5">
        <v>0.45107448145890389</v>
      </c>
    </row>
    <row r="26" spans="4:10" x14ac:dyDescent="0.2">
      <c r="D26" s="10" t="str">
        <v>obj_00bf2</v>
      </c>
      <c r="E26" s="10" t="str">
        <f>_xll.qlRateHelperQuoteName(D26)</f>
        <v>EURAB12EBASIS50Y_Quote</v>
      </c>
      <c r="F26" s="9">
        <f>_xll.qlRateHelperRate($D26)</f>
        <v>1.9519999999999999E-2</v>
      </c>
      <c r="G26" s="9">
        <f>IF(ISERROR(_xll.qlSwapRateHelperSpread($D26)),IF(ISERROR(_xll.qlFuturesRateHelperConvexityAdjustment($D26)),"--",_xll.qlFuturesRateHelperConvexityAdjustment($D26)),_xll.qlSwapRateHelperSpread($D26))</f>
        <v>0</v>
      </c>
      <c r="H26" s="8">
        <f>_xll.qlRateHelperEarliestDate($D26)</f>
        <v>41946</v>
      </c>
      <c r="I26" s="7">
        <f>_xll.qlRateHelperLatestDate($D26)</f>
        <v>60209</v>
      </c>
      <c r="J26" s="5">
        <v>0.37060114658829846</v>
      </c>
    </row>
    <row r="27" spans="4:10" x14ac:dyDescent="0.2">
      <c r="D27" s="10" t="str">
        <v>obj_00bf3</v>
      </c>
      <c r="E27" s="10" t="str">
        <f>_xll.qlRateHelperQuoteName(D27)</f>
        <v>EURAB12EBASIS60Y_Quote</v>
      </c>
      <c r="F27" s="9">
        <f>_xll.qlRateHelperRate($D27)</f>
        <v>1.9610000000000002E-2</v>
      </c>
      <c r="G27" s="9">
        <f>IF(ISERROR(_xll.qlSwapRateHelperSpread($D27)),IF(ISERROR(_xll.qlFuturesRateHelperConvexityAdjustment($D27)),"--",_xll.qlFuturesRateHelperConvexityAdjustment($D27)),_xll.qlSwapRateHelperSpread($D27))</f>
        <v>0</v>
      </c>
      <c r="H27" s="8">
        <f>_xll.qlRateHelperEarliestDate($D27)</f>
        <v>41946</v>
      </c>
      <c r="I27" s="7">
        <f>_xll.qlRateHelperLatestDate($D27)</f>
        <v>63863</v>
      </c>
      <c r="J27" s="5">
        <v>0.30258090164684942</v>
      </c>
    </row>
    <row r="28" spans="4:10" x14ac:dyDescent="0.2">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5" t="e">
        <v>#N/A</v>
      </c>
    </row>
    <row r="29" spans="4:10" x14ac:dyDescent="0.2">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5" t="e">
        <v>#N/A</v>
      </c>
    </row>
    <row r="30" spans="4:10" x14ac:dyDescent="0.2">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5" t="e">
        <v>#N/A</v>
      </c>
    </row>
    <row r="31" spans="4:10" x14ac:dyDescent="0.2">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5" t="e">
        <v>#N/A</v>
      </c>
    </row>
    <row r="32" spans="4:10" x14ac:dyDescent="0.2">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5" t="e">
        <v>#N/A</v>
      </c>
    </row>
    <row r="33" spans="4:10" x14ac:dyDescent="0.2">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5" t="e">
        <v>#N/A</v>
      </c>
    </row>
    <row r="34" spans="4:10" x14ac:dyDescent="0.2">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5" t="e">
        <v>#N/A</v>
      </c>
    </row>
    <row r="35" spans="4:10" x14ac:dyDescent="0.2">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5" t="e">
        <v>#N/A</v>
      </c>
    </row>
    <row r="36" spans="4:10" x14ac:dyDescent="0.2">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5" t="e">
        <v>#N/A</v>
      </c>
    </row>
    <row r="37" spans="4:10" x14ac:dyDescent="0.2">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5" t="e">
        <v>#N/A</v>
      </c>
    </row>
    <row r="38" spans="4: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5" t="e">
        <v>#N/A</v>
      </c>
    </row>
    <row r="39" spans="4: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5" t="e">
        <v>#N/A</v>
      </c>
    </row>
    <row r="40" spans="4: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5" t="e">
        <v>#N/A</v>
      </c>
    </row>
    <row r="41" spans="4: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5" t="e">
        <v>#N/A</v>
      </c>
    </row>
    <row r="42" spans="4: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5" t="e">
        <v>#N/A</v>
      </c>
    </row>
    <row r="43" spans="4: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5" t="e">
        <v>#N/A</v>
      </c>
    </row>
    <row r="44" spans="4: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5" t="e">
        <v>#N/A</v>
      </c>
    </row>
    <row r="45" spans="4: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5" t="e">
        <v>#N/A</v>
      </c>
    </row>
    <row r="46" spans="4: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5" t="e">
        <v>#N/A</v>
      </c>
    </row>
    <row r="47" spans="4: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5" t="e">
        <v>#N/A</v>
      </c>
    </row>
    <row r="48" spans="4: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5"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5"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5"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5"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5"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5"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5"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5"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5"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5"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5"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5"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5"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5"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5"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5"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5"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5"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5"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5"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5"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5"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5"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5"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5"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5"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5"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5"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5"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5"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5"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5"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5"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5"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5"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5"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5"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5"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5"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5"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5"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5"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5"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5"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5"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5"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5"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5"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5"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5"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5"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5"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5"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5"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5"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5"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5"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5"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5"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5"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5"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5"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5"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5"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5"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5"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5"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5"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5"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5"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5"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5"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5"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5"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5"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5"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5"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5" t="e">
        <v>#N/A</v>
      </c>
    </row>
    <row r="126" spans="4:10" ht="12" thickBot="1" x14ac:dyDescent="0.25">
      <c r="D126" s="6" t="e">
        <v>#N/A</v>
      </c>
      <c r="E126" s="10" t="e">
        <f>_xll.qlRateHelperQuoteName(D126)</f>
        <v>#VALUE!</v>
      </c>
      <c r="F126" s="9" t="e">
        <f>_xll.qlRateHelperRate($D126)</f>
        <v>#VALUE!</v>
      </c>
      <c r="G126" s="9" t="str">
        <f>IF(ISERROR(_xll.qlSwapRateHelperSpread($D126)),IF(ISERROR(_xll.qlFuturesRateHelperConvexityAdjustment($D126)),"--",_xll.qlFuturesRateHelperConvexityAdjustment($D126)),_xll.qlSwapRateHelperSpread($D126))</f>
        <v>--</v>
      </c>
      <c r="H126" s="8" t="e">
        <f>_xll.qlRateHelperEarliestDate($D126)</f>
        <v>#VALUE!</v>
      </c>
      <c r="I126" s="7" t="e">
        <f>_xll.qlRateHelperLatestDate($D126)</f>
        <v>#VALUE!</v>
      </c>
      <c r="J126" s="5" t="e">
        <v>#N/A</v>
      </c>
    </row>
    <row r="127" spans="4:10" x14ac:dyDescent="0.2">
      <c r="E127" s="235"/>
      <c r="F127" s="235"/>
      <c r="G127" s="235"/>
      <c r="H127" s="235"/>
      <c r="I127" s="23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heetViews>
  <sheetFormatPr defaultRowHeight="13.5" x14ac:dyDescent="0.25"/>
  <cols>
    <col min="1" max="1" width="2.7109375" style="265" customWidth="1"/>
    <col min="2" max="2" width="3" style="265" bestFit="1" customWidth="1"/>
    <col min="3" max="3" width="10" style="265" bestFit="1" customWidth="1"/>
    <col min="4" max="4" width="21.42578125" style="265" bestFit="1" customWidth="1"/>
    <col min="5" max="5" width="25" style="265" bestFit="1" customWidth="1"/>
    <col min="6" max="6" width="23.5703125" style="265" customWidth="1"/>
    <col min="7" max="7" width="2.5703125" style="265" customWidth="1"/>
    <col min="8" max="16384" width="9.140625" style="265"/>
  </cols>
  <sheetData>
    <row r="1" spans="1:7" x14ac:dyDescent="0.25">
      <c r="A1" s="260"/>
      <c r="B1" s="261"/>
      <c r="C1" s="242" t="s">
        <v>36</v>
      </c>
      <c r="D1" s="262" t="str">
        <f>Currency&amp;"_YC"&amp;$C$1&amp;"RH"</f>
        <v>EUR_YC1YRH</v>
      </c>
      <c r="E1" s="263" t="str">
        <f>$D$1&amp;"_Deposits.xml"</f>
        <v>EUR_YC1YRH_Deposits.xml</v>
      </c>
      <c r="F1" s="3"/>
      <c r="G1" s="264"/>
    </row>
    <row r="2" spans="1:7" ht="23.25" customHeight="1" x14ac:dyDescent="0.25">
      <c r="A2" s="266"/>
      <c r="B2" s="267"/>
      <c r="C2" s="267" t="s">
        <v>108</v>
      </c>
      <c r="D2" s="267" t="s">
        <v>107</v>
      </c>
      <c r="E2" s="268" t="str">
        <f>IF(Serialize,_xll.ohObjectSave(E3:E11,SerializationPath&amp;E1,FileOverwrite,Serialize),"---")</f>
        <v>---</v>
      </c>
      <c r="F2" s="269" t="str">
        <f>_xll.ohRangeRetrieveError(E2)</f>
        <v/>
      </c>
      <c r="G2" s="264"/>
    </row>
    <row r="3" spans="1:7" x14ac:dyDescent="0.25">
      <c r="A3" s="266"/>
      <c r="B3" s="270" t="s">
        <v>106</v>
      </c>
      <c r="C3" s="271"/>
      <c r="D3" s="272" t="str">
        <f t="shared" ref="D3:D11" si="0">Currency&amp;B3&amp;"D_SYNTH"&amp;$C$1&amp;QuoteSuffix</f>
        <v>EURSND_SYNTH1Y_Quote</v>
      </c>
      <c r="E3" s="273" t="str">
        <f>_xll.qlDepositRateHelper2(,D3,"1d",2,"target","following",FALSE,"act/360",Permanent,Trigger,ObjectOverwrite)</f>
        <v>obj_00bc6#0000</v>
      </c>
      <c r="F3" s="274" t="str">
        <f>_xll.ohRangeRetrieveError(E3)</f>
        <v/>
      </c>
      <c r="G3" s="264"/>
    </row>
    <row r="4" spans="1:7" x14ac:dyDescent="0.25">
      <c r="A4" s="266"/>
      <c r="B4" s="275" t="s">
        <v>105</v>
      </c>
      <c r="C4" s="276" t="str">
        <f t="shared" ref="C4:C11" si="1">PROPER(Currency)&amp;FamilyName&amp;$B4</f>
        <v>EuriborSW</v>
      </c>
      <c r="D4" s="272" t="str">
        <f t="shared" si="0"/>
        <v>EURSWD_SYNTH1Y_Quote</v>
      </c>
      <c r="E4" s="277" t="str">
        <f>_xll.qlDepositRateHelper2(,D4,"1W",2,"target","following",FALSE,"act/360",Permanent,Trigger,ObjectOverwrite)</f>
        <v>obj_00b9d#0000</v>
      </c>
      <c r="F4" s="274" t="str">
        <f>_xll.ohRangeRetrieveError(E4)</f>
        <v/>
      </c>
      <c r="G4" s="264"/>
    </row>
    <row r="5" spans="1:7" x14ac:dyDescent="0.25">
      <c r="A5" s="266"/>
      <c r="B5" s="275" t="s">
        <v>104</v>
      </c>
      <c r="C5" s="276" t="str">
        <f t="shared" si="1"/>
        <v>Euribor2W</v>
      </c>
      <c r="D5" s="272" t="str">
        <f t="shared" si="0"/>
        <v>EUR2WD_SYNTH1Y_Quote</v>
      </c>
      <c r="E5" s="277" t="str">
        <f>_xll.qlDepositRateHelper2(,D5,B5,2,"target","following",FALSE,"act/360",Permanent,Trigger,ObjectOverwrite)</f>
        <v>obj_00b9c#0000</v>
      </c>
      <c r="F5" s="274" t="str">
        <f>_xll.ohRangeRetrieveError(E5)</f>
        <v/>
      </c>
      <c r="G5" s="264"/>
    </row>
    <row r="6" spans="1:7" x14ac:dyDescent="0.25">
      <c r="A6" s="266"/>
      <c r="B6" s="275" t="s">
        <v>103</v>
      </c>
      <c r="C6" s="276" t="str">
        <f t="shared" si="1"/>
        <v>Euribor1M</v>
      </c>
      <c r="D6" s="272" t="str">
        <f t="shared" si="0"/>
        <v>EUR1MD_SYNTH1Y_Quote</v>
      </c>
      <c r="E6" s="277" t="str">
        <f>_xll.qlDepositRateHelper2(,D6,B6,2,"target","following",FALSE,"act/360",Permanent,Trigger,ObjectOverwrite)</f>
        <v>obj_00b98#0000</v>
      </c>
      <c r="F6" s="274" t="str">
        <f>_xll.ohRangeRetrieveError(E6)</f>
        <v/>
      </c>
      <c r="G6" s="264"/>
    </row>
    <row r="7" spans="1:7" x14ac:dyDescent="0.25">
      <c r="A7" s="266"/>
      <c r="B7" s="275" t="s">
        <v>102</v>
      </c>
      <c r="C7" s="276" t="str">
        <f t="shared" si="1"/>
        <v>Euribor2M</v>
      </c>
      <c r="D7" s="272" t="str">
        <f t="shared" si="0"/>
        <v>EUR2MD_SYNTH1Y_Quote</v>
      </c>
      <c r="E7" s="277" t="str">
        <f>_xll.qlDepositRateHelper2(,D7,B7,2,"target","following",FALSE,"act/360",Permanent,Trigger,ObjectOverwrite)</f>
        <v>obj_00b99#0000</v>
      </c>
      <c r="F7" s="274" t="str">
        <f>_xll.ohRangeRetrieveError(E7)</f>
        <v/>
      </c>
      <c r="G7" s="264"/>
    </row>
    <row r="8" spans="1:7" x14ac:dyDescent="0.25">
      <c r="A8" s="266"/>
      <c r="B8" s="275" t="s">
        <v>101</v>
      </c>
      <c r="C8" s="276" t="str">
        <f t="shared" si="1"/>
        <v>Euribor3M</v>
      </c>
      <c r="D8" s="272" t="str">
        <f t="shared" si="0"/>
        <v>EUR3MD_SYNTH1Y_Quote</v>
      </c>
      <c r="E8" s="277" t="str">
        <f>_xll.qlDepositRateHelper2(,D8,B8,2,"target","following",FALSE,"act/360",Permanent,Trigger,ObjectOverwrite)</f>
        <v>obj_00b9a#0000</v>
      </c>
      <c r="F8" s="274" t="str">
        <f>_xll.ohRangeRetrieveError(E8)</f>
        <v/>
      </c>
      <c r="G8" s="264"/>
    </row>
    <row r="9" spans="1:7" x14ac:dyDescent="0.25">
      <c r="A9" s="266"/>
      <c r="B9" s="275" t="s">
        <v>100</v>
      </c>
      <c r="C9" s="276" t="str">
        <f t="shared" si="1"/>
        <v>Euribor6M</v>
      </c>
      <c r="D9" s="272" t="str">
        <f t="shared" si="0"/>
        <v>EUR6MD_SYNTH1Y_Quote</v>
      </c>
      <c r="E9" s="277" t="str">
        <f>_xll.qlDepositRateHelper2(,D9,B9,2,"target","following",FALSE,"act/360",Permanent,Trigger,ObjectOverwrite)</f>
        <v>obj_00b9b#0000</v>
      </c>
      <c r="F9" s="274" t="str">
        <f>_xll.ohRangeRetrieveError(E9)</f>
        <v/>
      </c>
      <c r="G9" s="264"/>
    </row>
    <row r="10" spans="1:7" x14ac:dyDescent="0.25">
      <c r="A10" s="266"/>
      <c r="B10" s="275" t="s">
        <v>99</v>
      </c>
      <c r="C10" s="276" t="str">
        <f t="shared" si="1"/>
        <v>Euribor9M</v>
      </c>
      <c r="D10" s="272" t="str">
        <f t="shared" si="0"/>
        <v>EUR9MD_SYNTH1Y_Quote</v>
      </c>
      <c r="E10" s="277" t="str">
        <f>_xll.qlDepositRateHelper2(,D10,B10,2,"target","following",FALSE,"act/360",Permanent,Trigger,ObjectOverwrite)</f>
        <v>obj_00b9e#0000</v>
      </c>
      <c r="F10" s="274" t="str">
        <f>_xll.ohRangeRetrieveError(E10)</f>
        <v/>
      </c>
      <c r="G10" s="264"/>
    </row>
    <row r="11" spans="1:7" x14ac:dyDescent="0.25">
      <c r="A11" s="266"/>
      <c r="B11" s="275" t="s">
        <v>36</v>
      </c>
      <c r="C11" s="276" t="str">
        <f t="shared" si="1"/>
        <v>Euribor1Y</v>
      </c>
      <c r="D11" s="272" t="str">
        <f t="shared" si="0"/>
        <v>EUR1YD_SYNTH1Y_Quote</v>
      </c>
      <c r="E11" s="277" t="str">
        <f>_xll.qlDepositRateHelper2(,D11,B11,2,"target","following",FALSE,"act/360",Permanent,Trigger,ObjectOverwrite)</f>
        <v>obj_00b9f#0000</v>
      </c>
      <c r="F11" s="274" t="str">
        <f>_xll.ohRangeRetrieveError(E11)</f>
        <v/>
      </c>
      <c r="G11" s="264"/>
    </row>
    <row r="12" spans="1:7" ht="14.25" thickBot="1" x14ac:dyDescent="0.3">
      <c r="A12" s="278"/>
      <c r="B12" s="279"/>
      <c r="C12" s="279"/>
      <c r="D12" s="279"/>
      <c r="E12" s="279"/>
      <c r="F12" s="279"/>
      <c r="G12" s="2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0"/>
  <sheetViews>
    <sheetView workbookViewId="0"/>
  </sheetViews>
  <sheetFormatPr defaultRowHeight="11.25" x14ac:dyDescent="0.2"/>
  <cols>
    <col min="1" max="2" width="3.7109375" style="57" customWidth="1"/>
    <col min="3" max="3" width="5.85546875" style="57" bestFit="1" customWidth="1"/>
    <col min="4" max="4" width="4.42578125" style="1" bestFit="1" customWidth="1"/>
    <col min="5" max="5" width="7.85546875" style="1" bestFit="1" customWidth="1"/>
    <col min="6" max="6" width="8.28515625" style="1" bestFit="1" customWidth="1"/>
    <col min="7" max="7" width="22.28515625" style="57" bestFit="1" customWidth="1"/>
    <col min="8" max="8" width="12.42578125" style="78" bestFit="1" customWidth="1"/>
    <col min="9" max="9" width="38.28515625" style="57" customWidth="1"/>
    <col min="10" max="10" width="3" style="57" customWidth="1"/>
    <col min="11" max="16384" width="9.140625" style="57"/>
  </cols>
  <sheetData>
    <row r="1" spans="1:10" x14ac:dyDescent="0.2">
      <c r="A1" s="127"/>
      <c r="B1" s="103"/>
      <c r="C1" s="104"/>
      <c r="D1" s="104">
        <v>12</v>
      </c>
      <c r="E1" s="103" t="str">
        <f>_xll.qlPeriodEquivalent(D1&amp;"M")</f>
        <v>1Y</v>
      </c>
      <c r="F1" s="2"/>
      <c r="G1" s="102" t="str">
        <f>Currency&amp;"_YC"&amp;$E$1&amp;"RH"</f>
        <v>EUR_YC1YRH</v>
      </c>
      <c r="I1" s="99" t="str">
        <f>$G$1&amp;"_FRAs.xml"</f>
        <v>EUR_YC1YRH_FRAs.xml</v>
      </c>
      <c r="J1" s="100"/>
    </row>
    <row r="2" spans="1:10" ht="23.25" customHeight="1" x14ac:dyDescent="0.2">
      <c r="A2" s="54"/>
      <c r="B2" s="120"/>
      <c r="C2" s="55"/>
      <c r="D2" s="281"/>
      <c r="E2" s="56" t="s">
        <v>108</v>
      </c>
      <c r="F2" s="56" t="s">
        <v>120</v>
      </c>
      <c r="G2" s="56" t="s">
        <v>107</v>
      </c>
      <c r="H2" s="124" t="str">
        <f>IF(Serialize,_xll.ohObjectSave(H3:H47,SerializationPath&amp;I1,FileOverwrite,Serialize),"---")</f>
        <v>---</v>
      </c>
      <c r="I2" s="282" t="str">
        <f>_xll.ohRangeRetrieveError(H2)</f>
        <v/>
      </c>
      <c r="J2" s="52"/>
    </row>
    <row r="3" spans="1:10" x14ac:dyDescent="0.2">
      <c r="A3" s="54"/>
      <c r="B3" s="85" t="str">
        <f t="shared" ref="B3:B47" si="0">C3&amp;"M"</f>
        <v>1M</v>
      </c>
      <c r="C3" s="88">
        <v>1</v>
      </c>
      <c r="D3" s="87" t="str">
        <f t="shared" ref="D3:D47" si="1">"x"&amp;C3+$D$1&amp;"F"</f>
        <v>x13F</v>
      </c>
      <c r="E3" s="85" t="str">
        <f t="shared" ref="E3:E47" si="2">PROPER(Currency)&amp;FamilyName&amp;$E$1</f>
        <v>Euribor1Y</v>
      </c>
      <c r="F3" s="86" t="b">
        <v>1</v>
      </c>
      <c r="G3" s="85" t="str">
        <f t="shared" ref="G3:G47" si="3">Currency&amp;C3&amp;D3&amp;IF(F3,"_SYNTH"&amp;$E$1,"")&amp;"_Quote"</f>
        <v>EUR1x13F_SYNTH1Y_Quote</v>
      </c>
      <c r="H3" s="85" t="str">
        <f>_xll.qlFraRateHelper(,G3,B3,E3,Permanent,Trigger,ObjectOverwrite)</f>
        <v>obj_00bcc#0000</v>
      </c>
      <c r="I3" s="84" t="str">
        <f>_xll.ohRangeRetrieveError(H3)</f>
        <v/>
      </c>
      <c r="J3" s="52"/>
    </row>
    <row r="4" spans="1:10" x14ac:dyDescent="0.2">
      <c r="A4" s="54"/>
      <c r="B4" s="85" t="str">
        <f t="shared" si="0"/>
        <v>2M</v>
      </c>
      <c r="C4" s="88">
        <v>2</v>
      </c>
      <c r="D4" s="87" t="str">
        <f t="shared" si="1"/>
        <v>x14F</v>
      </c>
      <c r="E4" s="85" t="str">
        <f t="shared" si="2"/>
        <v>Euribor1Y</v>
      </c>
      <c r="F4" s="86" t="b">
        <v>1</v>
      </c>
      <c r="G4" s="85" t="str">
        <f t="shared" si="3"/>
        <v>EUR2x14F_SYNTH1Y_Quote</v>
      </c>
      <c r="H4" s="85" t="str">
        <f>_xll.qlFraRateHelper(,G4,B4,E4,Permanent,Trigger,ObjectOverwrite)</f>
        <v>obj_00bba#0000</v>
      </c>
      <c r="I4" s="84" t="str">
        <f>_xll.ohRangeRetrieveError(H4)</f>
        <v/>
      </c>
      <c r="J4" s="52"/>
    </row>
    <row r="5" spans="1:10" x14ac:dyDescent="0.2">
      <c r="A5" s="54"/>
      <c r="B5" s="85" t="str">
        <f t="shared" si="0"/>
        <v>3M</v>
      </c>
      <c r="C5" s="88">
        <v>3</v>
      </c>
      <c r="D5" s="87" t="str">
        <f t="shared" si="1"/>
        <v>x15F</v>
      </c>
      <c r="E5" s="85" t="str">
        <f t="shared" si="2"/>
        <v>Euribor1Y</v>
      </c>
      <c r="F5" s="86" t="b">
        <v>1</v>
      </c>
      <c r="G5" s="85" t="str">
        <f t="shared" si="3"/>
        <v>EUR3x15F_SYNTH1Y_Quote</v>
      </c>
      <c r="H5" s="85" t="str">
        <f>_xll.qlFraRateHelper(,G5,B5,E5,Permanent,Trigger,ObjectOverwrite)</f>
        <v>obj_00bc9#0000</v>
      </c>
      <c r="I5" s="84" t="str">
        <f>_xll.ohRangeRetrieveError(H5)</f>
        <v/>
      </c>
      <c r="J5" s="52"/>
    </row>
    <row r="6" spans="1:10" x14ac:dyDescent="0.2">
      <c r="A6" s="54"/>
      <c r="B6" s="85" t="str">
        <f t="shared" si="0"/>
        <v>4M</v>
      </c>
      <c r="C6" s="88">
        <v>4</v>
      </c>
      <c r="D6" s="87" t="str">
        <f t="shared" si="1"/>
        <v>x16F</v>
      </c>
      <c r="E6" s="85" t="str">
        <f t="shared" si="2"/>
        <v>Euribor1Y</v>
      </c>
      <c r="F6" s="86" t="b">
        <v>1</v>
      </c>
      <c r="G6" s="85" t="str">
        <f t="shared" si="3"/>
        <v>EUR4x16F_SYNTH1Y_Quote</v>
      </c>
      <c r="H6" s="85" t="str">
        <f>_xll.qlFraRateHelper(,G6,B6,E6,Permanent,Trigger,ObjectOverwrite)</f>
        <v>obj_00ba9#0000</v>
      </c>
      <c r="I6" s="84" t="str">
        <f>_xll.ohRangeRetrieveError(H6)</f>
        <v/>
      </c>
      <c r="J6" s="52"/>
    </row>
    <row r="7" spans="1:10" x14ac:dyDescent="0.2">
      <c r="A7" s="54"/>
      <c r="B7" s="85" t="str">
        <f t="shared" si="0"/>
        <v>5M</v>
      </c>
      <c r="C7" s="88">
        <v>5</v>
      </c>
      <c r="D7" s="87" t="str">
        <f t="shared" si="1"/>
        <v>x17F</v>
      </c>
      <c r="E7" s="85" t="str">
        <f t="shared" si="2"/>
        <v>Euribor1Y</v>
      </c>
      <c r="F7" s="86" t="b">
        <v>1</v>
      </c>
      <c r="G7" s="85" t="str">
        <f t="shared" si="3"/>
        <v>EUR5x17F_SYNTH1Y_Quote</v>
      </c>
      <c r="H7" s="85" t="str">
        <f>_xll.qlFraRateHelper(,G7,B7,E7,Permanent,Trigger,ObjectOverwrite)</f>
        <v>obj_00bc5#0000</v>
      </c>
      <c r="I7" s="84" t="str">
        <f>_xll.ohRangeRetrieveError(H7)</f>
        <v/>
      </c>
      <c r="J7" s="52"/>
    </row>
    <row r="8" spans="1:10" x14ac:dyDescent="0.2">
      <c r="A8" s="54"/>
      <c r="B8" s="85" t="str">
        <f t="shared" si="0"/>
        <v>6M</v>
      </c>
      <c r="C8" s="88">
        <v>6</v>
      </c>
      <c r="D8" s="87" t="str">
        <f t="shared" si="1"/>
        <v>x18F</v>
      </c>
      <c r="E8" s="85" t="str">
        <f t="shared" si="2"/>
        <v>Euribor1Y</v>
      </c>
      <c r="F8" s="86" t="b">
        <v>1</v>
      </c>
      <c r="G8" s="85" t="str">
        <f t="shared" si="3"/>
        <v>EUR6x18F_SYNTH1Y_Quote</v>
      </c>
      <c r="H8" s="85" t="str">
        <f>_xll.qlFraRateHelper(,G8,B8,E8,Permanent,Trigger,ObjectOverwrite)</f>
        <v>obj_00bc7#0000</v>
      </c>
      <c r="I8" s="84" t="str">
        <f>_xll.ohRangeRetrieveError(H8)</f>
        <v/>
      </c>
      <c r="J8" s="52"/>
    </row>
    <row r="9" spans="1:10" x14ac:dyDescent="0.2">
      <c r="A9" s="54"/>
      <c r="B9" s="85" t="str">
        <f t="shared" si="0"/>
        <v>7M</v>
      </c>
      <c r="C9" s="88">
        <v>7</v>
      </c>
      <c r="D9" s="87" t="str">
        <f t="shared" si="1"/>
        <v>x19F</v>
      </c>
      <c r="E9" s="85" t="str">
        <f t="shared" si="2"/>
        <v>Euribor1Y</v>
      </c>
      <c r="F9" s="86" t="b">
        <v>1</v>
      </c>
      <c r="G9" s="85" t="str">
        <f t="shared" si="3"/>
        <v>EUR7x19F_SYNTH1Y_Quote</v>
      </c>
      <c r="H9" s="85" t="str">
        <f>_xll.qlFraRateHelper(,G9,B9,E9,Permanent,Trigger,ObjectOverwrite)</f>
        <v>obj_00bc2#0000</v>
      </c>
      <c r="I9" s="84" t="str">
        <f>_xll.ohRangeRetrieveError(H9)</f>
        <v/>
      </c>
      <c r="J9" s="52"/>
    </row>
    <row r="10" spans="1:10" x14ac:dyDescent="0.2">
      <c r="A10" s="54"/>
      <c r="B10" s="85" t="str">
        <f t="shared" si="0"/>
        <v>8M</v>
      </c>
      <c r="C10" s="88">
        <v>8</v>
      </c>
      <c r="D10" s="87" t="str">
        <f t="shared" si="1"/>
        <v>x20F</v>
      </c>
      <c r="E10" s="85" t="str">
        <f t="shared" si="2"/>
        <v>Euribor1Y</v>
      </c>
      <c r="F10" s="86" t="b">
        <v>1</v>
      </c>
      <c r="G10" s="85" t="str">
        <f t="shared" si="3"/>
        <v>EUR8x20F_SYNTH1Y_Quote</v>
      </c>
      <c r="H10" s="85" t="str">
        <f>_xll.qlFraRateHelper(,G10,B10,E10,Permanent,Trigger,ObjectOverwrite)</f>
        <v>obj_00bc8#0000</v>
      </c>
      <c r="I10" s="84" t="str">
        <f>_xll.ohRangeRetrieveError(H10)</f>
        <v/>
      </c>
      <c r="J10" s="52"/>
    </row>
    <row r="11" spans="1:10" x14ac:dyDescent="0.2">
      <c r="A11" s="54"/>
      <c r="B11" s="85" t="str">
        <f t="shared" si="0"/>
        <v>9M</v>
      </c>
      <c r="C11" s="88">
        <v>9</v>
      </c>
      <c r="D11" s="87" t="str">
        <f t="shared" si="1"/>
        <v>x21F</v>
      </c>
      <c r="E11" s="85" t="str">
        <f t="shared" si="2"/>
        <v>Euribor1Y</v>
      </c>
      <c r="F11" s="86" t="b">
        <v>1</v>
      </c>
      <c r="G11" s="85" t="str">
        <f t="shared" si="3"/>
        <v>EUR9x21F_SYNTH1Y_Quote</v>
      </c>
      <c r="H11" s="85" t="str">
        <f>_xll.qlFraRateHelper(,G11,B11,E11,Permanent,Trigger,ObjectOverwrite)</f>
        <v>obj_00bb3#0000</v>
      </c>
      <c r="I11" s="84" t="str">
        <f>_xll.ohRangeRetrieveError(H11)</f>
        <v/>
      </c>
      <c r="J11" s="52"/>
    </row>
    <row r="12" spans="1:10" x14ac:dyDescent="0.2">
      <c r="A12" s="54"/>
      <c r="B12" s="85" t="str">
        <f t="shared" si="0"/>
        <v>10M</v>
      </c>
      <c r="C12" s="88">
        <v>10</v>
      </c>
      <c r="D12" s="87" t="str">
        <f t="shared" si="1"/>
        <v>x22F</v>
      </c>
      <c r="E12" s="85" t="str">
        <f t="shared" si="2"/>
        <v>Euribor1Y</v>
      </c>
      <c r="F12" s="86" t="b">
        <v>1</v>
      </c>
      <c r="G12" s="85" t="str">
        <f t="shared" si="3"/>
        <v>EUR10x22F_SYNTH1Y_Quote</v>
      </c>
      <c r="H12" s="85" t="str">
        <f>_xll.qlFraRateHelper(,G12,B12,E12,Permanent,Trigger,ObjectOverwrite)</f>
        <v>obj_00bbe#0000</v>
      </c>
      <c r="I12" s="84" t="str">
        <f>_xll.ohRangeRetrieveError(H12)</f>
        <v/>
      </c>
      <c r="J12" s="52"/>
    </row>
    <row r="13" spans="1:10" x14ac:dyDescent="0.2">
      <c r="A13" s="54"/>
      <c r="B13" s="85" t="str">
        <f t="shared" si="0"/>
        <v>11M</v>
      </c>
      <c r="C13" s="88">
        <v>11</v>
      </c>
      <c r="D13" s="87" t="str">
        <f t="shared" si="1"/>
        <v>x23F</v>
      </c>
      <c r="E13" s="85" t="str">
        <f t="shared" si="2"/>
        <v>Euribor1Y</v>
      </c>
      <c r="F13" s="86" t="b">
        <v>1</v>
      </c>
      <c r="G13" s="85" t="str">
        <f t="shared" si="3"/>
        <v>EUR11x23F_SYNTH1Y_Quote</v>
      </c>
      <c r="H13" s="85" t="str">
        <f>_xll.qlFraRateHelper(,G13,B13,E13,Permanent,Trigger,ObjectOverwrite)</f>
        <v>obj_00bb1#0000</v>
      </c>
      <c r="I13" s="84" t="str">
        <f>_xll.ohRangeRetrieveError(H13)</f>
        <v/>
      </c>
      <c r="J13" s="52"/>
    </row>
    <row r="14" spans="1:10" x14ac:dyDescent="0.2">
      <c r="A14" s="54"/>
      <c r="B14" s="95" t="str">
        <f t="shared" si="0"/>
        <v>12M</v>
      </c>
      <c r="C14" s="98">
        <v>12</v>
      </c>
      <c r="D14" s="97" t="str">
        <f t="shared" si="1"/>
        <v>x24F</v>
      </c>
      <c r="E14" s="95" t="str">
        <f t="shared" si="2"/>
        <v>Euribor1Y</v>
      </c>
      <c r="F14" s="96" t="b">
        <v>0</v>
      </c>
      <c r="G14" s="95" t="str">
        <f t="shared" si="3"/>
        <v>EUR12x24F_Quote</v>
      </c>
      <c r="H14" s="95" t="str">
        <f>_xll.qlFraRateHelper(,G14,B14,E14,Permanent,Trigger,ObjectOverwrite)</f>
        <v>obj_00bb9#0000</v>
      </c>
      <c r="I14" s="94" t="str">
        <f>_xll.ohRangeRetrieveError(H14)</f>
        <v/>
      </c>
      <c r="J14" s="52"/>
    </row>
    <row r="15" spans="1:10" x14ac:dyDescent="0.2">
      <c r="A15" s="54"/>
      <c r="B15" s="90" t="str">
        <f t="shared" si="0"/>
        <v>13M</v>
      </c>
      <c r="C15" s="93">
        <v>13</v>
      </c>
      <c r="D15" s="92" t="str">
        <f t="shared" si="1"/>
        <v>x25F</v>
      </c>
      <c r="E15" s="90" t="str">
        <f t="shared" si="2"/>
        <v>Euribor1Y</v>
      </c>
      <c r="F15" s="91" t="b">
        <v>1</v>
      </c>
      <c r="G15" s="90" t="str">
        <f t="shared" si="3"/>
        <v>EUR13x25F_SYNTH1Y_Quote</v>
      </c>
      <c r="H15" s="90" t="str">
        <f>_xll.qlFraRateHelper(,G15,B15,E15,Permanent,Trigger,ObjectOverwrite)</f>
        <v>obj_00ba2#0000</v>
      </c>
      <c r="I15" s="89" t="str">
        <f>_xll.ohRangeRetrieveError(H15)</f>
        <v/>
      </c>
      <c r="J15" s="52"/>
    </row>
    <row r="16" spans="1:10" x14ac:dyDescent="0.2">
      <c r="A16" s="54"/>
      <c r="B16" s="85" t="str">
        <f t="shared" si="0"/>
        <v>14M</v>
      </c>
      <c r="C16" s="88">
        <v>14</v>
      </c>
      <c r="D16" s="87" t="str">
        <f t="shared" si="1"/>
        <v>x26F</v>
      </c>
      <c r="E16" s="85" t="str">
        <f t="shared" si="2"/>
        <v>Euribor1Y</v>
      </c>
      <c r="F16" s="86" t="b">
        <v>1</v>
      </c>
      <c r="G16" s="85" t="str">
        <f t="shared" si="3"/>
        <v>EUR14x26F_SYNTH1Y_Quote</v>
      </c>
      <c r="H16" s="85" t="str">
        <f>_xll.qlFraRateHelper(,G16,B16,E16,Permanent,Trigger,ObjectOverwrite)</f>
        <v>obj_00bb6#0000</v>
      </c>
      <c r="I16" s="84" t="str">
        <f>_xll.ohRangeRetrieveError(H16)</f>
        <v/>
      </c>
      <c r="J16" s="52"/>
    </row>
    <row r="17" spans="1:10" x14ac:dyDescent="0.2">
      <c r="A17" s="54"/>
      <c r="B17" s="85" t="str">
        <f t="shared" si="0"/>
        <v>15M</v>
      </c>
      <c r="C17" s="88">
        <v>15</v>
      </c>
      <c r="D17" s="87" t="str">
        <f t="shared" si="1"/>
        <v>x27F</v>
      </c>
      <c r="E17" s="85" t="str">
        <f t="shared" si="2"/>
        <v>Euribor1Y</v>
      </c>
      <c r="F17" s="86" t="b">
        <v>1</v>
      </c>
      <c r="G17" s="85" t="str">
        <f t="shared" si="3"/>
        <v>EUR15x27F_SYNTH1Y_Quote</v>
      </c>
      <c r="H17" s="85" t="str">
        <f>_xll.qlFraRateHelper(,G17,B17,E17,Permanent,Trigger,ObjectOverwrite)</f>
        <v>obj_00bca#0000</v>
      </c>
      <c r="I17" s="84" t="str">
        <f>_xll.ohRangeRetrieveError(H17)</f>
        <v/>
      </c>
      <c r="J17" s="52"/>
    </row>
    <row r="18" spans="1:10" x14ac:dyDescent="0.2">
      <c r="A18" s="54"/>
      <c r="B18" s="85" t="str">
        <f t="shared" si="0"/>
        <v>16M</v>
      </c>
      <c r="C18" s="88">
        <v>16</v>
      </c>
      <c r="D18" s="87" t="str">
        <f t="shared" si="1"/>
        <v>x28F</v>
      </c>
      <c r="E18" s="85" t="str">
        <f t="shared" si="2"/>
        <v>Euribor1Y</v>
      </c>
      <c r="F18" s="86" t="b">
        <v>1</v>
      </c>
      <c r="G18" s="85" t="str">
        <f t="shared" si="3"/>
        <v>EUR16x28F_SYNTH1Y_Quote</v>
      </c>
      <c r="H18" s="85" t="str">
        <f>_xll.qlFraRateHelper(,G18,B18,E18,Permanent,Trigger,ObjectOverwrite)</f>
        <v>obj_00bc1#0000</v>
      </c>
      <c r="I18" s="84" t="str">
        <f>_xll.ohRangeRetrieveError(H18)</f>
        <v/>
      </c>
      <c r="J18" s="52"/>
    </row>
    <row r="19" spans="1:10" x14ac:dyDescent="0.2">
      <c r="A19" s="54"/>
      <c r="B19" s="85" t="str">
        <f t="shared" si="0"/>
        <v>17M</v>
      </c>
      <c r="C19" s="88">
        <v>17</v>
      </c>
      <c r="D19" s="87" t="str">
        <f t="shared" si="1"/>
        <v>x29F</v>
      </c>
      <c r="E19" s="85" t="str">
        <f t="shared" si="2"/>
        <v>Euribor1Y</v>
      </c>
      <c r="F19" s="86" t="b">
        <v>1</v>
      </c>
      <c r="G19" s="85" t="str">
        <f t="shared" si="3"/>
        <v>EUR17x29F_SYNTH1Y_Quote</v>
      </c>
      <c r="H19" s="85" t="str">
        <f>_xll.qlFraRateHelper(,G19,B19,E19,Permanent,Trigger,ObjectOverwrite)</f>
        <v>obj_00bbd#0000</v>
      </c>
      <c r="I19" s="84" t="str">
        <f>_xll.ohRangeRetrieveError(H19)</f>
        <v/>
      </c>
      <c r="J19" s="52"/>
    </row>
    <row r="20" spans="1:10" x14ac:dyDescent="0.2">
      <c r="A20" s="54"/>
      <c r="B20" s="85" t="str">
        <f t="shared" si="0"/>
        <v>18M</v>
      </c>
      <c r="C20" s="88">
        <v>18</v>
      </c>
      <c r="D20" s="87" t="str">
        <f t="shared" si="1"/>
        <v>x30F</v>
      </c>
      <c r="E20" s="85" t="str">
        <f t="shared" si="2"/>
        <v>Euribor1Y</v>
      </c>
      <c r="F20" s="86" t="b">
        <v>1</v>
      </c>
      <c r="G20" s="85" t="str">
        <f t="shared" si="3"/>
        <v>EUR18x30F_SYNTH1Y_Quote</v>
      </c>
      <c r="H20" s="85" t="str">
        <f>_xll.qlFraRateHelper(,G20,B20,E20,Permanent,Trigger,ObjectOverwrite)</f>
        <v>obj_00ba7#0000</v>
      </c>
      <c r="I20" s="84" t="str">
        <f>_xll.ohRangeRetrieveError(H20)</f>
        <v/>
      </c>
      <c r="J20" s="52"/>
    </row>
    <row r="21" spans="1:10" x14ac:dyDescent="0.2">
      <c r="A21" s="54"/>
      <c r="B21" s="85" t="str">
        <f t="shared" si="0"/>
        <v>19M</v>
      </c>
      <c r="C21" s="88">
        <v>19</v>
      </c>
      <c r="D21" s="87" t="str">
        <f t="shared" si="1"/>
        <v>x31F</v>
      </c>
      <c r="E21" s="85" t="str">
        <f t="shared" si="2"/>
        <v>Euribor1Y</v>
      </c>
      <c r="F21" s="86" t="b">
        <v>1</v>
      </c>
      <c r="G21" s="85" t="str">
        <f t="shared" si="3"/>
        <v>EUR19x31F_SYNTH1Y_Quote</v>
      </c>
      <c r="H21" s="85" t="str">
        <f>_xll.qlFraRateHelper(,G21,B21,E21,Permanent,Trigger,ObjectOverwrite)</f>
        <v>obj_00bbf#0000</v>
      </c>
      <c r="I21" s="84" t="str">
        <f>_xll.ohRangeRetrieveError(H21)</f>
        <v/>
      </c>
      <c r="J21" s="52"/>
    </row>
    <row r="22" spans="1:10" x14ac:dyDescent="0.2">
      <c r="A22" s="54"/>
      <c r="B22" s="85" t="str">
        <f t="shared" si="0"/>
        <v>20M</v>
      </c>
      <c r="C22" s="88">
        <v>20</v>
      </c>
      <c r="D22" s="87" t="str">
        <f t="shared" si="1"/>
        <v>x32F</v>
      </c>
      <c r="E22" s="85" t="str">
        <f t="shared" si="2"/>
        <v>Euribor1Y</v>
      </c>
      <c r="F22" s="86" t="b">
        <v>1</v>
      </c>
      <c r="G22" s="85" t="str">
        <f t="shared" si="3"/>
        <v>EUR20x32F_SYNTH1Y_Quote</v>
      </c>
      <c r="H22" s="85" t="str">
        <f>_xll.qlFraRateHelper(,G22,B22,E22,Permanent,Trigger,ObjectOverwrite)</f>
        <v>obj_00bad#0000</v>
      </c>
      <c r="I22" s="84" t="str">
        <f>_xll.ohRangeRetrieveError(H22)</f>
        <v/>
      </c>
      <c r="J22" s="52"/>
    </row>
    <row r="23" spans="1:10" x14ac:dyDescent="0.2">
      <c r="A23" s="54"/>
      <c r="B23" s="85" t="str">
        <f t="shared" si="0"/>
        <v>21M</v>
      </c>
      <c r="C23" s="88">
        <v>21</v>
      </c>
      <c r="D23" s="87" t="str">
        <f t="shared" si="1"/>
        <v>x33F</v>
      </c>
      <c r="E23" s="85" t="str">
        <f t="shared" si="2"/>
        <v>Euribor1Y</v>
      </c>
      <c r="F23" s="86" t="b">
        <v>1</v>
      </c>
      <c r="G23" s="85" t="str">
        <f t="shared" si="3"/>
        <v>EUR21x33F_SYNTH1Y_Quote</v>
      </c>
      <c r="H23" s="85" t="str">
        <f>_xll.qlFraRateHelper(,G23,B23,E23,Permanent,Trigger,ObjectOverwrite)</f>
        <v>obj_00bb4#0000</v>
      </c>
      <c r="I23" s="84" t="str">
        <f>_xll.ohRangeRetrieveError(H23)</f>
        <v/>
      </c>
      <c r="J23" s="52"/>
    </row>
    <row r="24" spans="1:10" x14ac:dyDescent="0.2">
      <c r="A24" s="54"/>
      <c r="B24" s="85" t="str">
        <f t="shared" si="0"/>
        <v>22M</v>
      </c>
      <c r="C24" s="88">
        <v>22</v>
      </c>
      <c r="D24" s="87" t="str">
        <f t="shared" si="1"/>
        <v>x34F</v>
      </c>
      <c r="E24" s="85" t="str">
        <f t="shared" si="2"/>
        <v>Euribor1Y</v>
      </c>
      <c r="F24" s="86" t="b">
        <v>1</v>
      </c>
      <c r="G24" s="85" t="str">
        <f t="shared" si="3"/>
        <v>EUR22x34F_SYNTH1Y_Quote</v>
      </c>
      <c r="H24" s="85" t="str">
        <f>_xll.qlFraRateHelper(,G24,B24,E24,Permanent,Trigger,ObjectOverwrite)</f>
        <v>obj_00bac#0000</v>
      </c>
      <c r="I24" s="84" t="str">
        <f>_xll.ohRangeRetrieveError(H24)</f>
        <v/>
      </c>
      <c r="J24" s="52"/>
    </row>
    <row r="25" spans="1:10" x14ac:dyDescent="0.2">
      <c r="A25" s="54"/>
      <c r="B25" s="81" t="str">
        <f t="shared" si="0"/>
        <v>23M</v>
      </c>
      <c r="C25" s="83">
        <v>23</v>
      </c>
      <c r="D25" s="53" t="str">
        <f t="shared" si="1"/>
        <v>x35F</v>
      </c>
      <c r="E25" s="81" t="str">
        <f t="shared" si="2"/>
        <v>Euribor1Y</v>
      </c>
      <c r="F25" s="82" t="b">
        <v>1</v>
      </c>
      <c r="G25" s="81" t="str">
        <f t="shared" si="3"/>
        <v>EUR23x35F_SYNTH1Y_Quote</v>
      </c>
      <c r="H25" s="81" t="str">
        <f>_xll.qlFraRateHelper(,G25,B25,E25,Permanent,Trigger,ObjectOverwrite)</f>
        <v>obj_00bb2#0000</v>
      </c>
      <c r="I25" s="80" t="str">
        <f>_xll.ohRangeRetrieveError(H25)</f>
        <v/>
      </c>
      <c r="J25" s="52"/>
    </row>
    <row r="26" spans="1:10" x14ac:dyDescent="0.2">
      <c r="A26" s="54"/>
      <c r="B26" s="90" t="str">
        <f t="shared" si="0"/>
        <v>25M</v>
      </c>
      <c r="C26" s="93">
        <v>25</v>
      </c>
      <c r="D26" s="92" t="str">
        <f t="shared" si="1"/>
        <v>x37F</v>
      </c>
      <c r="E26" s="90" t="str">
        <f t="shared" si="2"/>
        <v>Euribor1Y</v>
      </c>
      <c r="F26" s="91" t="b">
        <v>1</v>
      </c>
      <c r="G26" s="90" t="str">
        <f t="shared" si="3"/>
        <v>EUR25x37F_SYNTH1Y_Quote</v>
      </c>
      <c r="H26" s="90" t="str">
        <f>_xll.qlFraRateHelper(,G26,B26,E26,Permanent,Trigger,ObjectOverwrite)</f>
        <v>obj_00bb7#0000</v>
      </c>
      <c r="I26" s="89" t="str">
        <f>_xll.ohRangeRetrieveError(H26)</f>
        <v/>
      </c>
      <c r="J26" s="52"/>
    </row>
    <row r="27" spans="1:10" x14ac:dyDescent="0.2">
      <c r="A27" s="54"/>
      <c r="B27" s="85" t="str">
        <f t="shared" si="0"/>
        <v>26M</v>
      </c>
      <c r="C27" s="88">
        <v>26</v>
      </c>
      <c r="D27" s="87" t="str">
        <f t="shared" si="1"/>
        <v>x38F</v>
      </c>
      <c r="E27" s="85" t="str">
        <f t="shared" si="2"/>
        <v>Euribor1Y</v>
      </c>
      <c r="F27" s="86" t="b">
        <v>1</v>
      </c>
      <c r="G27" s="85" t="str">
        <f t="shared" si="3"/>
        <v>EUR26x38F_SYNTH1Y_Quote</v>
      </c>
      <c r="H27" s="85" t="str">
        <f>_xll.qlFraRateHelper(,G27,B27,E27,Permanent,Trigger,ObjectOverwrite)</f>
        <v>obj_00bcd#0000</v>
      </c>
      <c r="I27" s="84" t="str">
        <f>_xll.ohRangeRetrieveError(H27)</f>
        <v/>
      </c>
      <c r="J27" s="52"/>
    </row>
    <row r="28" spans="1:10" x14ac:dyDescent="0.2">
      <c r="A28" s="54"/>
      <c r="B28" s="85" t="str">
        <f t="shared" si="0"/>
        <v>27M</v>
      </c>
      <c r="C28" s="88">
        <v>27</v>
      </c>
      <c r="D28" s="87" t="str">
        <f t="shared" si="1"/>
        <v>x39F</v>
      </c>
      <c r="E28" s="85" t="str">
        <f t="shared" si="2"/>
        <v>Euribor1Y</v>
      </c>
      <c r="F28" s="86" t="b">
        <v>1</v>
      </c>
      <c r="G28" s="85" t="str">
        <f t="shared" si="3"/>
        <v>EUR27x39F_SYNTH1Y_Quote</v>
      </c>
      <c r="H28" s="85" t="str">
        <f>_xll.qlFraRateHelper(,G28,B28,E28,Permanent,Trigger,ObjectOverwrite)</f>
        <v>obj_00bbb#0000</v>
      </c>
      <c r="I28" s="84" t="str">
        <f>_xll.ohRangeRetrieveError(H28)</f>
        <v/>
      </c>
      <c r="J28" s="52"/>
    </row>
    <row r="29" spans="1:10" x14ac:dyDescent="0.2">
      <c r="A29" s="54"/>
      <c r="B29" s="85" t="str">
        <f t="shared" si="0"/>
        <v>28M</v>
      </c>
      <c r="C29" s="88">
        <v>28</v>
      </c>
      <c r="D29" s="87" t="str">
        <f t="shared" si="1"/>
        <v>x40F</v>
      </c>
      <c r="E29" s="85" t="str">
        <f t="shared" si="2"/>
        <v>Euribor1Y</v>
      </c>
      <c r="F29" s="86" t="b">
        <v>1</v>
      </c>
      <c r="G29" s="85" t="str">
        <f t="shared" si="3"/>
        <v>EUR28x40F_SYNTH1Y_Quote</v>
      </c>
      <c r="H29" s="85" t="str">
        <f>_xll.qlFraRateHelper(,G29,B29,E29,Permanent,Trigger,ObjectOverwrite)</f>
        <v>obj_00bb5#0000</v>
      </c>
      <c r="I29" s="84" t="str">
        <f>_xll.ohRangeRetrieveError(H29)</f>
        <v/>
      </c>
      <c r="J29" s="52"/>
    </row>
    <row r="30" spans="1:10" x14ac:dyDescent="0.2">
      <c r="A30" s="54"/>
      <c r="B30" s="85" t="str">
        <f t="shared" si="0"/>
        <v>29M</v>
      </c>
      <c r="C30" s="88">
        <v>29</v>
      </c>
      <c r="D30" s="87" t="str">
        <f t="shared" si="1"/>
        <v>x41F</v>
      </c>
      <c r="E30" s="85" t="str">
        <f t="shared" si="2"/>
        <v>Euribor1Y</v>
      </c>
      <c r="F30" s="86" t="b">
        <v>1</v>
      </c>
      <c r="G30" s="85" t="str">
        <f t="shared" si="3"/>
        <v>EUR29x41F_SYNTH1Y_Quote</v>
      </c>
      <c r="H30" s="85" t="str">
        <f>_xll.qlFraRateHelper(,G30,B30,E30,Permanent,Trigger,ObjectOverwrite)</f>
        <v>obj_00ba4#0000</v>
      </c>
      <c r="I30" s="84" t="str">
        <f>_xll.ohRangeRetrieveError(H30)</f>
        <v/>
      </c>
      <c r="J30" s="52"/>
    </row>
    <row r="31" spans="1:10" x14ac:dyDescent="0.2">
      <c r="A31" s="54"/>
      <c r="B31" s="85" t="str">
        <f t="shared" si="0"/>
        <v>30M</v>
      </c>
      <c r="C31" s="88">
        <v>30</v>
      </c>
      <c r="D31" s="87" t="str">
        <f t="shared" si="1"/>
        <v>x42F</v>
      </c>
      <c r="E31" s="85" t="str">
        <f t="shared" si="2"/>
        <v>Euribor1Y</v>
      </c>
      <c r="F31" s="86" t="b">
        <v>1</v>
      </c>
      <c r="G31" s="85" t="str">
        <f t="shared" si="3"/>
        <v>EUR30x42F_SYNTH1Y_Quote</v>
      </c>
      <c r="H31" s="85" t="str">
        <f>_xll.qlFraRateHelper(,G31,B31,E31,Permanent,Trigger,ObjectOverwrite)</f>
        <v>obj_00bcb#0000</v>
      </c>
      <c r="I31" s="84" t="str">
        <f>_xll.ohRangeRetrieveError(H31)</f>
        <v/>
      </c>
      <c r="J31" s="52"/>
    </row>
    <row r="32" spans="1:10" x14ac:dyDescent="0.2">
      <c r="A32" s="54"/>
      <c r="B32" s="85" t="str">
        <f t="shared" si="0"/>
        <v>31M</v>
      </c>
      <c r="C32" s="88">
        <v>31</v>
      </c>
      <c r="D32" s="87" t="str">
        <f t="shared" si="1"/>
        <v>x43F</v>
      </c>
      <c r="E32" s="85" t="str">
        <f t="shared" si="2"/>
        <v>Euribor1Y</v>
      </c>
      <c r="F32" s="86" t="b">
        <v>1</v>
      </c>
      <c r="G32" s="85" t="str">
        <f t="shared" si="3"/>
        <v>EUR31x43F_SYNTH1Y_Quote</v>
      </c>
      <c r="H32" s="85" t="str">
        <f>_xll.qlFraRateHelper(,G32,B32,E32,Permanent,Trigger,ObjectOverwrite)</f>
        <v>obj_00bb8#0000</v>
      </c>
      <c r="I32" s="84" t="str">
        <f>_xll.ohRangeRetrieveError(H32)</f>
        <v/>
      </c>
      <c r="J32" s="52"/>
    </row>
    <row r="33" spans="1:10" x14ac:dyDescent="0.2">
      <c r="A33" s="54"/>
      <c r="B33" s="85" t="str">
        <f t="shared" si="0"/>
        <v>32M</v>
      </c>
      <c r="C33" s="88">
        <v>32</v>
      </c>
      <c r="D33" s="87" t="str">
        <f t="shared" si="1"/>
        <v>x44F</v>
      </c>
      <c r="E33" s="85" t="str">
        <f t="shared" si="2"/>
        <v>Euribor1Y</v>
      </c>
      <c r="F33" s="86" t="b">
        <v>1</v>
      </c>
      <c r="G33" s="85" t="str">
        <f t="shared" si="3"/>
        <v>EUR32x44F_SYNTH1Y_Quote</v>
      </c>
      <c r="H33" s="85" t="str">
        <f>_xll.qlFraRateHelper(,G33,B33,E33,Permanent,Trigger,ObjectOverwrite)</f>
        <v>obj_00bbc#0000</v>
      </c>
      <c r="I33" s="84" t="str">
        <f>_xll.ohRangeRetrieveError(H33)</f>
        <v/>
      </c>
      <c r="J33" s="52"/>
    </row>
    <row r="34" spans="1:10" x14ac:dyDescent="0.2">
      <c r="A34" s="54"/>
      <c r="B34" s="85" t="str">
        <f t="shared" si="0"/>
        <v>33M</v>
      </c>
      <c r="C34" s="88">
        <v>33</v>
      </c>
      <c r="D34" s="87" t="str">
        <f t="shared" si="1"/>
        <v>x45F</v>
      </c>
      <c r="E34" s="85" t="str">
        <f t="shared" si="2"/>
        <v>Euribor1Y</v>
      </c>
      <c r="F34" s="86" t="b">
        <v>1</v>
      </c>
      <c r="G34" s="85" t="str">
        <f t="shared" si="3"/>
        <v>EUR33x45F_SYNTH1Y_Quote</v>
      </c>
      <c r="H34" s="85" t="str">
        <f>_xll.qlFraRateHelper(,G34,B34,E34,Permanent,Trigger,ObjectOverwrite)</f>
        <v>obj_00bc4#0000</v>
      </c>
      <c r="I34" s="84" t="str">
        <f>_xll.ohRangeRetrieveError(H34)</f>
        <v/>
      </c>
      <c r="J34" s="52"/>
    </row>
    <row r="35" spans="1:10" x14ac:dyDescent="0.2">
      <c r="A35" s="54"/>
      <c r="B35" s="85" t="str">
        <f t="shared" si="0"/>
        <v>34M</v>
      </c>
      <c r="C35" s="88">
        <v>34</v>
      </c>
      <c r="D35" s="87" t="str">
        <f t="shared" si="1"/>
        <v>x46F</v>
      </c>
      <c r="E35" s="85" t="str">
        <f t="shared" si="2"/>
        <v>Euribor1Y</v>
      </c>
      <c r="F35" s="86" t="b">
        <v>1</v>
      </c>
      <c r="G35" s="85" t="str">
        <f t="shared" si="3"/>
        <v>EUR34x46F_SYNTH1Y_Quote</v>
      </c>
      <c r="H35" s="85" t="str">
        <f>_xll.qlFraRateHelper(,G35,B35,E35,Permanent,Trigger,ObjectOverwrite)</f>
        <v>obj_00bae#0000</v>
      </c>
      <c r="I35" s="84" t="str">
        <f>_xll.ohRangeRetrieveError(H35)</f>
        <v/>
      </c>
      <c r="J35" s="52"/>
    </row>
    <row r="36" spans="1:10" x14ac:dyDescent="0.2">
      <c r="A36" s="54"/>
      <c r="B36" s="81" t="str">
        <f t="shared" si="0"/>
        <v>35M</v>
      </c>
      <c r="C36" s="83">
        <v>35</v>
      </c>
      <c r="D36" s="53" t="str">
        <f t="shared" si="1"/>
        <v>x47F</v>
      </c>
      <c r="E36" s="81" t="str">
        <f t="shared" si="2"/>
        <v>Euribor1Y</v>
      </c>
      <c r="F36" s="82" t="b">
        <v>1</v>
      </c>
      <c r="G36" s="81" t="str">
        <f t="shared" si="3"/>
        <v>EUR35x47F_SYNTH1Y_Quote</v>
      </c>
      <c r="H36" s="81" t="str">
        <f>_xll.qlFraRateHelper(,G36,B36,E36,Permanent,Trigger,ObjectOverwrite)</f>
        <v>obj_00bc3#0000</v>
      </c>
      <c r="I36" s="80" t="str">
        <f>_xll.ohRangeRetrieveError(H36)</f>
        <v/>
      </c>
      <c r="J36" s="52"/>
    </row>
    <row r="37" spans="1:10" x14ac:dyDescent="0.2">
      <c r="A37" s="54"/>
      <c r="B37" s="85" t="str">
        <f t="shared" si="0"/>
        <v>37M</v>
      </c>
      <c r="C37" s="88">
        <v>37</v>
      </c>
      <c r="D37" s="87" t="str">
        <f t="shared" si="1"/>
        <v>x49F</v>
      </c>
      <c r="E37" s="85" t="str">
        <f t="shared" si="2"/>
        <v>Euribor1Y</v>
      </c>
      <c r="F37" s="86" t="b">
        <v>1</v>
      </c>
      <c r="G37" s="85" t="str">
        <f t="shared" si="3"/>
        <v>EUR37x49F_SYNTH1Y_Quote</v>
      </c>
      <c r="H37" s="85" t="str">
        <f>_xll.qlFraRateHelper(,G37,B37,E37,Permanent,Trigger,ObjectOverwrite)</f>
        <v>obj_00bce#0000</v>
      </c>
      <c r="I37" s="84" t="str">
        <f>_xll.ohRangeRetrieveError(H37)</f>
        <v/>
      </c>
      <c r="J37" s="52"/>
    </row>
    <row r="38" spans="1:10" x14ac:dyDescent="0.2">
      <c r="A38" s="54"/>
      <c r="B38" s="85" t="str">
        <f t="shared" si="0"/>
        <v>38M</v>
      </c>
      <c r="C38" s="88">
        <v>38</v>
      </c>
      <c r="D38" s="87" t="str">
        <f t="shared" si="1"/>
        <v>x50F</v>
      </c>
      <c r="E38" s="85" t="str">
        <f t="shared" si="2"/>
        <v>Euribor1Y</v>
      </c>
      <c r="F38" s="86" t="b">
        <v>1</v>
      </c>
      <c r="G38" s="85" t="str">
        <f t="shared" si="3"/>
        <v>EUR38x50F_SYNTH1Y_Quote</v>
      </c>
      <c r="H38" s="85" t="str">
        <f>_xll.qlFraRateHelper(,G38,B38,E38,Permanent,Trigger,ObjectOverwrite)</f>
        <v>obj_00ba8#0000</v>
      </c>
      <c r="I38" s="84" t="str">
        <f>_xll.ohRangeRetrieveError(H38)</f>
        <v/>
      </c>
      <c r="J38" s="52"/>
    </row>
    <row r="39" spans="1:10" x14ac:dyDescent="0.2">
      <c r="A39" s="54"/>
      <c r="B39" s="85" t="str">
        <f t="shared" si="0"/>
        <v>39M</v>
      </c>
      <c r="C39" s="88">
        <v>39</v>
      </c>
      <c r="D39" s="87" t="str">
        <f t="shared" si="1"/>
        <v>x51F</v>
      </c>
      <c r="E39" s="85" t="str">
        <f t="shared" si="2"/>
        <v>Euribor1Y</v>
      </c>
      <c r="F39" s="86" t="b">
        <v>1</v>
      </c>
      <c r="G39" s="85" t="str">
        <f t="shared" si="3"/>
        <v>EUR39x51F_SYNTH1Y_Quote</v>
      </c>
      <c r="H39" s="85" t="str">
        <f>_xll.qlFraRateHelper(,G39,B39,E39,Permanent,Trigger,ObjectOverwrite)</f>
        <v>obj_00bc0#0000</v>
      </c>
      <c r="I39" s="84" t="str">
        <f>_xll.ohRangeRetrieveError(H39)</f>
        <v/>
      </c>
      <c r="J39" s="52"/>
    </row>
    <row r="40" spans="1:10" x14ac:dyDescent="0.2">
      <c r="A40" s="54"/>
      <c r="B40" s="85" t="str">
        <f t="shared" si="0"/>
        <v>40M</v>
      </c>
      <c r="C40" s="88">
        <v>40</v>
      </c>
      <c r="D40" s="87" t="str">
        <f t="shared" si="1"/>
        <v>x52F</v>
      </c>
      <c r="E40" s="85" t="str">
        <f t="shared" si="2"/>
        <v>Euribor1Y</v>
      </c>
      <c r="F40" s="86" t="b">
        <v>1</v>
      </c>
      <c r="G40" s="85" t="str">
        <f t="shared" si="3"/>
        <v>EUR40x52F_SYNTH1Y_Quote</v>
      </c>
      <c r="H40" s="85" t="str">
        <f>_xll.qlFraRateHelper(,G40,B40,E40,Permanent,Trigger,ObjectOverwrite)</f>
        <v>obj_00baf#0000</v>
      </c>
      <c r="I40" s="84" t="str">
        <f>_xll.ohRangeRetrieveError(H40)</f>
        <v/>
      </c>
      <c r="J40" s="52"/>
    </row>
    <row r="41" spans="1:10" x14ac:dyDescent="0.2">
      <c r="A41" s="54"/>
      <c r="B41" s="85" t="str">
        <f t="shared" si="0"/>
        <v>41M</v>
      </c>
      <c r="C41" s="88">
        <v>41</v>
      </c>
      <c r="D41" s="87" t="str">
        <f t="shared" si="1"/>
        <v>x53F</v>
      </c>
      <c r="E41" s="85" t="str">
        <f t="shared" si="2"/>
        <v>Euribor1Y</v>
      </c>
      <c r="F41" s="86" t="b">
        <v>1</v>
      </c>
      <c r="G41" s="85" t="str">
        <f t="shared" si="3"/>
        <v>EUR41x53F_SYNTH1Y_Quote</v>
      </c>
      <c r="H41" s="85" t="str">
        <f>_xll.qlFraRateHelper(,G41,B41,E41,Permanent,Trigger,ObjectOverwrite)</f>
        <v>obj_00baa#0000</v>
      </c>
      <c r="I41" s="84" t="str">
        <f>_xll.ohRangeRetrieveError(H41)</f>
        <v/>
      </c>
      <c r="J41" s="52"/>
    </row>
    <row r="42" spans="1:10" x14ac:dyDescent="0.2">
      <c r="A42" s="54"/>
      <c r="B42" s="85" t="str">
        <f t="shared" si="0"/>
        <v>42M</v>
      </c>
      <c r="C42" s="88">
        <v>42</v>
      </c>
      <c r="D42" s="87" t="str">
        <f t="shared" si="1"/>
        <v>x54F</v>
      </c>
      <c r="E42" s="85" t="str">
        <f t="shared" si="2"/>
        <v>Euribor1Y</v>
      </c>
      <c r="F42" s="86" t="b">
        <v>1</v>
      </c>
      <c r="G42" s="85" t="str">
        <f t="shared" si="3"/>
        <v>EUR42x54F_SYNTH1Y_Quote</v>
      </c>
      <c r="H42" s="85" t="str">
        <f>_xll.qlFraRateHelper(,G42,B42,E42,Permanent,Trigger,ObjectOverwrite)</f>
        <v>obj_00ba3#0000</v>
      </c>
      <c r="I42" s="84" t="str">
        <f>_xll.ohRangeRetrieveError(H42)</f>
        <v/>
      </c>
      <c r="J42" s="52"/>
    </row>
    <row r="43" spans="1:10" x14ac:dyDescent="0.2">
      <c r="A43" s="54"/>
      <c r="B43" s="85" t="str">
        <f t="shared" si="0"/>
        <v>43M</v>
      </c>
      <c r="C43" s="88">
        <v>43</v>
      </c>
      <c r="D43" s="87" t="str">
        <f t="shared" si="1"/>
        <v>x55F</v>
      </c>
      <c r="E43" s="85" t="str">
        <f t="shared" si="2"/>
        <v>Euribor1Y</v>
      </c>
      <c r="F43" s="86" t="b">
        <v>1</v>
      </c>
      <c r="G43" s="85" t="str">
        <f t="shared" si="3"/>
        <v>EUR43x55F_SYNTH1Y_Quote</v>
      </c>
      <c r="H43" s="85" t="str">
        <f>_xll.qlFraRateHelper(,G43,B43,E43,Permanent,Trigger,ObjectOverwrite)</f>
        <v>obj_00bab#0000</v>
      </c>
      <c r="I43" s="84" t="str">
        <f>_xll.ohRangeRetrieveError(H43)</f>
        <v/>
      </c>
      <c r="J43" s="52"/>
    </row>
    <row r="44" spans="1:10" x14ac:dyDescent="0.2">
      <c r="A44" s="54"/>
      <c r="B44" s="85" t="str">
        <f t="shared" si="0"/>
        <v>44M</v>
      </c>
      <c r="C44" s="88">
        <v>44</v>
      </c>
      <c r="D44" s="87" t="str">
        <f t="shared" si="1"/>
        <v>x56F</v>
      </c>
      <c r="E44" s="85" t="str">
        <f t="shared" si="2"/>
        <v>Euribor1Y</v>
      </c>
      <c r="F44" s="86" t="b">
        <v>1</v>
      </c>
      <c r="G44" s="85" t="str">
        <f t="shared" si="3"/>
        <v>EUR44x56F_SYNTH1Y_Quote</v>
      </c>
      <c r="H44" s="85" t="str">
        <f>_xll.qlFraRateHelper(,G44,B44,E44,Permanent,Trigger,ObjectOverwrite)</f>
        <v>obj_00bcf#0000</v>
      </c>
      <c r="I44" s="84" t="str">
        <f>_xll.ohRangeRetrieveError(H44)</f>
        <v/>
      </c>
      <c r="J44" s="52"/>
    </row>
    <row r="45" spans="1:10" x14ac:dyDescent="0.2">
      <c r="A45" s="54"/>
      <c r="B45" s="85" t="str">
        <f t="shared" si="0"/>
        <v>45M</v>
      </c>
      <c r="C45" s="88">
        <v>45</v>
      </c>
      <c r="D45" s="87" t="str">
        <f t="shared" si="1"/>
        <v>x57F</v>
      </c>
      <c r="E45" s="85" t="str">
        <f t="shared" si="2"/>
        <v>Euribor1Y</v>
      </c>
      <c r="F45" s="86" t="b">
        <v>1</v>
      </c>
      <c r="G45" s="85" t="str">
        <f t="shared" si="3"/>
        <v>EUR45x57F_SYNTH1Y_Quote</v>
      </c>
      <c r="H45" s="85" t="str">
        <f>_xll.qlFraRateHelper(,G45,B45,E45,Permanent,Trigger,ObjectOverwrite)</f>
        <v>obj_00ba1#0000</v>
      </c>
      <c r="I45" s="84" t="str">
        <f>_xll.ohRangeRetrieveError(H45)</f>
        <v/>
      </c>
      <c r="J45" s="52"/>
    </row>
    <row r="46" spans="1:10" x14ac:dyDescent="0.2">
      <c r="A46" s="54"/>
      <c r="B46" s="85" t="str">
        <f t="shared" si="0"/>
        <v>46M</v>
      </c>
      <c r="C46" s="88">
        <v>46</v>
      </c>
      <c r="D46" s="87" t="str">
        <f t="shared" si="1"/>
        <v>x58F</v>
      </c>
      <c r="E46" s="85" t="str">
        <f t="shared" si="2"/>
        <v>Euribor1Y</v>
      </c>
      <c r="F46" s="86" t="b">
        <v>1</v>
      </c>
      <c r="G46" s="85" t="str">
        <f t="shared" si="3"/>
        <v>EUR46x58F_SYNTH1Y_Quote</v>
      </c>
      <c r="H46" s="85" t="str">
        <f>_xll.qlFraRateHelper(,G46,B46,E46,Permanent,Trigger,ObjectOverwrite)</f>
        <v>obj_00ba5#0000</v>
      </c>
      <c r="I46" s="84" t="str">
        <f>_xll.ohRangeRetrieveError(H46)</f>
        <v/>
      </c>
      <c r="J46" s="52"/>
    </row>
    <row r="47" spans="1:10" x14ac:dyDescent="0.2">
      <c r="A47" s="54"/>
      <c r="B47" s="81" t="str">
        <f t="shared" si="0"/>
        <v>47M</v>
      </c>
      <c r="C47" s="83">
        <v>47</v>
      </c>
      <c r="D47" s="53" t="str">
        <f t="shared" si="1"/>
        <v>x59F</v>
      </c>
      <c r="E47" s="81" t="str">
        <f t="shared" si="2"/>
        <v>Euribor1Y</v>
      </c>
      <c r="F47" s="82" t="b">
        <v>1</v>
      </c>
      <c r="G47" s="81" t="str">
        <f t="shared" si="3"/>
        <v>EUR47x59F_SYNTH1Y_Quote</v>
      </c>
      <c r="H47" s="81" t="str">
        <f>_xll.qlFraRateHelper(,G47,B47,E47,Permanent,Trigger,ObjectOverwrite)</f>
        <v>obj_00ba6#0000</v>
      </c>
      <c r="I47" s="80" t="str">
        <f>_xll.ohRangeRetrieveError(H47)</f>
        <v/>
      </c>
      <c r="J47" s="52"/>
    </row>
    <row r="48" spans="1:10" ht="12" thickBot="1" x14ac:dyDescent="0.25">
      <c r="A48" s="51"/>
      <c r="B48" s="50"/>
      <c r="C48" s="50"/>
      <c r="D48" s="50"/>
      <c r="E48" s="50"/>
      <c r="F48" s="50"/>
      <c r="G48" s="50"/>
      <c r="H48" s="79"/>
      <c r="I48" s="79"/>
      <c r="J48" s="49"/>
    </row>
    <row r="50" spans="4:8" x14ac:dyDescent="0.2">
      <c r="D50" s="57"/>
      <c r="E50" s="57"/>
      <c r="F50" s="57"/>
      <c r="H50" s="5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43"/>
  <sheetViews>
    <sheetView workbookViewId="0"/>
  </sheetViews>
  <sheetFormatPr defaultRowHeight="11.25" x14ac:dyDescent="0.2"/>
  <cols>
    <col min="1" max="1" width="1.7109375" style="57" customWidth="1"/>
    <col min="2" max="2" width="4.7109375" style="57" bestFit="1" customWidth="1"/>
    <col min="3" max="3" width="3.85546875" style="57" bestFit="1" customWidth="1"/>
    <col min="4" max="4" width="3.140625" style="57" bestFit="1" customWidth="1"/>
    <col min="5" max="5" width="3.570312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21.140625" style="57" bestFit="1" customWidth="1"/>
    <col min="11" max="11" width="31.28515625" style="78" bestFit="1" customWidth="1"/>
    <col min="12" max="12" width="16.5703125" style="57" customWidth="1"/>
    <col min="13" max="13" width="3.85546875" style="57" customWidth="1"/>
    <col min="14" max="14" width="2.5703125" style="57" customWidth="1"/>
    <col min="15" max="15" width="4" style="57" bestFit="1" customWidth="1"/>
    <col min="16" max="16" width="3.28515625" style="57" bestFit="1" customWidth="1"/>
    <col min="17" max="17" width="3.5703125" style="57" bestFit="1" customWidth="1"/>
    <col min="18" max="16384" width="9.140625" style="57"/>
  </cols>
  <sheetData>
    <row r="1" spans="1:17" x14ac:dyDescent="0.2">
      <c r="A1" s="127"/>
      <c r="B1" s="104"/>
      <c r="C1" s="104"/>
      <c r="D1" s="104"/>
      <c r="E1" s="104"/>
      <c r="F1" s="104"/>
      <c r="G1" s="104"/>
      <c r="H1" s="104"/>
      <c r="I1" s="104"/>
      <c r="J1" s="104"/>
      <c r="K1" s="104"/>
      <c r="L1" s="104"/>
      <c r="M1" s="126"/>
    </row>
    <row r="2" spans="1:17" x14ac:dyDescent="0.2">
      <c r="A2" s="54"/>
      <c r="B2" s="58"/>
      <c r="C2" s="58"/>
      <c r="D2" s="58"/>
      <c r="E2" s="58"/>
      <c r="F2" s="58"/>
      <c r="G2" s="58"/>
      <c r="H2" s="58"/>
      <c r="I2" s="2" t="s">
        <v>36</v>
      </c>
      <c r="J2" s="2" t="str">
        <f>Currency&amp;"_YC"&amp;$I$2&amp;"RH"</f>
        <v>EUR_YC1YRH</v>
      </c>
      <c r="K2" s="125" t="str">
        <f>J2&amp;"_SwapsFromBasis.xml"</f>
        <v>EUR_YC1YRH_SwapsFromBasis.xml</v>
      </c>
      <c r="L2" s="58"/>
      <c r="M2" s="106"/>
    </row>
    <row r="3" spans="1:17" ht="22.5" x14ac:dyDescent="0.2">
      <c r="A3" s="54"/>
      <c r="B3" s="56" t="s">
        <v>129</v>
      </c>
      <c r="C3" s="56"/>
      <c r="D3" s="56"/>
      <c r="E3" s="56"/>
      <c r="F3" s="56" t="s">
        <v>128</v>
      </c>
      <c r="G3" s="56" t="s">
        <v>127</v>
      </c>
      <c r="H3" s="56" t="s">
        <v>126</v>
      </c>
      <c r="I3" s="56" t="s">
        <v>125</v>
      </c>
      <c r="J3" s="56" t="s">
        <v>107</v>
      </c>
      <c r="K3" s="124" t="str">
        <f>IF(Serialize,_xll.ohObjectSave(K4:K42,SerializationPath&amp;K2,FileOverwrite,Serialize),"---")</f>
        <v>---</v>
      </c>
      <c r="L3" s="107" t="str">
        <f>_xll.ohRangeRetrieveError(K3)</f>
        <v/>
      </c>
      <c r="M3" s="106"/>
    </row>
    <row r="4" spans="1:17" x14ac:dyDescent="0.2">
      <c r="A4" s="59"/>
      <c r="B4" s="58"/>
      <c r="C4" s="58"/>
      <c r="D4" s="58"/>
      <c r="E4" s="58"/>
      <c r="F4" s="58"/>
      <c r="G4" s="58"/>
      <c r="H4" s="58"/>
      <c r="I4" s="58"/>
      <c r="J4" s="58"/>
      <c r="K4" s="123" t="str">
        <f>IF(UPPER(FamilyName)="IBOR",_xll.qlEuribor(,$I$2,,Permanent,Trigger,ObjectOverwrite),IF(UPPER(FamilyName)="LIBOR",_xll.qlLibor(,Currency,$I$2,,Permanent,Trigger,ObjectOverwrite),"--"))</f>
        <v>obj_00ba0#0000</v>
      </c>
      <c r="L4" s="122" t="str">
        <f>_xll.ohRangeRetrieveError(K4)</f>
        <v/>
      </c>
      <c r="M4" s="106"/>
    </row>
    <row r="5" spans="1:17" x14ac:dyDescent="0.2">
      <c r="A5" s="59"/>
      <c r="B5" s="58"/>
      <c r="C5" s="58"/>
      <c r="D5" s="58"/>
      <c r="E5" s="58"/>
      <c r="F5" s="58"/>
      <c r="G5" s="58"/>
      <c r="H5" s="58"/>
      <c r="I5" s="58"/>
      <c r="J5" s="58"/>
      <c r="K5" s="58"/>
      <c r="L5" s="58"/>
      <c r="M5" s="106"/>
    </row>
    <row r="6" spans="1:17" x14ac:dyDescent="0.2">
      <c r="A6" s="54"/>
      <c r="B6" s="121" t="s">
        <v>119</v>
      </c>
      <c r="C6" s="96" t="s">
        <v>36</v>
      </c>
      <c r="D6" s="121" t="str">
        <f>VLOOKUP(Currency,Swap1YConventions,2)</f>
        <v>AB</v>
      </c>
      <c r="E6" s="121" t="str">
        <f>VLOOKUP(Currency,Swap1YConventions,3)</f>
        <v>12E</v>
      </c>
      <c r="F6" s="120" t="str">
        <f t="shared" ref="F6:F42" si="0">IF(UPPER(LEFT($D6))="A","Annual",IF(UPPER(LEFT($D6))="S","Semiannual","--"))</f>
        <v>Annual</v>
      </c>
      <c r="G6" s="120" t="s">
        <v>121</v>
      </c>
      <c r="H6" s="120" t="str">
        <f t="shared" ref="H6:H42" si="1">IF(UPPER(RIGHT($D6))="B",BondBasisDayCounter,IF(UPPER(RIGHT($D6))="M",MoneyMarketDayCounter,"--"))</f>
        <v>30/360 (Bond Basis)</v>
      </c>
      <c r="I6" s="110">
        <v>0</v>
      </c>
      <c r="J6" s="109" t="str">
        <f t="shared" ref="J6:J42" si="2">Currency&amp;$D6&amp;$E6&amp;"BASIS"&amp;$C6&amp;QuoteSuffix</f>
        <v>EURAB12EBASIS1Y_Quote</v>
      </c>
      <c r="K6" s="108" t="str">
        <f>_xll.qlSwapRateHelper2(,$J6,$C6,Calendar,$F6,$G6,$H6,$K$4,$I6,B6,Discounting,Permanent,,ObjectOverwrite)</f>
        <v>obj_00bb0#0000</v>
      </c>
      <c r="L6" s="107" t="str">
        <f>_xll.ohRangeRetrieveError(K6)</f>
        <v/>
      </c>
      <c r="M6" s="106"/>
    </row>
    <row r="7" spans="1:17" x14ac:dyDescent="0.2">
      <c r="A7" s="54"/>
      <c r="B7" s="96" t="str">
        <f t="shared" ref="B7:B42" si="3">B6</f>
        <v>0D</v>
      </c>
      <c r="C7" s="96" t="s">
        <v>35</v>
      </c>
      <c r="D7" s="96" t="str">
        <f t="shared" ref="D7:D42" si="4">D6</f>
        <v>AB</v>
      </c>
      <c r="E7" s="96" t="str">
        <f t="shared" ref="E7:E42" si="5">E6</f>
        <v>12E</v>
      </c>
      <c r="F7" s="111" t="str">
        <f t="shared" si="0"/>
        <v>Annual</v>
      </c>
      <c r="G7" s="111" t="s">
        <v>121</v>
      </c>
      <c r="H7" s="111" t="str">
        <f t="shared" si="1"/>
        <v>30/360 (Bond Basis)</v>
      </c>
      <c r="I7" s="110">
        <v>0</v>
      </c>
      <c r="J7" s="109" t="str">
        <f t="shared" si="2"/>
        <v>EURAB12EBASIS15M_Quote</v>
      </c>
      <c r="K7" s="108" t="str">
        <f>_xll.qlSwapRateHelper2(,$J7,$C7,Calendar,$F7,$G7,$H7,$K$4,$I7,B7,Discounting,Permanent,,ObjectOverwrite)</f>
        <v>obj_00bd0#0000</v>
      </c>
      <c r="L7" s="107" t="str">
        <f>_xll.ohRangeRetrieveError(K7)</f>
        <v/>
      </c>
      <c r="M7" s="106"/>
    </row>
    <row r="8" spans="1:17" x14ac:dyDescent="0.2">
      <c r="A8" s="54"/>
      <c r="B8" s="96" t="str">
        <f t="shared" si="3"/>
        <v>0D</v>
      </c>
      <c r="C8" s="96" t="s">
        <v>34</v>
      </c>
      <c r="D8" s="96" t="str">
        <f t="shared" si="4"/>
        <v>AB</v>
      </c>
      <c r="E8" s="96" t="str">
        <f t="shared" si="5"/>
        <v>12E</v>
      </c>
      <c r="F8" s="111" t="str">
        <f t="shared" si="0"/>
        <v>Annual</v>
      </c>
      <c r="G8" s="111" t="s">
        <v>121</v>
      </c>
      <c r="H8" s="111" t="str">
        <f t="shared" si="1"/>
        <v>30/360 (Bond Basis)</v>
      </c>
      <c r="I8" s="110">
        <v>0</v>
      </c>
      <c r="J8" s="109" t="str">
        <f t="shared" si="2"/>
        <v>EURAB12EBASIS18M_Quote</v>
      </c>
      <c r="K8" s="108" t="str">
        <f>_xll.qlSwapRateHelper2(,$J8,$C8,Calendar,$F8,$G8,$H8,$K$4,$I8,B8,Discounting,Permanent,,ObjectOverwrite)</f>
        <v>obj_00bd1#0000</v>
      </c>
      <c r="L8" s="107" t="str">
        <f>_xll.ohRangeRetrieveError(K8)</f>
        <v/>
      </c>
      <c r="M8" s="106"/>
    </row>
    <row r="9" spans="1:17" ht="12" thickBot="1" x14ac:dyDescent="0.25">
      <c r="A9" s="54"/>
      <c r="B9" s="96" t="str">
        <f t="shared" si="3"/>
        <v>0D</v>
      </c>
      <c r="C9" s="96" t="s">
        <v>33</v>
      </c>
      <c r="D9" s="96" t="str">
        <f t="shared" si="4"/>
        <v>AB</v>
      </c>
      <c r="E9" s="96" t="str">
        <f t="shared" si="5"/>
        <v>12E</v>
      </c>
      <c r="F9" s="111" t="str">
        <f t="shared" si="0"/>
        <v>Annual</v>
      </c>
      <c r="G9" s="111" t="s">
        <v>121</v>
      </c>
      <c r="H9" s="111" t="str">
        <f t="shared" si="1"/>
        <v>30/360 (Bond Basis)</v>
      </c>
      <c r="I9" s="110">
        <v>0</v>
      </c>
      <c r="J9" s="109" t="str">
        <f t="shared" si="2"/>
        <v>EURAB12EBASIS21M_Quote</v>
      </c>
      <c r="K9" s="108" t="str">
        <f>_xll.qlSwapRateHelper2(,$J9,$C9,Calendar,$F9,$G9,$H9,$K$4,$I9,B9,Discounting,Permanent,,ObjectOverwrite)</f>
        <v>obj_00bd2#0000</v>
      </c>
      <c r="L9" s="107" t="str">
        <f>_xll.ohRangeRetrieveError(K9)</f>
        <v/>
      </c>
      <c r="M9" s="106"/>
    </row>
    <row r="10" spans="1:17" x14ac:dyDescent="0.2">
      <c r="A10" s="54"/>
      <c r="B10" s="96" t="str">
        <f t="shared" si="3"/>
        <v>0D</v>
      </c>
      <c r="C10" s="96" t="s">
        <v>32</v>
      </c>
      <c r="D10" s="96" t="str">
        <f t="shared" si="4"/>
        <v>AB</v>
      </c>
      <c r="E10" s="96" t="str">
        <f t="shared" si="5"/>
        <v>12E</v>
      </c>
      <c r="F10" s="111" t="str">
        <f t="shared" si="0"/>
        <v>Annual</v>
      </c>
      <c r="G10" s="111" t="s">
        <v>121</v>
      </c>
      <c r="H10" s="111" t="str">
        <f t="shared" si="1"/>
        <v>30/360 (Bond Basis)</v>
      </c>
      <c r="I10" s="110">
        <v>0</v>
      </c>
      <c r="J10" s="109" t="str">
        <f t="shared" si="2"/>
        <v>EURAB12EBASIS2Y_Quote</v>
      </c>
      <c r="K10" s="108" t="str">
        <f>_xll.qlSwapRateHelper2(,$J10,$C10,Calendar,$F10,$G10,$H10,$K$4,$I10,B10,Discounting,Permanent,,ObjectOverwrite)</f>
        <v>obj_00bd3#0000</v>
      </c>
      <c r="L10" s="107" t="str">
        <f>_xll.ohRangeRetrieveError(K10)</f>
        <v/>
      </c>
      <c r="M10" s="106"/>
      <c r="O10" s="119" t="s">
        <v>96</v>
      </c>
      <c r="P10" s="101" t="s">
        <v>93</v>
      </c>
      <c r="Q10" s="118" t="s">
        <v>122</v>
      </c>
    </row>
    <row r="11" spans="1:17" x14ac:dyDescent="0.2">
      <c r="A11" s="54"/>
      <c r="B11" s="96" t="str">
        <f t="shared" si="3"/>
        <v>0D</v>
      </c>
      <c r="C11" s="96" t="s">
        <v>31</v>
      </c>
      <c r="D11" s="96" t="str">
        <f t="shared" si="4"/>
        <v>AB</v>
      </c>
      <c r="E11" s="96" t="str">
        <f t="shared" si="5"/>
        <v>12E</v>
      </c>
      <c r="F11" s="111" t="str">
        <f t="shared" si="0"/>
        <v>Annual</v>
      </c>
      <c r="G11" s="111" t="s">
        <v>121</v>
      </c>
      <c r="H11" s="111" t="str">
        <f t="shared" si="1"/>
        <v>30/360 (Bond Basis)</v>
      </c>
      <c r="I11" s="110">
        <v>0</v>
      </c>
      <c r="J11" s="109" t="str">
        <f t="shared" si="2"/>
        <v>EURAB12EBASIS3Y_Quote</v>
      </c>
      <c r="K11" s="108" t="str">
        <f>_xll.qlSwapRateHelper2(,$J11,$C11,Calendar,$F11,$G11,$H11,$K$4,$I11,B11,Discounting,Permanent,,ObjectOverwrite)</f>
        <v>obj_00bd4#0000</v>
      </c>
      <c r="L11" s="107" t="str">
        <f>_xll.ohRangeRetrieveError(K11)</f>
        <v/>
      </c>
      <c r="M11" s="106"/>
      <c r="O11" s="117" t="s">
        <v>94</v>
      </c>
      <c r="P11" s="112" t="s">
        <v>93</v>
      </c>
      <c r="Q11" s="116" t="s">
        <v>124</v>
      </c>
    </row>
    <row r="12" spans="1:17" x14ac:dyDescent="0.2">
      <c r="A12" s="54"/>
      <c r="B12" s="96" t="str">
        <f t="shared" si="3"/>
        <v>0D</v>
      </c>
      <c r="C12" s="96" t="s">
        <v>30</v>
      </c>
      <c r="D12" s="96" t="str">
        <f t="shared" si="4"/>
        <v>AB</v>
      </c>
      <c r="E12" s="96" t="str">
        <f t="shared" si="5"/>
        <v>12E</v>
      </c>
      <c r="F12" s="111" t="str">
        <f t="shared" si="0"/>
        <v>Annual</v>
      </c>
      <c r="G12" s="111" t="s">
        <v>121</v>
      </c>
      <c r="H12" s="111" t="str">
        <f t="shared" si="1"/>
        <v>30/360 (Bond Basis)</v>
      </c>
      <c r="I12" s="110">
        <v>0</v>
      </c>
      <c r="J12" s="109" t="str">
        <f t="shared" si="2"/>
        <v>EURAB12EBASIS4Y_Quote</v>
      </c>
      <c r="K12" s="108" t="str">
        <f>_xll.qlSwapRateHelper2(,$J12,$C12,Calendar,$F12,$G12,$H12,$K$4,$I12,B12,Discounting,Permanent,,ObjectOverwrite)</f>
        <v>obj_00bd5#0000</v>
      </c>
      <c r="L12" s="107" t="str">
        <f>_xll.ohRangeRetrieveError(K12)</f>
        <v/>
      </c>
      <c r="M12" s="106"/>
      <c r="O12" s="117" t="s">
        <v>91</v>
      </c>
      <c r="P12" s="112" t="s">
        <v>123</v>
      </c>
      <c r="Q12" s="116" t="s">
        <v>122</v>
      </c>
    </row>
    <row r="13" spans="1:17" x14ac:dyDescent="0.2">
      <c r="A13" s="54"/>
      <c r="B13" s="96" t="str">
        <f t="shared" si="3"/>
        <v>0D</v>
      </c>
      <c r="C13" s="96" t="s">
        <v>29</v>
      </c>
      <c r="D13" s="96" t="str">
        <f t="shared" si="4"/>
        <v>AB</v>
      </c>
      <c r="E13" s="96" t="str">
        <f t="shared" si="5"/>
        <v>12E</v>
      </c>
      <c r="F13" s="111" t="str">
        <f t="shared" si="0"/>
        <v>Annual</v>
      </c>
      <c r="G13" s="111" t="s">
        <v>121</v>
      </c>
      <c r="H13" s="111" t="str">
        <f t="shared" si="1"/>
        <v>30/360 (Bond Basis)</v>
      </c>
      <c r="I13" s="110">
        <v>0</v>
      </c>
      <c r="J13" s="109" t="str">
        <f t="shared" si="2"/>
        <v>EURAB12EBASIS5Y_Quote</v>
      </c>
      <c r="K13" s="108" t="str">
        <f>_xll.qlSwapRateHelper2(,$J13,$C13,Calendar,$F13,$G13,$H13,$K$4,$I13,B13,Discounting,Permanent,,ObjectOverwrite)</f>
        <v>obj_00bd6#0000</v>
      </c>
      <c r="L13" s="107" t="str">
        <f>_xll.ohRangeRetrieveError(K13)</f>
        <v/>
      </c>
      <c r="M13" s="106"/>
      <c r="O13" s="117" t="s">
        <v>89</v>
      </c>
      <c r="P13" s="112" t="s">
        <v>123</v>
      </c>
      <c r="Q13" s="116" t="s">
        <v>122</v>
      </c>
    </row>
    <row r="14" spans="1:17" ht="12" thickBot="1" x14ac:dyDescent="0.25">
      <c r="A14" s="54"/>
      <c r="B14" s="96" t="str">
        <f t="shared" si="3"/>
        <v>0D</v>
      </c>
      <c r="C14" s="96" t="s">
        <v>28</v>
      </c>
      <c r="D14" s="96" t="str">
        <f t="shared" si="4"/>
        <v>AB</v>
      </c>
      <c r="E14" s="96" t="str">
        <f t="shared" si="5"/>
        <v>12E</v>
      </c>
      <c r="F14" s="111" t="str">
        <f t="shared" si="0"/>
        <v>Annual</v>
      </c>
      <c r="G14" s="111" t="s">
        <v>121</v>
      </c>
      <c r="H14" s="111" t="str">
        <f t="shared" si="1"/>
        <v>30/360 (Bond Basis)</v>
      </c>
      <c r="I14" s="110">
        <v>0</v>
      </c>
      <c r="J14" s="109" t="str">
        <f t="shared" si="2"/>
        <v>EURAB12EBASIS6Y_Quote</v>
      </c>
      <c r="K14" s="108" t="str">
        <f>_xll.qlSwapRateHelper2(,$J14,$C14,Calendar,$F14,$G14,$H14,$K$4,$I14,B14,Discounting,Permanent,,ObjectOverwrite)</f>
        <v>obj_00bd7#0000</v>
      </c>
      <c r="L14" s="107" t="str">
        <f>_xll.ohRangeRetrieveError(K14)</f>
        <v/>
      </c>
      <c r="M14" s="106"/>
      <c r="O14" s="115" t="s">
        <v>87</v>
      </c>
      <c r="P14" s="114" t="s">
        <v>86</v>
      </c>
      <c r="Q14" s="113" t="s">
        <v>122</v>
      </c>
    </row>
    <row r="15" spans="1:17" x14ac:dyDescent="0.2">
      <c r="A15" s="54"/>
      <c r="B15" s="96" t="str">
        <f t="shared" si="3"/>
        <v>0D</v>
      </c>
      <c r="C15" s="96" t="s">
        <v>27</v>
      </c>
      <c r="D15" s="96" t="str">
        <f t="shared" si="4"/>
        <v>AB</v>
      </c>
      <c r="E15" s="96" t="str">
        <f t="shared" si="5"/>
        <v>12E</v>
      </c>
      <c r="F15" s="111" t="str">
        <f t="shared" si="0"/>
        <v>Annual</v>
      </c>
      <c r="G15" s="111" t="s">
        <v>121</v>
      </c>
      <c r="H15" s="111" t="str">
        <f t="shared" si="1"/>
        <v>30/360 (Bond Basis)</v>
      </c>
      <c r="I15" s="110">
        <v>0</v>
      </c>
      <c r="J15" s="109" t="str">
        <f t="shared" si="2"/>
        <v>EURAB12EBASIS7Y_Quote</v>
      </c>
      <c r="K15" s="108" t="str">
        <f>_xll.qlSwapRateHelper2(,$J15,$C15,Calendar,$F15,$G15,$H15,$K$4,$I15,B15,Discounting,Permanent,,ObjectOverwrite)</f>
        <v>obj_00bd8#0000</v>
      </c>
      <c r="L15" s="107" t="str">
        <f>_xll.ohRangeRetrieveError(K15)</f>
        <v/>
      </c>
      <c r="M15" s="106"/>
      <c r="O15" s="112"/>
      <c r="P15" s="112"/>
      <c r="Q15" s="112"/>
    </row>
    <row r="16" spans="1:17" x14ac:dyDescent="0.2">
      <c r="A16" s="54"/>
      <c r="B16" s="96" t="str">
        <f t="shared" si="3"/>
        <v>0D</v>
      </c>
      <c r="C16" s="96" t="s">
        <v>26</v>
      </c>
      <c r="D16" s="96" t="str">
        <f t="shared" si="4"/>
        <v>AB</v>
      </c>
      <c r="E16" s="96" t="str">
        <f t="shared" si="5"/>
        <v>12E</v>
      </c>
      <c r="F16" s="111" t="str">
        <f t="shared" si="0"/>
        <v>Annual</v>
      </c>
      <c r="G16" s="111" t="s">
        <v>121</v>
      </c>
      <c r="H16" s="111" t="str">
        <f t="shared" si="1"/>
        <v>30/360 (Bond Basis)</v>
      </c>
      <c r="I16" s="110">
        <v>0</v>
      </c>
      <c r="J16" s="109" t="str">
        <f t="shared" si="2"/>
        <v>EURAB12EBASIS8Y_Quote</v>
      </c>
      <c r="K16" s="108" t="str">
        <f>_xll.qlSwapRateHelper2(,$J16,$C16,Calendar,$F16,$G16,$H16,$K$4,$I16,B16,Discounting,Permanent,,ObjectOverwrite)</f>
        <v>obj_00bd9#0000</v>
      </c>
      <c r="L16" s="107" t="str">
        <f>_xll.ohRangeRetrieveError(K16)</f>
        <v/>
      </c>
      <c r="M16" s="106"/>
    </row>
    <row r="17" spans="1:13" x14ac:dyDescent="0.2">
      <c r="A17" s="54"/>
      <c r="B17" s="96" t="str">
        <f t="shared" si="3"/>
        <v>0D</v>
      </c>
      <c r="C17" s="96" t="s">
        <v>25</v>
      </c>
      <c r="D17" s="96" t="str">
        <f t="shared" si="4"/>
        <v>AB</v>
      </c>
      <c r="E17" s="96" t="str">
        <f t="shared" si="5"/>
        <v>12E</v>
      </c>
      <c r="F17" s="111" t="str">
        <f t="shared" si="0"/>
        <v>Annual</v>
      </c>
      <c r="G17" s="111" t="s">
        <v>121</v>
      </c>
      <c r="H17" s="111" t="str">
        <f t="shared" si="1"/>
        <v>30/360 (Bond Basis)</v>
      </c>
      <c r="I17" s="110">
        <v>0</v>
      </c>
      <c r="J17" s="109" t="str">
        <f t="shared" si="2"/>
        <v>EURAB12EBASIS9Y_Quote</v>
      </c>
      <c r="K17" s="108" t="str">
        <f>_xll.qlSwapRateHelper2(,$J17,$C17,Calendar,$F17,$G17,$H17,$K$4,$I17,B17,Discounting,Permanent,,ObjectOverwrite)</f>
        <v>obj_00bda#0000</v>
      </c>
      <c r="L17" s="107" t="str">
        <f>_xll.ohRangeRetrieveError(K17)</f>
        <v/>
      </c>
      <c r="M17" s="106"/>
    </row>
    <row r="18" spans="1:13" x14ac:dyDescent="0.2">
      <c r="A18" s="54"/>
      <c r="B18" s="96" t="str">
        <f t="shared" si="3"/>
        <v>0D</v>
      </c>
      <c r="C18" s="96" t="s">
        <v>24</v>
      </c>
      <c r="D18" s="96" t="str">
        <f t="shared" si="4"/>
        <v>AB</v>
      </c>
      <c r="E18" s="96" t="str">
        <f t="shared" si="5"/>
        <v>12E</v>
      </c>
      <c r="F18" s="111" t="str">
        <f t="shared" si="0"/>
        <v>Annual</v>
      </c>
      <c r="G18" s="111" t="s">
        <v>121</v>
      </c>
      <c r="H18" s="111" t="str">
        <f t="shared" si="1"/>
        <v>30/360 (Bond Basis)</v>
      </c>
      <c r="I18" s="110">
        <v>0</v>
      </c>
      <c r="J18" s="109" t="str">
        <f t="shared" si="2"/>
        <v>EURAB12EBASIS10Y_Quote</v>
      </c>
      <c r="K18" s="108" t="str">
        <f>_xll.qlSwapRateHelper2(,$J18,$C18,Calendar,$F18,$G18,$H18,$K$4,$I18,B18,Discounting,Permanent,,ObjectOverwrite)</f>
        <v>obj_00bdc#0000</v>
      </c>
      <c r="L18" s="107" t="str">
        <f>_xll.ohRangeRetrieveError(K18)</f>
        <v/>
      </c>
      <c r="M18" s="106"/>
    </row>
    <row r="19" spans="1:13" x14ac:dyDescent="0.2">
      <c r="A19" s="54"/>
      <c r="B19" s="96" t="str">
        <f t="shared" si="3"/>
        <v>0D</v>
      </c>
      <c r="C19" s="96" t="s">
        <v>23</v>
      </c>
      <c r="D19" s="96" t="str">
        <f t="shared" si="4"/>
        <v>AB</v>
      </c>
      <c r="E19" s="96" t="str">
        <f t="shared" si="5"/>
        <v>12E</v>
      </c>
      <c r="F19" s="111" t="str">
        <f t="shared" si="0"/>
        <v>Annual</v>
      </c>
      <c r="G19" s="111" t="s">
        <v>121</v>
      </c>
      <c r="H19" s="111" t="str">
        <f t="shared" si="1"/>
        <v>30/360 (Bond Basis)</v>
      </c>
      <c r="I19" s="110">
        <v>0</v>
      </c>
      <c r="J19" s="109" t="str">
        <f t="shared" si="2"/>
        <v>EURAB12EBASIS11Y_Quote</v>
      </c>
      <c r="K19" s="108" t="str">
        <f>_xll.qlSwapRateHelper2(,$J19,$C19,Calendar,$F19,$G19,$H19,$K$4,$I19,B19,Discounting,Permanent,,ObjectOverwrite)</f>
        <v>obj_00bdb#0000</v>
      </c>
      <c r="L19" s="107" t="str">
        <f>_xll.ohRangeRetrieveError(K19)</f>
        <v/>
      </c>
      <c r="M19" s="106"/>
    </row>
    <row r="20" spans="1:13" x14ac:dyDescent="0.2">
      <c r="A20" s="54"/>
      <c r="B20" s="96" t="str">
        <f t="shared" si="3"/>
        <v>0D</v>
      </c>
      <c r="C20" s="96" t="s">
        <v>22</v>
      </c>
      <c r="D20" s="96" t="str">
        <f t="shared" si="4"/>
        <v>AB</v>
      </c>
      <c r="E20" s="96" t="str">
        <f t="shared" si="5"/>
        <v>12E</v>
      </c>
      <c r="F20" s="111" t="str">
        <f t="shared" si="0"/>
        <v>Annual</v>
      </c>
      <c r="G20" s="111" t="s">
        <v>121</v>
      </c>
      <c r="H20" s="111" t="str">
        <f t="shared" si="1"/>
        <v>30/360 (Bond Basis)</v>
      </c>
      <c r="I20" s="110">
        <v>0</v>
      </c>
      <c r="J20" s="109" t="str">
        <f t="shared" si="2"/>
        <v>EURAB12EBASIS12Y_Quote</v>
      </c>
      <c r="K20" s="108" t="str">
        <f>_xll.qlSwapRateHelper2(,$J20,$C20,Calendar,$F20,$G20,$H20,$K$4,$I20,B20,Discounting,Permanent,,ObjectOverwrite)</f>
        <v>obj_00bdd#0000</v>
      </c>
      <c r="L20" s="107" t="str">
        <f>_xll.ohRangeRetrieveError(K20)</f>
        <v/>
      </c>
      <c r="M20" s="106"/>
    </row>
    <row r="21" spans="1:13" x14ac:dyDescent="0.2">
      <c r="A21" s="54"/>
      <c r="B21" s="96" t="str">
        <f t="shared" si="3"/>
        <v>0D</v>
      </c>
      <c r="C21" s="96" t="s">
        <v>21</v>
      </c>
      <c r="D21" s="96" t="str">
        <f t="shared" si="4"/>
        <v>AB</v>
      </c>
      <c r="E21" s="96" t="str">
        <f t="shared" si="5"/>
        <v>12E</v>
      </c>
      <c r="F21" s="111" t="str">
        <f t="shared" si="0"/>
        <v>Annual</v>
      </c>
      <c r="G21" s="111" t="s">
        <v>121</v>
      </c>
      <c r="H21" s="111" t="str">
        <f t="shared" si="1"/>
        <v>30/360 (Bond Basis)</v>
      </c>
      <c r="I21" s="110">
        <v>0</v>
      </c>
      <c r="J21" s="109" t="str">
        <f t="shared" si="2"/>
        <v>EURAB12EBASIS13Y_Quote</v>
      </c>
      <c r="K21" s="108" t="str">
        <f>_xll.qlSwapRateHelper2(,$J21,$C21,Calendar,$F21,$G21,$H21,$K$4,$I21,B21,Discounting,Permanent,,ObjectOverwrite)</f>
        <v>obj_00bde#0000</v>
      </c>
      <c r="L21" s="107" t="str">
        <f>_xll.ohRangeRetrieveError(K21)</f>
        <v/>
      </c>
      <c r="M21" s="106"/>
    </row>
    <row r="22" spans="1:13" x14ac:dyDescent="0.2">
      <c r="A22" s="54"/>
      <c r="B22" s="96" t="str">
        <f t="shared" si="3"/>
        <v>0D</v>
      </c>
      <c r="C22" s="96" t="s">
        <v>20</v>
      </c>
      <c r="D22" s="96" t="str">
        <f t="shared" si="4"/>
        <v>AB</v>
      </c>
      <c r="E22" s="96" t="str">
        <f t="shared" si="5"/>
        <v>12E</v>
      </c>
      <c r="F22" s="111" t="str">
        <f t="shared" si="0"/>
        <v>Annual</v>
      </c>
      <c r="G22" s="111" t="s">
        <v>121</v>
      </c>
      <c r="H22" s="111" t="str">
        <f t="shared" si="1"/>
        <v>30/360 (Bond Basis)</v>
      </c>
      <c r="I22" s="110">
        <v>0</v>
      </c>
      <c r="J22" s="109" t="str">
        <f t="shared" si="2"/>
        <v>EURAB12EBASIS14Y_Quote</v>
      </c>
      <c r="K22" s="108" t="str">
        <f>_xll.qlSwapRateHelper2(,$J22,$C22,Calendar,$F22,$G22,$H22,$K$4,$I22,B22,Discounting,Permanent,,ObjectOverwrite)</f>
        <v>obj_00bdf#0000</v>
      </c>
      <c r="L22" s="107" t="str">
        <f>_xll.ohRangeRetrieveError(K22)</f>
        <v/>
      </c>
      <c r="M22" s="106"/>
    </row>
    <row r="23" spans="1:13" x14ac:dyDescent="0.2">
      <c r="A23" s="54"/>
      <c r="B23" s="96" t="str">
        <f t="shared" si="3"/>
        <v>0D</v>
      </c>
      <c r="C23" s="96" t="s">
        <v>19</v>
      </c>
      <c r="D23" s="96" t="str">
        <f t="shared" si="4"/>
        <v>AB</v>
      </c>
      <c r="E23" s="96" t="str">
        <f t="shared" si="5"/>
        <v>12E</v>
      </c>
      <c r="F23" s="111" t="str">
        <f t="shared" si="0"/>
        <v>Annual</v>
      </c>
      <c r="G23" s="111" t="s">
        <v>121</v>
      </c>
      <c r="H23" s="111" t="str">
        <f t="shared" si="1"/>
        <v>30/360 (Bond Basis)</v>
      </c>
      <c r="I23" s="110">
        <v>0</v>
      </c>
      <c r="J23" s="109" t="str">
        <f t="shared" si="2"/>
        <v>EURAB12EBASIS15Y_Quote</v>
      </c>
      <c r="K23" s="108" t="str">
        <f>_xll.qlSwapRateHelper2(,$J23,$C23,Calendar,$F23,$G23,$H23,$K$4,$I23,B23,Discounting,Permanent,,ObjectOverwrite)</f>
        <v>obj_00be0#0000</v>
      </c>
      <c r="L23" s="107" t="str">
        <f>_xll.ohRangeRetrieveError(K23)</f>
        <v/>
      </c>
      <c r="M23" s="106"/>
    </row>
    <row r="24" spans="1:13" x14ac:dyDescent="0.2">
      <c r="A24" s="54"/>
      <c r="B24" s="96" t="str">
        <f t="shared" si="3"/>
        <v>0D</v>
      </c>
      <c r="C24" s="96" t="s">
        <v>18</v>
      </c>
      <c r="D24" s="96" t="str">
        <f t="shared" si="4"/>
        <v>AB</v>
      </c>
      <c r="E24" s="96" t="str">
        <f t="shared" si="5"/>
        <v>12E</v>
      </c>
      <c r="F24" s="111" t="str">
        <f t="shared" si="0"/>
        <v>Annual</v>
      </c>
      <c r="G24" s="111" t="s">
        <v>121</v>
      </c>
      <c r="H24" s="111" t="str">
        <f t="shared" si="1"/>
        <v>30/360 (Bond Basis)</v>
      </c>
      <c r="I24" s="110">
        <v>0</v>
      </c>
      <c r="J24" s="109" t="str">
        <f t="shared" si="2"/>
        <v>EURAB12EBASIS16Y_Quote</v>
      </c>
      <c r="K24" s="108" t="str">
        <f>_xll.qlSwapRateHelper2(,$J24,$C24,Calendar,$F24,$G24,$H24,$K$4,$I24,B24,Discounting,Permanent,,ObjectOverwrite)</f>
        <v>obj_00be1#0000</v>
      </c>
      <c r="L24" s="107" t="str">
        <f>_xll.ohRangeRetrieveError(K24)</f>
        <v/>
      </c>
      <c r="M24" s="106"/>
    </row>
    <row r="25" spans="1:13" x14ac:dyDescent="0.2">
      <c r="A25" s="54"/>
      <c r="B25" s="96" t="str">
        <f t="shared" si="3"/>
        <v>0D</v>
      </c>
      <c r="C25" s="96" t="s">
        <v>17</v>
      </c>
      <c r="D25" s="96" t="str">
        <f t="shared" si="4"/>
        <v>AB</v>
      </c>
      <c r="E25" s="96" t="str">
        <f t="shared" si="5"/>
        <v>12E</v>
      </c>
      <c r="F25" s="111" t="str">
        <f t="shared" si="0"/>
        <v>Annual</v>
      </c>
      <c r="G25" s="111" t="s">
        <v>121</v>
      </c>
      <c r="H25" s="111" t="str">
        <f t="shared" si="1"/>
        <v>30/360 (Bond Basis)</v>
      </c>
      <c r="I25" s="110">
        <v>0</v>
      </c>
      <c r="J25" s="109" t="str">
        <f t="shared" si="2"/>
        <v>EURAB12EBASIS17Y_Quote</v>
      </c>
      <c r="K25" s="108" t="str">
        <f>_xll.qlSwapRateHelper2(,$J25,$C25,Calendar,$F25,$G25,$H25,$K$4,$I25,B25,Discounting,Permanent,,ObjectOverwrite)</f>
        <v>obj_00be2#0000</v>
      </c>
      <c r="L25" s="107" t="str">
        <f>_xll.ohRangeRetrieveError(K25)</f>
        <v/>
      </c>
      <c r="M25" s="106"/>
    </row>
    <row r="26" spans="1:13" x14ac:dyDescent="0.2">
      <c r="A26" s="54"/>
      <c r="B26" s="96" t="str">
        <f t="shared" si="3"/>
        <v>0D</v>
      </c>
      <c r="C26" s="96" t="s">
        <v>16</v>
      </c>
      <c r="D26" s="96" t="str">
        <f t="shared" si="4"/>
        <v>AB</v>
      </c>
      <c r="E26" s="96" t="str">
        <f t="shared" si="5"/>
        <v>12E</v>
      </c>
      <c r="F26" s="111" t="str">
        <f t="shared" si="0"/>
        <v>Annual</v>
      </c>
      <c r="G26" s="111" t="s">
        <v>121</v>
      </c>
      <c r="H26" s="111" t="str">
        <f t="shared" si="1"/>
        <v>30/360 (Bond Basis)</v>
      </c>
      <c r="I26" s="110">
        <v>0</v>
      </c>
      <c r="J26" s="109" t="str">
        <f t="shared" si="2"/>
        <v>EURAB12EBASIS18Y_Quote</v>
      </c>
      <c r="K26" s="108" t="str">
        <f>_xll.qlSwapRateHelper2(,$J26,$C26,Calendar,$F26,$G26,$H26,$K$4,$I26,B26,Discounting,Permanent,,ObjectOverwrite)</f>
        <v>obj_00be3#0000</v>
      </c>
      <c r="L26" s="107" t="str">
        <f>_xll.ohRangeRetrieveError(K26)</f>
        <v/>
      </c>
      <c r="M26" s="106"/>
    </row>
    <row r="27" spans="1:13" x14ac:dyDescent="0.2">
      <c r="A27" s="54"/>
      <c r="B27" s="96" t="str">
        <f t="shared" si="3"/>
        <v>0D</v>
      </c>
      <c r="C27" s="96" t="s">
        <v>15</v>
      </c>
      <c r="D27" s="96" t="str">
        <f t="shared" si="4"/>
        <v>AB</v>
      </c>
      <c r="E27" s="96" t="str">
        <f t="shared" si="5"/>
        <v>12E</v>
      </c>
      <c r="F27" s="111" t="str">
        <f t="shared" si="0"/>
        <v>Annual</v>
      </c>
      <c r="G27" s="111" t="s">
        <v>121</v>
      </c>
      <c r="H27" s="111" t="str">
        <f t="shared" si="1"/>
        <v>30/360 (Bond Basis)</v>
      </c>
      <c r="I27" s="110">
        <v>0</v>
      </c>
      <c r="J27" s="109" t="str">
        <f t="shared" si="2"/>
        <v>EURAB12EBASIS19Y_Quote</v>
      </c>
      <c r="K27" s="108" t="str">
        <f>_xll.qlSwapRateHelper2(,$J27,$C27,Calendar,$F27,$G27,$H27,$K$4,$I27,B27,Discounting,Permanent,,ObjectOverwrite)</f>
        <v>obj_00be4#0000</v>
      </c>
      <c r="L27" s="107" t="str">
        <f>_xll.ohRangeRetrieveError(K27)</f>
        <v/>
      </c>
      <c r="M27" s="106"/>
    </row>
    <row r="28" spans="1:13" x14ac:dyDescent="0.2">
      <c r="A28" s="54"/>
      <c r="B28" s="96" t="str">
        <f t="shared" si="3"/>
        <v>0D</v>
      </c>
      <c r="C28" s="96" t="s">
        <v>14</v>
      </c>
      <c r="D28" s="96" t="str">
        <f t="shared" si="4"/>
        <v>AB</v>
      </c>
      <c r="E28" s="96" t="str">
        <f t="shared" si="5"/>
        <v>12E</v>
      </c>
      <c r="F28" s="111" t="str">
        <f t="shared" si="0"/>
        <v>Annual</v>
      </c>
      <c r="G28" s="111" t="s">
        <v>121</v>
      </c>
      <c r="H28" s="111" t="str">
        <f t="shared" si="1"/>
        <v>30/360 (Bond Basis)</v>
      </c>
      <c r="I28" s="110">
        <v>0</v>
      </c>
      <c r="J28" s="109" t="str">
        <f t="shared" si="2"/>
        <v>EURAB12EBASIS20Y_Quote</v>
      </c>
      <c r="K28" s="108" t="str">
        <f>_xll.qlSwapRateHelper2(,$J28,$C28,Calendar,$F28,$G28,$H28,$K$4,$I28,B28,Discounting,Permanent,,ObjectOverwrite)</f>
        <v>obj_00be5#0000</v>
      </c>
      <c r="L28" s="107" t="str">
        <f>_xll.ohRangeRetrieveError(K28)</f>
        <v/>
      </c>
      <c r="M28" s="106"/>
    </row>
    <row r="29" spans="1:13" x14ac:dyDescent="0.2">
      <c r="A29" s="54"/>
      <c r="B29" s="96" t="str">
        <f t="shared" si="3"/>
        <v>0D</v>
      </c>
      <c r="C29" s="96" t="s">
        <v>13</v>
      </c>
      <c r="D29" s="96" t="str">
        <f t="shared" si="4"/>
        <v>AB</v>
      </c>
      <c r="E29" s="96" t="str">
        <f t="shared" si="5"/>
        <v>12E</v>
      </c>
      <c r="F29" s="111" t="str">
        <f t="shared" si="0"/>
        <v>Annual</v>
      </c>
      <c r="G29" s="111" t="s">
        <v>121</v>
      </c>
      <c r="H29" s="111" t="str">
        <f t="shared" si="1"/>
        <v>30/360 (Bond Basis)</v>
      </c>
      <c r="I29" s="110">
        <v>0</v>
      </c>
      <c r="J29" s="109" t="str">
        <f t="shared" si="2"/>
        <v>EURAB12EBASIS21Y_Quote</v>
      </c>
      <c r="K29" s="108" t="str">
        <f>_xll.qlSwapRateHelper2(,$J29,$C29,Calendar,$F29,$G29,$H29,$K$4,$I29,B29,Discounting,Permanent,,ObjectOverwrite)</f>
        <v>obj_00be6#0000</v>
      </c>
      <c r="L29" s="107" t="str">
        <f>_xll.ohRangeRetrieveError(K29)</f>
        <v/>
      </c>
      <c r="M29" s="106"/>
    </row>
    <row r="30" spans="1:13" x14ac:dyDescent="0.2">
      <c r="A30" s="54"/>
      <c r="B30" s="96" t="str">
        <f t="shared" si="3"/>
        <v>0D</v>
      </c>
      <c r="C30" s="96" t="s">
        <v>12</v>
      </c>
      <c r="D30" s="96" t="str">
        <f t="shared" si="4"/>
        <v>AB</v>
      </c>
      <c r="E30" s="96" t="str">
        <f t="shared" si="5"/>
        <v>12E</v>
      </c>
      <c r="F30" s="111" t="str">
        <f t="shared" si="0"/>
        <v>Annual</v>
      </c>
      <c r="G30" s="111" t="s">
        <v>121</v>
      </c>
      <c r="H30" s="111" t="str">
        <f t="shared" si="1"/>
        <v>30/360 (Bond Basis)</v>
      </c>
      <c r="I30" s="110">
        <v>0</v>
      </c>
      <c r="J30" s="109" t="str">
        <f t="shared" si="2"/>
        <v>EURAB12EBASIS22Y_Quote</v>
      </c>
      <c r="K30" s="108" t="str">
        <f>_xll.qlSwapRateHelper2(,$J30,$C30,Calendar,$F30,$G30,$H30,$K$4,$I30,B30,Discounting,Permanent,,ObjectOverwrite)</f>
        <v>obj_00be7#0000</v>
      </c>
      <c r="L30" s="107" t="str">
        <f>_xll.ohRangeRetrieveError(K30)</f>
        <v/>
      </c>
      <c r="M30" s="106"/>
    </row>
    <row r="31" spans="1:13" x14ac:dyDescent="0.2">
      <c r="A31" s="54"/>
      <c r="B31" s="96" t="str">
        <f t="shared" si="3"/>
        <v>0D</v>
      </c>
      <c r="C31" s="96" t="s">
        <v>11</v>
      </c>
      <c r="D31" s="96" t="str">
        <f t="shared" si="4"/>
        <v>AB</v>
      </c>
      <c r="E31" s="96" t="str">
        <f t="shared" si="5"/>
        <v>12E</v>
      </c>
      <c r="F31" s="111" t="str">
        <f t="shared" si="0"/>
        <v>Annual</v>
      </c>
      <c r="G31" s="111" t="s">
        <v>121</v>
      </c>
      <c r="H31" s="111" t="str">
        <f t="shared" si="1"/>
        <v>30/360 (Bond Basis)</v>
      </c>
      <c r="I31" s="110">
        <v>0</v>
      </c>
      <c r="J31" s="109" t="str">
        <f t="shared" si="2"/>
        <v>EURAB12EBASIS23Y_Quote</v>
      </c>
      <c r="K31" s="108" t="str">
        <f>_xll.qlSwapRateHelper2(,$J31,$C31,Calendar,$F31,$G31,$H31,$K$4,$I31,B31,Discounting,Permanent,,ObjectOverwrite)</f>
        <v>obj_00be8#0000</v>
      </c>
      <c r="L31" s="107" t="str">
        <f>_xll.ohRangeRetrieveError(K31)</f>
        <v/>
      </c>
      <c r="M31" s="106"/>
    </row>
    <row r="32" spans="1:13" x14ac:dyDescent="0.2">
      <c r="A32" s="54"/>
      <c r="B32" s="96" t="str">
        <f t="shared" si="3"/>
        <v>0D</v>
      </c>
      <c r="C32" s="96" t="s">
        <v>10</v>
      </c>
      <c r="D32" s="96" t="str">
        <f t="shared" si="4"/>
        <v>AB</v>
      </c>
      <c r="E32" s="96" t="str">
        <f t="shared" si="5"/>
        <v>12E</v>
      </c>
      <c r="F32" s="111" t="str">
        <f t="shared" si="0"/>
        <v>Annual</v>
      </c>
      <c r="G32" s="111" t="s">
        <v>121</v>
      </c>
      <c r="H32" s="111" t="str">
        <f t="shared" si="1"/>
        <v>30/360 (Bond Basis)</v>
      </c>
      <c r="I32" s="110">
        <v>0</v>
      </c>
      <c r="J32" s="109" t="str">
        <f t="shared" si="2"/>
        <v>EURAB12EBASIS24Y_Quote</v>
      </c>
      <c r="K32" s="108" t="str">
        <f>_xll.qlSwapRateHelper2(,$J32,$C32,Calendar,$F32,$G32,$H32,$K$4,$I32,B32,Discounting,Permanent,,ObjectOverwrite)</f>
        <v>obj_00be9#0000</v>
      </c>
      <c r="L32" s="107" t="str">
        <f>_xll.ohRangeRetrieveError(K32)</f>
        <v/>
      </c>
      <c r="M32" s="106"/>
    </row>
    <row r="33" spans="1:13" x14ac:dyDescent="0.2">
      <c r="A33" s="54"/>
      <c r="B33" s="96" t="str">
        <f t="shared" si="3"/>
        <v>0D</v>
      </c>
      <c r="C33" s="96" t="s">
        <v>9</v>
      </c>
      <c r="D33" s="96" t="str">
        <f t="shared" si="4"/>
        <v>AB</v>
      </c>
      <c r="E33" s="96" t="str">
        <f t="shared" si="5"/>
        <v>12E</v>
      </c>
      <c r="F33" s="111" t="str">
        <f t="shared" si="0"/>
        <v>Annual</v>
      </c>
      <c r="G33" s="111" t="s">
        <v>121</v>
      </c>
      <c r="H33" s="111" t="str">
        <f t="shared" si="1"/>
        <v>30/360 (Bond Basis)</v>
      </c>
      <c r="I33" s="110">
        <v>0</v>
      </c>
      <c r="J33" s="109" t="str">
        <f t="shared" si="2"/>
        <v>EURAB12EBASIS25Y_Quote</v>
      </c>
      <c r="K33" s="108" t="str">
        <f>_xll.qlSwapRateHelper2(,$J33,$C33,Calendar,$F33,$G33,$H33,$K$4,$I33,B33,Discounting,Permanent,,ObjectOverwrite)</f>
        <v>obj_00bea#0000</v>
      </c>
      <c r="L33" s="107" t="str">
        <f>_xll.ohRangeRetrieveError(K33)</f>
        <v/>
      </c>
      <c r="M33" s="106"/>
    </row>
    <row r="34" spans="1:13" x14ac:dyDescent="0.2">
      <c r="A34" s="54"/>
      <c r="B34" s="96" t="str">
        <f t="shared" si="3"/>
        <v>0D</v>
      </c>
      <c r="C34" s="96" t="s">
        <v>8</v>
      </c>
      <c r="D34" s="96" t="str">
        <f t="shared" si="4"/>
        <v>AB</v>
      </c>
      <c r="E34" s="96" t="str">
        <f t="shared" si="5"/>
        <v>12E</v>
      </c>
      <c r="F34" s="111" t="str">
        <f t="shared" si="0"/>
        <v>Annual</v>
      </c>
      <c r="G34" s="111" t="s">
        <v>121</v>
      </c>
      <c r="H34" s="111" t="str">
        <f t="shared" si="1"/>
        <v>30/360 (Bond Basis)</v>
      </c>
      <c r="I34" s="110">
        <v>0</v>
      </c>
      <c r="J34" s="109" t="str">
        <f t="shared" si="2"/>
        <v>EURAB12EBASIS26Y_Quote</v>
      </c>
      <c r="K34" s="108" t="str">
        <f>_xll.qlSwapRateHelper2(,$J34,$C34,Calendar,$F34,$G34,$H34,$K$4,$I34,B34,Discounting,Permanent,,ObjectOverwrite)</f>
        <v>obj_00beb#0000</v>
      </c>
      <c r="L34" s="107" t="str">
        <f>_xll.ohRangeRetrieveError(K34)</f>
        <v/>
      </c>
      <c r="M34" s="106"/>
    </row>
    <row r="35" spans="1:13" x14ac:dyDescent="0.2">
      <c r="A35" s="54"/>
      <c r="B35" s="96" t="str">
        <f t="shared" si="3"/>
        <v>0D</v>
      </c>
      <c r="C35" s="96" t="s">
        <v>7</v>
      </c>
      <c r="D35" s="96" t="str">
        <f t="shared" si="4"/>
        <v>AB</v>
      </c>
      <c r="E35" s="96" t="str">
        <f t="shared" si="5"/>
        <v>12E</v>
      </c>
      <c r="F35" s="111" t="str">
        <f t="shared" si="0"/>
        <v>Annual</v>
      </c>
      <c r="G35" s="111" t="s">
        <v>121</v>
      </c>
      <c r="H35" s="111" t="str">
        <f t="shared" si="1"/>
        <v>30/360 (Bond Basis)</v>
      </c>
      <c r="I35" s="110">
        <v>0</v>
      </c>
      <c r="J35" s="109" t="str">
        <f t="shared" si="2"/>
        <v>EURAB12EBASIS27Y_Quote</v>
      </c>
      <c r="K35" s="108" t="str">
        <f>_xll.qlSwapRateHelper2(,$J35,$C35,Calendar,$F35,$G35,$H35,$K$4,$I35,B35,Discounting,Permanent,,ObjectOverwrite)</f>
        <v>obj_00bec#0000</v>
      </c>
      <c r="L35" s="107" t="str">
        <f>_xll.ohRangeRetrieveError(K35)</f>
        <v/>
      </c>
      <c r="M35" s="106"/>
    </row>
    <row r="36" spans="1:13" x14ac:dyDescent="0.2">
      <c r="A36" s="54"/>
      <c r="B36" s="96" t="str">
        <f t="shared" si="3"/>
        <v>0D</v>
      </c>
      <c r="C36" s="96" t="s">
        <v>6</v>
      </c>
      <c r="D36" s="96" t="str">
        <f t="shared" si="4"/>
        <v>AB</v>
      </c>
      <c r="E36" s="96" t="str">
        <f t="shared" si="5"/>
        <v>12E</v>
      </c>
      <c r="F36" s="111" t="str">
        <f t="shared" si="0"/>
        <v>Annual</v>
      </c>
      <c r="G36" s="111" t="s">
        <v>121</v>
      </c>
      <c r="H36" s="111" t="str">
        <f t="shared" si="1"/>
        <v>30/360 (Bond Basis)</v>
      </c>
      <c r="I36" s="110">
        <v>0</v>
      </c>
      <c r="J36" s="109" t="str">
        <f t="shared" si="2"/>
        <v>EURAB12EBASIS28Y_Quote</v>
      </c>
      <c r="K36" s="108" t="str">
        <f>_xll.qlSwapRateHelper2(,$J36,$C36,Calendar,$F36,$G36,$H36,$K$4,$I36,B36,Discounting,Permanent,,ObjectOverwrite)</f>
        <v>obj_00bed#0000</v>
      </c>
      <c r="L36" s="107" t="str">
        <f>_xll.ohRangeRetrieveError(K36)</f>
        <v/>
      </c>
      <c r="M36" s="106"/>
    </row>
    <row r="37" spans="1:13" x14ac:dyDescent="0.2">
      <c r="A37" s="54"/>
      <c r="B37" s="96" t="str">
        <f t="shared" si="3"/>
        <v>0D</v>
      </c>
      <c r="C37" s="96" t="s">
        <v>5</v>
      </c>
      <c r="D37" s="96" t="str">
        <f t="shared" si="4"/>
        <v>AB</v>
      </c>
      <c r="E37" s="96" t="str">
        <f t="shared" si="5"/>
        <v>12E</v>
      </c>
      <c r="F37" s="111" t="str">
        <f t="shared" si="0"/>
        <v>Annual</v>
      </c>
      <c r="G37" s="111" t="s">
        <v>121</v>
      </c>
      <c r="H37" s="111" t="str">
        <f t="shared" si="1"/>
        <v>30/360 (Bond Basis)</v>
      </c>
      <c r="I37" s="110">
        <v>0</v>
      </c>
      <c r="J37" s="109" t="str">
        <f t="shared" si="2"/>
        <v>EURAB12EBASIS29Y_Quote</v>
      </c>
      <c r="K37" s="108" t="str">
        <f>_xll.qlSwapRateHelper2(,$J37,$C37,Calendar,$F37,$G37,$H37,$K$4,$I37,B37,Discounting,Permanent,,ObjectOverwrite)</f>
        <v>obj_00bee#0000</v>
      </c>
      <c r="L37" s="107" t="str">
        <f>_xll.ohRangeRetrieveError(K37)</f>
        <v/>
      </c>
      <c r="M37" s="106"/>
    </row>
    <row r="38" spans="1:13" x14ac:dyDescent="0.2">
      <c r="A38" s="54"/>
      <c r="B38" s="96" t="str">
        <f t="shared" si="3"/>
        <v>0D</v>
      </c>
      <c r="C38" s="96" t="s">
        <v>4</v>
      </c>
      <c r="D38" s="96" t="str">
        <f t="shared" si="4"/>
        <v>AB</v>
      </c>
      <c r="E38" s="96" t="str">
        <f t="shared" si="5"/>
        <v>12E</v>
      </c>
      <c r="F38" s="111" t="str">
        <f t="shared" si="0"/>
        <v>Annual</v>
      </c>
      <c r="G38" s="111" t="s">
        <v>121</v>
      </c>
      <c r="H38" s="111" t="str">
        <f t="shared" si="1"/>
        <v>30/360 (Bond Basis)</v>
      </c>
      <c r="I38" s="110">
        <v>0</v>
      </c>
      <c r="J38" s="109" t="str">
        <f t="shared" si="2"/>
        <v>EURAB12EBASIS30Y_Quote</v>
      </c>
      <c r="K38" s="108" t="str">
        <f>_xll.qlSwapRateHelper2(,$J38,$C38,Calendar,$F38,$G38,$H38,$K$4,$I38,B38,Discounting,Permanent,,ObjectOverwrite)</f>
        <v>obj_00bef#0000</v>
      </c>
      <c r="L38" s="107" t="str">
        <f>_xll.ohRangeRetrieveError(K38)</f>
        <v/>
      </c>
      <c r="M38" s="106"/>
    </row>
    <row r="39" spans="1:13" x14ac:dyDescent="0.2">
      <c r="A39" s="54"/>
      <c r="B39" s="96" t="str">
        <f t="shared" si="3"/>
        <v>0D</v>
      </c>
      <c r="C39" s="96" t="s">
        <v>3</v>
      </c>
      <c r="D39" s="96" t="str">
        <f t="shared" si="4"/>
        <v>AB</v>
      </c>
      <c r="E39" s="96" t="str">
        <f t="shared" si="5"/>
        <v>12E</v>
      </c>
      <c r="F39" s="111" t="str">
        <f t="shared" si="0"/>
        <v>Annual</v>
      </c>
      <c r="G39" s="111" t="s">
        <v>121</v>
      </c>
      <c r="H39" s="111" t="str">
        <f t="shared" si="1"/>
        <v>30/360 (Bond Basis)</v>
      </c>
      <c r="I39" s="110">
        <v>0</v>
      </c>
      <c r="J39" s="109" t="str">
        <f t="shared" si="2"/>
        <v>EURAB12EBASIS35Y_Quote</v>
      </c>
      <c r="K39" s="108" t="str">
        <f>_xll.qlSwapRateHelper2(,$J39,$C39,Calendar,$F39,$G39,$H39,$K$4,$I39,B39,Discounting,Permanent,,ObjectOverwrite)</f>
        <v>obj_00bf0#0000</v>
      </c>
      <c r="L39" s="107" t="str">
        <f>_xll.ohRangeRetrieveError(K39)</f>
        <v/>
      </c>
      <c r="M39" s="106"/>
    </row>
    <row r="40" spans="1:13" x14ac:dyDescent="0.2">
      <c r="A40" s="54"/>
      <c r="B40" s="96" t="str">
        <f t="shared" si="3"/>
        <v>0D</v>
      </c>
      <c r="C40" s="96" t="s">
        <v>2</v>
      </c>
      <c r="D40" s="96" t="str">
        <f t="shared" si="4"/>
        <v>AB</v>
      </c>
      <c r="E40" s="96" t="str">
        <f t="shared" si="5"/>
        <v>12E</v>
      </c>
      <c r="F40" s="111" t="str">
        <f t="shared" si="0"/>
        <v>Annual</v>
      </c>
      <c r="G40" s="111" t="s">
        <v>121</v>
      </c>
      <c r="H40" s="111" t="str">
        <f t="shared" si="1"/>
        <v>30/360 (Bond Basis)</v>
      </c>
      <c r="I40" s="110">
        <v>0</v>
      </c>
      <c r="J40" s="109" t="str">
        <f t="shared" si="2"/>
        <v>EURAB12EBASIS40Y_Quote</v>
      </c>
      <c r="K40" s="108" t="str">
        <f>_xll.qlSwapRateHelper2(,$J40,$C40,Calendar,$F40,$G40,$H40,$K$4,$I40,B40,Discounting,Permanent,,ObjectOverwrite)</f>
        <v>obj_00bf1#0000</v>
      </c>
      <c r="L40" s="107" t="str">
        <f>_xll.ohRangeRetrieveError(K40)</f>
        <v/>
      </c>
      <c r="M40" s="106"/>
    </row>
    <row r="41" spans="1:13" x14ac:dyDescent="0.2">
      <c r="A41" s="54"/>
      <c r="B41" s="96" t="str">
        <f t="shared" si="3"/>
        <v>0D</v>
      </c>
      <c r="C41" s="96" t="s">
        <v>1</v>
      </c>
      <c r="D41" s="96" t="str">
        <f t="shared" si="4"/>
        <v>AB</v>
      </c>
      <c r="E41" s="96" t="str">
        <f t="shared" si="5"/>
        <v>12E</v>
      </c>
      <c r="F41" s="111" t="str">
        <f t="shared" si="0"/>
        <v>Annual</v>
      </c>
      <c r="G41" s="111" t="s">
        <v>121</v>
      </c>
      <c r="H41" s="111" t="str">
        <f t="shared" si="1"/>
        <v>30/360 (Bond Basis)</v>
      </c>
      <c r="I41" s="110">
        <v>0</v>
      </c>
      <c r="J41" s="109" t="str">
        <f t="shared" si="2"/>
        <v>EURAB12EBASIS50Y_Quote</v>
      </c>
      <c r="K41" s="108" t="str">
        <f>_xll.qlSwapRateHelper2(,$J41,$C41,Calendar,$F41,$G41,$H41,$K$4,$I41,B41,Discounting,Permanent,,ObjectOverwrite)</f>
        <v>obj_00bf2#0000</v>
      </c>
      <c r="L41" s="107" t="str">
        <f>_xll.ohRangeRetrieveError(K41)</f>
        <v/>
      </c>
      <c r="M41" s="106"/>
    </row>
    <row r="42" spans="1:13" x14ac:dyDescent="0.2">
      <c r="A42" s="54"/>
      <c r="B42" s="96" t="str">
        <f t="shared" si="3"/>
        <v>0D</v>
      </c>
      <c r="C42" s="96" t="s">
        <v>0</v>
      </c>
      <c r="D42" s="96" t="str">
        <f t="shared" si="4"/>
        <v>AB</v>
      </c>
      <c r="E42" s="96" t="str">
        <f t="shared" si="5"/>
        <v>12E</v>
      </c>
      <c r="F42" s="111" t="str">
        <f t="shared" si="0"/>
        <v>Annual</v>
      </c>
      <c r="G42" s="111" t="s">
        <v>121</v>
      </c>
      <c r="H42" s="111" t="str">
        <f t="shared" si="1"/>
        <v>30/360 (Bond Basis)</v>
      </c>
      <c r="I42" s="110">
        <v>0</v>
      </c>
      <c r="J42" s="109" t="str">
        <f t="shared" si="2"/>
        <v>EURAB12EBASIS60Y_Quote</v>
      </c>
      <c r="K42" s="108" t="str">
        <f>_xll.qlSwapRateHelper2(,$J42,$C42,Calendar,$F42,$G42,$H42,$K$4,$I42,B42,Discounting,Permanent,,ObjectOverwrite)</f>
        <v>obj_00bf3#0000</v>
      </c>
      <c r="L42" s="107" t="str">
        <f>_xll.ohRangeRetrieveError(K42)</f>
        <v/>
      </c>
      <c r="M42" s="106"/>
    </row>
    <row r="43" spans="1:13" ht="12" thickBot="1" x14ac:dyDescent="0.25">
      <c r="A43" s="51"/>
      <c r="B43" s="50"/>
      <c r="C43" s="50"/>
      <c r="D43" s="50"/>
      <c r="E43" s="50"/>
      <c r="F43" s="50"/>
      <c r="G43" s="50"/>
      <c r="H43" s="50"/>
      <c r="I43" s="50"/>
      <c r="J43" s="50"/>
      <c r="K43" s="79"/>
      <c r="L43" s="79"/>
      <c r="M43" s="105"/>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145" bestFit="1" customWidth="1"/>
    <col min="2" max="2" width="6" style="143" bestFit="1" customWidth="1"/>
    <col min="3" max="3" width="17.28515625" style="143" bestFit="1" customWidth="1"/>
    <col min="4" max="4" width="7" style="145" bestFit="1" customWidth="1"/>
    <col min="5" max="5" width="17.28515625" style="145" bestFit="1" customWidth="1"/>
    <col min="6" max="6" width="11" style="143" bestFit="1" customWidth="1"/>
    <col min="7" max="7" width="9.140625" style="143" customWidth="1"/>
    <col min="8" max="8" width="9.85546875" style="143" customWidth="1"/>
    <col min="9" max="9" width="12.85546875" style="143" customWidth="1"/>
    <col min="10" max="10" width="15.140625" style="143" bestFit="1" customWidth="1"/>
    <col min="11" max="11" width="10" style="143" bestFit="1" customWidth="1"/>
    <col min="12" max="12" width="15.140625" style="145" hidden="1" customWidth="1"/>
    <col min="13" max="13" width="24.42578125" style="145" bestFit="1" customWidth="1"/>
    <col min="14" max="14" width="17.28515625" style="145" bestFit="1" customWidth="1"/>
    <col min="15" max="15" width="12" style="145" bestFit="1" customWidth="1"/>
    <col min="16" max="16" width="6" style="145" hidden="1" customWidth="1" outlineLevel="1"/>
    <col min="17" max="17" width="17.28515625" style="145" hidden="1" customWidth="1" outlineLevel="1"/>
    <col min="18" max="18" width="15.140625" style="145" hidden="1" customWidth="1" outlineLevel="1"/>
    <col min="19" max="19" width="16.140625" style="146" bestFit="1" customWidth="1" collapsed="1"/>
    <col min="20" max="20" width="10" style="145" bestFit="1" customWidth="1"/>
    <col min="21" max="21" width="3.7109375" style="145" customWidth="1"/>
    <col min="22" max="22" width="19.28515625" style="145" customWidth="1"/>
    <col min="23" max="24" width="17.28515625" style="145" bestFit="1" customWidth="1"/>
    <col min="25" max="26" width="15.140625" style="145" bestFit="1" customWidth="1"/>
    <col min="27" max="27" width="22.42578125" style="145" bestFit="1" customWidth="1"/>
    <col min="28" max="16384" width="9.140625" style="145"/>
  </cols>
  <sheetData>
    <row r="1" spans="1:27" s="143" customFormat="1" ht="11.25" hidden="1" customHeight="1" outlineLevel="1" thickBot="1" x14ac:dyDescent="0.25">
      <c r="A1" s="148"/>
      <c r="B1" s="149" t="s">
        <v>136</v>
      </c>
      <c r="C1" s="148"/>
      <c r="D1" s="148"/>
      <c r="E1" s="148"/>
      <c r="F1" s="148"/>
      <c r="G1" s="149" t="s">
        <v>137</v>
      </c>
      <c r="H1" s="148"/>
      <c r="I1" s="150"/>
      <c r="J1" s="148"/>
      <c r="K1" s="148"/>
      <c r="L1" s="216"/>
      <c r="M1" s="145"/>
    </row>
    <row r="2" spans="1:27" ht="11.25" hidden="1" customHeight="1" outlineLevel="1" thickBot="1" x14ac:dyDescent="0.25">
      <c r="A2" s="151"/>
      <c r="B2" s="152" t="s">
        <v>138</v>
      </c>
      <c r="C2" s="152" t="s">
        <v>139</v>
      </c>
      <c r="D2" s="152" t="s">
        <v>95</v>
      </c>
      <c r="E2" s="152" t="s">
        <v>140</v>
      </c>
      <c r="F2" s="153" t="s">
        <v>141</v>
      </c>
      <c r="G2" s="152" t="s">
        <v>139</v>
      </c>
      <c r="H2" s="152" t="s">
        <v>140</v>
      </c>
      <c r="I2" s="153" t="s">
        <v>141</v>
      </c>
      <c r="J2" s="230" t="s">
        <v>163</v>
      </c>
      <c r="K2" s="231" t="s">
        <v>164</v>
      </c>
      <c r="L2" s="180"/>
    </row>
    <row r="3" spans="1:27" ht="11.25" hidden="1" customHeight="1" outlineLevel="1" x14ac:dyDescent="0.2">
      <c r="A3" s="209"/>
      <c r="B3" s="213" t="str">
        <f>_xll.qlPeriodEquivalent(D3&amp;"M")</f>
        <v>1Y</v>
      </c>
      <c r="C3" s="154">
        <f>_xll.qlDateEndOfMonth(EDATE(_xll.qlSettingsEvaluationDate(Trigger),-1))</f>
        <v>41912</v>
      </c>
      <c r="D3" s="155">
        <v>12</v>
      </c>
      <c r="E3" s="154">
        <f t="shared" ref="E3:E16" si="0">EDATE($X$19,D3)</f>
        <v>42311</v>
      </c>
      <c r="F3" s="218">
        <f>IF(D3&lt;=12,1,IF(D3&lt;=24,3,IF(D3&lt;=120,6,IF(D3&lt;=240,12,IF(D3&lt;=360,36,60)))))</f>
        <v>1</v>
      </c>
      <c r="G3" s="232">
        <f>ROUNDDOWN(J3*10,2)/10</f>
        <v>0</v>
      </c>
      <c r="H3" s="219">
        <f>IF(K3-J3&gt;1%,(QUOTIENT(K3*10000,50)+1)*0.5%,(QUOTIENT(K3*10000,10)+1)*0.1%)</f>
        <v>5.0000000000000001E-3</v>
      </c>
      <c r="I3" s="219">
        <f>IF(H3-G3&lt;0.5%,0.05%,IF(H3-G3&lt;1%,0.1%,IF(H3-G3&lt;2%,0.25%,0.5%)))</f>
        <v>1E-3</v>
      </c>
      <c r="J3" s="219">
        <f>MIN(_xll.ohPack($Y$19:INDEX($Y$19:$Y$3552,MATCH(E3+1,$X$19:$X$3552,1),1)))</f>
        <v>-2.3000000000681761E-4</v>
      </c>
      <c r="K3" s="220">
        <f>MAX(_xll.ohPack($Y$19:INDEX($Y$19:$Y$3552,MATCH(E3+1,$X$19:$X$3552,1),1)))</f>
        <v>4.0457576197981066E-3</v>
      </c>
      <c r="L3" s="180"/>
    </row>
    <row r="4" spans="1:27" ht="11.25" hidden="1" customHeight="1" outlineLevel="1" x14ac:dyDescent="0.25">
      <c r="A4" s="210"/>
      <c r="B4" s="214" t="str">
        <f>_xll.qlPeriodEquivalent(D4&amp;"M")</f>
        <v>2Y</v>
      </c>
      <c r="C4" s="156">
        <f>_xll.qlDateEndOfMonth(EDATE(_xll.qlIMMNextDate(_xll.qlSettingsEvaluationDate(Trigger)-1,TRUE),-3))</f>
        <v>41912</v>
      </c>
      <c r="D4" s="157">
        <v>24</v>
      </c>
      <c r="E4" s="156">
        <f t="shared" si="0"/>
        <v>42677</v>
      </c>
      <c r="F4" s="221">
        <f t="shared" ref="F4:F16" si="1">IF(D4&lt;=12,1,IF(D4&lt;=24,3,IF(D4&lt;=120,6,IF(D4&lt;=240,12,IF(D4&lt;=360,36,60)))))</f>
        <v>3</v>
      </c>
      <c r="G4" s="233">
        <f t="shared" ref="G4:G16" si="2">ROUNDDOWN(J4*10,2)/10</f>
        <v>0</v>
      </c>
      <c r="H4" s="222">
        <f t="shared" ref="H4:H16" si="3">IF(K4-J4&gt;1%,(QUOTIENT(K4*10000,50)+1)*0.5%,(QUOTIENT(K4*10000,10)+1)*0.1%)</f>
        <v>0.01</v>
      </c>
      <c r="I4" s="222">
        <f t="shared" ref="I4:I16" si="4">IF(H4-G4&lt;0.5%,0.05%,IF(H4-G4&lt;1%,0.1%,IF(H4-G4&lt;2%,0.25%,0.5%)))</f>
        <v>2.5000000000000001E-3</v>
      </c>
      <c r="J4" s="222">
        <f>MIN(_xll.ohPack($Y$19:INDEX($Y$19:$Y$3552,MATCH(E4+1,$X$19:$X$3552,1),1)))</f>
        <v>-2.3000000000681761E-4</v>
      </c>
      <c r="K4" s="223">
        <f>MAX(_xll.ohPack($Y$19:INDEX($Y$19:$Y$3552,MATCH(E4+1,$X$19:$X$3552,1),1)))</f>
        <v>9.1227632695657992E-3</v>
      </c>
      <c r="L4" s="217"/>
      <c r="M4"/>
      <c r="N4"/>
      <c r="O4"/>
      <c r="P4"/>
      <c r="Q4"/>
      <c r="R4"/>
      <c r="S4"/>
      <c r="T4"/>
      <c r="U4"/>
      <c r="V4"/>
      <c r="W4"/>
      <c r="X4"/>
      <c r="Y4"/>
      <c r="Z4"/>
      <c r="AA4"/>
    </row>
    <row r="5" spans="1:27" ht="11.25" hidden="1" customHeight="1" outlineLevel="1" x14ac:dyDescent="0.2">
      <c r="A5" s="210"/>
      <c r="B5" s="214" t="str">
        <f>_xll.qlPeriodEquivalent(D5&amp;"M")</f>
        <v>5Y</v>
      </c>
      <c r="C5" s="15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7">
        <v>60</v>
      </c>
      <c r="E5" s="156">
        <f t="shared" si="0"/>
        <v>43772</v>
      </c>
      <c r="F5" s="221">
        <f t="shared" si="1"/>
        <v>6</v>
      </c>
      <c r="G5" s="233">
        <f t="shared" si="2"/>
        <v>0</v>
      </c>
      <c r="H5" s="222">
        <f t="shared" si="3"/>
        <v>1.4999999999999999E-2</v>
      </c>
      <c r="I5" s="222">
        <f t="shared" si="4"/>
        <v>2.5000000000000001E-3</v>
      </c>
      <c r="J5" s="222">
        <f>MIN(_xll.ohPack($Y$19:INDEX($Y$19:$Y$3552,MATCH(E5+1,$X$19:$X$3552,1),1)))</f>
        <v>-2.3000000000681761E-4</v>
      </c>
      <c r="K5" s="223">
        <f>MAX(_xll.ohPack($Y$19:INDEX($Y$19:$Y$3552,MATCH(E5+1,$X$19:$X$3552,1),1)))</f>
        <v>1.307981644751469E-2</v>
      </c>
      <c r="L5" s="180"/>
    </row>
    <row r="6" spans="1:27" ht="11.25" hidden="1" customHeight="1" outlineLevel="1" x14ac:dyDescent="0.2">
      <c r="A6" s="211" t="s">
        <v>142</v>
      </c>
      <c r="B6" s="214" t="str">
        <f>_xll.qlPeriodEquivalent(D6&amp;"M")</f>
        <v>10Y</v>
      </c>
      <c r="C6" s="156">
        <f>C5</f>
        <v>41820</v>
      </c>
      <c r="D6" s="157">
        <v>120</v>
      </c>
      <c r="E6" s="156">
        <f t="shared" si="0"/>
        <v>45599</v>
      </c>
      <c r="F6" s="221">
        <f t="shared" si="1"/>
        <v>6</v>
      </c>
      <c r="G6" s="233">
        <f t="shared" si="2"/>
        <v>0</v>
      </c>
      <c r="H6" s="222">
        <f t="shared" si="3"/>
        <v>2.5000000000000001E-2</v>
      </c>
      <c r="I6" s="222">
        <f t="shared" si="4"/>
        <v>5.0000000000000001E-3</v>
      </c>
      <c r="J6" s="222">
        <f>MIN(_xll.ohPack($Y$19:INDEX($Y$19:$Y$3552,MATCH(E6+1,$X$19:$X$3552,1),1)))</f>
        <v>-2.3000000000681761E-4</v>
      </c>
      <c r="K6" s="223">
        <f>MAX(_xll.ohPack($Y$19:INDEX($Y$19:$Y$3552,MATCH(E6+1,$X$19:$X$3552,1),1)))</f>
        <v>2.3727489681708923E-2</v>
      </c>
      <c r="L6" s="180"/>
    </row>
    <row r="7" spans="1:27" ht="11.25" hidden="1" customHeight="1" outlineLevel="1" x14ac:dyDescent="0.2">
      <c r="A7" s="210"/>
      <c r="B7" s="214" t="str">
        <f>_xll.qlPeriodEquivalent(D7&amp;"M")</f>
        <v>20Y</v>
      </c>
      <c r="C7" s="156">
        <f>IF(AND(MONTH(C6)=12),C6,_xll.qlDateEndOfMonth(EDATE(C6,-6)))</f>
        <v>41639</v>
      </c>
      <c r="D7" s="157">
        <v>240</v>
      </c>
      <c r="E7" s="156">
        <f t="shared" si="0"/>
        <v>49251</v>
      </c>
      <c r="F7" s="224">
        <f t="shared" si="1"/>
        <v>12</v>
      </c>
      <c r="G7" s="233">
        <f t="shared" si="2"/>
        <v>0</v>
      </c>
      <c r="H7" s="222">
        <f t="shared" si="3"/>
        <v>2.5000000000000001E-2</v>
      </c>
      <c r="I7" s="222">
        <f t="shared" si="4"/>
        <v>5.0000000000000001E-3</v>
      </c>
      <c r="J7" s="222">
        <f>MIN(_xll.ohPack($Y$19:INDEX($Y$19:$Y$3552,MATCH(E7+1,$X$19:$X$3552,1),1)))</f>
        <v>-2.3000000000681761E-4</v>
      </c>
      <c r="K7" s="223">
        <f>MAX(_xll.ohPack($Y$19:INDEX($Y$19:$Y$3552,MATCH(E7+1,$X$19:$X$3552,1),1)))</f>
        <v>2.4852558727088886E-2</v>
      </c>
      <c r="L7" s="180"/>
    </row>
    <row r="8" spans="1:27" ht="11.25" hidden="1" customHeight="1" outlineLevel="1" x14ac:dyDescent="0.2">
      <c r="A8" s="210"/>
      <c r="B8" s="214" t="str">
        <f>_xll.qlPeriodEquivalent(D8&amp;"M")</f>
        <v>30Y</v>
      </c>
      <c r="C8" s="156">
        <f>C7</f>
        <v>41639</v>
      </c>
      <c r="D8" s="157">
        <v>360</v>
      </c>
      <c r="E8" s="156">
        <f t="shared" si="0"/>
        <v>52904</v>
      </c>
      <c r="F8" s="224">
        <f t="shared" si="1"/>
        <v>36</v>
      </c>
      <c r="G8" s="233">
        <f t="shared" si="2"/>
        <v>0</v>
      </c>
      <c r="H8" s="222">
        <f t="shared" si="3"/>
        <v>2.5000000000000001E-2</v>
      </c>
      <c r="I8" s="222">
        <f t="shared" si="4"/>
        <v>5.0000000000000001E-3</v>
      </c>
      <c r="J8" s="222">
        <f>MIN(_xll.ohPack($Y$19:INDEX($Y$19:$Y$3552,MATCH(E8+1,$X$19:$X$3552,1),1)))</f>
        <v>-2.3000000000681761E-4</v>
      </c>
      <c r="K8" s="223">
        <f>MAX(_xll.ohPack($Y$19:INDEX($Y$19:$Y$3552,MATCH(E8+1,$X$19:$X$3552,1),1)))</f>
        <v>2.4852558727088886E-2</v>
      </c>
      <c r="L8" s="180"/>
    </row>
    <row r="9" spans="1:27" ht="11.25" hidden="1" customHeight="1" outlineLevel="1" thickBot="1" x14ac:dyDescent="0.25">
      <c r="A9" s="210"/>
      <c r="B9" s="214" t="str">
        <f>_xll.qlPeriodEquivalent(D9&amp;"M")</f>
        <v>60Y</v>
      </c>
      <c r="C9" s="156">
        <f>C8</f>
        <v>41639</v>
      </c>
      <c r="D9" s="157">
        <v>720</v>
      </c>
      <c r="E9" s="156">
        <f t="shared" si="0"/>
        <v>63861</v>
      </c>
      <c r="F9" s="224">
        <f t="shared" si="1"/>
        <v>60</v>
      </c>
      <c r="G9" s="233">
        <f t="shared" si="2"/>
        <v>0</v>
      </c>
      <c r="H9" s="222">
        <f t="shared" si="3"/>
        <v>2.5000000000000001E-2</v>
      </c>
      <c r="I9" s="222">
        <f t="shared" si="4"/>
        <v>5.0000000000000001E-3</v>
      </c>
      <c r="J9" s="222">
        <f>MIN(_xll.ohPack($Y$19:INDEX($Y$19:$Y$3552,MATCH(E9+1,$X$19:$X$3552,1),1)))</f>
        <v>-2.3000000000681761E-4</v>
      </c>
      <c r="K9" s="223">
        <f>MAX(_xll.ohPack($Y$19:INDEX($Y$19:$Y$3552,MATCH(E9+1,$X$19:$X$3552,1),1)))</f>
        <v>2.4852558727088886E-2</v>
      </c>
      <c r="L9" s="180"/>
      <c r="AA9" s="158"/>
    </row>
    <row r="10" spans="1:27" ht="11.25" hidden="1" customHeight="1" outlineLevel="1" x14ac:dyDescent="0.2">
      <c r="A10" s="209"/>
      <c r="B10" s="213" t="str">
        <f>_xll.qlPeriodEquivalent(D10&amp;"M")</f>
        <v>1Y</v>
      </c>
      <c r="C10" s="154">
        <f t="shared" ref="C10:C16" si="5">C3</f>
        <v>41912</v>
      </c>
      <c r="D10" s="155">
        <v>12</v>
      </c>
      <c r="E10" s="154">
        <f t="shared" si="0"/>
        <v>42311</v>
      </c>
      <c r="F10" s="225">
        <f t="shared" si="1"/>
        <v>1</v>
      </c>
      <c r="G10" s="232">
        <f t="shared" si="2"/>
        <v>0</v>
      </c>
      <c r="H10" s="219">
        <f t="shared" si="3"/>
        <v>2E-3</v>
      </c>
      <c r="I10" s="219">
        <f t="shared" si="4"/>
        <v>5.0000000000000001E-4</v>
      </c>
      <c r="J10" s="219">
        <f>MIN(_xll.ohPack($Z$19:INDEX($Z$19:$Z$3552,MATCH(E10+1,$X$19:$X$3552,1),1)))</f>
        <v>-4.9559804828014364E-4</v>
      </c>
      <c r="K10" s="220">
        <f>MAX(_xll.ohPack($Z$19:INDEX($Z$19:$Z$3552,MATCH(E10+1,$X$19:$X$3552,1),1)))</f>
        <v>1.6854345201888776E-3</v>
      </c>
      <c r="L10" s="180"/>
    </row>
    <row r="11" spans="1:27" ht="11.25" hidden="1" customHeight="1" outlineLevel="1" x14ac:dyDescent="0.2">
      <c r="A11" s="210"/>
      <c r="B11" s="214" t="str">
        <f>_xll.qlPeriodEquivalent(D11&amp;"M")</f>
        <v>2Y</v>
      </c>
      <c r="C11" s="156">
        <f t="shared" si="5"/>
        <v>41912</v>
      </c>
      <c r="D11" s="157">
        <v>24</v>
      </c>
      <c r="E11" s="156">
        <f t="shared" si="0"/>
        <v>42677</v>
      </c>
      <c r="F11" s="226">
        <f t="shared" si="1"/>
        <v>3</v>
      </c>
      <c r="G11" s="233">
        <f t="shared" si="2"/>
        <v>0</v>
      </c>
      <c r="H11" s="222">
        <f t="shared" si="3"/>
        <v>2.5000000000000001E-2</v>
      </c>
      <c r="I11" s="222">
        <f t="shared" si="4"/>
        <v>5.0000000000000001E-3</v>
      </c>
      <c r="J11" s="222">
        <f>MIN(_xll.ohPack($Z$19:INDEX($Z$19:$Z$3552,MATCH(E11+1,$X$19:$X$3552,1),1)))</f>
        <v>-7.2256055954511567E-4</v>
      </c>
      <c r="K11" s="223">
        <f>MAX(_xll.ohPack($Z$19:INDEX($Z$19:$Z$3552,MATCH(E11+1,$X$19:$X$3552,1),1)))</f>
        <v>2.2615663351217563E-2</v>
      </c>
      <c r="L11" s="180"/>
    </row>
    <row r="12" spans="1:27" ht="11.25" hidden="1" customHeight="1" outlineLevel="1" x14ac:dyDescent="0.2">
      <c r="A12" s="210"/>
      <c r="B12" s="214" t="str">
        <f>_xll.qlPeriodEquivalent(D12&amp;"M")</f>
        <v>5Y</v>
      </c>
      <c r="C12" s="156">
        <f t="shared" si="5"/>
        <v>41820</v>
      </c>
      <c r="D12" s="157">
        <v>60</v>
      </c>
      <c r="E12" s="156">
        <f t="shared" si="0"/>
        <v>43772</v>
      </c>
      <c r="F12" s="226">
        <f t="shared" si="1"/>
        <v>6</v>
      </c>
      <c r="G12" s="233">
        <f t="shared" si="2"/>
        <v>0</v>
      </c>
      <c r="H12" s="222">
        <f t="shared" si="3"/>
        <v>2.5000000000000001E-2</v>
      </c>
      <c r="I12" s="222">
        <f t="shared" si="4"/>
        <v>5.0000000000000001E-3</v>
      </c>
      <c r="J12" s="222">
        <f>MIN(_xll.ohPack($Z$19:INDEX($Z$19:$Z$3552,MATCH(E12+1,$X$19:$X$3552,1),1)))</f>
        <v>-7.2256055954511567E-4</v>
      </c>
      <c r="K12" s="223">
        <f>MAX(_xll.ohPack($Z$19:INDEX($Z$19:$Z$3552,MATCH(E12+1,$X$19:$X$3552,1),1)))</f>
        <v>2.2922273456389419E-2</v>
      </c>
      <c r="L12" s="180"/>
    </row>
    <row r="13" spans="1:27" ht="11.25" hidden="1" customHeight="1" outlineLevel="1" x14ac:dyDescent="0.2">
      <c r="A13" s="211" t="s">
        <v>143</v>
      </c>
      <c r="B13" s="214" t="str">
        <f>_xll.qlPeriodEquivalent(D13&amp;"M")</f>
        <v>10Y</v>
      </c>
      <c r="C13" s="156">
        <f t="shared" si="5"/>
        <v>41820</v>
      </c>
      <c r="D13" s="157">
        <v>120</v>
      </c>
      <c r="E13" s="156">
        <f t="shared" si="0"/>
        <v>45599</v>
      </c>
      <c r="F13" s="226">
        <f t="shared" si="1"/>
        <v>6</v>
      </c>
      <c r="G13" s="233">
        <f t="shared" si="2"/>
        <v>0</v>
      </c>
      <c r="H13" s="222">
        <f t="shared" si="3"/>
        <v>2.5000000000000001E-2</v>
      </c>
      <c r="I13" s="222">
        <f t="shared" si="4"/>
        <v>5.0000000000000001E-3</v>
      </c>
      <c r="J13" s="222">
        <f>MIN(_xll.ohPack($Z$19:INDEX($Z$19:$Z$3552,MATCH(E13+1,$X$19:$X$3552,1),1)))</f>
        <v>-7.2256055954511567E-4</v>
      </c>
      <c r="K13" s="223">
        <f>MAX(_xll.ohPack($Z$19:INDEX($Z$19:$Z$3552,MATCH(E13+1,$X$19:$X$3552,1),1)))</f>
        <v>2.3007347353276586E-2</v>
      </c>
      <c r="L13" s="180"/>
    </row>
    <row r="14" spans="1:27" ht="11.25" hidden="1" customHeight="1" outlineLevel="1" x14ac:dyDescent="0.2">
      <c r="A14" s="210"/>
      <c r="B14" s="214" t="str">
        <f>_xll.qlPeriodEquivalent(D14&amp;"M")</f>
        <v>20Y</v>
      </c>
      <c r="C14" s="156">
        <f t="shared" si="5"/>
        <v>41639</v>
      </c>
      <c r="D14" s="157">
        <v>240</v>
      </c>
      <c r="E14" s="156">
        <f t="shared" si="0"/>
        <v>49251</v>
      </c>
      <c r="F14" s="226">
        <f t="shared" si="1"/>
        <v>12</v>
      </c>
      <c r="G14" s="233">
        <f t="shared" si="2"/>
        <v>0</v>
      </c>
      <c r="H14" s="222">
        <f t="shared" si="3"/>
        <v>2.5000000000000001E-2</v>
      </c>
      <c r="I14" s="222">
        <f t="shared" si="4"/>
        <v>5.0000000000000001E-3</v>
      </c>
      <c r="J14" s="222">
        <f>MIN(_xll.ohPack($Z$19:INDEX($Z$19:$Z$3552,MATCH(E14+1,$X$19:$X$3552,1),1)))</f>
        <v>-7.2256055954511567E-4</v>
      </c>
      <c r="K14" s="223">
        <f>MAX(_xll.ohPack($Z$19:INDEX($Z$19:$Z$3552,MATCH(E14+1,$X$19:$X$3552,1),1)))</f>
        <v>2.4549261751518614E-2</v>
      </c>
      <c r="L14" s="180"/>
    </row>
    <row r="15" spans="1:27" ht="11.25" hidden="1" customHeight="1" outlineLevel="1" x14ac:dyDescent="0.2">
      <c r="A15" s="210"/>
      <c r="B15" s="214" t="str">
        <f>_xll.qlPeriodEquivalent(D15&amp;"M")</f>
        <v>30Y</v>
      </c>
      <c r="C15" s="156">
        <f t="shared" si="5"/>
        <v>41639</v>
      </c>
      <c r="D15" s="157">
        <v>360</v>
      </c>
      <c r="E15" s="156">
        <f t="shared" si="0"/>
        <v>52904</v>
      </c>
      <c r="F15" s="226">
        <f t="shared" si="1"/>
        <v>36</v>
      </c>
      <c r="G15" s="233">
        <f t="shared" si="2"/>
        <v>0</v>
      </c>
      <c r="H15" s="222">
        <f t="shared" si="3"/>
        <v>2.5000000000000001E-2</v>
      </c>
      <c r="I15" s="222">
        <f t="shared" si="4"/>
        <v>5.0000000000000001E-3</v>
      </c>
      <c r="J15" s="222">
        <f>MIN(_xll.ohPack($Z$19:INDEX($Z$19:$Z$3552,MATCH(E15+1,$X$19:$X$3552,1),1)))</f>
        <v>-7.2256055954511567E-4</v>
      </c>
      <c r="K15" s="223">
        <f>MAX(_xll.ohPack($Z$19:INDEX($Z$19:$Z$3552,MATCH(E15+1,$X$19:$X$3552,1),1)))</f>
        <v>2.4549261751518614E-2</v>
      </c>
      <c r="L15" s="180"/>
    </row>
    <row r="16" spans="1:27" ht="11.25" hidden="1" customHeight="1" outlineLevel="1" thickBot="1" x14ac:dyDescent="0.25">
      <c r="A16" s="212"/>
      <c r="B16" s="215" t="str">
        <f>_xll.qlPeriodEquivalent(D16&amp;"M")</f>
        <v>60Y</v>
      </c>
      <c r="C16" s="204">
        <f t="shared" si="5"/>
        <v>41639</v>
      </c>
      <c r="D16" s="205">
        <v>720</v>
      </c>
      <c r="E16" s="204">
        <f t="shared" si="0"/>
        <v>63861</v>
      </c>
      <c r="F16" s="227">
        <f t="shared" si="1"/>
        <v>60</v>
      </c>
      <c r="G16" s="234">
        <f t="shared" si="2"/>
        <v>0</v>
      </c>
      <c r="H16" s="228">
        <f t="shared" si="3"/>
        <v>2.5000000000000001E-2</v>
      </c>
      <c r="I16" s="228">
        <f t="shared" si="4"/>
        <v>5.0000000000000001E-3</v>
      </c>
      <c r="J16" s="228">
        <f>MIN(_xll.ohPack($Z$19:INDEX($Z$19:$Z$3552,MATCH(E16+1,$X$19:$X$3552,1),1)))</f>
        <v>-7.2256055954511567E-4</v>
      </c>
      <c r="K16" s="229">
        <f>MAX(_xll.ohPack($Z$19:INDEX($Z$19:$Z$3552,MATCH(E16+1,$X$19:$X$3552,1),1)))</f>
        <v>2.4549261751518614E-2</v>
      </c>
      <c r="L16" s="180"/>
      <c r="Y16" s="160" t="s">
        <v>144</v>
      </c>
      <c r="Z16" s="160" t="s">
        <v>145</v>
      </c>
    </row>
    <row r="17" spans="10:26" ht="11.25" customHeight="1" collapsed="1" thickBot="1" x14ac:dyDescent="0.25">
      <c r="L17" s="143"/>
      <c r="M17" s="143"/>
      <c r="N17" s="143"/>
      <c r="O17" s="143"/>
      <c r="P17" s="143"/>
      <c r="Q17" s="143"/>
      <c r="R17" s="143"/>
      <c r="S17" s="159"/>
      <c r="T17" s="143"/>
      <c r="U17" s="143"/>
      <c r="Y17" s="165" t="str">
        <f>_xll.qlEuribor(,IndexTenor,YieldCurve)</f>
        <v>obj_00bf6#0000</v>
      </c>
      <c r="Z17" s="165" t="str">
        <f>_xll.qlEonia(,YieldCurve)</f>
        <v>obj_00bf5#0000</v>
      </c>
    </row>
    <row r="18" spans="10:26" ht="12" thickBot="1" x14ac:dyDescent="0.25">
      <c r="L18" s="161" t="s">
        <v>61</v>
      </c>
      <c r="M18" s="161" t="s">
        <v>146</v>
      </c>
      <c r="N18" s="162" t="s">
        <v>147</v>
      </c>
      <c r="O18" s="162" t="s">
        <v>60</v>
      </c>
      <c r="P18" s="162" t="s">
        <v>148</v>
      </c>
      <c r="Q18" s="162" t="s">
        <v>149</v>
      </c>
      <c r="R18" s="162" t="s">
        <v>150</v>
      </c>
      <c r="S18" s="163" t="s">
        <v>151</v>
      </c>
      <c r="T18" s="160" t="s">
        <v>152</v>
      </c>
      <c r="U18" s="164"/>
      <c r="V18" s="173" t="s">
        <v>153</v>
      </c>
      <c r="W18" s="174" t="s">
        <v>149</v>
      </c>
      <c r="X18" s="174" t="s">
        <v>147</v>
      </c>
      <c r="Y18" s="175" t="s">
        <v>158</v>
      </c>
      <c r="Z18" s="176" t="s">
        <v>143</v>
      </c>
    </row>
    <row r="19" spans="10:26" ht="12" thickBot="1" x14ac:dyDescent="0.25">
      <c r="J19" s="144" t="s">
        <v>135</v>
      </c>
      <c r="L19" s="166" t="str">
        <f t="array" ref="L19:L36">_xll.ohFilter(RateHelpers!E11:E28,IF(ISERROR(RateHelpers!G11:G28),FALSE,TRUE))</f>
        <v>obj_00bcc#0000</v>
      </c>
      <c r="M19" s="166" t="str">
        <f>_xll.qlRateHelperQuoteName(L19)</f>
        <v>EUR1x13F_SYNTH1Y_Quote</v>
      </c>
      <c r="N19" s="169">
        <f>_xll.qlRateHelperEarliestDate(L19,Trigger)</f>
        <v>41976</v>
      </c>
      <c r="O19" s="170">
        <f>_xll.qlRateHelperQuoteValue(L19,_xll.ohTrigger(RecalcTrigger,Trigger))</f>
        <v>3.741E-3</v>
      </c>
      <c r="P19" s="170" t="e">
        <f>NA()</f>
        <v>#N/A</v>
      </c>
      <c r="Q19" s="169">
        <f>_xll.qlInterestRateIndexFixingDate(IborIndex,N19,_xll.ohTrigger(RecalcTrigger,Trigger))</f>
        <v>41974</v>
      </c>
      <c r="R19" s="170">
        <f>_xll.qlIndexFixing(IborIndex,Q19,TRUE,RecalcTrigger)</f>
        <v>7.5737318651430887E-4</v>
      </c>
      <c r="S19" s="171">
        <f>R19-O19</f>
        <v>-2.9836268134856912E-3</v>
      </c>
      <c r="T19" s="172">
        <f t="array" ref="T19">MAX(ABS(S19:S36))</f>
        <v>2.9836268134856912E-3</v>
      </c>
      <c r="V19" s="180" t="s">
        <v>118</v>
      </c>
      <c r="W19" s="181">
        <f>_xll.qlSettingsEvaluationDate(Trigger)</f>
        <v>41942</v>
      </c>
      <c r="X19" s="181">
        <f>_xll.qlCalendarAdvance(Calendar,W19,NDays&amp;"D")</f>
        <v>41946</v>
      </c>
      <c r="Y19" s="178">
        <f t="array" ref="Y19:Y3552">IFERROR(_xll.qlIndexFixing(IborIndex,W19:W3552,TRUE,RecalcTrigger),NA())</f>
        <v>-2.3000000000681761E-4</v>
      </c>
      <c r="Z19" s="183">
        <f t="array" ref="Z19:Z3552">IFERROR(_xll.qlIndexFixing(OverNightIndex,X19:X3552,TRUE,RecalcTrigger),NA())</f>
        <v>-3.9217345031428152E-4</v>
      </c>
    </row>
    <row r="20" spans="10:26" ht="12" thickBot="1" x14ac:dyDescent="0.25">
      <c r="J20" s="147"/>
      <c r="L20" s="167" t="str">
        <v>obj_00bba#0000</v>
      </c>
      <c r="M20" s="167" t="str">
        <f>_xll.qlRateHelperQuoteName(L20)</f>
        <v>EUR2x14F_SYNTH1Y_Quote</v>
      </c>
      <c r="N20" s="177">
        <f>_xll.qlRateHelperEarliestDate(L20,Trigger)</f>
        <v>42009</v>
      </c>
      <c r="O20" s="178">
        <f>_xll.qlRateHelperQuoteValue(L20,_xll.ohTrigger(RecalcTrigger,Trigger))</f>
        <v>3.7260000000000001E-3</v>
      </c>
      <c r="P20" s="178" t="e">
        <f>NA()</f>
        <v>#N/A</v>
      </c>
      <c r="Q20" s="177">
        <f>_xll.qlInterestRateIndexFixingDate(IborIndex,N20,_xll.ohTrigger(RecalcTrigger,Trigger))</f>
        <v>42004</v>
      </c>
      <c r="R20" s="178">
        <f>_xll.qlIndexFixing(IborIndex,Q20,TRUE,RecalcTrigger)</f>
        <v>2.7586871507139627E-3</v>
      </c>
      <c r="S20" s="179">
        <f t="shared" ref="S20:S36" si="6">R20-O20</f>
        <v>-9.6731284928603745E-4</v>
      </c>
      <c r="V20" s="180" t="str">
        <f>V19</f>
        <v>1D</v>
      </c>
      <c r="W20" s="177">
        <f>_xll.qlCalendarAdvance(Calendar,W19,V20,"f",FALSE)</f>
        <v>41943</v>
      </c>
      <c r="X20" s="181">
        <f>_xll.qlCalendarAdvance(Calendar,W20,NDays&amp;"D")</f>
        <v>41947</v>
      </c>
      <c r="Y20" s="178">
        <v>-2.268955566982592E-4</v>
      </c>
      <c r="Z20" s="183">
        <v>-3.9219815755053844E-4</v>
      </c>
    </row>
    <row r="21" spans="10:26" ht="12" thickBot="1" x14ac:dyDescent="0.25">
      <c r="L21" s="167" t="str">
        <v>obj_00bc9#0000</v>
      </c>
      <c r="M21" s="167" t="str">
        <f>_xll.qlRateHelperQuoteName(L21)</f>
        <v>EUR3x15F_SYNTH1Y_Quote</v>
      </c>
      <c r="N21" s="177">
        <f>_xll.qlRateHelperEarliestDate(L21,Trigger)</f>
        <v>42038</v>
      </c>
      <c r="O21" s="178">
        <f>_xll.qlRateHelperQuoteValue(L21,_xll.ohTrigger(RecalcTrigger,Trigger))</f>
        <v>3.735E-3</v>
      </c>
      <c r="P21" s="178" t="e">
        <f>NA()</f>
        <v>#N/A</v>
      </c>
      <c r="Q21" s="177">
        <f>_xll.qlInterestRateIndexFixingDate(IborIndex,N21,_xll.ohTrigger(RecalcTrigger,Trigger))</f>
        <v>42034</v>
      </c>
      <c r="R21" s="178">
        <f>_xll.qlIndexFixing(IborIndex,Q21,TRUE,RecalcTrigger)</f>
        <v>3.7349999999996396E-3</v>
      </c>
      <c r="S21" s="179">
        <f t="shared" si="6"/>
        <v>-3.6038880213418167E-16</v>
      </c>
      <c r="V21" s="180" t="str">
        <f t="shared" ref="V21:V84" si="7">V20</f>
        <v>1D</v>
      </c>
      <c r="W21" s="177">
        <f>_xll.qlCalendarAdvance(Calendar,W20,V21,"f",FALSE)</f>
        <v>41946</v>
      </c>
      <c r="X21" s="181">
        <f>_xll.qlCalendarAdvance(Calendar,W21,NDays&amp;"D")</f>
        <v>41948</v>
      </c>
      <c r="Y21" s="178">
        <v>-2.2120471563597967E-4</v>
      </c>
      <c r="Z21" s="183">
        <v>-3.9224757202305227E-4</v>
      </c>
    </row>
    <row r="22" spans="10:26" ht="23.25" thickBot="1" x14ac:dyDescent="0.25">
      <c r="J22" s="284" t="s">
        <v>165</v>
      </c>
      <c r="L22" s="167" t="str">
        <v>obj_00ba9#0000</v>
      </c>
      <c r="M22" s="167" t="str">
        <f>_xll.qlRateHelperQuoteName(L22)</f>
        <v>EUR4x16F_SYNTH1Y_Quote</v>
      </c>
      <c r="N22" s="177">
        <f>_xll.qlRateHelperEarliestDate(L22,Trigger)</f>
        <v>42066</v>
      </c>
      <c r="O22" s="178">
        <f>_xll.qlRateHelperQuoteValue(L22,_xll.ohTrigger(RecalcTrigger,Trigger))</f>
        <v>3.7299999999999998E-3</v>
      </c>
      <c r="P22" s="178" t="e">
        <f>NA()</f>
        <v>#N/A</v>
      </c>
      <c r="Q22" s="177">
        <f>_xll.qlInterestRateIndexFixingDate(IborIndex,N22,_xll.ohTrigger(RecalcTrigger,Trigger))</f>
        <v>42062</v>
      </c>
      <c r="R22" s="178">
        <f>_xll.qlIndexFixing(IborIndex,Q22,TRUE,RecalcTrigger)</f>
        <v>3.7719566240679656E-3</v>
      </c>
      <c r="S22" s="179">
        <f t="shared" si="6"/>
        <v>4.1956624067965818E-5</v>
      </c>
      <c r="V22" s="180" t="str">
        <f t="shared" si="7"/>
        <v>1D</v>
      </c>
      <c r="W22" s="177">
        <f>_xll.qlCalendarAdvance(Calendar,W21,V22,"f",FALSE)</f>
        <v>41947</v>
      </c>
      <c r="X22" s="181">
        <f>_xll.qlCalendarAdvance(Calendar,W22,NDays&amp;"D")</f>
        <v>41949</v>
      </c>
      <c r="Y22" s="178">
        <v>-2.1298440942523931E-4</v>
      </c>
      <c r="Z22" s="183">
        <v>-3.9232169389169513E-4</v>
      </c>
    </row>
    <row r="23" spans="10:26" ht="12" thickBot="1" x14ac:dyDescent="0.25">
      <c r="J23" s="283" t="str">
        <f>ROUNDDOWN((_xll.qlTermStructureMaxDate(YieldCurve,Trigger)-_xll.qlTermStructureReferenceDate(YieldCurve,Trigger))/365,)&amp;"Y"</f>
        <v>60Y</v>
      </c>
      <c r="L23" s="167" t="str">
        <v>obj_00bc5#0000</v>
      </c>
      <c r="M23" s="167" t="str">
        <f>_xll.qlRateHelperQuoteName(L23)</f>
        <v>EUR5x17F_SYNTH1Y_Quote</v>
      </c>
      <c r="N23" s="177">
        <f>_xll.qlRateHelperEarliestDate(L23,Trigger)</f>
        <v>42101</v>
      </c>
      <c r="O23" s="178">
        <f>_xll.qlRateHelperQuoteValue(L23,_xll.ohTrigger(RecalcTrigger,Trigger))</f>
        <v>3.702E-3</v>
      </c>
      <c r="P23" s="178" t="e">
        <f>NA()</f>
        <v>#N/A</v>
      </c>
      <c r="Q23" s="177">
        <f>_xll.qlInterestRateIndexFixingDate(IborIndex,N23,_xll.ohTrigger(RecalcTrigger,Trigger))</f>
        <v>42095</v>
      </c>
      <c r="R23" s="178">
        <f>_xll.qlIndexFixing(IborIndex,Q23,TRUE,RecalcTrigger)</f>
        <v>3.7320005281385963E-3</v>
      </c>
      <c r="S23" s="179">
        <f t="shared" si="6"/>
        <v>3.0000528138596303E-5</v>
      </c>
      <c r="V23" s="180" t="str">
        <f t="shared" si="7"/>
        <v>1D</v>
      </c>
      <c r="W23" s="177">
        <f>_xll.qlCalendarAdvance(Calendar,W22,V23,"f",FALSE)</f>
        <v>41948</v>
      </c>
      <c r="X23" s="181">
        <f>_xll.qlCalendarAdvance(Calendar,W23,NDays&amp;"D")</f>
        <v>41950</v>
      </c>
      <c r="Y23" s="178">
        <v>-1.749075769350796E-4</v>
      </c>
      <c r="Z23" s="183">
        <v>-3.9255186695896782E-4</v>
      </c>
    </row>
    <row r="24" spans="10:26" x14ac:dyDescent="0.2">
      <c r="L24" s="167" t="str">
        <v>obj_00bc7#0000</v>
      </c>
      <c r="M24" s="167" t="str">
        <f>_xll.qlRateHelperQuoteName(L24)</f>
        <v>EUR6x18F_SYNTH1Y_Quote</v>
      </c>
      <c r="N24" s="177">
        <f>_xll.qlRateHelperEarliestDate(L24,Trigger)</f>
        <v>42128</v>
      </c>
      <c r="O24" s="178">
        <f>_xll.qlRateHelperQuoteValue(L24,_xll.ohTrigger(RecalcTrigger,Trigger))</f>
        <v>3.7039999999999998E-3</v>
      </c>
      <c r="P24" s="178" t="e">
        <f>NA()</f>
        <v>#N/A</v>
      </c>
      <c r="Q24" s="177">
        <f>_xll.qlInterestRateIndexFixingDate(IborIndex,N24,_xll.ohTrigger(RecalcTrigger,Trigger))</f>
        <v>42123</v>
      </c>
      <c r="R24" s="178">
        <f>_xll.qlIndexFixing(IborIndex,Q24,TRUE,RecalcTrigger)</f>
        <v>3.7040000000334913E-3</v>
      </c>
      <c r="S24" s="179">
        <f t="shared" si="6"/>
        <v>3.3491438788946226E-14</v>
      </c>
      <c r="V24" s="180" t="str">
        <f t="shared" si="7"/>
        <v>1D</v>
      </c>
      <c r="W24" s="177">
        <f>_xll.qlCalendarAdvance(Calendar,W23,V24,"f",FALSE)</f>
        <v>41949</v>
      </c>
      <c r="X24" s="181">
        <f>_xll.qlCalendarAdvance(Calendar,W24,NDays&amp;"D")</f>
        <v>41953</v>
      </c>
      <c r="Y24" s="178">
        <v>-1.5594659016608916E-4</v>
      </c>
      <c r="Z24" s="183">
        <v>-3.9286525372883574E-4</v>
      </c>
    </row>
    <row r="25" spans="10:26" x14ac:dyDescent="0.2">
      <c r="L25" s="167" t="str">
        <v>obj_00bc2#0000</v>
      </c>
      <c r="M25" s="167" t="str">
        <f>_xll.qlRateHelperQuoteName(L25)</f>
        <v>EUR7x19F_SYNTH1Y_Quote</v>
      </c>
      <c r="N25" s="177">
        <f>_xll.qlRateHelperEarliestDate(L25,Trigger)</f>
        <v>42158</v>
      </c>
      <c r="O25" s="178">
        <f>_xll.qlRateHelperQuoteValue(L25,_xll.ohTrigger(RecalcTrigger,Trigger))</f>
        <v>3.735E-3</v>
      </c>
      <c r="P25" s="178" t="e">
        <f>NA()</f>
        <v>#N/A</v>
      </c>
      <c r="Q25" s="177">
        <f>_xll.qlInterestRateIndexFixingDate(IborIndex,N25,_xll.ohTrigger(RecalcTrigger,Trigger))</f>
        <v>42156</v>
      </c>
      <c r="R25" s="178">
        <f>_xll.qlIndexFixing(IborIndex,Q25,TRUE,RecalcTrigger)</f>
        <v>3.7336015033683609E-3</v>
      </c>
      <c r="S25" s="179">
        <f t="shared" si="6"/>
        <v>-1.3984966316391359E-6</v>
      </c>
      <c r="V25" s="180" t="str">
        <f t="shared" si="7"/>
        <v>1D</v>
      </c>
      <c r="W25" s="177">
        <f>_xll.qlCalendarAdvance(Calendar,W24,V25,"f",FALSE)</f>
        <v>41950</v>
      </c>
      <c r="X25" s="181">
        <f>_xll.qlCalendarAdvance(Calendar,W25,NDays&amp;"D")</f>
        <v>41954</v>
      </c>
      <c r="Y25" s="178">
        <v>-1.3593237201174252E-4</v>
      </c>
      <c r="Z25" s="183">
        <v>-3.9306291181873121E-4</v>
      </c>
    </row>
    <row r="26" spans="10:26" x14ac:dyDescent="0.2">
      <c r="L26" s="167" t="str">
        <v>obj_00bc8#0000</v>
      </c>
      <c r="M26" s="167" t="str">
        <f>_xll.qlRateHelperQuoteName(L26)</f>
        <v>EUR8x20F_SYNTH1Y_Quote</v>
      </c>
      <c r="N26" s="177">
        <f>_xll.qlRateHelperEarliestDate(L26,Trigger)</f>
        <v>42188</v>
      </c>
      <c r="O26" s="178">
        <f>_xll.qlRateHelperQuoteValue(L26,_xll.ohTrigger(RecalcTrigger,Trigger))</f>
        <v>3.7820000000000002E-3</v>
      </c>
      <c r="P26" s="178" t="e">
        <f>NA()</f>
        <v>#N/A</v>
      </c>
      <c r="Q26" s="177">
        <f>_xll.qlInterestRateIndexFixingDate(IborIndex,N26,_xll.ohTrigger(RecalcTrigger,Trigger))</f>
        <v>42186</v>
      </c>
      <c r="R26" s="178">
        <f>_xll.qlIndexFixing(IborIndex,Q26,TRUE,RecalcTrigger)</f>
        <v>3.7876679025530833E-3</v>
      </c>
      <c r="S26" s="179">
        <f t="shared" si="6"/>
        <v>5.6679025530830505E-6</v>
      </c>
      <c r="V26" s="180" t="str">
        <f t="shared" si="7"/>
        <v>1D</v>
      </c>
      <c r="W26" s="177">
        <f>_xll.qlCalendarAdvance(Calendar,W25,V26,"f",FALSE)</f>
        <v>41953</v>
      </c>
      <c r="X26" s="181">
        <f>_xll.qlCalendarAdvance(Calendar,W26,NDays&amp;"D")</f>
        <v>41955</v>
      </c>
      <c r="Y26" s="178">
        <v>-1.1372995865143223E-4</v>
      </c>
      <c r="Z26" s="183">
        <v>-3.9328527722481965E-4</v>
      </c>
    </row>
    <row r="27" spans="10:26" x14ac:dyDescent="0.2">
      <c r="L27" s="167" t="str">
        <v>obj_00bb3#0000</v>
      </c>
      <c r="M27" s="167" t="str">
        <f>_xll.qlRateHelperQuoteName(L27)</f>
        <v>EUR9x21F_SYNTH1Y_Quote</v>
      </c>
      <c r="N27" s="177">
        <f>_xll.qlRateHelperEarliestDate(L27,Trigger)</f>
        <v>42219</v>
      </c>
      <c r="O27" s="178">
        <f>_xll.qlRateHelperQuoteValue(L27,_xll.ohTrigger(RecalcTrigger,Trigger))</f>
        <v>3.8430000000000001E-3</v>
      </c>
      <c r="P27" s="178" t="e">
        <f>NA()</f>
        <v>#N/A</v>
      </c>
      <c r="Q27" s="177">
        <f>_xll.qlInterestRateIndexFixingDate(IborIndex,N27,_xll.ohTrigger(RecalcTrigger,Trigger))</f>
        <v>42215</v>
      </c>
      <c r="R27" s="178">
        <f>_xll.qlIndexFixing(IborIndex,Q27,TRUE,RecalcTrigger)</f>
        <v>3.8430000000063565E-3</v>
      </c>
      <c r="S27" s="179">
        <f t="shared" si="6"/>
        <v>6.3564604968480154E-15</v>
      </c>
      <c r="V27" s="180" t="str">
        <f t="shared" si="7"/>
        <v>1D</v>
      </c>
      <c r="W27" s="177">
        <f>_xll.qlCalendarAdvance(Calendar,W26,V27,"f",FALSE)</f>
        <v>41954</v>
      </c>
      <c r="X27" s="181">
        <f>_xll.qlCalendarAdvance(Calendar,W27,NDays&amp;"D")</f>
        <v>41956</v>
      </c>
      <c r="Y27" s="178">
        <v>-8.9396186836792195E-5</v>
      </c>
      <c r="Z27" s="183">
        <v>-3.9353234986716501E-4</v>
      </c>
    </row>
    <row r="28" spans="10:26" x14ac:dyDescent="0.2">
      <c r="L28" s="167" t="str">
        <v>obj_00bbe#0000</v>
      </c>
      <c r="M28" s="167" t="str">
        <f>_xll.qlRateHelperQuoteName(L28)</f>
        <v>EUR10x22F_SYNTH1Y_Quote</v>
      </c>
      <c r="N28" s="177">
        <f>_xll.qlRateHelperEarliestDate(L28,Trigger)</f>
        <v>42250</v>
      </c>
      <c r="O28" s="178">
        <f>_xll.qlRateHelperQuoteValue(L28,_xll.ohTrigger(RecalcTrigger,Trigger))</f>
        <v>3.901E-3</v>
      </c>
      <c r="P28" s="178" t="e">
        <f>NA()</f>
        <v>#N/A</v>
      </c>
      <c r="Q28" s="177">
        <f>_xll.qlInterestRateIndexFixingDate(IborIndex,N28,_xll.ohTrigger(RecalcTrigger,Trigger))</f>
        <v>42248</v>
      </c>
      <c r="R28" s="178">
        <f>_xll.qlIndexFixing(IborIndex,Q28,TRUE,RecalcTrigger)</f>
        <v>3.8426529853972393E-3</v>
      </c>
      <c r="S28" s="179">
        <f t="shared" si="6"/>
        <v>-5.8347014602760667E-5</v>
      </c>
      <c r="V28" s="180" t="str">
        <f t="shared" si="7"/>
        <v>1D</v>
      </c>
      <c r="W28" s="177">
        <f>_xll.qlCalendarAdvance(Calendar,W27,V28,"f",FALSE)</f>
        <v>41955</v>
      </c>
      <c r="X28" s="181">
        <f>_xll.qlCalendarAdvance(Calendar,W28,NDays&amp;"D")</f>
        <v>41957</v>
      </c>
      <c r="Y28" s="178">
        <v>-6.2990860453578939E-6</v>
      </c>
      <c r="Z28" s="183">
        <v>-3.941084212710777E-4</v>
      </c>
    </row>
    <row r="29" spans="10:26" x14ac:dyDescent="0.2">
      <c r="L29" s="167" t="str">
        <v>obj_00bb1#0000</v>
      </c>
      <c r="M29" s="167" t="str">
        <f>_xll.qlRateHelperQuoteName(L29)</f>
        <v>EUR11x23F_SYNTH1Y_Quote</v>
      </c>
      <c r="N29" s="177">
        <f>_xll.qlRateHelperEarliestDate(L29,Trigger)</f>
        <v>42282</v>
      </c>
      <c r="O29" s="178">
        <f>_xll.qlRateHelperQuoteValue(L29,_xll.ohTrigger(RecalcTrigger,Trigger))</f>
        <v>3.9750000000000002E-3</v>
      </c>
      <c r="P29" s="178" t="e">
        <f>NA()</f>
        <v>#N/A</v>
      </c>
      <c r="Q29" s="177">
        <f>_xll.qlInterestRateIndexFixingDate(IborIndex,N29,_xll.ohTrigger(RecalcTrigger,Trigger))</f>
        <v>42278</v>
      </c>
      <c r="R29" s="178">
        <f>_xll.qlIndexFixing(IborIndex,Q29,TRUE,RecalcTrigger)</f>
        <v>3.9173875665319303E-3</v>
      </c>
      <c r="S29" s="179">
        <f t="shared" si="6"/>
        <v>-5.7612433468069886E-5</v>
      </c>
      <c r="V29" s="180" t="str">
        <f t="shared" si="7"/>
        <v>1D</v>
      </c>
      <c r="W29" s="177">
        <f>_xll.qlCalendarAdvance(Calendar,W28,V29,"f",FALSE)</f>
        <v>41956</v>
      </c>
      <c r="X29" s="181">
        <f>_xll.qlCalendarAdvance(Calendar,W29,NDays&amp;"D")</f>
        <v>41960</v>
      </c>
      <c r="Y29" s="178">
        <v>2.8116020239451313E-5</v>
      </c>
      <c r="Z29" s="183">
        <v>-3.947677130788918E-4</v>
      </c>
    </row>
    <row r="30" spans="10:26" x14ac:dyDescent="0.2">
      <c r="L30" s="167" t="str">
        <v>obj_00bb9#0000</v>
      </c>
      <c r="M30" s="167" t="str">
        <f>_xll.qlRateHelperQuoteName(L30)</f>
        <v>EUR12x24F_Quote</v>
      </c>
      <c r="N30" s="177">
        <f>_xll.qlRateHelperEarliestDate(L30,Trigger)</f>
        <v>42311</v>
      </c>
      <c r="O30" s="178">
        <f>_xll.qlRateHelperQuoteValue(L30,_xll.ohTrigger(RecalcTrigger,Trigger))</f>
        <v>4.0400000000000002E-3</v>
      </c>
      <c r="P30" s="178" t="e">
        <f>NA()</f>
        <v>#N/A</v>
      </c>
      <c r="Q30" s="177">
        <f>_xll.qlInterestRateIndexFixingDate(IborIndex,N30,_xll.ohTrigger(RecalcTrigger,Trigger))</f>
        <v>42307</v>
      </c>
      <c r="R30" s="178">
        <f>_xll.qlIndexFixing(IborIndex,Q30,TRUE,RecalcTrigger)</f>
        <v>4.0400000000010011E-3</v>
      </c>
      <c r="S30" s="179">
        <f t="shared" si="6"/>
        <v>1.0009354456386177E-15</v>
      </c>
      <c r="V30" s="180" t="str">
        <f t="shared" si="7"/>
        <v>1D</v>
      </c>
      <c r="W30" s="177">
        <f>_xll.qlCalendarAdvance(Calendar,W29,V30,"f",FALSE)</f>
        <v>41957</v>
      </c>
      <c r="X30" s="181">
        <f>_xll.qlCalendarAdvance(Calendar,W30,NDays&amp;"D")</f>
        <v>41961</v>
      </c>
      <c r="Y30" s="178">
        <v>6.2254286828066416E-5</v>
      </c>
      <c r="Z30" s="183">
        <v>-3.9513832214232991E-4</v>
      </c>
    </row>
    <row r="31" spans="10:26" x14ac:dyDescent="0.2">
      <c r="L31" s="167" t="str">
        <v>obj_00ba2#0000</v>
      </c>
      <c r="M31" s="167" t="str">
        <f>_xll.qlRateHelperQuoteName(L31)</f>
        <v>EUR13x25F_SYNTH1Y_Quote</v>
      </c>
      <c r="N31" s="177">
        <f>_xll.qlRateHelperEarliestDate(L31,Trigger)</f>
        <v>42341</v>
      </c>
      <c r="O31" s="178">
        <f>_xll.qlRateHelperQuoteValue(L31,_xll.ohTrigger(RecalcTrigger,Trigger))</f>
        <v>4.13E-3</v>
      </c>
      <c r="P31" s="178" t="e">
        <f>NA()</f>
        <v>#N/A</v>
      </c>
      <c r="Q31" s="177">
        <f>_xll.qlInterestRateIndexFixingDate(IborIndex,N31,_xll.ohTrigger(RecalcTrigger,Trigger))</f>
        <v>42339</v>
      </c>
      <c r="R31" s="178">
        <f>_xll.qlIndexFixing(IborIndex,Q31,TRUE,RecalcTrigger)</f>
        <v>4.231019589314277E-3</v>
      </c>
      <c r="S31" s="179">
        <f t="shared" si="6"/>
        <v>1.01019589314277E-4</v>
      </c>
      <c r="V31" s="180" t="str">
        <f t="shared" si="7"/>
        <v>1D</v>
      </c>
      <c r="W31" s="177">
        <f>_xll.qlCalendarAdvance(Calendar,W30,V31,"f",FALSE)</f>
        <v>41960</v>
      </c>
      <c r="X31" s="181">
        <f>_xll.qlCalendarAdvance(Calendar,W31,NDays&amp;"D")</f>
        <v>41962</v>
      </c>
      <c r="Y31" s="178">
        <v>9.8183027374490592E-5</v>
      </c>
      <c r="Z31" s="183">
        <v>-3.9553363832212085E-4</v>
      </c>
    </row>
    <row r="32" spans="10:26" x14ac:dyDescent="0.2">
      <c r="L32" s="167" t="str">
        <v>obj_00bb6#0000</v>
      </c>
      <c r="M32" s="167" t="str">
        <f>_xll.qlRateHelperQuoteName(L32)</f>
        <v>EUR14x26F_SYNTH1Y_Quote</v>
      </c>
      <c r="N32" s="177">
        <f>_xll.qlRateHelperEarliestDate(L32,Trigger)</f>
        <v>42373</v>
      </c>
      <c r="O32" s="178">
        <f>_xll.qlRateHelperQuoteValue(L32,_xll.ohTrigger(RecalcTrigger,Trigger))</f>
        <v>4.2059999999999997E-3</v>
      </c>
      <c r="P32" s="178" t="e">
        <f>NA()</f>
        <v>#N/A</v>
      </c>
      <c r="Q32" s="177">
        <f>_xll.qlInterestRateIndexFixingDate(IborIndex,N32,_xll.ohTrigger(RecalcTrigger,Trigger))</f>
        <v>42368</v>
      </c>
      <c r="R32" s="178">
        <f>_xll.qlIndexFixing(IborIndex,Q32,TRUE,RecalcTrigger)</f>
        <v>4.1770851157731537E-3</v>
      </c>
      <c r="S32" s="179">
        <f t="shared" si="6"/>
        <v>-2.8914884226845933E-5</v>
      </c>
      <c r="V32" s="180" t="str">
        <f t="shared" si="7"/>
        <v>1D</v>
      </c>
      <c r="W32" s="177">
        <f>_xll.qlCalendarAdvance(Calendar,W31,V32,"f",FALSE)</f>
        <v>41961</v>
      </c>
      <c r="X32" s="181">
        <f>_xll.qlCalendarAdvance(Calendar,W32,NDays&amp;"D")</f>
        <v>41963</v>
      </c>
      <c r="Y32" s="178">
        <v>1.3584543990562614E-4</v>
      </c>
      <c r="Z32" s="183">
        <v>-3.9595366181810476E-4</v>
      </c>
    </row>
    <row r="33" spans="12:26" x14ac:dyDescent="0.2">
      <c r="L33" s="167" t="str">
        <v>obj_00bca#0000</v>
      </c>
      <c r="M33" s="167" t="str">
        <f>_xll.qlRateHelperQuoteName(L33)</f>
        <v>EUR15x27F_SYNTH1Y_Quote</v>
      </c>
      <c r="N33" s="177">
        <f>_xll.qlRateHelperEarliestDate(L33,Trigger)</f>
        <v>42403</v>
      </c>
      <c r="O33" s="178">
        <f>_xll.qlRateHelperQuoteValue(L33,_xll.ohTrigger(RecalcTrigger,Trigger))</f>
        <v>4.2779999999999997E-3</v>
      </c>
      <c r="P33" s="178" t="e">
        <f>NA()</f>
        <v>#N/A</v>
      </c>
      <c r="Q33" s="177">
        <f>_xll.qlInterestRateIndexFixingDate(IborIndex,N33,_xll.ohTrigger(RecalcTrigger,Trigger))</f>
        <v>42401</v>
      </c>
      <c r="R33" s="178">
        <f>_xll.qlIndexFixing(IborIndex,Q33,TRUE,RecalcTrigger)</f>
        <v>4.2779999999996727E-3</v>
      </c>
      <c r="S33" s="179">
        <f t="shared" si="6"/>
        <v>-3.2699537522162814E-16</v>
      </c>
      <c r="V33" s="180" t="str">
        <f t="shared" si="7"/>
        <v>1D</v>
      </c>
      <c r="W33" s="177">
        <f>_xll.qlCalendarAdvance(Calendar,W32,V33,"f",FALSE)</f>
        <v>41962</v>
      </c>
      <c r="X33" s="181">
        <f>_xll.qlCalendarAdvance(Calendar,W33,NDays&amp;"D")</f>
        <v>41964</v>
      </c>
      <c r="Y33" s="178">
        <v>2.5509501162519305E-4</v>
      </c>
      <c r="Z33" s="183">
        <v>-3.968756288941222E-4</v>
      </c>
    </row>
    <row r="34" spans="12:26" x14ac:dyDescent="0.2">
      <c r="L34" s="167" t="str">
        <v>obj_00bc1#0000</v>
      </c>
      <c r="M34" s="167" t="str">
        <f>_xll.qlRateHelperQuoteName(L34)</f>
        <v>EUR16x28F_SYNTH1Y_Quote</v>
      </c>
      <c r="N34" s="177">
        <f>_xll.qlRateHelperEarliestDate(L34,Trigger)</f>
        <v>42432</v>
      </c>
      <c r="O34" s="178">
        <f>_xll.qlRateHelperQuoteValue(L34,_xll.ohTrigger(RecalcTrigger,Trigger))</f>
        <v>4.3699999999999998E-3</v>
      </c>
      <c r="P34" s="178" t="e">
        <f>NA()</f>
        <v>#N/A</v>
      </c>
      <c r="Q34" s="177">
        <f>_xll.qlInterestRateIndexFixingDate(IborIndex,N34,_xll.ohTrigger(RecalcTrigger,Trigger))</f>
        <v>42430</v>
      </c>
      <c r="R34" s="178">
        <f>_xll.qlIndexFixing(IborIndex,Q34,TRUE,RecalcTrigger)</f>
        <v>4.4378119219428075E-3</v>
      </c>
      <c r="S34" s="179">
        <f t="shared" si="6"/>
        <v>6.7811921942807774E-5</v>
      </c>
      <c r="V34" s="180" t="str">
        <f t="shared" si="7"/>
        <v>1D</v>
      </c>
      <c r="W34" s="177">
        <f>_xll.qlCalendarAdvance(Calendar,W33,V34,"f",FALSE)</f>
        <v>41963</v>
      </c>
      <c r="X34" s="181">
        <f>_xll.qlCalendarAdvance(Calendar,W34,NDays&amp;"D")</f>
        <v>41967</v>
      </c>
      <c r="Y34" s="178">
        <v>3.0269577239117203E-4</v>
      </c>
      <c r="Z34" s="183">
        <v>-3.9788082852432183E-4</v>
      </c>
    </row>
    <row r="35" spans="12:26" x14ac:dyDescent="0.2">
      <c r="L35" s="167" t="str">
        <v>obj_00bbd#0000</v>
      </c>
      <c r="M35" s="167" t="str">
        <f>_xll.qlRateHelperQuoteName(L35)</f>
        <v>EUR17x29F_SYNTH1Y_Quote</v>
      </c>
      <c r="N35" s="177">
        <f>_xll.qlRateHelperEarliestDate(L35,Trigger)</f>
        <v>42464</v>
      </c>
      <c r="O35" s="178">
        <f>_xll.qlRateHelperQuoteValue(L35,_xll.ohTrigger(RecalcTrigger,Trigger))</f>
        <v>4.4949999999999999E-3</v>
      </c>
      <c r="P35" s="178" t="e">
        <f>NA()</f>
        <v>#N/A</v>
      </c>
      <c r="Q35" s="177">
        <f>_xll.qlInterestRateIndexFixingDate(IborIndex,N35,_xll.ohTrigger(RecalcTrigger,Trigger))</f>
        <v>42460</v>
      </c>
      <c r="R35" s="178">
        <f>_xll.qlIndexFixing(IborIndex,Q35,TRUE,RecalcTrigger)</f>
        <v>4.5585981260757476E-3</v>
      </c>
      <c r="S35" s="179">
        <f t="shared" si="6"/>
        <v>6.3598126075747712E-5</v>
      </c>
      <c r="V35" s="180" t="str">
        <f t="shared" si="7"/>
        <v>1D</v>
      </c>
      <c r="W35" s="177">
        <f>_xll.qlCalendarAdvance(Calendar,W34,V35,"f",FALSE)</f>
        <v>41964</v>
      </c>
      <c r="X35" s="181">
        <f>_xll.qlCalendarAdvance(Calendar,W35,NDays&amp;"D")</f>
        <v>41968</v>
      </c>
      <c r="Y35" s="178">
        <v>3.4817450391358992E-4</v>
      </c>
      <c r="Z35" s="183">
        <v>-3.9842438836146243E-4</v>
      </c>
    </row>
    <row r="36" spans="12:26" ht="12" thickBot="1" x14ac:dyDescent="0.25">
      <c r="L36" s="168" t="str">
        <v>obj_00ba7#0000</v>
      </c>
      <c r="M36" s="168" t="str">
        <f>_xll.qlRateHelperQuoteName(L36)</f>
        <v>EUR18x30F_SYNTH1Y_Quote</v>
      </c>
      <c r="N36" s="185">
        <f>_xll.qlRateHelperEarliestDate(L36,Trigger)</f>
        <v>42493</v>
      </c>
      <c r="O36" s="182">
        <f>_xll.qlRateHelperQuoteValue(L36,_xll.ohTrigger(RecalcTrigger,Trigger))</f>
        <v>4.6150000000000002E-3</v>
      </c>
      <c r="P36" s="182" t="e">
        <f>NA()</f>
        <v>#N/A</v>
      </c>
      <c r="Q36" s="185">
        <f>_xll.qlInterestRateIndexFixingDate(IborIndex,N36,_xll.ohTrigger(RecalcTrigger,Trigger))</f>
        <v>42489</v>
      </c>
      <c r="R36" s="182">
        <f>_xll.qlIndexFixing(IborIndex,Q36,TRUE,RecalcTrigger)</f>
        <v>4.6150000000108795E-3</v>
      </c>
      <c r="S36" s="186">
        <f t="shared" si="6"/>
        <v>1.0879318279588546E-14</v>
      </c>
      <c r="V36" s="180" t="str">
        <f t="shared" si="7"/>
        <v>1D</v>
      </c>
      <c r="W36" s="177">
        <f>_xll.qlCalendarAdvance(Calendar,W35,V36,"f",FALSE)</f>
        <v>41967</v>
      </c>
      <c r="X36" s="181">
        <f>_xll.qlCalendarAdvance(Calendar,W36,NDays&amp;"D")</f>
        <v>41969</v>
      </c>
      <c r="Y36" s="178">
        <v>3.9504607574375537E-4</v>
      </c>
      <c r="Z36" s="183">
        <v>-3.9899265543485996E-4</v>
      </c>
    </row>
    <row r="37" spans="12:26" ht="12" thickBot="1" x14ac:dyDescent="0.25">
      <c r="V37" s="180" t="str">
        <f t="shared" si="7"/>
        <v>1D</v>
      </c>
      <c r="W37" s="177">
        <f>_xll.qlCalendarAdvance(Calendar,W36,V37,"f",FALSE)</f>
        <v>41968</v>
      </c>
      <c r="X37" s="181">
        <f>_xll.qlCalendarAdvance(Calendar,W37,NDays&amp;"D")</f>
        <v>41970</v>
      </c>
      <c r="Y37" s="178">
        <v>4.4325367087993495E-4</v>
      </c>
      <c r="Z37" s="183">
        <v>-3.9958562986441848E-4</v>
      </c>
    </row>
    <row r="38" spans="12:26" x14ac:dyDescent="0.2">
      <c r="L38" s="161" t="s">
        <v>61</v>
      </c>
      <c r="M38" s="161" t="s">
        <v>154</v>
      </c>
      <c r="N38" s="162" t="s">
        <v>54</v>
      </c>
      <c r="O38" s="162" t="s">
        <v>60</v>
      </c>
      <c r="P38" s="187" t="s">
        <v>155</v>
      </c>
      <c r="Q38" s="162" t="s">
        <v>156</v>
      </c>
      <c r="R38" s="162" t="s">
        <v>150</v>
      </c>
      <c r="S38" s="163" t="s">
        <v>151</v>
      </c>
      <c r="V38" s="180" t="str">
        <f t="shared" si="7"/>
        <v>1D</v>
      </c>
      <c r="W38" s="177">
        <f>_xll.qlCalendarAdvance(Calendar,W37,V38,"f",FALSE)</f>
        <v>41969</v>
      </c>
      <c r="X38" s="181">
        <f>_xll.qlCalendarAdvance(Calendar,W38,NDays&amp;"D")</f>
        <v>41971</v>
      </c>
      <c r="Y38" s="178">
        <v>5.8989605283180742E-4</v>
      </c>
      <c r="Z38" s="183">
        <v>-4.0085348970819723E-4</v>
      </c>
    </row>
    <row r="39" spans="12:26" x14ac:dyDescent="0.2">
      <c r="L39" s="180" t="str">
        <f t="array" ref="L39:L75">_xll.ohFilter(RateHelpers!E29:E65,IF(ISERROR(RateHelpers!G29:G65),FALSE,TRUE))</f>
        <v>obj_00bb0#0000</v>
      </c>
      <c r="M39" s="180" t="str">
        <f>_xll.qlRateHelperQuoteName(L39)</f>
        <v>EURAB12EBASIS1Y_Quote</v>
      </c>
      <c r="N39" s="177">
        <f>_xll.qlRateHelperLatestDate(L39,Trigger)</f>
        <v>42311</v>
      </c>
      <c r="O39" s="189">
        <f>_xll.qlRateHelperQuoteValue(L39,_xll.ohTrigger(RecalcTrigger,YieldCurve))</f>
        <v>3.47E-3</v>
      </c>
      <c r="P39" s="190" t="str">
        <f t="array" ref="P39:P75">_xll.ohFilter(RateHelpers!D29:D65,IF(ISERROR(RateHelpers!G29:G65),FALSE,TRUE))</f>
        <v>1Y</v>
      </c>
      <c r="Q39" s="191" t="str">
        <f>_xll.qlSwapIndex(,"Euribor",P39,NDays,Currency,Calendar,"1Y","mf",BondBasisDayCounter,IborIndex,Discounting,,_xll.ohTrigger(Trigger,RecalcTrigger))</f>
        <v>obj_00bfe#0000</v>
      </c>
      <c r="R39" s="192">
        <f>_xll.qlIndexFixing(Q39,$W$19,TRUE,Trigger)</f>
        <v>-2.3319444445135673E-4</v>
      </c>
      <c r="S39" s="193">
        <f t="shared" ref="S39:S75" si="8">R39-O39</f>
        <v>-3.7031944444513567E-3</v>
      </c>
      <c r="V39" s="180" t="str">
        <f t="shared" si="7"/>
        <v>1D</v>
      </c>
      <c r="W39" s="177">
        <f>_xll.qlCalendarAdvance(Calendar,W38,V39,"f",FALSE)</f>
        <v>41970</v>
      </c>
      <c r="X39" s="181">
        <f>_xll.qlCalendarAdvance(Calendar,W39,NDays&amp;"D")</f>
        <v>41974</v>
      </c>
      <c r="Y39" s="178">
        <v>6.4830773433151518E-4</v>
      </c>
      <c r="Z39" s="183">
        <v>-4.0220459986528567E-4</v>
      </c>
    </row>
    <row r="40" spans="12:26" x14ac:dyDescent="0.2">
      <c r="L40" s="180" t="str">
        <v>obj_00bd3#0000</v>
      </c>
      <c r="M40" s="180" t="str">
        <f>_xll.qlRateHelperQuoteName(L40)</f>
        <v>EURAB12EBASIS2Y_Quote</v>
      </c>
      <c r="N40" s="177">
        <f>_xll.qlRateHelperLatestDate(L40,Trigger)</f>
        <v>42677</v>
      </c>
      <c r="O40" s="189">
        <f>_xll.qlRateHelperQuoteValue(L40,_xll.ohTrigger(RecalcTrigger,YieldCurve))</f>
        <v>3.79E-3</v>
      </c>
      <c r="P40" s="194" t="str">
        <v>2Y</v>
      </c>
      <c r="Q40" s="191" t="str">
        <f>_xll.qlSwapIndex(,"Euribor",P40,NDays,Currency,Calendar,"1Y","mf",BondBasisDayCounter,IborIndex,Discounting,,_xll.ohTrigger(Trigger,RecalcTrigger))</f>
        <v>obj_00bfa#0000</v>
      </c>
      <c r="R40" s="192">
        <f>_xll.qlIndexFixing(Q40,$W$19,TRUE,Trigger)</f>
        <v>1.9373232141312632E-3</v>
      </c>
      <c r="S40" s="193">
        <f t="shared" si="8"/>
        <v>-1.8526767858687368E-3</v>
      </c>
      <c r="T40" s="160" t="s">
        <v>152</v>
      </c>
      <c r="V40" s="180" t="str">
        <f t="shared" si="7"/>
        <v>1D</v>
      </c>
      <c r="W40" s="177">
        <f>_xll.qlCalendarAdvance(Calendar,W39,V40,"f",FALSE)</f>
        <v>41971</v>
      </c>
      <c r="X40" s="181">
        <f>_xll.qlCalendarAdvance(Calendar,W40,NDays&amp;"D")</f>
        <v>41975</v>
      </c>
      <c r="Y40" s="178">
        <v>7.0234297075317848E-4</v>
      </c>
      <c r="Z40" s="183">
        <v>-4.0292111059603286E-4</v>
      </c>
    </row>
    <row r="41" spans="12:26" x14ac:dyDescent="0.2">
      <c r="L41" s="180" t="str">
        <v>obj_00bd4#0000</v>
      </c>
      <c r="M41" s="180" t="str">
        <f>_xll.qlRateHelperQuoteName(L41)</f>
        <v>EURAB12EBASIS3Y_Quote</v>
      </c>
      <c r="N41" s="177">
        <f>_xll.qlRateHelperLatestDate(L41,Trigger)</f>
        <v>43042</v>
      </c>
      <c r="O41" s="189">
        <f>_xll.qlRateHelperQuoteValue(L41,_xll.ohTrigger(RecalcTrigger,YieldCurve))</f>
        <v>4.3600000000000002E-3</v>
      </c>
      <c r="P41" s="194" t="str">
        <v>3Y</v>
      </c>
      <c r="Q41" s="191" t="str">
        <f>_xll.qlSwapIndex(,"Euribor",P41,NDays,Currency,Calendar,"1Y","mf",BondBasisDayCounter,IborIndex,Discounting,,_xll.ohTrigger(Trigger,RecalcTrigger))</f>
        <v>obj_00c06#0000</v>
      </c>
      <c r="R41" s="192">
        <f>_xll.qlIndexFixing(Q41,$W$19,TRUE,Trigger)</f>
        <v>4.3599999999990617E-3</v>
      </c>
      <c r="S41" s="193">
        <f t="shared" si="8"/>
        <v>-9.3848540050345264E-16</v>
      </c>
      <c r="T41" s="197">
        <f t="array" ref="T41">MAX(ABS(S41:S57))</f>
        <v>4.7527920385165984E-6</v>
      </c>
      <c r="V41" s="180" t="str">
        <f t="shared" si="7"/>
        <v>1D</v>
      </c>
      <c r="W41" s="177">
        <f>_xll.qlCalendarAdvance(Calendar,W40,V41,"f",FALSE)</f>
        <v>41974</v>
      </c>
      <c r="X41" s="181">
        <f>_xll.qlCalendarAdvance(Calendar,W41,NDays&amp;"D")</f>
        <v>41976</v>
      </c>
      <c r="Y41" s="178">
        <v>7.5737318651430887E-4</v>
      </c>
      <c r="Z41" s="183">
        <v>-4.0366232844313288E-4</v>
      </c>
    </row>
    <row r="42" spans="12:26" x14ac:dyDescent="0.2">
      <c r="L42" s="180" t="str">
        <v>obj_00bd5#0000</v>
      </c>
      <c r="M42" s="180" t="str">
        <f>_xll.qlRateHelperQuoteName(L42)</f>
        <v>EURAB12EBASIS4Y_Quote</v>
      </c>
      <c r="N42" s="177">
        <f>_xll.qlRateHelperLatestDate(L42,Trigger)</f>
        <v>43409</v>
      </c>
      <c r="O42" s="189">
        <f>_xll.qlRateHelperQuoteValue(L42,_xll.ohTrigger(RecalcTrigger,YieldCurve))</f>
        <v>5.2300000000000003E-3</v>
      </c>
      <c r="P42" s="194" t="str">
        <v>4Y</v>
      </c>
      <c r="Q42" s="191" t="str">
        <f>_xll.qlSwapIndex(,"Euribor",P42,NDays,Currency,Calendar,"1Y","mf",BondBasisDayCounter,IborIndex,Discounting,,_xll.ohTrigger(Trigger,RecalcTrigger))</f>
        <v>obj_00c07#0000</v>
      </c>
      <c r="R42" s="192">
        <f>_xll.qlIndexFixing(Q42,$W$19,TRUE,Trigger)</f>
        <v>5.2299999999869994E-3</v>
      </c>
      <c r="S42" s="193">
        <f t="shared" si="8"/>
        <v>-1.3000885090708181E-14</v>
      </c>
      <c r="T42" s="195"/>
      <c r="V42" s="180" t="str">
        <f t="shared" si="7"/>
        <v>1D</v>
      </c>
      <c r="W42" s="177">
        <f>_xll.qlCalendarAdvance(Calendar,W41,V42,"f",FALSE)</f>
        <v>41975</v>
      </c>
      <c r="X42" s="181">
        <f>_xll.qlCalendarAdvance(Calendar,W42,NDays&amp;"D")</f>
        <v>41977</v>
      </c>
      <c r="Y42" s="178">
        <v>8.1334151101790776E-4</v>
      </c>
      <c r="Z42" s="183">
        <v>-4.0442825372632996E-4</v>
      </c>
    </row>
    <row r="43" spans="12:26" x14ac:dyDescent="0.2">
      <c r="L43" s="180" t="str">
        <v>obj_00bd6#0000</v>
      </c>
      <c r="M43" s="180" t="str">
        <f>_xll.qlRateHelperQuoteName(L43)</f>
        <v>EURAB12EBASIS5Y_Quote</v>
      </c>
      <c r="N43" s="177">
        <f>_xll.qlRateHelperLatestDate(L43,Trigger)</f>
        <v>43773</v>
      </c>
      <c r="O43" s="189">
        <f>_xll.qlRateHelperQuoteValue(L43,_xll.ohTrigger(RecalcTrigger,YieldCurve))</f>
        <v>6.2899999999999996E-3</v>
      </c>
      <c r="P43" s="194" t="str">
        <v>5Y</v>
      </c>
      <c r="Q43" s="191" t="str">
        <f>_xll.qlSwapIndex(,"Euribor",P43,NDays,Currency,Calendar,"1Y","mf",BondBasisDayCounter,IborIndex,Discounting,,_xll.ohTrigger(Trigger,RecalcTrigger))</f>
        <v>obj_00c00#0000</v>
      </c>
      <c r="R43" s="192">
        <f>_xll.qlIndexFixing(Q43,$W$19,TRUE,Trigger)</f>
        <v>6.290000000020949E-3</v>
      </c>
      <c r="S43" s="193">
        <f t="shared" si="8"/>
        <v>2.0949388057633911E-14</v>
      </c>
      <c r="V43" s="180" t="str">
        <f t="shared" si="7"/>
        <v>1D</v>
      </c>
      <c r="W43" s="177">
        <f>_xll.qlCalendarAdvance(Calendar,W42,V43,"f",FALSE)</f>
        <v>41976</v>
      </c>
      <c r="X43" s="181">
        <f>_xll.qlCalendarAdvance(Calendar,W43,NDays&amp;"D")</f>
        <v>41978</v>
      </c>
      <c r="Y43" s="178">
        <v>9.7871860138587876E-4</v>
      </c>
      <c r="Z43" s="183">
        <v>-4.0604200364668941E-4</v>
      </c>
    </row>
    <row r="44" spans="12:26" x14ac:dyDescent="0.2">
      <c r="L44" s="180" t="str">
        <v>obj_00bd7#0000</v>
      </c>
      <c r="M44" s="180" t="str">
        <f>_xll.qlRateHelperQuoteName(L44)</f>
        <v>EURAB12EBASIS6Y_Quote</v>
      </c>
      <c r="N44" s="177">
        <f>_xll.qlRateHelperLatestDate(L44,Trigger)</f>
        <v>44138</v>
      </c>
      <c r="O44" s="189">
        <f>_xll.qlRateHelperQuoteValue(L44,_xll.ohTrigger(RecalcTrigger,YieldCurve))</f>
        <v>7.4399999999999996E-3</v>
      </c>
      <c r="P44" s="194" t="str">
        <v>6Y</v>
      </c>
      <c r="Q44" s="191" t="str">
        <f>_xll.qlSwapIndex(,"Euribor",P44,NDays,Currency,Calendar,"1Y","mf",BondBasisDayCounter,IborIndex,Discounting,,_xll.ohTrigger(Trigger,RecalcTrigger))</f>
        <v>obj_00c03#0000</v>
      </c>
      <c r="R44" s="192">
        <f>_xll.qlIndexFixing(Q44,$W$19,TRUE,Trigger)</f>
        <v>7.4399999999999952E-3</v>
      </c>
      <c r="S44" s="196">
        <f t="shared" si="8"/>
        <v>0</v>
      </c>
      <c r="V44" s="180" t="str">
        <f t="shared" si="7"/>
        <v>1D</v>
      </c>
      <c r="W44" s="177">
        <f>_xll.qlCalendarAdvance(Calendar,W43,V44,"f",FALSE)</f>
        <v>41977</v>
      </c>
      <c r="X44" s="181">
        <f>_xll.qlCalendarAdvance(Calendar,W44,NDays&amp;"D")</f>
        <v>41981</v>
      </c>
      <c r="Y44" s="178">
        <v>1.0454581185259386E-3</v>
      </c>
      <c r="Z44" s="183">
        <v>-4.0773902714175136E-4</v>
      </c>
    </row>
    <row r="45" spans="12:26" x14ac:dyDescent="0.2">
      <c r="L45" s="180" t="str">
        <v>obj_00bd8#0000</v>
      </c>
      <c r="M45" s="180" t="str">
        <f>_xll.qlRateHelperQuoteName(L45)</f>
        <v>EURAB12EBASIS7Y_Quote</v>
      </c>
      <c r="N45" s="177">
        <f>_xll.qlRateHelperLatestDate(L45,Trigger)</f>
        <v>44503</v>
      </c>
      <c r="O45" s="189">
        <f>_xll.qlRateHelperQuoteValue(L45,_xll.ohTrigger(RecalcTrigger,YieldCurve))</f>
        <v>8.7199999999999986E-3</v>
      </c>
      <c r="P45" s="194" t="str">
        <v>7Y</v>
      </c>
      <c r="Q45" s="191" t="str">
        <f>_xll.qlSwapIndex(,"Euribor",P45,NDays,Currency,Calendar,"1Y","mf",BondBasisDayCounter,IborIndex,Discounting,,_xll.ohTrigger(Trigger,RecalcTrigger))</f>
        <v>obj_00c02#0000</v>
      </c>
      <c r="R45" s="192">
        <f>_xll.qlIndexFixing(Q45,$W$19,TRUE,Trigger)</f>
        <v>8.7200000000000038E-3</v>
      </c>
      <c r="S45" s="193">
        <f t="shared" si="8"/>
        <v>0</v>
      </c>
      <c r="T45" s="195"/>
      <c r="V45" s="180" t="str">
        <f t="shared" si="7"/>
        <v>1D</v>
      </c>
      <c r="W45" s="177">
        <f>_xll.qlCalendarAdvance(Calendar,W44,V45,"f",FALSE)</f>
        <v>41978</v>
      </c>
      <c r="X45" s="181">
        <f>_xll.qlCalendarAdvance(Calendar,W45,NDays&amp;"D")</f>
        <v>41982</v>
      </c>
      <c r="Y45" s="178">
        <v>1.1052635548981094E-3</v>
      </c>
      <c r="Z45" s="183">
        <v>-4.0862848860623302E-4</v>
      </c>
    </row>
    <row r="46" spans="12:26" x14ac:dyDescent="0.2">
      <c r="L46" s="180" t="str">
        <v>obj_00bd9#0000</v>
      </c>
      <c r="M46" s="180" t="str">
        <f>_xll.qlRateHelperQuoteName(L46)</f>
        <v>EURAB12EBASIS8Y_Quote</v>
      </c>
      <c r="N46" s="177">
        <f>_xll.qlRateHelperLatestDate(L46,Trigger)</f>
        <v>44868</v>
      </c>
      <c r="O46" s="189">
        <f>_xll.qlRateHelperQuoteValue(L46,_xll.ohTrigger(RecalcTrigger,YieldCurve))</f>
        <v>1.004E-2</v>
      </c>
      <c r="P46" s="194" t="str">
        <v>8Y</v>
      </c>
      <c r="Q46" s="191" t="str">
        <f>_xll.qlSwapIndex(,"Euribor",P46,NDays,Currency,Calendar,"1Y","mf",BondBasisDayCounter,IborIndex,Discounting,,_xll.ohTrigger(Trigger,RecalcTrigger))</f>
        <v>obj_00bf7#0000</v>
      </c>
      <c r="R46" s="192">
        <f>_xll.qlIndexFixing(Q46,$W$19,TRUE,Trigger)</f>
        <v>1.0039999999999985E-2</v>
      </c>
      <c r="S46" s="193">
        <f t="shared" si="8"/>
        <v>-1.5612511283791264E-17</v>
      </c>
      <c r="T46" s="195"/>
      <c r="V46" s="180" t="str">
        <f t="shared" si="7"/>
        <v>1D</v>
      </c>
      <c r="W46" s="177">
        <f>_xll.qlCalendarAdvance(Calendar,W45,V46,"f",FALSE)</f>
        <v>41981</v>
      </c>
      <c r="X46" s="181">
        <f>_xll.qlCalendarAdvance(Calendar,W46,NDays&amp;"D")</f>
        <v>41983</v>
      </c>
      <c r="Y46" s="178">
        <v>1.1656656460791277E-3</v>
      </c>
      <c r="Z46" s="183">
        <v>-4.0954265746684371E-4</v>
      </c>
    </row>
    <row r="47" spans="12:26" x14ac:dyDescent="0.2">
      <c r="L47" s="180" t="str">
        <v>obj_00bda#0000</v>
      </c>
      <c r="M47" s="180" t="str">
        <f>_xll.qlRateHelperQuoteName(L47)</f>
        <v>EURAB12EBASIS9Y_Quote</v>
      </c>
      <c r="N47" s="177">
        <f>_xll.qlRateHelperLatestDate(L47,Trigger)</f>
        <v>45233</v>
      </c>
      <c r="O47" s="189">
        <f>_xll.qlRateHelperQuoteValue(L47,_xll.ohTrigger(RecalcTrigger,YieldCurve))</f>
        <v>1.1279999999999998E-2</v>
      </c>
      <c r="P47" s="194" t="str">
        <v>9Y</v>
      </c>
      <c r="Q47" s="191" t="str">
        <f>_xll.qlSwapIndex(,"Euribor",P47,NDays,Currency,Calendar,"1Y","mf",BondBasisDayCounter,IborIndex,Discounting,,_xll.ohTrigger(Trigger,RecalcTrigger))</f>
        <v>obj_00bf8#0000</v>
      </c>
      <c r="R47" s="192">
        <f>_xll.qlIndexFixing(Q47,$W$19,TRUE,Trigger)</f>
        <v>1.1279999999999984E-2</v>
      </c>
      <c r="S47" s="193">
        <f t="shared" si="8"/>
        <v>-1.3877787807814457E-17</v>
      </c>
      <c r="T47" s="195"/>
      <c r="V47" s="180" t="str">
        <f t="shared" si="7"/>
        <v>1D</v>
      </c>
      <c r="W47" s="177">
        <f>_xll.qlCalendarAdvance(Calendar,W46,V47,"f",FALSE)</f>
        <v>41982</v>
      </c>
      <c r="X47" s="181">
        <f>_xll.qlCalendarAdvance(Calendar,W47,NDays&amp;"D")</f>
        <v>41984</v>
      </c>
      <c r="Y47" s="178">
        <v>1.226607440553709E-3</v>
      </c>
      <c r="Z47" s="183">
        <v>-4.1048153340383919E-4</v>
      </c>
    </row>
    <row r="48" spans="12:26" x14ac:dyDescent="0.2">
      <c r="L48" s="180" t="str">
        <v>obj_00bdc#0000</v>
      </c>
      <c r="M48" s="180" t="str">
        <f>_xll.qlRateHelperQuoteName(L48)</f>
        <v>EURAB12EBASIS10Y_Quote</v>
      </c>
      <c r="N48" s="177">
        <f>_xll.qlRateHelperLatestDate(L48,Trigger)</f>
        <v>45600</v>
      </c>
      <c r="O48" s="189">
        <f>_xll.qlRateHelperQuoteValue(L48,_xll.ohTrigger(RecalcTrigger,YieldCurve))</f>
        <v>1.2400000000000001E-2</v>
      </c>
      <c r="P48" s="194" t="str">
        <v>10Y</v>
      </c>
      <c r="Q48" s="191" t="str">
        <f>_xll.qlSwapIndex(,"Euribor",P48,NDays,Currency,Calendar,"1Y","mf",BondBasisDayCounter,IborIndex,Discounting,,_xll.ohTrigger(Trigger,RecalcTrigger))</f>
        <v>obj_00bfc#0000</v>
      </c>
      <c r="R48" s="192">
        <f>_xll.qlIndexFixing(Q48,$W$19,TRUE,Trigger)</f>
        <v>1.2400000000000007E-2</v>
      </c>
      <c r="S48" s="193">
        <f t="shared" si="8"/>
        <v>0</v>
      </c>
      <c r="T48" s="195"/>
      <c r="V48" s="180" t="str">
        <f t="shared" si="7"/>
        <v>1D</v>
      </c>
      <c r="W48" s="177">
        <f>_xll.qlCalendarAdvance(Calendar,W47,V48,"f",FALSE)</f>
        <v>41983</v>
      </c>
      <c r="X48" s="181">
        <f>_xll.qlCalendarAdvance(Calendar,W48,NDays&amp;"D")</f>
        <v>41985</v>
      </c>
      <c r="Y48" s="178">
        <v>1.40215784134868E-3</v>
      </c>
      <c r="Z48" s="183">
        <v>-4.1244117054972662E-4</v>
      </c>
    </row>
    <row r="49" spans="10:26" x14ac:dyDescent="0.2">
      <c r="L49" s="180" t="str">
        <v>obj_00bdb#0000</v>
      </c>
      <c r="M49" s="180" t="str">
        <f>_xll.qlRateHelperQuoteName(L49)</f>
        <v>EURAB12EBASIS11Y_Quote</v>
      </c>
      <c r="N49" s="177">
        <f>_xll.qlRateHelperLatestDate(L49,Trigger)</f>
        <v>45964</v>
      </c>
      <c r="O49" s="189">
        <f>_xll.qlRateHelperQuoteValue(L49,_xll.ohTrigger(RecalcTrigger,YieldCurve))</f>
        <v>1.3389999999999999E-2</v>
      </c>
      <c r="P49" s="194" t="str">
        <v>11Y</v>
      </c>
      <c r="Q49" s="191" t="str">
        <f>_xll.qlSwapIndex(,"Euribor",P49,NDays,Currency,Calendar,"1Y","mf",BondBasisDayCounter,IborIndex,Discounting,,_xll.ohTrigger(Trigger,RecalcTrigger))</f>
        <v>obj_00c01#0000</v>
      </c>
      <c r="R49" s="192">
        <f>_xll.qlIndexFixing(Q49,$W$19,TRUE,Trigger)</f>
        <v>1.3385247207961483E-2</v>
      </c>
      <c r="S49" s="193">
        <f t="shared" si="8"/>
        <v>-4.7527920385165984E-6</v>
      </c>
      <c r="T49" s="195"/>
      <c r="V49" s="180" t="str">
        <f t="shared" si="7"/>
        <v>1D</v>
      </c>
      <c r="W49" s="177">
        <f>_xll.qlCalendarAdvance(Calendar,W48,V49,"f",FALSE)</f>
        <v>41984</v>
      </c>
      <c r="X49" s="181">
        <f>_xll.qlCalendarAdvance(Calendar,W49,NDays&amp;"D")</f>
        <v>41988</v>
      </c>
      <c r="Y49" s="178">
        <v>1.4746321553913636E-3</v>
      </c>
      <c r="Z49" s="183">
        <v>-4.1448411023381482E-4</v>
      </c>
    </row>
    <row r="50" spans="10:26" x14ac:dyDescent="0.2">
      <c r="J50" s="143" t="b">
        <v>1</v>
      </c>
      <c r="L50" s="180" t="str">
        <v>obj_00bdd#0000</v>
      </c>
      <c r="M50" s="180" t="str">
        <f>_xll.qlRateHelperQuoteName(L50)</f>
        <v>EURAB12EBASIS12Y_Quote</v>
      </c>
      <c r="N50" s="177">
        <f>_xll.qlRateHelperLatestDate(L50,Trigger)</f>
        <v>46329</v>
      </c>
      <c r="O50" s="189">
        <f>_xll.qlRateHelperQuoteValue(L50,_xll.ohTrigger(RecalcTrigger,YieldCurve))</f>
        <v>1.4250000000000001E-2</v>
      </c>
      <c r="P50" s="194" t="str">
        <v>12Y</v>
      </c>
      <c r="Q50" s="191" t="str">
        <f>_xll.qlSwapIndex(,"Euribor",P50,NDays,Currency,Calendar,"1Y","mf",BondBasisDayCounter,IborIndex,Discounting,,_xll.ohTrigger(Trigger,RecalcTrigger))</f>
        <v>obj_00bfb#0000</v>
      </c>
      <c r="R50" s="192">
        <f>_xll.qlIndexFixing(Q50,$W$19,TRUE,Trigger)</f>
        <v>1.4250000000104365E-2</v>
      </c>
      <c r="S50" s="193">
        <f t="shared" si="8"/>
        <v>1.0436443376171667E-13</v>
      </c>
      <c r="T50" s="195"/>
      <c r="V50" s="180" t="str">
        <f t="shared" si="7"/>
        <v>1D</v>
      </c>
      <c r="W50" s="177">
        <f>_xll.qlCalendarAdvance(Calendar,W49,V50,"f",FALSE)</f>
        <v>41985</v>
      </c>
      <c r="X50" s="181">
        <f>_xll.qlCalendarAdvance(Calendar,W50,NDays&amp;"D")</f>
        <v>41989</v>
      </c>
      <c r="Y50" s="178">
        <v>1.5374177242460216E-3</v>
      </c>
      <c r="Z50" s="183">
        <v>-4.15546522511967E-4</v>
      </c>
    </row>
    <row r="51" spans="10:26" x14ac:dyDescent="0.2">
      <c r="L51" s="180" t="str">
        <v>obj_00be0#0000</v>
      </c>
      <c r="M51" s="180" t="str">
        <f>_xll.qlRateHelperQuoteName(L51)</f>
        <v>EURAB12EBASIS15Y_Quote</v>
      </c>
      <c r="N51" s="177">
        <f>_xll.qlRateHelperLatestDate(L51,Trigger)</f>
        <v>47427</v>
      </c>
      <c r="O51" s="189">
        <f>_xll.qlRateHelperQuoteValue(L51,_xll.ohTrigger(RecalcTrigger,YieldCurve))</f>
        <v>1.6199999999999999E-2</v>
      </c>
      <c r="P51" s="194" t="str">
        <v>15Y</v>
      </c>
      <c r="Q51" s="191" t="str">
        <f>_xll.qlSwapIndex(,"Euribor",P51,NDays,Currency,Calendar,"1Y","mf",BondBasisDayCounter,IborIndex,Discounting,,_xll.ohTrigger(Trigger,RecalcTrigger))</f>
        <v>obj_00c09#0000</v>
      </c>
      <c r="R51" s="192">
        <f>_xll.qlIndexFixing(Q51,$W$19,TRUE,Trigger)</f>
        <v>1.6200000000018335E-2</v>
      </c>
      <c r="S51" s="193">
        <f t="shared" si="8"/>
        <v>1.8336027141074851E-14</v>
      </c>
      <c r="T51" s="195"/>
      <c r="V51" s="180" t="str">
        <f t="shared" si="7"/>
        <v>1D</v>
      </c>
      <c r="W51" s="177">
        <f>_xll.qlCalendarAdvance(Calendar,W50,V51,"f",FALSE)</f>
        <v>41988</v>
      </c>
      <c r="X51" s="181">
        <f>_xll.qlCalendarAdvance(Calendar,W51,NDays&amp;"D")</f>
        <v>41990</v>
      </c>
      <c r="Y51" s="178">
        <v>1.6004010022934777E-3</v>
      </c>
      <c r="Z51" s="183">
        <v>-4.1663364214628018E-4</v>
      </c>
    </row>
    <row r="52" spans="10:26" x14ac:dyDescent="0.2">
      <c r="L52" s="180" t="str">
        <v>obj_00be5#0000</v>
      </c>
      <c r="M52" s="180" t="str">
        <f>_xll.qlRateHelperQuoteName(L52)</f>
        <v>EURAB12EBASIS20Y_Quote</v>
      </c>
      <c r="N52" s="177">
        <f>_xll.qlRateHelperLatestDate(L52,Trigger)</f>
        <v>49251</v>
      </c>
      <c r="O52" s="189">
        <f>_xll.qlRateHelperQuoteValue(L52,_xll.ohTrigger(RecalcTrigger,YieldCurve))</f>
        <v>1.805E-2</v>
      </c>
      <c r="P52" s="194" t="str">
        <v>20Y</v>
      </c>
      <c r="Q52" s="191" t="str">
        <f>_xll.qlSwapIndex(,"Euribor",P52,NDays,Currency,Calendar,"1Y","mf",BondBasisDayCounter,IborIndex,Discounting,,_xll.ohTrigger(Trigger,RecalcTrigger))</f>
        <v>obj_00bf9#0000</v>
      </c>
      <c r="R52" s="192">
        <f>_xll.qlIndexFixing(Q52,$W$19,TRUE,Trigger)</f>
        <v>1.8049999999992548E-2</v>
      </c>
      <c r="S52" s="193">
        <f t="shared" si="8"/>
        <v>-7.4523720527963633E-15</v>
      </c>
      <c r="T52" s="195"/>
      <c r="V52" s="180" t="str">
        <f t="shared" si="7"/>
        <v>1D</v>
      </c>
      <c r="W52" s="177">
        <f>_xll.qlCalendarAdvance(Calendar,W51,V52,"f",FALSE)</f>
        <v>41989</v>
      </c>
      <c r="X52" s="181">
        <f>_xll.qlCalendarAdvance(Calendar,W52,NDays&amp;"D")</f>
        <v>41991</v>
      </c>
      <c r="Y52" s="178">
        <v>1.6635249410288531E-3</v>
      </c>
      <c r="Z52" s="183">
        <v>-4.1774546901685028E-4</v>
      </c>
    </row>
    <row r="53" spans="10:26" x14ac:dyDescent="0.2">
      <c r="L53" s="180" t="str">
        <v>obj_00bea#0000</v>
      </c>
      <c r="M53" s="180" t="str">
        <f>_xll.qlRateHelperQuoteName(L53)</f>
        <v>EURAB12EBASIS25Y_Quote</v>
      </c>
      <c r="N53" s="177">
        <f>_xll.qlRateHelperLatestDate(L53,Trigger)</f>
        <v>51077</v>
      </c>
      <c r="O53" s="189">
        <f>_xll.qlRateHelperQuoteValue(L53,_xll.ohTrigger(RecalcTrigger,YieldCurve))</f>
        <v>1.8769999999999998E-2</v>
      </c>
      <c r="P53" s="194" t="str">
        <v>25Y</v>
      </c>
      <c r="Q53" s="191" t="str">
        <f>_xll.qlSwapIndex(,"Euribor",P53,NDays,Currency,Calendar,"1Y","mf",BondBasisDayCounter,IborIndex,Discounting,,_xll.ohTrigger(Trigger,RecalcTrigger))</f>
        <v>obj_00c05#0000</v>
      </c>
      <c r="R53" s="192">
        <f>_xll.qlIndexFixing(Q53,$W$19,TRUE,Trigger)</f>
        <v>1.8769999999999436E-2</v>
      </c>
      <c r="S53" s="193">
        <f t="shared" si="8"/>
        <v>-5.620504062164855E-16</v>
      </c>
      <c r="T53" s="195"/>
      <c r="V53" s="180" t="str">
        <f t="shared" si="7"/>
        <v>1D</v>
      </c>
      <c r="W53" s="177">
        <f>_xll.qlCalendarAdvance(Calendar,W52,V53,"f",FALSE)</f>
        <v>41990</v>
      </c>
      <c r="X53" s="181">
        <f>_xll.qlCalendarAdvance(Calendar,W53,NDays&amp;"D")</f>
        <v>41992</v>
      </c>
      <c r="Y53" s="178">
        <v>1.8407808056135479E-3</v>
      </c>
      <c r="Z53" s="183">
        <v>-4.2005099016417802E-4</v>
      </c>
    </row>
    <row r="54" spans="10:26" x14ac:dyDescent="0.2">
      <c r="L54" s="180" t="str">
        <v>obj_00bef#0000</v>
      </c>
      <c r="M54" s="180" t="str">
        <f>_xll.qlRateHelperQuoteName(L54)</f>
        <v>EURAB12EBASIS30Y_Quote</v>
      </c>
      <c r="N54" s="177">
        <f>_xll.qlRateHelperLatestDate(L54,Trigger)</f>
        <v>52904</v>
      </c>
      <c r="O54" s="189">
        <f>_xll.qlRateHelperQuoteValue(L54,_xll.ohTrigger(RecalcTrigger,YieldCurve))</f>
        <v>1.9040000000000001E-2</v>
      </c>
      <c r="P54" s="194" t="str">
        <v>30Y</v>
      </c>
      <c r="Q54" s="191" t="str">
        <f>_xll.qlSwapIndex(,"Euribor",P54,NDays,Currency,Calendar,"1Y","mf",BondBasisDayCounter,IborIndex,Discounting,,_xll.ohTrigger(Trigger,RecalcTrigger))</f>
        <v>obj_00c04#0000</v>
      </c>
      <c r="R54" s="192">
        <f>_xll.qlIndexFixing(Q54,$W$19,TRUE,Trigger)</f>
        <v>1.9040000000054742E-2</v>
      </c>
      <c r="S54" s="193">
        <f t="shared" si="8"/>
        <v>5.4740934007924125E-14</v>
      </c>
      <c r="T54" s="195"/>
      <c r="V54" s="180" t="str">
        <f t="shared" si="7"/>
        <v>1D</v>
      </c>
      <c r="W54" s="177">
        <f>_xll.qlCalendarAdvance(Calendar,W53,V54,"f",FALSE)</f>
        <v>41991</v>
      </c>
      <c r="X54" s="181">
        <f>_xll.qlCalendarAdvance(Calendar,W54,NDays&amp;"D")</f>
        <v>41995</v>
      </c>
      <c r="Y54" s="178">
        <v>1.9162858237703976E-3</v>
      </c>
      <c r="Z54" s="183">
        <v>-4.2243984914147603E-4</v>
      </c>
    </row>
    <row r="55" spans="10:26" x14ac:dyDescent="0.2">
      <c r="L55" s="180" t="str">
        <v>obj_00bf1#0000</v>
      </c>
      <c r="M55" s="180" t="str">
        <f>_xll.qlRateHelperQuoteName(L55)</f>
        <v>EURAB12EBASIS40Y_Quote</v>
      </c>
      <c r="N55" s="177">
        <f>_xll.qlRateHelperLatestDate(L55,Trigger)</f>
        <v>56556</v>
      </c>
      <c r="O55" s="189">
        <f>_xll.qlRateHelperQuoteValue(L55,_xll.ohTrigger(RecalcTrigger,YieldCurve))</f>
        <v>1.9470000000000001E-2</v>
      </c>
      <c r="P55" s="194" t="str">
        <v>40Y</v>
      </c>
      <c r="Q55" s="191" t="str">
        <f>_xll.qlSwapIndex(,"Euribor",P55,NDays,Currency,Calendar,"1Y","mf",BondBasisDayCounter,IborIndex,Discounting,,_xll.ohTrigger(Trigger,RecalcTrigger))</f>
        <v>obj_00bff#0000</v>
      </c>
      <c r="R55" s="192">
        <f>_xll.qlIndexFixing(Q55,$W$19,TRUE,Trigger)</f>
        <v>1.9469999999997659E-2</v>
      </c>
      <c r="S55" s="193">
        <f t="shared" si="8"/>
        <v>-2.3418766925686896E-15</v>
      </c>
      <c r="T55" s="195"/>
      <c r="V55" s="180" t="str">
        <f t="shared" si="7"/>
        <v>1D</v>
      </c>
      <c r="W55" s="177">
        <f>_xll.qlCalendarAdvance(Calendar,W54,V55,"f",FALSE)</f>
        <v>41992</v>
      </c>
      <c r="X55" s="181">
        <f>_xll.qlCalendarAdvance(Calendar,W55,NDays&amp;"D")</f>
        <v>41996</v>
      </c>
      <c r="Y55" s="178">
        <v>1.979256828946696E-3</v>
      </c>
      <c r="Z55" s="183">
        <v>-4.2367521223329874E-4</v>
      </c>
    </row>
    <row r="56" spans="10:26" x14ac:dyDescent="0.2">
      <c r="L56" s="180" t="str">
        <v>obj_00bf2#0000</v>
      </c>
      <c r="M56" s="180" t="str">
        <f>_xll.qlRateHelperQuoteName(L56)</f>
        <v>EURAB12EBASIS50Y_Quote</v>
      </c>
      <c r="N56" s="177">
        <f>_xll.qlRateHelperLatestDate(L56,Trigger)</f>
        <v>60209</v>
      </c>
      <c r="O56" s="189">
        <f>_xll.qlRateHelperQuoteValue(L56,_xll.ohTrigger(RecalcTrigger,YieldCurve))</f>
        <v>1.9519999999999999E-2</v>
      </c>
      <c r="P56" s="194" t="str">
        <v>50Y</v>
      </c>
      <c r="Q56" s="191" t="str">
        <f>_xll.qlSwapIndex(,"Euribor",P56,NDays,Currency,Calendar,"1Y","mf",BondBasisDayCounter,IborIndex,Discounting,,_xll.ohTrigger(Trigger,RecalcTrigger))</f>
        <v>obj_00bfd#0000</v>
      </c>
      <c r="R56" s="192">
        <f>_xll.qlIndexFixing(Q56,$W$19,TRUE,Trigger)</f>
        <v>1.9520000000008777E-2</v>
      </c>
      <c r="S56" s="193">
        <f t="shared" si="8"/>
        <v>8.7777007884426439E-15</v>
      </c>
      <c r="T56" s="195"/>
      <c r="V56" s="180" t="str">
        <f t="shared" si="7"/>
        <v>1D</v>
      </c>
      <c r="W56" s="177">
        <f>_xll.qlCalendarAdvance(Calendar,W55,V56,"f",FALSE)</f>
        <v>41995</v>
      </c>
      <c r="X56" s="181">
        <f>_xll.qlCalendarAdvance(Calendar,W56,NDays&amp;"D")</f>
        <v>41997</v>
      </c>
      <c r="Y56" s="178">
        <v>2.0420258979587658E-3</v>
      </c>
      <c r="Z56" s="183">
        <v>-4.2755323695864433E-4</v>
      </c>
    </row>
    <row r="57" spans="10:26" x14ac:dyDescent="0.2">
      <c r="L57" s="180" t="str">
        <v>obj_00bf3#0000</v>
      </c>
      <c r="M57" s="180" t="str">
        <f>_xll.qlRateHelperQuoteName(L57)</f>
        <v>EURAB12EBASIS60Y_Quote</v>
      </c>
      <c r="N57" s="177">
        <f>_xll.qlRateHelperLatestDate(L57,Trigger)</f>
        <v>63863</v>
      </c>
      <c r="O57" s="189">
        <f>_xll.qlRateHelperQuoteValue(L57,_xll.ohTrigger(RecalcTrigger,YieldCurve))</f>
        <v>1.9610000000000002E-2</v>
      </c>
      <c r="P57" s="194" t="str">
        <v>60Y</v>
      </c>
      <c r="Q57" s="191" t="str">
        <f>_xll.qlSwapIndex(,"Euribor",P57,NDays,Currency,Calendar,"1Y","mf",BondBasisDayCounter,IborIndex,Discounting,,_xll.ohTrigger(Trigger,RecalcTrigger))</f>
        <v>obj_00c08#0000</v>
      </c>
      <c r="R57" s="192">
        <f>_xll.qlIndexFixing(Q57,$W$19,TRUE,Trigger)</f>
        <v>1.9609999999971952E-2</v>
      </c>
      <c r="S57" s="193">
        <f t="shared" si="8"/>
        <v>-2.8050478606544971E-14</v>
      </c>
      <c r="T57" s="195"/>
      <c r="V57" s="180" t="str">
        <f t="shared" si="7"/>
        <v>1D</v>
      </c>
      <c r="W57" s="177">
        <f>_xll.qlCalendarAdvance(Calendar,W56,V57,"f",FALSE)</f>
        <v>41996</v>
      </c>
      <c r="X57" s="181">
        <f>_xll.qlCalendarAdvance(Calendar,W57,NDays&amp;"D")</f>
        <v>42002</v>
      </c>
      <c r="Y57" s="178">
        <v>2.3508414449981822E-3</v>
      </c>
      <c r="Z57" s="183">
        <v>-4.3160624370486289E-4</v>
      </c>
    </row>
    <row r="58" spans="10:26" x14ac:dyDescent="0.2">
      <c r="L58" s="180" t="e">
        <v>#N/A</v>
      </c>
      <c r="M58" s="180" t="e">
        <f>_xll.qlRateHelperQuoteName(L58)</f>
        <v>#VALUE!</v>
      </c>
      <c r="N58" s="177" t="e">
        <f>_xll.qlRateHelperLatestDate(L58,Trigger)</f>
        <v>#VALUE!</v>
      </c>
      <c r="O58" s="189" t="e">
        <f>_xll.qlRateHelperQuoteValue(L58,_xll.ohTrigger(RecalcTrigger,YieldCurve))</f>
        <v>#VALUE!</v>
      </c>
      <c r="P58" s="198" t="e">
        <v>#N/A</v>
      </c>
      <c r="Q58" s="191" t="e">
        <f>_xll.qlSwapIndex(,"Euribor",P58,NDays,Currency,Calendar,"1Y","mf",BondBasisDayCounter,IborIndex,Discounting,,_xll.ohTrigger(Trigger,RecalcTrigger))</f>
        <v>#VALUE!</v>
      </c>
      <c r="R58" s="192" t="e">
        <f>_xll.qlIndexFixing(Q58,$W$19,TRUE,Trigger)</f>
        <v>#VALUE!</v>
      </c>
      <c r="S58" s="193" t="e">
        <f t="shared" si="8"/>
        <v>#VALUE!</v>
      </c>
      <c r="T58" s="195"/>
      <c r="V58" s="180" t="str">
        <f t="shared" si="7"/>
        <v>1D</v>
      </c>
      <c r="W58" s="177">
        <f>_xll.qlCalendarAdvance(Calendar,W57,V58,"f",FALSE)</f>
        <v>41997</v>
      </c>
      <c r="X58" s="181">
        <f>_xll.qlCalendarAdvance(Calendar,W58,NDays&amp;"D")</f>
        <v>42003</v>
      </c>
      <c r="Y58" s="178">
        <v>2.4111982481833812E-3</v>
      </c>
      <c r="Z58" s="183">
        <v>-4.3301455761035612E-4</v>
      </c>
    </row>
    <row r="59" spans="10:26" x14ac:dyDescent="0.2">
      <c r="L59" s="180" t="e">
        <v>#N/A</v>
      </c>
      <c r="M59" s="180" t="e">
        <f>_xll.qlRateHelperQuoteName(L59)</f>
        <v>#VALUE!</v>
      </c>
      <c r="N59" s="177" t="e">
        <f>_xll.qlRateHelperLatestDate(L59,Trigger)</f>
        <v>#VALUE!</v>
      </c>
      <c r="O59" s="189" t="e">
        <f>_xll.qlRateHelperQuoteValue(L59,_xll.ohTrigger(RecalcTrigger,YieldCurve))</f>
        <v>#VALUE!</v>
      </c>
      <c r="P59" s="198" t="e">
        <v>#N/A</v>
      </c>
      <c r="Q59" s="191" t="e">
        <f>_xll.qlSwapIndex(,"Euribor",P59,NDays,Currency,Calendar,"1Y","mf",BondBasisDayCounter,IborIndex,Discounting,,_xll.ohTrigger(Trigger,RecalcTrigger))</f>
        <v>#VALUE!</v>
      </c>
      <c r="R59" s="192" t="e">
        <f>_xll.qlIndexFixing(Q59,$W$19,TRUE,Trigger)</f>
        <v>#VALUE!</v>
      </c>
      <c r="S59" s="193" t="e">
        <f t="shared" si="8"/>
        <v>#VALUE!</v>
      </c>
      <c r="T59" s="195"/>
      <c r="V59" s="180" t="str">
        <f t="shared" si="7"/>
        <v>1D</v>
      </c>
      <c r="W59" s="177">
        <f>_xll.qlCalendarAdvance(Calendar,W58,V59,"f",FALSE)</f>
        <v>42002</v>
      </c>
      <c r="X59" s="181">
        <f>_xll.qlCalendarAdvance(Calendar,W59,NDays&amp;"D")</f>
        <v>42004</v>
      </c>
      <c r="Y59" s="178">
        <v>2.4709527705384401E-3</v>
      </c>
      <c r="Z59" s="183">
        <v>-4.3517618007138381E-4</v>
      </c>
    </row>
    <row r="60" spans="10:26" x14ac:dyDescent="0.2">
      <c r="L60" s="180" t="e">
        <v>#N/A</v>
      </c>
      <c r="M60" s="180" t="e">
        <f>_xll.qlRateHelperQuoteName(L60)</f>
        <v>#VALUE!</v>
      </c>
      <c r="N60" s="177" t="e">
        <f>_xll.qlRateHelperLatestDate(L60,Trigger)</f>
        <v>#VALUE!</v>
      </c>
      <c r="O60" s="189" t="e">
        <f>_xll.qlRateHelperQuoteValue(L60,_xll.ohTrigger(RecalcTrigger,YieldCurve))</f>
        <v>#VALUE!</v>
      </c>
      <c r="P60" s="198" t="e">
        <v>#N/A</v>
      </c>
      <c r="Q60" s="191" t="e">
        <f>_xll.qlSwapIndex(,"Euribor",P60,NDays,Currency,Calendar,"1Y","mf",BondBasisDayCounter,IborIndex,Discounting,,_xll.ohTrigger(Trigger,RecalcTrigger))</f>
        <v>#VALUE!</v>
      </c>
      <c r="R60" s="192" t="e">
        <f>_xll.qlIndexFixing(Q60,$W$19,TRUE,Trigger)</f>
        <v>#VALUE!</v>
      </c>
      <c r="S60" s="193" t="e">
        <f t="shared" si="8"/>
        <v>#VALUE!</v>
      </c>
      <c r="T60" s="195"/>
      <c r="V60" s="180" t="str">
        <f t="shared" si="7"/>
        <v>1D</v>
      </c>
      <c r="W60" s="177">
        <f>_xll.qlCalendarAdvance(Calendar,W59,V60,"f",FALSE)</f>
        <v>42003</v>
      </c>
      <c r="X60" s="181">
        <f>_xll.qlCalendarAdvance(Calendar,W60,NDays&amp;"D")</f>
        <v>42006</v>
      </c>
      <c r="Y60" s="178">
        <v>2.6856795532778639E-3</v>
      </c>
      <c r="Z60" s="183">
        <v>-4.3890258670131743E-4</v>
      </c>
    </row>
    <row r="61" spans="10:26" x14ac:dyDescent="0.2">
      <c r="L61" s="180" t="e">
        <v>#N/A</v>
      </c>
      <c r="M61" s="180" t="e">
        <f>_xll.qlRateHelperQuoteName(L61)</f>
        <v>#VALUE!</v>
      </c>
      <c r="N61" s="177" t="e">
        <f>_xll.qlRateHelperLatestDate(L61,Trigger)</f>
        <v>#VALUE!</v>
      </c>
      <c r="O61" s="189" t="e">
        <f>_xll.qlRateHelperQuoteValue(L61,_xll.ohTrigger(RecalcTrigger,YieldCurve))</f>
        <v>#VALUE!</v>
      </c>
      <c r="P61" s="198" t="e">
        <v>#N/A</v>
      </c>
      <c r="Q61" s="191" t="e">
        <f>_xll.qlSwapIndex(,"Euribor",P61,NDays,Currency,Calendar,"1Y","mf",BondBasisDayCounter,IborIndex,Discounting,,_xll.ohTrigger(Trigger,RecalcTrigger))</f>
        <v>#VALUE!</v>
      </c>
      <c r="R61" s="192" t="e">
        <f>_xll.qlIndexFixing(Q61,$W$19,TRUE,Trigger)</f>
        <v>#VALUE!</v>
      </c>
      <c r="S61" s="193" t="e">
        <f t="shared" si="8"/>
        <v>#VALUE!</v>
      </c>
      <c r="T61" s="195"/>
      <c r="V61" s="180" t="str">
        <f t="shared" si="7"/>
        <v>1D</v>
      </c>
      <c r="W61" s="177">
        <f>_xll.qlCalendarAdvance(Calendar,W60,V61,"f",FALSE)</f>
        <v>42004</v>
      </c>
      <c r="X61" s="181">
        <f>_xll.qlCalendarAdvance(Calendar,W61,NDays&amp;"D")</f>
        <v>42009</v>
      </c>
      <c r="Y61" s="178">
        <v>2.7586871507139627E-3</v>
      </c>
      <c r="Z61" s="183">
        <v>-4.4198329376410328E-4</v>
      </c>
    </row>
    <row r="62" spans="10:26" x14ac:dyDescent="0.2">
      <c r="L62" s="180" t="e">
        <v>#N/A</v>
      </c>
      <c r="M62" s="180" t="e">
        <f>_xll.qlRateHelperQuoteName(L62)</f>
        <v>#VALUE!</v>
      </c>
      <c r="N62" s="177" t="e">
        <f>_xll.qlRateHelperLatestDate(L62,Trigger)</f>
        <v>#VALUE!</v>
      </c>
      <c r="O62" s="189" t="e">
        <f>_xll.qlRateHelperQuoteValue(L62,_xll.ohTrigger(RecalcTrigger,YieldCurve))</f>
        <v>#VALUE!</v>
      </c>
      <c r="P62" s="198" t="e">
        <v>#N/A</v>
      </c>
      <c r="Q62" s="191" t="e">
        <f>_xll.qlSwapIndex(,"Euribor",P62,NDays,Currency,Calendar,"1Y","mf",BondBasisDayCounter,IborIndex,Discounting,,_xll.ohTrigger(Trigger,RecalcTrigger))</f>
        <v>#VALUE!</v>
      </c>
      <c r="R62" s="192" t="e">
        <f>_xll.qlIndexFixing(Q62,$W$19,TRUE,Trigger)</f>
        <v>#VALUE!</v>
      </c>
      <c r="S62" s="193" t="e">
        <f t="shared" si="8"/>
        <v>#VALUE!</v>
      </c>
      <c r="T62" s="195"/>
      <c r="V62" s="180" t="str">
        <f t="shared" si="7"/>
        <v>1D</v>
      </c>
      <c r="W62" s="177">
        <f>_xll.qlCalendarAdvance(Calendar,W61,V62,"f",FALSE)</f>
        <v>42006</v>
      </c>
      <c r="X62" s="181">
        <f>_xll.qlCalendarAdvance(Calendar,W62,NDays&amp;"D")</f>
        <v>42010</v>
      </c>
      <c r="Y62" s="178">
        <v>2.813625412311796E-3</v>
      </c>
      <c r="Z62" s="183">
        <v>-4.4356455856320309E-4</v>
      </c>
    </row>
    <row r="63" spans="10:26" x14ac:dyDescent="0.2">
      <c r="L63" s="180" t="e">
        <v>#N/A</v>
      </c>
      <c r="M63" s="180" t="e">
        <f>_xll.qlRateHelperQuoteName(L63)</f>
        <v>#VALUE!</v>
      </c>
      <c r="N63" s="177" t="e">
        <f>_xll.qlRateHelperLatestDate(L63,Trigger)</f>
        <v>#VALUE!</v>
      </c>
      <c r="O63" s="189" t="e">
        <f>_xll.qlRateHelperQuoteValue(L63,_xll.ohTrigger(RecalcTrigger,YieldCurve))</f>
        <v>#VALUE!</v>
      </c>
      <c r="P63" s="194" t="e">
        <v>#N/A</v>
      </c>
      <c r="Q63" s="191" t="e">
        <f>_xll.qlSwapIndex(,"Euribor",P63,NDays,Currency,Calendar,"1Y","mf",BondBasisDayCounter,IborIndex,Discounting,,_xll.ohTrigger(Trigger,RecalcTrigger))</f>
        <v>#VALUE!</v>
      </c>
      <c r="R63" s="192" t="e">
        <f>_xll.qlIndexFixing(Q63,$W$19,TRUE,Trigger)</f>
        <v>#VALUE!</v>
      </c>
      <c r="S63" s="193" t="e">
        <f t="shared" si="8"/>
        <v>#VALUE!</v>
      </c>
      <c r="T63" s="195"/>
      <c r="V63" s="180" t="str">
        <f t="shared" si="7"/>
        <v>1D</v>
      </c>
      <c r="W63" s="177">
        <f>_xll.qlCalendarAdvance(Calendar,W62,V63,"f",FALSE)</f>
        <v>42009</v>
      </c>
      <c r="X63" s="181">
        <f>_xll.qlCalendarAdvance(Calendar,W63,NDays&amp;"D")</f>
        <v>42011</v>
      </c>
      <c r="Y63" s="178">
        <v>2.8675604288629199E-3</v>
      </c>
      <c r="Z63" s="183">
        <v>-4.4517053055859179E-4</v>
      </c>
    </row>
    <row r="64" spans="10:26" x14ac:dyDescent="0.2">
      <c r="L64" s="180" t="e">
        <v>#N/A</v>
      </c>
      <c r="M64" s="180" t="e">
        <f>_xll.qlRateHelperQuoteName(L64)</f>
        <v>#VALUE!</v>
      </c>
      <c r="N64" s="177" t="e">
        <f>_xll.qlRateHelperLatestDate(L64,Trigger)</f>
        <v>#VALUE!</v>
      </c>
      <c r="O64" s="189" t="e">
        <f>_xll.qlRateHelperQuoteValue(L64,_xll.ohTrigger(RecalcTrigger,YieldCurve))</f>
        <v>#VALUE!</v>
      </c>
      <c r="P64" s="194" t="e">
        <v>#N/A</v>
      </c>
      <c r="Q64" s="191" t="e">
        <f>_xll.qlSwapIndex(,"Euribor",P64,NDays,Currency,Calendar,"1Y","mf",BondBasisDayCounter,IborIndex,Discounting,,_xll.ohTrigger(Trigger,RecalcTrigger))</f>
        <v>#VALUE!</v>
      </c>
      <c r="R64" s="192" t="e">
        <f>_xll.qlIndexFixing(Q64,$W$19,TRUE,Trigger)</f>
        <v>#VALUE!</v>
      </c>
      <c r="S64" s="193" t="e">
        <f t="shared" si="8"/>
        <v>#VALUE!</v>
      </c>
      <c r="T64" s="195"/>
      <c r="V64" s="180" t="str">
        <f t="shared" si="7"/>
        <v>1D</v>
      </c>
      <c r="W64" s="177">
        <f>_xll.qlCalendarAdvance(Calendar,W63,V64,"f",FALSE)</f>
        <v>42010</v>
      </c>
      <c r="X64" s="181">
        <f>_xll.qlCalendarAdvance(Calendar,W64,NDays&amp;"D")</f>
        <v>42012</v>
      </c>
      <c r="Y64" s="178">
        <v>2.9204348774831417E-3</v>
      </c>
      <c r="Z64" s="183">
        <v>-4.4680120987017347E-4</v>
      </c>
    </row>
    <row r="65" spans="12:26" x14ac:dyDescent="0.2">
      <c r="L65" s="180" t="e">
        <v>#N/A</v>
      </c>
      <c r="M65" s="180" t="e">
        <f>_xll.qlRateHelperQuoteName(L65)</f>
        <v>#VALUE!</v>
      </c>
      <c r="N65" s="177" t="e">
        <f>_xll.qlRateHelperLatestDate(L65,Trigger)</f>
        <v>#VALUE!</v>
      </c>
      <c r="O65" s="189" t="e">
        <f>_xll.qlRateHelperQuoteValue(L65,_xll.ohTrigger(RecalcTrigger,YieldCurve))</f>
        <v>#VALUE!</v>
      </c>
      <c r="P65" s="194" t="e">
        <v>#N/A</v>
      </c>
      <c r="Q65" s="191" t="e">
        <f>_xll.qlSwapIndex(,"Euribor",P65,NDays,Currency,Calendar,"1Y","mf",BondBasisDayCounter,IborIndex,Discounting,,_xll.ohTrigger(Trigger,RecalcTrigger))</f>
        <v>#VALUE!</v>
      </c>
      <c r="R65" s="192" t="e">
        <f>_xll.qlIndexFixing(Q65,$W$19,TRUE,Trigger)</f>
        <v>#VALUE!</v>
      </c>
      <c r="S65" s="193" t="e">
        <f t="shared" si="8"/>
        <v>#VALUE!</v>
      </c>
      <c r="T65" s="195"/>
      <c r="V65" s="180" t="str">
        <f t="shared" si="7"/>
        <v>1D</v>
      </c>
      <c r="W65" s="177">
        <f>_xll.qlCalendarAdvance(Calendar,W64,V65,"f",FALSE)</f>
        <v>42011</v>
      </c>
      <c r="X65" s="181">
        <f>_xll.qlCalendarAdvance(Calendar,W65,NDays&amp;"D")</f>
        <v>42013</v>
      </c>
      <c r="Y65" s="178">
        <v>3.0529235424500878E-3</v>
      </c>
      <c r="Z65" s="183">
        <v>-4.5014436306445305E-4</v>
      </c>
    </row>
    <row r="66" spans="12:26" x14ac:dyDescent="0.2">
      <c r="L66" s="180" t="e">
        <v>#N/A</v>
      </c>
      <c r="M66" s="180" t="e">
        <f>_xll.qlRateHelperQuoteName(L66)</f>
        <v>#VALUE!</v>
      </c>
      <c r="N66" s="177" t="e">
        <f>_xll.qlRateHelperLatestDate(L66,Trigger)</f>
        <v>#VALUE!</v>
      </c>
      <c r="O66" s="189" t="e">
        <f>_xll.qlRateHelperQuoteValue(L66,_xll.ohTrigger(RecalcTrigger,YieldCurve))</f>
        <v>#VALUE!</v>
      </c>
      <c r="P66" s="194" t="e">
        <v>#N/A</v>
      </c>
      <c r="Q66" s="191" t="e">
        <f>_xll.qlSwapIndex(,"Euribor",P66,NDays,Currency,Calendar,"1Y","mf",BondBasisDayCounter,IborIndex,Discounting,,_xll.ohTrigger(Trigger,RecalcTrigger))</f>
        <v>#VALUE!</v>
      </c>
      <c r="R66" s="192" t="e">
        <f>_xll.qlIndexFixing(Q66,$W$19,TRUE,Trigger)</f>
        <v>#VALUE!</v>
      </c>
      <c r="S66" s="193" t="e">
        <f t="shared" si="8"/>
        <v>#VALUE!</v>
      </c>
      <c r="T66" s="195"/>
      <c r="V66" s="180" t="str">
        <f t="shared" si="7"/>
        <v>1D</v>
      </c>
      <c r="W66" s="177">
        <f>_xll.qlCalendarAdvance(Calendar,W65,V66,"f",FALSE)</f>
        <v>42012</v>
      </c>
      <c r="X66" s="181">
        <f>_xll.qlCalendarAdvance(Calendar,W66,NDays&amp;"D")</f>
        <v>42016</v>
      </c>
      <c r="Y66" s="178">
        <v>3.1201802359371519E-3</v>
      </c>
      <c r="Z66" s="183">
        <v>-4.5357099947906931E-4</v>
      </c>
    </row>
    <row r="67" spans="12:26" x14ac:dyDescent="0.2">
      <c r="L67" s="180" t="e">
        <v>#N/A</v>
      </c>
      <c r="M67" s="180" t="e">
        <f>_xll.qlRateHelperQuoteName(L67)</f>
        <v>#VALUE!</v>
      </c>
      <c r="N67" s="177" t="e">
        <f>_xll.qlRateHelperLatestDate(L67,Trigger)</f>
        <v>#VALUE!</v>
      </c>
      <c r="O67" s="189" t="e">
        <f>_xll.qlRateHelperQuoteValue(L67,_xll.ohTrigger(RecalcTrigger,YieldCurve))</f>
        <v>#VALUE!</v>
      </c>
      <c r="P67" s="194" t="e">
        <v>#N/A</v>
      </c>
      <c r="Q67" s="191" t="e">
        <f>_xll.qlSwapIndex(,"Euribor",P67,NDays,Currency,Calendar,"1Y","mf",BondBasisDayCounter,IborIndex,Discounting,,_xll.ohTrigger(Trigger,RecalcTrigger))</f>
        <v>#VALUE!</v>
      </c>
      <c r="R67" s="192" t="e">
        <f>_xll.qlIndexFixing(Q67,$W$19,TRUE,Trigger)</f>
        <v>#VALUE!</v>
      </c>
      <c r="S67" s="193" t="e">
        <f t="shared" si="8"/>
        <v>#VALUE!</v>
      </c>
      <c r="T67" s="195"/>
      <c r="V67" s="180" t="str">
        <f t="shared" si="7"/>
        <v>1D</v>
      </c>
      <c r="W67" s="177">
        <f>_xll.qlCalendarAdvance(Calendar,W66,V67,"f",FALSE)</f>
        <v>42013</v>
      </c>
      <c r="X67" s="181">
        <f>_xll.qlCalendarAdvance(Calendar,W67,NDays&amp;"D")</f>
        <v>42017</v>
      </c>
      <c r="Y67" s="178">
        <v>3.1668917118973863E-3</v>
      </c>
      <c r="Z67" s="183">
        <v>-4.5532521501190359E-4</v>
      </c>
    </row>
    <row r="68" spans="12:26" x14ac:dyDescent="0.2">
      <c r="L68" s="180" t="e">
        <v>#N/A</v>
      </c>
      <c r="M68" s="180" t="e">
        <f>_xll.qlRateHelperQuoteName(L68)</f>
        <v>#VALUE!</v>
      </c>
      <c r="N68" s="177" t="e">
        <f>_xll.qlRateHelperLatestDate(L68,Trigger)</f>
        <v>#VALUE!</v>
      </c>
      <c r="O68" s="189" t="e">
        <f>_xll.qlRateHelperQuoteValue(L68,_xll.ohTrigger(RecalcTrigger,YieldCurve))</f>
        <v>#VALUE!</v>
      </c>
      <c r="P68" s="194" t="e">
        <v>#N/A</v>
      </c>
      <c r="Q68" s="191" t="e">
        <f>_xll.qlSwapIndex(,"Euribor",P68,NDays,Currency,Calendar,"1Y","mf",BondBasisDayCounter,IborIndex,Discounting,,_xll.ohTrigger(Trigger,RecalcTrigger))</f>
        <v>#VALUE!</v>
      </c>
      <c r="R68" s="192" t="e">
        <f>_xll.qlIndexFixing(Q68,$W$19,TRUE,Trigger)</f>
        <v>#VALUE!</v>
      </c>
      <c r="S68" s="193" t="e">
        <f t="shared" si="8"/>
        <v>#VALUE!</v>
      </c>
      <c r="T68" s="195"/>
      <c r="V68" s="180" t="str">
        <f t="shared" si="7"/>
        <v>1D</v>
      </c>
      <c r="W68" s="177">
        <f>_xll.qlCalendarAdvance(Calendar,W67,V68,"f",FALSE)</f>
        <v>42016</v>
      </c>
      <c r="X68" s="181">
        <f>_xll.qlCalendarAdvance(Calendar,W68,NDays&amp;"D")</f>
        <v>42018</v>
      </c>
      <c r="Y68" s="178">
        <v>3.2121985183457364E-3</v>
      </c>
      <c r="Z68" s="183">
        <v>-4.5710413778099479E-4</v>
      </c>
    </row>
    <row r="69" spans="12:26" x14ac:dyDescent="0.2">
      <c r="L69" s="180" t="e">
        <v>#N/A</v>
      </c>
      <c r="M69" s="180" t="e">
        <f>_xll.qlRateHelperQuoteName(L69)</f>
        <v>#VALUE!</v>
      </c>
      <c r="N69" s="177" t="e">
        <f>_xll.qlRateHelperLatestDate(L69,Trigger)</f>
        <v>#VALUE!</v>
      </c>
      <c r="O69" s="189" t="e">
        <f>_xll.qlRateHelperQuoteValue(L69,_xll.ohTrigger(RecalcTrigger,YieldCurve))</f>
        <v>#VALUE!</v>
      </c>
      <c r="P69" s="194" t="e">
        <v>#N/A</v>
      </c>
      <c r="Q69" s="191" t="e">
        <f>_xll.qlSwapIndex(,"Euribor",P69,NDays,Currency,Calendar,"1Y","mf",BondBasisDayCounter,IborIndex,Discounting,,_xll.ohTrigger(Trigger,RecalcTrigger))</f>
        <v>#VALUE!</v>
      </c>
      <c r="R69" s="192" t="e">
        <f>_xll.qlIndexFixing(Q69,$W$19,TRUE,Trigger)</f>
        <v>#VALUE!</v>
      </c>
      <c r="S69" s="193" t="e">
        <f t="shared" si="8"/>
        <v>#VALUE!</v>
      </c>
      <c r="T69" s="195"/>
      <c r="V69" s="180" t="str">
        <f t="shared" si="7"/>
        <v>1D</v>
      </c>
      <c r="W69" s="177">
        <f>_xll.qlCalendarAdvance(Calendar,W68,V69,"f",FALSE)</f>
        <v>42017</v>
      </c>
      <c r="X69" s="181">
        <f>_xll.qlCalendarAdvance(Calendar,W69,NDays&amp;"D")</f>
        <v>42019</v>
      </c>
      <c r="Y69" s="178">
        <v>3.2560432842975271E-3</v>
      </c>
      <c r="Z69" s="183">
        <v>-4.5890776786627896E-4</v>
      </c>
    </row>
    <row r="70" spans="12:26" x14ac:dyDescent="0.2">
      <c r="L70" s="180" t="e">
        <v>#N/A</v>
      </c>
      <c r="M70" s="180" t="e">
        <f>_xll.qlRateHelperQuoteName(L70)</f>
        <v>#VALUE!</v>
      </c>
      <c r="N70" s="177" t="e">
        <f>_xll.qlRateHelperLatestDate(L70,Trigger)</f>
        <v>#VALUE!</v>
      </c>
      <c r="O70" s="189" t="e">
        <f>_xll.qlRateHelperQuoteValue(L70,_xll.ohTrigger(RecalcTrigger,YieldCurve))</f>
        <v>#VALUE!</v>
      </c>
      <c r="P70" s="194" t="e">
        <v>#N/A</v>
      </c>
      <c r="Q70" s="191" t="e">
        <f>_xll.qlSwapIndex(,"Euribor",P70,NDays,Currency,Calendar,"1Y","mf",BondBasisDayCounter,IborIndex,Discounting,,_xll.ohTrigger(Trigger,RecalcTrigger))</f>
        <v>#VALUE!</v>
      </c>
      <c r="R70" s="192" t="e">
        <f>_xll.qlIndexFixing(Q70,$W$19,TRUE,Trigger)</f>
        <v>#VALUE!</v>
      </c>
      <c r="S70" s="193" t="e">
        <f t="shared" si="8"/>
        <v>#VALUE!</v>
      </c>
      <c r="T70" s="195"/>
      <c r="V70" s="180" t="str">
        <f t="shared" si="7"/>
        <v>1D</v>
      </c>
      <c r="W70" s="177">
        <f>_xll.qlCalendarAdvance(Calendar,W69,V70,"f",FALSE)</f>
        <v>42018</v>
      </c>
      <c r="X70" s="181">
        <f>_xll.qlCalendarAdvance(Calendar,W70,NDays&amp;"D")</f>
        <v>42020</v>
      </c>
      <c r="Y70" s="178">
        <v>3.3572971076602479E-3</v>
      </c>
      <c r="Z70" s="183">
        <v>-4.6259679099325268E-4</v>
      </c>
    </row>
    <row r="71" spans="12:26" x14ac:dyDescent="0.2">
      <c r="L71" s="180" t="e">
        <v>#N/A</v>
      </c>
      <c r="M71" s="180" t="e">
        <f>_xll.qlRateHelperQuoteName(L71)</f>
        <v>#VALUE!</v>
      </c>
      <c r="N71" s="177" t="e">
        <f>_xll.qlRateHelperLatestDate(L71,Trigger)</f>
        <v>#VALUE!</v>
      </c>
      <c r="O71" s="189" t="e">
        <f>_xll.qlRateHelperQuoteValue(L71,_xll.ohTrigger(RecalcTrigger,YieldCurve))</f>
        <v>#VALUE!</v>
      </c>
      <c r="P71" s="194" t="e">
        <v>#N/A</v>
      </c>
      <c r="Q71" s="191" t="e">
        <f>_xll.qlSwapIndex(,"Euribor",P71,NDays,Currency,Calendar,"1Y","mf",BondBasisDayCounter,IborIndex,Discounting,,_xll.ohTrigger(Trigger,RecalcTrigger))</f>
        <v>#VALUE!</v>
      </c>
      <c r="R71" s="192" t="e">
        <f>_xll.qlIndexFixing(Q71,$W$19,TRUE,Trigger)</f>
        <v>#VALUE!</v>
      </c>
      <c r="S71" s="193" t="e">
        <f t="shared" si="8"/>
        <v>#VALUE!</v>
      </c>
      <c r="T71" s="195"/>
      <c r="V71" s="180" t="str">
        <f t="shared" si="7"/>
        <v>1D</v>
      </c>
      <c r="W71" s="177">
        <f>_xll.qlCalendarAdvance(Calendar,W70,V71,"f",FALSE)</f>
        <v>42019</v>
      </c>
      <c r="X71" s="181">
        <f>_xll.qlCalendarAdvance(Calendar,W71,NDays&amp;"D")</f>
        <v>42023</v>
      </c>
      <c r="Y71" s="178">
        <v>3.4156544081556718E-3</v>
      </c>
      <c r="Z71" s="183">
        <v>-4.6636936053001676E-4</v>
      </c>
    </row>
    <row r="72" spans="12:26" x14ac:dyDescent="0.2">
      <c r="L72" s="180" t="e">
        <v>#N/A</v>
      </c>
      <c r="M72" s="180" t="e">
        <f>_xll.qlRateHelperQuoteName(L72)</f>
        <v>#VALUE!</v>
      </c>
      <c r="N72" s="177" t="e">
        <f>_xll.qlRateHelperLatestDate(L72,Trigger)</f>
        <v>#VALUE!</v>
      </c>
      <c r="O72" s="189" t="e">
        <f>_xll.qlRateHelperQuoteValue(L72,_xll.ohTrigger(RecalcTrigger,YieldCurve))</f>
        <v>#VALUE!</v>
      </c>
      <c r="P72" s="194" t="e">
        <v>#N/A</v>
      </c>
      <c r="Q72" s="191" t="e">
        <f>_xll.qlSwapIndex(,"Euribor",P72,NDays,Currency,Calendar,"1Y","mf",BondBasisDayCounter,IborIndex,Discounting,,_xll.ohTrigger(Trigger,RecalcTrigger))</f>
        <v>#VALUE!</v>
      </c>
      <c r="R72" s="192" t="e">
        <f>_xll.qlIndexFixing(Q72,$W$19,TRUE,Trigger)</f>
        <v>#VALUE!</v>
      </c>
      <c r="S72" s="193" t="e">
        <f t="shared" si="8"/>
        <v>#VALUE!</v>
      </c>
      <c r="T72" s="195"/>
      <c r="V72" s="180" t="str">
        <f t="shared" si="7"/>
        <v>1D</v>
      </c>
      <c r="W72" s="177">
        <f>_xll.qlCalendarAdvance(Calendar,W71,V72,"f",FALSE)</f>
        <v>42020</v>
      </c>
      <c r="X72" s="181">
        <f>_xll.qlCalendarAdvance(Calendar,W72,NDays&amp;"D")</f>
        <v>42024</v>
      </c>
      <c r="Y72" s="178">
        <v>3.4513283041064779E-3</v>
      </c>
      <c r="Z72" s="183">
        <v>-4.6829652679658551E-4</v>
      </c>
    </row>
    <row r="73" spans="12:26" x14ac:dyDescent="0.2">
      <c r="L73" s="180" t="e">
        <v>#N/A</v>
      </c>
      <c r="M73" s="180" t="e">
        <f>_xll.qlRateHelperQuoteName(L73)</f>
        <v>#VALUE!</v>
      </c>
      <c r="N73" s="177" t="e">
        <f>_xll.qlRateHelperLatestDate(L73,Trigger)</f>
        <v>#VALUE!</v>
      </c>
      <c r="O73" s="189" t="e">
        <f>_xll.qlRateHelperQuoteValue(L73,_xll.ohTrigger(RecalcTrigger,YieldCurve))</f>
        <v>#VALUE!</v>
      </c>
      <c r="P73" s="194" t="e">
        <v>#N/A</v>
      </c>
      <c r="Q73" s="191" t="e">
        <f>_xll.qlSwapIndex(,"Euribor",P73,NDays,Currency,Calendar,"1Y","mf",BondBasisDayCounter,IborIndex,Discounting,,_xll.ohTrigger(Trigger,RecalcTrigger))</f>
        <v>#VALUE!</v>
      </c>
      <c r="R73" s="192" t="e">
        <f>_xll.qlIndexFixing(Q73,$W$19,TRUE,Trigger)</f>
        <v>#VALUE!</v>
      </c>
      <c r="S73" s="193" t="e">
        <f t="shared" si="8"/>
        <v>#VALUE!</v>
      </c>
      <c r="T73" s="195"/>
      <c r="V73" s="180" t="str">
        <f t="shared" si="7"/>
        <v>1D</v>
      </c>
      <c r="W73" s="177">
        <f>_xll.qlCalendarAdvance(Calendar,W72,V73,"f",FALSE)</f>
        <v>42023</v>
      </c>
      <c r="X73" s="181">
        <f>_xll.qlCalendarAdvance(Calendar,W73,NDays&amp;"D")</f>
        <v>42025</v>
      </c>
      <c r="Y73" s="178">
        <v>3.4851958848261953E-3</v>
      </c>
      <c r="Z73" s="183">
        <v>-4.7024840037934723E-4</v>
      </c>
    </row>
    <row r="74" spans="12:26" x14ac:dyDescent="0.2">
      <c r="L74" s="180" t="e">
        <v>#N/A</v>
      </c>
      <c r="M74" s="180" t="e">
        <f>_xll.qlRateHelperQuoteName(L74)</f>
        <v>#VALUE!</v>
      </c>
      <c r="N74" s="177" t="e">
        <f>_xll.qlRateHelperLatestDate(L74,Trigger)</f>
        <v>#VALUE!</v>
      </c>
      <c r="O74" s="189" t="e">
        <f>_xll.qlRateHelperQuoteValue(L74,_xll.ohTrigger(RecalcTrigger,YieldCurve))</f>
        <v>#VALUE!</v>
      </c>
      <c r="P74" s="194" t="e">
        <v>#N/A</v>
      </c>
      <c r="Q74" s="191" t="e">
        <f>_xll.qlSwapIndex(,"Euribor",P74,NDays,Currency,Calendar,"1Y","mf",BondBasisDayCounter,IborIndex,Discounting,,_xll.ohTrigger(Trigger,RecalcTrigger))</f>
        <v>#VALUE!</v>
      </c>
      <c r="R74" s="192" t="e">
        <f>_xll.qlIndexFixing(Q74,$W$19,TRUE,Trigger)</f>
        <v>#VALUE!</v>
      </c>
      <c r="S74" s="193" t="e">
        <f t="shared" si="8"/>
        <v>#VALUE!</v>
      </c>
      <c r="T74" s="195"/>
      <c r="V74" s="180" t="str">
        <f t="shared" si="7"/>
        <v>1D</v>
      </c>
      <c r="W74" s="177">
        <f>_xll.qlCalendarAdvance(Calendar,W73,V74,"f",FALSE)</f>
        <v>42024</v>
      </c>
      <c r="X74" s="181">
        <f>_xll.qlCalendarAdvance(Calendar,W74,NDays&amp;"D")</f>
        <v>42026</v>
      </c>
      <c r="Y74" s="178">
        <v>3.5171997718825175E-3</v>
      </c>
      <c r="Z74" s="183">
        <v>-4.7222498115839784E-4</v>
      </c>
    </row>
    <row r="75" spans="12:26" ht="12" thickBot="1" x14ac:dyDescent="0.25">
      <c r="L75" s="188" t="e">
        <v>#N/A</v>
      </c>
      <c r="M75" s="188" t="e">
        <f>_xll.qlRateHelperQuoteName(L75)</f>
        <v>#VALUE!</v>
      </c>
      <c r="N75" s="185" t="e">
        <f>_xll.qlRateHelperLatestDate(L75,Trigger)</f>
        <v>#VALUE!</v>
      </c>
      <c r="O75" s="199" t="e">
        <f>_xll.qlRateHelperQuoteValue(L75,_xll.ohTrigger(RecalcTrigger,YieldCurve))</f>
        <v>#VALUE!</v>
      </c>
      <c r="P75" s="200" t="e">
        <v>#N/A</v>
      </c>
      <c r="Q75" s="191" t="e">
        <f>_xll.qlSwapIndex(,"Euribor",P75,NDays,Currency,Calendar,"1Y","mf",BondBasisDayCounter,IborIndex,Discounting,,_xll.ohTrigger(Trigger,RecalcTrigger))</f>
        <v>#VALUE!</v>
      </c>
      <c r="R75" s="201" t="e">
        <f>_xll.qlIndexFixing(Q75,$W$19,TRUE,Trigger)</f>
        <v>#VALUE!</v>
      </c>
      <c r="S75" s="202" t="e">
        <f t="shared" si="8"/>
        <v>#VALUE!</v>
      </c>
      <c r="T75" s="195"/>
      <c r="V75" s="180" t="str">
        <f t="shared" si="7"/>
        <v>1D</v>
      </c>
      <c r="W75" s="177">
        <f>_xll.qlCalendarAdvance(Calendar,W74,V75,"f",FALSE)</f>
        <v>42025</v>
      </c>
      <c r="X75" s="181">
        <f>_xll.qlCalendarAdvance(Calendar,W75,NDays&amp;"D")</f>
        <v>42027</v>
      </c>
      <c r="Y75" s="178">
        <v>3.5792297615784615E-3</v>
      </c>
      <c r="Z75" s="183">
        <v>-4.7625987018129479E-4</v>
      </c>
    </row>
    <row r="76" spans="12:26" x14ac:dyDescent="0.2">
      <c r="Q76" s="236"/>
      <c r="V76" s="180" t="str">
        <f t="shared" si="7"/>
        <v>1D</v>
      </c>
      <c r="W76" s="177">
        <f>_xll.qlCalendarAdvance(Calendar,W75,V76,"f",FALSE)</f>
        <v>42026</v>
      </c>
      <c r="X76" s="181">
        <f>_xll.qlCalendarAdvance(Calendar,W76,NDays&amp;"D")</f>
        <v>42030</v>
      </c>
      <c r="Y76" s="178">
        <v>3.6254309402084083E-3</v>
      </c>
      <c r="Z76" s="183">
        <v>-4.8037837679704154E-4</v>
      </c>
    </row>
    <row r="77" spans="12:26" x14ac:dyDescent="0.2">
      <c r="V77" s="180" t="str">
        <f t="shared" si="7"/>
        <v>1D</v>
      </c>
      <c r="W77" s="177">
        <f>_xll.qlCalendarAdvance(Calendar,W76,V77,"f",FALSE)</f>
        <v>42027</v>
      </c>
      <c r="X77" s="181">
        <f>_xll.qlCalendarAdvance(Calendar,W77,NDays&amp;"D")</f>
        <v>42031</v>
      </c>
      <c r="Y77" s="178">
        <v>3.6472558236413989E-3</v>
      </c>
      <c r="Z77" s="183">
        <v>-4.8247849387728081E-4</v>
      </c>
    </row>
    <row r="78" spans="12:26" x14ac:dyDescent="0.2">
      <c r="V78" s="180" t="str">
        <f t="shared" si="7"/>
        <v>1D</v>
      </c>
      <c r="W78" s="177">
        <f>_xll.qlCalendarAdvance(Calendar,W77,V78,"f",FALSE)</f>
        <v>42030</v>
      </c>
      <c r="X78" s="181">
        <f>_xll.qlCalendarAdvance(Calendar,W78,NDays&amp;"D")</f>
        <v>42032</v>
      </c>
      <c r="Y78" s="178">
        <v>3.6668728435992203E-3</v>
      </c>
      <c r="Z78" s="183">
        <v>-4.8460331811384094E-4</v>
      </c>
    </row>
    <row r="79" spans="12:26" x14ac:dyDescent="0.2">
      <c r="V79" s="180" t="str">
        <f t="shared" si="7"/>
        <v>1D</v>
      </c>
      <c r="W79" s="177">
        <f>_xll.qlCalendarAdvance(Calendar,W78,V79,"f",FALSE)</f>
        <v>42031</v>
      </c>
      <c r="X79" s="181">
        <f>_xll.qlCalendarAdvance(Calendar,W79,NDays&amp;"D")</f>
        <v>42033</v>
      </c>
      <c r="Y79" s="178">
        <v>3.6842246662385563E-3</v>
      </c>
      <c r="Z79" s="183">
        <v>-4.8675284966659405E-4</v>
      </c>
    </row>
    <row r="80" spans="12:26" x14ac:dyDescent="0.2">
      <c r="V80" s="180" t="str">
        <f t="shared" si="7"/>
        <v>1D</v>
      </c>
      <c r="W80" s="177">
        <f>_xll.qlCalendarAdvance(Calendar,W79,V80,"f",FALSE)</f>
        <v>42032</v>
      </c>
      <c r="X80" s="181">
        <f>_xll.qlCalendarAdvance(Calendar,W80,NDays&amp;"D")</f>
        <v>42034</v>
      </c>
      <c r="Y80" s="178">
        <v>3.6956883925859082E-3</v>
      </c>
      <c r="Z80" s="183">
        <v>-4.9113360018893104E-4</v>
      </c>
    </row>
    <row r="81" spans="22:26" x14ac:dyDescent="0.2">
      <c r="V81" s="180" t="str">
        <f t="shared" si="7"/>
        <v>1D</v>
      </c>
      <c r="W81" s="177">
        <f>_xll.qlCalendarAdvance(Calendar,W80,V81,"f",FALSE)</f>
        <v>42033</v>
      </c>
      <c r="X81" s="181">
        <f>_xll.qlCalendarAdvance(Calendar,W81,NDays&amp;"D")</f>
        <v>42037</v>
      </c>
      <c r="Y81" s="178">
        <v>3.729833729655511E-3</v>
      </c>
      <c r="Z81" s="183">
        <v>-4.9559804828014364E-4</v>
      </c>
    </row>
    <row r="82" spans="22:26" x14ac:dyDescent="0.2">
      <c r="V82" s="180" t="str">
        <f t="shared" si="7"/>
        <v>1D</v>
      </c>
      <c r="W82" s="177">
        <f>_xll.qlCalendarAdvance(Calendar,W81,V82,"f",FALSE)</f>
        <v>42034</v>
      </c>
      <c r="X82" s="181">
        <f>_xll.qlCalendarAdvance(Calendar,W82,NDays&amp;"D")</f>
        <v>42038</v>
      </c>
      <c r="Y82" s="178">
        <v>3.7349999999996396E-3</v>
      </c>
      <c r="Z82" s="183">
        <v>-4.931245250539007E-4</v>
      </c>
    </row>
    <row r="83" spans="22:26" x14ac:dyDescent="0.2">
      <c r="V83" s="180" t="str">
        <f t="shared" si="7"/>
        <v>1D</v>
      </c>
      <c r="W83" s="177">
        <f>_xll.qlCalendarAdvance(Calendar,W82,V83,"f",FALSE)</f>
        <v>42037</v>
      </c>
      <c r="X83" s="181">
        <f>_xll.qlCalendarAdvance(Calendar,W83,NDays&amp;"D")</f>
        <v>42039</v>
      </c>
      <c r="Y83" s="178">
        <v>3.7387810043193579E-3</v>
      </c>
      <c r="Z83" s="183">
        <v>-4.8593790999085229E-4</v>
      </c>
    </row>
    <row r="84" spans="22:26" x14ac:dyDescent="0.2">
      <c r="V84" s="180" t="str">
        <f t="shared" si="7"/>
        <v>1D</v>
      </c>
      <c r="W84" s="177">
        <f>_xll.qlCalendarAdvance(Calendar,W83,V84,"f",FALSE)</f>
        <v>42038</v>
      </c>
      <c r="X84" s="181">
        <f>_xll.qlCalendarAdvance(Calendar,W84,NDays&amp;"D")</f>
        <v>42040</v>
      </c>
      <c r="Y84" s="178">
        <v>3.7423833255089758E-3</v>
      </c>
      <c r="Z84" s="183">
        <v>-4.7878919005484022E-4</v>
      </c>
    </row>
    <row r="85" spans="22:26" x14ac:dyDescent="0.2">
      <c r="V85" s="180" t="str">
        <f t="shared" ref="V85:V148" si="9">V84</f>
        <v>1D</v>
      </c>
      <c r="W85" s="177">
        <f>_xll.qlCalendarAdvance(Calendar,W84,V85,"f",FALSE)</f>
        <v>42039</v>
      </c>
      <c r="X85" s="181">
        <f>_xll.qlCalendarAdvance(Calendar,W85,NDays&amp;"D")</f>
        <v>42041</v>
      </c>
      <c r="Y85" s="178">
        <v>3.7291398067815559E-3</v>
      </c>
      <c r="Z85" s="183">
        <v>-4.6461746769921319E-4</v>
      </c>
    </row>
    <row r="86" spans="22:26" x14ac:dyDescent="0.2">
      <c r="V86" s="180" t="str">
        <f t="shared" si="9"/>
        <v>1D</v>
      </c>
      <c r="W86" s="177">
        <f>_xll.qlCalendarAdvance(Calendar,W85,V86,"f",FALSE)</f>
        <v>42040</v>
      </c>
      <c r="X86" s="181">
        <f>_xll.qlCalendarAdvance(Calendar,W86,NDays&amp;"D")</f>
        <v>42044</v>
      </c>
      <c r="Y86" s="178">
        <v>3.7550661340848279E-3</v>
      </c>
      <c r="Z86" s="183">
        <v>-4.5057326154118726E-4</v>
      </c>
    </row>
    <row r="87" spans="22:26" x14ac:dyDescent="0.2">
      <c r="V87" s="180" t="str">
        <f t="shared" si="9"/>
        <v>1D</v>
      </c>
      <c r="W87" s="177">
        <f>_xll.qlCalendarAdvance(Calendar,W86,V87,"f",FALSE)</f>
        <v>42041</v>
      </c>
      <c r="X87" s="181">
        <f>_xll.qlCalendarAdvance(Calendar,W87,NDays&amp;"D")</f>
        <v>42045</v>
      </c>
      <c r="Y87" s="178">
        <v>3.7578203071000687E-3</v>
      </c>
      <c r="Z87" s="183">
        <v>-4.4361401732029293E-4</v>
      </c>
    </row>
    <row r="88" spans="22:26" x14ac:dyDescent="0.2">
      <c r="V88" s="180" t="str">
        <f t="shared" si="9"/>
        <v>1D</v>
      </c>
      <c r="W88" s="177">
        <f>_xll.qlCalendarAdvance(Calendar,W87,V88,"f",FALSE)</f>
        <v>42044</v>
      </c>
      <c r="X88" s="181">
        <f>_xll.qlCalendarAdvance(Calendar,W88,NDays&amp;"D")</f>
        <v>42046</v>
      </c>
      <c r="Y88" s="178">
        <v>3.7604139048572323E-3</v>
      </c>
      <c r="Z88" s="183">
        <v>-4.3669266810653085E-4</v>
      </c>
    </row>
    <row r="89" spans="22:26" x14ac:dyDescent="0.2">
      <c r="V89" s="180" t="str">
        <f t="shared" si="9"/>
        <v>1D</v>
      </c>
      <c r="W89" s="177">
        <f>_xll.qlCalendarAdvance(Calendar,W88,V89,"f",FALSE)</f>
        <v>42045</v>
      </c>
      <c r="X89" s="181">
        <f>_xll.qlCalendarAdvance(Calendar,W89,NDays&amp;"D")</f>
        <v>42047</v>
      </c>
      <c r="Y89" s="178">
        <v>3.7628499457517165E-3</v>
      </c>
      <c r="Z89" s="183">
        <v>-4.2980921405977313E-4</v>
      </c>
    </row>
    <row r="90" spans="22:26" x14ac:dyDescent="0.2">
      <c r="V90" s="180" t="str">
        <f t="shared" si="9"/>
        <v>1D</v>
      </c>
      <c r="W90" s="177">
        <f>_xll.qlCalendarAdvance(Calendar,W89,V90,"f",FALSE)</f>
        <v>42046</v>
      </c>
      <c r="X90" s="181">
        <f>_xll.qlCalendarAdvance(Calendar,W90,NDays&amp;"D")</f>
        <v>42048</v>
      </c>
      <c r="Y90" s="178">
        <v>3.7464069134422419E-3</v>
      </c>
      <c r="Z90" s="183">
        <v>-4.1616814200118313E-4</v>
      </c>
    </row>
    <row r="91" spans="22:26" x14ac:dyDescent="0.2">
      <c r="V91" s="180" t="str">
        <f t="shared" si="9"/>
        <v>1D</v>
      </c>
      <c r="W91" s="177">
        <f>_xll.qlCalendarAdvance(Calendar,W90,V91,"f",FALSE)</f>
        <v>42047</v>
      </c>
      <c r="X91" s="181">
        <f>_xll.qlCalendarAdvance(Calendar,W91,NDays&amp;"D")</f>
        <v>42051</v>
      </c>
      <c r="Y91" s="178">
        <v>3.7710789122234584E-3</v>
      </c>
      <c r="Z91" s="183">
        <v>-4.0265434926300969E-4</v>
      </c>
    </row>
    <row r="92" spans="22:26" x14ac:dyDescent="0.2">
      <c r="V92" s="180" t="str">
        <f t="shared" si="9"/>
        <v>1D</v>
      </c>
      <c r="W92" s="177">
        <f>_xll.qlCalendarAdvance(Calendar,W91,V92,"f",FALSE)</f>
        <v>42048</v>
      </c>
      <c r="X92" s="181">
        <f>_xll.qlCalendarAdvance(Calendar,W92,NDays&amp;"D")</f>
        <v>42052</v>
      </c>
      <c r="Y92" s="178">
        <v>3.7727724482815874E-3</v>
      </c>
      <c r="Z92" s="183">
        <v>-3.9596037085143365E-4</v>
      </c>
    </row>
    <row r="93" spans="22:26" x14ac:dyDescent="0.2">
      <c r="V93" s="180" t="str">
        <f t="shared" si="9"/>
        <v>1D</v>
      </c>
      <c r="W93" s="177">
        <f>_xll.qlCalendarAdvance(Calendar,W92,V93,"f",FALSE)</f>
        <v>42051</v>
      </c>
      <c r="X93" s="181">
        <f>_xll.qlCalendarAdvance(Calendar,W93,NDays&amp;"D")</f>
        <v>42053</v>
      </c>
      <c r="Y93" s="178">
        <v>3.7743265399115479E-3</v>
      </c>
      <c r="Z93" s="183">
        <v>-3.8930428764683001E-4</v>
      </c>
    </row>
    <row r="94" spans="22:26" x14ac:dyDescent="0.2">
      <c r="V94" s="180" t="str">
        <f t="shared" si="9"/>
        <v>1D</v>
      </c>
      <c r="W94" s="177">
        <f>_xll.qlCalendarAdvance(Calendar,W93,V94,"f",FALSE)</f>
        <v>42052</v>
      </c>
      <c r="X94" s="181">
        <f>_xll.qlCalendarAdvance(Calendar,W94,NDays&amp;"D")</f>
        <v>42054</v>
      </c>
      <c r="Y94" s="178">
        <v>3.7757442061536997E-3</v>
      </c>
      <c r="Z94" s="183">
        <v>-3.8268609956926269E-4</v>
      </c>
    </row>
    <row r="95" spans="22:26" x14ac:dyDescent="0.2">
      <c r="V95" s="180" t="str">
        <f t="shared" si="9"/>
        <v>1D</v>
      </c>
      <c r="W95" s="177">
        <f>_xll.qlCalendarAdvance(Calendar,W94,V95,"f",FALSE)</f>
        <v>42053</v>
      </c>
      <c r="X95" s="181">
        <f>_xll.qlCalendarAdvance(Calendar,W95,NDays&amp;"D")</f>
        <v>42055</v>
      </c>
      <c r="Y95" s="178">
        <v>3.7565741200850516E-3</v>
      </c>
      <c r="Z95" s="183">
        <v>-3.6957566123430041E-4</v>
      </c>
    </row>
    <row r="96" spans="22:26" x14ac:dyDescent="0.2">
      <c r="V96" s="180" t="str">
        <f t="shared" si="9"/>
        <v>1D</v>
      </c>
      <c r="W96" s="177">
        <f>_xll.qlCalendarAdvance(Calendar,W95,V96,"f",FALSE)</f>
        <v>42054</v>
      </c>
      <c r="X96" s="181">
        <f>_xll.qlCalendarAdvance(Calendar,W96,NDays&amp;"D")</f>
        <v>42058</v>
      </c>
      <c r="Y96" s="178">
        <v>3.7801110005738995E-3</v>
      </c>
      <c r="Z96" s="183">
        <v>-3.5659229880913301E-4</v>
      </c>
    </row>
    <row r="97" spans="12:26" x14ac:dyDescent="0.2">
      <c r="V97" s="180" t="str">
        <f t="shared" si="9"/>
        <v>1D</v>
      </c>
      <c r="W97" s="177">
        <f>_xll.qlCalendarAdvance(Calendar,W96,V97,"f",FALSE)</f>
        <v>42055</v>
      </c>
      <c r="X97" s="181">
        <f>_xll.qlCalendarAdvance(Calendar,W97,NDays&amp;"D")</f>
        <v>42059</v>
      </c>
      <c r="Y97" s="178">
        <v>3.7808918279481647E-3</v>
      </c>
      <c r="Z97" s="183">
        <v>-3.5016358644668344E-4</v>
      </c>
    </row>
    <row r="98" spans="12:26" x14ac:dyDescent="0.2">
      <c r="V98" s="180" t="str">
        <f t="shared" si="9"/>
        <v>1D</v>
      </c>
      <c r="W98" s="177">
        <f>_xll.qlCalendarAdvance(Calendar,W97,V98,"f",FALSE)</f>
        <v>42058</v>
      </c>
      <c r="X98" s="181">
        <f>_xll.qlCalendarAdvance(Calendar,W98,NDays&amp;"D")</f>
        <v>42060</v>
      </c>
      <c r="Y98" s="178">
        <v>3.7815543456009579E-3</v>
      </c>
      <c r="Z98" s="183">
        <v>-3.4377276933117429E-4</v>
      </c>
    </row>
    <row r="99" spans="12:26" x14ac:dyDescent="0.2">
      <c r="V99" s="180" t="str">
        <f t="shared" si="9"/>
        <v>1D</v>
      </c>
      <c r="W99" s="177">
        <f>_xll.qlCalendarAdvance(Calendar,W98,V99,"f",FALSE)</f>
        <v>42059</v>
      </c>
      <c r="X99" s="181">
        <f>_xll.qlCalendarAdvance(Calendar,W99,NDays&amp;"D")</f>
        <v>42061</v>
      </c>
      <c r="Y99" s="178">
        <v>3.7821015730108648E-3</v>
      </c>
      <c r="Z99" s="183">
        <v>-3.3741984734270147E-4</v>
      </c>
    </row>
    <row r="100" spans="12:26" x14ac:dyDescent="0.2">
      <c r="V100" s="180" t="str">
        <f t="shared" si="9"/>
        <v>1D</v>
      </c>
      <c r="W100" s="177">
        <f>_xll.qlCalendarAdvance(Calendar,W99,V100,"f",FALSE)</f>
        <v>42060</v>
      </c>
      <c r="X100" s="181">
        <f>_xll.qlCalendarAdvance(Calendar,W100,NDays&amp;"D")</f>
        <v>42062</v>
      </c>
      <c r="Y100" s="178">
        <v>3.7606713236023308E-3</v>
      </c>
      <c r="Z100" s="183">
        <v>-3.248400275035479E-4</v>
      </c>
    </row>
    <row r="101" spans="12:26" x14ac:dyDescent="0.2">
      <c r="V101" s="180" t="str">
        <f t="shared" si="9"/>
        <v>1D</v>
      </c>
      <c r="W101" s="177">
        <f>_xll.qlCalendarAdvance(Calendar,W100,V101,"f",FALSE)</f>
        <v>42061</v>
      </c>
      <c r="X101" s="181">
        <f>_xll.qlCalendarAdvance(Calendar,W101,NDays&amp;"D")</f>
        <v>42065</v>
      </c>
      <c r="Y101" s="178">
        <v>3.7720206003560583E-3</v>
      </c>
      <c r="Z101" s="183">
        <v>-3.1238711105885386E-4</v>
      </c>
    </row>
    <row r="102" spans="12:26" x14ac:dyDescent="0.2">
      <c r="V102" s="180" t="str">
        <f t="shared" si="9"/>
        <v>1D</v>
      </c>
      <c r="W102" s="177">
        <f>_xll.qlCalendarAdvance(Calendar,W101,V102,"f",FALSE)</f>
        <v>42062</v>
      </c>
      <c r="X102" s="181">
        <f>_xll.qlCalendarAdvance(Calendar,W102,NDays&amp;"D")</f>
        <v>42066</v>
      </c>
      <c r="Y102" s="178">
        <v>3.7719566240679656E-3</v>
      </c>
      <c r="Z102" s="183">
        <v>-3.0622366490540287E-4</v>
      </c>
    </row>
    <row r="103" spans="12:26" x14ac:dyDescent="0.2">
      <c r="V103" s="180" t="str">
        <f t="shared" si="9"/>
        <v>1D</v>
      </c>
      <c r="W103" s="177">
        <f>_xll.qlCalendarAdvance(Calendar,W102,V103,"f",FALSE)</f>
        <v>42065</v>
      </c>
      <c r="X103" s="181">
        <f>_xll.qlCalendarAdvance(Calendar,W103,NDays&amp;"D")</f>
        <v>42067</v>
      </c>
      <c r="Y103" s="178">
        <v>3.7717986484229415E-3</v>
      </c>
      <c r="Z103" s="183">
        <v>-3.0009811391895624E-4</v>
      </c>
    </row>
    <row r="104" spans="12:26" x14ac:dyDescent="0.2">
      <c r="V104" s="180" t="str">
        <f t="shared" si="9"/>
        <v>1D</v>
      </c>
      <c r="W104" s="177">
        <f>_xll.qlCalendarAdvance(Calendar,W103,V104,"f",FALSE)</f>
        <v>42066</v>
      </c>
      <c r="X104" s="181">
        <f>_xll.qlCalendarAdvance(Calendar,W104,NDays&amp;"D")</f>
        <v>42068</v>
      </c>
      <c r="Y104" s="178">
        <v>3.7487099066837162E-3</v>
      </c>
      <c r="Z104" s="183">
        <v>-2.9401045809951398E-4</v>
      </c>
    </row>
    <row r="105" spans="12:26" x14ac:dyDescent="0.2">
      <c r="V105" s="180" t="str">
        <f t="shared" si="9"/>
        <v>1D</v>
      </c>
      <c r="W105" s="177">
        <f>_xll.qlCalendarAdvance(Calendar,W104,V105,"f",FALSE)</f>
        <v>42067</v>
      </c>
      <c r="X105" s="181">
        <f>_xll.qlCalendarAdvance(Calendar,W105,NDays&amp;"D")</f>
        <v>42069</v>
      </c>
      <c r="Y105" s="178">
        <v>3.7597285640630124E-3</v>
      </c>
      <c r="Z105" s="183">
        <v>-2.819612429405538E-4</v>
      </c>
    </row>
    <row r="106" spans="12:26" x14ac:dyDescent="0.2">
      <c r="V106" s="180" t="str">
        <f t="shared" si="9"/>
        <v>1D</v>
      </c>
      <c r="W106" s="177">
        <f>_xll.qlCalendarAdvance(Calendar,W105,V106,"f",FALSE)</f>
        <v>42068</v>
      </c>
      <c r="X106" s="181">
        <f>_xll.qlCalendarAdvance(Calendar,W106,NDays&amp;"D")</f>
        <v>42072</v>
      </c>
      <c r="Y106" s="178">
        <v>3.7697041834433478E-3</v>
      </c>
      <c r="Z106" s="183">
        <v>-2.7003878661169267E-4</v>
      </c>
    </row>
    <row r="107" spans="12:26" x14ac:dyDescent="0.2">
      <c r="V107" s="180" t="str">
        <f t="shared" si="9"/>
        <v>1D</v>
      </c>
      <c r="W107" s="177">
        <f>_xll.qlCalendarAdvance(Calendar,W106,V107,"f",FALSE)</f>
        <v>42069</v>
      </c>
      <c r="X107" s="181">
        <f>_xll.qlCalendarAdvance(Calendar,W107,NDays&amp;"D")</f>
        <v>42073</v>
      </c>
      <c r="Y107" s="178">
        <v>3.7690454540728435E-3</v>
      </c>
      <c r="Z107" s="183">
        <v>-2.6414060674717632E-4</v>
      </c>
    </row>
    <row r="108" spans="12:26" x14ac:dyDescent="0.2">
      <c r="V108" s="180" t="str">
        <f t="shared" si="9"/>
        <v>1D</v>
      </c>
      <c r="W108" s="177">
        <f>_xll.qlCalendarAdvance(Calendar,W107,V108,"f",FALSE)</f>
        <v>42072</v>
      </c>
      <c r="X108" s="181">
        <f>_xll.qlCalendarAdvance(Calendar,W108,NDays&amp;"D")</f>
        <v>42074</v>
      </c>
      <c r="Y108" s="178">
        <v>3.7683138063011857E-3</v>
      </c>
      <c r="Z108" s="183">
        <v>-2.5828032200969631E-4</v>
      </c>
    </row>
    <row r="109" spans="12:26" x14ac:dyDescent="0.2">
      <c r="V109" s="180" t="str">
        <f t="shared" si="9"/>
        <v>1D</v>
      </c>
      <c r="W109" s="177">
        <f>_xll.qlCalendarAdvance(Calendar,W108,V109,"f",FALSE)</f>
        <v>42073</v>
      </c>
      <c r="X109" s="181">
        <f>_xll.qlCalendarAdvance(Calendar,W109,NDays&amp;"D")</f>
        <v>42075</v>
      </c>
      <c r="Y109" s="178">
        <v>3.7438841180854228E-3</v>
      </c>
      <c r="Z109" s="183">
        <v>-2.5245793247918868E-4</v>
      </c>
    </row>
    <row r="110" spans="12:26" x14ac:dyDescent="0.2">
      <c r="V110" s="180" t="str">
        <f t="shared" si="9"/>
        <v>1D</v>
      </c>
      <c r="W110" s="177">
        <f>_xll.qlCalendarAdvance(Calendar,W109,V110,"f",FALSE)</f>
        <v>42074</v>
      </c>
      <c r="X110" s="181">
        <f>_xll.qlCalendarAdvance(Calendar,W110,NDays&amp;"D")</f>
        <v>42076</v>
      </c>
      <c r="Y110" s="178">
        <v>3.7547759666015008E-3</v>
      </c>
      <c r="Z110" s="183">
        <v>-2.4093930951707421E-4</v>
      </c>
    </row>
    <row r="111" spans="12:26" x14ac:dyDescent="0.2">
      <c r="L111" s="180"/>
      <c r="M111" s="191"/>
      <c r="V111" s="180" t="str">
        <f t="shared" si="9"/>
        <v>1D</v>
      </c>
      <c r="W111" s="177">
        <f>_xll.qlCalendarAdvance(Calendar,W110,V111,"f",FALSE)</f>
        <v>42075</v>
      </c>
      <c r="X111" s="181">
        <f>_xll.qlCalendarAdvance(Calendar,W111,NDays&amp;"D")</f>
        <v>42079</v>
      </c>
      <c r="Y111" s="178">
        <v>3.7636671980941293E-3</v>
      </c>
      <c r="Z111" s="183">
        <v>-2.2954732622704199E-4</v>
      </c>
    </row>
    <row r="112" spans="12:26" x14ac:dyDescent="0.2">
      <c r="L112" s="180"/>
      <c r="M112" s="191"/>
      <c r="V112" s="180" t="str">
        <f t="shared" si="9"/>
        <v>1D</v>
      </c>
      <c r="W112" s="177">
        <f>_xll.qlCalendarAdvance(Calendar,W111,V112,"f",FALSE)</f>
        <v>42076</v>
      </c>
      <c r="X112" s="181">
        <f>_xll.qlCalendarAdvance(Calendar,W112,NDays&amp;"D")</f>
        <v>42080</v>
      </c>
      <c r="Y112" s="178">
        <v>3.7625612839487319E-3</v>
      </c>
      <c r="Z112" s="183">
        <v>-2.2391441269142831E-4</v>
      </c>
    </row>
    <row r="113" spans="22:26" x14ac:dyDescent="0.2">
      <c r="V113" s="180" t="str">
        <f t="shared" si="9"/>
        <v>1D</v>
      </c>
      <c r="W113" s="177">
        <f>_xll.qlCalendarAdvance(Calendar,W112,V113,"f",FALSE)</f>
        <v>42079</v>
      </c>
      <c r="X113" s="181">
        <f>_xll.qlCalendarAdvance(Calendar,W113,NDays&amp;"D")</f>
        <v>42081</v>
      </c>
      <c r="Y113" s="178">
        <v>3.7614035327517437E-3</v>
      </c>
      <c r="Z113" s="183">
        <v>-2.1831939428285096E-4</v>
      </c>
    </row>
    <row r="114" spans="22:26" x14ac:dyDescent="0.2">
      <c r="V114" s="180" t="str">
        <f t="shared" si="9"/>
        <v>1D</v>
      </c>
      <c r="W114" s="177">
        <f>_xll.qlCalendarAdvance(Calendar,W113,V114,"f",FALSE)</f>
        <v>42080</v>
      </c>
      <c r="X114" s="181">
        <f>_xll.qlCalendarAdvance(Calendar,W114,NDays&amp;"D")</f>
        <v>42082</v>
      </c>
      <c r="Y114" s="178">
        <v>3.7360816868732129E-3</v>
      </c>
      <c r="Z114" s="183">
        <v>-2.127622712011501E-4</v>
      </c>
    </row>
    <row r="115" spans="22:26" x14ac:dyDescent="0.2">
      <c r="V115" s="180" t="str">
        <f t="shared" si="9"/>
        <v>1D</v>
      </c>
      <c r="W115" s="177">
        <f>_xll.qlCalendarAdvance(Calendar,W114,V115,"f",FALSE)</f>
        <v>42081</v>
      </c>
      <c r="X115" s="181">
        <f>_xll.qlCalendarAdvance(Calendar,W115,NDays&amp;"D")</f>
        <v>42083</v>
      </c>
      <c r="Y115" s="178">
        <v>3.7468436940826717E-3</v>
      </c>
      <c r="Z115" s="183">
        <v>-2.0177422905831577E-4</v>
      </c>
    </row>
    <row r="116" spans="22:26" x14ac:dyDescent="0.2">
      <c r="V116" s="180" t="str">
        <f t="shared" si="9"/>
        <v>1D</v>
      </c>
      <c r="W116" s="177">
        <f>_xll.qlCalendarAdvance(Calendar,W115,V116,"f",FALSE)</f>
        <v>42082</v>
      </c>
      <c r="X116" s="181">
        <f>_xll.qlCalendarAdvance(Calendar,W116,NDays&amp;"D")</f>
        <v>42086</v>
      </c>
      <c r="Y116" s="178">
        <v>3.7549426271637227E-3</v>
      </c>
      <c r="Z116" s="183">
        <v>-1.9091273050442226E-4</v>
      </c>
    </row>
    <row r="117" spans="22:26" x14ac:dyDescent="0.2">
      <c r="V117" s="180" t="str">
        <f t="shared" si="9"/>
        <v>1D</v>
      </c>
      <c r="W117" s="177">
        <f>_xll.qlCalendarAdvance(Calendar,W116,V117,"f",FALSE)</f>
        <v>42083</v>
      </c>
      <c r="X117" s="181">
        <f>_xll.qlCalendarAdvance(Calendar,W117,NDays&amp;"D")</f>
        <v>42087</v>
      </c>
      <c r="Y117" s="178">
        <v>3.753537097227787E-3</v>
      </c>
      <c r="Z117" s="183">
        <v>-1.8554508341761533E-4</v>
      </c>
    </row>
    <row r="118" spans="22:26" x14ac:dyDescent="0.2">
      <c r="V118" s="180" t="str">
        <f t="shared" si="9"/>
        <v>1D</v>
      </c>
      <c r="W118" s="177">
        <f>_xll.qlCalendarAdvance(Calendar,W117,V118,"f",FALSE)</f>
        <v>42086</v>
      </c>
      <c r="X118" s="181">
        <f>_xll.qlCalendarAdvance(Calendar,W118,NDays&amp;"D")</f>
        <v>42088</v>
      </c>
      <c r="Y118" s="178">
        <v>3.7037399069873851E-3</v>
      </c>
      <c r="Z118" s="183">
        <v>-1.8021533137790868E-4</v>
      </c>
    </row>
    <row r="119" spans="22:26" x14ac:dyDescent="0.2">
      <c r="V119" s="180" t="str">
        <f t="shared" si="9"/>
        <v>1D</v>
      </c>
      <c r="W119" s="177">
        <f>_xll.qlCalendarAdvance(Calendar,W118,V119,"f",FALSE)</f>
        <v>42087</v>
      </c>
      <c r="X119" s="181">
        <f>_xll.qlCalendarAdvance(Calendar,W119,NDays&amp;"D")</f>
        <v>42089</v>
      </c>
      <c r="Y119" s="178">
        <v>3.7142673902949741E-3</v>
      </c>
      <c r="Z119" s="183">
        <v>-1.7492347470504654E-4</v>
      </c>
    </row>
    <row r="120" spans="22:26" x14ac:dyDescent="0.2">
      <c r="V120" s="180" t="str">
        <f t="shared" si="9"/>
        <v>1D</v>
      </c>
      <c r="W120" s="177">
        <f>_xll.qlCalendarAdvance(Calendar,W119,V120,"f",FALSE)</f>
        <v>42088</v>
      </c>
      <c r="X120" s="181">
        <f>_xll.qlCalendarAdvance(Calendar,W120,NDays&amp;"D")</f>
        <v>42090</v>
      </c>
      <c r="Y120" s="178">
        <v>3.7248376536256878E-3</v>
      </c>
      <c r="Z120" s="183">
        <v>-1.644660035227119E-4</v>
      </c>
    </row>
    <row r="121" spans="22:26" x14ac:dyDescent="0.2">
      <c r="V121" s="180" t="str">
        <f t="shared" si="9"/>
        <v>1D</v>
      </c>
      <c r="W121" s="177">
        <f>_xll.qlCalendarAdvance(Calendar,W120,V121,"f",FALSE)</f>
        <v>42089</v>
      </c>
      <c r="X121" s="181">
        <f>_xll.qlCalendarAdvance(Calendar,W121,NDays&amp;"D")</f>
        <v>42093</v>
      </c>
      <c r="Y121" s="178">
        <v>3.7445634456501247E-3</v>
      </c>
      <c r="Z121" s="183">
        <v>-1.5413500000338587E-4</v>
      </c>
    </row>
    <row r="122" spans="22:26" x14ac:dyDescent="0.2">
      <c r="V122" s="180" t="str">
        <f t="shared" si="9"/>
        <v>1D</v>
      </c>
      <c r="W122" s="177">
        <f>_xll.qlCalendarAdvance(Calendar,W121,V122,"f",FALSE)</f>
        <v>42090</v>
      </c>
      <c r="X122" s="181">
        <f>_xll.qlCalendarAdvance(Calendar,W122,NDays&amp;"D")</f>
        <v>42094</v>
      </c>
      <c r="Y122" s="178">
        <v>3.7430058656795499E-3</v>
      </c>
      <c r="Z122" s="183">
        <v>-1.4903261928544964E-4</v>
      </c>
    </row>
    <row r="123" spans="22:26" x14ac:dyDescent="0.2">
      <c r="V123" s="180" t="str">
        <f t="shared" si="9"/>
        <v>1D</v>
      </c>
      <c r="W123" s="177">
        <f>_xll.qlCalendarAdvance(Calendar,W122,V123,"f",FALSE)</f>
        <v>42093</v>
      </c>
      <c r="X123" s="181">
        <f>_xll.qlCalendarAdvance(Calendar,W123,NDays&amp;"D")</f>
        <v>42095</v>
      </c>
      <c r="Y123" s="178">
        <v>3.7414386101509147E-3</v>
      </c>
      <c r="Z123" s="183">
        <v>-1.4396813397432595E-4</v>
      </c>
    </row>
    <row r="124" spans="22:26" x14ac:dyDescent="0.2">
      <c r="V124" s="180" t="str">
        <f t="shared" si="9"/>
        <v>1D</v>
      </c>
      <c r="W124" s="177">
        <f>_xll.qlCalendarAdvance(Calendar,W123,V124,"f",FALSE)</f>
        <v>42094</v>
      </c>
      <c r="X124" s="181">
        <f>_xll.qlCalendarAdvance(Calendar,W124,NDays&amp;"D")</f>
        <v>42096</v>
      </c>
      <c r="Y124" s="178">
        <v>3.7156563258124468E-3</v>
      </c>
      <c r="Z124" s="183">
        <v>-1.2903985182788347E-4</v>
      </c>
    </row>
    <row r="125" spans="22:26" x14ac:dyDescent="0.2">
      <c r="V125" s="180" t="str">
        <f t="shared" si="9"/>
        <v>1D</v>
      </c>
      <c r="W125" s="177">
        <f>_xll.qlCalendarAdvance(Calendar,W124,V125,"f",FALSE)</f>
        <v>42095</v>
      </c>
      <c r="X125" s="181">
        <f>_xll.qlCalendarAdvance(Calendar,W125,NDays&amp;"D")</f>
        <v>42101</v>
      </c>
      <c r="Y125" s="178">
        <v>3.7320005281385963E-3</v>
      </c>
      <c r="Z125" s="183">
        <v>-1.1437702121419591E-4</v>
      </c>
    </row>
    <row r="126" spans="22:26" x14ac:dyDescent="0.2">
      <c r="V126" s="180" t="str">
        <f t="shared" si="9"/>
        <v>1D</v>
      </c>
      <c r="W126" s="177">
        <f>_xll.qlCalendarAdvance(Calendar,W125,V126,"f",FALSE)</f>
        <v>42096</v>
      </c>
      <c r="X126" s="181">
        <f>_xll.qlCalendarAdvance(Calendar,W126,NDays&amp;"D")</f>
        <v>42102</v>
      </c>
      <c r="Y126" s="178">
        <v>3.730449862239959E-3</v>
      </c>
      <c r="Z126" s="183">
        <v>-1.09577802391847E-4</v>
      </c>
    </row>
    <row r="127" spans="22:26" x14ac:dyDescent="0.2">
      <c r="V127" s="180" t="str">
        <f t="shared" si="9"/>
        <v>1D</v>
      </c>
      <c r="W127" s="177">
        <f>_xll.qlCalendarAdvance(Calendar,W126,V127,"f",FALSE)</f>
        <v>42101</v>
      </c>
      <c r="X127" s="181">
        <f>_xll.qlCalendarAdvance(Calendar,W127,NDays&amp;"D")</f>
        <v>42103</v>
      </c>
      <c r="Y127" s="178">
        <v>3.7050880354357117E-3</v>
      </c>
      <c r="Z127" s="183">
        <v>-1.0481647881643852E-4</v>
      </c>
    </row>
    <row r="128" spans="22:26" x14ac:dyDescent="0.2">
      <c r="V128" s="180" t="str">
        <f t="shared" si="9"/>
        <v>1D</v>
      </c>
      <c r="W128" s="177">
        <f>_xll.qlCalendarAdvance(Calendar,W127,V128,"f",FALSE)</f>
        <v>42102</v>
      </c>
      <c r="X128" s="181">
        <f>_xll.qlCalendarAdvance(Calendar,W128,NDays&amp;"D")</f>
        <v>42104</v>
      </c>
      <c r="Y128" s="178">
        <v>3.7154703284310057E-3</v>
      </c>
      <c r="Z128" s="183">
        <v>-9.5420123829015324E-5</v>
      </c>
    </row>
    <row r="129" spans="22:26" x14ac:dyDescent="0.2">
      <c r="V129" s="180" t="str">
        <f t="shared" si="9"/>
        <v>1D</v>
      </c>
      <c r="W129" s="177">
        <f>_xll.qlCalendarAdvance(Calendar,W128,V129,"f",FALSE)</f>
        <v>42103</v>
      </c>
      <c r="X129" s="181">
        <f>_xll.qlCalendarAdvance(Calendar,W129,NDays&amp;"D")</f>
        <v>42107</v>
      </c>
      <c r="Y129" s="178">
        <v>3.7229729860985684E-3</v>
      </c>
      <c r="Z129" s="183">
        <v>-8.6150136904272756E-5</v>
      </c>
    </row>
    <row r="130" spans="22:26" x14ac:dyDescent="0.2">
      <c r="V130" s="180" t="str">
        <f t="shared" si="9"/>
        <v>1D</v>
      </c>
      <c r="W130" s="177">
        <f>_xll.qlCalendarAdvance(Calendar,W129,V130,"f",FALSE)</f>
        <v>42104</v>
      </c>
      <c r="X130" s="181">
        <f>_xll.qlCalendarAdvance(Calendar,W130,NDays&amp;"D")</f>
        <v>42108</v>
      </c>
      <c r="Y130" s="178">
        <v>3.7215539801425516E-3</v>
      </c>
      <c r="Z130" s="183">
        <v>-8.1578289483630329E-5</v>
      </c>
    </row>
    <row r="131" spans="22:26" x14ac:dyDescent="0.2">
      <c r="V131" s="180" t="str">
        <f t="shared" si="9"/>
        <v>1D</v>
      </c>
      <c r="W131" s="177">
        <f>_xll.qlCalendarAdvance(Calendar,W130,V131,"f",FALSE)</f>
        <v>42107</v>
      </c>
      <c r="X131" s="181">
        <f>_xll.qlCalendarAdvance(Calendar,W131,NDays&amp;"D")</f>
        <v>42109</v>
      </c>
      <c r="Y131" s="178">
        <v>3.7201674567358626E-3</v>
      </c>
      <c r="Z131" s="183">
        <v>-7.7044337309928324E-5</v>
      </c>
    </row>
    <row r="132" spans="22:26" x14ac:dyDescent="0.2">
      <c r="V132" s="180" t="str">
        <f t="shared" si="9"/>
        <v>1D</v>
      </c>
      <c r="W132" s="177">
        <f>_xll.qlCalendarAdvance(Calendar,W131,V132,"f",FALSE)</f>
        <v>42108</v>
      </c>
      <c r="X132" s="181">
        <f>_xll.qlCalendarAdvance(Calendar,W132,NDays&amp;"D")</f>
        <v>42110</v>
      </c>
      <c r="Y132" s="178">
        <v>3.6956523620971771E-3</v>
      </c>
      <c r="Z132" s="183">
        <v>-7.254828042313477E-5</v>
      </c>
    </row>
    <row r="133" spans="22:26" x14ac:dyDescent="0.2">
      <c r="V133" s="180" t="str">
        <f t="shared" si="9"/>
        <v>1D</v>
      </c>
      <c r="W133" s="177">
        <f>_xll.qlCalendarAdvance(Calendar,W132,V133,"f",FALSE)</f>
        <v>42109</v>
      </c>
      <c r="X133" s="181">
        <f>_xll.qlCalendarAdvance(Calendar,W133,NDays&amp;"D")</f>
        <v>42111</v>
      </c>
      <c r="Y133" s="178">
        <v>3.705920685608224E-3</v>
      </c>
      <c r="Z133" s="183">
        <v>-6.3682472921655631E-5</v>
      </c>
    </row>
    <row r="134" spans="22:26" x14ac:dyDescent="0.2">
      <c r="V134" s="180" t="str">
        <f t="shared" si="9"/>
        <v>1D</v>
      </c>
      <c r="W134" s="177">
        <f>_xll.qlCalendarAdvance(Calendar,W133,V134,"f",FALSE)</f>
        <v>42110</v>
      </c>
      <c r="X134" s="181">
        <f>_xll.qlCalendarAdvance(Calendar,W134,NDays&amp;"D")</f>
        <v>42114</v>
      </c>
      <c r="Y134" s="178">
        <v>3.7138274683786048E-3</v>
      </c>
      <c r="Z134" s="183">
        <v>-5.4943005305396753E-5</v>
      </c>
    </row>
    <row r="135" spans="22:26" x14ac:dyDescent="0.2">
      <c r="V135" s="180" t="str">
        <f t="shared" si="9"/>
        <v>1D</v>
      </c>
      <c r="W135" s="177">
        <f>_xll.qlCalendarAdvance(Calendar,W134,V135,"f",FALSE)</f>
        <v>42111</v>
      </c>
      <c r="X135" s="181">
        <f>_xll.qlCalendarAdvance(Calendar,W135,NDays&amp;"D")</f>
        <v>42115</v>
      </c>
      <c r="Y135" s="178">
        <v>3.7126990743756695E-3</v>
      </c>
      <c r="Z135" s="183">
        <v>-5.063642473324137E-5</v>
      </c>
    </row>
    <row r="136" spans="22:26" x14ac:dyDescent="0.2">
      <c r="V136" s="180" t="str">
        <f t="shared" si="9"/>
        <v>1D</v>
      </c>
      <c r="W136" s="177">
        <f>_xll.qlCalendarAdvance(Calendar,W135,V136,"f",FALSE)</f>
        <v>42114</v>
      </c>
      <c r="X136" s="181">
        <f>_xll.qlCalendarAdvance(Calendar,W136,NDays&amp;"D")</f>
        <v>42116</v>
      </c>
      <c r="Y136" s="178">
        <v>3.7116242408669156E-3</v>
      </c>
      <c r="Z136" s="183">
        <v>-4.6367739248154294E-5</v>
      </c>
    </row>
    <row r="137" spans="22:26" x14ac:dyDescent="0.2">
      <c r="V137" s="180" t="str">
        <f t="shared" si="9"/>
        <v>1D</v>
      </c>
      <c r="W137" s="177">
        <f>_xll.qlCalendarAdvance(Calendar,W136,V137,"f",FALSE)</f>
        <v>42115</v>
      </c>
      <c r="X137" s="181">
        <f>_xll.qlCalendarAdvance(Calendar,W137,NDays&amp;"D")</f>
        <v>42117</v>
      </c>
      <c r="Y137" s="178">
        <v>3.68837652580568E-3</v>
      </c>
      <c r="Z137" s="183">
        <v>-4.2136949209847785E-5</v>
      </c>
    </row>
    <row r="138" spans="22:26" x14ac:dyDescent="0.2">
      <c r="V138" s="180" t="str">
        <f t="shared" si="9"/>
        <v>1D</v>
      </c>
      <c r="W138" s="177">
        <f>_xll.qlCalendarAdvance(Calendar,W137,V138,"f",FALSE)</f>
        <v>42116</v>
      </c>
      <c r="X138" s="181">
        <f>_xll.qlCalendarAdvance(Calendar,W138,NDays&amp;"D")</f>
        <v>42118</v>
      </c>
      <c r="Y138" s="178">
        <v>3.6985418455622145E-3</v>
      </c>
      <c r="Z138" s="183">
        <v>-3.3801683239076397E-5</v>
      </c>
    </row>
    <row r="139" spans="22:26" x14ac:dyDescent="0.2">
      <c r="V139" s="180" t="str">
        <f t="shared" si="9"/>
        <v>1D</v>
      </c>
      <c r="W139" s="177">
        <f>_xll.qlCalendarAdvance(Calendar,W138,V139,"f",FALSE)</f>
        <v>42117</v>
      </c>
      <c r="X139" s="181">
        <f>_xll.qlCalendarAdvance(Calendar,W139,NDays&amp;"D")</f>
        <v>42121</v>
      </c>
      <c r="Y139" s="178">
        <v>3.7071588693135221E-3</v>
      </c>
      <c r="Z139" s="183">
        <v>-2.5592741126345686E-5</v>
      </c>
    </row>
    <row r="140" spans="22:26" x14ac:dyDescent="0.2">
      <c r="V140" s="180" t="str">
        <f t="shared" si="9"/>
        <v>1D</v>
      </c>
      <c r="W140" s="177">
        <f>_xll.qlCalendarAdvance(Calendar,W139,V140,"f",FALSE)</f>
        <v>42118</v>
      </c>
      <c r="X140" s="181">
        <f>_xll.qlCalendarAdvance(Calendar,W140,NDays&amp;"D")</f>
        <v>42122</v>
      </c>
      <c r="Y140" s="178">
        <v>3.7064686319162291E-3</v>
      </c>
      <c r="Z140" s="183">
        <v>-2.155142732274129E-5</v>
      </c>
    </row>
    <row r="141" spans="22:26" x14ac:dyDescent="0.2">
      <c r="V141" s="180" t="str">
        <f t="shared" si="9"/>
        <v>1D</v>
      </c>
      <c r="W141" s="177">
        <f>_xll.qlCalendarAdvance(Calendar,W140,V141,"f",FALSE)</f>
        <v>42121</v>
      </c>
      <c r="X141" s="181">
        <f>_xll.qlCalendarAdvance(Calendar,W141,NDays&amp;"D")</f>
        <v>42123</v>
      </c>
      <c r="Y141" s="178">
        <v>3.705853032744154E-3</v>
      </c>
      <c r="Z141" s="183">
        <v>-1.7548008686141259E-5</v>
      </c>
    </row>
    <row r="142" spans="22:26" x14ac:dyDescent="0.2">
      <c r="V142" s="180" t="str">
        <f t="shared" si="9"/>
        <v>1D</v>
      </c>
      <c r="W142" s="177">
        <f>_xll.qlCalendarAdvance(Calendar,W141,V142,"f",FALSE)</f>
        <v>42122</v>
      </c>
      <c r="X142" s="181">
        <f>_xll.qlCalendarAdvance(Calendar,W142,NDays&amp;"D")</f>
        <v>42124</v>
      </c>
      <c r="Y142" s="178">
        <v>3.7160543126249861E-3</v>
      </c>
      <c r="Z142" s="183">
        <v>-7.7289383493273078E-6</v>
      </c>
    </row>
    <row r="143" spans="22:26" x14ac:dyDescent="0.2">
      <c r="V143" s="180" t="str">
        <f t="shared" si="9"/>
        <v>1D</v>
      </c>
      <c r="W143" s="177">
        <f>_xll.qlCalendarAdvance(Calendar,W142,V143,"f",FALSE)</f>
        <v>42123</v>
      </c>
      <c r="X143" s="181">
        <f>_xll.qlCalendarAdvance(Calendar,W143,NDays&amp;"D")</f>
        <v>42128</v>
      </c>
      <c r="Y143" s="178">
        <v>3.7040000000334913E-3</v>
      </c>
      <c r="Z143" s="183">
        <v>-7.2712488030646227E-6</v>
      </c>
    </row>
    <row r="144" spans="22:26" x14ac:dyDescent="0.2">
      <c r="V144" s="180" t="str">
        <f t="shared" si="9"/>
        <v>1D</v>
      </c>
      <c r="W144" s="177">
        <f>_xll.qlCalendarAdvance(Calendar,W143,V144,"f",FALSE)</f>
        <v>42124</v>
      </c>
      <c r="X144" s="181">
        <f>_xll.qlCalendarAdvance(Calendar,W144,NDays&amp;"D")</f>
        <v>42129</v>
      </c>
      <c r="Y144" s="178">
        <v>3.7038958112851519E-3</v>
      </c>
      <c r="Z144" s="183">
        <v>-2.1632244155966873E-5</v>
      </c>
    </row>
    <row r="145" spans="22:26" x14ac:dyDescent="0.2">
      <c r="V145" s="180" t="str">
        <f t="shared" si="9"/>
        <v>1D</v>
      </c>
      <c r="W145" s="177">
        <f>_xll.qlCalendarAdvance(Calendar,W144,V145,"f",FALSE)</f>
        <v>42128</v>
      </c>
      <c r="X145" s="181">
        <f>_xll.qlCalendarAdvance(Calendar,W145,NDays&amp;"D")</f>
        <v>42130</v>
      </c>
      <c r="Y145" s="178">
        <v>3.7038847475018202E-3</v>
      </c>
      <c r="Z145" s="183">
        <v>-3.5720985889220458E-5</v>
      </c>
    </row>
    <row r="146" spans="22:26" x14ac:dyDescent="0.2">
      <c r="V146" s="180" t="str">
        <f t="shared" si="9"/>
        <v>1D</v>
      </c>
      <c r="W146" s="177">
        <f>_xll.qlCalendarAdvance(Calendar,W145,V146,"f",FALSE)</f>
        <v>42129</v>
      </c>
      <c r="X146" s="181">
        <f>_xll.qlCalendarAdvance(Calendar,W146,NDays&amp;"D")</f>
        <v>42131</v>
      </c>
      <c r="Y146" s="178">
        <v>3.683951393526595E-3</v>
      </c>
      <c r="Z146" s="183">
        <v>-4.9537474362537637E-5</v>
      </c>
    </row>
    <row r="147" spans="22:26" x14ac:dyDescent="0.2">
      <c r="V147" s="180" t="str">
        <f t="shared" si="9"/>
        <v>1D</v>
      </c>
      <c r="W147" s="177">
        <f>_xll.qlCalendarAdvance(Calendar,W146,V147,"f",FALSE)</f>
        <v>42130</v>
      </c>
      <c r="X147" s="181">
        <f>_xll.qlCalendarAdvance(Calendar,W147,NDays&amp;"D")</f>
        <v>42132</v>
      </c>
      <c r="Y147" s="178">
        <v>3.6941248960437063E-3</v>
      </c>
      <c r="Z147" s="183">
        <v>-7.6262923935921378E-5</v>
      </c>
    </row>
    <row r="148" spans="22:26" x14ac:dyDescent="0.2">
      <c r="V148" s="180" t="str">
        <f t="shared" si="9"/>
        <v>1D</v>
      </c>
      <c r="W148" s="177">
        <f>_xll.qlCalendarAdvance(Calendar,W147,V148,"f",FALSE)</f>
        <v>42131</v>
      </c>
      <c r="X148" s="181">
        <f>_xll.qlCalendarAdvance(Calendar,W148,NDays&amp;"D")</f>
        <v>42135</v>
      </c>
      <c r="Y148" s="178">
        <v>3.7051592120711085E-3</v>
      </c>
      <c r="Z148" s="183">
        <v>-1.020808944174334E-4</v>
      </c>
    </row>
    <row r="149" spans="22:26" x14ac:dyDescent="0.2">
      <c r="V149" s="180" t="str">
        <f t="shared" ref="V149:V212" si="10">V148</f>
        <v>1D</v>
      </c>
      <c r="W149" s="177">
        <f>_xll.qlCalendarAdvance(Calendar,W148,V149,"f",FALSE)</f>
        <v>42132</v>
      </c>
      <c r="X149" s="181">
        <f>_xll.qlCalendarAdvance(Calendar,W149,NDays&amp;"D")</f>
        <v>42136</v>
      </c>
      <c r="Y149" s="178">
        <v>3.7056666437961625E-3</v>
      </c>
      <c r="Z149" s="183">
        <v>-1.1453611623135629E-4</v>
      </c>
    </row>
    <row r="150" spans="22:26" x14ac:dyDescent="0.2">
      <c r="V150" s="180" t="str">
        <f t="shared" si="10"/>
        <v>1D</v>
      </c>
      <c r="W150" s="177">
        <f>_xll.qlCalendarAdvance(Calendar,W149,V150,"f",FALSE)</f>
        <v>42135</v>
      </c>
      <c r="X150" s="181">
        <f>_xll.qlCalendarAdvance(Calendar,W150,NDays&amp;"D")</f>
        <v>42137</v>
      </c>
      <c r="Y150" s="178">
        <v>3.7062537825862081E-3</v>
      </c>
      <c r="Z150" s="183">
        <v>-1.2671908470540671E-4</v>
      </c>
    </row>
    <row r="151" spans="22:26" x14ac:dyDescent="0.2">
      <c r="V151" s="180" t="str">
        <f t="shared" si="10"/>
        <v>1D</v>
      </c>
      <c r="W151" s="177">
        <f>_xll.qlCalendarAdvance(Calendar,W150,V151,"f",FALSE)</f>
        <v>42136</v>
      </c>
      <c r="X151" s="181">
        <f>_xll.qlCalendarAdvance(Calendar,W151,NDays&amp;"D")</f>
        <v>42138</v>
      </c>
      <c r="Y151" s="178">
        <v>3.68753151344603E-3</v>
      </c>
      <c r="Z151" s="183">
        <v>-1.3862980003942482E-4</v>
      </c>
    </row>
    <row r="152" spans="22:26" x14ac:dyDescent="0.2">
      <c r="V152" s="180" t="str">
        <f t="shared" si="10"/>
        <v>1D</v>
      </c>
      <c r="W152" s="177">
        <f>_xll.qlCalendarAdvance(Calendar,W151,V152,"f",FALSE)</f>
        <v>42137</v>
      </c>
      <c r="X152" s="181">
        <f>_xll.qlCalendarAdvance(Calendar,W152,NDays&amp;"D")</f>
        <v>42139</v>
      </c>
      <c r="Y152" s="178">
        <v>3.6979584451323415E-3</v>
      </c>
      <c r="Z152" s="183">
        <v>-1.615436478186183E-4</v>
      </c>
    </row>
    <row r="153" spans="22:26" x14ac:dyDescent="0.2">
      <c r="V153" s="180" t="str">
        <f t="shared" si="10"/>
        <v>1D</v>
      </c>
      <c r="W153" s="177">
        <f>_xll.qlCalendarAdvance(Calendar,W152,V153,"f",FALSE)</f>
        <v>42138</v>
      </c>
      <c r="X153" s="181">
        <f>_xll.qlCalendarAdvance(Calendar,W153,NDays&amp;"D")</f>
        <v>42142</v>
      </c>
      <c r="Y153" s="178">
        <v>3.710317996012557E-3</v>
      </c>
      <c r="Z153" s="183">
        <v>-1.8355012993520603E-4</v>
      </c>
    </row>
    <row r="154" spans="22:26" x14ac:dyDescent="0.2">
      <c r="V154" s="180" t="str">
        <f t="shared" si="10"/>
        <v>1D</v>
      </c>
      <c r="W154" s="177">
        <f>_xll.qlCalendarAdvance(Calendar,W153,V154,"f",FALSE)</f>
        <v>42139</v>
      </c>
      <c r="X154" s="181">
        <f>_xll.qlCalendarAdvance(Calendar,W154,NDays&amp;"D")</f>
        <v>42143</v>
      </c>
      <c r="Y154" s="178">
        <v>3.7113431254502879E-3</v>
      </c>
      <c r="Z154" s="183">
        <v>-1.9409957952909451E-4</v>
      </c>
    </row>
    <row r="155" spans="22:26" x14ac:dyDescent="0.2">
      <c r="V155" s="180" t="str">
        <f t="shared" si="10"/>
        <v>1D</v>
      </c>
      <c r="W155" s="177">
        <f>_xll.qlCalendarAdvance(Calendar,W154,V155,"f",FALSE)</f>
        <v>42142</v>
      </c>
      <c r="X155" s="181">
        <f>_xll.qlCalendarAdvance(Calendar,W155,NDays&amp;"D")</f>
        <v>42144</v>
      </c>
      <c r="Y155" s="178">
        <v>3.7124345447979734E-3</v>
      </c>
      <c r="Z155" s="183">
        <v>-2.0437677614282279E-4</v>
      </c>
    </row>
    <row r="156" spans="22:26" x14ac:dyDescent="0.2">
      <c r="V156" s="180" t="str">
        <f t="shared" si="10"/>
        <v>1D</v>
      </c>
      <c r="W156" s="177">
        <f>_xll.qlCalendarAdvance(Calendar,W155,V156,"f",FALSE)</f>
        <v>42143</v>
      </c>
      <c r="X156" s="181">
        <f>_xll.qlCalendarAdvance(Calendar,W156,NDays&amp;"D")</f>
        <v>42145</v>
      </c>
      <c r="Y156" s="178">
        <v>3.6946951812621494E-3</v>
      </c>
      <c r="Z156" s="183">
        <v>-2.1438171965648678E-4</v>
      </c>
    </row>
    <row r="157" spans="22:26" x14ac:dyDescent="0.2">
      <c r="V157" s="180" t="str">
        <f t="shared" si="10"/>
        <v>1D</v>
      </c>
      <c r="W157" s="177">
        <f>_xll.qlCalendarAdvance(Calendar,W156,V157,"f",FALSE)</f>
        <v>42144</v>
      </c>
      <c r="X157" s="181">
        <f>_xll.qlCalendarAdvance(Calendar,W157,NDays&amp;"D")</f>
        <v>42146</v>
      </c>
      <c r="Y157" s="178">
        <v>3.7053488235124538E-3</v>
      </c>
      <c r="Z157" s="183">
        <v>-2.3348394553757146E-4</v>
      </c>
    </row>
    <row r="158" spans="22:26" x14ac:dyDescent="0.2">
      <c r="V158" s="180" t="str">
        <f t="shared" si="10"/>
        <v>1D</v>
      </c>
      <c r="W158" s="177">
        <f>_xll.qlCalendarAdvance(Calendar,W157,V158,"f",FALSE)</f>
        <v>42145</v>
      </c>
      <c r="X158" s="181">
        <f>_xll.qlCalendarAdvance(Calendar,W158,NDays&amp;"D")</f>
        <v>42149</v>
      </c>
      <c r="Y158" s="178">
        <v>3.7188189056215877E-3</v>
      </c>
      <c r="Z158" s="183">
        <v>-2.5167896414934887E-4</v>
      </c>
    </row>
    <row r="159" spans="22:26" x14ac:dyDescent="0.2">
      <c r="V159" s="180" t="str">
        <f t="shared" si="10"/>
        <v>1D</v>
      </c>
      <c r="W159" s="177">
        <f>_xll.qlCalendarAdvance(Calendar,W158,V159,"f",FALSE)</f>
        <v>42146</v>
      </c>
      <c r="X159" s="181">
        <f>_xll.qlCalendarAdvance(Calendar,W159,NDays&amp;"D")</f>
        <v>42150</v>
      </c>
      <c r="Y159" s="178">
        <v>3.7202678137171668E-3</v>
      </c>
      <c r="Z159" s="183">
        <v>-2.6032264292208396E-4</v>
      </c>
    </row>
    <row r="160" spans="22:26" x14ac:dyDescent="0.2">
      <c r="V160" s="180" t="str">
        <f t="shared" si="10"/>
        <v>1D</v>
      </c>
      <c r="W160" s="177">
        <f>_xll.qlCalendarAdvance(Calendar,W159,V160,"f",FALSE)</f>
        <v>42149</v>
      </c>
      <c r="X160" s="181">
        <f>_xll.qlCalendarAdvance(Calendar,W160,NDays&amp;"D")</f>
        <v>42151</v>
      </c>
      <c r="Y160" s="178">
        <v>3.7217695948273464E-3</v>
      </c>
      <c r="Z160" s="183">
        <v>-2.6869406867469081E-4</v>
      </c>
    </row>
    <row r="161" spans="22:26" x14ac:dyDescent="0.2">
      <c r="V161" s="180" t="str">
        <f t="shared" si="10"/>
        <v>1D</v>
      </c>
      <c r="W161" s="177">
        <f>_xll.qlCalendarAdvance(Calendar,W160,V161,"f",FALSE)</f>
        <v>42150</v>
      </c>
      <c r="X161" s="181">
        <f>_xll.qlCalendarAdvance(Calendar,W161,NDays&amp;"D")</f>
        <v>42152</v>
      </c>
      <c r="Y161" s="178">
        <v>3.7047885357749874E-3</v>
      </c>
      <c r="Z161" s="183">
        <v>-2.7679324168694563E-4</v>
      </c>
    </row>
    <row r="162" spans="22:26" x14ac:dyDescent="0.2">
      <c r="V162" s="180" t="str">
        <f t="shared" si="10"/>
        <v>1D</v>
      </c>
      <c r="W162" s="177">
        <f>_xll.qlCalendarAdvance(Calendar,W161,V162,"f",FALSE)</f>
        <v>42151</v>
      </c>
      <c r="X162" s="181">
        <f>_xll.qlCalendarAdvance(Calendar,W162,NDays&amp;"D")</f>
        <v>42153</v>
      </c>
      <c r="Y162" s="178">
        <v>3.7064314759578006E-3</v>
      </c>
      <c r="Z162" s="183">
        <v>-2.9208384110024355E-4</v>
      </c>
    </row>
    <row r="163" spans="22:26" x14ac:dyDescent="0.2">
      <c r="V163" s="180" t="str">
        <f t="shared" si="10"/>
        <v>1D</v>
      </c>
      <c r="W163" s="177">
        <f>_xll.qlCalendarAdvance(Calendar,W162,V163,"f",FALSE)</f>
        <v>42152</v>
      </c>
      <c r="X163" s="181">
        <f>_xll.qlCalendarAdvance(Calendar,W163,NDays&amp;"D")</f>
        <v>42156</v>
      </c>
      <c r="Y163" s="178">
        <v>3.7300045108450714E-3</v>
      </c>
      <c r="Z163" s="183">
        <v>-3.0646740489359559E-4</v>
      </c>
    </row>
    <row r="164" spans="22:26" x14ac:dyDescent="0.2">
      <c r="V164" s="180" t="str">
        <f t="shared" si="10"/>
        <v>1D</v>
      </c>
      <c r="W164" s="177">
        <f>_xll.qlCalendarAdvance(Calendar,W163,V164,"f",FALSE)</f>
        <v>42153</v>
      </c>
      <c r="X164" s="181">
        <f>_xll.qlCalendarAdvance(Calendar,W164,NDays&amp;"D")</f>
        <v>42157</v>
      </c>
      <c r="Y164" s="178">
        <v>3.7317832791161089E-3</v>
      </c>
      <c r="Z164" s="183">
        <v>-3.1320531368450588E-4</v>
      </c>
    </row>
    <row r="165" spans="22:26" x14ac:dyDescent="0.2">
      <c r="V165" s="180" t="str">
        <f t="shared" si="10"/>
        <v>1D</v>
      </c>
      <c r="W165" s="177">
        <f>_xll.qlCalendarAdvance(Calendar,W164,V165,"f",FALSE)</f>
        <v>42156</v>
      </c>
      <c r="X165" s="181">
        <f>_xll.qlCalendarAdvance(Calendar,W165,NDays&amp;"D")</f>
        <v>42158</v>
      </c>
      <c r="Y165" s="178">
        <v>3.7336015033683609E-3</v>
      </c>
      <c r="Z165" s="183">
        <v>-3.1967096961516006E-4</v>
      </c>
    </row>
    <row r="166" spans="22:26" x14ac:dyDescent="0.2">
      <c r="V166" s="180" t="str">
        <f t="shared" si="10"/>
        <v>1D</v>
      </c>
      <c r="W166" s="177">
        <f>_xll.qlCalendarAdvance(Calendar,W165,V166,"f",FALSE)</f>
        <v>42157</v>
      </c>
      <c r="X166" s="181">
        <f>_xll.qlCalendarAdvance(Calendar,W166,NDays&amp;"D")</f>
        <v>42159</v>
      </c>
      <c r="Y166" s="178">
        <v>3.7171577194585943E-3</v>
      </c>
      <c r="Z166" s="183">
        <v>-3.2586437284543024E-4</v>
      </c>
    </row>
    <row r="167" spans="22:26" x14ac:dyDescent="0.2">
      <c r="V167" s="180" t="str">
        <f t="shared" si="10"/>
        <v>1D</v>
      </c>
      <c r="W167" s="177">
        <f>_xll.qlCalendarAdvance(Calendar,W166,V167,"f",FALSE)</f>
        <v>42158</v>
      </c>
      <c r="X167" s="181">
        <f>_xll.qlCalendarAdvance(Calendar,W167,NDays&amp;"D")</f>
        <v>42160</v>
      </c>
      <c r="Y167" s="178">
        <v>3.7281775030967531E-3</v>
      </c>
      <c r="Z167" s="183">
        <v>-3.3734335399770998E-4</v>
      </c>
    </row>
    <row r="168" spans="22:26" x14ac:dyDescent="0.2">
      <c r="V168" s="180" t="str">
        <f t="shared" si="10"/>
        <v>1D</v>
      </c>
      <c r="W168" s="177">
        <f>_xll.qlCalendarAdvance(Calendar,W167,V168,"f",FALSE)</f>
        <v>42159</v>
      </c>
      <c r="X168" s="181">
        <f>_xll.qlCalendarAdvance(Calendar,W168,NDays&amp;"D")</f>
        <v>42163</v>
      </c>
      <c r="Y168" s="178">
        <v>3.7432173777479563E-3</v>
      </c>
      <c r="Z168" s="183">
        <v>-3.479154581631505E-4</v>
      </c>
    </row>
    <row r="169" spans="22:26" x14ac:dyDescent="0.2">
      <c r="V169" s="180" t="str">
        <f t="shared" si="10"/>
        <v>1D</v>
      </c>
      <c r="W169" s="177">
        <f>_xll.qlCalendarAdvance(Calendar,W168,V169,"f",FALSE)</f>
        <v>42160</v>
      </c>
      <c r="X169" s="181">
        <f>_xll.qlCalendarAdvance(Calendar,W169,NDays&amp;"D")</f>
        <v>42164</v>
      </c>
      <c r="Y169" s="178">
        <v>3.7452320857745951E-3</v>
      </c>
      <c r="Z169" s="183">
        <v>-3.5274759773162856E-4</v>
      </c>
    </row>
    <row r="170" spans="22:26" x14ac:dyDescent="0.2">
      <c r="V170" s="180" t="str">
        <f t="shared" si="10"/>
        <v>1D</v>
      </c>
      <c r="W170" s="177">
        <f>_xll.qlCalendarAdvance(Calendar,W169,V170,"f",FALSE)</f>
        <v>42163</v>
      </c>
      <c r="X170" s="181">
        <f>_xll.qlCalendarAdvance(Calendar,W170,NDays&amp;"D")</f>
        <v>42165</v>
      </c>
      <c r="Y170" s="178">
        <v>3.7472728323032995E-3</v>
      </c>
      <c r="Z170" s="183">
        <v>-3.5730748455975458E-4</v>
      </c>
    </row>
    <row r="171" spans="22:26" x14ac:dyDescent="0.2">
      <c r="V171" s="180" t="str">
        <f t="shared" si="10"/>
        <v>1D</v>
      </c>
      <c r="W171" s="177">
        <f>_xll.qlCalendarAdvance(Calendar,W170,V171,"f",FALSE)</f>
        <v>42164</v>
      </c>
      <c r="X171" s="181">
        <f>_xll.qlCalendarAdvance(Calendar,W171,NDays&amp;"D")</f>
        <v>42166</v>
      </c>
      <c r="Y171" s="178">
        <v>3.7311488611270786E-3</v>
      </c>
      <c r="Z171" s="183">
        <v>-3.6159511876743267E-4</v>
      </c>
    </row>
    <row r="172" spans="22:26" x14ac:dyDescent="0.2">
      <c r="V172" s="180" t="str">
        <f t="shared" si="10"/>
        <v>1D</v>
      </c>
      <c r="W172" s="177">
        <f>_xll.qlCalendarAdvance(Calendar,W171,V172,"f",FALSE)</f>
        <v>42165</v>
      </c>
      <c r="X172" s="181">
        <f>_xll.qlCalendarAdvance(Calendar,W172,NDays&amp;"D")</f>
        <v>42167</v>
      </c>
      <c r="Y172" s="178">
        <v>3.7423045109667508E-3</v>
      </c>
      <c r="Z172" s="183">
        <v>-3.6926249936453104E-4</v>
      </c>
    </row>
    <row r="173" spans="22:26" x14ac:dyDescent="0.2">
      <c r="V173" s="180" t="str">
        <f t="shared" si="10"/>
        <v>1D</v>
      </c>
      <c r="W173" s="177">
        <f>_xll.qlCalendarAdvance(Calendar,W172,V173,"f",FALSE)</f>
        <v>42166</v>
      </c>
      <c r="X173" s="181">
        <f>_xll.qlCalendarAdvance(Calendar,W173,NDays&amp;"D")</f>
        <v>42170</v>
      </c>
      <c r="Y173" s="178">
        <v>3.7578000528241794E-3</v>
      </c>
      <c r="Z173" s="183">
        <v>-3.7602312863427301E-4</v>
      </c>
    </row>
    <row r="174" spans="22:26" x14ac:dyDescent="0.2">
      <c r="V174" s="180" t="str">
        <f t="shared" si="10"/>
        <v>1D</v>
      </c>
      <c r="W174" s="177">
        <f>_xll.qlCalendarAdvance(Calendar,W173,V174,"f",FALSE)</f>
        <v>42167</v>
      </c>
      <c r="X174" s="181">
        <f>_xll.qlCalendarAdvance(Calendar,W174,NDays&amp;"D")</f>
        <v>42171</v>
      </c>
      <c r="Y174" s="178">
        <v>3.7599567763649212E-3</v>
      </c>
      <c r="Z174" s="183">
        <v>-3.7894949945993517E-4</v>
      </c>
    </row>
    <row r="175" spans="22:26" x14ac:dyDescent="0.2">
      <c r="V175" s="180" t="str">
        <f t="shared" si="10"/>
        <v>1D</v>
      </c>
      <c r="W175" s="177">
        <f>_xll.qlCalendarAdvance(Calendar,W174,V175,"f",FALSE)</f>
        <v>42170</v>
      </c>
      <c r="X175" s="181">
        <f>_xll.qlCalendarAdvance(Calendar,W175,NDays&amp;"D")</f>
        <v>42172</v>
      </c>
      <c r="Y175" s="178">
        <v>3.7621261202659389E-3</v>
      </c>
      <c r="Z175" s="183">
        <v>-3.8160361770511741E-4</v>
      </c>
    </row>
    <row r="176" spans="22:26" x14ac:dyDescent="0.2">
      <c r="V176" s="180" t="str">
        <f t="shared" si="10"/>
        <v>1D</v>
      </c>
      <c r="W176" s="177">
        <f>_xll.qlCalendarAdvance(Calendar,W175,V176,"f",FALSE)</f>
        <v>42171</v>
      </c>
      <c r="X176" s="181">
        <f>_xll.qlCalendarAdvance(Calendar,W176,NDays&amp;"D")</f>
        <v>42173</v>
      </c>
      <c r="Y176" s="178">
        <v>3.7461080629586814E-3</v>
      </c>
      <c r="Z176" s="183">
        <v>-3.8398548332985172E-4</v>
      </c>
    </row>
    <row r="177" spans="22:26" x14ac:dyDescent="0.2">
      <c r="V177" s="180" t="str">
        <f t="shared" si="10"/>
        <v>1D</v>
      </c>
      <c r="W177" s="177">
        <f>_xll.qlCalendarAdvance(Calendar,W176,V177,"f",FALSE)</f>
        <v>42172</v>
      </c>
      <c r="X177" s="181">
        <f>_xll.qlCalendarAdvance(Calendar,W177,NDays&amp;"D")</f>
        <v>42174</v>
      </c>
      <c r="Y177" s="178">
        <v>3.757365731552872E-3</v>
      </c>
      <c r="Z177" s="183">
        <v>-3.8784128781887972E-4</v>
      </c>
    </row>
    <row r="178" spans="22:26" x14ac:dyDescent="0.2">
      <c r="V178" s="180" t="str">
        <f t="shared" si="10"/>
        <v>1D</v>
      </c>
      <c r="W178" s="177">
        <f>_xll.qlCalendarAdvance(Calendar,W177,V178,"f",FALSE)</f>
        <v>42173</v>
      </c>
      <c r="X178" s="181">
        <f>_xll.qlCalendarAdvance(Calendar,W178,NDays&amp;"D")</f>
        <v>42177</v>
      </c>
      <c r="Y178" s="178">
        <v>3.7730950516854963E-3</v>
      </c>
      <c r="Z178" s="183">
        <v>-3.9079041934453329E-4</v>
      </c>
    </row>
    <row r="179" spans="22:26" x14ac:dyDescent="0.2">
      <c r="V179" s="180" t="str">
        <f t="shared" si="10"/>
        <v>1D</v>
      </c>
      <c r="W179" s="177">
        <f>_xll.qlCalendarAdvance(Calendar,W178,V179,"f",FALSE)</f>
        <v>42174</v>
      </c>
      <c r="X179" s="181">
        <f>_xll.qlCalendarAdvance(Calendar,W179,NDays&amp;"D")</f>
        <v>42178</v>
      </c>
      <c r="Y179" s="178">
        <v>3.7752998614196259E-3</v>
      </c>
      <c r="Z179" s="183">
        <v>-3.918110219069959E-4</v>
      </c>
    </row>
    <row r="180" spans="22:26" x14ac:dyDescent="0.2">
      <c r="V180" s="180" t="str">
        <f t="shared" si="10"/>
        <v>1D</v>
      </c>
      <c r="W180" s="177">
        <f>_xll.qlCalendarAdvance(Calendar,W179,V180,"f",FALSE)</f>
        <v>42177</v>
      </c>
      <c r="X180" s="181">
        <f>_xll.qlCalendarAdvance(Calendar,W180,NDays&amp;"D")</f>
        <v>42179</v>
      </c>
      <c r="Y180" s="178">
        <v>3.7775038725800895E-3</v>
      </c>
      <c r="Z180" s="183">
        <v>-3.9255937168913846E-4</v>
      </c>
    </row>
    <row r="181" spans="22:26" x14ac:dyDescent="0.2">
      <c r="V181" s="180" t="str">
        <f t="shared" si="10"/>
        <v>1D</v>
      </c>
      <c r="W181" s="177">
        <f>_xll.qlCalendarAdvance(Calendar,W180,V181,"f",FALSE)</f>
        <v>42178</v>
      </c>
      <c r="X181" s="181">
        <f>_xll.qlCalendarAdvance(Calendar,W181,NDays&amp;"D")</f>
        <v>42180</v>
      </c>
      <c r="Y181" s="178">
        <v>3.7613813918705007E-3</v>
      </c>
      <c r="Z181" s="183">
        <v>-3.9303546897073716E-4</v>
      </c>
    </row>
    <row r="182" spans="22:26" x14ac:dyDescent="0.2">
      <c r="V182" s="180" t="str">
        <f t="shared" si="10"/>
        <v>1D</v>
      </c>
      <c r="W182" s="177">
        <f>_xll.qlCalendarAdvance(Calendar,W181,V182,"f",FALSE)</f>
        <v>42179</v>
      </c>
      <c r="X182" s="181">
        <f>_xll.qlCalendarAdvance(Calendar,W182,NDays&amp;"D")</f>
        <v>42181</v>
      </c>
      <c r="Y182" s="178">
        <v>3.7727054477293973E-3</v>
      </c>
      <c r="Z182" s="183">
        <v>-3.9307972563573657E-4</v>
      </c>
    </row>
    <row r="183" spans="22:26" x14ac:dyDescent="0.2">
      <c r="V183" s="180" t="str">
        <f t="shared" si="10"/>
        <v>1D</v>
      </c>
      <c r="W183" s="177">
        <f>_xll.qlCalendarAdvance(Calendar,W182,V183,"f",FALSE)</f>
        <v>42180</v>
      </c>
      <c r="X183" s="181">
        <f>_xll.qlCalendarAdvance(Calendar,W183,NDays&amp;"D")</f>
        <v>42184</v>
      </c>
      <c r="Y183" s="178">
        <v>3.788444852130412E-3</v>
      </c>
      <c r="Z183" s="183">
        <v>-3.9221733193262054E-4</v>
      </c>
    </row>
    <row r="184" spans="22:26" x14ac:dyDescent="0.2">
      <c r="V184" s="180" t="str">
        <f t="shared" si="10"/>
        <v>1D</v>
      </c>
      <c r="W184" s="177">
        <f>_xll.qlCalendarAdvance(Calendar,W183,V184,"f",FALSE)</f>
        <v>42181</v>
      </c>
      <c r="X184" s="181">
        <f>_xll.qlCalendarAdvance(Calendar,W184,NDays&amp;"D")</f>
        <v>42185</v>
      </c>
      <c r="Y184" s="178">
        <v>3.7906038130235339E-3</v>
      </c>
      <c r="Z184" s="183">
        <v>-3.9133216627185163E-4</v>
      </c>
    </row>
    <row r="185" spans="22:26" x14ac:dyDescent="0.2">
      <c r="V185" s="180" t="str">
        <f t="shared" si="10"/>
        <v>1D</v>
      </c>
      <c r="W185" s="177">
        <f>_xll.qlCalendarAdvance(Calendar,W184,V185,"f",FALSE)</f>
        <v>42184</v>
      </c>
      <c r="X185" s="181">
        <f>_xll.qlCalendarAdvance(Calendar,W185,NDays&amp;"D")</f>
        <v>42186</v>
      </c>
      <c r="Y185" s="178">
        <v>3.7927485555784546E-3</v>
      </c>
      <c r="Z185" s="183">
        <v>-3.9017474783076267E-4</v>
      </c>
    </row>
    <row r="186" spans="22:26" x14ac:dyDescent="0.2">
      <c r="V186" s="180" t="str">
        <f t="shared" si="10"/>
        <v>1D</v>
      </c>
      <c r="W186" s="177">
        <f>_xll.qlCalendarAdvance(Calendar,W185,V186,"f",FALSE)</f>
        <v>42185</v>
      </c>
      <c r="X186" s="181">
        <f>_xll.qlCalendarAdvance(Calendar,W186,NDays&amp;"D")</f>
        <v>42187</v>
      </c>
      <c r="Y186" s="178">
        <v>3.7763148752501703E-3</v>
      </c>
      <c r="Z186" s="183">
        <v>-3.8874507688912985E-4</v>
      </c>
    </row>
    <row r="187" spans="22:26" x14ac:dyDescent="0.2">
      <c r="V187" s="180" t="str">
        <f t="shared" si="10"/>
        <v>1D</v>
      </c>
      <c r="W187" s="177">
        <f>_xll.qlCalendarAdvance(Calendar,W186,V187,"f",FALSE)</f>
        <v>42186</v>
      </c>
      <c r="X187" s="181">
        <f>_xll.qlCalendarAdvance(Calendar,W187,NDays&amp;"D")</f>
        <v>42188</v>
      </c>
      <c r="Y187" s="178">
        <v>3.7876679025530833E-3</v>
      </c>
      <c r="Z187" s="183">
        <v>-3.8497781444046808E-4</v>
      </c>
    </row>
    <row r="188" spans="22:26" x14ac:dyDescent="0.2">
      <c r="V188" s="180" t="str">
        <f t="shared" si="10"/>
        <v>1D</v>
      </c>
      <c r="W188" s="177">
        <f>_xll.qlCalendarAdvance(Calendar,W187,V188,"f",FALSE)</f>
        <v>42187</v>
      </c>
      <c r="X188" s="181">
        <f>_xll.qlCalendarAdvance(Calendar,W188,NDays&amp;"D")</f>
        <v>42191</v>
      </c>
      <c r="Y188" s="178">
        <v>3.8031918915868838E-3</v>
      </c>
      <c r="Z188" s="183">
        <v>-3.8030386671827898E-4</v>
      </c>
    </row>
    <row r="189" spans="22:26" x14ac:dyDescent="0.2">
      <c r="V189" s="180" t="str">
        <f t="shared" si="10"/>
        <v>1D</v>
      </c>
      <c r="W189" s="177">
        <f>_xll.qlCalendarAdvance(Calendar,W188,V189,"f",FALSE)</f>
        <v>42188</v>
      </c>
      <c r="X189" s="181">
        <f>_xll.qlCalendarAdvance(Calendar,W189,NDays&amp;"D")</f>
        <v>42192</v>
      </c>
      <c r="Y189" s="178">
        <v>3.8052110628858976E-3</v>
      </c>
      <c r="Z189" s="183">
        <v>-3.7751293251453433E-4</v>
      </c>
    </row>
    <row r="190" spans="22:26" x14ac:dyDescent="0.2">
      <c r="V190" s="180" t="str">
        <f t="shared" si="10"/>
        <v>1D</v>
      </c>
      <c r="W190" s="177">
        <f>_xll.qlCalendarAdvance(Calendar,W189,V190,"f",FALSE)</f>
        <v>42191</v>
      </c>
      <c r="X190" s="181">
        <f>_xll.qlCalendarAdvance(Calendar,W190,NDays&amp;"D")</f>
        <v>42193</v>
      </c>
      <c r="Y190" s="178">
        <v>3.8072025952994143E-3</v>
      </c>
      <c r="Z190" s="183">
        <v>-3.7444974585021384E-4</v>
      </c>
    </row>
    <row r="191" spans="22:26" x14ac:dyDescent="0.2">
      <c r="V191" s="180" t="str">
        <f t="shared" si="10"/>
        <v>1D</v>
      </c>
      <c r="W191" s="177">
        <f>_xll.qlCalendarAdvance(Calendar,W190,V191,"f",FALSE)</f>
        <v>42192</v>
      </c>
      <c r="X191" s="181">
        <f>_xll.qlCalendarAdvance(Calendar,W191,NDays&amp;"D")</f>
        <v>42194</v>
      </c>
      <c r="Y191" s="178">
        <v>3.7902545010414382E-3</v>
      </c>
      <c r="Z191" s="183">
        <v>-3.7111430644554133E-4</v>
      </c>
    </row>
    <row r="192" spans="22:26" x14ac:dyDescent="0.2">
      <c r="V192" s="180" t="str">
        <f t="shared" si="10"/>
        <v>1D</v>
      </c>
      <c r="W192" s="177">
        <f>_xll.qlCalendarAdvance(Calendar,W191,V192,"f",FALSE)</f>
        <v>42193</v>
      </c>
      <c r="X192" s="181">
        <f>_xll.qlCalendarAdvance(Calendar,W192,NDays&amp;"D")</f>
        <v>42195</v>
      </c>
      <c r="Y192" s="178">
        <v>3.8015972995900983E-3</v>
      </c>
      <c r="Z192" s="183">
        <v>-3.6353555162182971E-4</v>
      </c>
    </row>
    <row r="193" spans="22:26" x14ac:dyDescent="0.2">
      <c r="V193" s="180" t="str">
        <f t="shared" si="10"/>
        <v>1D</v>
      </c>
      <c r="W193" s="177">
        <f>_xll.qlCalendarAdvance(Calendar,W192,V193,"f",FALSE)</f>
        <v>42194</v>
      </c>
      <c r="X193" s="181">
        <f>_xll.qlCalendarAdvance(Calendar,W193,NDays&amp;"D")</f>
        <v>42198</v>
      </c>
      <c r="Y193" s="178">
        <v>3.8166785689401472E-3</v>
      </c>
      <c r="Z193" s="183">
        <v>-3.5505002210278747E-4</v>
      </c>
    </row>
    <row r="194" spans="22:26" x14ac:dyDescent="0.2">
      <c r="V194" s="180" t="str">
        <f t="shared" si="10"/>
        <v>1D</v>
      </c>
      <c r="W194" s="177">
        <f>_xll.qlCalendarAdvance(Calendar,W193,V194,"f",FALSE)</f>
        <v>42195</v>
      </c>
      <c r="X194" s="181">
        <f>_xll.qlCalendarAdvance(Calendar,W194,NDays&amp;"D")</f>
        <v>42199</v>
      </c>
      <c r="Y194" s="178">
        <v>3.8184640047884944E-3</v>
      </c>
      <c r="Z194" s="183">
        <v>-3.5035331935606706E-4</v>
      </c>
    </row>
    <row r="195" spans="22:26" x14ac:dyDescent="0.2">
      <c r="V195" s="180" t="str">
        <f t="shared" si="10"/>
        <v>1D</v>
      </c>
      <c r="W195" s="177">
        <f>_xll.qlCalendarAdvance(Calendar,W194,V195,"f",FALSE)</f>
        <v>42198</v>
      </c>
      <c r="X195" s="181">
        <f>_xll.qlCalendarAdvance(Calendar,W195,NDays&amp;"D")</f>
        <v>42200</v>
      </c>
      <c r="Y195" s="178">
        <v>3.8202083805636863E-3</v>
      </c>
      <c r="Z195" s="183">
        <v>-3.4538436394893068E-4</v>
      </c>
    </row>
    <row r="196" spans="22:26" x14ac:dyDescent="0.2">
      <c r="V196" s="180" t="str">
        <f t="shared" si="10"/>
        <v>1D</v>
      </c>
      <c r="W196" s="177">
        <f>_xll.qlCalendarAdvance(Calendar,W195,V196,"f",FALSE)</f>
        <v>42199</v>
      </c>
      <c r="X196" s="181">
        <f>_xll.qlCalendarAdvance(Calendar,W196,NDays&amp;"D")</f>
        <v>42201</v>
      </c>
      <c r="Y196" s="178">
        <v>3.8025462221847502E-3</v>
      </c>
      <c r="Z196" s="183">
        <v>-3.4014315568153819E-4</v>
      </c>
    </row>
    <row r="197" spans="22:26" x14ac:dyDescent="0.2">
      <c r="V197" s="180" t="str">
        <f t="shared" si="10"/>
        <v>1D</v>
      </c>
      <c r="W197" s="177">
        <f>_xll.qlCalendarAdvance(Calendar,W196,V197,"f",FALSE)</f>
        <v>42200</v>
      </c>
      <c r="X197" s="181">
        <f>_xll.qlCalendarAdvance(Calendar,W197,NDays&amp;"D")</f>
        <v>42202</v>
      </c>
      <c r="Y197" s="178">
        <v>3.813837807615256E-3</v>
      </c>
      <c r="Z197" s="183">
        <v>-3.2875293001222161E-4</v>
      </c>
    </row>
    <row r="198" spans="22:26" x14ac:dyDescent="0.2">
      <c r="V198" s="180" t="str">
        <f t="shared" si="10"/>
        <v>1D</v>
      </c>
      <c r="W198" s="177">
        <f>_xll.qlCalendarAdvance(Calendar,W197,V198,"f",FALSE)</f>
        <v>42201</v>
      </c>
      <c r="X198" s="181">
        <f>_xll.qlCalendarAdvance(Calendar,W198,NDays&amp;"D")</f>
        <v>42205</v>
      </c>
      <c r="Y198" s="178">
        <v>3.828247250734532E-3</v>
      </c>
      <c r="Z198" s="183">
        <v>-3.1645579552819214E-4</v>
      </c>
    </row>
    <row r="199" spans="22:26" x14ac:dyDescent="0.2">
      <c r="V199" s="180" t="str">
        <f t="shared" si="10"/>
        <v>1D</v>
      </c>
      <c r="W199" s="177">
        <f>_xll.qlCalendarAdvance(Calendar,W198,V199,"f",FALSE)</f>
        <v>42202</v>
      </c>
      <c r="X199" s="181">
        <f>_xll.qlCalendarAdvance(Calendar,W199,NDays&amp;"D")</f>
        <v>42206</v>
      </c>
      <c r="Y199" s="178">
        <v>3.8297050014186305E-3</v>
      </c>
      <c r="Z199" s="183">
        <v>-3.0985332359900752E-4</v>
      </c>
    </row>
    <row r="200" spans="22:26" x14ac:dyDescent="0.2">
      <c r="V200" s="180" t="str">
        <f t="shared" si="10"/>
        <v>1D</v>
      </c>
      <c r="W200" s="177">
        <f>_xll.qlCalendarAdvance(Calendar,W199,V200,"f",FALSE)</f>
        <v>42205</v>
      </c>
      <c r="X200" s="181">
        <f>_xll.qlCalendarAdvance(Calendar,W200,NDays&amp;"D")</f>
        <v>42207</v>
      </c>
      <c r="Y200" s="178">
        <v>3.8311082704276015E-3</v>
      </c>
      <c r="Z200" s="183">
        <v>-3.0297859880956679E-4</v>
      </c>
    </row>
    <row r="201" spans="22:26" x14ac:dyDescent="0.2">
      <c r="V201" s="180" t="str">
        <f t="shared" si="10"/>
        <v>1D</v>
      </c>
      <c r="W201" s="177">
        <f>_xll.qlCalendarAdvance(Calendar,W200,V201,"f",FALSE)</f>
        <v>42206</v>
      </c>
      <c r="X201" s="181">
        <f>_xll.qlCalendarAdvance(Calendar,W201,NDays&amp;"D")</f>
        <v>42208</v>
      </c>
      <c r="Y201" s="178">
        <v>3.8125359654145562E-3</v>
      </c>
      <c r="Z201" s="183">
        <v>-2.95831621239806E-4</v>
      </c>
    </row>
    <row r="202" spans="22:26" x14ac:dyDescent="0.2">
      <c r="V202" s="180" t="str">
        <f t="shared" si="10"/>
        <v>1D</v>
      </c>
      <c r="W202" s="177">
        <f>_xll.qlCalendarAdvance(Calendar,W201,V202,"f",FALSE)</f>
        <v>42207</v>
      </c>
      <c r="X202" s="181">
        <f>_xll.qlCalendarAdvance(Calendar,W202,NDays&amp;"D")</f>
        <v>42209</v>
      </c>
      <c r="Y202" s="178">
        <v>3.8237335696737623E-3</v>
      </c>
      <c r="Z202" s="183">
        <v>-2.8062993800759273E-4</v>
      </c>
    </row>
    <row r="203" spans="22:26" x14ac:dyDescent="0.2">
      <c r="V203" s="180" t="str">
        <f t="shared" si="10"/>
        <v>1D</v>
      </c>
      <c r="W203" s="177">
        <f>_xll.qlCalendarAdvance(Calendar,W202,V203,"f",FALSE)</f>
        <v>42208</v>
      </c>
      <c r="X203" s="181">
        <f>_xll.qlCalendarAdvance(Calendar,W203,NDays&amp;"D")</f>
        <v>42212</v>
      </c>
      <c r="Y203" s="178">
        <v>3.8372402817582205E-3</v>
      </c>
      <c r="Z203" s="183">
        <v>-2.6452118251807377E-4</v>
      </c>
    </row>
    <row r="204" spans="22:26" x14ac:dyDescent="0.2">
      <c r="V204" s="180" t="str">
        <f t="shared" si="10"/>
        <v>1D</v>
      </c>
      <c r="W204" s="177">
        <f>_xll.qlCalendarAdvance(Calendar,W203,V204,"f",FALSE)</f>
        <v>42209</v>
      </c>
      <c r="X204" s="181">
        <f>_xll.qlCalendarAdvance(Calendar,W204,NDays&amp;"D")</f>
        <v>42213</v>
      </c>
      <c r="Y204" s="178">
        <v>3.8382763955748219E-3</v>
      </c>
      <c r="Z204" s="183">
        <v>-2.5601294068700042E-4</v>
      </c>
    </row>
    <row r="205" spans="22:26" x14ac:dyDescent="0.2">
      <c r="V205" s="180" t="str">
        <f t="shared" si="10"/>
        <v>1D</v>
      </c>
      <c r="W205" s="177">
        <f>_xll.qlCalendarAdvance(Calendar,W204,V205,"f",FALSE)</f>
        <v>42212</v>
      </c>
      <c r="X205" s="181">
        <f>_xll.qlCalendarAdvance(Calendar,W205,NDays&amp;"D")</f>
        <v>42214</v>
      </c>
      <c r="Y205" s="178">
        <v>3.8392446060199733E-3</v>
      </c>
      <c r="Z205" s="183">
        <v>-2.4723244595570293E-4</v>
      </c>
    </row>
    <row r="206" spans="22:26" x14ac:dyDescent="0.2">
      <c r="V206" s="180" t="str">
        <f t="shared" si="10"/>
        <v>1D</v>
      </c>
      <c r="W206" s="177">
        <f>_xll.qlCalendarAdvance(Calendar,W205,V206,"f",FALSE)</f>
        <v>42213</v>
      </c>
      <c r="X206" s="181">
        <f>_xll.qlCalendarAdvance(Calendar,W206,NDays&amp;"D")</f>
        <v>42215</v>
      </c>
      <c r="Y206" s="178">
        <v>3.8504430778777124E-3</v>
      </c>
      <c r="Z206" s="183">
        <v>-2.381796982042772E-4</v>
      </c>
    </row>
    <row r="207" spans="22:26" x14ac:dyDescent="0.2">
      <c r="V207" s="180" t="str">
        <f t="shared" si="10"/>
        <v>1D</v>
      </c>
      <c r="W207" s="177">
        <f>_xll.qlCalendarAdvance(Calendar,W206,V207,"f",FALSE)</f>
        <v>42214</v>
      </c>
      <c r="X207" s="181">
        <f>_xll.qlCalendarAdvance(Calendar,W207,NDays&amp;"D")</f>
        <v>42216</v>
      </c>
      <c r="Y207" s="178">
        <v>3.8616781129577247E-3</v>
      </c>
      <c r="Z207" s="183">
        <v>-2.1916655950082742E-4</v>
      </c>
    </row>
    <row r="208" spans="22:26" x14ac:dyDescent="0.2">
      <c r="V208" s="180" t="str">
        <f t="shared" si="10"/>
        <v>1D</v>
      </c>
      <c r="W208" s="177">
        <f>_xll.qlCalendarAdvance(Calendar,W207,V208,"f",FALSE)</f>
        <v>42215</v>
      </c>
      <c r="X208" s="181">
        <f>_xll.qlCalendarAdvance(Calendar,W208,NDays&amp;"D")</f>
        <v>42219</v>
      </c>
      <c r="Y208" s="178">
        <v>3.8430000000063565E-3</v>
      </c>
      <c r="Z208" s="183">
        <v>-2.0213882651720638E-4</v>
      </c>
    </row>
    <row r="209" spans="22:26" x14ac:dyDescent="0.2">
      <c r="V209" s="180" t="str">
        <f t="shared" si="10"/>
        <v>1D</v>
      </c>
      <c r="W209" s="177">
        <f>_xll.qlCalendarAdvance(Calendar,W208,V209,"f",FALSE)</f>
        <v>42216</v>
      </c>
      <c r="X209" s="181">
        <f>_xll.qlCalendarAdvance(Calendar,W209,NDays&amp;"D")</f>
        <v>42220</v>
      </c>
      <c r="Y209" s="178">
        <v>3.8435547092331053E-3</v>
      </c>
      <c r="Z209" s="183">
        <v>-1.9768250916207819E-4</v>
      </c>
    </row>
    <row r="210" spans="22:26" x14ac:dyDescent="0.2">
      <c r="V210" s="180" t="str">
        <f t="shared" si="10"/>
        <v>1D</v>
      </c>
      <c r="W210" s="177">
        <f>_xll.qlCalendarAdvance(Calendar,W209,V210,"f",FALSE)</f>
        <v>42219</v>
      </c>
      <c r="X210" s="181">
        <f>_xll.qlCalendarAdvance(Calendar,W210,NDays&amp;"D")</f>
        <v>42221</v>
      </c>
      <c r="Y210" s="178">
        <v>3.8440987506976618E-3</v>
      </c>
      <c r="Z210" s="183">
        <v>-1.9321253485138357E-4</v>
      </c>
    </row>
    <row r="211" spans="22:26" x14ac:dyDescent="0.2">
      <c r="V211" s="180" t="str">
        <f t="shared" si="10"/>
        <v>1D</v>
      </c>
      <c r="W211" s="177">
        <f>_xll.qlCalendarAdvance(Calendar,W210,V211,"f",FALSE)</f>
        <v>42220</v>
      </c>
      <c r="X211" s="181">
        <f>_xll.qlCalendarAdvance(Calendar,W211,NDays&amp;"D")</f>
        <v>42222</v>
      </c>
      <c r="Y211" s="178">
        <v>3.8237641584585847E-3</v>
      </c>
      <c r="Z211" s="183">
        <v>-1.8872890358512251E-4</v>
      </c>
    </row>
    <row r="212" spans="22:26" x14ac:dyDescent="0.2">
      <c r="V212" s="180" t="str">
        <f t="shared" si="10"/>
        <v>1D</v>
      </c>
      <c r="W212" s="177">
        <f>_xll.qlCalendarAdvance(Calendar,W211,V212,"f",FALSE)</f>
        <v>42221</v>
      </c>
      <c r="X212" s="181">
        <f>_xll.qlCalendarAdvance(Calendar,W212,NDays&amp;"D")</f>
        <v>42223</v>
      </c>
      <c r="Y212" s="178">
        <v>3.8346993923903342E-3</v>
      </c>
      <c r="Z212" s="183">
        <v>-1.7971602783273255E-4</v>
      </c>
    </row>
    <row r="213" spans="22:26" x14ac:dyDescent="0.2">
      <c r="V213" s="180" t="str">
        <f t="shared" ref="V213:V276" si="11">V212</f>
        <v>1D</v>
      </c>
      <c r="W213" s="177">
        <f>_xll.qlCalendarAdvance(Calendar,W212,V213,"f",FALSE)</f>
        <v>42222</v>
      </c>
      <c r="X213" s="181">
        <f>_xll.qlCalendarAdvance(Calendar,W213,NDays&amp;"D")</f>
        <v>42226</v>
      </c>
      <c r="Y213" s="178">
        <v>3.8467120637047485E-3</v>
      </c>
      <c r="Z213" s="183">
        <v>-1.7065780820502141E-4</v>
      </c>
    </row>
    <row r="214" spans="22:26" x14ac:dyDescent="0.2">
      <c r="V214" s="180" t="str">
        <f t="shared" si="11"/>
        <v>1D</v>
      </c>
      <c r="W214" s="177">
        <f>_xll.qlCalendarAdvance(Calendar,W213,V214,"f",FALSE)</f>
        <v>42223</v>
      </c>
      <c r="X214" s="181">
        <f>_xll.qlCalendarAdvance(Calendar,W214,NDays&amp;"D")</f>
        <v>42227</v>
      </c>
      <c r="Y214" s="178">
        <v>3.8472239719145587E-3</v>
      </c>
      <c r="Z214" s="183">
        <v>-1.6610589180121593E-4</v>
      </c>
    </row>
    <row r="215" spans="22:26" x14ac:dyDescent="0.2">
      <c r="V215" s="180" t="str">
        <f t="shared" si="11"/>
        <v>1D</v>
      </c>
      <c r="W215" s="177">
        <f>_xll.qlCalendarAdvance(Calendar,W214,V215,"f",FALSE)</f>
        <v>42226</v>
      </c>
      <c r="X215" s="181">
        <f>_xll.qlCalendarAdvance(Calendar,W215,NDays&amp;"D")</f>
        <v>42228</v>
      </c>
      <c r="Y215" s="178">
        <v>3.8477358368326606E-3</v>
      </c>
      <c r="Z215" s="183">
        <v>-1.6154031848181205E-4</v>
      </c>
    </row>
    <row r="216" spans="22:26" x14ac:dyDescent="0.2">
      <c r="V216" s="180" t="str">
        <f t="shared" si="11"/>
        <v>1D</v>
      </c>
      <c r="W216" s="177">
        <f>_xll.qlCalendarAdvance(Calendar,W215,V216,"f",FALSE)</f>
        <v>42227</v>
      </c>
      <c r="X216" s="181">
        <f>_xll.qlCalendarAdvance(Calendar,W216,NDays&amp;"D")</f>
        <v>42229</v>
      </c>
      <c r="Y216" s="178">
        <v>3.8275224572333856E-3</v>
      </c>
      <c r="Z216" s="183">
        <v>-1.5696108816687371E-4</v>
      </c>
    </row>
    <row r="217" spans="22:26" x14ac:dyDescent="0.2">
      <c r="V217" s="180" t="str">
        <f t="shared" si="11"/>
        <v>1D</v>
      </c>
      <c r="W217" s="177">
        <f>_xll.qlCalendarAdvance(Calendar,W216,V217,"f",FALSE)</f>
        <v>42228</v>
      </c>
      <c r="X217" s="181">
        <f>_xll.qlCalendarAdvance(Calendar,W217,NDays&amp;"D")</f>
        <v>42230</v>
      </c>
      <c r="Y217" s="178">
        <v>3.8383810341726171E-3</v>
      </c>
      <c r="Z217" s="183">
        <v>-1.4775704344049956E-4</v>
      </c>
    </row>
    <row r="218" spans="22:26" x14ac:dyDescent="0.2">
      <c r="V218" s="180" t="str">
        <f t="shared" si="11"/>
        <v>1D</v>
      </c>
      <c r="W218" s="177">
        <f>_xll.qlCalendarAdvance(Calendar,W217,V218,"f",FALSE)</f>
        <v>42229</v>
      </c>
      <c r="X218" s="181">
        <f>_xll.qlCalendarAdvance(Calendar,W218,NDays&amp;"D")</f>
        <v>42233</v>
      </c>
      <c r="Y218" s="178">
        <v>3.8503476349675851E-3</v>
      </c>
      <c r="Z218" s="183">
        <v>-1.3850759667199952E-4</v>
      </c>
    </row>
    <row r="219" spans="22:26" x14ac:dyDescent="0.2">
      <c r="V219" s="180" t="str">
        <f t="shared" si="11"/>
        <v>1D</v>
      </c>
      <c r="W219" s="177">
        <f>_xll.qlCalendarAdvance(Calendar,W218,V219,"f",FALSE)</f>
        <v>42230</v>
      </c>
      <c r="X219" s="181">
        <f>_xll.qlCalendarAdvance(Calendar,W219,NDays&amp;"D")</f>
        <v>42234</v>
      </c>
      <c r="Y219" s="178">
        <v>3.8508911139323674E-3</v>
      </c>
      <c r="Z219" s="183">
        <v>-1.3386008125948479E-4</v>
      </c>
    </row>
    <row r="220" spans="22:26" x14ac:dyDescent="0.2">
      <c r="V220" s="180" t="str">
        <f t="shared" si="11"/>
        <v>1D</v>
      </c>
      <c r="W220" s="177">
        <f>_xll.qlCalendarAdvance(Calendar,W219,V220,"f",FALSE)</f>
        <v>42233</v>
      </c>
      <c r="X220" s="181">
        <f>_xll.qlCalendarAdvance(Calendar,W220,NDays&amp;"D")</f>
        <v>42235</v>
      </c>
      <c r="Y220" s="178">
        <v>3.8514451742351417E-3</v>
      </c>
      <c r="Z220" s="183">
        <v>-1.2919890877149953E-4</v>
      </c>
    </row>
    <row r="221" spans="22:26" x14ac:dyDescent="0.2">
      <c r="V221" s="180" t="str">
        <f t="shared" si="11"/>
        <v>1D</v>
      </c>
      <c r="W221" s="177">
        <f>_xll.qlCalendarAdvance(Calendar,W220,V221,"f",FALSE)</f>
        <v>42234</v>
      </c>
      <c r="X221" s="181">
        <f>_xll.qlCalendarAdvance(Calendar,W221,NDays&amp;"D")</f>
        <v>42236</v>
      </c>
      <c r="Y221" s="178">
        <v>3.8315781710208038E-3</v>
      </c>
      <c r="Z221" s="183">
        <v>-1.2452407948781996E-4</v>
      </c>
    </row>
    <row r="222" spans="22:26" x14ac:dyDescent="0.2">
      <c r="V222" s="180" t="str">
        <f t="shared" si="11"/>
        <v>1D</v>
      </c>
      <c r="W222" s="177">
        <f>_xll.qlCalendarAdvance(Calendar,W221,V222,"f",FALSE)</f>
        <v>42235</v>
      </c>
      <c r="X222" s="181">
        <f>_xll.qlCalendarAdvance(Calendar,W222,NDays&amp;"D")</f>
        <v>42237</v>
      </c>
      <c r="Y222" s="178">
        <v>3.8423590702584419E-3</v>
      </c>
      <c r="Z222" s="183">
        <v>-1.1512886044506843E-4</v>
      </c>
    </row>
    <row r="223" spans="22:26" x14ac:dyDescent="0.2">
      <c r="V223" s="180" t="str">
        <f t="shared" si="11"/>
        <v>1D</v>
      </c>
      <c r="W223" s="177">
        <f>_xll.qlCalendarAdvance(Calendar,W222,V223,"f",FALSE)</f>
        <v>42236</v>
      </c>
      <c r="X223" s="181">
        <f>_xll.qlCalendarAdvance(Calendar,W223,NDays&amp;"D")</f>
        <v>42240</v>
      </c>
      <c r="Y223" s="178">
        <v>3.8544273195955216E-3</v>
      </c>
      <c r="Z223" s="183">
        <v>-1.0568819163836451E-4</v>
      </c>
    </row>
    <row r="224" spans="22:26" x14ac:dyDescent="0.2">
      <c r="V224" s="180" t="str">
        <f t="shared" si="11"/>
        <v>1D</v>
      </c>
      <c r="W224" s="177">
        <f>_xll.qlCalendarAdvance(Calendar,W223,V224,"f",FALSE)</f>
        <v>42237</v>
      </c>
      <c r="X224" s="181">
        <f>_xll.qlCalendarAdvance(Calendar,W224,NDays&amp;"D")</f>
        <v>42241</v>
      </c>
      <c r="Y224" s="178">
        <v>3.8550767422510642E-3</v>
      </c>
      <c r="Z224" s="183">
        <v>-1.0094507721714052E-4</v>
      </c>
    </row>
    <row r="225" spans="22:26" x14ac:dyDescent="0.2">
      <c r="V225" s="180" t="str">
        <f t="shared" si="11"/>
        <v>1D</v>
      </c>
      <c r="W225" s="177">
        <f>_xll.qlCalendarAdvance(Calendar,W224,V225,"f",FALSE)</f>
        <v>42240</v>
      </c>
      <c r="X225" s="181">
        <f>_xll.qlCalendarAdvance(Calendar,W225,NDays&amp;"D")</f>
        <v>42242</v>
      </c>
      <c r="Y225" s="178">
        <v>3.8557473710608167E-3</v>
      </c>
      <c r="Z225" s="183">
        <v>-9.618830572044601E-5</v>
      </c>
    </row>
    <row r="226" spans="22:26" x14ac:dyDescent="0.2">
      <c r="V226" s="180" t="str">
        <f t="shared" si="11"/>
        <v>1D</v>
      </c>
      <c r="W226" s="177">
        <f>_xll.qlCalendarAdvance(Calendar,W225,V226,"f",FALSE)</f>
        <v>42241</v>
      </c>
      <c r="X226" s="181">
        <f>_xll.qlCalendarAdvance(Calendar,W226,NDays&amp;"D")</f>
        <v>42243</v>
      </c>
      <c r="Y226" s="178">
        <v>3.8364490823329235E-3</v>
      </c>
      <c r="Z226" s="183">
        <v>-9.1417877268185066E-5</v>
      </c>
    </row>
    <row r="227" spans="22:26" x14ac:dyDescent="0.2">
      <c r="V227" s="180" t="str">
        <f t="shared" si="11"/>
        <v>1D</v>
      </c>
      <c r="W227" s="177">
        <f>_xll.qlCalendarAdvance(Calendar,W226,V227,"f",FALSE)</f>
        <v>42242</v>
      </c>
      <c r="X227" s="181">
        <f>_xll.qlCalendarAdvance(Calendar,W227,NDays&amp;"D")</f>
        <v>42244</v>
      </c>
      <c r="Y227" s="178">
        <v>3.8471526940406105E-3</v>
      </c>
      <c r="Z227" s="183">
        <v>-8.183147828688675E-5</v>
      </c>
    </row>
    <row r="228" spans="22:26" x14ac:dyDescent="0.2">
      <c r="V228" s="180" t="str">
        <f t="shared" si="11"/>
        <v>1D</v>
      </c>
      <c r="W228" s="177">
        <f>_xll.qlCalendarAdvance(Calendar,W227,V228,"f",FALSE)</f>
        <v>42243</v>
      </c>
      <c r="X228" s="181">
        <f>_xll.qlCalendarAdvance(Calendar,W228,NDays&amp;"D")</f>
        <v>42247</v>
      </c>
      <c r="Y228" s="178">
        <v>3.8594717323981809E-3</v>
      </c>
      <c r="Z228" s="183">
        <v>-7.2199593144084417E-5</v>
      </c>
    </row>
    <row r="229" spans="22:26" x14ac:dyDescent="0.2">
      <c r="V229" s="180" t="str">
        <f t="shared" si="11"/>
        <v>1D</v>
      </c>
      <c r="W229" s="177">
        <f>_xll.qlCalendarAdvance(Calendar,W228,V229,"f",FALSE)</f>
        <v>42244</v>
      </c>
      <c r="X229" s="181">
        <f>_xll.qlCalendarAdvance(Calendar,W229,NDays&amp;"D")</f>
        <v>42248</v>
      </c>
      <c r="Y229" s="178">
        <v>3.8603014732067013E-3</v>
      </c>
      <c r="Z229" s="183">
        <v>-6.7360879514311023E-5</v>
      </c>
    </row>
    <row r="230" spans="22:26" x14ac:dyDescent="0.2">
      <c r="V230" s="180" t="str">
        <f t="shared" si="11"/>
        <v>1D</v>
      </c>
      <c r="W230" s="177">
        <f>_xll.qlCalendarAdvance(Calendar,W229,V230,"f",FALSE)</f>
        <v>42247</v>
      </c>
      <c r="X230" s="181">
        <f>_xll.qlCalendarAdvance(Calendar,W230,NDays&amp;"D")</f>
        <v>42249</v>
      </c>
      <c r="Y230" s="178">
        <v>3.8611630452560341E-3</v>
      </c>
      <c r="Z230" s="183">
        <v>-6.2508508968939225E-5</v>
      </c>
    </row>
    <row r="231" spans="22:26" x14ac:dyDescent="0.2">
      <c r="V231" s="180" t="str">
        <f t="shared" si="11"/>
        <v>1D</v>
      </c>
      <c r="W231" s="177">
        <f>_xll.qlCalendarAdvance(Calendar,W230,V231,"f",FALSE)</f>
        <v>42248</v>
      </c>
      <c r="X231" s="181">
        <f>_xll.qlCalendarAdvance(Calendar,W231,NDays&amp;"D")</f>
        <v>42250</v>
      </c>
      <c r="Y231" s="178">
        <v>3.8426529853972393E-3</v>
      </c>
      <c r="Z231" s="183">
        <v>-5.7642481388064937E-5</v>
      </c>
    </row>
    <row r="232" spans="22:26" x14ac:dyDescent="0.2">
      <c r="V232" s="180" t="str">
        <f t="shared" si="11"/>
        <v>1D</v>
      </c>
      <c r="W232" s="177">
        <f>_xll.qlCalendarAdvance(Calendar,W231,V232,"f",FALSE)</f>
        <v>42249</v>
      </c>
      <c r="X232" s="181">
        <f>_xll.qlCalendarAdvance(Calendar,W232,NDays&amp;"D")</f>
        <v>42251</v>
      </c>
      <c r="Y232" s="178">
        <v>3.8532811104608328E-3</v>
      </c>
      <c r="Z232" s="183">
        <v>-4.7864896419724801E-5</v>
      </c>
    </row>
    <row r="233" spans="22:26" x14ac:dyDescent="0.2">
      <c r="V233" s="180" t="str">
        <f t="shared" si="11"/>
        <v>1D</v>
      </c>
      <c r="W233" s="177">
        <f>_xll.qlCalendarAdvance(Calendar,W232,V233,"f",FALSE)</f>
        <v>42250</v>
      </c>
      <c r="X233" s="181">
        <f>_xll.qlCalendarAdvance(Calendar,W233,NDays&amp;"D")</f>
        <v>42254</v>
      </c>
      <c r="Y233" s="178">
        <v>3.8660015009085611E-3</v>
      </c>
      <c r="Z233" s="183">
        <v>-3.8041800789478941E-5</v>
      </c>
    </row>
    <row r="234" spans="22:26" x14ac:dyDescent="0.2">
      <c r="V234" s="180" t="str">
        <f t="shared" si="11"/>
        <v>1D</v>
      </c>
      <c r="W234" s="177">
        <f>_xll.qlCalendarAdvance(Calendar,W233,V234,"f",FALSE)</f>
        <v>42251</v>
      </c>
      <c r="X234" s="181">
        <f>_xll.qlCalendarAdvance(Calendar,W234,NDays&amp;"D")</f>
        <v>42255</v>
      </c>
      <c r="Y234" s="178">
        <v>3.8670859366124197E-3</v>
      </c>
      <c r="Z234" s="183">
        <v>-3.3107488071060232E-5</v>
      </c>
    </row>
    <row r="235" spans="22:26" x14ac:dyDescent="0.2">
      <c r="V235" s="180" t="str">
        <f t="shared" si="11"/>
        <v>1D</v>
      </c>
      <c r="W235" s="177">
        <f>_xll.qlCalendarAdvance(Calendar,W234,V235,"f",FALSE)</f>
        <v>42254</v>
      </c>
      <c r="X235" s="181">
        <f>_xll.qlCalendarAdvance(Calendar,W235,NDays&amp;"D")</f>
        <v>42256</v>
      </c>
      <c r="Y235" s="178">
        <v>3.8682128290545123E-3</v>
      </c>
      <c r="Z235" s="183">
        <v>-2.815951839707509E-5</v>
      </c>
    </row>
    <row r="236" spans="22:26" x14ac:dyDescent="0.2">
      <c r="V236" s="180" t="str">
        <f t="shared" si="11"/>
        <v>1D</v>
      </c>
      <c r="W236" s="177">
        <f>_xll.qlCalendarAdvance(Calendar,W235,V236,"f",FALSE)</f>
        <v>42255</v>
      </c>
      <c r="X236" s="181">
        <f>_xll.qlCalendarAdvance(Calendar,W236,NDays&amp;"D")</f>
        <v>42257</v>
      </c>
      <c r="Y236" s="178">
        <v>3.8507076918201707E-3</v>
      </c>
      <c r="Z236" s="183">
        <v>-2.3197891647619429E-5</v>
      </c>
    </row>
    <row r="237" spans="22:26" x14ac:dyDescent="0.2">
      <c r="V237" s="180" t="str">
        <f t="shared" si="11"/>
        <v>1D</v>
      </c>
      <c r="W237" s="177">
        <f>_xll.qlCalendarAdvance(Calendar,W236,V237,"f",FALSE)</f>
        <v>42256</v>
      </c>
      <c r="X237" s="181">
        <f>_xll.qlCalendarAdvance(Calendar,W237,NDays&amp;"D")</f>
        <v>42258</v>
      </c>
      <c r="Y237" s="178">
        <v>3.8612635416793079E-3</v>
      </c>
      <c r="Z237" s="183">
        <v>-1.3229114297352851E-5</v>
      </c>
    </row>
    <row r="238" spans="22:26" x14ac:dyDescent="0.2">
      <c r="V238" s="180" t="str">
        <f t="shared" si="11"/>
        <v>1D</v>
      </c>
      <c r="W238" s="177">
        <f>_xll.qlCalendarAdvance(Calendar,W237,V238,"f",FALSE)</f>
        <v>42257</v>
      </c>
      <c r="X238" s="181">
        <f>_xll.qlCalendarAdvance(Calendar,W238,NDays&amp;"D")</f>
        <v>42261</v>
      </c>
      <c r="Y238" s="178">
        <v>3.8745372718406008E-3</v>
      </c>
      <c r="Z238" s="183">
        <v>-3.2148144546439994E-6</v>
      </c>
    </row>
    <row r="239" spans="22:26" x14ac:dyDescent="0.2">
      <c r="V239" s="180" t="str">
        <f t="shared" si="11"/>
        <v>1D</v>
      </c>
      <c r="W239" s="177">
        <f>_xll.qlCalendarAdvance(Calendar,W238,V239,"f",FALSE)</f>
        <v>42258</v>
      </c>
      <c r="X239" s="181">
        <f>_xll.qlCalendarAdvance(Calendar,W239,NDays&amp;"D")</f>
        <v>42262</v>
      </c>
      <c r="Y239" s="178">
        <v>3.8759507826100167E-3</v>
      </c>
      <c r="Z239" s="183">
        <v>1.8150973524200253E-6</v>
      </c>
    </row>
    <row r="240" spans="22:26" x14ac:dyDescent="0.2">
      <c r="V240" s="180" t="str">
        <f t="shared" si="11"/>
        <v>1D</v>
      </c>
      <c r="W240" s="177">
        <f>_xll.qlCalendarAdvance(Calendar,W239,V240,"f",FALSE)</f>
        <v>42261</v>
      </c>
      <c r="X240" s="181">
        <f>_xll.qlCalendarAdvance(Calendar,W240,NDays&amp;"D")</f>
        <v>42263</v>
      </c>
      <c r="Y240" s="178">
        <v>3.8774173762211616E-3</v>
      </c>
      <c r="Z240" s="183">
        <v>6.8586662749225979E-6</v>
      </c>
    </row>
    <row r="241" spans="22:26" x14ac:dyDescent="0.2">
      <c r="V241" s="180" t="str">
        <f t="shared" si="11"/>
        <v>1D</v>
      </c>
      <c r="W241" s="177">
        <f>_xll.qlCalendarAdvance(Calendar,W240,V241,"f",FALSE)</f>
        <v>42262</v>
      </c>
      <c r="X241" s="181">
        <f>_xll.qlCalendarAdvance(Calendar,W241,NDays&amp;"D")</f>
        <v>42264</v>
      </c>
      <c r="Y241" s="178">
        <v>3.8611310389790434E-3</v>
      </c>
      <c r="Z241" s="183">
        <v>1.1915892192959632E-5</v>
      </c>
    </row>
    <row r="242" spans="22:26" x14ac:dyDescent="0.2">
      <c r="V242" s="180" t="str">
        <f t="shared" si="11"/>
        <v>1D</v>
      </c>
      <c r="W242" s="177">
        <f>_xll.qlCalendarAdvance(Calendar,W241,V242,"f",FALSE)</f>
        <v>42263</v>
      </c>
      <c r="X242" s="181">
        <f>_xll.qlCalendarAdvance(Calendar,W242,NDays&amp;"D")</f>
        <v>42265</v>
      </c>
      <c r="Y242" s="178">
        <v>3.8716192354802063E-3</v>
      </c>
      <c r="Z242" s="183">
        <v>2.2075868679749533E-5</v>
      </c>
    </row>
    <row r="243" spans="22:26" x14ac:dyDescent="0.2">
      <c r="V243" s="180" t="str">
        <f t="shared" si="11"/>
        <v>1D</v>
      </c>
      <c r="W243" s="177">
        <f>_xll.qlCalendarAdvance(Calendar,W242,V243,"f",FALSE)</f>
        <v>42264</v>
      </c>
      <c r="X243" s="181">
        <f>_xll.qlCalendarAdvance(Calendar,W243,NDays&amp;"D")</f>
        <v>42268</v>
      </c>
      <c r="Y243" s="178">
        <v>3.8855997202940562E-3</v>
      </c>
      <c r="Z243" s="183">
        <v>3.2281365980324495E-5</v>
      </c>
    </row>
    <row r="244" spans="22:26" x14ac:dyDescent="0.2">
      <c r="V244" s="180" t="str">
        <f t="shared" si="11"/>
        <v>1D</v>
      </c>
      <c r="W244" s="177">
        <f>_xll.qlCalendarAdvance(Calendar,W243,V244,"f",FALSE)</f>
        <v>42265</v>
      </c>
      <c r="X244" s="181">
        <f>_xll.qlCalendarAdvance(Calendar,W244,NDays&amp;"D")</f>
        <v>42269</v>
      </c>
      <c r="Y244" s="178">
        <v>3.8874166912657685E-3</v>
      </c>
      <c r="Z244" s="183">
        <v>3.7406877115842008E-5</v>
      </c>
    </row>
    <row r="245" spans="22:26" x14ac:dyDescent="0.2">
      <c r="V245" s="180" t="str">
        <f t="shared" si="11"/>
        <v>1D</v>
      </c>
      <c r="W245" s="177">
        <f>_xll.qlCalendarAdvance(Calendar,W244,V245,"f",FALSE)</f>
        <v>42268</v>
      </c>
      <c r="X245" s="181">
        <f>_xll.qlCalendarAdvance(Calendar,W245,NDays&amp;"D")</f>
        <v>42270</v>
      </c>
      <c r="Y245" s="178">
        <v>3.8892973720403789E-3</v>
      </c>
      <c r="Z245" s="183">
        <v>4.2546045087021866E-5</v>
      </c>
    </row>
    <row r="246" spans="22:26" x14ac:dyDescent="0.2">
      <c r="V246" s="180" t="str">
        <f t="shared" si="11"/>
        <v>1D</v>
      </c>
      <c r="W246" s="177">
        <f>_xll.qlCalendarAdvance(Calendar,W245,V246,"f",FALSE)</f>
        <v>42269</v>
      </c>
      <c r="X246" s="181">
        <f>_xll.qlCalendarAdvance(Calendar,W246,NDays&amp;"D")</f>
        <v>42271</v>
      </c>
      <c r="Y246" s="178">
        <v>3.8744409011464533E-3</v>
      </c>
      <c r="Z246" s="183">
        <v>4.7698870213608302E-5</v>
      </c>
    </row>
    <row r="247" spans="22:26" x14ac:dyDescent="0.2">
      <c r="V247" s="180" t="str">
        <f t="shared" si="11"/>
        <v>1D</v>
      </c>
      <c r="W247" s="177">
        <f>_xll.qlCalendarAdvance(Calendar,W246,V247,"f",FALSE)</f>
        <v>42270</v>
      </c>
      <c r="X247" s="181">
        <f>_xll.qlCalendarAdvance(Calendar,W247,NDays&amp;"D")</f>
        <v>42272</v>
      </c>
      <c r="Y247" s="178">
        <v>3.8848674764163241E-3</v>
      </c>
      <c r="Z247" s="183">
        <v>5.8050053111102784E-5</v>
      </c>
    </row>
    <row r="248" spans="22:26" x14ac:dyDescent="0.2">
      <c r="V248" s="180" t="str">
        <f t="shared" si="11"/>
        <v>1D</v>
      </c>
      <c r="W248" s="177">
        <f>_xll.qlCalendarAdvance(Calendar,W247,V248,"f",FALSE)</f>
        <v>42271</v>
      </c>
      <c r="X248" s="181">
        <f>_xll.qlCalendarAdvance(Calendar,W248,NDays&amp;"D")</f>
        <v>42275</v>
      </c>
      <c r="Y248" s="178">
        <v>3.899709561703196E-3</v>
      </c>
      <c r="Z248" s="183">
        <v>6.8446740835170772E-5</v>
      </c>
    </row>
    <row r="249" spans="22:26" x14ac:dyDescent="0.2">
      <c r="V249" s="180" t="str">
        <f t="shared" si="11"/>
        <v>1D</v>
      </c>
      <c r="W249" s="177">
        <f>_xll.qlCalendarAdvance(Calendar,W248,V249,"f",FALSE)</f>
        <v>42272</v>
      </c>
      <c r="X249" s="181">
        <f>_xll.qlCalendarAdvance(Calendar,W249,NDays&amp;"D")</f>
        <v>42276</v>
      </c>
      <c r="Y249" s="178">
        <v>3.9020043849115954E-3</v>
      </c>
      <c r="Z249" s="183">
        <v>7.3667851099301629E-5</v>
      </c>
    </row>
    <row r="250" spans="22:26" x14ac:dyDescent="0.2">
      <c r="V250" s="180" t="str">
        <f t="shared" si="11"/>
        <v>1D</v>
      </c>
      <c r="W250" s="177">
        <f>_xll.qlCalendarAdvance(Calendar,W249,V250,"f",FALSE)</f>
        <v>42275</v>
      </c>
      <c r="X250" s="181">
        <f>_xll.qlCalendarAdvance(Calendar,W250,NDays&amp;"D")</f>
        <v>42277</v>
      </c>
      <c r="Y250" s="178">
        <v>3.9043735460503421E-3</v>
      </c>
      <c r="Z250" s="183">
        <v>7.8902618438903005E-5</v>
      </c>
    </row>
    <row r="251" spans="22:26" x14ac:dyDescent="0.2">
      <c r="V251" s="180" t="str">
        <f t="shared" si="11"/>
        <v>1D</v>
      </c>
      <c r="W251" s="177">
        <f>_xll.qlCalendarAdvance(Calendar,W250,V251,"f",FALSE)</f>
        <v>42276</v>
      </c>
      <c r="X251" s="181">
        <f>_xll.qlCalendarAdvance(Calendar,W251,NDays&amp;"D")</f>
        <v>42278</v>
      </c>
      <c r="Y251" s="178">
        <v>3.8911552033444007E-3</v>
      </c>
      <c r="Z251" s="183">
        <v>8.4151042694102784E-5</v>
      </c>
    </row>
    <row r="252" spans="22:26" x14ac:dyDescent="0.2">
      <c r="V252" s="180" t="str">
        <f t="shared" si="11"/>
        <v>1D</v>
      </c>
      <c r="W252" s="177">
        <f>_xll.qlCalendarAdvance(Calendar,W251,V252,"f",FALSE)</f>
        <v>42277</v>
      </c>
      <c r="X252" s="181">
        <f>_xll.qlCalendarAdvance(Calendar,W252,NDays&amp;"D")</f>
        <v>42279</v>
      </c>
      <c r="Y252" s="178">
        <v>3.9015275996905148E-3</v>
      </c>
      <c r="Z252" s="183">
        <v>9.4693439622872688E-5</v>
      </c>
    </row>
    <row r="253" spans="22:26" x14ac:dyDescent="0.2">
      <c r="V253" s="180" t="str">
        <f t="shared" si="11"/>
        <v>1D</v>
      </c>
      <c r="W253" s="177">
        <f>_xll.qlCalendarAdvance(Calendar,W252,V253,"f",FALSE)</f>
        <v>42278</v>
      </c>
      <c r="X253" s="181">
        <f>_xll.qlCalendarAdvance(Calendar,W253,NDays&amp;"D")</f>
        <v>42282</v>
      </c>
      <c r="Y253" s="178">
        <v>3.9173875665319303E-3</v>
      </c>
      <c r="Z253" s="183">
        <v>1.0528131022979892E-4</v>
      </c>
    </row>
    <row r="254" spans="22:26" x14ac:dyDescent="0.2">
      <c r="V254" s="180" t="str">
        <f t="shared" si="11"/>
        <v>1D</v>
      </c>
      <c r="W254" s="177">
        <f>_xll.qlCalendarAdvance(Calendar,W253,V254,"f",FALSE)</f>
        <v>42279</v>
      </c>
      <c r="X254" s="181">
        <f>_xll.qlCalendarAdvance(Calendar,W254,NDays&amp;"D")</f>
        <v>42283</v>
      </c>
      <c r="Y254" s="178">
        <v>3.9202346432331021E-3</v>
      </c>
      <c r="Z254" s="183">
        <v>1.1059801978241524E-4</v>
      </c>
    </row>
    <row r="255" spans="22:26" x14ac:dyDescent="0.2">
      <c r="V255" s="180" t="str">
        <f t="shared" si="11"/>
        <v>1D</v>
      </c>
      <c r="W255" s="177">
        <f>_xll.qlCalendarAdvance(Calendar,W254,V255,"f",FALSE)</f>
        <v>42282</v>
      </c>
      <c r="X255" s="181">
        <f>_xll.qlCalendarAdvance(Calendar,W255,NDays&amp;"D")</f>
        <v>42284</v>
      </c>
      <c r="Y255" s="178">
        <v>3.9231666875206832E-3</v>
      </c>
      <c r="Z255" s="183">
        <v>1.1592838625062996E-4</v>
      </c>
    </row>
    <row r="256" spans="22:26" x14ac:dyDescent="0.2">
      <c r="V256" s="180" t="str">
        <f t="shared" si="11"/>
        <v>1D</v>
      </c>
      <c r="W256" s="177">
        <f>_xll.qlCalendarAdvance(Calendar,W255,V256,"f",FALSE)</f>
        <v>42283</v>
      </c>
      <c r="X256" s="181">
        <f>_xll.qlCalendarAdvance(Calendar,W256,NDays&amp;"D")</f>
        <v>42285</v>
      </c>
      <c r="Y256" s="178">
        <v>3.9117919379290681E-3</v>
      </c>
      <c r="Z256" s="183">
        <v>1.2127240979431519E-4</v>
      </c>
    </row>
    <row r="257" spans="22:26" x14ac:dyDescent="0.2">
      <c r="V257" s="180" t="str">
        <f t="shared" si="11"/>
        <v>1D</v>
      </c>
      <c r="W257" s="177">
        <f>_xll.qlCalendarAdvance(Calendar,W256,V257,"f",FALSE)</f>
        <v>42284</v>
      </c>
      <c r="X257" s="181">
        <f>_xll.qlCalendarAdvance(Calendar,W257,NDays&amp;"D")</f>
        <v>42286</v>
      </c>
      <c r="Y257" s="178">
        <v>3.9221190077782494E-3</v>
      </c>
      <c r="Z257" s="183">
        <v>1.32006028801257E-4</v>
      </c>
    </row>
    <row r="258" spans="22:26" x14ac:dyDescent="0.2">
      <c r="V258" s="180" t="str">
        <f t="shared" si="11"/>
        <v>1D</v>
      </c>
      <c r="W258" s="177">
        <f>_xll.qlCalendarAdvance(Calendar,W257,V258,"f",FALSE)</f>
        <v>42285</v>
      </c>
      <c r="X258" s="181">
        <f>_xll.qlCalendarAdvance(Calendar,W258,NDays&amp;"D")</f>
        <v>42289</v>
      </c>
      <c r="Y258" s="178">
        <v>3.9391545777166907E-3</v>
      </c>
      <c r="Z258" s="183">
        <v>1.4278507440401711E-4</v>
      </c>
    </row>
    <row r="259" spans="22:26" x14ac:dyDescent="0.2">
      <c r="V259" s="180" t="str">
        <f t="shared" si="11"/>
        <v>1D</v>
      </c>
      <c r="W259" s="177">
        <f>_xll.qlCalendarAdvance(Calendar,W258,V259,"f",FALSE)</f>
        <v>42286</v>
      </c>
      <c r="X259" s="181">
        <f>_xll.qlCalendarAdvance(Calendar,W259,NDays&amp;"D")</f>
        <v>42290</v>
      </c>
      <c r="Y259" s="178">
        <v>3.9426283211027461E-3</v>
      </c>
      <c r="Z259" s="183">
        <v>1.4819738324511889E-4</v>
      </c>
    </row>
    <row r="260" spans="22:26" x14ac:dyDescent="0.2">
      <c r="V260" s="180" t="str">
        <f t="shared" si="11"/>
        <v>1D</v>
      </c>
      <c r="W260" s="177">
        <f>_xll.qlCalendarAdvance(Calendar,W259,V260,"f",FALSE)</f>
        <v>42289</v>
      </c>
      <c r="X260" s="181">
        <f>_xll.qlCalendarAdvance(Calendar,W260,NDays&amp;"D")</f>
        <v>42291</v>
      </c>
      <c r="Y260" s="178">
        <v>3.9461976636822795E-3</v>
      </c>
      <c r="Z260" s="183">
        <v>1.5362334892188301E-4</v>
      </c>
    </row>
    <row r="261" spans="22:26" x14ac:dyDescent="0.2">
      <c r="V261" s="180" t="str">
        <f t="shared" si="11"/>
        <v>1D</v>
      </c>
      <c r="W261" s="177">
        <f>_xll.qlCalendarAdvance(Calendar,W260,V261,"f",FALSE)</f>
        <v>42290</v>
      </c>
      <c r="X261" s="181">
        <f>_xll.qlCalendarAdvance(Calendar,W261,NDays&amp;"D")</f>
        <v>42292</v>
      </c>
      <c r="Y261" s="178">
        <v>3.9368691839101484E-3</v>
      </c>
      <c r="Z261" s="183">
        <v>1.5906297183398976E-4</v>
      </c>
    </row>
    <row r="262" spans="22:26" x14ac:dyDescent="0.2">
      <c r="V262" s="180" t="str">
        <f t="shared" si="11"/>
        <v>1D</v>
      </c>
      <c r="W262" s="177">
        <f>_xll.qlCalendarAdvance(Calendar,W261,V262,"f",FALSE)</f>
        <v>42291</v>
      </c>
      <c r="X262" s="181">
        <f>_xll.qlCalendarAdvance(Calendar,W262,NDays&amp;"D")</f>
        <v>42293</v>
      </c>
      <c r="Y262" s="178">
        <v>3.9471611897867352E-3</v>
      </c>
      <c r="Z262" s="183">
        <v>1.6998782120580813E-4</v>
      </c>
    </row>
    <row r="263" spans="22:26" x14ac:dyDescent="0.2">
      <c r="V263" s="180" t="str">
        <f t="shared" si="11"/>
        <v>1D</v>
      </c>
      <c r="W263" s="177">
        <f>_xll.qlCalendarAdvance(Calendar,W262,V263,"f",FALSE)</f>
        <v>42292</v>
      </c>
      <c r="X263" s="181">
        <f>_xll.qlCalendarAdvance(Calendar,W263,NDays&amp;"D")</f>
        <v>42296</v>
      </c>
      <c r="Y263" s="178">
        <v>3.9655315308537754E-3</v>
      </c>
      <c r="Z263" s="183">
        <v>1.8095803359763352E-4</v>
      </c>
    </row>
    <row r="264" spans="22:26" x14ac:dyDescent="0.2">
      <c r="V264" s="180" t="str">
        <f t="shared" si="11"/>
        <v>1D</v>
      </c>
      <c r="W264" s="177">
        <f>_xll.qlCalendarAdvance(Calendar,W263,V264,"f",FALSE)</f>
        <v>42293</v>
      </c>
      <c r="X264" s="181">
        <f>_xll.qlCalendarAdvance(Calendar,W264,NDays&amp;"D")</f>
        <v>42297</v>
      </c>
      <c r="Y264" s="178">
        <v>3.9697063691627125E-3</v>
      </c>
      <c r="Z264" s="183">
        <v>1.8646594164728469E-4</v>
      </c>
    </row>
    <row r="265" spans="22:26" x14ac:dyDescent="0.2">
      <c r="V265" s="180" t="str">
        <f t="shared" si="11"/>
        <v>1D</v>
      </c>
      <c r="W265" s="177">
        <f>_xll.qlCalendarAdvance(Calendar,W264,V265,"f",FALSE)</f>
        <v>42296</v>
      </c>
      <c r="X265" s="181">
        <f>_xll.qlCalendarAdvance(Calendar,W265,NDays&amp;"D")</f>
        <v>42298</v>
      </c>
      <c r="Y265" s="178">
        <v>3.9739874406982366E-3</v>
      </c>
      <c r="Z265" s="183">
        <v>1.9198750669247033E-4</v>
      </c>
    </row>
    <row r="266" spans="22:26" x14ac:dyDescent="0.2">
      <c r="V266" s="180" t="str">
        <f t="shared" si="11"/>
        <v>1D</v>
      </c>
      <c r="W266" s="177">
        <f>_xll.qlCalendarAdvance(Calendar,W265,V266,"f",FALSE)</f>
        <v>42297</v>
      </c>
      <c r="X266" s="181">
        <f>_xll.qlCalendarAdvance(Calendar,W266,NDays&amp;"D")</f>
        <v>42299</v>
      </c>
      <c r="Y266" s="178">
        <v>3.9669051290005964E-3</v>
      </c>
      <c r="Z266" s="183">
        <v>1.9752272889306255E-4</v>
      </c>
    </row>
    <row r="267" spans="22:26" x14ac:dyDescent="0.2">
      <c r="V267" s="180" t="str">
        <f t="shared" si="11"/>
        <v>1D</v>
      </c>
      <c r="W267" s="177">
        <f>_xll.qlCalendarAdvance(Calendar,W266,V267,"f",FALSE)</f>
        <v>42298</v>
      </c>
      <c r="X267" s="181">
        <f>_xll.qlCalendarAdvance(Calendar,W267,NDays&amp;"D")</f>
        <v>42300</v>
      </c>
      <c r="Y267" s="178">
        <v>3.9771737435584367E-3</v>
      </c>
      <c r="Z267" s="183">
        <v>2.086388175559506E-4</v>
      </c>
    </row>
    <row r="268" spans="22:26" x14ac:dyDescent="0.2">
      <c r="V268" s="180" t="str">
        <f t="shared" si="11"/>
        <v>1D</v>
      </c>
      <c r="W268" s="177">
        <f>_xll.qlCalendarAdvance(Calendar,W267,V268,"f",FALSE)</f>
        <v>42299</v>
      </c>
      <c r="X268" s="181">
        <f>_xll.qlCalendarAdvance(Calendar,W268,NDays&amp;"D")</f>
        <v>42303</v>
      </c>
      <c r="Y268" s="178">
        <v>3.997039477137726E-3</v>
      </c>
      <c r="Z268" s="183">
        <v>2.1980018797052026E-4</v>
      </c>
    </row>
    <row r="269" spans="22:26" x14ac:dyDescent="0.2">
      <c r="V269" s="180" t="str">
        <f t="shared" si="11"/>
        <v>1D</v>
      </c>
      <c r="W269" s="177">
        <f>_xll.qlCalendarAdvance(Calendar,W268,V269,"f",FALSE)</f>
        <v>42300</v>
      </c>
      <c r="X269" s="181">
        <f>_xll.qlCalendarAdvance(Calendar,W269,NDays&amp;"D")</f>
        <v>42304</v>
      </c>
      <c r="Y269" s="178">
        <v>4.0019898571546746E-3</v>
      </c>
      <c r="Z269" s="183">
        <v>2.2540369530865689E-4</v>
      </c>
    </row>
    <row r="270" spans="22:26" x14ac:dyDescent="0.2">
      <c r="V270" s="180" t="str">
        <f t="shared" si="11"/>
        <v>1D</v>
      </c>
      <c r="W270" s="177">
        <f>_xll.qlCalendarAdvance(Calendar,W269,V270,"f",FALSE)</f>
        <v>42303</v>
      </c>
      <c r="X270" s="181">
        <f>_xll.qlCalendarAdvance(Calendar,W270,NDays&amp;"D")</f>
        <v>42305</v>
      </c>
      <c r="Y270" s="178">
        <v>4.0070571073896073E-3</v>
      </c>
      <c r="Z270" s="183">
        <v>2.3102085980220011E-4</v>
      </c>
    </row>
    <row r="271" spans="22:26" x14ac:dyDescent="0.2">
      <c r="V271" s="180" t="str">
        <f t="shared" si="11"/>
        <v>1D</v>
      </c>
      <c r="W271" s="177">
        <f>_xll.qlCalendarAdvance(Calendar,W270,V271,"f",FALSE)</f>
        <v>42304</v>
      </c>
      <c r="X271" s="181">
        <f>_xll.qlCalendarAdvance(Calendar,W271,NDays&amp;"D")</f>
        <v>42306</v>
      </c>
      <c r="Y271" s="178">
        <v>4.0024180944037632E-3</v>
      </c>
      <c r="Z271" s="183">
        <v>2.3665168121134172E-4</v>
      </c>
    </row>
    <row r="272" spans="22:26" x14ac:dyDescent="0.2">
      <c r="V272" s="180" t="str">
        <f t="shared" si="11"/>
        <v>1D</v>
      </c>
      <c r="W272" s="177">
        <f>_xll.qlCalendarAdvance(Calendar,W271,V272,"f",FALSE)</f>
        <v>42305</v>
      </c>
      <c r="X272" s="181">
        <f>_xll.qlCalendarAdvance(Calendar,W272,NDays&amp;"D")</f>
        <v>42307</v>
      </c>
      <c r="Y272" s="178">
        <v>4.0126764005128891E-3</v>
      </c>
      <c r="Z272" s="183">
        <v>2.4795901849117286E-4</v>
      </c>
    </row>
    <row r="273" spans="22:26" x14ac:dyDescent="0.2">
      <c r="V273" s="180" t="str">
        <f t="shared" si="11"/>
        <v>1D</v>
      </c>
      <c r="W273" s="177">
        <f>_xll.qlCalendarAdvance(Calendar,W272,V273,"f",FALSE)</f>
        <v>42306</v>
      </c>
      <c r="X273" s="181">
        <f>_xll.qlCalendarAdvance(Calendar,W273,NDays&amp;"D")</f>
        <v>42310</v>
      </c>
      <c r="Y273" s="178">
        <v>4.0341996090498449E-3</v>
      </c>
      <c r="Z273" s="183">
        <v>2.593115377624855E-4</v>
      </c>
    </row>
    <row r="274" spans="22:26" x14ac:dyDescent="0.2">
      <c r="V274" s="180" t="str">
        <f t="shared" si="11"/>
        <v>1D</v>
      </c>
      <c r="W274" s="177">
        <f>_xll.qlCalendarAdvance(Calendar,W273,V274,"f",FALSE)</f>
        <v>42307</v>
      </c>
      <c r="X274" s="181">
        <f>_xll.qlCalendarAdvance(Calendar,W274,NDays&amp;"D")</f>
        <v>42311</v>
      </c>
      <c r="Y274" s="178">
        <v>4.0400000000010011E-3</v>
      </c>
      <c r="Z274" s="183">
        <v>7.4121142191962974E-4</v>
      </c>
    </row>
    <row r="275" spans="22:26" x14ac:dyDescent="0.2">
      <c r="V275" s="180" t="str">
        <f t="shared" si="11"/>
        <v>1D</v>
      </c>
      <c r="W275" s="177">
        <f>_xll.qlCalendarAdvance(Calendar,W274,V275,"f",FALSE)</f>
        <v>42310</v>
      </c>
      <c r="X275" s="181">
        <f>_xll.qlCalendarAdvance(Calendar,W275,NDays&amp;"D")</f>
        <v>42312</v>
      </c>
      <c r="Y275" s="178">
        <v>4.0457576197981066E-3</v>
      </c>
      <c r="Z275" s="183">
        <v>1.6854345201888776E-3</v>
      </c>
    </row>
    <row r="276" spans="22:26" x14ac:dyDescent="0.2">
      <c r="V276" s="180" t="str">
        <f t="shared" si="11"/>
        <v>1D</v>
      </c>
      <c r="W276" s="177">
        <f>_xll.qlCalendarAdvance(Calendar,W275,V276,"f",FALSE)</f>
        <v>42311</v>
      </c>
      <c r="X276" s="181">
        <f>_xll.qlCalendarAdvance(Calendar,W276,NDays&amp;"D")</f>
        <v>42313</v>
      </c>
      <c r="Y276" s="178">
        <v>4.0564173340893756E-3</v>
      </c>
      <c r="Z276" s="183">
        <v>2.6088339993091125E-3</v>
      </c>
    </row>
    <row r="277" spans="22:26" x14ac:dyDescent="0.2">
      <c r="V277" s="180" t="str">
        <f t="shared" ref="V277:V340" si="12">V276</f>
        <v>1D</v>
      </c>
      <c r="W277" s="177">
        <f>_xll.qlCalendarAdvance(Calendar,W276,V277,"f",FALSE)</f>
        <v>42312</v>
      </c>
      <c r="X277" s="181">
        <f>_xll.qlCalendarAdvance(Calendar,W277,NDays&amp;"D")</f>
        <v>42314</v>
      </c>
      <c r="Y277" s="178">
        <v>4.060332278590869E-3</v>
      </c>
      <c r="Z277" s="183">
        <v>4.3862728379817639E-3</v>
      </c>
    </row>
    <row r="278" spans="22:26" x14ac:dyDescent="0.2">
      <c r="V278" s="180" t="str">
        <f t="shared" si="12"/>
        <v>1D</v>
      </c>
      <c r="W278" s="177">
        <f>_xll.qlCalendarAdvance(Calendar,W277,V278,"f",FALSE)</f>
        <v>42313</v>
      </c>
      <c r="X278" s="181">
        <f>_xll.qlCalendarAdvance(Calendar,W278,NDays&amp;"D")</f>
        <v>42317</v>
      </c>
      <c r="Y278" s="178">
        <v>4.0714972048717275E-3</v>
      </c>
      <c r="Z278" s="183">
        <v>6.0941925724211643E-3</v>
      </c>
    </row>
    <row r="279" spans="22:26" x14ac:dyDescent="0.2">
      <c r="V279" s="180" t="str">
        <f t="shared" si="12"/>
        <v>1D</v>
      </c>
      <c r="W279" s="177">
        <f>_xll.qlCalendarAdvance(Calendar,W278,V279,"f",FALSE)</f>
        <v>42314</v>
      </c>
      <c r="X279" s="181">
        <f>_xll.qlCalendarAdvance(Calendar,W279,NDays&amp;"D")</f>
        <v>42318</v>
      </c>
      <c r="Y279" s="178">
        <v>4.0760680138900007E-3</v>
      </c>
      <c r="Z279" s="183">
        <v>6.9134716238217209E-3</v>
      </c>
    </row>
    <row r="280" spans="22:26" x14ac:dyDescent="0.2">
      <c r="V280" s="180" t="str">
        <f t="shared" si="12"/>
        <v>1D</v>
      </c>
      <c r="W280" s="177">
        <f>_xll.qlCalendarAdvance(Calendar,W279,V280,"f",FALSE)</f>
        <v>42317</v>
      </c>
      <c r="X280" s="181">
        <f>_xll.qlCalendarAdvance(Calendar,W280,NDays&amp;"D")</f>
        <v>42319</v>
      </c>
      <c r="Y280" s="178">
        <v>4.0804573194741329E-3</v>
      </c>
      <c r="Z280" s="183">
        <v>7.7119261487190727E-3</v>
      </c>
    </row>
    <row r="281" spans="22:26" x14ac:dyDescent="0.2">
      <c r="V281" s="180" t="str">
        <f t="shared" si="12"/>
        <v>1D</v>
      </c>
      <c r="W281" s="177">
        <f>_xll.qlCalendarAdvance(Calendar,W280,V281,"f",FALSE)</f>
        <v>42318</v>
      </c>
      <c r="X281" s="181">
        <f>_xll.qlCalendarAdvance(Calendar,W281,NDays&amp;"D")</f>
        <v>42320</v>
      </c>
      <c r="Y281" s="178">
        <v>4.1187370436989073E-3</v>
      </c>
      <c r="Z281" s="183">
        <v>8.4895560084241595E-3</v>
      </c>
    </row>
    <row r="282" spans="22:26" x14ac:dyDescent="0.2">
      <c r="V282" s="180" t="str">
        <f t="shared" si="12"/>
        <v>1D</v>
      </c>
      <c r="W282" s="177">
        <f>_xll.qlCalendarAdvance(Calendar,W281,V282,"f",FALSE)</f>
        <v>42319</v>
      </c>
      <c r="X282" s="181">
        <f>_xll.qlCalendarAdvance(Calendar,W282,NDays&amp;"D")</f>
        <v>42321</v>
      </c>
      <c r="Y282" s="178">
        <v>4.1067306099069759E-3</v>
      </c>
      <c r="Z282" s="183">
        <v>9.9756754379409784E-3</v>
      </c>
    </row>
    <row r="283" spans="22:26" x14ac:dyDescent="0.2">
      <c r="V283" s="180" t="str">
        <f t="shared" si="12"/>
        <v>1D</v>
      </c>
      <c r="W283" s="177">
        <f>_xll.qlCalendarAdvance(Calendar,W282,V283,"f",FALSE)</f>
        <v>42320</v>
      </c>
      <c r="X283" s="181">
        <f>_xll.qlCalendarAdvance(Calendar,W283,NDays&amp;"D")</f>
        <v>42324</v>
      </c>
      <c r="Y283" s="178">
        <v>4.0998443037700985E-3</v>
      </c>
      <c r="Z283" s="183">
        <v>1.1391826151596618E-2</v>
      </c>
    </row>
    <row r="284" spans="22:26" x14ac:dyDescent="0.2">
      <c r="V284" s="180" t="str">
        <f t="shared" si="12"/>
        <v>1D</v>
      </c>
      <c r="W284" s="177">
        <f>_xll.qlCalendarAdvance(Calendar,W283,V284,"f",FALSE)</f>
        <v>42321</v>
      </c>
      <c r="X284" s="181">
        <f>_xll.qlCalendarAdvance(Calendar,W284,NDays&amp;"D")</f>
        <v>42325</v>
      </c>
      <c r="Y284" s="178">
        <v>4.103242395766738E-3</v>
      </c>
      <c r="Z284" s="183">
        <v>1.2065330733861401E-2</v>
      </c>
    </row>
    <row r="285" spans="22:26" x14ac:dyDescent="0.2">
      <c r="V285" s="180" t="str">
        <f t="shared" si="12"/>
        <v>1D</v>
      </c>
      <c r="W285" s="177">
        <f>_xll.qlCalendarAdvance(Calendar,W284,V285,"f",FALSE)</f>
        <v>42324</v>
      </c>
      <c r="X285" s="181">
        <f>_xll.qlCalendarAdvance(Calendar,W285,NDays&amp;"D")</f>
        <v>42326</v>
      </c>
      <c r="Y285" s="178">
        <v>4.106491588126932E-3</v>
      </c>
      <c r="Z285" s="183">
        <v>1.2718009895458238E-2</v>
      </c>
    </row>
    <row r="286" spans="22:26" x14ac:dyDescent="0.2">
      <c r="V286" s="180" t="str">
        <f t="shared" si="12"/>
        <v>1D</v>
      </c>
      <c r="W286" s="177">
        <f>_xll.qlCalendarAdvance(Calendar,W285,V286,"f",FALSE)</f>
        <v>42325</v>
      </c>
      <c r="X286" s="181">
        <f>_xll.qlCalendarAdvance(Calendar,W286,NDays&amp;"D")</f>
        <v>42327</v>
      </c>
      <c r="Y286" s="178">
        <v>4.1675520189050734E-3</v>
      </c>
      <c r="Z286" s="183">
        <v>1.3349863523197669E-2</v>
      </c>
    </row>
    <row r="287" spans="22:26" x14ac:dyDescent="0.2">
      <c r="V287" s="180" t="str">
        <f t="shared" si="12"/>
        <v>1D</v>
      </c>
      <c r="W287" s="177">
        <f>_xll.qlCalendarAdvance(Calendar,W286,V287,"f",FALSE)</f>
        <v>42326</v>
      </c>
      <c r="X287" s="181">
        <f>_xll.qlCalendarAdvance(Calendar,W287,NDays&amp;"D")</f>
        <v>42328</v>
      </c>
      <c r="Y287" s="178">
        <v>4.1423784849182995E-3</v>
      </c>
      <c r="Z287" s="183">
        <v>1.4544739077777535E-2</v>
      </c>
    </row>
    <row r="288" spans="22:26" x14ac:dyDescent="0.2">
      <c r="V288" s="180" t="str">
        <f t="shared" si="12"/>
        <v>1D</v>
      </c>
      <c r="W288" s="177">
        <f>_xll.qlCalendarAdvance(Calendar,W287,V288,"f",FALSE)</f>
        <v>42327</v>
      </c>
      <c r="X288" s="181">
        <f>_xll.qlCalendarAdvance(Calendar,W288,NDays&amp;"D")</f>
        <v>42331</v>
      </c>
      <c r="Y288" s="178">
        <v>4.1206670988181053E-3</v>
      </c>
      <c r="Z288" s="183">
        <v>1.5669020556252633E-2</v>
      </c>
    </row>
    <row r="289" spans="22:26" x14ac:dyDescent="0.2">
      <c r="V289" s="180" t="str">
        <f t="shared" si="12"/>
        <v>1D</v>
      </c>
      <c r="W289" s="177">
        <f>_xll.qlCalendarAdvance(Calendar,W288,V289,"f",FALSE)</f>
        <v>42328</v>
      </c>
      <c r="X289" s="181">
        <f>_xll.qlCalendarAdvance(Calendar,W289,NDays&amp;"D")</f>
        <v>42332</v>
      </c>
      <c r="Y289" s="178">
        <v>4.1231207210015676E-3</v>
      </c>
      <c r="Z289" s="183">
        <v>1.619674494204304E-2</v>
      </c>
    </row>
    <row r="290" spans="22:26" x14ac:dyDescent="0.2">
      <c r="V290" s="180" t="str">
        <f t="shared" si="12"/>
        <v>1D</v>
      </c>
      <c r="W290" s="177">
        <f>_xll.qlCalendarAdvance(Calendar,W289,V290,"f",FALSE)</f>
        <v>42331</v>
      </c>
      <c r="X290" s="181">
        <f>_xll.qlCalendarAdvance(Calendar,W290,NDays&amp;"D")</f>
        <v>42333</v>
      </c>
      <c r="Y290" s="178">
        <v>4.1254580537623481E-3</v>
      </c>
      <c r="Z290" s="183">
        <v>1.6703643190139061E-2</v>
      </c>
    </row>
    <row r="291" spans="22:26" x14ac:dyDescent="0.2">
      <c r="V291" s="180" t="str">
        <f t="shared" si="12"/>
        <v>1D</v>
      </c>
      <c r="W291" s="177">
        <f>_xll.qlCalendarAdvance(Calendar,W290,V291,"f",FALSE)</f>
        <v>42332</v>
      </c>
      <c r="X291" s="181">
        <f>_xll.qlCalendarAdvance(Calendar,W291,NDays&amp;"D")</f>
        <v>42334</v>
      </c>
      <c r="Y291" s="178">
        <v>4.2044500371039555E-3</v>
      </c>
      <c r="Z291" s="183">
        <v>1.7189715212770906E-2</v>
      </c>
    </row>
    <row r="292" spans="22:26" x14ac:dyDescent="0.2">
      <c r="V292" s="180" t="str">
        <f t="shared" si="12"/>
        <v>1D</v>
      </c>
      <c r="W292" s="177">
        <f>_xll.qlCalendarAdvance(Calendar,W291,V292,"f",FALSE)</f>
        <v>42333</v>
      </c>
      <c r="X292" s="181">
        <f>_xll.qlCalendarAdvance(Calendar,W292,NDays&amp;"D")</f>
        <v>42335</v>
      </c>
      <c r="Y292" s="178">
        <v>4.1688687829784903E-3</v>
      </c>
      <c r="Z292" s="183">
        <v>1.8093347199634735E-2</v>
      </c>
    </row>
    <row r="293" spans="22:26" x14ac:dyDescent="0.2">
      <c r="V293" s="180" t="str">
        <f t="shared" si="12"/>
        <v>1D</v>
      </c>
      <c r="W293" s="177">
        <f>_xll.qlCalendarAdvance(Calendar,W292,V293,"f",FALSE)</f>
        <v>42334</v>
      </c>
      <c r="X293" s="181">
        <f>_xll.qlCalendarAdvance(Calendar,W293,NDays&amp;"D")</f>
        <v>42338</v>
      </c>
      <c r="Y293" s="178">
        <v>4.1355634437505381E-3</v>
      </c>
      <c r="Z293" s="183">
        <v>1.8925739414203946E-2</v>
      </c>
    </row>
    <row r="294" spans="22:26" x14ac:dyDescent="0.2">
      <c r="V294" s="180" t="str">
        <f t="shared" si="12"/>
        <v>1D</v>
      </c>
      <c r="W294" s="177">
        <f>_xll.qlCalendarAdvance(Calendar,W293,V294,"f",FALSE)</f>
        <v>42335</v>
      </c>
      <c r="X294" s="181">
        <f>_xll.qlCalendarAdvance(Calendar,W294,NDays&amp;"D")</f>
        <v>42339</v>
      </c>
      <c r="Y294" s="178">
        <v>4.1373008815105399E-3</v>
      </c>
      <c r="Z294" s="183">
        <v>1.9307679115749821E-2</v>
      </c>
    </row>
    <row r="295" spans="22:26" x14ac:dyDescent="0.2">
      <c r="V295" s="180" t="str">
        <f t="shared" si="12"/>
        <v>1D</v>
      </c>
      <c r="W295" s="177">
        <f>_xll.qlCalendarAdvance(Calendar,W294,V295,"f",FALSE)</f>
        <v>42338</v>
      </c>
      <c r="X295" s="181">
        <f>_xll.qlCalendarAdvance(Calendar,W295,NDays&amp;"D")</f>
        <v>42340</v>
      </c>
      <c r="Y295" s="178">
        <v>4.1389546443342728E-3</v>
      </c>
      <c r="Z295" s="183">
        <v>1.9668792139873048E-2</v>
      </c>
    </row>
    <row r="296" spans="22:26" x14ac:dyDescent="0.2">
      <c r="V296" s="180" t="str">
        <f t="shared" si="12"/>
        <v>1D</v>
      </c>
      <c r="W296" s="177">
        <f>_xll.qlCalendarAdvance(Calendar,W295,V296,"f",FALSE)</f>
        <v>42339</v>
      </c>
      <c r="X296" s="181">
        <f>_xll.qlCalendarAdvance(Calendar,W296,NDays&amp;"D")</f>
        <v>42341</v>
      </c>
      <c r="Y296" s="178">
        <v>4.231019589314277E-3</v>
      </c>
      <c r="Z296" s="183">
        <v>2.0009078423743887E-2</v>
      </c>
    </row>
    <row r="297" spans="22:26" x14ac:dyDescent="0.2">
      <c r="V297" s="180" t="str">
        <f t="shared" si="12"/>
        <v>1D</v>
      </c>
      <c r="W297" s="177">
        <f>_xll.qlCalendarAdvance(Calendar,W296,V297,"f",FALSE)</f>
        <v>42340</v>
      </c>
      <c r="X297" s="181">
        <f>_xll.qlCalendarAdvance(Calendar,W297,NDays&amp;"D")</f>
        <v>42342</v>
      </c>
      <c r="Y297" s="178">
        <v>4.1877948425133229E-3</v>
      </c>
      <c r="Z297" s="183">
        <v>2.0621409275713987E-2</v>
      </c>
    </row>
    <row r="298" spans="22:26" x14ac:dyDescent="0.2">
      <c r="V298" s="180" t="str">
        <f t="shared" si="12"/>
        <v>1D</v>
      </c>
      <c r="W298" s="177">
        <f>_xll.qlCalendarAdvance(Calendar,W297,V298,"f",FALSE)</f>
        <v>42341</v>
      </c>
      <c r="X298" s="181">
        <f>_xll.qlCalendarAdvance(Calendar,W298,NDays&amp;"D")</f>
        <v>42345</v>
      </c>
      <c r="Y298" s="178">
        <v>4.1461314171631894E-3</v>
      </c>
      <c r="Z298" s="183">
        <v>2.1161955030644108E-2</v>
      </c>
    </row>
    <row r="299" spans="22:26" x14ac:dyDescent="0.2">
      <c r="V299" s="180" t="str">
        <f t="shared" si="12"/>
        <v>1D</v>
      </c>
      <c r="W299" s="177">
        <f>_xll.qlCalendarAdvance(Calendar,W298,V299,"f",FALSE)</f>
        <v>42342</v>
      </c>
      <c r="X299" s="181">
        <f>_xll.qlCalendarAdvance(Calendar,W299,NDays&amp;"D")</f>
        <v>42346</v>
      </c>
      <c r="Y299" s="178">
        <v>4.1473809806377403E-3</v>
      </c>
      <c r="Z299" s="183">
        <v>2.1398106800063488E-2</v>
      </c>
    </row>
    <row r="300" spans="22:26" x14ac:dyDescent="0.2">
      <c r="V300" s="180" t="str">
        <f t="shared" si="12"/>
        <v>1D</v>
      </c>
      <c r="W300" s="177">
        <f>_xll.qlCalendarAdvance(Calendar,W299,V300,"f",FALSE)</f>
        <v>42345</v>
      </c>
      <c r="X300" s="181">
        <f>_xll.qlCalendarAdvance(Calendar,W300,NDays&amp;"D")</f>
        <v>42347</v>
      </c>
      <c r="Y300" s="178">
        <v>4.1485794863160477E-3</v>
      </c>
      <c r="Z300" s="183">
        <v>2.1613431529230454E-2</v>
      </c>
    </row>
    <row r="301" spans="22:26" x14ac:dyDescent="0.2">
      <c r="V301" s="180" t="str">
        <f t="shared" si="12"/>
        <v>1D</v>
      </c>
      <c r="W301" s="177">
        <f>_xll.qlCalendarAdvance(Calendar,W300,V301,"f",FALSE)</f>
        <v>42346</v>
      </c>
      <c r="X301" s="181">
        <f>_xll.qlCalendarAdvance(Calendar,W301,NDays&amp;"D")</f>
        <v>42348</v>
      </c>
      <c r="Y301" s="178">
        <v>4.2488497002687023E-3</v>
      </c>
      <c r="Z301" s="183">
        <v>2.1807929180734931E-2</v>
      </c>
    </row>
    <row r="302" spans="22:26" x14ac:dyDescent="0.2">
      <c r="V302" s="180" t="str">
        <f t="shared" si="12"/>
        <v>1D</v>
      </c>
      <c r="W302" s="177">
        <f>_xll.qlCalendarAdvance(Calendar,W301,V302,"f",FALSE)</f>
        <v>42347</v>
      </c>
      <c r="X302" s="181">
        <f>_xll.qlCalendarAdvance(Calendar,W302,NDays&amp;"D")</f>
        <v>42349</v>
      </c>
      <c r="Y302" s="178">
        <v>4.2007503257586532E-3</v>
      </c>
      <c r="Z302" s="183">
        <v>2.2128860812031803E-2</v>
      </c>
    </row>
    <row r="303" spans="22:26" x14ac:dyDescent="0.2">
      <c r="V303" s="180" t="str">
        <f t="shared" si="12"/>
        <v>1D</v>
      </c>
      <c r="W303" s="177">
        <f>_xll.qlCalendarAdvance(Calendar,W302,V303,"f",FALSE)</f>
        <v>42348</v>
      </c>
      <c r="X303" s="181">
        <f>_xll.qlCalendarAdvance(Calendar,W303,NDays&amp;"D")</f>
        <v>42352</v>
      </c>
      <c r="Y303" s="178">
        <v>4.1539692395505872E-3</v>
      </c>
      <c r="Z303" s="183">
        <v>2.2377648389184657E-2</v>
      </c>
    </row>
    <row r="304" spans="22:26" x14ac:dyDescent="0.2">
      <c r="V304" s="180" t="str">
        <f t="shared" si="12"/>
        <v>1D</v>
      </c>
      <c r="W304" s="177">
        <f>_xll.qlCalendarAdvance(Calendar,W303,V304,"f",FALSE)</f>
        <v>42349</v>
      </c>
      <c r="X304" s="181">
        <f>_xll.qlCalendarAdvance(Calendar,W304,NDays&amp;"D")</f>
        <v>42353</v>
      </c>
      <c r="Y304" s="178">
        <v>4.1549592538840507E-3</v>
      </c>
      <c r="Z304" s="183">
        <v>2.2468010218323897E-2</v>
      </c>
    </row>
    <row r="305" spans="22:26" x14ac:dyDescent="0.2">
      <c r="V305" s="180" t="str">
        <f t="shared" si="12"/>
        <v>1D</v>
      </c>
      <c r="W305" s="177">
        <f>_xll.qlCalendarAdvance(Calendar,W304,V305,"f",FALSE)</f>
        <v>42352</v>
      </c>
      <c r="X305" s="181">
        <f>_xll.qlCalendarAdvance(Calendar,W305,NDays&amp;"D")</f>
        <v>42354</v>
      </c>
      <c r="Y305" s="178">
        <v>4.1559308291248568E-3</v>
      </c>
      <c r="Z305" s="183">
        <v>2.2537544821439326E-2</v>
      </c>
    </row>
    <row r="306" spans="22:26" x14ac:dyDescent="0.2">
      <c r="V306" s="180" t="str">
        <f t="shared" si="12"/>
        <v>1D</v>
      </c>
      <c r="W306" s="177">
        <f>_xll.qlCalendarAdvance(Calendar,W305,V306,"f",FALSE)</f>
        <v>42353</v>
      </c>
      <c r="X306" s="181">
        <f>_xll.qlCalendarAdvance(Calendar,W306,NDays&amp;"D")</f>
        <v>42355</v>
      </c>
      <c r="Y306" s="178">
        <v>4.2595297741785196E-3</v>
      </c>
      <c r="Z306" s="183">
        <v>2.2586252186540534E-2</v>
      </c>
    </row>
    <row r="307" spans="22:26" x14ac:dyDescent="0.2">
      <c r="V307" s="180" t="str">
        <f t="shared" si="12"/>
        <v>1D</v>
      </c>
      <c r="W307" s="177">
        <f>_xll.qlCalendarAdvance(Calendar,W306,V307,"f",FALSE)</f>
        <v>42354</v>
      </c>
      <c r="X307" s="181">
        <f>_xll.qlCalendarAdvance(Calendar,W307,NDays&amp;"D")</f>
        <v>42356</v>
      </c>
      <c r="Y307" s="178">
        <v>4.2093291092678391E-3</v>
      </c>
      <c r="Z307" s="183">
        <v>2.2615663351217563E-2</v>
      </c>
    </row>
    <row r="308" spans="22:26" x14ac:dyDescent="0.2">
      <c r="V308" s="180" t="str">
        <f t="shared" si="12"/>
        <v>1D</v>
      </c>
      <c r="W308" s="177">
        <f>_xll.qlCalendarAdvance(Calendar,W307,V308,"f",FALSE)</f>
        <v>42355</v>
      </c>
      <c r="X308" s="181">
        <f>_xll.qlCalendarAdvance(Calendar,W308,NDays&amp;"D")</f>
        <v>42359</v>
      </c>
      <c r="Y308" s="178">
        <v>4.1606752161993206E-3</v>
      </c>
      <c r="Z308" s="183">
        <v>2.2572809151695239E-2</v>
      </c>
    </row>
    <row r="309" spans="22:26" x14ac:dyDescent="0.2">
      <c r="V309" s="180" t="str">
        <f t="shared" si="12"/>
        <v>1D</v>
      </c>
      <c r="W309" s="177">
        <f>_xll.qlCalendarAdvance(Calendar,W308,V309,"f",FALSE)</f>
        <v>42356</v>
      </c>
      <c r="X309" s="181">
        <f>_xll.qlCalendarAdvance(Calendar,W309,NDays&amp;"D")</f>
        <v>42360</v>
      </c>
      <c r="Y309" s="178">
        <v>4.1616340154947981E-3</v>
      </c>
      <c r="Z309" s="183">
        <v>2.2517380272049081E-2</v>
      </c>
    </row>
    <row r="310" spans="22:26" x14ac:dyDescent="0.2">
      <c r="V310" s="180" t="str">
        <f t="shared" si="12"/>
        <v>1D</v>
      </c>
      <c r="W310" s="177">
        <f>_xll.qlCalendarAdvance(Calendar,W309,V310,"f",FALSE)</f>
        <v>42359</v>
      </c>
      <c r="X310" s="181">
        <f>_xll.qlCalendarAdvance(Calendar,W310,NDays&amp;"D")</f>
        <v>42361</v>
      </c>
      <c r="Y310" s="178">
        <v>4.1626069954034629E-3</v>
      </c>
      <c r="Z310" s="183">
        <v>2.2441124157825953E-2</v>
      </c>
    </row>
    <row r="311" spans="22:26" x14ac:dyDescent="0.2">
      <c r="V311" s="180" t="str">
        <f t="shared" si="12"/>
        <v>1D</v>
      </c>
      <c r="W311" s="177">
        <f>_xll.qlCalendarAdvance(Calendar,W310,V311,"f",FALSE)</f>
        <v>42360</v>
      </c>
      <c r="X311" s="181">
        <f>_xll.qlCalendarAdvance(Calendar,W311,NDays&amp;"D")</f>
        <v>42362</v>
      </c>
      <c r="Y311" s="178">
        <v>4.3142782767546526E-3</v>
      </c>
      <c r="Z311" s="183">
        <v>2.2148391471055184E-2</v>
      </c>
    </row>
    <row r="312" spans="22:26" x14ac:dyDescent="0.2">
      <c r="V312" s="180" t="str">
        <f t="shared" si="12"/>
        <v>1D</v>
      </c>
      <c r="W312" s="177">
        <f>_xll.qlCalendarAdvance(Calendar,W311,V312,"f",FALSE)</f>
        <v>42361</v>
      </c>
      <c r="X312" s="181">
        <f>_xll.qlCalendarAdvance(Calendar,W312,NDays&amp;"D")</f>
        <v>42366</v>
      </c>
      <c r="Y312" s="178">
        <v>4.1678477059417839E-3</v>
      </c>
      <c r="Z312" s="183">
        <v>2.1747435658463488E-2</v>
      </c>
    </row>
    <row r="313" spans="22:26" x14ac:dyDescent="0.2">
      <c r="V313" s="180" t="str">
        <f t="shared" si="12"/>
        <v>1D</v>
      </c>
      <c r="W313" s="177">
        <f>_xll.qlCalendarAdvance(Calendar,W312,V313,"f",FALSE)</f>
        <v>42362</v>
      </c>
      <c r="X313" s="181">
        <f>_xll.qlCalendarAdvance(Calendar,W313,NDays&amp;"D")</f>
        <v>42367</v>
      </c>
      <c r="Y313" s="178">
        <v>4.1690036309095495E-3</v>
      </c>
      <c r="Z313" s="183">
        <v>2.15462165414948E-2</v>
      </c>
    </row>
    <row r="314" spans="22:26" x14ac:dyDescent="0.2">
      <c r="V314" s="180" t="str">
        <f t="shared" si="12"/>
        <v>1D</v>
      </c>
      <c r="W314" s="177">
        <f>_xll.qlCalendarAdvance(Calendar,W313,V314,"f",FALSE)</f>
        <v>42366</v>
      </c>
      <c r="X314" s="181">
        <f>_xll.qlCalendarAdvance(Calendar,W314,NDays&amp;"D")</f>
        <v>42368</v>
      </c>
      <c r="Y314" s="178">
        <v>4.1702063571632227E-3</v>
      </c>
      <c r="Z314" s="183">
        <v>2.1324170358454353E-2</v>
      </c>
    </row>
    <row r="315" spans="22:26" x14ac:dyDescent="0.2">
      <c r="V315" s="180" t="str">
        <f t="shared" si="12"/>
        <v>1D</v>
      </c>
      <c r="W315" s="177">
        <f>_xll.qlCalendarAdvance(Calendar,W314,V315,"f",FALSE)</f>
        <v>42367</v>
      </c>
      <c r="X315" s="181">
        <f>_xll.qlCalendarAdvance(Calendar,W315,NDays&amp;"D")</f>
        <v>42369</v>
      </c>
      <c r="Y315" s="178">
        <v>4.1229649766059868E-3</v>
      </c>
      <c r="Z315" s="183">
        <v>2.0666699183231607E-2</v>
      </c>
    </row>
    <row r="316" spans="22:26" x14ac:dyDescent="0.2">
      <c r="V316" s="180" t="str">
        <f t="shared" si="12"/>
        <v>1D</v>
      </c>
      <c r="W316" s="177">
        <f>_xll.qlCalendarAdvance(Calendar,W315,V316,"f",FALSE)</f>
        <v>42368</v>
      </c>
      <c r="X316" s="181">
        <f>_xll.qlCalendarAdvance(Calendar,W316,NDays&amp;"D")</f>
        <v>42373</v>
      </c>
      <c r="Y316" s="178">
        <v>4.1770851157731537E-3</v>
      </c>
      <c r="Z316" s="183">
        <v>1.9901534928514764E-2</v>
      </c>
    </row>
    <row r="317" spans="22:26" x14ac:dyDescent="0.2">
      <c r="V317" s="180" t="str">
        <f t="shared" si="12"/>
        <v>1D</v>
      </c>
      <c r="W317" s="177">
        <f>_xll.qlCalendarAdvance(Calendar,W316,V317,"f",FALSE)</f>
        <v>42369</v>
      </c>
      <c r="X317" s="181">
        <f>_xll.qlCalendarAdvance(Calendar,W317,NDays&amp;"D")</f>
        <v>42374</v>
      </c>
      <c r="Y317" s="178">
        <v>4.1786665150720962E-3</v>
      </c>
      <c r="Z317" s="183">
        <v>1.9554527285254864E-2</v>
      </c>
    </row>
    <row r="318" spans="22:26" x14ac:dyDescent="0.2">
      <c r="V318" s="180" t="str">
        <f t="shared" si="12"/>
        <v>1D</v>
      </c>
      <c r="W318" s="177">
        <f>_xll.qlCalendarAdvance(Calendar,W317,V318,"f",FALSE)</f>
        <v>42373</v>
      </c>
      <c r="X318" s="181">
        <f>_xll.qlCalendarAdvance(Calendar,W318,NDays&amp;"D")</f>
        <v>42375</v>
      </c>
      <c r="Y318" s="178">
        <v>4.1803273377903558E-3</v>
      </c>
      <c r="Z318" s="183">
        <v>1.9186692921646653E-2</v>
      </c>
    </row>
    <row r="319" spans="22:26" x14ac:dyDescent="0.2">
      <c r="V319" s="180" t="str">
        <f t="shared" si="12"/>
        <v>1D</v>
      </c>
      <c r="W319" s="177">
        <f>_xll.qlCalendarAdvance(Calendar,W318,V319,"f",FALSE)</f>
        <v>42374</v>
      </c>
      <c r="X319" s="181">
        <f>_xll.qlCalendarAdvance(Calendar,W319,NDays&amp;"D")</f>
        <v>42376</v>
      </c>
      <c r="Y319" s="178">
        <v>4.2645669885778108E-3</v>
      </c>
      <c r="Z319" s="183">
        <v>1.8798031901559042E-2</v>
      </c>
    </row>
    <row r="320" spans="22:26" x14ac:dyDescent="0.2">
      <c r="V320" s="180" t="str">
        <f t="shared" si="12"/>
        <v>1D</v>
      </c>
      <c r="W320" s="177">
        <f>_xll.qlCalendarAdvance(Calendar,W319,V320,"f",FALSE)</f>
        <v>42375</v>
      </c>
      <c r="X320" s="181">
        <f>_xll.qlCalendarAdvance(Calendar,W320,NDays&amp;"D")</f>
        <v>42377</v>
      </c>
      <c r="Y320" s="178">
        <v>4.2247456642336458E-3</v>
      </c>
      <c r="Z320" s="183">
        <v>1.7952182987741594E-2</v>
      </c>
    </row>
    <row r="321" spans="22:26" x14ac:dyDescent="0.2">
      <c r="V321" s="180" t="str">
        <f t="shared" si="12"/>
        <v>1D</v>
      </c>
      <c r="W321" s="177">
        <f>_xll.qlCalendarAdvance(Calendar,W320,V321,"f",FALSE)</f>
        <v>42376</v>
      </c>
      <c r="X321" s="181">
        <f>_xll.qlCalendarAdvance(Calendar,W321,NDays&amp;"D")</f>
        <v>42380</v>
      </c>
      <c r="Y321" s="178">
        <v>4.1899859213324966E-3</v>
      </c>
      <c r="Z321" s="183">
        <v>1.703512265913254E-2</v>
      </c>
    </row>
    <row r="322" spans="22:26" x14ac:dyDescent="0.2">
      <c r="V322" s="180" t="str">
        <f t="shared" si="12"/>
        <v>1D</v>
      </c>
      <c r="W322" s="177">
        <f>_xll.qlCalendarAdvance(Calendar,W321,V322,"f",FALSE)</f>
        <v>42377</v>
      </c>
      <c r="X322" s="181">
        <f>_xll.qlCalendarAdvance(Calendar,W322,NDays&amp;"D")</f>
        <v>42381</v>
      </c>
      <c r="Y322" s="178">
        <v>4.1922211566084938E-3</v>
      </c>
      <c r="Z322" s="183">
        <v>1.6542329440500936E-2</v>
      </c>
    </row>
    <row r="323" spans="22:26" x14ac:dyDescent="0.2">
      <c r="V323" s="180" t="str">
        <f t="shared" si="12"/>
        <v>1D</v>
      </c>
      <c r="W323" s="177">
        <f>_xll.qlCalendarAdvance(Calendar,W322,V323,"f",FALSE)</f>
        <v>42380</v>
      </c>
      <c r="X323" s="181">
        <f>_xll.qlCalendarAdvance(Calendar,W323,NDays&amp;"D")</f>
        <v>42382</v>
      </c>
      <c r="Y323" s="178">
        <v>4.1945684399193849E-3</v>
      </c>
      <c r="Z323" s="183">
        <v>1.6028710024382775E-2</v>
      </c>
    </row>
    <row r="324" spans="22:26" x14ac:dyDescent="0.2">
      <c r="V324" s="180" t="str">
        <f t="shared" si="12"/>
        <v>1D</v>
      </c>
      <c r="W324" s="177">
        <f>_xll.qlCalendarAdvance(Calendar,W323,V324,"f",FALSE)</f>
        <v>42381</v>
      </c>
      <c r="X324" s="181">
        <f>_xll.qlCalendarAdvance(Calendar,W324,NDays&amp;"D")</f>
        <v>42383</v>
      </c>
      <c r="Y324" s="178">
        <v>4.2625445870721991E-3</v>
      </c>
      <c r="Z324" s="183">
        <v>1.5494264499666954E-2</v>
      </c>
    </row>
    <row r="325" spans="22:26" x14ac:dyDescent="0.2">
      <c r="V325" s="180" t="str">
        <f t="shared" si="12"/>
        <v>1D</v>
      </c>
      <c r="W325" s="177">
        <f>_xll.qlCalendarAdvance(Calendar,W324,V325,"f",FALSE)</f>
        <v>42382</v>
      </c>
      <c r="X325" s="181">
        <f>_xll.qlCalendarAdvance(Calendar,W325,NDays&amp;"D")</f>
        <v>42384</v>
      </c>
      <c r="Y325" s="178">
        <v>4.2317583123361842E-3</v>
      </c>
      <c r="Z325" s="183">
        <v>1.4356525730629954E-2</v>
      </c>
    </row>
    <row r="326" spans="22:26" x14ac:dyDescent="0.2">
      <c r="V326" s="180" t="str">
        <f t="shared" si="12"/>
        <v>1D</v>
      </c>
      <c r="W326" s="177">
        <f>_xll.qlCalendarAdvance(Calendar,W325,V326,"f",FALSE)</f>
        <v>42383</v>
      </c>
      <c r="X326" s="181">
        <f>_xll.qlCalendarAdvance(Calendar,W326,NDays&amp;"D")</f>
        <v>42387</v>
      </c>
      <c r="Y326" s="178">
        <v>4.208148713252576E-3</v>
      </c>
      <c r="Z326" s="183">
        <v>1.3148223225858402E-2</v>
      </c>
    </row>
    <row r="327" spans="22:26" x14ac:dyDescent="0.2">
      <c r="V327" s="180" t="str">
        <f t="shared" si="12"/>
        <v>1D</v>
      </c>
      <c r="W327" s="177">
        <f>_xll.qlCalendarAdvance(Calendar,W326,V327,"f",FALSE)</f>
        <v>42384</v>
      </c>
      <c r="X327" s="181">
        <f>_xll.qlCalendarAdvance(Calendar,W327,NDays&amp;"D")</f>
        <v>42388</v>
      </c>
      <c r="Y327" s="178">
        <v>4.2112661678707433E-3</v>
      </c>
      <c r="Z327" s="183">
        <v>1.2509648622582858E-2</v>
      </c>
    </row>
    <row r="328" spans="22:26" x14ac:dyDescent="0.2">
      <c r="V328" s="180" t="str">
        <f t="shared" si="12"/>
        <v>1D</v>
      </c>
      <c r="W328" s="177">
        <f>_xll.qlCalendarAdvance(Calendar,W327,V328,"f",FALSE)</f>
        <v>42387</v>
      </c>
      <c r="X328" s="181">
        <f>_xll.qlCalendarAdvance(Calendar,W328,NDays&amp;"D")</f>
        <v>42389</v>
      </c>
      <c r="Y328" s="178">
        <v>4.2145282991704744E-3</v>
      </c>
      <c r="Z328" s="183">
        <v>1.1850248521421136E-2</v>
      </c>
    </row>
    <row r="329" spans="22:26" x14ac:dyDescent="0.2">
      <c r="V329" s="180" t="str">
        <f t="shared" si="12"/>
        <v>1D</v>
      </c>
      <c r="W329" s="177">
        <f>_xll.qlCalendarAdvance(Calendar,W328,V329,"f",FALSE)</f>
        <v>42388</v>
      </c>
      <c r="X329" s="181">
        <f>_xll.qlCalendarAdvance(Calendar,W329,NDays&amp;"D")</f>
        <v>42390</v>
      </c>
      <c r="Y329" s="178">
        <v>4.2613212628782983E-3</v>
      </c>
      <c r="Z329" s="183">
        <v>1.1170023037161414E-2</v>
      </c>
    </row>
    <row r="330" spans="22:26" x14ac:dyDescent="0.2">
      <c r="V330" s="180" t="str">
        <f t="shared" si="12"/>
        <v>1D</v>
      </c>
      <c r="W330" s="177">
        <f>_xll.qlCalendarAdvance(Calendar,W329,V330,"f",FALSE)</f>
        <v>42389</v>
      </c>
      <c r="X330" s="181">
        <f>_xll.qlCalendarAdvance(Calendar,W330,NDays&amp;"D")</f>
        <v>42391</v>
      </c>
      <c r="Y330" s="178">
        <v>4.2423648309787418E-3</v>
      </c>
      <c r="Z330" s="183">
        <v>9.7404177569249129E-3</v>
      </c>
    </row>
    <row r="331" spans="22:26" x14ac:dyDescent="0.2">
      <c r="V331" s="180" t="str">
        <f t="shared" si="12"/>
        <v>1D</v>
      </c>
      <c r="W331" s="177">
        <f>_xll.qlCalendarAdvance(Calendar,W330,V331,"f",FALSE)</f>
        <v>42390</v>
      </c>
      <c r="X331" s="181">
        <f>_xll.qlCalendarAdvance(Calendar,W331,NDays&amp;"D")</f>
        <v>42394</v>
      </c>
      <c r="Y331" s="178">
        <v>4.2331722693770592E-3</v>
      </c>
      <c r="Z331" s="183">
        <v>8.2408696820923666E-3</v>
      </c>
    </row>
    <row r="332" spans="22:26" x14ac:dyDescent="0.2">
      <c r="V332" s="180" t="str">
        <f t="shared" si="12"/>
        <v>1D</v>
      </c>
      <c r="W332" s="177">
        <f>_xll.qlCalendarAdvance(Calendar,W331,V332,"f",FALSE)</f>
        <v>42391</v>
      </c>
      <c r="X332" s="181">
        <f>_xll.qlCalendarAdvance(Calendar,W332,NDays&amp;"D")</f>
        <v>42395</v>
      </c>
      <c r="Y332" s="178">
        <v>4.2374003608513702E-3</v>
      </c>
      <c r="Z332" s="183">
        <v>7.4565191243891604E-3</v>
      </c>
    </row>
    <row r="333" spans="22:26" x14ac:dyDescent="0.2">
      <c r="V333" s="180" t="str">
        <f t="shared" si="12"/>
        <v>1D</v>
      </c>
      <c r="W333" s="177">
        <f>_xll.qlCalendarAdvance(Calendar,W332,V333,"f",FALSE)</f>
        <v>42394</v>
      </c>
      <c r="X333" s="181">
        <f>_xll.qlCalendarAdvance(Calendar,W333,NDays&amp;"D")</f>
        <v>42396</v>
      </c>
      <c r="Y333" s="178">
        <v>4.2418057637620349E-3</v>
      </c>
      <c r="Z333" s="183">
        <v>6.6513439457782653E-3</v>
      </c>
    </row>
    <row r="334" spans="22:26" x14ac:dyDescent="0.2">
      <c r="V334" s="180" t="str">
        <f t="shared" si="12"/>
        <v>1D</v>
      </c>
      <c r="W334" s="177">
        <f>_xll.qlCalendarAdvance(Calendar,W333,V334,"f",FALSE)</f>
        <v>42395</v>
      </c>
      <c r="X334" s="181">
        <f>_xll.qlCalendarAdvance(Calendar,W334,NDays&amp;"D")</f>
        <v>42397</v>
      </c>
      <c r="Y334" s="178">
        <v>4.2624868978338127E-3</v>
      </c>
      <c r="Z334" s="183">
        <v>5.8253442862277183E-3</v>
      </c>
    </row>
    <row r="335" spans="22:26" x14ac:dyDescent="0.2">
      <c r="V335" s="180" t="str">
        <f t="shared" si="12"/>
        <v>1D</v>
      </c>
      <c r="W335" s="177">
        <f>_xll.qlCalendarAdvance(Calendar,W334,V335,"f",FALSE)</f>
        <v>42396</v>
      </c>
      <c r="X335" s="181">
        <f>_xll.qlCalendarAdvance(Calendar,W335,NDays&amp;"D")</f>
        <v>42398</v>
      </c>
      <c r="Y335" s="178">
        <v>4.2629411392324382E-3</v>
      </c>
      <c r="Z335" s="183">
        <v>4.103976824509914E-3</v>
      </c>
    </row>
    <row r="336" spans="22:26" x14ac:dyDescent="0.2">
      <c r="V336" s="180" t="str">
        <f t="shared" si="12"/>
        <v>1D</v>
      </c>
      <c r="W336" s="177">
        <f>_xll.qlCalendarAdvance(Calendar,W335,V336,"f",FALSE)</f>
        <v>42397</v>
      </c>
      <c r="X336" s="181">
        <f>_xll.qlCalendarAdvance(Calendar,W336,NDays&amp;"D")</f>
        <v>42401</v>
      </c>
      <c r="Y336" s="178">
        <v>4.266655652855598E-3</v>
      </c>
      <c r="Z336" s="183">
        <v>2.3131037586132663E-3</v>
      </c>
    </row>
    <row r="337" spans="22:26" x14ac:dyDescent="0.2">
      <c r="V337" s="180" t="str">
        <f t="shared" si="12"/>
        <v>1D</v>
      </c>
      <c r="W337" s="177">
        <f>_xll.qlCalendarAdvance(Calendar,W336,V337,"f",FALSE)</f>
        <v>42398</v>
      </c>
      <c r="X337" s="181">
        <f>_xll.qlCalendarAdvance(Calendar,W337,NDays&amp;"D")</f>
        <v>42402</v>
      </c>
      <c r="Y337" s="178">
        <v>4.2722228489747846E-3</v>
      </c>
      <c r="Z337" s="183">
        <v>1.3829839163470581E-3</v>
      </c>
    </row>
    <row r="338" spans="22:26" x14ac:dyDescent="0.2">
      <c r="V338" s="180" t="str">
        <f t="shared" si="12"/>
        <v>1D</v>
      </c>
      <c r="W338" s="177">
        <f>_xll.qlCalendarAdvance(Calendar,W337,V338,"f",FALSE)</f>
        <v>42401</v>
      </c>
      <c r="X338" s="181">
        <f>_xll.qlCalendarAdvance(Calendar,W338,NDays&amp;"D")</f>
        <v>42403</v>
      </c>
      <c r="Y338" s="178">
        <v>4.2779999999996727E-3</v>
      </c>
      <c r="Z338" s="183">
        <v>8.8173374481748112E-4</v>
      </c>
    </row>
    <row r="339" spans="22:26" x14ac:dyDescent="0.2">
      <c r="V339" s="180" t="str">
        <f t="shared" si="12"/>
        <v>1D</v>
      </c>
      <c r="W339" s="177">
        <f>_xll.qlCalendarAdvance(Calendar,W338,V339,"f",FALSE)</f>
        <v>42402</v>
      </c>
      <c r="X339" s="181">
        <f>_xll.qlCalendarAdvance(Calendar,W339,NDays&amp;"D")</f>
        <v>42404</v>
      </c>
      <c r="Y339" s="178">
        <v>4.2764508405466004E-3</v>
      </c>
      <c r="Z339" s="183">
        <v>8.2394217584713658E-4</v>
      </c>
    </row>
    <row r="340" spans="22:26" x14ac:dyDescent="0.2">
      <c r="V340" s="180" t="str">
        <f t="shared" si="12"/>
        <v>1D</v>
      </c>
      <c r="W340" s="177">
        <f>_xll.qlCalendarAdvance(Calendar,W339,V340,"f",FALSE)</f>
        <v>42403</v>
      </c>
      <c r="X340" s="181">
        <f>_xll.qlCalendarAdvance(Calendar,W340,NDays&amp;"D")</f>
        <v>42405</v>
      </c>
      <c r="Y340" s="178">
        <v>4.2858484119620921E-3</v>
      </c>
      <c r="Z340" s="183">
        <v>7.1189411637639921E-4</v>
      </c>
    </row>
    <row r="341" spans="22:26" x14ac:dyDescent="0.2">
      <c r="V341" s="180" t="str">
        <f t="shared" ref="V341:V404" si="13">V340</f>
        <v>1D</v>
      </c>
      <c r="W341" s="177">
        <f>_xll.qlCalendarAdvance(Calendar,W340,V341,"f",FALSE)</f>
        <v>42404</v>
      </c>
      <c r="X341" s="181">
        <f>_xll.qlCalendarAdvance(Calendar,W341,NDays&amp;"D")</f>
        <v>42408</v>
      </c>
      <c r="Y341" s="178">
        <v>4.3068664836841521E-3</v>
      </c>
      <c r="Z341" s="183">
        <v>6.0337691810907756E-4</v>
      </c>
    </row>
    <row r="342" spans="22:26" x14ac:dyDescent="0.2">
      <c r="V342" s="180" t="str">
        <f t="shared" si="13"/>
        <v>1D</v>
      </c>
      <c r="W342" s="177">
        <f>_xll.qlCalendarAdvance(Calendar,W341,V342,"f",FALSE)</f>
        <v>42405</v>
      </c>
      <c r="X342" s="181">
        <f>_xll.qlCalendarAdvance(Calendar,W342,NDays&amp;"D")</f>
        <v>42409</v>
      </c>
      <c r="Y342" s="178">
        <v>4.3125059806822848E-3</v>
      </c>
      <c r="Z342" s="183">
        <v>5.5088585581231087E-4</v>
      </c>
    </row>
    <row r="343" spans="22:26" x14ac:dyDescent="0.2">
      <c r="V343" s="180" t="str">
        <f t="shared" si="13"/>
        <v>1D</v>
      </c>
      <c r="W343" s="177">
        <f>_xll.qlCalendarAdvance(Calendar,W342,V343,"f",FALSE)</f>
        <v>42408</v>
      </c>
      <c r="X343" s="181">
        <f>_xll.qlCalendarAdvance(Calendar,W343,NDays&amp;"D")</f>
        <v>42410</v>
      </c>
      <c r="Y343" s="178">
        <v>4.3181003582244857E-3</v>
      </c>
      <c r="Z343" s="183">
        <v>4.9945489344338512E-4</v>
      </c>
    </row>
    <row r="344" spans="22:26" x14ac:dyDescent="0.2">
      <c r="V344" s="180" t="str">
        <f t="shared" si="13"/>
        <v>1D</v>
      </c>
      <c r="W344" s="177">
        <f>_xll.qlCalendarAdvance(Calendar,W343,V344,"f",FALSE)</f>
        <v>42409</v>
      </c>
      <c r="X344" s="181">
        <f>_xll.qlCalendarAdvance(Calendar,W344,NDays&amp;"D")</f>
        <v>42411</v>
      </c>
      <c r="Y344" s="178">
        <v>4.3133697254981564E-3</v>
      </c>
      <c r="Z344" s="183">
        <v>4.4908403044274792E-4</v>
      </c>
    </row>
    <row r="345" spans="22:26" x14ac:dyDescent="0.2">
      <c r="V345" s="180" t="str">
        <f t="shared" si="13"/>
        <v>1D</v>
      </c>
      <c r="W345" s="177">
        <f>_xll.qlCalendarAdvance(Calendar,W344,V345,"f",FALSE)</f>
        <v>42410</v>
      </c>
      <c r="X345" s="181">
        <f>_xll.qlCalendarAdvance(Calendar,W345,NDays&amp;"D")</f>
        <v>42412</v>
      </c>
      <c r="Y345" s="178">
        <v>4.3238937204471764E-3</v>
      </c>
      <c r="Z345" s="183">
        <v>3.5187630905042511E-4</v>
      </c>
    </row>
    <row r="346" spans="22:26" x14ac:dyDescent="0.2">
      <c r="V346" s="180" t="str">
        <f t="shared" si="13"/>
        <v>1D</v>
      </c>
      <c r="W346" s="177">
        <f>_xll.qlCalendarAdvance(Calendar,W345,V346,"f",FALSE)</f>
        <v>42411</v>
      </c>
      <c r="X346" s="181">
        <f>_xll.qlCalendarAdvance(Calendar,W346,NDays&amp;"D")</f>
        <v>42415</v>
      </c>
      <c r="Y346" s="178">
        <v>4.3453876610642945E-3</v>
      </c>
      <c r="Z346" s="183">
        <v>2.5820156444922304E-4</v>
      </c>
    </row>
    <row r="347" spans="22:26" x14ac:dyDescent="0.2">
      <c r="V347" s="180" t="str">
        <f t="shared" si="13"/>
        <v>1D</v>
      </c>
      <c r="W347" s="177">
        <f>_xll.qlCalendarAdvance(Calendar,W346,V347,"f",FALSE)</f>
        <v>42412</v>
      </c>
      <c r="X347" s="181">
        <f>_xll.qlCalendarAdvance(Calendar,W347,NDays&amp;"D")</f>
        <v>42416</v>
      </c>
      <c r="Y347" s="178">
        <v>4.3507066460719271E-3</v>
      </c>
      <c r="Z347" s="183">
        <v>2.1313119229482425E-4</v>
      </c>
    </row>
    <row r="348" spans="22:26" x14ac:dyDescent="0.2">
      <c r="V348" s="180" t="str">
        <f t="shared" si="13"/>
        <v>1D</v>
      </c>
      <c r="W348" s="177">
        <f>_xll.qlCalendarAdvance(Calendar,W347,V348,"f",FALSE)</f>
        <v>42415</v>
      </c>
      <c r="X348" s="181">
        <f>_xll.qlCalendarAdvance(Calendar,W348,NDays&amp;"D")</f>
        <v>42417</v>
      </c>
      <c r="Y348" s="178">
        <v>4.3559789530380174E-3</v>
      </c>
      <c r="Z348" s="183">
        <v>1.6912091703069621E-4</v>
      </c>
    </row>
    <row r="349" spans="22:26" x14ac:dyDescent="0.2">
      <c r="V349" s="180" t="str">
        <f t="shared" si="13"/>
        <v>1D</v>
      </c>
      <c r="W349" s="177">
        <f>_xll.qlCalendarAdvance(Calendar,W348,V349,"f",FALSE)</f>
        <v>42416</v>
      </c>
      <c r="X349" s="181">
        <f>_xll.qlCalendarAdvance(Calendar,W349,NDays&amp;"D")</f>
        <v>42418</v>
      </c>
      <c r="Y349" s="178">
        <v>4.3483297737501279E-3</v>
      </c>
      <c r="Z349" s="183">
        <v>1.2617073825715863E-4</v>
      </c>
    </row>
    <row r="350" spans="22:26" x14ac:dyDescent="0.2">
      <c r="V350" s="180" t="str">
        <f t="shared" si="13"/>
        <v>1D</v>
      </c>
      <c r="W350" s="177">
        <f>_xll.qlCalendarAdvance(Calendar,W349,V350,"f",FALSE)</f>
        <v>42417</v>
      </c>
      <c r="X350" s="181">
        <f>_xll.qlCalendarAdvance(Calendar,W350,NDays&amp;"D")</f>
        <v>42419</v>
      </c>
      <c r="Y350" s="178">
        <v>4.3598327662734797E-3</v>
      </c>
      <c r="Z350" s="183">
        <v>4.3804037943573348E-5</v>
      </c>
    </row>
    <row r="351" spans="22:26" x14ac:dyDescent="0.2">
      <c r="V351" s="180" t="str">
        <f t="shared" si="13"/>
        <v>1D</v>
      </c>
      <c r="W351" s="177">
        <f>_xll.qlCalendarAdvance(Calendar,W350,V351,"f",FALSE)</f>
        <v>42418</v>
      </c>
      <c r="X351" s="181">
        <f>_xll.qlCalendarAdvance(Calendar,W351,NDays&amp;"D")</f>
        <v>42422</v>
      </c>
      <c r="Y351" s="178">
        <v>4.3816325246221928E-3</v>
      </c>
      <c r="Z351" s="183">
        <v>-3.5029018645715837E-5</v>
      </c>
    </row>
    <row r="352" spans="22:26" x14ac:dyDescent="0.2">
      <c r="V352" s="180" t="str">
        <f t="shared" si="13"/>
        <v>1D</v>
      </c>
      <c r="W352" s="177">
        <f>_xll.qlCalendarAdvance(Calendar,W351,V352,"f",FALSE)</f>
        <v>42419</v>
      </c>
      <c r="X352" s="181">
        <f>_xll.qlCalendarAdvance(Calendar,W352,NDays&amp;"D")</f>
        <v>42423</v>
      </c>
      <c r="Y352" s="178">
        <v>4.3866200877947124E-3</v>
      </c>
      <c r="Z352" s="183">
        <v>-7.2678720162144828E-5</v>
      </c>
    </row>
    <row r="353" spans="22:26" x14ac:dyDescent="0.2">
      <c r="V353" s="180" t="str">
        <f t="shared" si="13"/>
        <v>1D</v>
      </c>
      <c r="W353" s="177">
        <f>_xll.qlCalendarAdvance(Calendar,W352,V353,"f",FALSE)</f>
        <v>42422</v>
      </c>
      <c r="X353" s="181">
        <f>_xll.qlCalendarAdvance(Calendar,W353,NDays&amp;"D")</f>
        <v>42424</v>
      </c>
      <c r="Y353" s="178">
        <v>4.3915594144313735E-3</v>
      </c>
      <c r="Z353" s="183">
        <v>-1.0926832734625691E-4</v>
      </c>
    </row>
    <row r="354" spans="22:26" x14ac:dyDescent="0.2">
      <c r="V354" s="180" t="str">
        <f t="shared" si="13"/>
        <v>1D</v>
      </c>
      <c r="W354" s="177">
        <f>_xll.qlCalendarAdvance(Calendar,W353,V354,"f",FALSE)</f>
        <v>42423</v>
      </c>
      <c r="X354" s="181">
        <f>_xll.qlCalendarAdvance(Calendar,W354,NDays&amp;"D")</f>
        <v>42425</v>
      </c>
      <c r="Y354" s="178">
        <v>4.3812550744103786E-3</v>
      </c>
      <c r="Z354" s="183">
        <v>-1.4479784039789223E-4</v>
      </c>
    </row>
    <row r="355" spans="22:26" x14ac:dyDescent="0.2">
      <c r="V355" s="180" t="str">
        <f t="shared" si="13"/>
        <v>1D</v>
      </c>
      <c r="W355" s="177">
        <f>_xll.qlCalendarAdvance(Calendar,W354,V355,"f",FALSE)</f>
        <v>42424</v>
      </c>
      <c r="X355" s="181">
        <f>_xll.qlCalendarAdvance(Calendar,W355,NDays&amp;"D")</f>
        <v>42426</v>
      </c>
      <c r="Y355" s="178">
        <v>4.3935894108334305E-3</v>
      </c>
      <c r="Z355" s="183">
        <v>-2.1232309695751184E-4</v>
      </c>
    </row>
    <row r="356" spans="22:26" x14ac:dyDescent="0.2">
      <c r="V356" s="180" t="str">
        <f t="shared" si="13"/>
        <v>1D</v>
      </c>
      <c r="W356" s="177">
        <f>_xll.qlCalendarAdvance(Calendar,W355,V356,"f",FALSE)</f>
        <v>42425</v>
      </c>
      <c r="X356" s="181">
        <f>_xll.qlCalendarAdvance(Calendar,W356,NDays&amp;"D")</f>
        <v>42429</v>
      </c>
      <c r="Y356" s="178">
        <v>4.4235886829286251E-3</v>
      </c>
      <c r="Z356" s="183">
        <v>-2.7631495807423079E-4</v>
      </c>
    </row>
    <row r="357" spans="22:26" x14ac:dyDescent="0.2">
      <c r="V357" s="180" t="str">
        <f t="shared" si="13"/>
        <v>1D</v>
      </c>
      <c r="W357" s="177">
        <f>_xll.qlCalendarAdvance(Calendar,W356,V357,"f",FALSE)</f>
        <v>42426</v>
      </c>
      <c r="X357" s="181">
        <f>_xll.qlCalendarAdvance(Calendar,W357,NDays&amp;"D")</f>
        <v>42430</v>
      </c>
      <c r="Y357" s="178">
        <v>4.4283824617576415E-3</v>
      </c>
      <c r="Z357" s="183">
        <v>-3.0654400529961379E-4</v>
      </c>
    </row>
    <row r="358" spans="22:26" x14ac:dyDescent="0.2">
      <c r="V358" s="180" t="str">
        <f t="shared" si="13"/>
        <v>1D</v>
      </c>
      <c r="W358" s="177">
        <f>_xll.qlCalendarAdvance(Calendar,W357,V358,"f",FALSE)</f>
        <v>42429</v>
      </c>
      <c r="X358" s="181">
        <f>_xll.qlCalendarAdvance(Calendar,W358,NDays&amp;"D")</f>
        <v>42431</v>
      </c>
      <c r="Y358" s="178">
        <v>4.4331236158551262E-3</v>
      </c>
      <c r="Z358" s="183">
        <v>-3.3571296019108132E-4</v>
      </c>
    </row>
    <row r="359" spans="22:26" x14ac:dyDescent="0.2">
      <c r="V359" s="180" t="str">
        <f t="shared" si="13"/>
        <v>1D</v>
      </c>
      <c r="W359" s="177">
        <f>_xll.qlCalendarAdvance(Calendar,W358,V359,"f",FALSE)</f>
        <v>42430</v>
      </c>
      <c r="X359" s="181">
        <f>_xll.qlCalendarAdvance(Calendar,W359,NDays&amp;"D")</f>
        <v>42432</v>
      </c>
      <c r="Y359" s="178">
        <v>4.4378119219428075E-3</v>
      </c>
      <c r="Z359" s="183">
        <v>-3.6382182298844157E-4</v>
      </c>
    </row>
    <row r="360" spans="22:26" x14ac:dyDescent="0.2">
      <c r="V360" s="180" t="str">
        <f t="shared" si="13"/>
        <v>1D</v>
      </c>
      <c r="W360" s="177">
        <f>_xll.qlCalendarAdvance(Calendar,W359,V360,"f",FALSE)</f>
        <v>42431</v>
      </c>
      <c r="X360" s="181">
        <f>_xll.qlCalendarAdvance(Calendar,W360,NDays&amp;"D")</f>
        <v>42433</v>
      </c>
      <c r="Y360" s="178">
        <v>4.4250875192888665E-3</v>
      </c>
      <c r="Z360" s="183">
        <v>-4.1650542830673487E-4</v>
      </c>
    </row>
    <row r="361" spans="22:26" x14ac:dyDescent="0.2">
      <c r="V361" s="180" t="str">
        <f t="shared" si="13"/>
        <v>1D</v>
      </c>
      <c r="W361" s="177">
        <f>_xll.qlCalendarAdvance(Calendar,W360,V361,"f",FALSE)</f>
        <v>42432</v>
      </c>
      <c r="X361" s="181">
        <f>_xll.qlCalendarAdvance(Calendar,W361,NDays&amp;"D")</f>
        <v>42436</v>
      </c>
      <c r="Y361" s="178">
        <v>4.45603220075991E-3</v>
      </c>
      <c r="Z361" s="183">
        <v>-4.6565635831274932E-4</v>
      </c>
    </row>
    <row r="362" spans="22:26" x14ac:dyDescent="0.2">
      <c r="V362" s="180" t="str">
        <f t="shared" si="13"/>
        <v>1D</v>
      </c>
      <c r="W362" s="177">
        <f>_xll.qlCalendarAdvance(Calendar,W361,V362,"f",FALSE)</f>
        <v>42433</v>
      </c>
      <c r="X362" s="181">
        <f>_xll.qlCalendarAdvance(Calendar,W362,NDays&amp;"D")</f>
        <v>42437</v>
      </c>
      <c r="Y362" s="178">
        <v>4.4604529177626733E-3</v>
      </c>
      <c r="Z362" s="183">
        <v>-4.8846476431663177E-4</v>
      </c>
    </row>
    <row r="363" spans="22:26" x14ac:dyDescent="0.2">
      <c r="V363" s="180" t="str">
        <f t="shared" si="13"/>
        <v>1D</v>
      </c>
      <c r="W363" s="177">
        <f>_xll.qlCalendarAdvance(Calendar,W362,V363,"f",FALSE)</f>
        <v>42436</v>
      </c>
      <c r="X363" s="181">
        <f>_xll.qlCalendarAdvance(Calendar,W363,NDays&amp;"D")</f>
        <v>42438</v>
      </c>
      <c r="Y363" s="178">
        <v>4.4648194471735986E-3</v>
      </c>
      <c r="Z363" s="183">
        <v>-5.1021307950538386E-4</v>
      </c>
    </row>
    <row r="364" spans="22:26" x14ac:dyDescent="0.2">
      <c r="V364" s="180" t="str">
        <f t="shared" si="13"/>
        <v>1D</v>
      </c>
      <c r="W364" s="177">
        <f>_xll.qlCalendarAdvance(Calendar,W363,V364,"f",FALSE)</f>
        <v>42437</v>
      </c>
      <c r="X364" s="181">
        <f>_xll.qlCalendarAdvance(Calendar,W364,NDays&amp;"D")</f>
        <v>42439</v>
      </c>
      <c r="Y364" s="178">
        <v>4.4691315657459495E-3</v>
      </c>
      <c r="Z364" s="183">
        <v>-5.3090130427868587E-4</v>
      </c>
    </row>
    <row r="365" spans="22:26" x14ac:dyDescent="0.2">
      <c r="V365" s="180" t="str">
        <f t="shared" si="13"/>
        <v>1D</v>
      </c>
      <c r="W365" s="177">
        <f>_xll.qlCalendarAdvance(Calendar,W364,V365,"f",FALSE)</f>
        <v>42438</v>
      </c>
      <c r="X365" s="181">
        <f>_xll.qlCalendarAdvance(Calendar,W365,NDays&amp;"D")</f>
        <v>42440</v>
      </c>
      <c r="Y365" s="178">
        <v>4.454250962284109E-3</v>
      </c>
      <c r="Z365" s="183">
        <v>-5.6874322123867671E-4</v>
      </c>
    </row>
    <row r="366" spans="22:26" x14ac:dyDescent="0.2">
      <c r="V366" s="180" t="str">
        <f t="shared" si="13"/>
        <v>1D</v>
      </c>
      <c r="W366" s="177">
        <f>_xll.qlCalendarAdvance(Calendar,W365,V366,"f",FALSE)</f>
        <v>42439</v>
      </c>
      <c r="X366" s="181">
        <f>_xll.qlCalendarAdvance(Calendar,W366,NDays&amp;"D")</f>
        <v>42443</v>
      </c>
      <c r="Y366" s="178">
        <v>4.4858314668898679E-3</v>
      </c>
      <c r="Z366" s="183">
        <v>-6.0305330125576262E-4</v>
      </c>
    </row>
    <row r="367" spans="22:26" x14ac:dyDescent="0.2">
      <c r="V367" s="180" t="str">
        <f t="shared" si="13"/>
        <v>1D</v>
      </c>
      <c r="W367" s="177">
        <f>_xll.qlCalendarAdvance(Calendar,W366,V367,"f",FALSE)</f>
        <v>42440</v>
      </c>
      <c r="X367" s="181">
        <f>_xll.qlCalendarAdvance(Calendar,W367,NDays&amp;"D")</f>
        <v>42444</v>
      </c>
      <c r="Y367" s="178">
        <v>4.4898681827461344E-3</v>
      </c>
      <c r="Z367" s="183">
        <v>-6.1844107591024766E-4</v>
      </c>
    </row>
    <row r="368" spans="22:26" x14ac:dyDescent="0.2">
      <c r="V368" s="180" t="str">
        <f t="shared" si="13"/>
        <v>1D</v>
      </c>
      <c r="W368" s="177">
        <f>_xll.qlCalendarAdvance(Calendar,W367,V368,"f",FALSE)</f>
        <v>42443</v>
      </c>
      <c r="X368" s="181">
        <f>_xll.qlCalendarAdvance(Calendar,W368,NDays&amp;"D")</f>
        <v>42445</v>
      </c>
      <c r="Y368" s="178">
        <v>4.4938491483926925E-3</v>
      </c>
      <c r="Z368" s="183">
        <v>-6.3276876094864321E-4</v>
      </c>
    </row>
    <row r="369" spans="22:26" x14ac:dyDescent="0.2">
      <c r="V369" s="180" t="str">
        <f t="shared" si="13"/>
        <v>1D</v>
      </c>
      <c r="W369" s="177">
        <f>_xll.qlCalendarAdvance(Calendar,W368,V369,"f",FALSE)</f>
        <v>42444</v>
      </c>
      <c r="X369" s="181">
        <f>_xll.qlCalendarAdvance(Calendar,W369,NDays&amp;"D")</f>
        <v>42446</v>
      </c>
      <c r="Y369" s="178">
        <v>4.4977741406204731E-3</v>
      </c>
      <c r="Z369" s="183">
        <v>-6.4603635649085334E-4</v>
      </c>
    </row>
    <row r="370" spans="22:26" x14ac:dyDescent="0.2">
      <c r="V370" s="180" t="str">
        <f t="shared" si="13"/>
        <v>1D</v>
      </c>
      <c r="W370" s="177">
        <f>_xll.qlCalendarAdvance(Calendar,W369,V370,"f",FALSE)</f>
        <v>42445</v>
      </c>
      <c r="X370" s="181">
        <f>_xll.qlCalendarAdvance(Calendar,W370,NDays&amp;"D")</f>
        <v>42447</v>
      </c>
      <c r="Y370" s="178">
        <v>4.4810036177174006E-3</v>
      </c>
      <c r="Z370" s="183">
        <v>-6.6903667346185358E-4</v>
      </c>
    </row>
    <row r="371" spans="22:26" x14ac:dyDescent="0.2">
      <c r="V371" s="180" t="str">
        <f t="shared" si="13"/>
        <v>1D</v>
      </c>
      <c r="W371" s="177">
        <f>_xll.qlCalendarAdvance(Calendar,W370,V371,"f",FALSE)</f>
        <v>42446</v>
      </c>
      <c r="X371" s="181">
        <f>_xll.qlCalendarAdvance(Calendar,W371,NDays&amp;"D")</f>
        <v>42450</v>
      </c>
      <c r="Y371" s="178">
        <v>4.5129099113773181E-3</v>
      </c>
      <c r="Z371" s="183">
        <v>-6.8850584649560176E-4</v>
      </c>
    </row>
    <row r="372" spans="22:26" x14ac:dyDescent="0.2">
      <c r="V372" s="180" t="str">
        <f t="shared" si="13"/>
        <v>1D</v>
      </c>
      <c r="W372" s="177">
        <f>_xll.qlCalendarAdvance(Calendar,W371,V372,"f",FALSE)</f>
        <v>42447</v>
      </c>
      <c r="X372" s="181">
        <f>_xll.qlCalendarAdvance(Calendar,W372,NDays&amp;"D")</f>
        <v>42451</v>
      </c>
      <c r="Y372" s="178">
        <v>4.5165516885900424E-3</v>
      </c>
      <c r="Z372" s="183">
        <v>-6.9647299639541416E-4</v>
      </c>
    </row>
    <row r="373" spans="22:26" x14ac:dyDescent="0.2">
      <c r="V373" s="180" t="str">
        <f t="shared" si="13"/>
        <v>1D</v>
      </c>
      <c r="W373" s="177">
        <f>_xll.qlCalendarAdvance(Calendar,W372,V373,"f",FALSE)</f>
        <v>42450</v>
      </c>
      <c r="X373" s="181">
        <f>_xll.qlCalendarAdvance(Calendar,W373,NDays&amp;"D")</f>
        <v>42452</v>
      </c>
      <c r="Y373" s="178">
        <v>4.520136153259891E-3</v>
      </c>
      <c r="Z373" s="183">
        <v>-7.033800574385296E-4</v>
      </c>
    </row>
    <row r="374" spans="22:26" x14ac:dyDescent="0.2">
      <c r="V374" s="180" t="str">
        <f t="shared" si="13"/>
        <v>1D</v>
      </c>
      <c r="W374" s="177">
        <f>_xll.qlCalendarAdvance(Calendar,W373,V374,"f",FALSE)</f>
        <v>42451</v>
      </c>
      <c r="X374" s="181">
        <f>_xll.qlCalendarAdvance(Calendar,W374,NDays&amp;"D")</f>
        <v>42453</v>
      </c>
      <c r="Y374" s="178">
        <v>4.5236630822218151E-3</v>
      </c>
      <c r="Z374" s="183">
        <v>-7.1667776549322326E-4</v>
      </c>
    </row>
    <row r="375" spans="22:26" x14ac:dyDescent="0.2">
      <c r="V375" s="180" t="str">
        <f t="shared" si="13"/>
        <v>1D</v>
      </c>
      <c r="W375" s="177">
        <f>_xll.qlCalendarAdvance(Calendar,W374,V375,"f",FALSE)</f>
        <v>42452</v>
      </c>
      <c r="X375" s="181">
        <f>_xll.qlCalendarAdvance(Calendar,W375,NDays&amp;"D")</f>
        <v>42458</v>
      </c>
      <c r="Y375" s="178">
        <v>4.5404268811341259E-3</v>
      </c>
      <c r="Z375" s="183">
        <v>-7.2256055954511567E-4</v>
      </c>
    </row>
    <row r="376" spans="22:26" x14ac:dyDescent="0.2">
      <c r="V376" s="180" t="str">
        <f t="shared" si="13"/>
        <v>1D</v>
      </c>
      <c r="W376" s="177">
        <f>_xll.qlCalendarAdvance(Calendar,W375,V376,"f",FALSE)</f>
        <v>42453</v>
      </c>
      <c r="X376" s="181">
        <f>_xll.qlCalendarAdvance(Calendar,W376,NDays&amp;"D")</f>
        <v>42459</v>
      </c>
      <c r="Y376" s="178">
        <v>4.5436039097815194E-3</v>
      </c>
      <c r="Z376" s="183">
        <v>-7.2204699955058516E-4</v>
      </c>
    </row>
    <row r="377" spans="22:26" x14ac:dyDescent="0.2">
      <c r="V377" s="180" t="str">
        <f t="shared" si="13"/>
        <v>1D</v>
      </c>
      <c r="W377" s="177">
        <f>_xll.qlCalendarAdvance(Calendar,W376,V377,"f",FALSE)</f>
        <v>42458</v>
      </c>
      <c r="X377" s="181">
        <f>_xll.qlCalendarAdvance(Calendar,W377,NDays&amp;"D")</f>
        <v>42460</v>
      </c>
      <c r="Y377" s="178">
        <v>4.5467218407666968E-3</v>
      </c>
      <c r="Z377" s="183">
        <v>-7.2047335089919784E-4</v>
      </c>
    </row>
    <row r="378" spans="22:26" x14ac:dyDescent="0.2">
      <c r="V378" s="180" t="str">
        <f t="shared" si="13"/>
        <v>1D</v>
      </c>
      <c r="W378" s="177">
        <f>_xll.qlCalendarAdvance(Calendar,W377,V378,"f",FALSE)</f>
        <v>42459</v>
      </c>
      <c r="X378" s="181">
        <f>_xll.qlCalendarAdvance(Calendar,W378,NDays&amp;"D")</f>
        <v>42461</v>
      </c>
      <c r="Y378" s="178">
        <v>4.5269721248062892E-3</v>
      </c>
      <c r="Z378" s="183">
        <v>-7.1379100927249084E-4</v>
      </c>
    </row>
    <row r="379" spans="22:26" x14ac:dyDescent="0.2">
      <c r="V379" s="180" t="str">
        <f t="shared" si="13"/>
        <v>1D</v>
      </c>
      <c r="W379" s="177">
        <f>_xll.qlCalendarAdvance(Calendar,W378,V379,"f",FALSE)</f>
        <v>42460</v>
      </c>
      <c r="X379" s="181">
        <f>_xll.qlCalendarAdvance(Calendar,W379,NDays&amp;"D")</f>
        <v>42464</v>
      </c>
      <c r="Y379" s="178">
        <v>4.5585981260757476E-3</v>
      </c>
      <c r="Z379" s="183">
        <v>-7.0357786908559206E-4</v>
      </c>
    </row>
    <row r="380" spans="22:26" x14ac:dyDescent="0.2">
      <c r="V380" s="180" t="str">
        <f t="shared" si="13"/>
        <v>1D</v>
      </c>
      <c r="W380" s="177">
        <f>_xll.qlCalendarAdvance(Calendar,W379,V380,"f",FALSE)</f>
        <v>42461</v>
      </c>
      <c r="X380" s="181">
        <f>_xll.qlCalendarAdvance(Calendar,W380,NDays&amp;"D")</f>
        <v>42465</v>
      </c>
      <c r="Y380" s="178">
        <v>4.5614172223126361E-3</v>
      </c>
      <c r="Z380" s="183">
        <v>-6.9670377671027239E-4</v>
      </c>
    </row>
    <row r="381" spans="22:26" x14ac:dyDescent="0.2">
      <c r="V381" s="180" t="str">
        <f t="shared" si="13"/>
        <v>1D</v>
      </c>
      <c r="W381" s="177">
        <f>_xll.qlCalendarAdvance(Calendar,W380,V381,"f",FALSE)</f>
        <v>42464</v>
      </c>
      <c r="X381" s="181">
        <f>_xll.qlCalendarAdvance(Calendar,W381,NDays&amp;"D")</f>
        <v>42466</v>
      </c>
      <c r="Y381" s="178">
        <v>4.5641758823698466E-3</v>
      </c>
      <c r="Z381" s="183">
        <v>-6.8876959539831972E-4</v>
      </c>
    </row>
    <row r="382" spans="22:26" x14ac:dyDescent="0.2">
      <c r="V382" s="180" t="str">
        <f t="shared" si="13"/>
        <v>1D</v>
      </c>
      <c r="W382" s="177">
        <f>_xll.qlCalendarAdvance(Calendar,W381,V382,"f",FALSE)</f>
        <v>42465</v>
      </c>
      <c r="X382" s="181">
        <f>_xll.qlCalendarAdvance(Calendar,W382,NDays&amp;"D")</f>
        <v>42467</v>
      </c>
      <c r="Y382" s="178">
        <v>4.5668738831900826E-3</v>
      </c>
      <c r="Z382" s="183">
        <v>-6.7977532518970207E-4</v>
      </c>
    </row>
    <row r="383" spans="22:26" x14ac:dyDescent="0.2">
      <c r="V383" s="180" t="str">
        <f t="shared" si="13"/>
        <v>1D</v>
      </c>
      <c r="W383" s="177">
        <f>_xll.qlCalendarAdvance(Calendar,W382,V383,"f",FALSE)</f>
        <v>42466</v>
      </c>
      <c r="X383" s="181">
        <f>_xll.qlCalendarAdvance(Calendar,W383,NDays&amp;"D")</f>
        <v>42468</v>
      </c>
      <c r="Y383" s="178">
        <v>4.5460357852975817E-3</v>
      </c>
      <c r="Z383" s="183">
        <v>-6.582519509867879E-4</v>
      </c>
    </row>
    <row r="384" spans="22:26" x14ac:dyDescent="0.2">
      <c r="V384" s="180" t="str">
        <f t="shared" si="13"/>
        <v>1D</v>
      </c>
      <c r="W384" s="177">
        <f>_xll.qlCalendarAdvance(Calendar,W383,V384,"f",FALSE)</f>
        <v>42467</v>
      </c>
      <c r="X384" s="181">
        <f>_xll.qlCalendarAdvance(Calendar,W384,NDays&amp;"D")</f>
        <v>42471</v>
      </c>
      <c r="Y384" s="178">
        <v>4.5770548332647433E-3</v>
      </c>
      <c r="Z384" s="183">
        <v>-6.3319735295053192E-4</v>
      </c>
    </row>
    <row r="385" spans="22:26" x14ac:dyDescent="0.2">
      <c r="V385" s="180" t="str">
        <f t="shared" si="13"/>
        <v>1D</v>
      </c>
      <c r="W385" s="177">
        <f>_xll.qlCalendarAdvance(Calendar,W384,V385,"f",FALSE)</f>
        <v>42468</v>
      </c>
      <c r="X385" s="181">
        <f>_xll.qlCalendarAdvance(Calendar,W385,NDays&amp;"D")</f>
        <v>42472</v>
      </c>
      <c r="Y385" s="178">
        <v>4.5794461923518229E-3</v>
      </c>
      <c r="Z385" s="183">
        <v>-6.1890263661990019E-4</v>
      </c>
    </row>
    <row r="386" spans="22:26" x14ac:dyDescent="0.2">
      <c r="V386" s="180" t="str">
        <f t="shared" si="13"/>
        <v>1D</v>
      </c>
      <c r="W386" s="177">
        <f>_xll.qlCalendarAdvance(Calendar,W385,V386,"f",FALSE)</f>
        <v>42471</v>
      </c>
      <c r="X386" s="181">
        <f>_xll.qlCalendarAdvance(Calendar,W386,NDays&amp;"D")</f>
        <v>42473</v>
      </c>
      <c r="Y386" s="178">
        <v>4.5817755540462574E-3</v>
      </c>
      <c r="Z386" s="183">
        <v>-6.0354783063321094E-4</v>
      </c>
    </row>
    <row r="387" spans="22:26" x14ac:dyDescent="0.2">
      <c r="V387" s="180" t="str">
        <f t="shared" si="13"/>
        <v>1D</v>
      </c>
      <c r="W387" s="177">
        <f>_xll.qlCalendarAdvance(Calendar,W386,V387,"f",FALSE)</f>
        <v>42472</v>
      </c>
      <c r="X387" s="181">
        <f>_xll.qlCalendarAdvance(Calendar,W387,NDays&amp;"D")</f>
        <v>42474</v>
      </c>
      <c r="Y387" s="178">
        <v>4.5366043748403893E-3</v>
      </c>
      <c r="Z387" s="183">
        <v>-5.8713293495049612E-4</v>
      </c>
    </row>
    <row r="388" spans="22:26" x14ac:dyDescent="0.2">
      <c r="V388" s="180" t="str">
        <f t="shared" si="13"/>
        <v>1D</v>
      </c>
      <c r="W388" s="177">
        <f>_xll.qlCalendarAdvance(Calendar,W387,V388,"f",FALSE)</f>
        <v>42473</v>
      </c>
      <c r="X388" s="181">
        <f>_xll.qlCalendarAdvance(Calendar,W388,NDays&amp;"D")</f>
        <v>42475</v>
      </c>
      <c r="Y388" s="178">
        <v>4.5505349956321932E-3</v>
      </c>
      <c r="Z388" s="183">
        <v>-5.5076866820602532E-4</v>
      </c>
    </row>
    <row r="389" spans="22:26" x14ac:dyDescent="0.2">
      <c r="V389" s="180" t="str">
        <f t="shared" si="13"/>
        <v>1D</v>
      </c>
      <c r="W389" s="177">
        <f>_xll.qlCalendarAdvance(Calendar,W388,V389,"f",FALSE)</f>
        <v>42474</v>
      </c>
      <c r="X389" s="181">
        <f>_xll.qlCalendarAdvance(Calendar,W389,NDays&amp;"D")</f>
        <v>42478</v>
      </c>
      <c r="Y389" s="178">
        <v>4.5924845972018548E-3</v>
      </c>
      <c r="Z389" s="183">
        <v>-5.1087245214187504E-4</v>
      </c>
    </row>
    <row r="390" spans="22:26" x14ac:dyDescent="0.2">
      <c r="V390" s="180" t="str">
        <f t="shared" si="13"/>
        <v>1D</v>
      </c>
      <c r="W390" s="177">
        <f>_xll.qlCalendarAdvance(Calendar,W389,V390,"f",FALSE)</f>
        <v>42475</v>
      </c>
      <c r="X390" s="181">
        <f>_xll.qlCalendarAdvance(Calendar,W390,NDays&amp;"D")</f>
        <v>42479</v>
      </c>
      <c r="Y390" s="178">
        <v>4.5944372920223792E-3</v>
      </c>
      <c r="Z390" s="183">
        <v>-4.8915710554098268E-4</v>
      </c>
    </row>
    <row r="391" spans="22:26" x14ac:dyDescent="0.2">
      <c r="V391" s="180" t="str">
        <f t="shared" si="13"/>
        <v>1D</v>
      </c>
      <c r="W391" s="177">
        <f>_xll.qlCalendarAdvance(Calendar,W390,V391,"f",FALSE)</f>
        <v>42478</v>
      </c>
      <c r="X391" s="181">
        <f>_xll.qlCalendarAdvance(Calendar,W391,NDays&amp;"D")</f>
        <v>42480</v>
      </c>
      <c r="Y391" s="178">
        <v>4.5963264287042062E-3</v>
      </c>
      <c r="Z391" s="183">
        <v>-4.6638166824486404E-4</v>
      </c>
    </row>
    <row r="392" spans="22:26" x14ac:dyDescent="0.2">
      <c r="V392" s="180" t="str">
        <f t="shared" si="13"/>
        <v>1D</v>
      </c>
      <c r="W392" s="177">
        <f>_xll.qlCalendarAdvance(Calendar,W391,V392,"f",FALSE)</f>
        <v>42479</v>
      </c>
      <c r="X392" s="181">
        <f>_xll.qlCalendarAdvance(Calendar,W392,NDays&amp;"D")</f>
        <v>42481</v>
      </c>
      <c r="Y392" s="178">
        <v>4.5981517843245055E-3</v>
      </c>
      <c r="Z392" s="183">
        <v>-4.4254614005367898E-4</v>
      </c>
    </row>
    <row r="393" spans="22:26" x14ac:dyDescent="0.2">
      <c r="V393" s="180" t="str">
        <f t="shared" si="13"/>
        <v>1D</v>
      </c>
      <c r="W393" s="177">
        <f>_xll.qlCalendarAdvance(Calendar,W392,V393,"f",FALSE)</f>
        <v>42480</v>
      </c>
      <c r="X393" s="181">
        <f>_xll.qlCalendarAdvance(Calendar,W393,NDays&amp;"D")</f>
        <v>42482</v>
      </c>
      <c r="Y393" s="178">
        <v>4.5759415512695353E-3</v>
      </c>
      <c r="Z393" s="183">
        <v>-3.9134102138849158E-4</v>
      </c>
    </row>
    <row r="394" spans="22:26" x14ac:dyDescent="0.2">
      <c r="V394" s="180" t="str">
        <f t="shared" si="13"/>
        <v>1D</v>
      </c>
      <c r="W394" s="177">
        <f>_xll.qlCalendarAdvance(Calendar,W393,V394,"f",FALSE)</f>
        <v>42481</v>
      </c>
      <c r="X394" s="181">
        <f>_xll.qlCalendarAdvance(Calendar,W394,NDays&amp;"D")</f>
        <v>42485</v>
      </c>
      <c r="Y394" s="178">
        <v>4.6048109381080782E-3</v>
      </c>
      <c r="Z394" s="183">
        <v>-3.3660311362204709E-4</v>
      </c>
    </row>
    <row r="395" spans="22:26" x14ac:dyDescent="0.2">
      <c r="V395" s="180" t="str">
        <f t="shared" si="13"/>
        <v>1D</v>
      </c>
      <c r="W395" s="177">
        <f>_xll.qlCalendarAdvance(Calendar,W394,V395,"f",FALSE)</f>
        <v>42482</v>
      </c>
      <c r="X395" s="181">
        <f>_xll.qlCalendarAdvance(Calendar,W395,NDays&amp;"D")</f>
        <v>42486</v>
      </c>
      <c r="Y395" s="178">
        <v>4.606314044955177E-3</v>
      </c>
      <c r="Z395" s="183">
        <v>-3.074671274783114E-4</v>
      </c>
    </row>
    <row r="396" spans="22:26" x14ac:dyDescent="0.2">
      <c r="V396" s="180" t="str">
        <f t="shared" si="13"/>
        <v>1D</v>
      </c>
      <c r="W396" s="177">
        <f>_xll.qlCalendarAdvance(Calendar,W395,V396,"f",FALSE)</f>
        <v>42485</v>
      </c>
      <c r="X396" s="181">
        <f>_xll.qlCalendarAdvance(Calendar,W396,NDays&amp;"D")</f>
        <v>42487</v>
      </c>
      <c r="Y396" s="178">
        <v>4.6077520334321829E-3</v>
      </c>
      <c r="Z396" s="183">
        <v>-2.7727104896069221E-4</v>
      </c>
    </row>
    <row r="397" spans="22:26" x14ac:dyDescent="0.2">
      <c r="V397" s="180" t="str">
        <f t="shared" si="13"/>
        <v>1D</v>
      </c>
      <c r="W397" s="177">
        <f>_xll.qlCalendarAdvance(Calendar,W396,V397,"f",FALSE)</f>
        <v>42486</v>
      </c>
      <c r="X397" s="181">
        <f>_xll.qlCalendarAdvance(Calendar,W397,NDays&amp;"D")</f>
        <v>42488</v>
      </c>
      <c r="Y397" s="178">
        <v>4.6091246806935719E-3</v>
      </c>
      <c r="Z397" s="183">
        <v>-2.4601487790931742E-4</v>
      </c>
    </row>
    <row r="398" spans="22:26" x14ac:dyDescent="0.2">
      <c r="V398" s="180" t="str">
        <f t="shared" si="13"/>
        <v>1D</v>
      </c>
      <c r="W398" s="177">
        <f>_xll.qlCalendarAdvance(Calendar,W397,V398,"f",FALSE)</f>
        <v>42487</v>
      </c>
      <c r="X398" s="181">
        <f>_xll.qlCalendarAdvance(Calendar,W398,NDays&amp;"D")</f>
        <v>42489</v>
      </c>
      <c r="Y398" s="178">
        <v>4.6224661350604771E-3</v>
      </c>
      <c r="Z398" s="183">
        <v>-1.799688034731517E-4</v>
      </c>
    </row>
    <row r="399" spans="22:26" x14ac:dyDescent="0.2">
      <c r="V399" s="180" t="str">
        <f t="shared" si="13"/>
        <v>1D</v>
      </c>
      <c r="W399" s="177">
        <f>_xll.qlCalendarAdvance(Calendar,W398,V399,"f",FALSE)</f>
        <v>42488</v>
      </c>
      <c r="X399" s="181">
        <f>_xll.qlCalendarAdvance(Calendar,W399,NDays&amp;"D")</f>
        <v>42492</v>
      </c>
      <c r="Y399" s="178">
        <v>4.6139574010921188E-3</v>
      </c>
      <c r="Z399" s="183">
        <v>-1.1038926201134558E-4</v>
      </c>
    </row>
    <row r="400" spans="22:26" x14ac:dyDescent="0.2">
      <c r="V400" s="180" t="str">
        <f t="shared" si="13"/>
        <v>1D</v>
      </c>
      <c r="W400" s="177">
        <f>_xll.qlCalendarAdvance(Calendar,W399,V400,"f",FALSE)</f>
        <v>42489</v>
      </c>
      <c r="X400" s="181">
        <f>_xll.qlCalendarAdvance(Calendar,W400,NDays&amp;"D")</f>
        <v>42493</v>
      </c>
      <c r="Y400" s="178">
        <v>4.6150000000108795E-3</v>
      </c>
      <c r="Z400" s="183">
        <v>-7.3832623654901397E-5</v>
      </c>
    </row>
    <row r="401" spans="22:26" x14ac:dyDescent="0.2">
      <c r="V401" s="180" t="str">
        <f t="shared" si="13"/>
        <v>1D</v>
      </c>
      <c r="W401" s="177">
        <f>_xll.qlCalendarAdvance(Calendar,W400,V401,"f",FALSE)</f>
        <v>42492</v>
      </c>
      <c r="X401" s="181">
        <f>_xll.qlCalendarAdvance(Calendar,W401,NDays&amp;"D")</f>
        <v>42494</v>
      </c>
      <c r="Y401" s="178">
        <v>4.6161918311997978E-3</v>
      </c>
      <c r="Z401" s="183">
        <v>-4.5261269612240085E-5</v>
      </c>
    </row>
    <row r="402" spans="22:26" x14ac:dyDescent="0.2">
      <c r="V402" s="180" t="str">
        <f t="shared" si="13"/>
        <v>1D</v>
      </c>
      <c r="W402" s="177">
        <f>_xll.qlCalendarAdvance(Calendar,W401,V402,"f",FALSE)</f>
        <v>42493</v>
      </c>
      <c r="X402" s="181">
        <f>_xll.qlCalendarAdvance(Calendar,W402,NDays&amp;"D")</f>
        <v>42495</v>
      </c>
      <c r="Y402" s="178">
        <v>4.6177695463534979E-3</v>
      </c>
      <c r="Z402" s="183">
        <v>-2.5666397487356107E-5</v>
      </c>
    </row>
    <row r="403" spans="22:26" x14ac:dyDescent="0.2">
      <c r="V403" s="180" t="str">
        <f t="shared" si="13"/>
        <v>1D</v>
      </c>
      <c r="W403" s="177">
        <f>_xll.qlCalendarAdvance(Calendar,W402,V403,"f",FALSE)</f>
        <v>42494</v>
      </c>
      <c r="X403" s="181">
        <f>_xll.qlCalendarAdvance(Calendar,W403,NDays&amp;"D")</f>
        <v>42496</v>
      </c>
      <c r="Y403" s="178">
        <v>4.5997505971644738E-3</v>
      </c>
      <c r="Z403" s="183">
        <v>1.2101008088905019E-5</v>
      </c>
    </row>
    <row r="404" spans="22:26" x14ac:dyDescent="0.2">
      <c r="V404" s="180" t="str">
        <f t="shared" si="13"/>
        <v>1D</v>
      </c>
      <c r="W404" s="177">
        <f>_xll.qlCalendarAdvance(Calendar,W403,V404,"f",FALSE)</f>
        <v>42495</v>
      </c>
      <c r="X404" s="181">
        <f>_xll.qlCalendarAdvance(Calendar,W404,NDays&amp;"D")</f>
        <v>42499</v>
      </c>
      <c r="Y404" s="178">
        <v>4.628133983392302E-3</v>
      </c>
      <c r="Z404" s="183">
        <v>4.8446074272234796E-5</v>
      </c>
    </row>
    <row r="405" spans="22:26" x14ac:dyDescent="0.2">
      <c r="V405" s="180" t="str">
        <f t="shared" ref="V405:V468" si="14">V404</f>
        <v>1D</v>
      </c>
      <c r="W405" s="177">
        <f>_xll.qlCalendarAdvance(Calendar,W404,V405,"f",FALSE)</f>
        <v>42496</v>
      </c>
      <c r="X405" s="181">
        <f>_xll.qlCalendarAdvance(Calendar,W405,NDays&amp;"D")</f>
        <v>42500</v>
      </c>
      <c r="Y405" s="178">
        <v>4.6317283409731888E-3</v>
      </c>
      <c r="Z405" s="183">
        <v>6.5907437587497952E-5</v>
      </c>
    </row>
    <row r="406" spans="22:26" x14ac:dyDescent="0.2">
      <c r="V406" s="180" t="str">
        <f t="shared" si="14"/>
        <v>1D</v>
      </c>
      <c r="W406" s="177">
        <f>_xll.qlCalendarAdvance(Calendar,W405,V406,"f",FALSE)</f>
        <v>42499</v>
      </c>
      <c r="X406" s="181">
        <f>_xll.qlCalendarAdvance(Calendar,W406,NDays&amp;"D")</f>
        <v>42501</v>
      </c>
      <c r="Y406" s="178">
        <v>4.6357199411950489E-3</v>
      </c>
      <c r="Z406" s="183">
        <v>8.2942099028926464E-5</v>
      </c>
    </row>
    <row r="407" spans="22:26" x14ac:dyDescent="0.2">
      <c r="V407" s="180" t="str">
        <f t="shared" si="14"/>
        <v>1D</v>
      </c>
      <c r="W407" s="177">
        <f>_xll.qlCalendarAdvance(Calendar,W406,V407,"f",FALSE)</f>
        <v>42500</v>
      </c>
      <c r="X407" s="181">
        <f>_xll.qlCalendarAdvance(Calendar,W407,NDays&amp;"D")</f>
        <v>42502</v>
      </c>
      <c r="Y407" s="178">
        <v>4.6401067565040865E-3</v>
      </c>
      <c r="Z407" s="183">
        <v>9.9550058356712157E-5</v>
      </c>
    </row>
    <row r="408" spans="22:26" x14ac:dyDescent="0.2">
      <c r="V408" s="180" t="str">
        <f t="shared" si="14"/>
        <v>1D</v>
      </c>
      <c r="W408" s="177">
        <f>_xll.qlCalendarAdvance(Calendar,W407,V408,"f",FALSE)</f>
        <v>42501</v>
      </c>
      <c r="X408" s="181">
        <f>_xll.qlCalendarAdvance(Calendar,W408,NDays&amp;"D")</f>
        <v>42503</v>
      </c>
      <c r="Y408" s="178">
        <v>4.6309238035545496E-3</v>
      </c>
      <c r="Z408" s="183">
        <v>1.3134368451517275E-4</v>
      </c>
    </row>
    <row r="409" spans="22:26" x14ac:dyDescent="0.2">
      <c r="V409" s="180" t="str">
        <f t="shared" si="14"/>
        <v>1D</v>
      </c>
      <c r="W409" s="177">
        <f>_xll.qlCalendarAdvance(Calendar,W408,V409,"f",FALSE)</f>
        <v>42502</v>
      </c>
      <c r="X409" s="181">
        <f>_xll.qlCalendarAdvance(Calendar,W409,NDays&amp;"D")</f>
        <v>42506</v>
      </c>
      <c r="Y409" s="178">
        <v>4.6615656327202134E-3</v>
      </c>
      <c r="Z409" s="183">
        <v>1.617148746113628E-4</v>
      </c>
    </row>
    <row r="410" spans="22:26" x14ac:dyDescent="0.2">
      <c r="V410" s="180" t="str">
        <f t="shared" si="14"/>
        <v>1D</v>
      </c>
      <c r="W410" s="177">
        <f>_xll.qlCalendarAdvance(Calendar,W409,V410,"f",FALSE)</f>
        <v>42503</v>
      </c>
      <c r="X410" s="181">
        <f>_xll.qlCalendarAdvance(Calendar,W410,NDays&amp;"D")</f>
        <v>42507</v>
      </c>
      <c r="Y410" s="178">
        <v>4.6678981252277849E-3</v>
      </c>
      <c r="Z410" s="183">
        <v>1.7618932305119017E-4</v>
      </c>
    </row>
    <row r="411" spans="22:26" x14ac:dyDescent="0.2">
      <c r="V411" s="180" t="str">
        <f t="shared" si="14"/>
        <v>1D</v>
      </c>
      <c r="W411" s="177">
        <f>_xll.qlCalendarAdvance(Calendar,W410,V411,"f",FALSE)</f>
        <v>42506</v>
      </c>
      <c r="X411" s="181">
        <f>_xll.qlCalendarAdvance(Calendar,W411,NDays&amp;"D")</f>
        <v>42508</v>
      </c>
      <c r="Y411" s="178">
        <v>4.674613676428724E-3</v>
      </c>
      <c r="Z411" s="183">
        <v>1.9023706913756655E-4</v>
      </c>
    </row>
    <row r="412" spans="22:26" x14ac:dyDescent="0.2">
      <c r="V412" s="180" t="str">
        <f t="shared" si="14"/>
        <v>1D</v>
      </c>
      <c r="W412" s="177">
        <f>_xll.qlCalendarAdvance(Calendar,W411,V412,"f",FALSE)</f>
        <v>42507</v>
      </c>
      <c r="X412" s="181">
        <f>_xll.qlCalendarAdvance(Calendar,W412,NDays&amp;"D")</f>
        <v>42509</v>
      </c>
      <c r="Y412" s="178">
        <v>4.6817102616705849E-3</v>
      </c>
      <c r="Z412" s="183">
        <v>2.0385811287049194E-4</v>
      </c>
    </row>
    <row r="413" spans="22:26" x14ac:dyDescent="0.2">
      <c r="V413" s="180" t="str">
        <f t="shared" si="14"/>
        <v>1D</v>
      </c>
      <c r="W413" s="177">
        <f>_xll.qlCalendarAdvance(Calendar,W412,V413,"f",FALSE)</f>
        <v>42508</v>
      </c>
      <c r="X413" s="181">
        <f>_xll.qlCalendarAdvance(Calendar,W413,NDays&amp;"D")</f>
        <v>42510</v>
      </c>
      <c r="Y413" s="178">
        <v>4.6808476499797143E-3</v>
      </c>
      <c r="Z413" s="183">
        <v>2.2967800509476888E-4</v>
      </c>
    </row>
    <row r="414" spans="22:26" x14ac:dyDescent="0.2">
      <c r="V414" s="180" t="str">
        <f t="shared" si="14"/>
        <v>1D</v>
      </c>
      <c r="W414" s="177">
        <f>_xll.qlCalendarAdvance(Calendar,W413,V414,"f",FALSE)</f>
        <v>42509</v>
      </c>
      <c r="X414" s="181">
        <f>_xll.qlCalendarAdvance(Calendar,W414,NDays&amp;"D")</f>
        <v>42513</v>
      </c>
      <c r="Y414" s="178">
        <v>4.7138664632442899E-3</v>
      </c>
      <c r="Z414" s="183">
        <v>2.5407526274889847E-4</v>
      </c>
    </row>
    <row r="415" spans="22:26" x14ac:dyDescent="0.2">
      <c r="V415" s="180" t="str">
        <f t="shared" si="14"/>
        <v>1D</v>
      </c>
      <c r="W415" s="177">
        <f>_xll.qlCalendarAdvance(Calendar,W414,V415,"f",FALSE)</f>
        <v>42510</v>
      </c>
      <c r="X415" s="181">
        <f>_xll.qlCalendarAdvance(Calendar,W415,NDays&amp;"D")</f>
        <v>42514</v>
      </c>
      <c r="Y415" s="178">
        <v>4.7228378620387751E-3</v>
      </c>
      <c r="Z415" s="183">
        <v>2.655627937553362E-4</v>
      </c>
    </row>
    <row r="416" spans="22:26" x14ac:dyDescent="0.2">
      <c r="V416" s="180" t="str">
        <f t="shared" si="14"/>
        <v>1D</v>
      </c>
      <c r="W416" s="177">
        <f>_xll.qlCalendarAdvance(Calendar,W415,V416,"f",FALSE)</f>
        <v>42513</v>
      </c>
      <c r="X416" s="181">
        <f>_xll.qlCalendarAdvance(Calendar,W416,NDays&amp;"D")</f>
        <v>42515</v>
      </c>
      <c r="Y416" s="178">
        <v>4.7321781547314829E-3</v>
      </c>
      <c r="Z416" s="183">
        <v>2.7662362208857871E-4</v>
      </c>
    </row>
    <row r="417" spans="22:26" x14ac:dyDescent="0.2">
      <c r="V417" s="180" t="str">
        <f t="shared" si="14"/>
        <v>1D</v>
      </c>
      <c r="W417" s="177">
        <f>_xll.qlCalendarAdvance(Calendar,W416,V417,"f",FALSE)</f>
        <v>42514</v>
      </c>
      <c r="X417" s="181">
        <f>_xll.qlCalendarAdvance(Calendar,W417,NDays&amp;"D")</f>
        <v>42516</v>
      </c>
      <c r="Y417" s="178">
        <v>4.7418853191880635E-3</v>
      </c>
      <c r="Z417" s="183">
        <v>2.87257747748626E-4</v>
      </c>
    </row>
    <row r="418" spans="22:26" x14ac:dyDescent="0.2">
      <c r="V418" s="180" t="str">
        <f t="shared" si="14"/>
        <v>1D</v>
      </c>
      <c r="W418" s="177">
        <f>_xll.qlCalendarAdvance(Calendar,W417,V418,"f",FALSE)</f>
        <v>42515</v>
      </c>
      <c r="X418" s="181">
        <f>_xll.qlCalendarAdvance(Calendar,W418,NDays&amp;"D")</f>
        <v>42517</v>
      </c>
      <c r="Y418" s="178">
        <v>4.7488315927784793E-3</v>
      </c>
      <c r="Z418" s="183">
        <v>3.0710391840216289E-4</v>
      </c>
    </row>
    <row r="419" spans="22:26" x14ac:dyDescent="0.2">
      <c r="V419" s="180" t="str">
        <f t="shared" si="14"/>
        <v>1D</v>
      </c>
      <c r="W419" s="177">
        <f>_xll.qlCalendarAdvance(Calendar,W418,V419,"f",FALSE)</f>
        <v>42516</v>
      </c>
      <c r="X419" s="181">
        <f>_xll.qlCalendarAdvance(Calendar,W419,NDays&amp;"D")</f>
        <v>42520</v>
      </c>
      <c r="Y419" s="178">
        <v>4.7843422633463677E-3</v>
      </c>
      <c r="Z419" s="183">
        <v>3.2552722261769418E-4</v>
      </c>
    </row>
    <row r="420" spans="22:26" x14ac:dyDescent="0.2">
      <c r="V420" s="180" t="str">
        <f t="shared" si="14"/>
        <v>1D</v>
      </c>
      <c r="W420" s="177">
        <f>_xll.qlCalendarAdvance(Calendar,W419,V420,"f",FALSE)</f>
        <v>42517</v>
      </c>
      <c r="X420" s="181">
        <f>_xll.qlCalendarAdvance(Calendar,W420,NDays&amp;"D")</f>
        <v>42521</v>
      </c>
      <c r="Y420" s="178">
        <v>4.7958534658797906E-3</v>
      </c>
      <c r="Z420" s="183">
        <v>3.3402783411240478E-4</v>
      </c>
    </row>
    <row r="421" spans="22:26" x14ac:dyDescent="0.2">
      <c r="V421" s="180" t="str">
        <f t="shared" si="14"/>
        <v>1D</v>
      </c>
      <c r="W421" s="177">
        <f>_xll.qlCalendarAdvance(Calendar,W420,V421,"f",FALSE)</f>
        <v>42520</v>
      </c>
      <c r="X421" s="181">
        <f>_xll.qlCalendarAdvance(Calendar,W421,NDays&amp;"D")</f>
        <v>42522</v>
      </c>
      <c r="Y421" s="178">
        <v>4.8077194140293284E-3</v>
      </c>
      <c r="Z421" s="183">
        <v>3.4210174285398409E-4</v>
      </c>
    </row>
    <row r="422" spans="22:26" x14ac:dyDescent="0.2">
      <c r="V422" s="180" t="str">
        <f t="shared" si="14"/>
        <v>1D</v>
      </c>
      <c r="W422" s="177">
        <f>_xll.qlCalendarAdvance(Calendar,W421,V422,"f",FALSE)</f>
        <v>42521</v>
      </c>
      <c r="X422" s="181">
        <f>_xll.qlCalendarAdvance(Calendar,W422,NDays&amp;"D")</f>
        <v>42523</v>
      </c>
      <c r="Y422" s="178">
        <v>4.8199380878101456E-3</v>
      </c>
      <c r="Z422" s="183">
        <v>3.4974894860262395E-4</v>
      </c>
    </row>
    <row r="423" spans="22:26" x14ac:dyDescent="0.2">
      <c r="V423" s="180" t="str">
        <f t="shared" si="14"/>
        <v>1D</v>
      </c>
      <c r="W423" s="177">
        <f>_xll.qlCalendarAdvance(Calendar,W422,V423,"f",FALSE)</f>
        <v>42522</v>
      </c>
      <c r="X423" s="181">
        <f>_xll.qlCalendarAdvance(Calendar,W423,NDays&amp;"D")</f>
        <v>42524</v>
      </c>
      <c r="Y423" s="178">
        <v>4.8341859156793912E-3</v>
      </c>
      <c r="Z423" s="183">
        <v>3.6362138404300026E-4</v>
      </c>
    </row>
    <row r="424" spans="22:26" x14ac:dyDescent="0.2">
      <c r="V424" s="180" t="str">
        <f t="shared" si="14"/>
        <v>1D</v>
      </c>
      <c r="W424" s="177">
        <f>_xll.qlCalendarAdvance(Calendar,W423,V424,"f",FALSE)</f>
        <v>42523</v>
      </c>
      <c r="X424" s="181">
        <f>_xll.qlCalendarAdvance(Calendar,W424,NDays&amp;"D")</f>
        <v>42527</v>
      </c>
      <c r="Y424" s="178">
        <v>4.8722996491338986E-3</v>
      </c>
      <c r="Z424" s="183">
        <v>3.7607074166778887E-4</v>
      </c>
    </row>
    <row r="425" spans="22:26" x14ac:dyDescent="0.2">
      <c r="V425" s="180" t="str">
        <f t="shared" si="14"/>
        <v>1D</v>
      </c>
      <c r="W425" s="177">
        <f>_xll.qlCalendarAdvance(Calendar,W424,V425,"f",FALSE)</f>
        <v>42524</v>
      </c>
      <c r="X425" s="181">
        <f>_xll.qlCalendarAdvance(Calendar,W425,NDays&amp;"D")</f>
        <v>42528</v>
      </c>
      <c r="Y425" s="178">
        <v>4.8862516607791878E-3</v>
      </c>
      <c r="Z425" s="183">
        <v>3.815844323717954E-4</v>
      </c>
    </row>
    <row r="426" spans="22:26" x14ac:dyDescent="0.2">
      <c r="V426" s="180" t="str">
        <f t="shared" si="14"/>
        <v>1D</v>
      </c>
      <c r="W426" s="177">
        <f>_xll.qlCalendarAdvance(Calendar,W425,V426,"f",FALSE)</f>
        <v>42527</v>
      </c>
      <c r="X426" s="181">
        <f>_xll.qlCalendarAdvance(Calendar,W426,NDays&amp;"D")</f>
        <v>42529</v>
      </c>
      <c r="Y426" s="178">
        <v>4.9005442837332788E-3</v>
      </c>
      <c r="Z426" s="183">
        <v>3.8667141992299037E-4</v>
      </c>
    </row>
    <row r="427" spans="22:26" x14ac:dyDescent="0.2">
      <c r="V427" s="180" t="str">
        <f t="shared" si="14"/>
        <v>1D</v>
      </c>
      <c r="W427" s="177">
        <f>_xll.qlCalendarAdvance(Calendar,W426,V427,"f",FALSE)</f>
        <v>42528</v>
      </c>
      <c r="X427" s="181">
        <f>_xll.qlCalendarAdvance(Calendar,W427,NDays&amp;"D")</f>
        <v>42530</v>
      </c>
      <c r="Y427" s="178">
        <v>4.9151754998071583E-3</v>
      </c>
      <c r="Z427" s="183">
        <v>3.9133170440130982E-4</v>
      </c>
    </row>
    <row r="428" spans="22:26" x14ac:dyDescent="0.2">
      <c r="V428" s="180" t="str">
        <f t="shared" si="14"/>
        <v>1D</v>
      </c>
      <c r="W428" s="177">
        <f>_xll.qlCalendarAdvance(Calendar,W427,V428,"f",FALSE)</f>
        <v>42529</v>
      </c>
      <c r="X428" s="181">
        <f>_xll.qlCalendarAdvance(Calendar,W428,NDays&amp;"D")</f>
        <v>42531</v>
      </c>
      <c r="Y428" s="178">
        <v>4.9362216055065635E-3</v>
      </c>
      <c r="Z428" s="183">
        <v>3.9923037241429427E-4</v>
      </c>
    </row>
    <row r="429" spans="22:26" x14ac:dyDescent="0.2">
      <c r="V429" s="180" t="str">
        <f t="shared" si="14"/>
        <v>1D</v>
      </c>
      <c r="W429" s="177">
        <f>_xll.qlCalendarAdvance(Calendar,W428,V429,"f",FALSE)</f>
        <v>42530</v>
      </c>
      <c r="X429" s="181">
        <f>_xll.qlCalendarAdvance(Calendar,W429,NDays&amp;"D")</f>
        <v>42534</v>
      </c>
      <c r="Y429" s="178">
        <v>4.9770459393621352E-3</v>
      </c>
      <c r="Z429" s="183">
        <v>4.0570581110621617E-4</v>
      </c>
    </row>
    <row r="430" spans="22:26" x14ac:dyDescent="0.2">
      <c r="V430" s="180" t="str">
        <f t="shared" si="14"/>
        <v>1D</v>
      </c>
      <c r="W430" s="177">
        <f>_xll.qlCalendarAdvance(Calendar,W429,V430,"f",FALSE)</f>
        <v>42531</v>
      </c>
      <c r="X430" s="181">
        <f>_xll.qlCalendarAdvance(Calendar,W430,NDays&amp;"D")</f>
        <v>42535</v>
      </c>
      <c r="Y430" s="178">
        <v>4.9933398559474252E-3</v>
      </c>
      <c r="Z430" s="183">
        <v>4.082325799803499E-4</v>
      </c>
    </row>
    <row r="431" spans="22:26" x14ac:dyDescent="0.2">
      <c r="V431" s="180" t="str">
        <f t="shared" si="14"/>
        <v>1D</v>
      </c>
      <c r="W431" s="177">
        <f>_xll.qlCalendarAdvance(Calendar,W430,V431,"f",FALSE)</f>
        <v>42534</v>
      </c>
      <c r="X431" s="181">
        <f>_xll.qlCalendarAdvance(Calendar,W431,NDays&amp;"D")</f>
        <v>42536</v>
      </c>
      <c r="Y431" s="178">
        <v>5.0099602610719331E-3</v>
      </c>
      <c r="Z431" s="183">
        <v>4.1033264562173599E-4</v>
      </c>
    </row>
    <row r="432" spans="22:26" x14ac:dyDescent="0.2">
      <c r="V432" s="180" t="str">
        <f t="shared" si="14"/>
        <v>1D</v>
      </c>
      <c r="W432" s="177">
        <f>_xll.qlCalendarAdvance(Calendar,W431,V432,"f",FALSE)</f>
        <v>42535</v>
      </c>
      <c r="X432" s="181">
        <f>_xll.qlCalendarAdvance(Calendar,W432,NDays&amp;"D")</f>
        <v>42537</v>
      </c>
      <c r="Y432" s="178">
        <v>5.0269051380017003E-3</v>
      </c>
      <c r="Z432" s="183">
        <v>4.1200600803037446E-4</v>
      </c>
    </row>
    <row r="433" spans="22:26" x14ac:dyDescent="0.2">
      <c r="V433" s="180" t="str">
        <f t="shared" si="14"/>
        <v>1D</v>
      </c>
      <c r="W433" s="177">
        <f>_xll.qlCalendarAdvance(Calendar,W432,V433,"f",FALSE)</f>
        <v>42536</v>
      </c>
      <c r="X433" s="181">
        <f>_xll.qlCalendarAdvance(Calendar,W433,NDays&amp;"D")</f>
        <v>42538</v>
      </c>
      <c r="Y433" s="178">
        <v>5.0542502327854772E-3</v>
      </c>
      <c r="Z433" s="183">
        <v>4.1393086489094344E-4</v>
      </c>
    </row>
    <row r="434" spans="22:26" x14ac:dyDescent="0.2">
      <c r="V434" s="180" t="str">
        <f t="shared" si="14"/>
        <v>1D</v>
      </c>
      <c r="W434" s="177">
        <f>_xll.qlCalendarAdvance(Calendar,W433,V434,"f",FALSE)</f>
        <v>42537</v>
      </c>
      <c r="X434" s="181">
        <f>_xll.qlCalendarAdvance(Calendar,W434,NDays&amp;"D")</f>
        <v>42541</v>
      </c>
      <c r="Y434" s="178">
        <v>5.0978890352843271E-3</v>
      </c>
      <c r="Z434" s="183">
        <v>4.1443242589700446E-4</v>
      </c>
    </row>
    <row r="435" spans="22:26" x14ac:dyDescent="0.2">
      <c r="V435" s="180" t="str">
        <f t="shared" si="14"/>
        <v>1D</v>
      </c>
      <c r="W435" s="177">
        <f>_xll.qlCalendarAdvance(Calendar,W434,V435,"f",FALSE)</f>
        <v>42538</v>
      </c>
      <c r="X435" s="181">
        <f>_xll.qlCalendarAdvance(Calendar,W435,NDays&amp;"D")</f>
        <v>42542</v>
      </c>
      <c r="Y435" s="178">
        <v>5.1164260263298171E-3</v>
      </c>
      <c r="Z435" s="183">
        <v>4.1397227238171297E-4</v>
      </c>
    </row>
    <row r="436" spans="22:26" x14ac:dyDescent="0.2">
      <c r="V436" s="180" t="str">
        <f t="shared" si="14"/>
        <v>1D</v>
      </c>
      <c r="W436" s="177">
        <f>_xll.qlCalendarAdvance(Calendar,W435,V436,"f",FALSE)</f>
        <v>42541</v>
      </c>
      <c r="X436" s="181">
        <f>_xll.qlCalendarAdvance(Calendar,W436,NDays&amp;"D")</f>
        <v>42543</v>
      </c>
      <c r="Y436" s="178">
        <v>5.1352753923452534E-3</v>
      </c>
      <c r="Z436" s="183">
        <v>4.130854157136099E-4</v>
      </c>
    </row>
    <row r="437" spans="22:26" x14ac:dyDescent="0.2">
      <c r="V437" s="180" t="str">
        <f t="shared" si="14"/>
        <v>1D</v>
      </c>
      <c r="W437" s="177">
        <f>_xll.qlCalendarAdvance(Calendar,W436,V437,"f",FALSE)</f>
        <v>42542</v>
      </c>
      <c r="X437" s="181">
        <f>_xll.qlCalendarAdvance(Calendar,W437,NDays&amp;"D")</f>
        <v>42544</v>
      </c>
      <c r="Y437" s="178">
        <v>5.1544351177254177E-3</v>
      </c>
      <c r="Z437" s="183">
        <v>4.1177185581275921E-4</v>
      </c>
    </row>
    <row r="438" spans="22:26" x14ac:dyDescent="0.2">
      <c r="V438" s="180" t="str">
        <f t="shared" si="14"/>
        <v>1D</v>
      </c>
      <c r="W438" s="177">
        <f>_xll.qlCalendarAdvance(Calendar,W437,V438,"f",FALSE)</f>
        <v>42543</v>
      </c>
      <c r="X438" s="181">
        <f>_xll.qlCalendarAdvance(Calendar,W438,NDays&amp;"D")</f>
        <v>42545</v>
      </c>
      <c r="Y438" s="178">
        <v>5.1875838372349124E-3</v>
      </c>
      <c r="Z438" s="183">
        <v>4.0772285385237694E-4</v>
      </c>
    </row>
    <row r="439" spans="22:26" x14ac:dyDescent="0.2">
      <c r="V439" s="180" t="str">
        <f t="shared" si="14"/>
        <v>1D</v>
      </c>
      <c r="W439" s="177">
        <f>_xll.qlCalendarAdvance(Calendar,W438,V439,"f",FALSE)</f>
        <v>42544</v>
      </c>
      <c r="X439" s="181">
        <f>_xll.qlCalendarAdvance(Calendar,W439,NDays&amp;"D")</f>
        <v>42548</v>
      </c>
      <c r="Y439" s="178">
        <v>5.2341373054097641E-3</v>
      </c>
      <c r="Z439" s="183">
        <v>4.0225058444143258E-4</v>
      </c>
    </row>
    <row r="440" spans="22:26" x14ac:dyDescent="0.2">
      <c r="V440" s="180" t="str">
        <f t="shared" si="14"/>
        <v>1D</v>
      </c>
      <c r="W440" s="177">
        <f>_xll.qlCalendarAdvance(Calendar,W439,V440,"f",FALSE)</f>
        <v>42545</v>
      </c>
      <c r="X440" s="181">
        <f>_xll.qlCalendarAdvance(Calendar,W440,NDays&amp;"D")</f>
        <v>42549</v>
      </c>
      <c r="Y440" s="178">
        <v>5.2548185980651725E-3</v>
      </c>
      <c r="Z440" s="183">
        <v>3.9880350869658798E-4</v>
      </c>
    </row>
    <row r="441" spans="22:26" x14ac:dyDescent="0.2">
      <c r="V441" s="180" t="str">
        <f t="shared" si="14"/>
        <v>1D</v>
      </c>
      <c r="W441" s="177">
        <f>_xll.qlCalendarAdvance(Calendar,W440,V441,"f",FALSE)</f>
        <v>42548</v>
      </c>
      <c r="X441" s="181">
        <f>_xll.qlCalendarAdvance(Calendar,W441,NDays&amp;"D")</f>
        <v>42550</v>
      </c>
      <c r="Y441" s="178">
        <v>5.2757981590829187E-3</v>
      </c>
      <c r="Z441" s="183">
        <v>3.9492972979893182E-4</v>
      </c>
    </row>
    <row r="442" spans="22:26" x14ac:dyDescent="0.2">
      <c r="V442" s="180" t="str">
        <f t="shared" si="14"/>
        <v>1D</v>
      </c>
      <c r="W442" s="177">
        <f>_xll.qlCalendarAdvance(Calendar,W441,V442,"f",FALSE)</f>
        <v>42549</v>
      </c>
      <c r="X442" s="181">
        <f>_xll.qlCalendarAdvance(Calendar,W442,NDays&amp;"D")</f>
        <v>42551</v>
      </c>
      <c r="Y442" s="178">
        <v>5.2970739736759804E-3</v>
      </c>
      <c r="Z442" s="183">
        <v>3.9062924782840014E-4</v>
      </c>
    </row>
    <row r="443" spans="22:26" x14ac:dyDescent="0.2">
      <c r="V443" s="180" t="str">
        <f t="shared" si="14"/>
        <v>1D</v>
      </c>
      <c r="W443" s="177">
        <f>_xll.qlCalendarAdvance(Calendar,W442,V443,"f",FALSE)</f>
        <v>42550</v>
      </c>
      <c r="X443" s="181">
        <f>_xll.qlCalendarAdvance(Calendar,W443,NDays&amp;"D")</f>
        <v>42552</v>
      </c>
      <c r="Y443" s="178">
        <v>5.3355348181236386E-3</v>
      </c>
      <c r="Z443" s="183">
        <v>3.8060634249603709E-4</v>
      </c>
    </row>
    <row r="444" spans="22:26" x14ac:dyDescent="0.2">
      <c r="V444" s="180" t="str">
        <f t="shared" si="14"/>
        <v>1D</v>
      </c>
      <c r="W444" s="177">
        <f>_xll.qlCalendarAdvance(Calendar,W443,V444,"f",FALSE)</f>
        <v>42551</v>
      </c>
      <c r="X444" s="181">
        <f>_xll.qlCalendarAdvance(Calendar,W444,NDays&amp;"D")</f>
        <v>42555</v>
      </c>
      <c r="Y444" s="178">
        <v>5.3850994751565417E-3</v>
      </c>
      <c r="Z444" s="183">
        <v>3.6916028881783802E-4</v>
      </c>
    </row>
    <row r="445" spans="22:26" x14ac:dyDescent="0.2">
      <c r="V445" s="180" t="str">
        <f t="shared" si="14"/>
        <v>1D</v>
      </c>
      <c r="W445" s="177">
        <f>_xll.qlCalendarAdvance(Calendar,W444,V445,"f",FALSE)</f>
        <v>42552</v>
      </c>
      <c r="X445" s="181">
        <f>_xll.qlCalendarAdvance(Calendar,W445,NDays&amp;"D")</f>
        <v>42556</v>
      </c>
      <c r="Y445" s="178">
        <v>5.4078263388345465E-3</v>
      </c>
      <c r="Z445" s="183">
        <v>3.6272629148292879E-4</v>
      </c>
    </row>
    <row r="446" spans="22:26" x14ac:dyDescent="0.2">
      <c r="V446" s="180" t="str">
        <f t="shared" si="14"/>
        <v>1D</v>
      </c>
      <c r="W446" s="177">
        <f>_xll.qlCalendarAdvance(Calendar,W445,V446,"f",FALSE)</f>
        <v>42555</v>
      </c>
      <c r="X446" s="181">
        <f>_xll.qlCalendarAdvance(Calendar,W446,NDays&amp;"D")</f>
        <v>42557</v>
      </c>
      <c r="Y446" s="178">
        <v>5.4308373690914761E-3</v>
      </c>
      <c r="Z446" s="183">
        <v>3.5586559107514404E-4</v>
      </c>
    </row>
    <row r="447" spans="22:26" x14ac:dyDescent="0.2">
      <c r="V447" s="180" t="str">
        <f t="shared" si="14"/>
        <v>1D</v>
      </c>
      <c r="W447" s="177">
        <f>_xll.qlCalendarAdvance(Calendar,W446,V447,"f",FALSE)</f>
        <v>42556</v>
      </c>
      <c r="X447" s="181">
        <f>_xll.qlCalendarAdvance(Calendar,W447,NDays&amp;"D")</f>
        <v>42558</v>
      </c>
      <c r="Y447" s="178">
        <v>5.454130551660441E-3</v>
      </c>
      <c r="Z447" s="183">
        <v>3.4857818775435589E-4</v>
      </c>
    </row>
    <row r="448" spans="22:26" x14ac:dyDescent="0.2">
      <c r="V448" s="180" t="str">
        <f t="shared" si="14"/>
        <v>1D</v>
      </c>
      <c r="W448" s="177">
        <f>_xll.qlCalendarAdvance(Calendar,W447,V448,"f",FALSE)</f>
        <v>42557</v>
      </c>
      <c r="X448" s="181">
        <f>_xll.qlCalendarAdvance(Calendar,W448,NDays&amp;"D")</f>
        <v>42559</v>
      </c>
      <c r="Y448" s="178">
        <v>5.4974158294809963E-3</v>
      </c>
      <c r="Z448" s="183">
        <v>3.3258134499725145E-4</v>
      </c>
    </row>
    <row r="449" spans="22:26" x14ac:dyDescent="0.2">
      <c r="V449" s="180" t="str">
        <f t="shared" si="14"/>
        <v>1D</v>
      </c>
      <c r="W449" s="177">
        <f>_xll.qlCalendarAdvance(Calendar,W448,V449,"f",FALSE)</f>
        <v>42558</v>
      </c>
      <c r="X449" s="181">
        <f>_xll.qlCalendarAdvance(Calendar,W449,NDays&amp;"D")</f>
        <v>42562</v>
      </c>
      <c r="Y449" s="178">
        <v>5.550084521379982E-3</v>
      </c>
      <c r="Z449" s="183">
        <v>3.1516154486155301E-4</v>
      </c>
    </row>
    <row r="450" spans="22:26" x14ac:dyDescent="0.2">
      <c r="V450" s="180" t="str">
        <f t="shared" si="14"/>
        <v>1D</v>
      </c>
      <c r="W450" s="177">
        <f>_xll.qlCalendarAdvance(Calendar,W449,V450,"f",FALSE)</f>
        <v>42559</v>
      </c>
      <c r="X450" s="181">
        <f>_xll.qlCalendarAdvance(Calendar,W450,NDays&amp;"D")</f>
        <v>42563</v>
      </c>
      <c r="Y450" s="178">
        <v>5.5747582530871875E-3</v>
      </c>
      <c r="Z450" s="183">
        <v>3.0574062705568394E-4</v>
      </c>
    </row>
    <row r="451" spans="22:26" x14ac:dyDescent="0.2">
      <c r="V451" s="180" t="str">
        <f t="shared" si="14"/>
        <v>1D</v>
      </c>
      <c r="W451" s="177">
        <f>_xll.qlCalendarAdvance(Calendar,W450,V451,"f",FALSE)</f>
        <v>42562</v>
      </c>
      <c r="X451" s="181">
        <f>_xll.qlCalendarAdvance(Calendar,W451,NDays&amp;"D")</f>
        <v>42564</v>
      </c>
      <c r="Y451" s="178">
        <v>5.5997020523745281E-3</v>
      </c>
      <c r="Z451" s="183">
        <v>2.9589300625687542E-4</v>
      </c>
    </row>
    <row r="452" spans="22:26" x14ac:dyDescent="0.2">
      <c r="V452" s="180" t="str">
        <f t="shared" si="14"/>
        <v>1D</v>
      </c>
      <c r="W452" s="177">
        <f>_xll.qlCalendarAdvance(Calendar,W451,V452,"f",FALSE)</f>
        <v>42563</v>
      </c>
      <c r="X452" s="181">
        <f>_xll.qlCalendarAdvance(Calendar,W452,NDays&amp;"D")</f>
        <v>42565</v>
      </c>
      <c r="Y452" s="178">
        <v>5.6249139052125122E-3</v>
      </c>
      <c r="Z452" s="183">
        <v>2.8561868286480774E-4</v>
      </c>
    </row>
    <row r="453" spans="22:26" x14ac:dyDescent="0.2">
      <c r="V453" s="180" t="str">
        <f t="shared" si="14"/>
        <v>1D</v>
      </c>
      <c r="W453" s="177">
        <f>_xll.qlCalendarAdvance(Calendar,W452,V453,"f",FALSE)</f>
        <v>42564</v>
      </c>
      <c r="X453" s="181">
        <f>_xll.qlCalendarAdvance(Calendar,W453,NDays&amp;"D")</f>
        <v>42566</v>
      </c>
      <c r="Y453" s="178">
        <v>5.6725396801482961E-3</v>
      </c>
      <c r="Z453" s="183">
        <v>2.6364788645594217E-4</v>
      </c>
    </row>
    <row r="454" spans="22:26" x14ac:dyDescent="0.2">
      <c r="V454" s="180" t="str">
        <f t="shared" si="14"/>
        <v>1D</v>
      </c>
      <c r="W454" s="177">
        <f>_xll.qlCalendarAdvance(Calendar,W453,V454,"f",FALSE)</f>
        <v>42565</v>
      </c>
      <c r="X454" s="181">
        <f>_xll.qlCalendarAdvance(Calendar,W454,NDays&amp;"D")</f>
        <v>42569</v>
      </c>
      <c r="Y454" s="178">
        <v>5.7284015717677392E-3</v>
      </c>
      <c r="Z454" s="183">
        <v>2.4025436200503236E-4</v>
      </c>
    </row>
    <row r="455" spans="22:26" x14ac:dyDescent="0.2">
      <c r="V455" s="180" t="str">
        <f t="shared" si="14"/>
        <v>1D</v>
      </c>
      <c r="W455" s="177">
        <f>_xll.qlCalendarAdvance(Calendar,W454,V455,"f",FALSE)</f>
        <v>42566</v>
      </c>
      <c r="X455" s="181">
        <f>_xll.qlCalendarAdvance(Calendar,W455,NDays&amp;"D")</f>
        <v>42570</v>
      </c>
      <c r="Y455" s="178">
        <v>5.7549234821290081E-3</v>
      </c>
      <c r="Z455" s="183">
        <v>2.2784652524698856E-4</v>
      </c>
    </row>
    <row r="456" spans="22:26" x14ac:dyDescent="0.2">
      <c r="V456" s="180" t="str">
        <f t="shared" si="14"/>
        <v>1D</v>
      </c>
      <c r="W456" s="177">
        <f>_xll.qlCalendarAdvance(Calendar,W455,V456,"f",FALSE)</f>
        <v>42569</v>
      </c>
      <c r="X456" s="181">
        <f>_xll.qlCalendarAdvance(Calendar,W456,NDays&amp;"D")</f>
        <v>42571</v>
      </c>
      <c r="Y456" s="178">
        <v>5.7817013619165351E-3</v>
      </c>
      <c r="Z456" s="183">
        <v>2.150119858956856E-4</v>
      </c>
    </row>
    <row r="457" spans="22:26" x14ac:dyDescent="0.2">
      <c r="V457" s="180" t="str">
        <f t="shared" si="14"/>
        <v>1D</v>
      </c>
      <c r="W457" s="177">
        <f>_xll.qlCalendarAdvance(Calendar,W456,V457,"f",FALSE)</f>
        <v>42570</v>
      </c>
      <c r="X457" s="181">
        <f>_xll.qlCalendarAdvance(Calendar,W457,NDays&amp;"D")</f>
        <v>42572</v>
      </c>
      <c r="Y457" s="178">
        <v>5.8087331970695108E-3</v>
      </c>
      <c r="Z457" s="183">
        <v>2.0175074419093164E-4</v>
      </c>
    </row>
    <row r="458" spans="22:26" x14ac:dyDescent="0.2">
      <c r="V458" s="180" t="str">
        <f t="shared" si="14"/>
        <v>1D</v>
      </c>
      <c r="W458" s="177">
        <f>_xll.qlCalendarAdvance(Calendar,W457,V458,"f",FALSE)</f>
        <v>42571</v>
      </c>
      <c r="X458" s="181">
        <f>_xll.qlCalendarAdvance(Calendar,W458,NDays&amp;"D")</f>
        <v>42573</v>
      </c>
      <c r="Y458" s="178">
        <v>5.8602192386594792E-3</v>
      </c>
      <c r="Z458" s="183">
        <v>1.7380600292327131E-4</v>
      </c>
    </row>
    <row r="459" spans="22:26" x14ac:dyDescent="0.2">
      <c r="V459" s="180" t="str">
        <f t="shared" si="14"/>
        <v>1D</v>
      </c>
      <c r="W459" s="177">
        <f>_xll.qlCalendarAdvance(Calendar,W458,V459,"f",FALSE)</f>
        <v>42572</v>
      </c>
      <c r="X459" s="181">
        <f>_xll.qlCalendarAdvance(Calendar,W459,NDays&amp;"D")</f>
        <v>42576</v>
      </c>
      <c r="Y459" s="178">
        <v>5.9193598090923919E-3</v>
      </c>
      <c r="Z459" s="183">
        <v>1.4443875311798138E-4</v>
      </c>
    </row>
    <row r="460" spans="22:26" x14ac:dyDescent="0.2">
      <c r="V460" s="180" t="str">
        <f t="shared" si="14"/>
        <v>1D</v>
      </c>
      <c r="W460" s="177">
        <f>_xll.qlCalendarAdvance(Calendar,W459,V460,"f",FALSE)</f>
        <v>42573</v>
      </c>
      <c r="X460" s="181">
        <f>_xll.qlCalendarAdvance(Calendar,W460,NDays&amp;"D")</f>
        <v>42577</v>
      </c>
      <c r="Y460" s="178">
        <v>5.9476312090678794E-3</v>
      </c>
      <c r="Z460" s="183">
        <v>1.2904399964597246E-4</v>
      </c>
    </row>
    <row r="461" spans="22:26" x14ac:dyDescent="0.2">
      <c r="V461" s="180" t="str">
        <f t="shared" si="14"/>
        <v>1D</v>
      </c>
      <c r="W461" s="177">
        <f>_xll.qlCalendarAdvance(Calendar,W460,V461,"f",FALSE)</f>
        <v>42576</v>
      </c>
      <c r="X461" s="181">
        <f>_xll.qlCalendarAdvance(Calendar,W461,NDays&amp;"D")</f>
        <v>42578</v>
      </c>
      <c r="Y461" s="178">
        <v>5.9761444793203795E-3</v>
      </c>
      <c r="Z461" s="183">
        <v>1.1322254406032073E-4</v>
      </c>
    </row>
    <row r="462" spans="22:26" x14ac:dyDescent="0.2">
      <c r="V462" s="180" t="str">
        <f t="shared" si="14"/>
        <v>1D</v>
      </c>
      <c r="W462" s="177">
        <f>_xll.qlCalendarAdvance(Calendar,W461,V462,"f",FALSE)</f>
        <v>42577</v>
      </c>
      <c r="X462" s="181">
        <f>_xll.qlCalendarAdvance(Calendar,W462,NDays&amp;"D")</f>
        <v>42579</v>
      </c>
      <c r="Y462" s="178">
        <v>6.004897605501533E-3</v>
      </c>
      <c r="Z462" s="183">
        <v>9.6974386281090119E-5</v>
      </c>
    </row>
    <row r="463" spans="22:26" x14ac:dyDescent="0.2">
      <c r="V463" s="180" t="str">
        <f t="shared" si="14"/>
        <v>1D</v>
      </c>
      <c r="W463" s="177">
        <f>_xll.qlCalendarAdvance(Calendar,W462,V463,"f",FALSE)</f>
        <v>42578</v>
      </c>
      <c r="X463" s="181">
        <f>_xll.qlCalendarAdvance(Calendar,W463,NDays&amp;"D")</f>
        <v>42580</v>
      </c>
      <c r="Y463" s="178">
        <v>6.0597673429462623E-3</v>
      </c>
      <c r="Z463" s="183">
        <v>6.3055741374995478E-5</v>
      </c>
    </row>
    <row r="464" spans="22:26" x14ac:dyDescent="0.2">
      <c r="V464" s="180" t="str">
        <f t="shared" si="14"/>
        <v>1D</v>
      </c>
      <c r="W464" s="177">
        <f>_xll.qlCalendarAdvance(Calendar,W463,V464,"f",FALSE)</f>
        <v>42579</v>
      </c>
      <c r="X464" s="181">
        <f>_xll.qlCalendarAdvance(Calendar,W464,NDays&amp;"D")</f>
        <v>42583</v>
      </c>
      <c r="Y464" s="178">
        <v>6.1222683803092495E-3</v>
      </c>
      <c r="Z464" s="183">
        <v>2.7714735146844305E-5</v>
      </c>
    </row>
    <row r="465" spans="22:26" x14ac:dyDescent="0.2">
      <c r="V465" s="180" t="str">
        <f t="shared" si="14"/>
        <v>1D</v>
      </c>
      <c r="W465" s="177">
        <f>_xll.qlCalendarAdvance(Calendar,W464,V465,"f",FALSE)</f>
        <v>42580</v>
      </c>
      <c r="X465" s="181">
        <f>_xll.qlCalendarAdvance(Calendar,W465,NDays&amp;"D")</f>
        <v>42584</v>
      </c>
      <c r="Y465" s="178">
        <v>6.1521905686045854E-3</v>
      </c>
      <c r="Z465" s="183">
        <v>9.3330675987601808E-6</v>
      </c>
    </row>
    <row r="466" spans="22:26" x14ac:dyDescent="0.2">
      <c r="V466" s="180" t="str">
        <f t="shared" si="14"/>
        <v>1D</v>
      </c>
      <c r="W466" s="177">
        <f>_xll.qlCalendarAdvance(Calendar,W465,V466,"f",FALSE)</f>
        <v>42583</v>
      </c>
      <c r="X466" s="181">
        <f>_xll.qlCalendarAdvance(Calendar,W466,NDays&amp;"D")</f>
        <v>42585</v>
      </c>
      <c r="Y466" s="178">
        <v>6.1823405252892762E-3</v>
      </c>
      <c r="Z466" s="183">
        <v>9.450080717954279E-8</v>
      </c>
    </row>
    <row r="467" spans="22:26" x14ac:dyDescent="0.2">
      <c r="V467" s="180" t="str">
        <f t="shared" si="14"/>
        <v>1D</v>
      </c>
      <c r="W467" s="177">
        <f>_xll.qlCalendarAdvance(Calendar,W466,V467,"f",FALSE)</f>
        <v>42584</v>
      </c>
      <c r="X467" s="181">
        <f>_xll.qlCalendarAdvance(Calendar,W467,NDays&amp;"D")</f>
        <v>42586</v>
      </c>
      <c r="Y467" s="178">
        <v>6.2126898516990806E-3</v>
      </c>
      <c r="Z467" s="183">
        <v>6.6150565025679953E-7</v>
      </c>
    </row>
    <row r="468" spans="22:26" x14ac:dyDescent="0.2">
      <c r="V468" s="180" t="str">
        <f t="shared" si="14"/>
        <v>1D</v>
      </c>
      <c r="W468" s="177">
        <f>_xll.qlCalendarAdvance(Calendar,W467,V468,"f",FALSE)</f>
        <v>42585</v>
      </c>
      <c r="X468" s="181">
        <f>_xll.qlCalendarAdvance(Calendar,W468,NDays&amp;"D")</f>
        <v>42587</v>
      </c>
      <c r="Y468" s="178">
        <v>6.2703899284495815E-3</v>
      </c>
      <c r="Z468" s="183">
        <v>3.685531533292874E-6</v>
      </c>
    </row>
    <row r="469" spans="22:26" x14ac:dyDescent="0.2">
      <c r="V469" s="180" t="str">
        <f t="shared" ref="V469:V532" si="15">V468</f>
        <v>1D</v>
      </c>
      <c r="W469" s="177">
        <f>_xll.qlCalendarAdvance(Calendar,W468,V469,"f",FALSE)</f>
        <v>42586</v>
      </c>
      <c r="X469" s="181">
        <f>_xll.qlCalendarAdvance(Calendar,W469,NDays&amp;"D")</f>
        <v>42590</v>
      </c>
      <c r="Y469" s="178">
        <v>6.3357309675350776E-3</v>
      </c>
      <c r="Z469" s="183">
        <v>8.5995736132105094E-6</v>
      </c>
    </row>
    <row r="470" spans="22:26" x14ac:dyDescent="0.2">
      <c r="V470" s="180" t="str">
        <f t="shared" si="15"/>
        <v>1D</v>
      </c>
      <c r="W470" s="177">
        <f>_xll.qlCalendarAdvance(Calendar,W469,V470,"f",FALSE)</f>
        <v>42587</v>
      </c>
      <c r="X470" s="181">
        <f>_xll.qlCalendarAdvance(Calendar,W470,NDays&amp;"D")</f>
        <v>42591</v>
      </c>
      <c r="Y470" s="178">
        <v>6.3668783953862544E-3</v>
      </c>
      <c r="Z470" s="183">
        <v>1.200160267167405E-5</v>
      </c>
    </row>
    <row r="471" spans="22:26" x14ac:dyDescent="0.2">
      <c r="V471" s="180" t="str">
        <f t="shared" si="15"/>
        <v>1D</v>
      </c>
      <c r="W471" s="177">
        <f>_xll.qlCalendarAdvance(Calendar,W470,V471,"f",FALSE)</f>
        <v>42590</v>
      </c>
      <c r="X471" s="181">
        <f>_xll.qlCalendarAdvance(Calendar,W471,NDays&amp;"D")</f>
        <v>42592</v>
      </c>
      <c r="Y471" s="178">
        <v>6.3981711595086678E-3</v>
      </c>
      <c r="Z471" s="183">
        <v>1.5970636733086963E-5</v>
      </c>
    </row>
    <row r="472" spans="22:26" x14ac:dyDescent="0.2">
      <c r="V472" s="180" t="str">
        <f t="shared" si="15"/>
        <v>1D</v>
      </c>
      <c r="W472" s="177">
        <f>_xll.qlCalendarAdvance(Calendar,W471,V472,"f",FALSE)</f>
        <v>42591</v>
      </c>
      <c r="X472" s="181">
        <f>_xll.qlCalendarAdvance(Calendar,W472,NDays&amp;"D")</f>
        <v>42593</v>
      </c>
      <c r="Y472" s="178">
        <v>6.4296044973266697E-3</v>
      </c>
      <c r="Z472" s="183">
        <v>2.050667571751319E-5</v>
      </c>
    </row>
    <row r="473" spans="22:26" x14ac:dyDescent="0.2">
      <c r="V473" s="180" t="str">
        <f t="shared" si="15"/>
        <v>1D</v>
      </c>
      <c r="W473" s="177">
        <f>_xll.qlCalendarAdvance(Calendar,W472,V473,"f",FALSE)</f>
        <v>42592</v>
      </c>
      <c r="X473" s="181">
        <f>_xll.qlCalendarAdvance(Calendar,W473,NDays&amp;"D")</f>
        <v>42594</v>
      </c>
      <c r="Y473" s="178">
        <v>6.4892994067292471E-3</v>
      </c>
      <c r="Z473" s="183">
        <v>3.1468772920817401E-5</v>
      </c>
    </row>
    <row r="474" spans="22:26" x14ac:dyDescent="0.2">
      <c r="V474" s="180" t="str">
        <f t="shared" si="15"/>
        <v>1D</v>
      </c>
      <c r="W474" s="177">
        <f>_xll.qlCalendarAdvance(Calendar,W473,V474,"f",FALSE)</f>
        <v>42593</v>
      </c>
      <c r="X474" s="181">
        <f>_xll.qlCalendarAdvance(Calendar,W474,NDays&amp;"D")</f>
        <v>42597</v>
      </c>
      <c r="Y474" s="178">
        <v>6.5566483148790456E-3</v>
      </c>
      <c r="Z474" s="183">
        <v>4.4320881285031533E-5</v>
      </c>
    </row>
    <row r="475" spans="22:26" x14ac:dyDescent="0.2">
      <c r="V475" s="180" t="str">
        <f t="shared" si="15"/>
        <v>1D</v>
      </c>
      <c r="W475" s="177">
        <f>_xll.qlCalendarAdvance(Calendar,W474,V475,"f",FALSE)</f>
        <v>42594</v>
      </c>
      <c r="X475" s="181">
        <f>_xll.qlCalendarAdvance(Calendar,W475,NDays&amp;"D")</f>
        <v>42598</v>
      </c>
      <c r="Y475" s="178">
        <v>6.5887130632853001E-3</v>
      </c>
      <c r="Z475" s="183">
        <v>5.1691945204268563E-5</v>
      </c>
    </row>
    <row r="476" spans="22:26" x14ac:dyDescent="0.2">
      <c r="V476" s="180" t="str">
        <f t="shared" si="15"/>
        <v>1D</v>
      </c>
      <c r="W476" s="177">
        <f>_xll.qlCalendarAdvance(Calendar,W475,V476,"f",FALSE)</f>
        <v>42597</v>
      </c>
      <c r="X476" s="181">
        <f>_xll.qlCalendarAdvance(Calendar,W476,NDays&amp;"D")</f>
        <v>42599</v>
      </c>
      <c r="Y476" s="178">
        <v>6.6208897982912738E-3</v>
      </c>
      <c r="Z476" s="183">
        <v>5.9630014286327082E-5</v>
      </c>
    </row>
    <row r="477" spans="22:26" x14ac:dyDescent="0.2">
      <c r="V477" s="180" t="str">
        <f t="shared" si="15"/>
        <v>1D</v>
      </c>
      <c r="W477" s="177">
        <f>_xll.qlCalendarAdvance(Calendar,W476,V477,"f",FALSE)</f>
        <v>42598</v>
      </c>
      <c r="X477" s="181">
        <f>_xll.qlCalendarAdvance(Calendar,W477,NDays&amp;"D")</f>
        <v>42600</v>
      </c>
      <c r="Y477" s="178">
        <v>6.6531737533829897E-3</v>
      </c>
      <c r="Z477" s="183">
        <v>6.8135088371334973E-5</v>
      </c>
    </row>
    <row r="478" spans="22:26" x14ac:dyDescent="0.2">
      <c r="V478" s="180" t="str">
        <f t="shared" si="15"/>
        <v>1D</v>
      </c>
      <c r="W478" s="177">
        <f>_xll.qlCalendarAdvance(Calendar,W477,V478,"f",FALSE)</f>
        <v>42599</v>
      </c>
      <c r="X478" s="181">
        <f>_xll.qlCalendarAdvance(Calendar,W478,NDays&amp;"D")</f>
        <v>42601</v>
      </c>
      <c r="Y478" s="178">
        <v>6.7142832100555759E-3</v>
      </c>
      <c r="Z478" s="183">
        <v>8.7035274987101729E-5</v>
      </c>
    </row>
    <row r="479" spans="22:26" x14ac:dyDescent="0.2">
      <c r="V479" s="180" t="str">
        <f t="shared" si="15"/>
        <v>1D</v>
      </c>
      <c r="W479" s="177">
        <f>_xll.qlCalendarAdvance(Calendar,W478,V479,"f",FALSE)</f>
        <v>42600</v>
      </c>
      <c r="X479" s="181">
        <f>_xll.qlCalendarAdvance(Calendar,W479,NDays&amp;"D")</f>
        <v>42604</v>
      </c>
      <c r="Y479" s="178">
        <v>6.7832864237425275E-3</v>
      </c>
      <c r="Z479" s="183">
        <v>1.0782543713894199E-4</v>
      </c>
    </row>
    <row r="480" spans="22:26" x14ac:dyDescent="0.2">
      <c r="V480" s="180" t="str">
        <f t="shared" si="15"/>
        <v>1D</v>
      </c>
      <c r="W480" s="177">
        <f>_xll.qlCalendarAdvance(Calendar,W479,V480,"f",FALSE)</f>
        <v>42601</v>
      </c>
      <c r="X480" s="181">
        <f>_xll.qlCalendarAdvance(Calendar,W480,NDays&amp;"D")</f>
        <v>42605</v>
      </c>
      <c r="Y480" s="178">
        <v>6.8160349608969266E-3</v>
      </c>
      <c r="Z480" s="183">
        <v>1.1916553759760973E-4</v>
      </c>
    </row>
    <row r="481" spans="22:26" x14ac:dyDescent="0.2">
      <c r="V481" s="180" t="str">
        <f t="shared" si="15"/>
        <v>1D</v>
      </c>
      <c r="W481" s="177">
        <f>_xll.qlCalendarAdvance(Calendar,W480,V481,"f",FALSE)</f>
        <v>42604</v>
      </c>
      <c r="X481" s="181">
        <f>_xll.qlCalendarAdvance(Calendar,W481,NDays&amp;"D")</f>
        <v>42606</v>
      </c>
      <c r="Y481" s="178">
        <v>6.8488621065921533E-3</v>
      </c>
      <c r="Z481" s="183">
        <v>1.3107264337897107E-4</v>
      </c>
    </row>
    <row r="482" spans="22:26" x14ac:dyDescent="0.2">
      <c r="V482" s="180" t="str">
        <f t="shared" si="15"/>
        <v>1D</v>
      </c>
      <c r="W482" s="177">
        <f>_xll.qlCalendarAdvance(Calendar,W481,V482,"f",FALSE)</f>
        <v>42605</v>
      </c>
      <c r="X482" s="181">
        <f>_xll.qlCalendarAdvance(Calendar,W482,NDays&amp;"D")</f>
        <v>42607</v>
      </c>
      <c r="Y482" s="178">
        <v>6.8817630901181325E-3</v>
      </c>
      <c r="Z482" s="183">
        <v>1.4354675472283418E-4</v>
      </c>
    </row>
    <row r="483" spans="22:26" x14ac:dyDescent="0.2">
      <c r="V483" s="180" t="str">
        <f t="shared" si="15"/>
        <v>1D</v>
      </c>
      <c r="W483" s="177">
        <f>_xll.qlCalendarAdvance(Calendar,W482,V483,"f",FALSE)</f>
        <v>42606</v>
      </c>
      <c r="X483" s="181">
        <f>_xll.qlCalendarAdvance(Calendar,W483,NDays&amp;"D")</f>
        <v>42608</v>
      </c>
      <c r="Y483" s="178">
        <v>6.9437152318510024E-3</v>
      </c>
      <c r="Z483" s="183">
        <v>1.7038507631461641E-4</v>
      </c>
    </row>
    <row r="484" spans="22:26" x14ac:dyDescent="0.2">
      <c r="V484" s="180" t="str">
        <f t="shared" si="15"/>
        <v>1D</v>
      </c>
      <c r="W484" s="177">
        <f>_xll.qlCalendarAdvance(Calendar,W483,V484,"f",FALSE)</f>
        <v>42607</v>
      </c>
      <c r="X484" s="181">
        <f>_xll.qlCalendarAdvance(Calendar,W484,NDays&amp;"D")</f>
        <v>42611</v>
      </c>
      <c r="Y484" s="178">
        <v>7.0140099667024584E-3</v>
      </c>
      <c r="Z484" s="183">
        <v>1.9911325580324046E-4</v>
      </c>
    </row>
    <row r="485" spans="22:26" x14ac:dyDescent="0.2">
      <c r="V485" s="180" t="str">
        <f t="shared" si="15"/>
        <v>1D</v>
      </c>
      <c r="W485" s="177">
        <f>_xll.qlCalendarAdvance(Calendar,W484,V485,"f",FALSE)</f>
        <v>42608</v>
      </c>
      <c r="X485" s="181">
        <f>_xll.qlCalendarAdvance(Calendar,W485,NDays&amp;"D")</f>
        <v>42612</v>
      </c>
      <c r="Y485" s="178">
        <v>7.0472085570592339E-3</v>
      </c>
      <c r="Z485" s="183">
        <v>2.1442239535929275E-4</v>
      </c>
    </row>
    <row r="486" spans="22:26" x14ac:dyDescent="0.2">
      <c r="V486" s="180" t="str">
        <f t="shared" si="15"/>
        <v>1D</v>
      </c>
      <c r="W486" s="177">
        <f>_xll.qlCalendarAdvance(Calendar,W485,V486,"f",FALSE)</f>
        <v>42611</v>
      </c>
      <c r="X486" s="181">
        <f>_xll.qlCalendarAdvance(Calendar,W486,NDays&amp;"D")</f>
        <v>42613</v>
      </c>
      <c r="Y486" s="178">
        <v>7.0804523479396624E-3</v>
      </c>
      <c r="Z486" s="183">
        <v>2.3029854079759104E-4</v>
      </c>
    </row>
    <row r="487" spans="22:26" x14ac:dyDescent="0.2">
      <c r="V487" s="180" t="str">
        <f t="shared" si="15"/>
        <v>1D</v>
      </c>
      <c r="W487" s="177">
        <f>_xll.qlCalendarAdvance(Calendar,W486,V487,"f",FALSE)</f>
        <v>42612</v>
      </c>
      <c r="X487" s="181">
        <f>_xll.qlCalendarAdvance(Calendar,W487,NDays&amp;"D")</f>
        <v>42614</v>
      </c>
      <c r="Y487" s="178">
        <v>7.1137365642579917E-3</v>
      </c>
      <c r="Z487" s="183">
        <v>2.4674169211813535E-4</v>
      </c>
    </row>
    <row r="488" spans="22:26" x14ac:dyDescent="0.2">
      <c r="V488" s="180" t="str">
        <f t="shared" si="15"/>
        <v>1D</v>
      </c>
      <c r="W488" s="177">
        <f>_xll.qlCalendarAdvance(Calendar,W487,V488,"f",FALSE)</f>
        <v>42613</v>
      </c>
      <c r="X488" s="181">
        <f>_xll.qlCalendarAdvance(Calendar,W488,NDays&amp;"D")</f>
        <v>42615</v>
      </c>
      <c r="Y488" s="178">
        <v>7.1759679285126401E-3</v>
      </c>
      <c r="Z488" s="183">
        <v>2.8151823480371263E-4</v>
      </c>
    </row>
    <row r="489" spans="22:26" x14ac:dyDescent="0.2">
      <c r="V489" s="180" t="str">
        <f t="shared" si="15"/>
        <v>1D</v>
      </c>
      <c r="W489" s="177">
        <f>_xll.qlCalendarAdvance(Calendar,W488,V489,"f",FALSE)</f>
        <v>42614</v>
      </c>
      <c r="X489" s="181">
        <f>_xll.qlCalendarAdvance(Calendar,W489,NDays&amp;"D")</f>
        <v>42618</v>
      </c>
      <c r="Y489" s="178">
        <v>7.2471821599216042E-3</v>
      </c>
      <c r="Z489" s="183">
        <v>3.181843583810462E-4</v>
      </c>
    </row>
    <row r="490" spans="22:26" x14ac:dyDescent="0.2">
      <c r="V490" s="180" t="str">
        <f t="shared" si="15"/>
        <v>1D</v>
      </c>
      <c r="W490" s="177">
        <f>_xll.qlCalendarAdvance(Calendar,W489,V490,"f",FALSE)</f>
        <v>42615</v>
      </c>
      <c r="X490" s="181">
        <f>_xll.qlCalendarAdvance(Calendar,W490,NDays&amp;"D")</f>
        <v>42619</v>
      </c>
      <c r="Y490" s="178">
        <v>7.2805968548491111E-3</v>
      </c>
      <c r="Z490" s="183">
        <v>3.3746254063160563E-4</v>
      </c>
    </row>
    <row r="491" spans="22:26" x14ac:dyDescent="0.2">
      <c r="V491" s="180" t="str">
        <f t="shared" si="15"/>
        <v>1D</v>
      </c>
      <c r="W491" s="177">
        <f>_xll.qlCalendarAdvance(Calendar,W490,V491,"f",FALSE)</f>
        <v>42618</v>
      </c>
      <c r="X491" s="181">
        <f>_xll.qlCalendarAdvance(Calendar,W491,NDays&amp;"D")</f>
        <v>42620</v>
      </c>
      <c r="Y491" s="178">
        <v>7.3140233113036029E-3</v>
      </c>
      <c r="Z491" s="183">
        <v>3.5730772924402743E-4</v>
      </c>
    </row>
    <row r="492" spans="22:26" x14ac:dyDescent="0.2">
      <c r="V492" s="180" t="str">
        <f t="shared" si="15"/>
        <v>1D</v>
      </c>
      <c r="W492" s="177">
        <f>_xll.qlCalendarAdvance(Calendar,W491,V492,"f",FALSE)</f>
        <v>42619</v>
      </c>
      <c r="X492" s="181">
        <f>_xll.qlCalendarAdvance(Calendar,W492,NDays&amp;"D")</f>
        <v>42621</v>
      </c>
      <c r="Y492" s="178">
        <v>7.3474567497226907E-3</v>
      </c>
      <c r="Z492" s="183">
        <v>3.7771992445811975E-4</v>
      </c>
    </row>
    <row r="493" spans="22:26" x14ac:dyDescent="0.2">
      <c r="V493" s="180" t="str">
        <f t="shared" si="15"/>
        <v>1D</v>
      </c>
      <c r="W493" s="177">
        <f>_xll.qlCalendarAdvance(Calendar,W492,V493,"f",FALSE)</f>
        <v>42620</v>
      </c>
      <c r="X493" s="181">
        <f>_xll.qlCalendarAdvance(Calendar,W493,NDays&amp;"D")</f>
        <v>42622</v>
      </c>
      <c r="Y493" s="178">
        <v>7.4094122594857217E-3</v>
      </c>
      <c r="Z493" s="183">
        <v>4.2043482767262219E-4</v>
      </c>
    </row>
    <row r="494" spans="22:26" x14ac:dyDescent="0.2">
      <c r="V494" s="180" t="str">
        <f t="shared" si="15"/>
        <v>1D</v>
      </c>
      <c r="W494" s="177">
        <f>_xll.qlCalendarAdvance(Calendar,W493,V494,"f",FALSE)</f>
        <v>42621</v>
      </c>
      <c r="X494" s="181">
        <f>_xll.qlCalendarAdvance(Calendar,W494,NDays&amp;"D")</f>
        <v>42625</v>
      </c>
      <c r="Y494" s="178">
        <v>7.481164709275602E-3</v>
      </c>
      <c r="Z494" s="183">
        <v>4.6503877253023518E-4</v>
      </c>
    </row>
    <row r="495" spans="22:26" x14ac:dyDescent="0.2">
      <c r="V495" s="180" t="str">
        <f t="shared" si="15"/>
        <v>1D</v>
      </c>
      <c r="W495" s="177">
        <f>_xll.qlCalendarAdvance(Calendar,W494,V495,"f",FALSE)</f>
        <v>42622</v>
      </c>
      <c r="X495" s="181">
        <f>_xll.qlCalendarAdvance(Calendar,W495,NDays&amp;"D")</f>
        <v>42626</v>
      </c>
      <c r="Y495" s="178">
        <v>7.5145613415621921E-3</v>
      </c>
      <c r="Z495" s="183">
        <v>4.8828600187178495E-4</v>
      </c>
    </row>
    <row r="496" spans="22:26" x14ac:dyDescent="0.2">
      <c r="V496" s="180" t="str">
        <f t="shared" si="15"/>
        <v>1D</v>
      </c>
      <c r="W496" s="177">
        <f>_xll.qlCalendarAdvance(Calendar,W495,V496,"f",FALSE)</f>
        <v>42625</v>
      </c>
      <c r="X496" s="181">
        <f>_xll.qlCalendarAdvance(Calendar,W496,NDays&amp;"D")</f>
        <v>42627</v>
      </c>
      <c r="Y496" s="178">
        <v>7.5479362649302833E-3</v>
      </c>
      <c r="Z496" s="183">
        <v>5.1210023837455765E-4</v>
      </c>
    </row>
    <row r="497" spans="22:26" x14ac:dyDescent="0.2">
      <c r="V497" s="180" t="str">
        <f t="shared" si="15"/>
        <v>1D</v>
      </c>
      <c r="W497" s="177">
        <f>_xll.qlCalendarAdvance(Calendar,W496,V497,"f",FALSE)</f>
        <v>42626</v>
      </c>
      <c r="X497" s="181">
        <f>_xll.qlCalendarAdvance(Calendar,W497,NDays&amp;"D")</f>
        <v>42628</v>
      </c>
      <c r="Y497" s="178">
        <v>7.5812846953185091E-3</v>
      </c>
      <c r="Z497" s="183">
        <v>5.3648148211848934E-4</v>
      </c>
    </row>
    <row r="498" spans="22:26" x14ac:dyDescent="0.2">
      <c r="V498" s="180" t="str">
        <f t="shared" si="15"/>
        <v>1D</v>
      </c>
      <c r="W498" s="177">
        <f>_xll.qlCalendarAdvance(Calendar,W497,V498,"f",FALSE)</f>
        <v>42627</v>
      </c>
      <c r="X498" s="181">
        <f>_xll.qlCalendarAdvance(Calendar,W498,NDays&amp;"D")</f>
        <v>42629</v>
      </c>
      <c r="Y498" s="178">
        <v>7.6424176541733373E-3</v>
      </c>
      <c r="Z498" s="183">
        <v>5.8713495137752147E-4</v>
      </c>
    </row>
    <row r="499" spans="22:26" x14ac:dyDescent="0.2">
      <c r="V499" s="180" t="str">
        <f t="shared" si="15"/>
        <v>1D</v>
      </c>
      <c r="W499" s="177">
        <f>_xll.qlCalendarAdvance(Calendar,W498,V499,"f",FALSE)</f>
        <v>42628</v>
      </c>
      <c r="X499" s="181">
        <f>_xll.qlCalendarAdvance(Calendar,W499,NDays&amp;"D")</f>
        <v>42632</v>
      </c>
      <c r="Y499" s="178">
        <v>7.7143177834738605E-3</v>
      </c>
      <c r="Z499" s="183">
        <v>6.3967653206375985E-4</v>
      </c>
    </row>
    <row r="500" spans="22:26" x14ac:dyDescent="0.2">
      <c r="V500" s="180" t="str">
        <f t="shared" si="15"/>
        <v>1D</v>
      </c>
      <c r="W500" s="177">
        <f>_xll.qlCalendarAdvance(Calendar,W499,V500,"f",FALSE)</f>
        <v>42629</v>
      </c>
      <c r="X500" s="181">
        <f>_xll.qlCalendarAdvance(Calendar,W500,NDays&amp;"D")</f>
        <v>42633</v>
      </c>
      <c r="Y500" s="178">
        <v>7.7474619656952137E-3</v>
      </c>
      <c r="Z500" s="183">
        <v>6.6689281401188794E-4</v>
      </c>
    </row>
    <row r="501" spans="22:26" x14ac:dyDescent="0.2">
      <c r="V501" s="180" t="str">
        <f t="shared" si="15"/>
        <v>1D</v>
      </c>
      <c r="W501" s="177">
        <f>_xll.qlCalendarAdvance(Calendar,W500,V501,"f",FALSE)</f>
        <v>42632</v>
      </c>
      <c r="X501" s="181">
        <f>_xll.qlCalendarAdvance(Calendar,W501,NDays&amp;"D")</f>
        <v>42634</v>
      </c>
      <c r="Y501" s="178">
        <v>7.7805509371854575E-3</v>
      </c>
      <c r="Z501" s="183">
        <v>6.9467610384066347E-4</v>
      </c>
    </row>
    <row r="502" spans="22:26" x14ac:dyDescent="0.2">
      <c r="V502" s="180" t="str">
        <f t="shared" si="15"/>
        <v>1D</v>
      </c>
      <c r="W502" s="177">
        <f>_xll.qlCalendarAdvance(Calendar,W501,V502,"f",FALSE)</f>
        <v>42633</v>
      </c>
      <c r="X502" s="181">
        <f>_xll.qlCalendarAdvance(Calendar,W502,NDays&amp;"D")</f>
        <v>42635</v>
      </c>
      <c r="Y502" s="178">
        <v>7.8135799094411883E-3</v>
      </c>
      <c r="Z502" s="183">
        <v>7.2302640178989463E-4</v>
      </c>
    </row>
    <row r="503" spans="22:26" x14ac:dyDescent="0.2">
      <c r="V503" s="180" t="str">
        <f t="shared" si="15"/>
        <v>1D</v>
      </c>
      <c r="W503" s="177">
        <f>_xll.qlCalendarAdvance(Calendar,W502,V503,"f",FALSE)</f>
        <v>42634</v>
      </c>
      <c r="X503" s="181">
        <f>_xll.qlCalendarAdvance(Calendar,W503,NDays&amp;"D")</f>
        <v>42636</v>
      </c>
      <c r="Y503" s="178">
        <v>7.8733520057306106E-3</v>
      </c>
      <c r="Z503" s="183">
        <v>7.8161872171911284E-4</v>
      </c>
    </row>
    <row r="504" spans="22:26" x14ac:dyDescent="0.2">
      <c r="V504" s="180" t="str">
        <f t="shared" si="15"/>
        <v>1D</v>
      </c>
      <c r="W504" s="177">
        <f>_xll.qlCalendarAdvance(Calendar,W503,V504,"f",FALSE)</f>
        <v>42635</v>
      </c>
      <c r="X504" s="181">
        <f>_xll.qlCalendarAdvance(Calendar,W504,NDays&amp;"D")</f>
        <v>42639</v>
      </c>
      <c r="Y504" s="178">
        <v>7.9450000142229325E-3</v>
      </c>
      <c r="Z504" s="183">
        <v>8.4209767766907362E-4</v>
      </c>
    </row>
    <row r="505" spans="22:26" x14ac:dyDescent="0.2">
      <c r="V505" s="180" t="str">
        <f t="shared" si="15"/>
        <v>1D</v>
      </c>
      <c r="W505" s="177">
        <f>_xll.qlCalendarAdvance(Calendar,W504,V505,"f",FALSE)</f>
        <v>42636</v>
      </c>
      <c r="X505" s="181">
        <f>_xll.qlCalendarAdvance(Calendar,W505,NDays&amp;"D")</f>
        <v>42640</v>
      </c>
      <c r="Y505" s="178">
        <v>7.9776571409741395E-3</v>
      </c>
      <c r="Z505" s="183">
        <v>8.7328301837885647E-4</v>
      </c>
    </row>
    <row r="506" spans="22:26" x14ac:dyDescent="0.2">
      <c r="V506" s="180" t="str">
        <f t="shared" si="15"/>
        <v>1D</v>
      </c>
      <c r="W506" s="177">
        <f>_xll.qlCalendarAdvance(Calendar,W505,V506,"f",FALSE)</f>
        <v>42639</v>
      </c>
      <c r="X506" s="181">
        <f>_xll.qlCalendarAdvance(Calendar,W506,NDays&amp;"D")</f>
        <v>42641</v>
      </c>
      <c r="Y506" s="178">
        <v>8.0102255244496046E-3</v>
      </c>
      <c r="Z506" s="183">
        <v>9.0503536800845552E-4</v>
      </c>
    </row>
    <row r="507" spans="22:26" x14ac:dyDescent="0.2">
      <c r="V507" s="180" t="str">
        <f t="shared" si="15"/>
        <v>1D</v>
      </c>
      <c r="W507" s="177">
        <f>_xll.qlCalendarAdvance(Calendar,W506,V507,"f",FALSE)</f>
        <v>42640</v>
      </c>
      <c r="X507" s="181">
        <f>_xll.qlCalendarAdvance(Calendar,W507,NDays&amp;"D")</f>
        <v>42642</v>
      </c>
      <c r="Y507" s="178">
        <v>8.0427003718401106E-3</v>
      </c>
      <c r="Z507" s="183">
        <v>9.3735472671774289E-4</v>
      </c>
    </row>
    <row r="508" spans="22:26" x14ac:dyDescent="0.2">
      <c r="V508" s="180" t="str">
        <f t="shared" si="15"/>
        <v>1D</v>
      </c>
      <c r="W508" s="177">
        <f>_xll.qlCalendarAdvance(Calendar,W507,V508,"f",FALSE)</f>
        <v>42641</v>
      </c>
      <c r="X508" s="181">
        <f>_xll.qlCalendarAdvance(Calendar,W508,NDays&amp;"D")</f>
        <v>42643</v>
      </c>
      <c r="Y508" s="178">
        <v>8.0621995601258718E-3</v>
      </c>
      <c r="Z508" s="183">
        <v>1.0038862737893339E-3</v>
      </c>
    </row>
    <row r="509" spans="22:26" x14ac:dyDescent="0.2">
      <c r="V509" s="180" t="str">
        <f t="shared" si="15"/>
        <v>1D</v>
      </c>
      <c r="W509" s="177">
        <f>_xll.qlCalendarAdvance(Calendar,W508,V509,"f",FALSE)</f>
        <v>42642</v>
      </c>
      <c r="X509" s="181">
        <f>_xll.qlCalendarAdvance(Calendar,W509,NDays&amp;"D")</f>
        <v>42646</v>
      </c>
      <c r="Y509" s="178">
        <v>8.1715685234700439E-3</v>
      </c>
      <c r="Z509" s="183">
        <v>1.0723022561087703E-3</v>
      </c>
    </row>
    <row r="510" spans="22:26" x14ac:dyDescent="0.2">
      <c r="V510" s="180" t="str">
        <f t="shared" si="15"/>
        <v>1D</v>
      </c>
      <c r="W510" s="177">
        <f>_xll.qlCalendarAdvance(Calendar,W509,V510,"f",FALSE)</f>
        <v>42643</v>
      </c>
      <c r="X510" s="181">
        <f>_xll.qlCalendarAdvance(Calendar,W510,NDays&amp;"D")</f>
        <v>42647</v>
      </c>
      <c r="Y510" s="178">
        <v>8.2035037774722767E-3</v>
      </c>
      <c r="Z510" s="183">
        <v>1.1074566627744531E-3</v>
      </c>
    </row>
    <row r="511" spans="22:26" x14ac:dyDescent="0.2">
      <c r="V511" s="180" t="str">
        <f t="shared" si="15"/>
        <v>1D</v>
      </c>
      <c r="W511" s="177">
        <f>_xll.qlCalendarAdvance(Calendar,W510,V511,"f",FALSE)</f>
        <v>42646</v>
      </c>
      <c r="X511" s="181">
        <f>_xll.qlCalendarAdvance(Calendar,W511,NDays&amp;"D")</f>
        <v>42648</v>
      </c>
      <c r="Y511" s="178">
        <v>8.2353167261110839E-3</v>
      </c>
      <c r="Z511" s="183">
        <v>1.143178079558993E-3</v>
      </c>
    </row>
    <row r="512" spans="22:26" x14ac:dyDescent="0.2">
      <c r="V512" s="180" t="str">
        <f t="shared" si="15"/>
        <v>1D</v>
      </c>
      <c r="W512" s="177">
        <f>_xll.qlCalendarAdvance(Calendar,W511,V512,"f",FALSE)</f>
        <v>42647</v>
      </c>
      <c r="X512" s="181">
        <f>_xll.qlCalendarAdvance(Calendar,W512,NDays&amp;"D")</f>
        <v>42649</v>
      </c>
      <c r="Y512" s="178">
        <v>8.2670025724858355E-3</v>
      </c>
      <c r="Z512" s="183">
        <v>1.179466506542326E-3</v>
      </c>
    </row>
    <row r="513" spans="22:26" x14ac:dyDescent="0.2">
      <c r="V513" s="180" t="str">
        <f t="shared" si="15"/>
        <v>1D</v>
      </c>
      <c r="W513" s="177">
        <f>_xll.qlCalendarAdvance(Calendar,W512,V513,"f",FALSE)</f>
        <v>42648</v>
      </c>
      <c r="X513" s="181">
        <f>_xll.qlCalendarAdvance(Calendar,W513,NDays&amp;"D")</f>
        <v>42650</v>
      </c>
      <c r="Y513" s="178">
        <v>8.3224716221260708E-3</v>
      </c>
      <c r="Z513" s="183">
        <v>1.2539377619713576E-3</v>
      </c>
    </row>
    <row r="514" spans="22:26" x14ac:dyDescent="0.2">
      <c r="V514" s="180" t="str">
        <f t="shared" si="15"/>
        <v>1D</v>
      </c>
      <c r="W514" s="177">
        <f>_xll.qlCalendarAdvance(Calendar,W513,V514,"f",FALSE)</f>
        <v>42649</v>
      </c>
      <c r="X514" s="181">
        <f>_xll.qlCalendarAdvance(Calendar,W514,NDays&amp;"D")</f>
        <v>42653</v>
      </c>
      <c r="Y514" s="178">
        <v>8.3923789777786573E-3</v>
      </c>
      <c r="Z514" s="183">
        <v>1.3302903205403283E-3</v>
      </c>
    </row>
    <row r="515" spans="22:26" x14ac:dyDescent="0.2">
      <c r="V515" s="180" t="str">
        <f t="shared" si="15"/>
        <v>1D</v>
      </c>
      <c r="W515" s="177">
        <f>_xll.qlCalendarAdvance(Calendar,W514,V515,"f",FALSE)</f>
        <v>42650</v>
      </c>
      <c r="X515" s="181">
        <f>_xll.qlCalendarAdvance(Calendar,W515,NDays&amp;"D")</f>
        <v>42654</v>
      </c>
      <c r="Y515" s="178">
        <v>8.423357339863078E-3</v>
      </c>
      <c r="Z515" s="183">
        <v>1.369413801395325E-3</v>
      </c>
    </row>
    <row r="516" spans="22:26" x14ac:dyDescent="0.2">
      <c r="V516" s="180" t="str">
        <f t="shared" si="15"/>
        <v>1D</v>
      </c>
      <c r="W516" s="177">
        <f>_xll.qlCalendarAdvance(Calendar,W515,V516,"f",FALSE)</f>
        <v>42653</v>
      </c>
      <c r="X516" s="181">
        <f>_xll.qlCalendarAdvance(Calendar,W516,NDays&amp;"D")</f>
        <v>42655</v>
      </c>
      <c r="Y516" s="178">
        <v>8.4541798066965993E-3</v>
      </c>
      <c r="Z516" s="183">
        <v>1.4091042936481557E-3</v>
      </c>
    </row>
    <row r="517" spans="22:26" x14ac:dyDescent="0.2">
      <c r="V517" s="180" t="str">
        <f t="shared" si="15"/>
        <v>1D</v>
      </c>
      <c r="W517" s="177">
        <f>_xll.qlCalendarAdvance(Calendar,W516,V517,"f",FALSE)</f>
        <v>42654</v>
      </c>
      <c r="X517" s="181">
        <f>_xll.qlCalendarAdvance(Calendar,W517,NDays&amp;"D")</f>
        <v>42656</v>
      </c>
      <c r="Y517" s="178">
        <v>8.4848415775815172E-3</v>
      </c>
      <c r="Z517" s="183">
        <v>1.4493617972988204E-3</v>
      </c>
    </row>
    <row r="518" spans="22:26" x14ac:dyDescent="0.2">
      <c r="V518" s="180" t="str">
        <f t="shared" si="15"/>
        <v>1D</v>
      </c>
      <c r="W518" s="177">
        <f>_xll.qlCalendarAdvance(Calendar,W517,V518,"f",FALSE)</f>
        <v>42655</v>
      </c>
      <c r="X518" s="181">
        <f>_xll.qlCalendarAdvance(Calendar,W518,NDays&amp;"D")</f>
        <v>42657</v>
      </c>
      <c r="Y518" s="178">
        <v>8.537385313412249E-3</v>
      </c>
      <c r="Z518" s="183">
        <v>1.5317733599129468E-3</v>
      </c>
    </row>
    <row r="519" spans="22:26" x14ac:dyDescent="0.2">
      <c r="V519" s="180" t="str">
        <f t="shared" si="15"/>
        <v>1D</v>
      </c>
      <c r="W519" s="177">
        <f>_xll.qlCalendarAdvance(Calendar,W518,V519,"f",FALSE)</f>
        <v>42656</v>
      </c>
      <c r="X519" s="181">
        <f>_xll.qlCalendarAdvance(Calendar,W519,NDays&amp;"D")</f>
        <v>42660</v>
      </c>
      <c r="Y519" s="178">
        <v>8.6057856698698275E-3</v>
      </c>
      <c r="Z519" s="183">
        <v>1.6160619309157909E-3</v>
      </c>
    </row>
    <row r="520" spans="22:26" x14ac:dyDescent="0.2">
      <c r="V520" s="180" t="str">
        <f t="shared" si="15"/>
        <v>1D</v>
      </c>
      <c r="W520" s="177">
        <f>_xll.qlCalendarAdvance(Calendar,W519,V520,"f",FALSE)</f>
        <v>42657</v>
      </c>
      <c r="X520" s="181">
        <f>_xll.qlCalendarAdvance(Calendar,W520,NDays&amp;"D")</f>
        <v>42661</v>
      </c>
      <c r="Y520" s="178">
        <v>8.6355719328468205E-3</v>
      </c>
      <c r="Z520" s="183">
        <v>1.659154494992876E-3</v>
      </c>
    </row>
    <row r="521" spans="22:26" x14ac:dyDescent="0.2">
      <c r="V521" s="180" t="str">
        <f t="shared" si="15"/>
        <v>1D</v>
      </c>
      <c r="W521" s="177">
        <f>_xll.qlCalendarAdvance(Calendar,W520,V521,"f",FALSE)</f>
        <v>42660</v>
      </c>
      <c r="X521" s="181">
        <f>_xll.qlCalendarAdvance(Calendar,W521,NDays&amp;"D")</f>
        <v>42662</v>
      </c>
      <c r="Y521" s="178">
        <v>8.6651686851843043E-3</v>
      </c>
      <c r="Z521" s="183">
        <v>1.7028140717467721E-3</v>
      </c>
    </row>
    <row r="522" spans="22:26" x14ac:dyDescent="0.2">
      <c r="V522" s="180" t="str">
        <f t="shared" si="15"/>
        <v>1D</v>
      </c>
      <c r="W522" s="177">
        <f>_xll.qlCalendarAdvance(Calendar,W521,V522,"f",FALSE)</f>
        <v>42661</v>
      </c>
      <c r="X522" s="181">
        <f>_xll.qlCalendarAdvance(Calendar,W522,NDays&amp;"D")</f>
        <v>42663</v>
      </c>
      <c r="Y522" s="178">
        <v>8.6945711227617781E-3</v>
      </c>
      <c r="Z522" s="183">
        <v>1.7470406614972234E-3</v>
      </c>
    </row>
    <row r="523" spans="22:26" x14ac:dyDescent="0.2">
      <c r="V523" s="180" t="str">
        <f t="shared" si="15"/>
        <v>1D</v>
      </c>
      <c r="W523" s="177">
        <f>_xll.qlCalendarAdvance(Calendar,W522,V523,"f",FALSE)</f>
        <v>42662</v>
      </c>
      <c r="X523" s="181">
        <f>_xll.qlCalendarAdvance(Calendar,W523,NDays&amp;"D")</f>
        <v>42664</v>
      </c>
      <c r="Y523" s="178">
        <v>8.7436849909230153E-3</v>
      </c>
      <c r="Z523" s="183">
        <v>1.8373932606330357E-3</v>
      </c>
    </row>
    <row r="524" spans="22:26" x14ac:dyDescent="0.2">
      <c r="V524" s="180" t="str">
        <f t="shared" si="15"/>
        <v>1D</v>
      </c>
      <c r="W524" s="177">
        <f>_xll.qlCalendarAdvance(Calendar,W523,V524,"f",FALSE)</f>
        <v>42663</v>
      </c>
      <c r="X524" s="181">
        <f>_xll.qlCalendarAdvance(Calendar,W524,NDays&amp;"D")</f>
        <v>42667</v>
      </c>
      <c r="Y524" s="178">
        <v>8.8101416273729076E-3</v>
      </c>
      <c r="Z524" s="183">
        <v>1.9296171532623418E-3</v>
      </c>
    </row>
    <row r="525" spans="22:26" x14ac:dyDescent="0.2">
      <c r="V525" s="180" t="str">
        <f t="shared" si="15"/>
        <v>1D</v>
      </c>
      <c r="W525" s="177">
        <f>_xll.qlCalendarAdvance(Calendar,W524,V525,"f",FALSE)</f>
        <v>42664</v>
      </c>
      <c r="X525" s="181">
        <f>_xll.qlCalendarAdvance(Calendar,W525,NDays&amp;"D")</f>
        <v>42668</v>
      </c>
      <c r="Y525" s="178">
        <v>8.8385004137919009E-3</v>
      </c>
      <c r="Z525" s="183">
        <v>1.9766788105535227E-3</v>
      </c>
    </row>
    <row r="526" spans="22:26" x14ac:dyDescent="0.2">
      <c r="V526" s="180" t="str">
        <f t="shared" si="15"/>
        <v>1D</v>
      </c>
      <c r="W526" s="177">
        <f>_xll.qlCalendarAdvance(Calendar,W525,V526,"f",FALSE)</f>
        <v>42667</v>
      </c>
      <c r="X526" s="181">
        <f>_xll.qlCalendarAdvance(Calendar,W526,NDays&amp;"D")</f>
        <v>42669</v>
      </c>
      <c r="Y526" s="178">
        <v>8.8666360515361232E-3</v>
      </c>
      <c r="Z526" s="183">
        <v>2.0243074820402995E-3</v>
      </c>
    </row>
    <row r="527" spans="22:26" x14ac:dyDescent="0.2">
      <c r="V527" s="180" t="str">
        <f t="shared" si="15"/>
        <v>1D</v>
      </c>
      <c r="W527" s="177">
        <f>_xll.qlCalendarAdvance(Calendar,W526,V527,"f",FALSE)</f>
        <v>42668</v>
      </c>
      <c r="X527" s="181">
        <f>_xll.qlCalendarAdvance(Calendar,W527,NDays&amp;"D")</f>
        <v>42670</v>
      </c>
      <c r="Y527" s="178">
        <v>8.8945437335153973E-3</v>
      </c>
      <c r="Z527" s="183">
        <v>2.0725031679624806E-3</v>
      </c>
    </row>
    <row r="528" spans="22:26" x14ac:dyDescent="0.2">
      <c r="V528" s="180" t="str">
        <f t="shared" si="15"/>
        <v>1D</v>
      </c>
      <c r="W528" s="177">
        <f>_xll.qlCalendarAdvance(Calendar,W527,V528,"f",FALSE)</f>
        <v>42669</v>
      </c>
      <c r="X528" s="181">
        <f>_xll.qlCalendarAdvance(Calendar,W528,NDays&amp;"D")</f>
        <v>42671</v>
      </c>
      <c r="Y528" s="178">
        <v>8.9397317174034693E-3</v>
      </c>
      <c r="Z528" s="183">
        <v>2.1707976764151482E-3</v>
      </c>
    </row>
    <row r="529" spans="22:26" x14ac:dyDescent="0.2">
      <c r="V529" s="180" t="str">
        <f t="shared" si="15"/>
        <v>1D</v>
      </c>
      <c r="W529" s="177">
        <f>_xll.qlCalendarAdvance(Calendar,W528,V529,"f",FALSE)</f>
        <v>42670</v>
      </c>
      <c r="X529" s="181">
        <f>_xll.qlCalendarAdvance(Calendar,W529,NDays&amp;"D")</f>
        <v>42674</v>
      </c>
      <c r="Y529" s="178">
        <v>9.0037987488188979E-3</v>
      </c>
      <c r="Z529" s="183">
        <v>2.2709560602418577E-3</v>
      </c>
    </row>
    <row r="530" spans="22:26" x14ac:dyDescent="0.2">
      <c r="V530" s="180" t="str">
        <f t="shared" si="15"/>
        <v>1D</v>
      </c>
      <c r="W530" s="177">
        <f>_xll.qlCalendarAdvance(Calendar,W529,V530,"f",FALSE)</f>
        <v>42671</v>
      </c>
      <c r="X530" s="181">
        <f>_xll.qlCalendarAdvance(Calendar,W530,NDays&amp;"D")</f>
        <v>42675</v>
      </c>
      <c r="Y530" s="178">
        <v>9.0304945326203055E-3</v>
      </c>
      <c r="Z530" s="183">
        <v>2.321986821538502E-3</v>
      </c>
    </row>
    <row r="531" spans="22:26" x14ac:dyDescent="0.2">
      <c r="V531" s="180" t="str">
        <f t="shared" si="15"/>
        <v>1D</v>
      </c>
      <c r="W531" s="177">
        <f>_xll.qlCalendarAdvance(Calendar,W530,V531,"f",FALSE)</f>
        <v>42674</v>
      </c>
      <c r="X531" s="181">
        <f>_xll.qlCalendarAdvance(Calendar,W531,NDays&amp;"D")</f>
        <v>42676</v>
      </c>
      <c r="Y531" s="178">
        <v>9.0569335104770943E-3</v>
      </c>
      <c r="Z531" s="183">
        <v>2.3735845988692716E-3</v>
      </c>
    </row>
    <row r="532" spans="22:26" x14ac:dyDescent="0.2">
      <c r="V532" s="180" t="str">
        <f t="shared" si="15"/>
        <v>1D</v>
      </c>
      <c r="W532" s="177">
        <f>_xll.qlCalendarAdvance(Calendar,W531,V532,"f",FALSE)</f>
        <v>42675</v>
      </c>
      <c r="X532" s="181">
        <f>_xll.qlCalendarAdvance(Calendar,W532,NDays&amp;"D")</f>
        <v>42677</v>
      </c>
      <c r="Y532" s="178">
        <v>9.0831108728615835E-3</v>
      </c>
      <c r="Z532" s="183">
        <v>2.8398846558363999E-3</v>
      </c>
    </row>
    <row r="533" spans="22:26" x14ac:dyDescent="0.2">
      <c r="V533" s="180" t="str">
        <f t="shared" ref="V533:V596" si="16">V532</f>
        <v>1D</v>
      </c>
      <c r="W533" s="177">
        <f>_xll.qlCalendarAdvance(Calendar,W532,V533,"f",FALSE)</f>
        <v>42676</v>
      </c>
      <c r="X533" s="181">
        <f>_xll.qlCalendarAdvance(Calendar,W533,NDays&amp;"D")</f>
        <v>42678</v>
      </c>
      <c r="Y533" s="178">
        <v>9.1227632695657992E-3</v>
      </c>
      <c r="Z533" s="183">
        <v>4.5501886815468851E-3</v>
      </c>
    </row>
    <row r="534" spans="22:26" x14ac:dyDescent="0.2">
      <c r="V534" s="180" t="str">
        <f t="shared" si="16"/>
        <v>1D</v>
      </c>
      <c r="W534" s="177">
        <f>_xll.qlCalendarAdvance(Calendar,W533,V534,"f",FALSE)</f>
        <v>42677</v>
      </c>
      <c r="X534" s="181">
        <f>_xll.qlCalendarAdvance(Calendar,W534,NDays&amp;"D")</f>
        <v>42681</v>
      </c>
      <c r="Y534" s="178">
        <v>9.1672606700706569E-3</v>
      </c>
      <c r="Z534" s="183">
        <v>6.1966261166279679E-3</v>
      </c>
    </row>
    <row r="535" spans="22:26" x14ac:dyDescent="0.2">
      <c r="V535" s="180" t="str">
        <f t="shared" si="16"/>
        <v>1D</v>
      </c>
      <c r="W535" s="177">
        <f>_xll.qlCalendarAdvance(Calendar,W534,V535,"f",FALSE)</f>
        <v>42678</v>
      </c>
      <c r="X535" s="181">
        <f>_xll.qlCalendarAdvance(Calendar,W535,NDays&amp;"D")</f>
        <v>42682</v>
      </c>
      <c r="Y535" s="178">
        <v>9.1822605539754847E-3</v>
      </c>
      <c r="Z535" s="183">
        <v>6.9879964973740272E-3</v>
      </c>
    </row>
    <row r="536" spans="22:26" x14ac:dyDescent="0.2">
      <c r="V536" s="180" t="str">
        <f t="shared" si="16"/>
        <v>1D</v>
      </c>
      <c r="W536" s="177">
        <f>_xll.qlCalendarAdvance(Calendar,W535,V536,"f",FALSE)</f>
        <v>42681</v>
      </c>
      <c r="X536" s="181">
        <f>_xll.qlCalendarAdvance(Calendar,W536,NDays&amp;"D")</f>
        <v>42683</v>
      </c>
      <c r="Y536" s="178">
        <v>9.1949519463092599E-3</v>
      </c>
      <c r="Z536" s="183">
        <v>7.7602406276167102E-3</v>
      </c>
    </row>
    <row r="537" spans="22:26" x14ac:dyDescent="0.2">
      <c r="V537" s="180" t="s">
        <v>157</v>
      </c>
      <c r="W537" s="177">
        <f>_xll.qlCalendarAdvance(Calendar,W536,V537,"f",FALSE)</f>
        <v>42688</v>
      </c>
      <c r="X537" s="181">
        <f>_xll.qlCalendarAdvance(Calendar,W537,NDays&amp;"D")</f>
        <v>42690</v>
      </c>
      <c r="Y537" s="178">
        <v>9.2236333863664182E-3</v>
      </c>
      <c r="Z537" s="183">
        <v>1.2630404566467135E-2</v>
      </c>
    </row>
    <row r="538" spans="22:26" x14ac:dyDescent="0.2">
      <c r="V538" s="180" t="str">
        <f t="shared" si="16"/>
        <v>1w</v>
      </c>
      <c r="W538" s="177">
        <f>_xll.qlCalendarAdvance(Calendar,W537,V538,"f",FALSE)</f>
        <v>42695</v>
      </c>
      <c r="X538" s="181">
        <f>_xll.qlCalendarAdvance(Calendar,W538,NDays&amp;"D")</f>
        <v>42697</v>
      </c>
      <c r="Y538" s="178">
        <v>9.1601163274679896E-3</v>
      </c>
      <c r="Z538" s="183">
        <v>1.6563338754629342E-2</v>
      </c>
    </row>
    <row r="539" spans="22:26" x14ac:dyDescent="0.2">
      <c r="V539" s="180" t="str">
        <f t="shared" si="16"/>
        <v>1w</v>
      </c>
      <c r="W539" s="177">
        <f>_xll.qlCalendarAdvance(Calendar,W538,V539,"f",FALSE)</f>
        <v>42702</v>
      </c>
      <c r="X539" s="181">
        <f>_xll.qlCalendarAdvance(Calendar,W539,NDays&amp;"D")</f>
        <v>42704</v>
      </c>
      <c r="Y539" s="178">
        <v>9.0227277350395582E-3</v>
      </c>
      <c r="Z539" s="183">
        <v>1.9559012474754667E-2</v>
      </c>
    </row>
    <row r="540" spans="22:26" x14ac:dyDescent="0.2">
      <c r="V540" s="180" t="str">
        <f t="shared" si="16"/>
        <v>1w</v>
      </c>
      <c r="W540" s="177">
        <f>_xll.qlCalendarAdvance(Calendar,W539,V540,"f",FALSE)</f>
        <v>42709</v>
      </c>
      <c r="X540" s="181">
        <f>_xll.qlCalendarAdvance(Calendar,W540,NDays&amp;"D")</f>
        <v>42711</v>
      </c>
      <c r="Y540" s="178">
        <v>8.8298039658601512E-3</v>
      </c>
      <c r="Z540" s="183">
        <v>2.1617402329479063E-2</v>
      </c>
    </row>
    <row r="541" spans="22:26" x14ac:dyDescent="0.2">
      <c r="V541" s="180" t="str">
        <f t="shared" si="16"/>
        <v>1w</v>
      </c>
      <c r="W541" s="177">
        <f>_xll.qlCalendarAdvance(Calendar,W540,V541,"f",FALSE)</f>
        <v>42716</v>
      </c>
      <c r="X541" s="181">
        <f>_xll.qlCalendarAdvance(Calendar,W541,NDays&amp;"D")</f>
        <v>42718</v>
      </c>
      <c r="Y541" s="178">
        <v>8.5996788577365896E-3</v>
      </c>
      <c r="Z541" s="183">
        <v>2.2738492242062591E-2</v>
      </c>
    </row>
    <row r="542" spans="22:26" x14ac:dyDescent="0.2">
      <c r="V542" s="180" t="str">
        <f t="shared" si="16"/>
        <v>1w</v>
      </c>
      <c r="W542" s="177">
        <f>_xll.qlCalendarAdvance(Calendar,W541,V542,"f",FALSE)</f>
        <v>42723</v>
      </c>
      <c r="X542" s="181">
        <f>_xll.qlCalendarAdvance(Calendar,W542,NDays&amp;"D")</f>
        <v>42725</v>
      </c>
      <c r="Y542" s="178">
        <v>8.3506751937542836E-3</v>
      </c>
      <c r="Z542" s="183">
        <v>2.2922273456389419E-2</v>
      </c>
    </row>
    <row r="543" spans="22:26" x14ac:dyDescent="0.2">
      <c r="V543" s="180" t="str">
        <f t="shared" si="16"/>
        <v>1w</v>
      </c>
      <c r="W543" s="177">
        <f>_xll.qlCalendarAdvance(Calendar,W542,V543,"f",FALSE)</f>
        <v>42731</v>
      </c>
      <c r="X543" s="181">
        <f>_xll.qlCalendarAdvance(Calendar,W543,NDays&amp;"D")</f>
        <v>42733</v>
      </c>
      <c r="Y543" s="178">
        <v>8.066465792803219E-3</v>
      </c>
      <c r="Z543" s="183">
        <v>2.1984582687197829E-2</v>
      </c>
    </row>
    <row r="544" spans="22:26" x14ac:dyDescent="0.2">
      <c r="V544" s="180" t="str">
        <f t="shared" si="16"/>
        <v>1w</v>
      </c>
      <c r="W544" s="177">
        <f>_xll.qlCalendarAdvance(Calendar,W543,V544,"f",FALSE)</f>
        <v>42738</v>
      </c>
      <c r="X544" s="181">
        <f>_xll.qlCalendarAdvance(Calendar,W544,NDays&amp;"D")</f>
        <v>42740</v>
      </c>
      <c r="Y544" s="178">
        <v>7.8386295920179535E-3</v>
      </c>
      <c r="Z544" s="183">
        <v>2.015984981975194E-2</v>
      </c>
    </row>
    <row r="545" spans="22:26" x14ac:dyDescent="0.2">
      <c r="V545" s="180" t="str">
        <f t="shared" si="16"/>
        <v>1w</v>
      </c>
      <c r="W545" s="177">
        <f>_xll.qlCalendarAdvance(Calendar,W544,V545,"f",FALSE)</f>
        <v>42745</v>
      </c>
      <c r="X545" s="181">
        <f>_xll.qlCalendarAdvance(Calendar,W545,NDays&amp;"D")</f>
        <v>42747</v>
      </c>
      <c r="Y545" s="178">
        <v>7.6493913057261859E-3</v>
      </c>
      <c r="Z545" s="183">
        <v>1.7397828394178916E-2</v>
      </c>
    </row>
    <row r="546" spans="22:26" x14ac:dyDescent="0.2">
      <c r="V546" s="180" t="str">
        <f t="shared" si="16"/>
        <v>1w</v>
      </c>
      <c r="W546" s="177">
        <f>_xll.qlCalendarAdvance(Calendar,W545,V546,"f",FALSE)</f>
        <v>42752</v>
      </c>
      <c r="X546" s="181">
        <f>_xll.qlCalendarAdvance(Calendar,W546,NDays&amp;"D")</f>
        <v>42754</v>
      </c>
      <c r="Y546" s="178">
        <v>7.517010530421803E-3</v>
      </c>
      <c r="Z546" s="183">
        <v>1.3698539982902602E-2</v>
      </c>
    </row>
    <row r="547" spans="22:26" x14ac:dyDescent="0.2">
      <c r="V547" s="180" t="str">
        <f t="shared" si="16"/>
        <v>1w</v>
      </c>
      <c r="W547" s="177">
        <f>_xll.qlCalendarAdvance(Calendar,W546,V547,"f",FALSE)</f>
        <v>42759</v>
      </c>
      <c r="X547" s="181">
        <f>_xll.qlCalendarAdvance(Calendar,W547,NDays&amp;"D")</f>
        <v>42761</v>
      </c>
      <c r="Y547" s="178">
        <v>7.4597451228193036E-3</v>
      </c>
      <c r="Z547" s="183">
        <v>9.0620134784114015E-3</v>
      </c>
    </row>
    <row r="548" spans="22:26" x14ac:dyDescent="0.2">
      <c r="V548" s="180" t="str">
        <f t="shared" si="16"/>
        <v>1w</v>
      </c>
      <c r="W548" s="177">
        <f>_xll.qlCalendarAdvance(Calendar,W547,V548,"f",FALSE)</f>
        <v>42766</v>
      </c>
      <c r="X548" s="181">
        <f>_xll.qlCalendarAdvance(Calendar,W548,NDays&amp;"D")</f>
        <v>42768</v>
      </c>
      <c r="Y548" s="178">
        <v>7.4958633305938268E-3</v>
      </c>
      <c r="Z548" s="183">
        <v>3.4882850933382059E-3</v>
      </c>
    </row>
    <row r="549" spans="22:26" x14ac:dyDescent="0.2">
      <c r="V549" s="180" t="str">
        <f t="shared" si="16"/>
        <v>1w</v>
      </c>
      <c r="W549" s="177">
        <f>_xll.qlCalendarAdvance(Calendar,W548,V549,"f",FALSE)</f>
        <v>42773</v>
      </c>
      <c r="X549" s="181">
        <f>_xll.qlCalendarAdvance(Calendar,W549,NDays&amp;"D")</f>
        <v>42775</v>
      </c>
      <c r="Y549" s="178">
        <v>7.6020070381800017E-3</v>
      </c>
      <c r="Z549" s="183">
        <v>2.5894931383163566E-3</v>
      </c>
    </row>
    <row r="550" spans="22:26" x14ac:dyDescent="0.2">
      <c r="V550" s="180" t="str">
        <f t="shared" si="16"/>
        <v>1w</v>
      </c>
      <c r="W550" s="177">
        <f>_xll.qlCalendarAdvance(Calendar,W549,V550,"f",FALSE)</f>
        <v>42780</v>
      </c>
      <c r="X550" s="181">
        <f>_xll.qlCalendarAdvance(Calendar,W550,NDays&amp;"D")</f>
        <v>42782</v>
      </c>
      <c r="Y550" s="178">
        <v>7.7149518302124798E-3</v>
      </c>
      <c r="Z550" s="183">
        <v>2.1342989397421519E-3</v>
      </c>
    </row>
    <row r="551" spans="22:26" x14ac:dyDescent="0.2">
      <c r="V551" s="180" t="str">
        <f t="shared" si="16"/>
        <v>1w</v>
      </c>
      <c r="W551" s="177">
        <f>_xll.qlCalendarAdvance(Calendar,W550,V551,"f",FALSE)</f>
        <v>42787</v>
      </c>
      <c r="X551" s="181">
        <f>_xll.qlCalendarAdvance(Calendar,W551,NDays&amp;"D")</f>
        <v>42789</v>
      </c>
      <c r="Y551" s="178">
        <v>7.8328501967754663E-3</v>
      </c>
      <c r="Z551" s="183">
        <v>1.727087989502607E-3</v>
      </c>
    </row>
    <row r="552" spans="22:26" x14ac:dyDescent="0.2">
      <c r="V552" s="180" t="str">
        <f t="shared" si="16"/>
        <v>1w</v>
      </c>
      <c r="W552" s="177">
        <f>_xll.qlCalendarAdvance(Calendar,W551,V552,"f",FALSE)</f>
        <v>42794</v>
      </c>
      <c r="X552" s="181">
        <f>_xll.qlCalendarAdvance(Calendar,W552,NDays&amp;"D")</f>
        <v>42796</v>
      </c>
      <c r="Y552" s="178">
        <v>7.9549464525648216E-3</v>
      </c>
      <c r="Z552" s="183">
        <v>1.3678601249278444E-3</v>
      </c>
    </row>
    <row r="553" spans="22:26" x14ac:dyDescent="0.2">
      <c r="V553" s="180" t="str">
        <f t="shared" si="16"/>
        <v>1w</v>
      </c>
      <c r="W553" s="177">
        <f>_xll.qlCalendarAdvance(Calendar,W552,V553,"f",FALSE)</f>
        <v>42801</v>
      </c>
      <c r="X553" s="181">
        <f>_xll.qlCalendarAdvance(Calendar,W553,NDays&amp;"D")</f>
        <v>42803</v>
      </c>
      <c r="Y553" s="178">
        <v>8.0804846003637177E-3</v>
      </c>
      <c r="Z553" s="183">
        <v>1.05661520213296E-3</v>
      </c>
    </row>
    <row r="554" spans="22:26" x14ac:dyDescent="0.2">
      <c r="V554" s="180" t="str">
        <f t="shared" si="16"/>
        <v>1w</v>
      </c>
      <c r="W554" s="177">
        <f>_xll.qlCalendarAdvance(Calendar,W553,V554,"f",FALSE)</f>
        <v>42808</v>
      </c>
      <c r="X554" s="181">
        <f>_xll.qlCalendarAdvance(Calendar,W554,NDays&amp;"D")</f>
        <v>42810</v>
      </c>
      <c r="Y554" s="178">
        <v>8.2087083019697846E-3</v>
      </c>
      <c r="Z554" s="183">
        <v>7.9335309681738408E-4</v>
      </c>
    </row>
    <row r="555" spans="22:26" x14ac:dyDescent="0.2">
      <c r="V555" s="180" t="str">
        <f t="shared" si="16"/>
        <v>1w</v>
      </c>
      <c r="W555" s="177">
        <f>_xll.qlCalendarAdvance(Calendar,W554,V555,"f",FALSE)</f>
        <v>42815</v>
      </c>
      <c r="X555" s="181">
        <f>_xll.qlCalendarAdvance(Calendar,W555,NDays&amp;"D")</f>
        <v>42817</v>
      </c>
      <c r="Y555" s="178">
        <v>8.3388608548728375E-3</v>
      </c>
      <c r="Z555" s="183">
        <v>5.7807370370532851E-4</v>
      </c>
    </row>
    <row r="556" spans="22:26" x14ac:dyDescent="0.2">
      <c r="V556" s="180" t="str">
        <f t="shared" si="16"/>
        <v>1w</v>
      </c>
      <c r="W556" s="177">
        <f>_xll.qlCalendarAdvance(Calendar,W555,V556,"f",FALSE)</f>
        <v>42822</v>
      </c>
      <c r="X556" s="181">
        <f>_xll.qlCalendarAdvance(Calendar,W556,NDays&amp;"D")</f>
        <v>42824</v>
      </c>
      <c r="Y556" s="178">
        <v>8.4734033451655724E-3</v>
      </c>
      <c r="Z556" s="183">
        <v>4.1077693670565907E-4</v>
      </c>
    </row>
    <row r="557" spans="22:26" x14ac:dyDescent="0.2">
      <c r="V557" s="180" t="str">
        <f t="shared" si="16"/>
        <v>1w</v>
      </c>
      <c r="W557" s="177">
        <f>_xll.qlCalendarAdvance(Calendar,W556,V557,"f",FALSE)</f>
        <v>42829</v>
      </c>
      <c r="X557" s="181">
        <f>_xll.qlCalendarAdvance(Calendar,W557,NDays&amp;"D")</f>
        <v>42831</v>
      </c>
      <c r="Y557" s="178">
        <v>8.6019237833520751E-3</v>
      </c>
      <c r="Z557" s="183">
        <v>2.9146272883195934E-4</v>
      </c>
    </row>
    <row r="558" spans="22:26" x14ac:dyDescent="0.2">
      <c r="V558" s="180" t="str">
        <f t="shared" si="16"/>
        <v>1w</v>
      </c>
      <c r="W558" s="177">
        <f>_xll.qlCalendarAdvance(Calendar,W557,V558,"f",FALSE)</f>
        <v>42836</v>
      </c>
      <c r="X558" s="181">
        <f>_xll.qlCalendarAdvance(Calendar,W558,NDays&amp;"D")</f>
        <v>42838</v>
      </c>
      <c r="Y558" s="178">
        <v>8.7333188030815374E-3</v>
      </c>
      <c r="Z558" s="183">
        <v>2.095431358348776E-4</v>
      </c>
    </row>
    <row r="559" spans="22:26" x14ac:dyDescent="0.2">
      <c r="V559" s="180" t="str">
        <f t="shared" si="16"/>
        <v>1w</v>
      </c>
      <c r="W559" s="177">
        <f>_xll.qlCalendarAdvance(Calendar,W558,V559,"f",FALSE)</f>
        <v>42843</v>
      </c>
      <c r="X559" s="181">
        <f>_xll.qlCalendarAdvance(Calendar,W559,NDays&amp;"D")</f>
        <v>42845</v>
      </c>
      <c r="Y559" s="178">
        <v>8.8636119561057245E-3</v>
      </c>
      <c r="Z559" s="183">
        <v>1.9678181915949722E-4</v>
      </c>
    </row>
    <row r="560" spans="22:26" x14ac:dyDescent="0.2">
      <c r="V560" s="180" t="str">
        <f t="shared" si="16"/>
        <v>1w</v>
      </c>
      <c r="W560" s="177">
        <f>_xll.qlCalendarAdvance(Calendar,W559,V560,"f",FALSE)</f>
        <v>42850</v>
      </c>
      <c r="X560" s="181">
        <f>_xll.qlCalendarAdvance(Calendar,W560,NDays&amp;"D")</f>
        <v>42852</v>
      </c>
      <c r="Y560" s="178">
        <v>8.9920445701730401E-3</v>
      </c>
      <c r="Z560" s="183">
        <v>2.2141507947104344E-4</v>
      </c>
    </row>
    <row r="561" spans="22:26" x14ac:dyDescent="0.2">
      <c r="V561" s="180" t="str">
        <f t="shared" si="16"/>
        <v>1w</v>
      </c>
      <c r="W561" s="177">
        <f>_xll.qlCalendarAdvance(Calendar,W560,V561,"f",FALSE)</f>
        <v>42857</v>
      </c>
      <c r="X561" s="181">
        <f>_xll.qlCalendarAdvance(Calendar,W561,NDays&amp;"D")</f>
        <v>42859</v>
      </c>
      <c r="Y561" s="178">
        <v>9.1176406986679063E-3</v>
      </c>
      <c r="Z561" s="183">
        <v>5.2792201618245826E-4</v>
      </c>
    </row>
    <row r="562" spans="22:26" x14ac:dyDescent="0.2">
      <c r="V562" s="180" t="str">
        <f t="shared" si="16"/>
        <v>1w</v>
      </c>
      <c r="W562" s="177">
        <f>_xll.qlCalendarAdvance(Calendar,W561,V562,"f",FALSE)</f>
        <v>42864</v>
      </c>
      <c r="X562" s="181">
        <f>_xll.qlCalendarAdvance(Calendar,W562,NDays&amp;"D")</f>
        <v>42866</v>
      </c>
      <c r="Y562" s="178">
        <v>9.2268516955112973E-3</v>
      </c>
      <c r="Z562" s="183">
        <v>1.6766395106682097E-3</v>
      </c>
    </row>
    <row r="563" spans="22:26" x14ac:dyDescent="0.2">
      <c r="V563" s="180" t="str">
        <f t="shared" si="16"/>
        <v>1w</v>
      </c>
      <c r="W563" s="177">
        <f>_xll.qlCalendarAdvance(Calendar,W562,V563,"f",FALSE)</f>
        <v>42871</v>
      </c>
      <c r="X563" s="181">
        <f>_xll.qlCalendarAdvance(Calendar,W563,NDays&amp;"D")</f>
        <v>42873</v>
      </c>
      <c r="Y563" s="178">
        <v>9.3128890360888797E-3</v>
      </c>
      <c r="Z563" s="183">
        <v>2.7682733480727251E-3</v>
      </c>
    </row>
    <row r="564" spans="22:26" x14ac:dyDescent="0.2">
      <c r="V564" s="180" t="str">
        <f t="shared" si="16"/>
        <v>1w</v>
      </c>
      <c r="W564" s="177">
        <f>_xll.qlCalendarAdvance(Calendar,W563,V564,"f",FALSE)</f>
        <v>42878</v>
      </c>
      <c r="X564" s="181">
        <f>_xll.qlCalendarAdvance(Calendar,W564,NDays&amp;"D")</f>
        <v>42880</v>
      </c>
      <c r="Y564" s="178">
        <v>9.3770223671765345E-3</v>
      </c>
      <c r="Z564" s="183">
        <v>3.8028230092113091E-3</v>
      </c>
    </row>
    <row r="565" spans="22:26" x14ac:dyDescent="0.2">
      <c r="V565" s="180" t="str">
        <f t="shared" si="16"/>
        <v>1w</v>
      </c>
      <c r="W565" s="177">
        <f>_xll.qlCalendarAdvance(Calendar,W564,V565,"f",FALSE)</f>
        <v>42885</v>
      </c>
      <c r="X565" s="181">
        <f>_xll.qlCalendarAdvance(Calendar,W565,NDays&amp;"D")</f>
        <v>42887</v>
      </c>
      <c r="Y565" s="178">
        <v>9.4205231676543575E-3</v>
      </c>
      <c r="Z565" s="183">
        <v>4.7802880018377181E-3</v>
      </c>
    </row>
    <row r="566" spans="22:26" x14ac:dyDescent="0.2">
      <c r="V566" s="180" t="str">
        <f t="shared" si="16"/>
        <v>1w</v>
      </c>
      <c r="W566" s="177">
        <f>_xll.qlCalendarAdvance(Calendar,W565,V566,"f",FALSE)</f>
        <v>42892</v>
      </c>
      <c r="X566" s="181">
        <f>_xll.qlCalendarAdvance(Calendar,W566,NDays&amp;"D")</f>
        <v>42894</v>
      </c>
      <c r="Y566" s="178">
        <v>9.4446644764669685E-3</v>
      </c>
      <c r="Z566" s="183">
        <v>5.7006678608839678E-3</v>
      </c>
    </row>
    <row r="567" spans="22:26" x14ac:dyDescent="0.2">
      <c r="V567" s="180" t="str">
        <f t="shared" si="16"/>
        <v>1w</v>
      </c>
      <c r="W567" s="177">
        <f>_xll.qlCalendarAdvance(Calendar,W566,V567,"f",FALSE)</f>
        <v>42899</v>
      </c>
      <c r="X567" s="181">
        <f>_xll.qlCalendarAdvance(Calendar,W567,NDays&amp;"D")</f>
        <v>42901</v>
      </c>
      <c r="Y567" s="178">
        <v>9.4507206367067872E-3</v>
      </c>
      <c r="Z567" s="183">
        <v>6.5639621487001421E-3</v>
      </c>
    </row>
    <row r="568" spans="22:26" x14ac:dyDescent="0.2">
      <c r="V568" s="180" t="str">
        <f t="shared" si="16"/>
        <v>1w</v>
      </c>
      <c r="W568" s="177">
        <f>_xll.qlCalendarAdvance(Calendar,W567,V568,"f",FALSE)</f>
        <v>42906</v>
      </c>
      <c r="X568" s="181">
        <f>_xll.qlCalendarAdvance(Calendar,W568,NDays&amp;"D")</f>
        <v>42908</v>
      </c>
      <c r="Y568" s="178">
        <v>9.4399670558796677E-3</v>
      </c>
      <c r="Z568" s="183">
        <v>7.3701704544149038E-3</v>
      </c>
    </row>
    <row r="569" spans="22:26" x14ac:dyDescent="0.2">
      <c r="V569" s="180" t="str">
        <f t="shared" si="16"/>
        <v>1w</v>
      </c>
      <c r="W569" s="177">
        <f>_xll.qlCalendarAdvance(Calendar,W568,V569,"f",FALSE)</f>
        <v>42913</v>
      </c>
      <c r="X569" s="181">
        <f>_xll.qlCalendarAdvance(Calendar,W569,NDays&amp;"D")</f>
        <v>42915</v>
      </c>
      <c r="Y569" s="178">
        <v>9.4136799824036787E-3</v>
      </c>
      <c r="Z569" s="183">
        <v>8.11929239465492E-3</v>
      </c>
    </row>
    <row r="570" spans="22:26" x14ac:dyDescent="0.2">
      <c r="V570" s="180" t="str">
        <f t="shared" si="16"/>
        <v>1w</v>
      </c>
      <c r="W570" s="177">
        <f>_xll.qlCalendarAdvance(Calendar,W569,V570,"f",FALSE)</f>
        <v>42920</v>
      </c>
      <c r="X570" s="181">
        <f>_xll.qlCalendarAdvance(Calendar,W570,NDays&amp;"D")</f>
        <v>42922</v>
      </c>
      <c r="Y570" s="178">
        <v>9.3731362983811208E-3</v>
      </c>
      <c r="Z570" s="183">
        <v>8.811327612905373E-3</v>
      </c>
    </row>
    <row r="571" spans="22:26" x14ac:dyDescent="0.2">
      <c r="V571" s="180" t="str">
        <f t="shared" si="16"/>
        <v>1w</v>
      </c>
      <c r="W571" s="177">
        <f>_xll.qlCalendarAdvance(Calendar,W570,V571,"f",FALSE)</f>
        <v>42927</v>
      </c>
      <c r="X571" s="181">
        <f>_xll.qlCalendarAdvance(Calendar,W571,NDays&amp;"D")</f>
        <v>42929</v>
      </c>
      <c r="Y571" s="178">
        <v>9.3196133286798967E-3</v>
      </c>
      <c r="Z571" s="183">
        <v>9.4462757799895769E-3</v>
      </c>
    </row>
    <row r="572" spans="22:26" x14ac:dyDescent="0.2">
      <c r="V572" s="180" t="str">
        <f t="shared" si="16"/>
        <v>1w</v>
      </c>
      <c r="W572" s="177">
        <f>_xll.qlCalendarAdvance(Calendar,W571,V572,"f",FALSE)</f>
        <v>42934</v>
      </c>
      <c r="X572" s="181">
        <f>_xll.qlCalendarAdvance(Calendar,W572,NDays&amp;"D")</f>
        <v>42936</v>
      </c>
      <c r="Y572" s="178">
        <v>9.2543886663507581E-3</v>
      </c>
      <c r="Z572" s="183">
        <v>1.0024136593989041E-2</v>
      </c>
    </row>
    <row r="573" spans="22:26" x14ac:dyDescent="0.2">
      <c r="V573" s="180" t="str">
        <f t="shared" si="16"/>
        <v>1w</v>
      </c>
      <c r="W573" s="177">
        <f>_xll.qlCalendarAdvance(Calendar,W572,V573,"f",FALSE)</f>
        <v>42941</v>
      </c>
      <c r="X573" s="181">
        <f>_xll.qlCalendarAdvance(Calendar,W573,NDays&amp;"D")</f>
        <v>42943</v>
      </c>
      <c r="Y573" s="178">
        <v>9.1787400143994568E-3</v>
      </c>
      <c r="Z573" s="183">
        <v>1.0544909779843792E-2</v>
      </c>
    </row>
    <row r="574" spans="22:26" x14ac:dyDescent="0.2">
      <c r="V574" s="180" t="str">
        <f t="shared" si="16"/>
        <v>1w</v>
      </c>
      <c r="W574" s="177">
        <f>_xll.qlCalendarAdvance(Calendar,W573,V574,"f",FALSE)</f>
        <v>42948</v>
      </c>
      <c r="X574" s="181">
        <f>_xll.qlCalendarAdvance(Calendar,W574,NDays&amp;"D")</f>
        <v>42950</v>
      </c>
      <c r="Y574" s="178">
        <v>9.0939450439328808E-3</v>
      </c>
      <c r="Z574" s="183">
        <v>1.1008595089831985E-2</v>
      </c>
    </row>
    <row r="575" spans="22:26" x14ac:dyDescent="0.2">
      <c r="V575" s="180" t="str">
        <f t="shared" si="16"/>
        <v>1w</v>
      </c>
      <c r="W575" s="177">
        <f>_xll.qlCalendarAdvance(Calendar,W574,V575,"f",FALSE)</f>
        <v>42955</v>
      </c>
      <c r="X575" s="181">
        <f>_xll.qlCalendarAdvance(Calendar,W575,NDays&amp;"D")</f>
        <v>42957</v>
      </c>
      <c r="Y575" s="178">
        <v>9.0012812686828727E-3</v>
      </c>
      <c r="Z575" s="183">
        <v>1.1415192303410038E-2</v>
      </c>
    </row>
    <row r="576" spans="22:26" x14ac:dyDescent="0.2">
      <c r="V576" s="180" t="str">
        <f t="shared" si="16"/>
        <v>1w</v>
      </c>
      <c r="W576" s="177">
        <f>_xll.qlCalendarAdvance(Calendar,W575,V576,"f",FALSE)</f>
        <v>42962</v>
      </c>
      <c r="X576" s="181">
        <f>_xll.qlCalendarAdvance(Calendar,W576,NDays&amp;"D")</f>
        <v>42964</v>
      </c>
      <c r="Y576" s="178">
        <v>8.9020259359140954E-3</v>
      </c>
      <c r="Z576" s="183">
        <v>1.176470122713269E-2</v>
      </c>
    </row>
    <row r="577" spans="22:26" x14ac:dyDescent="0.2">
      <c r="V577" s="180" t="str">
        <f t="shared" si="16"/>
        <v>1w</v>
      </c>
      <c r="W577" s="177">
        <f>_xll.qlCalendarAdvance(Calendar,W576,V577,"f",FALSE)</f>
        <v>42969</v>
      </c>
      <c r="X577" s="181">
        <f>_xll.qlCalendarAdvance(Calendar,W577,NDays&amp;"D")</f>
        <v>42971</v>
      </c>
      <c r="Y577" s="178">
        <v>8.7974559337203294E-3</v>
      </c>
      <c r="Z577" s="183">
        <v>1.2057121694732942E-2</v>
      </c>
    </row>
    <row r="578" spans="22:26" x14ac:dyDescent="0.2">
      <c r="V578" s="180" t="str">
        <f t="shared" si="16"/>
        <v>1w</v>
      </c>
      <c r="W578" s="177">
        <f>_xll.qlCalendarAdvance(Calendar,W577,V578,"f",FALSE)</f>
        <v>42976</v>
      </c>
      <c r="X578" s="181">
        <f>_xll.qlCalendarAdvance(Calendar,W578,NDays&amp;"D")</f>
        <v>42978</v>
      </c>
      <c r="Y578" s="178">
        <v>8.6888477146971448E-3</v>
      </c>
      <c r="Z578" s="183">
        <v>1.2292453567122053E-2</v>
      </c>
    </row>
    <row r="579" spans="22:26" x14ac:dyDescent="0.2">
      <c r="V579" s="180" t="str">
        <f t="shared" si="16"/>
        <v>1w</v>
      </c>
      <c r="W579" s="177">
        <f>_xll.qlCalendarAdvance(Calendar,W578,V579,"f",FALSE)</f>
        <v>42983</v>
      </c>
      <c r="X579" s="181">
        <f>_xll.qlCalendarAdvance(Calendar,W579,NDays&amp;"D")</f>
        <v>42985</v>
      </c>
      <c r="Y579" s="178">
        <v>8.5774772359946665E-3</v>
      </c>
      <c r="Z579" s="183">
        <v>1.2470696732309605E-2</v>
      </c>
    </row>
    <row r="580" spans="22:26" x14ac:dyDescent="0.2">
      <c r="V580" s="180" t="str">
        <f t="shared" si="16"/>
        <v>1w</v>
      </c>
      <c r="W580" s="177">
        <f>_xll.qlCalendarAdvance(Calendar,W579,V580,"f",FALSE)</f>
        <v>42990</v>
      </c>
      <c r="X580" s="181">
        <f>_xll.qlCalendarAdvance(Calendar,W580,NDays&amp;"D")</f>
        <v>42992</v>
      </c>
      <c r="Y580" s="178">
        <v>8.4646199157320714E-3</v>
      </c>
      <c r="Z580" s="183">
        <v>1.2591851105483443E-2</v>
      </c>
    </row>
    <row r="581" spans="22:26" x14ac:dyDescent="0.2">
      <c r="V581" s="180" t="str">
        <f t="shared" si="16"/>
        <v>1w</v>
      </c>
      <c r="W581" s="177">
        <f>_xll.qlCalendarAdvance(Calendar,W580,V581,"f",FALSE)</f>
        <v>42997</v>
      </c>
      <c r="X581" s="181">
        <f>_xll.qlCalendarAdvance(Calendar,W581,NDays&amp;"D")</f>
        <v>42999</v>
      </c>
      <c r="Y581" s="178">
        <v>8.3515506057702561E-3</v>
      </c>
      <c r="Z581" s="183">
        <v>1.2655916629089603E-2</v>
      </c>
    </row>
    <row r="582" spans="22:26" x14ac:dyDescent="0.2">
      <c r="V582" s="180" t="str">
        <f t="shared" si="16"/>
        <v>1w</v>
      </c>
      <c r="W582" s="177">
        <f>_xll.qlCalendarAdvance(Calendar,W581,V582,"f",FALSE)</f>
        <v>43004</v>
      </c>
      <c r="X582" s="181">
        <f>_xll.qlCalendarAdvance(Calendar,W582,NDays&amp;"D")</f>
        <v>43006</v>
      </c>
      <c r="Y582" s="178">
        <v>8.2395435808263091E-3</v>
      </c>
      <c r="Z582" s="183">
        <v>1.2662893272592513E-2</v>
      </c>
    </row>
    <row r="583" spans="22:26" x14ac:dyDescent="0.2">
      <c r="V583" s="180" t="str">
        <f t="shared" si="16"/>
        <v>1w</v>
      </c>
      <c r="W583" s="177">
        <f>_xll.qlCalendarAdvance(Calendar,W582,V583,"f",FALSE)</f>
        <v>43011</v>
      </c>
      <c r="X583" s="181">
        <f>_xll.qlCalendarAdvance(Calendar,W583,NDays&amp;"D")</f>
        <v>43013</v>
      </c>
      <c r="Y583" s="178">
        <v>8.1298725439196695E-3</v>
      </c>
      <c r="Z583" s="183">
        <v>1.2612781032714793E-2</v>
      </c>
    </row>
    <row r="584" spans="22:26" x14ac:dyDescent="0.2">
      <c r="V584" s="180" t="str">
        <f t="shared" si="16"/>
        <v>1w</v>
      </c>
      <c r="W584" s="177">
        <f>_xll.qlCalendarAdvance(Calendar,W583,V584,"f",FALSE)</f>
        <v>43018</v>
      </c>
      <c r="X584" s="181">
        <f>_xll.qlCalendarAdvance(Calendar,W584,NDays&amp;"D")</f>
        <v>43020</v>
      </c>
      <c r="Y584" s="178">
        <v>8.0238106481342244E-3</v>
      </c>
      <c r="Z584" s="183">
        <v>1.2505579933197453E-2</v>
      </c>
    </row>
    <row r="585" spans="22:26" x14ac:dyDescent="0.2">
      <c r="V585" s="180" t="str">
        <f t="shared" si="16"/>
        <v>1w</v>
      </c>
      <c r="W585" s="177">
        <f>_xll.qlCalendarAdvance(Calendar,W584,V585,"f",FALSE)</f>
        <v>43025</v>
      </c>
      <c r="X585" s="181">
        <f>_xll.qlCalendarAdvance(Calendar,W585,NDays&amp;"D")</f>
        <v>43027</v>
      </c>
      <c r="Y585" s="178">
        <v>7.9226305346884671E-3</v>
      </c>
      <c r="Z585" s="183">
        <v>1.2341290025119633E-2</v>
      </c>
    </row>
    <row r="586" spans="22:26" x14ac:dyDescent="0.2">
      <c r="V586" s="180" t="str">
        <f t="shared" si="16"/>
        <v>1w</v>
      </c>
      <c r="W586" s="177">
        <f>_xll.qlCalendarAdvance(Calendar,W585,V586,"f",FALSE)</f>
        <v>43032</v>
      </c>
      <c r="X586" s="181">
        <f>_xll.qlCalendarAdvance(Calendar,W586,NDays&amp;"D")</f>
        <v>43034</v>
      </c>
      <c r="Y586" s="178">
        <v>7.8276043872970453E-3</v>
      </c>
      <c r="Z586" s="183">
        <v>1.2119911386658799E-2</v>
      </c>
    </row>
    <row r="587" spans="22:26" x14ac:dyDescent="0.2">
      <c r="V587" s="180" t="str">
        <f t="shared" si="16"/>
        <v>1w</v>
      </c>
      <c r="W587" s="177">
        <f>_xll.qlCalendarAdvance(Calendar,W586,V587,"f",FALSE)</f>
        <v>43039</v>
      </c>
      <c r="X587" s="181">
        <f>_xll.qlCalendarAdvance(Calendar,W587,NDays&amp;"D")</f>
        <v>43041</v>
      </c>
      <c r="Y587" s="178">
        <v>7.7400040028202197E-3</v>
      </c>
      <c r="Z587" s="183">
        <v>1.1841444123090739E-2</v>
      </c>
    </row>
    <row r="588" spans="22:26" x14ac:dyDescent="0.2">
      <c r="V588" s="180" t="str">
        <f t="shared" si="16"/>
        <v>1w</v>
      </c>
      <c r="W588" s="177">
        <f>_xll.qlCalendarAdvance(Calendar,W587,V588,"f",FALSE)</f>
        <v>43046</v>
      </c>
      <c r="X588" s="181">
        <f>_xll.qlCalendarAdvance(Calendar,W588,NDays&amp;"D")</f>
        <v>43048</v>
      </c>
      <c r="Y588" s="178">
        <v>7.6609604101732292E-3</v>
      </c>
      <c r="Z588" s="183">
        <v>1.1534351965627465E-2</v>
      </c>
    </row>
    <row r="589" spans="22:26" x14ac:dyDescent="0.2">
      <c r="V589" s="180" t="str">
        <f t="shared" si="16"/>
        <v>1w</v>
      </c>
      <c r="W589" s="177">
        <f>_xll.qlCalendarAdvance(Calendar,W588,V589,"f",FALSE)</f>
        <v>43053</v>
      </c>
      <c r="X589" s="181">
        <f>_xll.qlCalendarAdvance(Calendar,W589,NDays&amp;"D")</f>
        <v>43055</v>
      </c>
      <c r="Y589" s="178">
        <v>7.590665311509621E-3</v>
      </c>
      <c r="Z589" s="183">
        <v>1.1235839345324905E-2</v>
      </c>
    </row>
    <row r="590" spans="22:26" x14ac:dyDescent="0.2">
      <c r="V590" s="180" t="str">
        <f t="shared" si="16"/>
        <v>1w</v>
      </c>
      <c r="W590" s="177">
        <f>_xll.qlCalendarAdvance(Calendar,W589,V590,"f",FALSE)</f>
        <v>43060</v>
      </c>
      <c r="X590" s="181">
        <f>_xll.qlCalendarAdvance(Calendar,W590,NDays&amp;"D")</f>
        <v>43062</v>
      </c>
      <c r="Y590" s="178">
        <v>7.5289013721820215E-3</v>
      </c>
      <c r="Z590" s="183">
        <v>1.0946130363160833E-2</v>
      </c>
    </row>
    <row r="591" spans="22:26" x14ac:dyDescent="0.2">
      <c r="V591" s="180" t="str">
        <f t="shared" si="16"/>
        <v>1w</v>
      </c>
      <c r="W591" s="177">
        <f>_xll.qlCalendarAdvance(Calendar,W590,V591,"f",FALSE)</f>
        <v>43067</v>
      </c>
      <c r="X591" s="181">
        <f>_xll.qlCalendarAdvance(Calendar,W591,NDays&amp;"D")</f>
        <v>43069</v>
      </c>
      <c r="Y591" s="178">
        <v>7.4754480432305129E-3</v>
      </c>
      <c r="Z591" s="183">
        <v>1.066522499803213E-2</v>
      </c>
    </row>
    <row r="592" spans="22:26" x14ac:dyDescent="0.2">
      <c r="V592" s="180" t="str">
        <f t="shared" si="16"/>
        <v>1w</v>
      </c>
      <c r="W592" s="177">
        <f>_xll.qlCalendarAdvance(Calendar,W591,V592,"f",FALSE)</f>
        <v>43074</v>
      </c>
      <c r="X592" s="181">
        <f>_xll.qlCalendarAdvance(Calendar,W592,NDays&amp;"D")</f>
        <v>43076</v>
      </c>
      <c r="Y592" s="178">
        <v>7.4300850350016183E-3</v>
      </c>
      <c r="Z592" s="183">
        <v>1.0393123229155421E-2</v>
      </c>
    </row>
    <row r="593" spans="22:26" x14ac:dyDescent="0.2">
      <c r="V593" s="180" t="str">
        <f t="shared" si="16"/>
        <v>1w</v>
      </c>
      <c r="W593" s="177">
        <f>_xll.qlCalendarAdvance(Calendar,W592,V593,"f",FALSE)</f>
        <v>43081</v>
      </c>
      <c r="X593" s="181">
        <f>_xll.qlCalendarAdvance(Calendar,W593,NDays&amp;"D")</f>
        <v>43083</v>
      </c>
      <c r="Y593" s="178">
        <v>7.3925922990249332E-3</v>
      </c>
      <c r="Z593" s="183">
        <v>1.0129825036706563E-2</v>
      </c>
    </row>
    <row r="594" spans="22:26" x14ac:dyDescent="0.2">
      <c r="V594" s="180" t="str">
        <f t="shared" si="16"/>
        <v>1w</v>
      </c>
      <c r="W594" s="177">
        <f>_xll.qlCalendarAdvance(Calendar,W593,V594,"f",FALSE)</f>
        <v>43088</v>
      </c>
      <c r="X594" s="181">
        <f>_xll.qlCalendarAdvance(Calendar,W594,NDays&amp;"D")</f>
        <v>43090</v>
      </c>
      <c r="Y594" s="178">
        <v>7.3627500103862408E-3</v>
      </c>
      <c r="Z594" s="183">
        <v>9.8753304013410315E-3</v>
      </c>
    </row>
    <row r="595" spans="22:26" x14ac:dyDescent="0.2">
      <c r="V595" s="180" t="str">
        <f t="shared" si="16"/>
        <v>1w</v>
      </c>
      <c r="W595" s="177">
        <f>_xll.qlCalendarAdvance(Calendar,W594,V595,"f",FALSE)</f>
        <v>43096</v>
      </c>
      <c r="X595" s="181">
        <f>_xll.qlCalendarAdvance(Calendar,W595,NDays&amp;"D")</f>
        <v>43098</v>
      </c>
      <c r="Y595" s="178">
        <v>7.3455782230311883E-3</v>
      </c>
      <c r="Z595" s="183">
        <v>9.5445178295250344E-3</v>
      </c>
    </row>
    <row r="596" spans="22:26" x14ac:dyDescent="0.2">
      <c r="V596" s="180" t="str">
        <f t="shared" si="16"/>
        <v>1w</v>
      </c>
      <c r="W596" s="177">
        <f>_xll.qlCalendarAdvance(Calendar,W595,V596,"f",FALSE)</f>
        <v>43103</v>
      </c>
      <c r="X596" s="181">
        <f>_xll.qlCalendarAdvance(Calendar,W596,NDays&amp;"D")</f>
        <v>43105</v>
      </c>
      <c r="Y596" s="178">
        <v>7.332177148436099E-3</v>
      </c>
      <c r="Z596" s="183">
        <v>9.3269880562907304E-3</v>
      </c>
    </row>
    <row r="597" spans="22:26" x14ac:dyDescent="0.2">
      <c r="V597" s="180" t="str">
        <f t="shared" ref="V597:V660" si="17">V596</f>
        <v>1w</v>
      </c>
      <c r="W597" s="177">
        <f>_xll.qlCalendarAdvance(Calendar,W596,V597,"f",FALSE)</f>
        <v>43110</v>
      </c>
      <c r="X597" s="181">
        <f>_xll.qlCalendarAdvance(Calendar,W597,NDays&amp;"D")</f>
        <v>43112</v>
      </c>
      <c r="Y597" s="178">
        <v>7.3256854213375501E-3</v>
      </c>
      <c r="Z597" s="183">
        <v>9.1014077193740661E-3</v>
      </c>
    </row>
    <row r="598" spans="22:26" x14ac:dyDescent="0.2">
      <c r="V598" s="180" t="str">
        <f t="shared" si="17"/>
        <v>1w</v>
      </c>
      <c r="W598" s="177">
        <f>_xll.qlCalendarAdvance(Calendar,W597,V598,"f",FALSE)</f>
        <v>43117</v>
      </c>
      <c r="X598" s="181">
        <f>_xll.qlCalendarAdvance(Calendar,W598,NDays&amp;"D")</f>
        <v>43119</v>
      </c>
      <c r="Y598" s="178">
        <v>7.3258851637249761E-3</v>
      </c>
      <c r="Z598" s="183">
        <v>8.8846315810542364E-3</v>
      </c>
    </row>
    <row r="599" spans="22:26" x14ac:dyDescent="0.2">
      <c r="V599" s="180" t="str">
        <f t="shared" si="17"/>
        <v>1w</v>
      </c>
      <c r="W599" s="177">
        <f>_xll.qlCalendarAdvance(Calendar,W598,V599,"f",FALSE)</f>
        <v>43124</v>
      </c>
      <c r="X599" s="181">
        <f>_xll.qlCalendarAdvance(Calendar,W599,NDays&amp;"D")</f>
        <v>43126</v>
      </c>
      <c r="Y599" s="178">
        <v>7.3325586363335018E-3</v>
      </c>
      <c r="Z599" s="183">
        <v>8.6766595936094149E-3</v>
      </c>
    </row>
    <row r="600" spans="22:26" x14ac:dyDescent="0.2">
      <c r="V600" s="180" t="str">
        <f t="shared" si="17"/>
        <v>1w</v>
      </c>
      <c r="W600" s="177">
        <f>_xll.qlCalendarAdvance(Calendar,W599,V600,"f",FALSE)</f>
        <v>43131</v>
      </c>
      <c r="X600" s="181">
        <f>_xll.qlCalendarAdvance(Calendar,W600,NDays&amp;"D")</f>
        <v>43133</v>
      </c>
      <c r="Y600" s="178">
        <v>7.3454882241391437E-3</v>
      </c>
      <c r="Z600" s="183">
        <v>8.4774917112895309E-3</v>
      </c>
    </row>
    <row r="601" spans="22:26" x14ac:dyDescent="0.2">
      <c r="V601" s="180" t="str">
        <f t="shared" si="17"/>
        <v>1w</v>
      </c>
      <c r="W601" s="177">
        <f>_xll.qlCalendarAdvance(Calendar,W600,V601,"f",FALSE)</f>
        <v>43138</v>
      </c>
      <c r="X601" s="181">
        <f>_xll.qlCalendarAdvance(Calendar,W601,NDays&amp;"D")</f>
        <v>43140</v>
      </c>
      <c r="Y601" s="178">
        <v>7.3644564223399392E-3</v>
      </c>
      <c r="Z601" s="183">
        <v>8.2871278902363343E-3</v>
      </c>
    </row>
    <row r="602" spans="22:26" x14ac:dyDescent="0.2">
      <c r="V602" s="180" t="str">
        <f t="shared" si="17"/>
        <v>1w</v>
      </c>
      <c r="W602" s="177">
        <f>_xll.qlCalendarAdvance(Calendar,W601,V602,"f",FALSE)</f>
        <v>43145</v>
      </c>
      <c r="X602" s="181">
        <f>_xll.qlCalendarAdvance(Calendar,W602,NDays&amp;"D")</f>
        <v>43147</v>
      </c>
      <c r="Y602" s="178">
        <v>7.3892458228188747E-3</v>
      </c>
      <c r="Z602" s="183">
        <v>8.1055680885899761E-3</v>
      </c>
    </row>
    <row r="603" spans="22:26" x14ac:dyDescent="0.2">
      <c r="V603" s="180" t="str">
        <f t="shared" si="17"/>
        <v>1w</v>
      </c>
      <c r="W603" s="177">
        <f>_xll.qlCalendarAdvance(Calendar,W602,V603,"f",FALSE)</f>
        <v>43152</v>
      </c>
      <c r="X603" s="181">
        <f>_xll.qlCalendarAdvance(Calendar,W603,NDays&amp;"D")</f>
        <v>43154</v>
      </c>
      <c r="Y603" s="178">
        <v>7.4196391010881721E-3</v>
      </c>
      <c r="Z603" s="183">
        <v>7.9328122663557821E-3</v>
      </c>
    </row>
    <row r="604" spans="22:26" x14ac:dyDescent="0.2">
      <c r="V604" s="180" t="str">
        <f t="shared" si="17"/>
        <v>1w</v>
      </c>
      <c r="W604" s="177">
        <f>_xll.qlCalendarAdvance(Calendar,W603,V604,"f",FALSE)</f>
        <v>43159</v>
      </c>
      <c r="X604" s="181">
        <f>_xll.qlCalendarAdvance(Calendar,W604,NDays&amp;"D")</f>
        <v>43161</v>
      </c>
      <c r="Y604" s="178">
        <v>7.4554190037149299E-3</v>
      </c>
      <c r="Z604" s="183">
        <v>7.7688603855374794E-3</v>
      </c>
    </row>
    <row r="605" spans="22:26" x14ac:dyDescent="0.2">
      <c r="V605" s="180" t="str">
        <f t="shared" si="17"/>
        <v>1w</v>
      </c>
      <c r="W605" s="177">
        <f>_xll.qlCalendarAdvance(Calendar,W604,V605,"f",FALSE)</f>
        <v>43166</v>
      </c>
      <c r="X605" s="181">
        <f>_xll.qlCalendarAdvance(Calendar,W605,NDays&amp;"D")</f>
        <v>43168</v>
      </c>
      <c r="Y605" s="178">
        <v>7.4963683362281302E-3</v>
      </c>
      <c r="Z605" s="183">
        <v>7.6137124100572606E-3</v>
      </c>
    </row>
    <row r="606" spans="22:26" x14ac:dyDescent="0.2">
      <c r="V606" s="180" t="str">
        <f t="shared" si="17"/>
        <v>1w</v>
      </c>
      <c r="W606" s="177">
        <f>_xll.qlCalendarAdvance(Calendar,W605,V606,"f",FALSE)</f>
        <v>43173</v>
      </c>
      <c r="X606" s="181">
        <f>_xll.qlCalendarAdvance(Calendar,W606,NDays&amp;"D")</f>
        <v>43175</v>
      </c>
      <c r="Y606" s="178">
        <v>7.5422699515048201E-3</v>
      </c>
      <c r="Z606" s="183">
        <v>7.4673683057557838E-3</v>
      </c>
    </row>
    <row r="607" spans="22:26" x14ac:dyDescent="0.2">
      <c r="V607" s="180" t="str">
        <f t="shared" si="17"/>
        <v>1w</v>
      </c>
      <c r="W607" s="177">
        <f>_xll.qlCalendarAdvance(Calendar,W606,V607,"f",FALSE)</f>
        <v>43180</v>
      </c>
      <c r="X607" s="181">
        <f>_xll.qlCalendarAdvance(Calendar,W607,NDays&amp;"D")</f>
        <v>43182</v>
      </c>
      <c r="Y607" s="178">
        <v>7.5929067386346048E-3</v>
      </c>
      <c r="Z607" s="183">
        <v>7.3298280403921723E-3</v>
      </c>
    </row>
    <row r="608" spans="22:26" x14ac:dyDescent="0.2">
      <c r="V608" s="180" t="str">
        <f t="shared" si="17"/>
        <v>1w</v>
      </c>
      <c r="W608" s="177">
        <f>_xll.qlCalendarAdvance(Calendar,W607,V608,"f",FALSE)</f>
        <v>43187</v>
      </c>
      <c r="X608" s="181">
        <f>_xll.qlCalendarAdvance(Calendar,W608,NDays&amp;"D")</f>
        <v>43193</v>
      </c>
      <c r="Y608" s="178">
        <v>7.6669993859060795E-3</v>
      </c>
      <c r="Z608" s="183">
        <v>7.1484120194398315E-3</v>
      </c>
    </row>
    <row r="609" spans="22:26" x14ac:dyDescent="0.2">
      <c r="V609" s="180" t="str">
        <f t="shared" si="17"/>
        <v>1w</v>
      </c>
      <c r="W609" s="177">
        <f>_xll.qlCalendarAdvance(Calendar,W608,V609,"f",FALSE)</f>
        <v>43194</v>
      </c>
      <c r="X609" s="181">
        <f>_xll.qlCalendarAdvance(Calendar,W609,NDays&amp;"D")</f>
        <v>43196</v>
      </c>
      <c r="Y609" s="178">
        <v>7.7075175024219995E-3</v>
      </c>
      <c r="Z609" s="183">
        <v>7.0811589075070458E-3</v>
      </c>
    </row>
    <row r="610" spans="22:26" x14ac:dyDescent="0.2">
      <c r="V610" s="180" t="str">
        <f t="shared" si="17"/>
        <v>1w</v>
      </c>
      <c r="W610" s="177">
        <f>_xll.qlCalendarAdvance(Calendar,W609,V610,"f",FALSE)</f>
        <v>43201</v>
      </c>
      <c r="X610" s="181">
        <f>_xll.qlCalendarAdvance(Calendar,W610,NDays&amp;"D")</f>
        <v>43203</v>
      </c>
      <c r="Y610" s="178">
        <v>7.7710573448153773E-3</v>
      </c>
      <c r="Z610" s="183">
        <v>6.9700299852293313E-3</v>
      </c>
    </row>
    <row r="611" spans="22:26" x14ac:dyDescent="0.2">
      <c r="V611" s="180" t="str">
        <f t="shared" si="17"/>
        <v>1w</v>
      </c>
      <c r="W611" s="177">
        <f>_xll.qlCalendarAdvance(Calendar,W610,V611,"f",FALSE)</f>
        <v>43208</v>
      </c>
      <c r="X611" s="181">
        <f>_xll.qlCalendarAdvance(Calendar,W611,NDays&amp;"D")</f>
        <v>43210</v>
      </c>
      <c r="Y611" s="178">
        <v>7.8459190433525523E-3</v>
      </c>
      <c r="Z611" s="183">
        <v>6.8677047924570189E-3</v>
      </c>
    </row>
    <row r="612" spans="22:26" x14ac:dyDescent="0.2">
      <c r="V612" s="180" t="str">
        <f t="shared" si="17"/>
        <v>1w</v>
      </c>
      <c r="W612" s="177">
        <f>_xll.qlCalendarAdvance(Calendar,W611,V612,"f",FALSE)</f>
        <v>43215</v>
      </c>
      <c r="X612" s="181">
        <f>_xll.qlCalendarAdvance(Calendar,W612,NDays&amp;"D")</f>
        <v>43217</v>
      </c>
      <c r="Y612" s="178">
        <v>7.9095206026964272E-3</v>
      </c>
      <c r="Z612" s="183">
        <v>6.7741833067014312E-3</v>
      </c>
    </row>
    <row r="613" spans="22:26" x14ac:dyDescent="0.2">
      <c r="V613" s="180" t="str">
        <f t="shared" si="17"/>
        <v>1w</v>
      </c>
      <c r="W613" s="177">
        <f>_xll.qlCalendarAdvance(Calendar,W612,V613,"f",FALSE)</f>
        <v>43222</v>
      </c>
      <c r="X613" s="181">
        <f>_xll.qlCalendarAdvance(Calendar,W613,NDays&amp;"D")</f>
        <v>43224</v>
      </c>
      <c r="Y613" s="178">
        <v>7.9840098374014384E-3</v>
      </c>
      <c r="Z613" s="183">
        <v>6.6894655073657106E-3</v>
      </c>
    </row>
    <row r="614" spans="22:26" x14ac:dyDescent="0.2">
      <c r="V614" s="180" t="str">
        <f t="shared" si="17"/>
        <v>1w</v>
      </c>
      <c r="W614" s="177">
        <f>_xll.qlCalendarAdvance(Calendar,W613,V614,"f",FALSE)</f>
        <v>43229</v>
      </c>
      <c r="X614" s="181">
        <f>_xll.qlCalendarAdvance(Calendar,W614,NDays&amp;"D")</f>
        <v>43231</v>
      </c>
      <c r="Y614" s="178">
        <v>8.0617146467213113E-3</v>
      </c>
      <c r="Z614" s="183">
        <v>6.6135513757714648E-3</v>
      </c>
    </row>
    <row r="615" spans="22:26" x14ac:dyDescent="0.2">
      <c r="V615" s="180" t="str">
        <f t="shared" si="17"/>
        <v>1w</v>
      </c>
      <c r="W615" s="177">
        <f>_xll.qlCalendarAdvance(Calendar,W614,V615,"f",FALSE)</f>
        <v>43236</v>
      </c>
      <c r="X615" s="181">
        <f>_xll.qlCalendarAdvance(Calendar,W615,NDays&amp;"D")</f>
        <v>43238</v>
      </c>
      <c r="Y615" s="178">
        <v>8.1424178660000884E-3</v>
      </c>
      <c r="Z615" s="183">
        <v>6.5464408952919939E-3</v>
      </c>
    </row>
    <row r="616" spans="22:26" x14ac:dyDescent="0.2">
      <c r="V616" s="180" t="str">
        <f t="shared" si="17"/>
        <v>1w</v>
      </c>
      <c r="W616" s="177">
        <f>_xll.qlCalendarAdvance(Calendar,W615,V616,"f",FALSE)</f>
        <v>43243</v>
      </c>
      <c r="X616" s="181">
        <f>_xll.qlCalendarAdvance(Calendar,W616,NDays&amp;"D")</f>
        <v>43245</v>
      </c>
      <c r="Y616" s="178">
        <v>8.2259022880965572E-3</v>
      </c>
      <c r="Z616" s="183">
        <v>6.4881340510591912E-3</v>
      </c>
    </row>
    <row r="617" spans="22:26" x14ac:dyDescent="0.2">
      <c r="V617" s="180" t="str">
        <f t="shared" si="17"/>
        <v>1w</v>
      </c>
      <c r="W617" s="177">
        <f>_xll.qlCalendarAdvance(Calendar,W616,V617,"f",FALSE)</f>
        <v>43250</v>
      </c>
      <c r="X617" s="181">
        <f>_xll.qlCalendarAdvance(Calendar,W617,NDays&amp;"D")</f>
        <v>43252</v>
      </c>
      <c r="Y617" s="178">
        <v>8.3119506570277085E-3</v>
      </c>
      <c r="Z617" s="183">
        <v>6.438630830336578E-3</v>
      </c>
    </row>
    <row r="618" spans="22:26" x14ac:dyDescent="0.2">
      <c r="V618" s="180" t="str">
        <f t="shared" si="17"/>
        <v>1w</v>
      </c>
      <c r="W618" s="177">
        <f>_xll.qlCalendarAdvance(Calendar,W617,V618,"f",FALSE)</f>
        <v>43257</v>
      </c>
      <c r="X618" s="181">
        <f>_xll.qlCalendarAdvance(Calendar,W618,NDays&amp;"D")</f>
        <v>43259</v>
      </c>
      <c r="Y618" s="178">
        <v>8.4003456620900478E-3</v>
      </c>
      <c r="Z618" s="183">
        <v>6.3979312221729145E-3</v>
      </c>
    </row>
    <row r="619" spans="22:26" x14ac:dyDescent="0.2">
      <c r="V619" s="180" t="str">
        <f t="shared" si="17"/>
        <v>1w</v>
      </c>
      <c r="W619" s="177">
        <f>_xll.qlCalendarAdvance(Calendar,W618,V619,"f",FALSE)</f>
        <v>43264</v>
      </c>
      <c r="X619" s="181">
        <f>_xll.qlCalendarAdvance(Calendar,W619,NDays&amp;"D")</f>
        <v>43266</v>
      </c>
      <c r="Y619" s="178">
        <v>8.4908699324568425E-3</v>
      </c>
      <c r="Z619" s="183">
        <v>6.3660352175887169E-3</v>
      </c>
    </row>
    <row r="620" spans="22:26" x14ac:dyDescent="0.2">
      <c r="V620" s="180" t="str">
        <f t="shared" si="17"/>
        <v>1w</v>
      </c>
      <c r="W620" s="177">
        <f>_xll.qlCalendarAdvance(Calendar,W619,V620,"f",FALSE)</f>
        <v>43271</v>
      </c>
      <c r="X620" s="181">
        <f>_xll.qlCalendarAdvance(Calendar,W620,NDays&amp;"D")</f>
        <v>43273</v>
      </c>
      <c r="Y620" s="178">
        <v>8.5833060322543162E-3</v>
      </c>
      <c r="Z620" s="183">
        <v>6.3429428096561935E-3</v>
      </c>
    </row>
    <row r="621" spans="22:26" x14ac:dyDescent="0.2">
      <c r="V621" s="180" t="str">
        <f t="shared" si="17"/>
        <v>1w</v>
      </c>
      <c r="W621" s="177">
        <f>_xll.qlCalendarAdvance(Calendar,W620,V621,"f",FALSE)</f>
        <v>43278</v>
      </c>
      <c r="X621" s="181">
        <f>_xll.qlCalendarAdvance(Calendar,W621,NDays&amp;"D")</f>
        <v>43280</v>
      </c>
      <c r="Y621" s="178">
        <v>8.6554269211338072E-3</v>
      </c>
      <c r="Z621" s="183">
        <v>6.3286539932061459E-3</v>
      </c>
    </row>
    <row r="622" spans="22:26" x14ac:dyDescent="0.2">
      <c r="V622" s="180" t="str">
        <f t="shared" si="17"/>
        <v>1w</v>
      </c>
      <c r="W622" s="177">
        <f>_xll.qlCalendarAdvance(Calendar,W621,V622,"f",FALSE)</f>
        <v>43285</v>
      </c>
      <c r="X622" s="181">
        <f>_xll.qlCalendarAdvance(Calendar,W622,NDays&amp;"D")</f>
        <v>43287</v>
      </c>
      <c r="Y622" s="178">
        <v>8.7730436252146261E-3</v>
      </c>
      <c r="Z622" s="183">
        <v>6.3231687650944224E-3</v>
      </c>
    </row>
    <row r="623" spans="22:26" x14ac:dyDescent="0.2">
      <c r="V623" s="180" t="str">
        <f t="shared" si="17"/>
        <v>1w</v>
      </c>
      <c r="W623" s="177">
        <f>_xll.qlCalendarAdvance(Calendar,W622,V623,"f",FALSE)</f>
        <v>43292</v>
      </c>
      <c r="X623" s="181">
        <f>_xll.qlCalendarAdvance(Calendar,W623,NDays&amp;"D")</f>
        <v>43294</v>
      </c>
      <c r="Y623" s="178">
        <v>8.8699098837703039E-3</v>
      </c>
      <c r="Z623" s="183">
        <v>6.3264871241752729E-3</v>
      </c>
    </row>
    <row r="624" spans="22:26" x14ac:dyDescent="0.2">
      <c r="V624" s="180" t="str">
        <f t="shared" si="17"/>
        <v>1w</v>
      </c>
      <c r="W624" s="177">
        <f>_xll.qlCalendarAdvance(Calendar,W623,V624,"f",FALSE)</f>
        <v>43299</v>
      </c>
      <c r="X624" s="181">
        <f>_xll.qlCalendarAdvance(Calendar,W624,NDays&amp;"D")</f>
        <v>43301</v>
      </c>
      <c r="Y624" s="178">
        <v>8.9678174960413949E-3</v>
      </c>
      <c r="Z624" s="183">
        <v>6.3386090711414766E-3</v>
      </c>
    </row>
    <row r="625" spans="22:26" x14ac:dyDescent="0.2">
      <c r="V625" s="180" t="str">
        <f t="shared" si="17"/>
        <v>1w</v>
      </c>
      <c r="W625" s="177">
        <f>_xll.qlCalendarAdvance(Calendar,W624,V625,"f",FALSE)</f>
        <v>43306</v>
      </c>
      <c r="X625" s="181">
        <f>_xll.qlCalendarAdvance(Calendar,W625,NDays&amp;"D")</f>
        <v>43308</v>
      </c>
      <c r="Y625" s="178">
        <v>9.0665486437927316E-3</v>
      </c>
      <c r="Z625" s="183">
        <v>6.3595346086575688E-3</v>
      </c>
    </row>
    <row r="626" spans="22:26" x14ac:dyDescent="0.2">
      <c r="V626" s="180" t="str">
        <f t="shared" si="17"/>
        <v>1w</v>
      </c>
      <c r="W626" s="177">
        <f>_xll.qlCalendarAdvance(Calendar,W625,V626,"f",FALSE)</f>
        <v>43313</v>
      </c>
      <c r="X626" s="181">
        <f>_xll.qlCalendarAdvance(Calendar,W626,NDays&amp;"D")</f>
        <v>43315</v>
      </c>
      <c r="Y626" s="178">
        <v>9.1658854242398866E-3</v>
      </c>
      <c r="Z626" s="183">
        <v>6.3892637413598408E-3</v>
      </c>
    </row>
    <row r="627" spans="22:26" x14ac:dyDescent="0.2">
      <c r="V627" s="180" t="str">
        <f t="shared" si="17"/>
        <v>1w</v>
      </c>
      <c r="W627" s="177">
        <f>_xll.qlCalendarAdvance(Calendar,W626,V627,"f",FALSE)</f>
        <v>43320</v>
      </c>
      <c r="X627" s="181">
        <f>_xll.qlCalendarAdvance(Calendar,W627,NDays&amp;"D")</f>
        <v>43322</v>
      </c>
      <c r="Y627" s="178">
        <v>9.265609848478332E-3</v>
      </c>
      <c r="Z627" s="183">
        <v>6.4277964757497585E-3</v>
      </c>
    </row>
    <row r="628" spans="22:26" x14ac:dyDescent="0.2">
      <c r="V628" s="180" t="str">
        <f t="shared" si="17"/>
        <v>1w</v>
      </c>
      <c r="W628" s="177">
        <f>_xll.qlCalendarAdvance(Calendar,W627,V628,"f",FALSE)</f>
        <v>43327</v>
      </c>
      <c r="X628" s="181">
        <f>_xll.qlCalendarAdvance(Calendar,W628,NDays&amp;"D")</f>
        <v>43329</v>
      </c>
      <c r="Y628" s="178">
        <v>9.3655038403871998E-3</v>
      </c>
      <c r="Z628" s="183">
        <v>6.4751328203271896E-3</v>
      </c>
    </row>
    <row r="629" spans="22:26" x14ac:dyDescent="0.2">
      <c r="V629" s="180" t="str">
        <f t="shared" si="17"/>
        <v>1w</v>
      </c>
      <c r="W629" s="177">
        <f>_xll.qlCalendarAdvance(Calendar,W628,V629,"f",FALSE)</f>
        <v>43334</v>
      </c>
      <c r="X629" s="181">
        <f>_xll.qlCalendarAdvance(Calendar,W629,NDays&amp;"D")</f>
        <v>43336</v>
      </c>
      <c r="Y629" s="178">
        <v>9.4653492360170233E-3</v>
      </c>
      <c r="Z629" s="183">
        <v>6.5312727855104669E-3</v>
      </c>
    </row>
    <row r="630" spans="22:26" x14ac:dyDescent="0.2">
      <c r="V630" s="180" t="str">
        <f t="shared" si="17"/>
        <v>1w</v>
      </c>
      <c r="W630" s="177">
        <f>_xll.qlCalendarAdvance(Calendar,W629,V630,"f",FALSE)</f>
        <v>43341</v>
      </c>
      <c r="X630" s="181">
        <f>_xll.qlCalendarAdvance(Calendar,W630,NDays&amp;"D")</f>
        <v>43343</v>
      </c>
      <c r="Y630" s="178">
        <v>9.5461298384399585E-3</v>
      </c>
      <c r="Z630" s="183">
        <v>6.5962163836363885E-3</v>
      </c>
    </row>
    <row r="631" spans="22:26" x14ac:dyDescent="0.2">
      <c r="V631" s="180" t="str">
        <f t="shared" si="17"/>
        <v>1w</v>
      </c>
      <c r="W631" s="177">
        <f>_xll.qlCalendarAdvance(Calendar,W630,V631,"f",FALSE)</f>
        <v>43348</v>
      </c>
      <c r="X631" s="181">
        <f>_xll.qlCalendarAdvance(Calendar,W631,NDays&amp;"D")</f>
        <v>43350</v>
      </c>
      <c r="Y631" s="178">
        <v>9.6640211431795794E-3</v>
      </c>
      <c r="Z631" s="183">
        <v>6.6699636290135089E-3</v>
      </c>
    </row>
    <row r="632" spans="22:26" x14ac:dyDescent="0.2">
      <c r="V632" s="180" t="str">
        <f t="shared" si="17"/>
        <v>1w</v>
      </c>
      <c r="W632" s="177">
        <f>_xll.qlCalendarAdvance(Calendar,W631,V632,"f",FALSE)</f>
        <v>43355</v>
      </c>
      <c r="X632" s="181">
        <f>_xll.qlCalendarAdvance(Calendar,W632,NDays&amp;"D")</f>
        <v>43357</v>
      </c>
      <c r="Y632" s="178">
        <v>9.7624108888737723E-3</v>
      </c>
      <c r="Z632" s="183">
        <v>6.7525145379221385E-3</v>
      </c>
    </row>
    <row r="633" spans="22:26" x14ac:dyDescent="0.2">
      <c r="V633" s="180" t="str">
        <f t="shared" si="17"/>
        <v>1w</v>
      </c>
      <c r="W633" s="177">
        <f>_xll.qlCalendarAdvance(Calendar,W632,V633,"f",FALSE)</f>
        <v>43362</v>
      </c>
      <c r="X633" s="181">
        <f>_xll.qlCalendarAdvance(Calendar,W633,NDays&amp;"D")</f>
        <v>43364</v>
      </c>
      <c r="Y633" s="178">
        <v>9.859878508751389E-3</v>
      </c>
      <c r="Z633" s="183">
        <v>6.8438691284278264E-3</v>
      </c>
    </row>
    <row r="634" spans="22:26" x14ac:dyDescent="0.2">
      <c r="V634" s="180" t="str">
        <f t="shared" si="17"/>
        <v>1w</v>
      </c>
      <c r="W634" s="177">
        <f>_xll.qlCalendarAdvance(Calendar,W633,V634,"f",FALSE)</f>
        <v>43369</v>
      </c>
      <c r="X634" s="181">
        <f>_xll.qlCalendarAdvance(Calendar,W634,NDays&amp;"D")</f>
        <v>43371</v>
      </c>
      <c r="Y634" s="178">
        <v>9.9562054073413318E-3</v>
      </c>
      <c r="Z634" s="183">
        <v>6.9440274207277497E-3</v>
      </c>
    </row>
    <row r="635" spans="22:26" x14ac:dyDescent="0.2">
      <c r="V635" s="180" t="str">
        <f t="shared" si="17"/>
        <v>1w</v>
      </c>
      <c r="W635" s="177">
        <f>_xll.qlCalendarAdvance(Calendar,W634,V635,"f",FALSE)</f>
        <v>43376</v>
      </c>
      <c r="X635" s="181">
        <f>_xll.qlCalendarAdvance(Calendar,W635,NDays&amp;"D")</f>
        <v>43378</v>
      </c>
      <c r="Y635" s="178">
        <v>1.0051172907762312E-2</v>
      </c>
      <c r="Z635" s="183">
        <v>7.0529894368043244E-3</v>
      </c>
    </row>
    <row r="636" spans="22:26" x14ac:dyDescent="0.2">
      <c r="V636" s="180" t="str">
        <f t="shared" si="17"/>
        <v>1w</v>
      </c>
      <c r="W636" s="177">
        <f>_xll.qlCalendarAdvance(Calendar,W635,V636,"f",FALSE)</f>
        <v>43383</v>
      </c>
      <c r="X636" s="181">
        <f>_xll.qlCalendarAdvance(Calendar,W636,NDays&amp;"D")</f>
        <v>43385</v>
      </c>
      <c r="Y636" s="178">
        <v>1.0144562254480531E-2</v>
      </c>
      <c r="Z636" s="183">
        <v>7.1707552006383679E-3</v>
      </c>
    </row>
    <row r="637" spans="22:26" x14ac:dyDescent="0.2">
      <c r="V637" s="180" t="str">
        <f t="shared" si="17"/>
        <v>1w</v>
      </c>
      <c r="W637" s="177">
        <f>_xll.qlCalendarAdvance(Calendar,W636,V637,"f",FALSE)</f>
        <v>43390</v>
      </c>
      <c r="X637" s="181">
        <f>_xll.qlCalendarAdvance(Calendar,W637,NDays&amp;"D")</f>
        <v>43392</v>
      </c>
      <c r="Y637" s="178">
        <v>1.0236154616548948E-2</v>
      </c>
      <c r="Z637" s="183">
        <v>7.2973247381824535E-3</v>
      </c>
    </row>
    <row r="638" spans="22:26" x14ac:dyDescent="0.2">
      <c r="V638" s="180" t="str">
        <f t="shared" si="17"/>
        <v>1w</v>
      </c>
      <c r="W638" s="177">
        <f>_xll.qlCalendarAdvance(Calendar,W637,V638,"f",FALSE)</f>
        <v>43397</v>
      </c>
      <c r="X638" s="181">
        <f>_xll.qlCalendarAdvance(Calendar,W638,NDays&amp;"D")</f>
        <v>43399</v>
      </c>
      <c r="Y638" s="178">
        <v>1.0325731091329204E-2</v>
      </c>
      <c r="Z638" s="183">
        <v>7.4326980772809748E-3</v>
      </c>
    </row>
    <row r="639" spans="22:26" x14ac:dyDescent="0.2">
      <c r="V639" s="180" t="str">
        <f t="shared" si="17"/>
        <v>1w</v>
      </c>
      <c r="W639" s="177">
        <f>_xll.qlCalendarAdvance(Calendar,W638,V639,"f",FALSE)</f>
        <v>43404</v>
      </c>
      <c r="X639" s="181">
        <f>_xll.qlCalendarAdvance(Calendar,W639,NDays&amp;"D")</f>
        <v>43406</v>
      </c>
      <c r="Y639" s="178">
        <v>1.0413072708696869E-2</v>
      </c>
      <c r="Z639" s="183">
        <v>7.5768752477234358E-3</v>
      </c>
    </row>
    <row r="640" spans="22:26" x14ac:dyDescent="0.2">
      <c r="V640" s="180" t="str">
        <f t="shared" si="17"/>
        <v>1w</v>
      </c>
      <c r="W640" s="177">
        <f>_xll.qlCalendarAdvance(Calendar,W639,V640,"f",FALSE)</f>
        <v>43411</v>
      </c>
      <c r="X640" s="181">
        <f>_xll.qlCalendarAdvance(Calendar,W640,NDays&amp;"D")</f>
        <v>43413</v>
      </c>
      <c r="Y640" s="178">
        <v>1.0497978756292513E-2</v>
      </c>
      <c r="Z640" s="183">
        <v>7.7262716699433298E-3</v>
      </c>
    </row>
    <row r="641" spans="22:26" x14ac:dyDescent="0.2">
      <c r="V641" s="180" t="str">
        <f t="shared" si="17"/>
        <v>1w</v>
      </c>
      <c r="W641" s="177">
        <f>_xll.qlCalendarAdvance(Calendar,W640,V641,"f",FALSE)</f>
        <v>43418</v>
      </c>
      <c r="X641" s="181">
        <f>_xll.qlCalendarAdvance(Calendar,W641,NDays&amp;"D")</f>
        <v>43420</v>
      </c>
      <c r="Y641" s="178">
        <v>1.0580408696261864E-2</v>
      </c>
      <c r="Z641" s="183">
        <v>7.873486866323276E-3</v>
      </c>
    </row>
    <row r="642" spans="22:26" x14ac:dyDescent="0.2">
      <c r="V642" s="180" t="str">
        <f t="shared" si="17"/>
        <v>1w</v>
      </c>
      <c r="W642" s="177">
        <f>_xll.qlCalendarAdvance(Calendar,W641,V642,"f",FALSE)</f>
        <v>43425</v>
      </c>
      <c r="X642" s="181">
        <f>_xll.qlCalendarAdvance(Calendar,W642,NDays&amp;"D")</f>
        <v>43427</v>
      </c>
      <c r="Y642" s="178">
        <v>1.0660428219567562E-2</v>
      </c>
      <c r="Z642" s="183">
        <v>8.0181739301465882E-3</v>
      </c>
    </row>
    <row r="643" spans="22:26" x14ac:dyDescent="0.2">
      <c r="V643" s="180" t="str">
        <f t="shared" si="17"/>
        <v>1w</v>
      </c>
      <c r="W643" s="177">
        <f>_xll.qlCalendarAdvance(Calendar,W642,V643,"f",FALSE)</f>
        <v>43432</v>
      </c>
      <c r="X643" s="181">
        <f>_xll.qlCalendarAdvance(Calendar,W643,NDays&amp;"D")</f>
        <v>43434</v>
      </c>
      <c r="Y643" s="178">
        <v>1.0725846778893038E-2</v>
      </c>
      <c r="Z643" s="183">
        <v>8.1603328522739105E-3</v>
      </c>
    </row>
    <row r="644" spans="22:26" x14ac:dyDescent="0.2">
      <c r="V644" s="180" t="str">
        <f t="shared" si="17"/>
        <v>1w</v>
      </c>
      <c r="W644" s="177">
        <f>_xll.qlCalendarAdvance(Calendar,W643,V644,"f",FALSE)</f>
        <v>43439</v>
      </c>
      <c r="X644" s="181">
        <f>_xll.qlCalendarAdvance(Calendar,W644,NDays&amp;"D")</f>
        <v>43441</v>
      </c>
      <c r="Y644" s="178">
        <v>1.0813510442022431E-2</v>
      </c>
      <c r="Z644" s="183">
        <v>8.2999636236991137E-3</v>
      </c>
    </row>
    <row r="645" spans="22:26" x14ac:dyDescent="0.2">
      <c r="V645" s="180" t="str">
        <f t="shared" si="17"/>
        <v>1w</v>
      </c>
      <c r="W645" s="177">
        <f>_xll.qlCalendarAdvance(Calendar,W644,V645,"f",FALSE)</f>
        <v>43446</v>
      </c>
      <c r="X645" s="181">
        <f>_xll.qlCalendarAdvance(Calendar,W645,NDays&amp;"D")</f>
        <v>43448</v>
      </c>
      <c r="Y645" s="178">
        <v>1.088671044898337E-2</v>
      </c>
      <c r="Z645" s="183">
        <v>8.4370662356292314E-3</v>
      </c>
    </row>
    <row r="646" spans="22:26" x14ac:dyDescent="0.2">
      <c r="V646" s="180" t="str">
        <f t="shared" si="17"/>
        <v>1w</v>
      </c>
      <c r="W646" s="177">
        <f>_xll.qlCalendarAdvance(Calendar,W645,V646,"f",FALSE)</f>
        <v>43453</v>
      </c>
      <c r="X646" s="181">
        <f>_xll.qlCalendarAdvance(Calendar,W646,NDays&amp;"D")</f>
        <v>43455</v>
      </c>
      <c r="Y646" s="178">
        <v>1.0957774651745524E-2</v>
      </c>
      <c r="Z646" s="183">
        <v>8.5716406794045241E-3</v>
      </c>
    </row>
    <row r="647" spans="22:26" x14ac:dyDescent="0.2">
      <c r="V647" s="180" t="str">
        <f t="shared" si="17"/>
        <v>1w</v>
      </c>
      <c r="W647" s="177">
        <f>_xll.qlCalendarAdvance(Calendar,W646,V647,"f",FALSE)</f>
        <v>43461</v>
      </c>
      <c r="X647" s="181">
        <f>_xll.qlCalendarAdvance(Calendar,W647,NDays&amp;"D")</f>
        <v>43465</v>
      </c>
      <c r="Y647" s="178">
        <v>1.1048660690606157E-2</v>
      </c>
      <c r="Z647" s="183">
        <v>8.7501380404964024E-3</v>
      </c>
    </row>
    <row r="648" spans="22:26" x14ac:dyDescent="0.2">
      <c r="V648" s="180" t="str">
        <f t="shared" si="17"/>
        <v>1w</v>
      </c>
      <c r="W648" s="177">
        <f>_xll.qlCalendarAdvance(Calendar,W647,V648,"f",FALSE)</f>
        <v>43468</v>
      </c>
      <c r="X648" s="181">
        <f>_xll.qlCalendarAdvance(Calendar,W648,NDays&amp;"D")</f>
        <v>43472</v>
      </c>
      <c r="Y648" s="178">
        <v>1.1115025392488905E-2</v>
      </c>
      <c r="Z648" s="183">
        <v>8.8695445064512768E-3</v>
      </c>
    </row>
    <row r="649" spans="22:26" x14ac:dyDescent="0.2">
      <c r="V649" s="180" t="str">
        <f t="shared" si="17"/>
        <v>1w</v>
      </c>
      <c r="W649" s="177">
        <f>_xll.qlCalendarAdvance(Calendar,W648,V649,"f",FALSE)</f>
        <v>43475</v>
      </c>
      <c r="X649" s="181">
        <f>_xll.qlCalendarAdvance(Calendar,W649,NDays&amp;"D")</f>
        <v>43479</v>
      </c>
      <c r="Y649" s="178">
        <v>1.1179473934824784E-2</v>
      </c>
      <c r="Z649" s="183">
        <v>8.995805787002098E-3</v>
      </c>
    </row>
    <row r="650" spans="22:26" x14ac:dyDescent="0.2">
      <c r="V650" s="180" t="str">
        <f t="shared" si="17"/>
        <v>1w</v>
      </c>
      <c r="W650" s="177">
        <f>_xll.qlCalendarAdvance(Calendar,W649,V650,"f",FALSE)</f>
        <v>43482</v>
      </c>
      <c r="X650" s="181">
        <f>_xll.qlCalendarAdvance(Calendar,W650,NDays&amp;"D")</f>
        <v>43486</v>
      </c>
      <c r="Y650" s="178">
        <v>1.1242075537237363E-2</v>
      </c>
      <c r="Z650" s="183">
        <v>9.1195389035547691E-3</v>
      </c>
    </row>
    <row r="651" spans="22:26" x14ac:dyDescent="0.2">
      <c r="V651" s="180" t="str">
        <f t="shared" si="17"/>
        <v>1w</v>
      </c>
      <c r="W651" s="177">
        <f>_xll.qlCalendarAdvance(Calendar,W650,V651,"f",FALSE)</f>
        <v>43489</v>
      </c>
      <c r="X651" s="181">
        <f>_xll.qlCalendarAdvance(Calendar,W651,NDays&amp;"D")</f>
        <v>43493</v>
      </c>
      <c r="Y651" s="178">
        <v>1.1302899447340966E-2</v>
      </c>
      <c r="Z651" s="183">
        <v>9.2407438534714004E-3</v>
      </c>
    </row>
    <row r="652" spans="22:26" x14ac:dyDescent="0.2">
      <c r="V652" s="180" t="str">
        <f t="shared" si="17"/>
        <v>1w</v>
      </c>
      <c r="W652" s="177">
        <f>_xll.qlCalendarAdvance(Calendar,W651,V652,"f",FALSE)</f>
        <v>43496</v>
      </c>
      <c r="X652" s="181">
        <f>_xll.qlCalendarAdvance(Calendar,W652,NDays&amp;"D")</f>
        <v>43500</v>
      </c>
      <c r="Y652" s="178">
        <v>1.1362014939479227E-2</v>
      </c>
      <c r="Z652" s="183">
        <v>9.359420634433846E-3</v>
      </c>
    </row>
    <row r="653" spans="22:26" x14ac:dyDescent="0.2">
      <c r="V653" s="180" t="str">
        <f t="shared" si="17"/>
        <v>1w</v>
      </c>
      <c r="W653" s="177">
        <f>_xll.qlCalendarAdvance(Calendar,W652,V653,"f",FALSE)</f>
        <v>43503</v>
      </c>
      <c r="X653" s="181">
        <f>_xll.qlCalendarAdvance(Calendar,W653,NDays&amp;"D")</f>
        <v>43507</v>
      </c>
      <c r="Y653" s="178">
        <v>1.1419491313512902E-2</v>
      </c>
      <c r="Z653" s="183">
        <v>9.4755692436443439E-3</v>
      </c>
    </row>
    <row r="654" spans="22:26" x14ac:dyDescent="0.2">
      <c r="V654" s="180" t="str">
        <f t="shared" si="17"/>
        <v>1w</v>
      </c>
      <c r="W654" s="177">
        <f>_xll.qlCalendarAdvance(Calendar,W653,V654,"f",FALSE)</f>
        <v>43510</v>
      </c>
      <c r="X654" s="181">
        <f>_xll.qlCalendarAdvance(Calendar,W654,NDays&amp;"D")</f>
        <v>43514</v>
      </c>
      <c r="Y654" s="178">
        <v>1.1475397893653672E-2</v>
      </c>
      <c r="Z654" s="183">
        <v>9.5891896788646847E-3</v>
      </c>
    </row>
    <row r="655" spans="22:26" x14ac:dyDescent="0.2">
      <c r="V655" s="180" t="str">
        <f t="shared" si="17"/>
        <v>1w</v>
      </c>
      <c r="W655" s="177">
        <f>_xll.qlCalendarAdvance(Calendar,W654,V655,"f",FALSE)</f>
        <v>43517</v>
      </c>
      <c r="X655" s="181">
        <f>_xll.qlCalendarAdvance(Calendar,W655,NDays&amp;"D")</f>
        <v>43521</v>
      </c>
      <c r="Y655" s="178">
        <v>1.1529804027347901E-2</v>
      </c>
      <c r="Z655" s="183">
        <v>9.7002819375369143E-3</v>
      </c>
    </row>
    <row r="656" spans="22:26" x14ac:dyDescent="0.2">
      <c r="V656" s="180" t="str">
        <f t="shared" si="17"/>
        <v>1w</v>
      </c>
      <c r="W656" s="177">
        <f>_xll.qlCalendarAdvance(Calendar,W655,V656,"f",FALSE)</f>
        <v>43524</v>
      </c>
      <c r="X656" s="181">
        <f>_xll.qlCalendarAdvance(Calendar,W656,NDays&amp;"D")</f>
        <v>43528</v>
      </c>
      <c r="Y656" s="178">
        <v>1.1585681925869947E-2</v>
      </c>
      <c r="Z656" s="183">
        <v>9.8088460175027592E-3</v>
      </c>
    </row>
    <row r="657" spans="22:26" x14ac:dyDescent="0.2">
      <c r="V657" s="180" t="str">
        <f t="shared" si="17"/>
        <v>1w</v>
      </c>
      <c r="W657" s="177">
        <f>_xll.qlCalendarAdvance(Calendar,W656,V657,"f",FALSE)</f>
        <v>43531</v>
      </c>
      <c r="X657" s="181">
        <f>_xll.qlCalendarAdvance(Calendar,W657,NDays&amp;"D")</f>
        <v>43535</v>
      </c>
      <c r="Y657" s="178">
        <v>1.1637260464190551E-2</v>
      </c>
      <c r="Z657" s="183">
        <v>9.9148819163641377E-3</v>
      </c>
    </row>
    <row r="658" spans="22:26" x14ac:dyDescent="0.2">
      <c r="V658" s="180" t="str">
        <f t="shared" si="17"/>
        <v>1w</v>
      </c>
      <c r="W658" s="177">
        <f>_xll.qlCalendarAdvance(Calendar,W657,V658,"f",FALSE)</f>
        <v>43538</v>
      </c>
      <c r="X658" s="181">
        <f>_xll.qlCalendarAdvance(Calendar,W658,NDays&amp;"D")</f>
        <v>43542</v>
      </c>
      <c r="Y658" s="178">
        <v>1.1687553153633288E-2</v>
      </c>
      <c r="Z658" s="183">
        <v>1.0018389631802904E-2</v>
      </c>
    </row>
    <row r="659" spans="22:26" x14ac:dyDescent="0.2">
      <c r="V659" s="180" t="str">
        <f t="shared" si="17"/>
        <v>1w</v>
      </c>
      <c r="W659" s="177">
        <f>_xll.qlCalendarAdvance(Calendar,W658,V659,"f",FALSE)</f>
        <v>43545</v>
      </c>
      <c r="X659" s="181">
        <f>_xll.qlCalendarAdvance(Calendar,W659,NDays&amp;"D")</f>
        <v>43549</v>
      </c>
      <c r="Y659" s="178">
        <v>1.1736629237126707E-2</v>
      </c>
      <c r="Z659" s="183">
        <v>1.0119369161820657E-2</v>
      </c>
    </row>
    <row r="660" spans="22:26" x14ac:dyDescent="0.2">
      <c r="V660" s="180" t="str">
        <f t="shared" si="17"/>
        <v>1w</v>
      </c>
      <c r="W660" s="177">
        <f>_xll.qlCalendarAdvance(Calendar,W659,V660,"f",FALSE)</f>
        <v>43552</v>
      </c>
      <c r="X660" s="181">
        <f>_xll.qlCalendarAdvance(Calendar,W660,NDays&amp;"D")</f>
        <v>43556</v>
      </c>
      <c r="Y660" s="178">
        <v>1.1784557975931363E-2</v>
      </c>
      <c r="Z660" s="183">
        <v>1.0217820504179187E-2</v>
      </c>
    </row>
    <row r="661" spans="22:26" x14ac:dyDescent="0.2">
      <c r="V661" s="180" t="str">
        <f t="shared" ref="V661:V724" si="18">V660</f>
        <v>1w</v>
      </c>
      <c r="W661" s="177">
        <f>_xll.qlCalendarAdvance(Calendar,W660,V661,"f",FALSE)</f>
        <v>43559</v>
      </c>
      <c r="X661" s="181">
        <f>_xll.qlCalendarAdvance(Calendar,W661,NDays&amp;"D")</f>
        <v>43563</v>
      </c>
      <c r="Y661" s="178">
        <v>1.183140864881424E-2</v>
      </c>
      <c r="Z661" s="183">
        <v>1.0313743656800156E-2</v>
      </c>
    </row>
    <row r="662" spans="22:26" x14ac:dyDescent="0.2">
      <c r="V662" s="180" t="str">
        <f t="shared" si="18"/>
        <v>1w</v>
      </c>
      <c r="W662" s="177">
        <f>_xll.qlCalendarAdvance(Calendar,W661,V662,"f",FALSE)</f>
        <v>43566</v>
      </c>
      <c r="X662" s="181">
        <f>_xll.qlCalendarAdvance(Calendar,W662,NDays&amp;"D")</f>
        <v>43570</v>
      </c>
      <c r="Y662" s="178">
        <v>1.1877250551274074E-2</v>
      </c>
      <c r="Z662" s="183">
        <v>1.0407138617765099E-2</v>
      </c>
    </row>
    <row r="663" spans="22:26" x14ac:dyDescent="0.2">
      <c r="V663" s="180" t="str">
        <f t="shared" si="18"/>
        <v>1w</v>
      </c>
      <c r="W663" s="177">
        <f>_xll.qlCalendarAdvance(Calendar,W662,V663,"f",FALSE)</f>
        <v>43573</v>
      </c>
      <c r="X663" s="181">
        <f>_xll.qlCalendarAdvance(Calendar,W663,NDays&amp;"D")</f>
        <v>43579</v>
      </c>
      <c r="Y663" s="178">
        <v>1.1934819412060284E-2</v>
      </c>
      <c r="Z663" s="183">
        <v>1.0523502956090169E-2</v>
      </c>
    </row>
    <row r="664" spans="22:26" x14ac:dyDescent="0.2">
      <c r="V664" s="180" t="str">
        <f t="shared" si="18"/>
        <v>1w</v>
      </c>
      <c r="W664" s="177">
        <f>_xll.qlCalendarAdvance(Calendar,W663,V664,"f",FALSE)</f>
        <v>43580</v>
      </c>
      <c r="X664" s="181">
        <f>_xll.qlCalendarAdvance(Calendar,W664,NDays&amp;"D")</f>
        <v>43584</v>
      </c>
      <c r="Y664" s="178">
        <v>1.1966185306265718E-2</v>
      </c>
      <c r="Z664" s="183">
        <v>1.0586343956493494E-2</v>
      </c>
    </row>
    <row r="665" spans="22:26" x14ac:dyDescent="0.2">
      <c r="V665" s="180" t="str">
        <f t="shared" si="18"/>
        <v>1w</v>
      </c>
      <c r="W665" s="177">
        <f>_xll.qlCalendarAdvance(Calendar,W664,V665,"f",FALSE)</f>
        <v>43587</v>
      </c>
      <c r="X665" s="181">
        <f>_xll.qlCalendarAdvance(Calendar,W665,NDays&amp;"D")</f>
        <v>43591</v>
      </c>
      <c r="Y665" s="178">
        <v>1.2009416827151268E-2</v>
      </c>
      <c r="Z665" s="183">
        <v>1.0672154330659822E-2</v>
      </c>
    </row>
    <row r="666" spans="22:26" x14ac:dyDescent="0.2">
      <c r="V666" s="180" t="str">
        <f t="shared" si="18"/>
        <v>1w</v>
      </c>
      <c r="W666" s="177">
        <f>_xll.qlCalendarAdvance(Calendar,W665,V666,"f",FALSE)</f>
        <v>43594</v>
      </c>
      <c r="X666" s="181">
        <f>_xll.qlCalendarAdvance(Calendar,W666,NDays&amp;"D")</f>
        <v>43598</v>
      </c>
      <c r="Y666" s="178">
        <v>1.2051916913108892E-2</v>
      </c>
      <c r="Z666" s="183">
        <v>1.0755436505496263E-2</v>
      </c>
    </row>
    <row r="667" spans="22:26" x14ac:dyDescent="0.2">
      <c r="V667" s="180" t="str">
        <f t="shared" si="18"/>
        <v>1w</v>
      </c>
      <c r="W667" s="177">
        <f>_xll.qlCalendarAdvance(Calendar,W666,V667,"f",FALSE)</f>
        <v>43601</v>
      </c>
      <c r="X667" s="181">
        <f>_xll.qlCalendarAdvance(Calendar,W667,NDays&amp;"D")</f>
        <v>43605</v>
      </c>
      <c r="Y667" s="178">
        <v>1.2093754933354097E-2</v>
      </c>
      <c r="Z667" s="183">
        <v>1.0836190479324159E-2</v>
      </c>
    </row>
    <row r="668" spans="22:26" x14ac:dyDescent="0.2">
      <c r="V668" s="180" t="str">
        <f t="shared" si="18"/>
        <v>1w</v>
      </c>
      <c r="W668" s="177">
        <f>_xll.qlCalendarAdvance(Calendar,W667,V668,"f",FALSE)</f>
        <v>43608</v>
      </c>
      <c r="X668" s="181">
        <f>_xll.qlCalendarAdvance(Calendar,W668,NDays&amp;"D")</f>
        <v>43612</v>
      </c>
      <c r="Y668" s="178">
        <v>1.2135000270196183E-2</v>
      </c>
      <c r="Z668" s="183">
        <v>1.0914416250464853E-2</v>
      </c>
    </row>
    <row r="669" spans="22:26" x14ac:dyDescent="0.2">
      <c r="V669" s="180" t="str">
        <f t="shared" si="18"/>
        <v>1w</v>
      </c>
      <c r="W669" s="177">
        <f>_xll.qlCalendarAdvance(Calendar,W668,V669,"f",FALSE)</f>
        <v>43615</v>
      </c>
      <c r="X669" s="181">
        <f>_xll.qlCalendarAdvance(Calendar,W669,NDays&amp;"D")</f>
        <v>43619</v>
      </c>
      <c r="Y669" s="178">
        <v>1.2175722318599458E-2</v>
      </c>
      <c r="Z669" s="183">
        <v>1.0990113817159752E-2</v>
      </c>
    </row>
    <row r="670" spans="22:26" x14ac:dyDescent="0.2">
      <c r="V670" s="180" t="str">
        <f t="shared" si="18"/>
        <v>1w</v>
      </c>
      <c r="W670" s="177">
        <f>_xll.qlCalendarAdvance(Calendar,W669,V670,"f",FALSE)</f>
        <v>43622</v>
      </c>
      <c r="X670" s="181">
        <f>_xll.qlCalendarAdvance(Calendar,W670,NDays&amp;"D")</f>
        <v>43626</v>
      </c>
      <c r="Y670" s="178">
        <v>1.2215990485794487E-2</v>
      </c>
      <c r="Z670" s="183">
        <v>1.1063283177810135E-2</v>
      </c>
    </row>
    <row r="671" spans="22:26" x14ac:dyDescent="0.2">
      <c r="V671" s="180" t="str">
        <f t="shared" si="18"/>
        <v>1w</v>
      </c>
      <c r="W671" s="177">
        <f>_xll.qlCalendarAdvance(Calendar,W670,V671,"f",FALSE)</f>
        <v>43629</v>
      </c>
      <c r="X671" s="181">
        <f>_xll.qlCalendarAdvance(Calendar,W671,NDays&amp;"D")</f>
        <v>43633</v>
      </c>
      <c r="Y671" s="178">
        <v>1.2255874190938033E-2</v>
      </c>
      <c r="Z671" s="183">
        <v>1.1133924330977152E-2</v>
      </c>
    </row>
    <row r="672" spans="22:26" x14ac:dyDescent="0.2">
      <c r="V672" s="180" t="str">
        <f t="shared" si="18"/>
        <v>1w</v>
      </c>
      <c r="W672" s="177">
        <f>_xll.qlCalendarAdvance(Calendar,W671,V672,"f",FALSE)</f>
        <v>43636</v>
      </c>
      <c r="X672" s="181">
        <f>_xll.qlCalendarAdvance(Calendar,W672,NDays&amp;"D")</f>
        <v>43640</v>
      </c>
      <c r="Y672" s="178">
        <v>1.2295442864819954E-2</v>
      </c>
      <c r="Z672" s="183">
        <v>1.1202037275221954E-2</v>
      </c>
    </row>
    <row r="673" spans="22:26" x14ac:dyDescent="0.2">
      <c r="V673" s="180" t="str">
        <f t="shared" si="18"/>
        <v>1w</v>
      </c>
      <c r="W673" s="177">
        <f>_xll.qlCalendarAdvance(Calendar,W672,V673,"f",FALSE)</f>
        <v>43643</v>
      </c>
      <c r="X673" s="181">
        <f>_xll.qlCalendarAdvance(Calendar,W673,NDays&amp;"D")</f>
        <v>43647</v>
      </c>
      <c r="Y673" s="178">
        <v>1.2334765949619252E-2</v>
      </c>
      <c r="Z673" s="183">
        <v>1.1267622009025757E-2</v>
      </c>
    </row>
    <row r="674" spans="22:26" x14ac:dyDescent="0.2">
      <c r="V674" s="180" t="str">
        <f t="shared" si="18"/>
        <v>1w</v>
      </c>
      <c r="W674" s="177">
        <f>_xll.qlCalendarAdvance(Calendar,W673,V674,"f",FALSE)</f>
        <v>43650</v>
      </c>
      <c r="X674" s="181">
        <f>_xll.qlCalendarAdvance(Calendar,W674,NDays&amp;"D")</f>
        <v>43654</v>
      </c>
      <c r="Y674" s="178">
        <v>1.2373912898709691E-2</v>
      </c>
      <c r="Z674" s="183">
        <v>1.1330678530869775E-2</v>
      </c>
    </row>
    <row r="675" spans="22:26" x14ac:dyDescent="0.2">
      <c r="V675" s="180" t="str">
        <f t="shared" si="18"/>
        <v>1w</v>
      </c>
      <c r="W675" s="177">
        <f>_xll.qlCalendarAdvance(Calendar,W674,V675,"f",FALSE)</f>
        <v>43657</v>
      </c>
      <c r="X675" s="181">
        <f>_xll.qlCalendarAdvance(Calendar,W675,NDays&amp;"D")</f>
        <v>43661</v>
      </c>
      <c r="Y675" s="178">
        <v>1.2412953176511279E-2</v>
      </c>
      <c r="Z675" s="183">
        <v>1.1391206839634904E-2</v>
      </c>
    </row>
    <row r="676" spans="22:26" x14ac:dyDescent="0.2">
      <c r="V676" s="180" t="str">
        <f t="shared" si="18"/>
        <v>1w</v>
      </c>
      <c r="W676" s="177">
        <f>_xll.qlCalendarAdvance(Calendar,W675,V676,"f",FALSE)</f>
        <v>43664</v>
      </c>
      <c r="X676" s="181">
        <f>_xll.qlCalendarAdvance(Calendar,W676,NDays&amp;"D")</f>
        <v>43668</v>
      </c>
      <c r="Y676" s="178">
        <v>1.2451956258392861E-2</v>
      </c>
      <c r="Z676" s="183">
        <v>1.144920693396223E-2</v>
      </c>
    </row>
    <row r="677" spans="22:26" x14ac:dyDescent="0.2">
      <c r="V677" s="180" t="str">
        <f t="shared" si="18"/>
        <v>1w</v>
      </c>
      <c r="W677" s="177">
        <f>_xll.qlCalendarAdvance(Calendar,W676,V677,"f",FALSE)</f>
        <v>43671</v>
      </c>
      <c r="X677" s="181">
        <f>_xll.qlCalendarAdvance(Calendar,W677,NDays&amp;"D")</f>
        <v>43675</v>
      </c>
      <c r="Y677" s="178">
        <v>1.2490991630620578E-2</v>
      </c>
      <c r="Z677" s="183">
        <v>1.1504678812652713E-2</v>
      </c>
    </row>
    <row r="678" spans="22:26" x14ac:dyDescent="0.2">
      <c r="V678" s="180" t="str">
        <f t="shared" si="18"/>
        <v>1w</v>
      </c>
      <c r="W678" s="177">
        <f>_xll.qlCalendarAdvance(Calendar,W677,V678,"f",FALSE)</f>
        <v>43678</v>
      </c>
      <c r="X678" s="181">
        <f>_xll.qlCalendarAdvance(Calendar,W678,NDays&amp;"D")</f>
        <v>43682</v>
      </c>
      <c r="Y678" s="178">
        <v>1.2530128790357647E-2</v>
      </c>
      <c r="Z678" s="183">
        <v>1.1557622474507312E-2</v>
      </c>
    </row>
    <row r="679" spans="22:26" x14ac:dyDescent="0.2">
      <c r="V679" s="180" t="str">
        <f t="shared" si="18"/>
        <v>1w</v>
      </c>
      <c r="W679" s="177">
        <f>_xll.qlCalendarAdvance(Calendar,W678,V679,"f",FALSE)</f>
        <v>43685</v>
      </c>
      <c r="X679" s="181">
        <f>_xll.qlCalendarAdvance(Calendar,W679,NDays&amp;"D")</f>
        <v>43689</v>
      </c>
      <c r="Y679" s="178">
        <v>1.2569437245710221E-2</v>
      </c>
      <c r="Z679" s="183">
        <v>1.1608037918406922E-2</v>
      </c>
    </row>
    <row r="680" spans="22:26" x14ac:dyDescent="0.2">
      <c r="V680" s="180" t="str">
        <f t="shared" si="18"/>
        <v>1w</v>
      </c>
      <c r="W680" s="177">
        <f>_xll.qlCalendarAdvance(Calendar,W679,V680,"f",FALSE)</f>
        <v>43692</v>
      </c>
      <c r="X680" s="181">
        <f>_xll.qlCalendarAdvance(Calendar,W680,NDays&amp;"D")</f>
        <v>43696</v>
      </c>
      <c r="Y680" s="178">
        <v>1.2608986515823057E-2</v>
      </c>
      <c r="Z680" s="183">
        <v>1.1655925143312373E-2</v>
      </c>
    </row>
    <row r="681" spans="22:26" x14ac:dyDescent="0.2">
      <c r="V681" s="180" t="str">
        <f t="shared" si="18"/>
        <v>1w</v>
      </c>
      <c r="W681" s="177">
        <f>_xll.qlCalendarAdvance(Calendar,W680,V681,"f",FALSE)</f>
        <v>43699</v>
      </c>
      <c r="X681" s="181">
        <f>_xll.qlCalendarAdvance(Calendar,W681,NDays&amp;"D")</f>
        <v>43703</v>
      </c>
      <c r="Y681" s="178">
        <v>1.2648846131022356E-2</v>
      </c>
      <c r="Z681" s="183">
        <v>1.1701284148264435E-2</v>
      </c>
    </row>
    <row r="682" spans="22:26" x14ac:dyDescent="0.2">
      <c r="V682" s="180" t="str">
        <f t="shared" si="18"/>
        <v>1w</v>
      </c>
      <c r="W682" s="177">
        <f>_xll.qlCalendarAdvance(Calendar,W681,V682,"f",FALSE)</f>
        <v>43706</v>
      </c>
      <c r="X682" s="181">
        <f>_xll.qlCalendarAdvance(Calendar,W682,NDays&amp;"D")</f>
        <v>43710</v>
      </c>
      <c r="Y682" s="178">
        <v>1.2689085633009691E-2</v>
      </c>
      <c r="Z682" s="183">
        <v>1.1744114932223937E-2</v>
      </c>
    </row>
    <row r="683" spans="22:26" x14ac:dyDescent="0.2">
      <c r="V683" s="180" t="str">
        <f t="shared" si="18"/>
        <v>1w</v>
      </c>
      <c r="W683" s="177">
        <f>_xll.qlCalendarAdvance(Calendar,W682,V683,"f",FALSE)</f>
        <v>43713</v>
      </c>
      <c r="X683" s="181">
        <f>_xll.qlCalendarAdvance(Calendar,W683,NDays&amp;"D")</f>
        <v>43717</v>
      </c>
      <c r="Y683" s="178">
        <v>1.2729774575101832E-2</v>
      </c>
      <c r="Z683" s="183">
        <v>1.1784417494311583E-2</v>
      </c>
    </row>
    <row r="684" spans="22:26" x14ac:dyDescent="0.2">
      <c r="V684" s="180" t="str">
        <f t="shared" si="18"/>
        <v>1w</v>
      </c>
      <c r="W684" s="177">
        <f>_xll.qlCalendarAdvance(Calendar,W683,V684,"f",FALSE)</f>
        <v>43720</v>
      </c>
      <c r="X684" s="181">
        <f>_xll.qlCalendarAdvance(Calendar,W684,NDays&amp;"D")</f>
        <v>43724</v>
      </c>
      <c r="Y684" s="178">
        <v>1.2770982522519464E-2</v>
      </c>
      <c r="Z684" s="183">
        <v>1.1822191833648077E-2</v>
      </c>
    </row>
    <row r="685" spans="22:26" x14ac:dyDescent="0.2">
      <c r="V685" s="180" t="str">
        <f t="shared" si="18"/>
        <v>1w</v>
      </c>
      <c r="W685" s="177">
        <f>_xll.qlCalendarAdvance(Calendar,W684,V685,"f",FALSE)</f>
        <v>43727</v>
      </c>
      <c r="X685" s="181">
        <f>_xll.qlCalendarAdvance(Calendar,W685,NDays&amp;"D")</f>
        <v>43731</v>
      </c>
      <c r="Y685" s="178">
        <v>1.2812779052727253E-2</v>
      </c>
      <c r="Z685" s="183">
        <v>1.185743794959393E-2</v>
      </c>
    </row>
    <row r="686" spans="22:26" x14ac:dyDescent="0.2">
      <c r="V686" s="180" t="str">
        <f t="shared" si="18"/>
        <v>1w</v>
      </c>
      <c r="W686" s="177">
        <f>_xll.qlCalendarAdvance(Calendar,W685,V686,"f",FALSE)</f>
        <v>43734</v>
      </c>
      <c r="X686" s="181">
        <f>_xll.qlCalendarAdvance(Calendar,W686,NDays&amp;"D")</f>
        <v>43738</v>
      </c>
      <c r="Y686" s="178">
        <v>1.2855233755817794E-2</v>
      </c>
      <c r="Z686" s="183">
        <v>1.1890155841189909E-2</v>
      </c>
    </row>
    <row r="687" spans="22:26" x14ac:dyDescent="0.2">
      <c r="V687" s="180" t="str">
        <f t="shared" si="18"/>
        <v>1w</v>
      </c>
      <c r="W687" s="177">
        <f>_xll.qlCalendarAdvance(Calendar,W686,V687,"f",FALSE)</f>
        <v>43741</v>
      </c>
      <c r="X687" s="181">
        <f>_xll.qlCalendarAdvance(Calendar,W687,NDays&amp;"D")</f>
        <v>43745</v>
      </c>
      <c r="Y687" s="178">
        <v>1.2898416234948643E-2</v>
      </c>
      <c r="Z687" s="183">
        <v>1.1920345507796526E-2</v>
      </c>
    </row>
    <row r="688" spans="22:26" x14ac:dyDescent="0.2">
      <c r="V688" s="180" t="str">
        <f t="shared" si="18"/>
        <v>1w</v>
      </c>
      <c r="W688" s="177">
        <f>_xll.qlCalendarAdvance(Calendar,W687,V688,"f",FALSE)</f>
        <v>43748</v>
      </c>
      <c r="X688" s="181">
        <f>_xll.qlCalendarAdvance(Calendar,W688,NDays&amp;"D")</f>
        <v>43752</v>
      </c>
      <c r="Y688" s="178">
        <v>1.2942396106825859E-2</v>
      </c>
      <c r="Z688" s="183">
        <v>1.1948006948934164E-2</v>
      </c>
    </row>
    <row r="689" spans="22:26" x14ac:dyDescent="0.2">
      <c r="V689" s="180" t="str">
        <f t="shared" si="18"/>
        <v>1w</v>
      </c>
      <c r="W689" s="177">
        <f>_xll.qlCalendarAdvance(Calendar,W688,V689,"f",FALSE)</f>
        <v>43755</v>
      </c>
      <c r="X689" s="181">
        <f>_xll.qlCalendarAdvance(Calendar,W689,NDays&amp;"D")</f>
        <v>43759</v>
      </c>
      <c r="Y689" s="178">
        <v>1.2987243002235171E-2</v>
      </c>
      <c r="Z689" s="183">
        <v>1.19731401638834E-2</v>
      </c>
    </row>
    <row r="690" spans="22:26" x14ac:dyDescent="0.2">
      <c r="V690" s="180" t="str">
        <f t="shared" si="18"/>
        <v>1w</v>
      </c>
      <c r="W690" s="177">
        <f>_xll.qlCalendarAdvance(Calendar,W689,V690,"f",FALSE)</f>
        <v>43762</v>
      </c>
      <c r="X690" s="181">
        <f>_xll.qlCalendarAdvance(Calendar,W690,NDays&amp;"D")</f>
        <v>43766</v>
      </c>
      <c r="Y690" s="178">
        <v>1.303302656662402E-2</v>
      </c>
      <c r="Z690" s="183">
        <v>1.199574515208468E-2</v>
      </c>
    </row>
    <row r="691" spans="22:26" x14ac:dyDescent="0.2">
      <c r="V691" s="180" t="str">
        <f t="shared" si="18"/>
        <v>1w</v>
      </c>
      <c r="W691" s="177">
        <f>_xll.qlCalendarAdvance(Calendar,W690,V691,"f",FALSE)</f>
        <v>43769</v>
      </c>
      <c r="X691" s="181">
        <f>_xll.qlCalendarAdvance(Calendar,W691,NDays&amp;"D")</f>
        <v>43773</v>
      </c>
      <c r="Y691" s="178">
        <v>1.307981644751469E-2</v>
      </c>
      <c r="Z691" s="183">
        <v>1.2015834117056201E-2</v>
      </c>
    </row>
    <row r="692" spans="22:26" x14ac:dyDescent="0.2">
      <c r="V692" s="180" t="str">
        <f t="shared" si="18"/>
        <v>1w</v>
      </c>
      <c r="W692" s="177">
        <f>_xll.qlCalendarAdvance(Calendar,W691,V692,"f",FALSE)</f>
        <v>43776</v>
      </c>
      <c r="X692" s="181">
        <f>_xll.qlCalendarAdvance(Calendar,W692,NDays&amp;"D")</f>
        <v>43780</v>
      </c>
      <c r="Y692" s="178">
        <v>1.3127664004856264E-2</v>
      </c>
      <c r="Z692" s="183">
        <v>1.2035432897175014E-2</v>
      </c>
    </row>
    <row r="693" spans="22:26" x14ac:dyDescent="0.2">
      <c r="V693" s="180" t="str">
        <f t="shared" si="18"/>
        <v>1w</v>
      </c>
      <c r="W693" s="177">
        <f>_xll.qlCalendarAdvance(Calendar,W692,V693,"f",FALSE)</f>
        <v>43783</v>
      </c>
      <c r="X693" s="181">
        <f>_xll.qlCalendarAdvance(Calendar,W693,NDays&amp;"D")</f>
        <v>43787</v>
      </c>
      <c r="Y693" s="178">
        <v>1.3176556633225367E-2</v>
      </c>
      <c r="Z693" s="183">
        <v>1.2056091381298373E-2</v>
      </c>
    </row>
    <row r="694" spans="22:26" x14ac:dyDescent="0.2">
      <c r="V694" s="180" t="str">
        <f t="shared" si="18"/>
        <v>1w</v>
      </c>
      <c r="W694" s="177">
        <f>_xll.qlCalendarAdvance(Calendar,W693,V694,"f",FALSE)</f>
        <v>43790</v>
      </c>
      <c r="X694" s="181">
        <f>_xll.qlCalendarAdvance(Calendar,W694,NDays&amp;"D")</f>
        <v>43794</v>
      </c>
      <c r="Y694" s="178">
        <v>1.3226467282464042E-2</v>
      </c>
      <c r="Z694" s="183">
        <v>1.2077809569746023E-2</v>
      </c>
    </row>
    <row r="695" spans="22:26" x14ac:dyDescent="0.2">
      <c r="V695" s="180" t="str">
        <f t="shared" si="18"/>
        <v>1w</v>
      </c>
      <c r="W695" s="177">
        <f>_xll.qlCalendarAdvance(Calendar,W694,V695,"f",FALSE)</f>
        <v>43797</v>
      </c>
      <c r="X695" s="181">
        <f>_xll.qlCalendarAdvance(Calendar,W695,NDays&amp;"D")</f>
        <v>43801</v>
      </c>
      <c r="Y695" s="178">
        <v>1.3277368900141829E-2</v>
      </c>
      <c r="Z695" s="183">
        <v>1.21005874625979E-2</v>
      </c>
    </row>
    <row r="696" spans="22:26" x14ac:dyDescent="0.2">
      <c r="V696" s="180" t="str">
        <f t="shared" si="18"/>
        <v>1w</v>
      </c>
      <c r="W696" s="177">
        <f>_xll.qlCalendarAdvance(Calendar,W695,V696,"f",FALSE)</f>
        <v>43804</v>
      </c>
      <c r="X696" s="181">
        <f>_xll.qlCalendarAdvance(Calendar,W696,NDays&amp;"D")</f>
        <v>43808</v>
      </c>
      <c r="Y696" s="178">
        <v>1.3329234431281449E-2</v>
      </c>
      <c r="Z696" s="183">
        <v>1.2124425060093813E-2</v>
      </c>
    </row>
    <row r="697" spans="22:26" x14ac:dyDescent="0.2">
      <c r="V697" s="180" t="str">
        <f t="shared" si="18"/>
        <v>1w</v>
      </c>
      <c r="W697" s="177">
        <f>_xll.qlCalendarAdvance(Calendar,W696,V697,"f",FALSE)</f>
        <v>43811</v>
      </c>
      <c r="X697" s="181">
        <f>_xll.qlCalendarAdvance(Calendar,W697,NDays&amp;"D")</f>
        <v>43815</v>
      </c>
      <c r="Y697" s="178">
        <v>1.3382036818093673E-2</v>
      </c>
      <c r="Z697" s="183">
        <v>1.2149322362473569E-2</v>
      </c>
    </row>
    <row r="698" spans="22:26" x14ac:dyDescent="0.2">
      <c r="V698" s="180" t="str">
        <f t="shared" si="18"/>
        <v>1w</v>
      </c>
      <c r="W698" s="177">
        <f>_xll.qlCalendarAdvance(Calendar,W697,V698,"f",FALSE)</f>
        <v>43818</v>
      </c>
      <c r="X698" s="181">
        <f>_xll.qlCalendarAdvance(Calendar,W698,NDays&amp;"D")</f>
        <v>43822</v>
      </c>
      <c r="Y698" s="178">
        <v>1.3435748999718279E-2</v>
      </c>
      <c r="Z698" s="183">
        <v>1.2175279369817105E-2</v>
      </c>
    </row>
    <row r="699" spans="22:26" x14ac:dyDescent="0.2">
      <c r="V699" s="180" t="str">
        <f t="shared" si="18"/>
        <v>1w</v>
      </c>
      <c r="W699" s="177">
        <f>_xll.qlCalendarAdvance(Calendar,W698,V699,"f",FALSE)</f>
        <v>43826</v>
      </c>
      <c r="X699" s="181">
        <f>_xll.qlCalendarAdvance(Calendar,W699,NDays&amp;"D")</f>
        <v>43830</v>
      </c>
      <c r="Y699" s="178">
        <v>1.3498213666547682E-2</v>
      </c>
      <c r="Z699" s="183">
        <v>1.2208432952336423E-2</v>
      </c>
    </row>
    <row r="700" spans="22:26" x14ac:dyDescent="0.2">
      <c r="V700" s="180" t="str">
        <f t="shared" si="18"/>
        <v>1w</v>
      </c>
      <c r="W700" s="177">
        <f>_xll.qlCalendarAdvance(Calendar,W699,V700,"f",FALSE)</f>
        <v>43833</v>
      </c>
      <c r="X700" s="181">
        <f>_xll.qlCalendarAdvance(Calendar,W700,NDays&amp;"D")</f>
        <v>43837</v>
      </c>
      <c r="Y700" s="178">
        <v>1.355378426940777E-2</v>
      </c>
      <c r="Z700" s="183">
        <v>1.2234469924115032E-2</v>
      </c>
    </row>
    <row r="701" spans="22:26" x14ac:dyDescent="0.2">
      <c r="V701" s="180" t="str">
        <f t="shared" si="18"/>
        <v>1w</v>
      </c>
      <c r="W701" s="177">
        <f>_xll.qlCalendarAdvance(Calendar,W700,V701,"f",FALSE)</f>
        <v>43840</v>
      </c>
      <c r="X701" s="181">
        <f>_xll.qlCalendarAdvance(Calendar,W701,NDays&amp;"D")</f>
        <v>43844</v>
      </c>
      <c r="Y701" s="178">
        <v>1.3610179595910241E-2</v>
      </c>
      <c r="Z701" s="183">
        <v>1.2263757434691769E-2</v>
      </c>
    </row>
    <row r="702" spans="22:26" x14ac:dyDescent="0.2">
      <c r="V702" s="180" t="str">
        <f t="shared" si="18"/>
        <v>1w</v>
      </c>
      <c r="W702" s="177">
        <f>_xll.qlCalendarAdvance(Calendar,W701,V702,"f",FALSE)</f>
        <v>43847</v>
      </c>
      <c r="X702" s="181">
        <f>_xll.qlCalendarAdvance(Calendar,W702,NDays&amp;"D")</f>
        <v>43851</v>
      </c>
      <c r="Y702" s="178">
        <v>1.3667372569877075E-2</v>
      </c>
      <c r="Z702" s="183">
        <v>1.2294104651271454E-2</v>
      </c>
    </row>
    <row r="703" spans="22:26" x14ac:dyDescent="0.2">
      <c r="V703" s="180" t="str">
        <f t="shared" si="18"/>
        <v>1w</v>
      </c>
      <c r="W703" s="177">
        <f>_xll.qlCalendarAdvance(Calendar,W702,V703,"f",FALSE)</f>
        <v>43854</v>
      </c>
      <c r="X703" s="181">
        <f>_xll.qlCalendarAdvance(Calendar,W703,NDays&amp;"D")</f>
        <v>43858</v>
      </c>
      <c r="Y703" s="178">
        <v>1.3725336110846247E-2</v>
      </c>
      <c r="Z703" s="183">
        <v>1.2325511574253767E-2</v>
      </c>
    </row>
    <row r="704" spans="22:26" x14ac:dyDescent="0.2">
      <c r="V704" s="180" t="str">
        <f t="shared" si="18"/>
        <v>1w</v>
      </c>
      <c r="W704" s="177">
        <f>_xll.qlCalendarAdvance(Calendar,W703,V704,"f",FALSE)</f>
        <v>43861</v>
      </c>
      <c r="X704" s="181">
        <f>_xll.qlCalendarAdvance(Calendar,W704,NDays&amp;"D")</f>
        <v>43865</v>
      </c>
      <c r="Y704" s="178">
        <v>1.3784043133857253E-2</v>
      </c>
      <c r="Z704" s="183">
        <v>1.2357978203798581E-2</v>
      </c>
    </row>
    <row r="705" spans="22:26" x14ac:dyDescent="0.2">
      <c r="V705" s="180" t="str">
        <f t="shared" si="18"/>
        <v>1w</v>
      </c>
      <c r="W705" s="177">
        <f>_xll.qlCalendarAdvance(Calendar,W704,V705,"f",FALSE)</f>
        <v>43868</v>
      </c>
      <c r="X705" s="181">
        <f>_xll.qlCalendarAdvance(Calendar,W705,NDays&amp;"D")</f>
        <v>43872</v>
      </c>
      <c r="Y705" s="178">
        <v>1.3843466549244498E-2</v>
      </c>
      <c r="Z705" s="183">
        <v>1.2391504540305576E-2</v>
      </c>
    </row>
    <row r="706" spans="22:26" x14ac:dyDescent="0.2">
      <c r="V706" s="180" t="str">
        <f t="shared" si="18"/>
        <v>1w</v>
      </c>
      <c r="W706" s="177">
        <f>_xll.qlCalendarAdvance(Calendar,W705,V706,"f",FALSE)</f>
        <v>43875</v>
      </c>
      <c r="X706" s="181">
        <f>_xll.qlCalendarAdvance(Calendar,W706,NDays&amp;"D")</f>
        <v>43879</v>
      </c>
      <c r="Y706" s="178">
        <v>1.3903579262439864E-2</v>
      </c>
      <c r="Z706" s="183">
        <v>1.2426090583934624E-2</v>
      </c>
    </row>
    <row r="707" spans="22:26" x14ac:dyDescent="0.2">
      <c r="V707" s="180" t="str">
        <f t="shared" si="18"/>
        <v>1w</v>
      </c>
      <c r="W707" s="177">
        <f>_xll.qlCalendarAdvance(Calendar,W706,V707,"f",FALSE)</f>
        <v>43882</v>
      </c>
      <c r="X707" s="181">
        <f>_xll.qlCalendarAdvance(Calendar,W707,NDays&amp;"D")</f>
        <v>43886</v>
      </c>
      <c r="Y707" s="178">
        <v>1.3964354173780513E-2</v>
      </c>
      <c r="Z707" s="183">
        <v>1.2461736335085405E-2</v>
      </c>
    </row>
    <row r="708" spans="22:26" x14ac:dyDescent="0.2">
      <c r="V708" s="180" t="str">
        <f t="shared" si="18"/>
        <v>1w</v>
      </c>
      <c r="W708" s="177">
        <f>_xll.qlCalendarAdvance(Calendar,W707,V708,"f",FALSE)</f>
        <v>43889</v>
      </c>
      <c r="X708" s="181">
        <f>_xll.qlCalendarAdvance(Calendar,W708,NDays&amp;"D")</f>
        <v>43893</v>
      </c>
      <c r="Y708" s="178">
        <v>1.402064175414613E-2</v>
      </c>
      <c r="Z708" s="183">
        <v>1.2498441794077664E-2</v>
      </c>
    </row>
    <row r="709" spans="22:26" x14ac:dyDescent="0.2">
      <c r="V709" s="180" t="str">
        <f t="shared" si="18"/>
        <v>1w</v>
      </c>
      <c r="W709" s="177">
        <f>_xll.qlCalendarAdvance(Calendar,W708,V709,"f",FALSE)</f>
        <v>43896</v>
      </c>
      <c r="X709" s="181">
        <f>_xll.qlCalendarAdvance(Calendar,W709,NDays&amp;"D")</f>
        <v>43900</v>
      </c>
      <c r="Y709" s="178">
        <v>1.4082637551431659E-2</v>
      </c>
      <c r="Z709" s="183">
        <v>1.2536206961231144E-2</v>
      </c>
    </row>
    <row r="710" spans="22:26" x14ac:dyDescent="0.2">
      <c r="V710" s="180" t="str">
        <f t="shared" si="18"/>
        <v>1w</v>
      </c>
      <c r="W710" s="177">
        <f>_xll.qlCalendarAdvance(Calendar,W709,V710,"f",FALSE)</f>
        <v>43903</v>
      </c>
      <c r="X710" s="181">
        <f>_xll.qlCalendarAdvance(Calendar,W710,NDays&amp;"D")</f>
        <v>43907</v>
      </c>
      <c r="Y710" s="178">
        <v>1.4145216713329694E-2</v>
      </c>
      <c r="Z710" s="183">
        <v>1.2575031836785655E-2</v>
      </c>
    </row>
    <row r="711" spans="22:26" x14ac:dyDescent="0.2">
      <c r="V711" s="180" t="str">
        <f t="shared" si="18"/>
        <v>1w</v>
      </c>
      <c r="W711" s="177">
        <f>_xll.qlCalendarAdvance(Calendar,W710,V711,"f",FALSE)</f>
        <v>43910</v>
      </c>
      <c r="X711" s="181">
        <f>_xll.qlCalendarAdvance(Calendar,W711,NDays&amp;"D")</f>
        <v>43914</v>
      </c>
      <c r="Y711" s="178">
        <v>1.4208352044776282E-2</v>
      </c>
      <c r="Z711" s="183">
        <v>1.2614916421220812E-2</v>
      </c>
    </row>
    <row r="712" spans="22:26" x14ac:dyDescent="0.2">
      <c r="V712" s="180" t="str">
        <f t="shared" si="18"/>
        <v>1w</v>
      </c>
      <c r="W712" s="177">
        <f>_xll.qlCalendarAdvance(Calendar,W711,V712,"f",FALSE)</f>
        <v>43917</v>
      </c>
      <c r="X712" s="181">
        <f>_xll.qlCalendarAdvance(Calendar,W712,NDays&amp;"D")</f>
        <v>43921</v>
      </c>
      <c r="Y712" s="178">
        <v>1.4272016344773148E-2</v>
      </c>
      <c r="Z712" s="183">
        <v>1.2655860714776423E-2</v>
      </c>
    </row>
    <row r="713" spans="22:26" x14ac:dyDescent="0.2">
      <c r="V713" s="180" t="str">
        <f t="shared" si="18"/>
        <v>1w</v>
      </c>
      <c r="W713" s="177">
        <f>_xll.qlCalendarAdvance(Calendar,W712,V713,"f",FALSE)</f>
        <v>43924</v>
      </c>
      <c r="X713" s="181">
        <f>_xll.qlCalendarAdvance(Calendar,W713,NDays&amp;"D")</f>
        <v>43928</v>
      </c>
      <c r="Y713" s="178">
        <v>1.4336182406242055E-2</v>
      </c>
      <c r="Z713" s="183">
        <v>1.2697864717932106E-2</v>
      </c>
    </row>
    <row r="714" spans="22:26" x14ac:dyDescent="0.2">
      <c r="V714" s="180" t="str">
        <f t="shared" si="18"/>
        <v>1w</v>
      </c>
      <c r="W714" s="177">
        <f>_xll.qlCalendarAdvance(Calendar,W713,V714,"f",FALSE)</f>
        <v>43935</v>
      </c>
      <c r="X714" s="181">
        <f>_xll.qlCalendarAdvance(Calendar,W714,NDays&amp;"D")</f>
        <v>43937</v>
      </c>
      <c r="Y714" s="178">
        <v>1.4419375114399391E-2</v>
      </c>
      <c r="Z714" s="183">
        <v>1.2753426989595695E-2</v>
      </c>
    </row>
    <row r="715" spans="22:26" x14ac:dyDescent="0.2">
      <c r="V715" s="180" t="str">
        <f t="shared" si="18"/>
        <v>1w</v>
      </c>
      <c r="W715" s="177">
        <f>_xll.qlCalendarAdvance(Calendar,W714,V715,"f",FALSE)</f>
        <v>43942</v>
      </c>
      <c r="X715" s="181">
        <f>_xll.qlCalendarAdvance(Calendar,W715,NDays&amp;"D")</f>
        <v>43944</v>
      </c>
      <c r="Y715" s="178">
        <v>1.4484585860272377E-2</v>
      </c>
      <c r="Z715" s="183">
        <v>1.2797853187356267E-2</v>
      </c>
    </row>
    <row r="716" spans="22:26" x14ac:dyDescent="0.2">
      <c r="V716" s="180" t="str">
        <f t="shared" si="18"/>
        <v>1w</v>
      </c>
      <c r="W716" s="177">
        <f>_xll.qlCalendarAdvance(Calendar,W715,V716,"f",FALSE)</f>
        <v>43949</v>
      </c>
      <c r="X716" s="181">
        <f>_xll.qlCalendarAdvance(Calendar,W716,NDays&amp;"D")</f>
        <v>43951</v>
      </c>
      <c r="Y716" s="178">
        <v>1.4550208928425354E-2</v>
      </c>
      <c r="Z716" s="183">
        <v>1.2853925837039704E-2</v>
      </c>
    </row>
    <row r="717" spans="22:26" x14ac:dyDescent="0.2">
      <c r="V717" s="180" t="str">
        <f t="shared" si="18"/>
        <v>1w</v>
      </c>
      <c r="W717" s="177">
        <f>_xll.qlCalendarAdvance(Calendar,W716,V717,"f",FALSE)</f>
        <v>43956</v>
      </c>
      <c r="X717" s="181">
        <f>_xll.qlCalendarAdvance(Calendar,W717,NDays&amp;"D")</f>
        <v>43958</v>
      </c>
      <c r="Y717" s="178">
        <v>1.461621708421945E-2</v>
      </c>
      <c r="Z717" s="183">
        <v>1.2889884715674427E-2</v>
      </c>
    </row>
    <row r="718" spans="22:26" x14ac:dyDescent="0.2">
      <c r="V718" s="180" t="str">
        <f t="shared" si="18"/>
        <v>1w</v>
      </c>
      <c r="W718" s="177">
        <f>_xll.qlCalendarAdvance(Calendar,W717,V718,"f",FALSE)</f>
        <v>43963</v>
      </c>
      <c r="X718" s="181">
        <f>_xll.qlCalendarAdvance(Calendar,W718,NDays&amp;"D")</f>
        <v>43965</v>
      </c>
      <c r="Y718" s="178">
        <v>1.4682583086276412E-2</v>
      </c>
      <c r="Z718" s="183">
        <v>1.2937490046951439E-2</v>
      </c>
    </row>
    <row r="719" spans="22:26" x14ac:dyDescent="0.2">
      <c r="V719" s="180" t="str">
        <f t="shared" si="18"/>
        <v>1w</v>
      </c>
      <c r="W719" s="177">
        <f>_xll.qlCalendarAdvance(Calendar,W718,V719,"f",FALSE)</f>
        <v>43970</v>
      </c>
      <c r="X719" s="181">
        <f>_xll.qlCalendarAdvance(Calendar,W719,NDays&amp;"D")</f>
        <v>43972</v>
      </c>
      <c r="Y719" s="178">
        <v>1.4749279686378096E-2</v>
      </c>
      <c r="Z719" s="183">
        <v>1.2986155090306539E-2</v>
      </c>
    </row>
    <row r="720" spans="22:26" x14ac:dyDescent="0.2">
      <c r="V720" s="180" t="str">
        <f t="shared" si="18"/>
        <v>1w</v>
      </c>
      <c r="W720" s="177">
        <f>_xll.qlCalendarAdvance(Calendar,W719,V720,"f",FALSE)</f>
        <v>43977</v>
      </c>
      <c r="X720" s="181">
        <f>_xll.qlCalendarAdvance(Calendar,W720,NDays&amp;"D")</f>
        <v>43979</v>
      </c>
      <c r="Y720" s="178">
        <v>1.4816279629371407E-2</v>
      </c>
      <c r="Z720" s="183">
        <v>1.3035879846059473E-2</v>
      </c>
    </row>
    <row r="721" spans="22:26" x14ac:dyDescent="0.2">
      <c r="V721" s="180" t="str">
        <f t="shared" si="18"/>
        <v>1w</v>
      </c>
      <c r="W721" s="177">
        <f>_xll.qlCalendarAdvance(Calendar,W720,V721,"f",FALSE)</f>
        <v>43984</v>
      </c>
      <c r="X721" s="181">
        <f>_xll.qlCalendarAdvance(Calendar,W721,NDays&amp;"D")</f>
        <v>43986</v>
      </c>
      <c r="Y721" s="178">
        <v>1.4883555653083115E-2</v>
      </c>
      <c r="Z721" s="183">
        <v>1.3086664314769791E-2</v>
      </c>
    </row>
    <row r="722" spans="22:26" x14ac:dyDescent="0.2">
      <c r="V722" s="180" t="str">
        <f t="shared" si="18"/>
        <v>1w</v>
      </c>
      <c r="W722" s="177">
        <f>_xll.qlCalendarAdvance(Calendar,W721,V722,"f",FALSE)</f>
        <v>43991</v>
      </c>
      <c r="X722" s="181">
        <f>_xll.qlCalendarAdvance(Calendar,W722,NDays&amp;"D")</f>
        <v>43993</v>
      </c>
      <c r="Y722" s="178">
        <v>1.4951080488239475E-2</v>
      </c>
      <c r="Z722" s="183">
        <v>1.313850849675724E-2</v>
      </c>
    </row>
    <row r="723" spans="22:26" x14ac:dyDescent="0.2">
      <c r="V723" s="180" t="str">
        <f t="shared" si="18"/>
        <v>1w</v>
      </c>
      <c r="W723" s="177">
        <f>_xll.qlCalendarAdvance(Calendar,W722,V723,"f",FALSE)</f>
        <v>43998</v>
      </c>
      <c r="X723" s="181">
        <f>_xll.qlCalendarAdvance(Calendar,W723,NDays&amp;"D")</f>
        <v>44000</v>
      </c>
      <c r="Y723" s="178">
        <v>1.5018826858396152E-2</v>
      </c>
      <c r="Z723" s="183">
        <v>1.319141239258137E-2</v>
      </c>
    </row>
    <row r="724" spans="22:26" x14ac:dyDescent="0.2">
      <c r="V724" s="180" t="str">
        <f t="shared" si="18"/>
        <v>1w</v>
      </c>
      <c r="W724" s="177">
        <f>_xll.qlCalendarAdvance(Calendar,W723,V724,"f",FALSE)</f>
        <v>44005</v>
      </c>
      <c r="X724" s="181">
        <f>_xll.qlCalendarAdvance(Calendar,W724,NDays&amp;"D")</f>
        <v>44007</v>
      </c>
      <c r="Y724" s="178">
        <v>1.5086767479873392E-2</v>
      </c>
      <c r="Z724" s="183">
        <v>1.3245376002641862E-2</v>
      </c>
    </row>
    <row r="725" spans="22:26" x14ac:dyDescent="0.2">
      <c r="V725" s="180" t="str">
        <f t="shared" ref="V725:V788" si="19">V724</f>
        <v>1w</v>
      </c>
      <c r="W725" s="177">
        <f>_xll.qlCalendarAdvance(Calendar,W724,V725,"f",FALSE)</f>
        <v>44012</v>
      </c>
      <c r="X725" s="181">
        <f>_xll.qlCalendarAdvance(Calendar,W725,NDays&amp;"D")</f>
        <v>44014</v>
      </c>
      <c r="Y725" s="178">
        <v>1.5154875061698865E-2</v>
      </c>
      <c r="Z725" s="183">
        <v>1.3300399327498269E-2</v>
      </c>
    </row>
    <row r="726" spans="22:26" x14ac:dyDescent="0.2">
      <c r="V726" s="180" t="str">
        <f t="shared" si="19"/>
        <v>1w</v>
      </c>
      <c r="W726" s="177">
        <f>_xll.qlCalendarAdvance(Calendar,W725,V726,"f",FALSE)</f>
        <v>44019</v>
      </c>
      <c r="X726" s="181">
        <f>_xll.qlCalendarAdvance(Calendar,W726,NDays&amp;"D")</f>
        <v>44021</v>
      </c>
      <c r="Y726" s="178">
        <v>1.5223122305559259E-2</v>
      </c>
      <c r="Z726" s="183">
        <v>1.3356482367550271E-2</v>
      </c>
    </row>
    <row r="727" spans="22:26" x14ac:dyDescent="0.2">
      <c r="V727" s="180" t="str">
        <f t="shared" si="19"/>
        <v>1w</v>
      </c>
      <c r="W727" s="177">
        <f>_xll.qlCalendarAdvance(Calendar,W726,V727,"f",FALSE)</f>
        <v>44026</v>
      </c>
      <c r="X727" s="181">
        <f>_xll.qlCalendarAdvance(Calendar,W727,NDays&amp;"D")</f>
        <v>44028</v>
      </c>
      <c r="Y727" s="178">
        <v>1.5291481905758244E-2</v>
      </c>
      <c r="Z727" s="183">
        <v>1.3413625123277484E-2</v>
      </c>
    </row>
    <row r="728" spans="22:26" x14ac:dyDescent="0.2">
      <c r="V728" s="180" t="str">
        <f t="shared" si="19"/>
        <v>1w</v>
      </c>
      <c r="W728" s="177">
        <f>_xll.qlCalendarAdvance(Calendar,W727,V728,"f",FALSE)</f>
        <v>44033</v>
      </c>
      <c r="X728" s="181">
        <f>_xll.qlCalendarAdvance(Calendar,W728,NDays&amp;"D")</f>
        <v>44035</v>
      </c>
      <c r="Y728" s="178">
        <v>1.5359926549181637E-2</v>
      </c>
      <c r="Z728" s="183">
        <v>1.3471827595239461E-2</v>
      </c>
    </row>
    <row r="729" spans="22:26" x14ac:dyDescent="0.2">
      <c r="V729" s="180" t="str">
        <f t="shared" si="19"/>
        <v>1w</v>
      </c>
      <c r="W729" s="177">
        <f>_xll.qlCalendarAdvance(Calendar,W728,V729,"f",FALSE)</f>
        <v>44040</v>
      </c>
      <c r="X729" s="181">
        <f>_xll.qlCalendarAdvance(Calendar,W729,NDays&amp;"D")</f>
        <v>44042</v>
      </c>
      <c r="Y729" s="178">
        <v>1.542842891527069E-2</v>
      </c>
      <c r="Z729" s="183">
        <v>1.3531089783995753E-2</v>
      </c>
    </row>
    <row r="730" spans="22:26" x14ac:dyDescent="0.2">
      <c r="V730" s="180" t="str">
        <f t="shared" si="19"/>
        <v>1w</v>
      </c>
      <c r="W730" s="177">
        <f>_xll.qlCalendarAdvance(Calendar,W729,V730,"f",FALSE)</f>
        <v>44047</v>
      </c>
      <c r="X730" s="181">
        <f>_xll.qlCalendarAdvance(Calendar,W730,NDays&amp;"D")</f>
        <v>44049</v>
      </c>
      <c r="Y730" s="178">
        <v>1.5496961676003257E-2</v>
      </c>
      <c r="Z730" s="183">
        <v>1.3591411689946042E-2</v>
      </c>
    </row>
    <row r="731" spans="22:26" x14ac:dyDescent="0.2">
      <c r="V731" s="180" t="str">
        <f t="shared" si="19"/>
        <v>1w</v>
      </c>
      <c r="W731" s="177">
        <f>_xll.qlCalendarAdvance(Calendar,W730,V731,"f",FALSE)</f>
        <v>44054</v>
      </c>
      <c r="X731" s="181">
        <f>_xll.qlCalendarAdvance(Calendar,W731,NDays&amp;"D")</f>
        <v>44056</v>
      </c>
      <c r="Y731" s="178">
        <v>1.5565497495881091E-2</v>
      </c>
      <c r="Z731" s="183">
        <v>1.3652793313729816E-2</v>
      </c>
    </row>
    <row r="732" spans="22:26" x14ac:dyDescent="0.2">
      <c r="V732" s="180" t="str">
        <f t="shared" si="19"/>
        <v>1w</v>
      </c>
      <c r="W732" s="177">
        <f>_xll.qlCalendarAdvance(Calendar,W731,V732,"f",FALSE)</f>
        <v>44061</v>
      </c>
      <c r="X732" s="181">
        <f>_xll.qlCalendarAdvance(Calendar,W732,NDays&amp;"D")</f>
        <v>44063</v>
      </c>
      <c r="Y732" s="178">
        <v>1.5634009031925022E-2</v>
      </c>
      <c r="Z732" s="183">
        <v>1.3715234655826691E-2</v>
      </c>
    </row>
    <row r="733" spans="22:26" x14ac:dyDescent="0.2">
      <c r="V733" s="180" t="str">
        <f t="shared" si="19"/>
        <v>1w</v>
      </c>
      <c r="W733" s="177">
        <f>_xll.qlCalendarAdvance(Calendar,W732,V733,"f",FALSE)</f>
        <v>44068</v>
      </c>
      <c r="X733" s="181">
        <f>_xll.qlCalendarAdvance(Calendar,W733,NDays&amp;"D")</f>
        <v>44070</v>
      </c>
      <c r="Y733" s="178">
        <v>1.5702468933678684E-2</v>
      </c>
      <c r="Z733" s="183">
        <v>1.377873571679622E-2</v>
      </c>
    </row>
    <row r="734" spans="22:26" x14ac:dyDescent="0.2">
      <c r="V734" s="180" t="str">
        <f t="shared" si="19"/>
        <v>1w</v>
      </c>
      <c r="W734" s="177">
        <f>_xll.qlCalendarAdvance(Calendar,W733,V734,"f",FALSE)</f>
        <v>44075</v>
      </c>
      <c r="X734" s="181">
        <f>_xll.qlCalendarAdvance(Calendar,W734,NDays&amp;"D")</f>
        <v>44077</v>
      </c>
      <c r="Y734" s="178">
        <v>1.5770849843218152E-2</v>
      </c>
      <c r="Z734" s="183">
        <v>1.3843296497357827E-2</v>
      </c>
    </row>
    <row r="735" spans="22:26" x14ac:dyDescent="0.2">
      <c r="V735" s="180" t="str">
        <f t="shared" si="19"/>
        <v>1w</v>
      </c>
      <c r="W735" s="177">
        <f>_xll.qlCalendarAdvance(Calendar,W734,V735,"f",FALSE)</f>
        <v>44082</v>
      </c>
      <c r="X735" s="181">
        <f>_xll.qlCalendarAdvance(Calendar,W735,NDays&amp;"D")</f>
        <v>44084</v>
      </c>
      <c r="Y735" s="178">
        <v>1.5839124395170337E-2</v>
      </c>
      <c r="Z735" s="183">
        <v>1.3908916997751319E-2</v>
      </c>
    </row>
    <row r="736" spans="22:26" x14ac:dyDescent="0.2">
      <c r="V736" s="180" t="str">
        <f t="shared" si="19"/>
        <v>1w</v>
      </c>
      <c r="W736" s="177">
        <f>_xll.qlCalendarAdvance(Calendar,W735,V736,"f",FALSE)</f>
        <v>44089</v>
      </c>
      <c r="X736" s="181">
        <f>_xll.qlCalendarAdvance(Calendar,W736,NDays&amp;"D")</f>
        <v>44091</v>
      </c>
      <c r="Y736" s="178">
        <v>1.5907265216737944E-2</v>
      </c>
      <c r="Z736" s="183">
        <v>1.3975597218855995E-2</v>
      </c>
    </row>
    <row r="737" spans="22:26" x14ac:dyDescent="0.2">
      <c r="V737" s="180" t="str">
        <f t="shared" si="19"/>
        <v>1w</v>
      </c>
      <c r="W737" s="177">
        <f>_xll.qlCalendarAdvance(Calendar,W736,V737,"f",FALSE)</f>
        <v>44096</v>
      </c>
      <c r="X737" s="181">
        <f>_xll.qlCalendarAdvance(Calendar,W737,NDays&amp;"D")</f>
        <v>44098</v>
      </c>
      <c r="Y737" s="178">
        <v>1.5975244927732342E-2</v>
      </c>
      <c r="Z737" s="183">
        <v>1.404333716115147E-2</v>
      </c>
    </row>
    <row r="738" spans="22:26" x14ac:dyDescent="0.2">
      <c r="V738" s="180" t="str">
        <f t="shared" si="19"/>
        <v>1w</v>
      </c>
      <c r="W738" s="177">
        <f>_xll.qlCalendarAdvance(Calendar,W737,V738,"f",FALSE)</f>
        <v>44103</v>
      </c>
      <c r="X738" s="181">
        <f>_xll.qlCalendarAdvance(Calendar,W738,NDays&amp;"D")</f>
        <v>44105</v>
      </c>
      <c r="Y738" s="178">
        <v>1.6043036140613622E-2</v>
      </c>
      <c r="Z738" s="183">
        <v>1.4112136825117361E-2</v>
      </c>
    </row>
    <row r="739" spans="22:26" x14ac:dyDescent="0.2">
      <c r="V739" s="180" t="str">
        <f t="shared" si="19"/>
        <v>1w</v>
      </c>
      <c r="W739" s="177">
        <f>_xll.qlCalendarAdvance(Calendar,W738,V739,"f",FALSE)</f>
        <v>44110</v>
      </c>
      <c r="X739" s="181">
        <f>_xll.qlCalendarAdvance(Calendar,W739,NDays&amp;"D")</f>
        <v>44112</v>
      </c>
      <c r="Y739" s="178">
        <v>1.6110611460538785E-2</v>
      </c>
      <c r="Z739" s="183">
        <v>1.4181996211553027E-2</v>
      </c>
    </row>
    <row r="740" spans="22:26" x14ac:dyDescent="0.2">
      <c r="V740" s="180" t="str">
        <f t="shared" si="19"/>
        <v>1w</v>
      </c>
      <c r="W740" s="177">
        <f>_xll.qlCalendarAdvance(Calendar,W739,V740,"f",FALSE)</f>
        <v>44117</v>
      </c>
      <c r="X740" s="181">
        <f>_xll.qlCalendarAdvance(Calendar,W740,NDays&amp;"D")</f>
        <v>44119</v>
      </c>
      <c r="Y740" s="178">
        <v>1.6177943485416499E-2</v>
      </c>
      <c r="Z740" s="183">
        <v>1.4252915321018023E-2</v>
      </c>
    </row>
    <row r="741" spans="22:26" x14ac:dyDescent="0.2">
      <c r="V741" s="180" t="str">
        <f t="shared" si="19"/>
        <v>1w</v>
      </c>
      <c r="W741" s="177">
        <f>_xll.qlCalendarAdvance(Calendar,W740,V741,"f",FALSE)</f>
        <v>44124</v>
      </c>
      <c r="X741" s="181">
        <f>_xll.qlCalendarAdvance(Calendar,W741,NDays&amp;"D")</f>
        <v>44126</v>
      </c>
      <c r="Y741" s="178">
        <v>1.6245004805970159E-2</v>
      </c>
      <c r="Z741" s="183">
        <v>1.4324894154071899E-2</v>
      </c>
    </row>
    <row r="742" spans="22:26" x14ac:dyDescent="0.2">
      <c r="V742" s="180" t="str">
        <f t="shared" si="19"/>
        <v>1w</v>
      </c>
      <c r="W742" s="177">
        <f>_xll.qlCalendarAdvance(Calendar,W741,V742,"f",FALSE)</f>
        <v>44131</v>
      </c>
      <c r="X742" s="181">
        <f>_xll.qlCalendarAdvance(Calendar,W742,NDays&amp;"D")</f>
        <v>44133</v>
      </c>
      <c r="Y742" s="178">
        <v>1.631176800580798E-2</v>
      </c>
      <c r="Z742" s="183">
        <v>1.439793271143408E-2</v>
      </c>
    </row>
    <row r="743" spans="22:26" x14ac:dyDescent="0.2">
      <c r="V743" s="180" t="str">
        <f t="shared" si="19"/>
        <v>1w</v>
      </c>
      <c r="W743" s="177">
        <f>_xll.qlCalendarAdvance(Calendar,W742,V743,"f",FALSE)</f>
        <v>44138</v>
      </c>
      <c r="X743" s="181">
        <f>_xll.qlCalendarAdvance(Calendar,W743,NDays&amp;"D")</f>
        <v>44140</v>
      </c>
      <c r="Y743" s="178">
        <v>1.637820576729293E-2</v>
      </c>
      <c r="Z743" s="183">
        <v>1.4471940288061091E-2</v>
      </c>
    </row>
    <row r="744" spans="22:26" x14ac:dyDescent="0.2">
      <c r="V744" s="180" t="str">
        <f t="shared" si="19"/>
        <v>1w</v>
      </c>
      <c r="W744" s="177">
        <f>_xll.qlCalendarAdvance(Calendar,W743,V744,"f",FALSE)</f>
        <v>44145</v>
      </c>
      <c r="X744" s="181">
        <f>_xll.qlCalendarAdvance(Calendar,W744,NDays&amp;"D")</f>
        <v>44147</v>
      </c>
      <c r="Y744" s="178">
        <v>1.6444299983674287E-2</v>
      </c>
      <c r="Z744" s="183">
        <v>1.4545895253013086E-2</v>
      </c>
    </row>
    <row r="745" spans="22:26" x14ac:dyDescent="0.2">
      <c r="V745" s="180" t="str">
        <f t="shared" si="19"/>
        <v>1w</v>
      </c>
      <c r="W745" s="177">
        <f>_xll.qlCalendarAdvance(Calendar,W744,V745,"f",FALSE)</f>
        <v>44152</v>
      </c>
      <c r="X745" s="181">
        <f>_xll.qlCalendarAdvance(Calendar,W745,NDays&amp;"D")</f>
        <v>44154</v>
      </c>
      <c r="Y745" s="178">
        <v>1.6510048785123257E-2</v>
      </c>
      <c r="Z745" s="183">
        <v>1.4619506393316328E-2</v>
      </c>
    </row>
    <row r="746" spans="22:26" x14ac:dyDescent="0.2">
      <c r="V746" s="180" t="str">
        <f t="shared" si="19"/>
        <v>1w</v>
      </c>
      <c r="W746" s="177">
        <f>_xll.qlCalendarAdvance(Calendar,W745,V746,"f",FALSE)</f>
        <v>44159</v>
      </c>
      <c r="X746" s="181">
        <f>_xll.qlCalendarAdvance(Calendar,W746,NDays&amp;"D")</f>
        <v>44161</v>
      </c>
      <c r="Y746" s="178">
        <v>1.6575451955032839E-2</v>
      </c>
      <c r="Z746" s="183">
        <v>1.4692773708810947E-2</v>
      </c>
    </row>
    <row r="747" spans="22:26" x14ac:dyDescent="0.2">
      <c r="V747" s="180" t="str">
        <f t="shared" si="19"/>
        <v>1w</v>
      </c>
      <c r="W747" s="177">
        <f>_xll.qlCalendarAdvance(Calendar,W746,V747,"f",FALSE)</f>
        <v>44166</v>
      </c>
      <c r="X747" s="181">
        <f>_xll.qlCalendarAdvance(Calendar,W747,NDays&amp;"D")</f>
        <v>44168</v>
      </c>
      <c r="Y747" s="178">
        <v>1.6640509277114458E-2</v>
      </c>
      <c r="Z747" s="183">
        <v>1.4765697199337069E-2</v>
      </c>
    </row>
    <row r="748" spans="22:26" x14ac:dyDescent="0.2">
      <c r="V748" s="180" t="str">
        <f t="shared" si="19"/>
        <v>1w</v>
      </c>
      <c r="W748" s="177">
        <f>_xll.qlCalendarAdvance(Calendar,W747,V748,"f",FALSE)</f>
        <v>44173</v>
      </c>
      <c r="X748" s="181">
        <f>_xll.qlCalendarAdvance(Calendar,W748,NDays&amp;"D")</f>
        <v>44175</v>
      </c>
      <c r="Y748" s="178">
        <v>1.6705220535399277E-2</v>
      </c>
      <c r="Z748" s="183">
        <v>1.4838276864574951E-2</v>
      </c>
    </row>
    <row r="749" spans="22:26" x14ac:dyDescent="0.2">
      <c r="V749" s="180" t="str">
        <f t="shared" si="19"/>
        <v>1w</v>
      </c>
      <c r="W749" s="177">
        <f>_xll.qlCalendarAdvance(Calendar,W748,V749,"f",FALSE)</f>
        <v>44180</v>
      </c>
      <c r="X749" s="181">
        <f>_xll.qlCalendarAdvance(Calendar,W749,NDays&amp;"D")</f>
        <v>44182</v>
      </c>
      <c r="Y749" s="178">
        <v>1.6769585514237993E-2</v>
      </c>
      <c r="Z749" s="183">
        <v>1.4910512704444656E-2</v>
      </c>
    </row>
    <row r="750" spans="22:26" x14ac:dyDescent="0.2">
      <c r="V750" s="180" t="str">
        <f t="shared" si="19"/>
        <v>1w</v>
      </c>
      <c r="W750" s="177">
        <f>_xll.qlCalendarAdvance(Calendar,W749,V750,"f",FALSE)</f>
        <v>44187</v>
      </c>
      <c r="X750" s="181">
        <f>_xll.qlCalendarAdvance(Calendar,W750,NDays&amp;"D")</f>
        <v>44189</v>
      </c>
      <c r="Y750" s="178">
        <v>1.6833603998301701E-2</v>
      </c>
      <c r="Z750" s="183">
        <v>1.4998698278227973E-2</v>
      </c>
    </row>
    <row r="751" spans="22:26" x14ac:dyDescent="0.2">
      <c r="V751" s="180" t="str">
        <f t="shared" si="19"/>
        <v>1w</v>
      </c>
      <c r="W751" s="177">
        <f>_xll.qlCalendarAdvance(Calendar,W750,V751,"f",FALSE)</f>
        <v>44194</v>
      </c>
      <c r="X751" s="181">
        <f>_xll.qlCalendarAdvance(Calendar,W751,NDays&amp;"D")</f>
        <v>44196</v>
      </c>
      <c r="Y751" s="178">
        <v>1.6897275772583209E-2</v>
      </c>
      <c r="Z751" s="183">
        <v>1.50701817441945E-2</v>
      </c>
    </row>
    <row r="752" spans="22:26" x14ac:dyDescent="0.2">
      <c r="V752" s="180" t="str">
        <f t="shared" si="19"/>
        <v>1w</v>
      </c>
      <c r="W752" s="177">
        <f>_xll.qlCalendarAdvance(Calendar,W751,V752,"f",FALSE)</f>
        <v>44201</v>
      </c>
      <c r="X752" s="181">
        <f>_xll.qlCalendarAdvance(Calendar,W752,NDays&amp;"D")</f>
        <v>44203</v>
      </c>
      <c r="Y752" s="178">
        <v>1.6960600622396169E-2</v>
      </c>
      <c r="Z752" s="183">
        <v>1.5125157269206824E-2</v>
      </c>
    </row>
    <row r="753" spans="22:26" x14ac:dyDescent="0.2">
      <c r="V753" s="180" t="str">
        <f t="shared" si="19"/>
        <v>1w</v>
      </c>
      <c r="W753" s="177">
        <f>_xll.qlCalendarAdvance(Calendar,W752,V753,"f",FALSE)</f>
        <v>44208</v>
      </c>
      <c r="X753" s="181">
        <f>_xll.qlCalendarAdvance(Calendar,W753,NDays&amp;"D")</f>
        <v>44210</v>
      </c>
      <c r="Y753" s="178">
        <v>1.7023578333377254E-2</v>
      </c>
      <c r="Z753" s="183">
        <v>1.5196017805205742E-2</v>
      </c>
    </row>
    <row r="754" spans="22:26" x14ac:dyDescent="0.2">
      <c r="V754" s="180" t="str">
        <f t="shared" si="19"/>
        <v>1w</v>
      </c>
      <c r="W754" s="177">
        <f>_xll.qlCalendarAdvance(Calendar,W753,V754,"f",FALSE)</f>
        <v>44215</v>
      </c>
      <c r="X754" s="181">
        <f>_xll.qlCalendarAdvance(Calendar,W754,NDays&amp;"D")</f>
        <v>44217</v>
      </c>
      <c r="Y754" s="178">
        <v>1.7086208691486176E-2</v>
      </c>
      <c r="Z754" s="183">
        <v>1.5266534514717378E-2</v>
      </c>
    </row>
    <row r="755" spans="22:26" x14ac:dyDescent="0.2">
      <c r="V755" s="180" t="str">
        <f t="shared" si="19"/>
        <v>1w</v>
      </c>
      <c r="W755" s="177">
        <f>_xll.qlCalendarAdvance(Calendar,W754,V755,"f",FALSE)</f>
        <v>44222</v>
      </c>
      <c r="X755" s="181">
        <f>_xll.qlCalendarAdvance(Calendar,W755,NDays&amp;"D")</f>
        <v>44224</v>
      </c>
      <c r="Y755" s="178">
        <v>1.7148491483005891E-2</v>
      </c>
      <c r="Z755" s="183">
        <v>1.5336707397661797E-2</v>
      </c>
    </row>
    <row r="756" spans="22:26" x14ac:dyDescent="0.2">
      <c r="V756" s="180" t="str">
        <f t="shared" si="19"/>
        <v>1w</v>
      </c>
      <c r="W756" s="177">
        <f>_xll.qlCalendarAdvance(Calendar,W755,V756,"f",FALSE)</f>
        <v>44229</v>
      </c>
      <c r="X756" s="181">
        <f>_xll.qlCalendarAdvance(Calendar,W756,NDays&amp;"D")</f>
        <v>44231</v>
      </c>
      <c r="Y756" s="178">
        <v>1.7210426494543699E-2</v>
      </c>
      <c r="Z756" s="183">
        <v>1.5406536453639319E-2</v>
      </c>
    </row>
    <row r="757" spans="22:26" x14ac:dyDescent="0.2">
      <c r="V757" s="180" t="str">
        <f t="shared" si="19"/>
        <v>1w</v>
      </c>
      <c r="W757" s="177">
        <f>_xll.qlCalendarAdvance(Calendar,W756,V757,"f",FALSE)</f>
        <v>44236</v>
      </c>
      <c r="X757" s="181">
        <f>_xll.qlCalendarAdvance(Calendar,W757,NDays&amp;"D")</f>
        <v>44238</v>
      </c>
      <c r="Y757" s="178">
        <v>1.7272013513032113E-2</v>
      </c>
      <c r="Z757" s="183">
        <v>1.5476021682649943E-2</v>
      </c>
    </row>
    <row r="758" spans="22:26" x14ac:dyDescent="0.2">
      <c r="V758" s="180" t="str">
        <f t="shared" si="19"/>
        <v>1w</v>
      </c>
      <c r="W758" s="177">
        <f>_xll.qlCalendarAdvance(Calendar,W757,V758,"f",FALSE)</f>
        <v>44243</v>
      </c>
      <c r="X758" s="181">
        <f>_xll.qlCalendarAdvance(Calendar,W758,NDays&amp;"D")</f>
        <v>44245</v>
      </c>
      <c r="Y758" s="178">
        <v>1.7333252325728875E-2</v>
      </c>
      <c r="Z758" s="183">
        <v>1.5545163084293989E-2</v>
      </c>
    </row>
    <row r="759" spans="22:26" x14ac:dyDescent="0.2">
      <c r="V759" s="180" t="str">
        <f t="shared" si="19"/>
        <v>1w</v>
      </c>
      <c r="W759" s="177">
        <f>_xll.qlCalendarAdvance(Calendar,W758,V759,"f",FALSE)</f>
        <v>44250</v>
      </c>
      <c r="X759" s="181">
        <f>_xll.qlCalendarAdvance(Calendar,W759,NDays&amp;"D")</f>
        <v>44252</v>
      </c>
      <c r="Y759" s="178">
        <v>1.7394142720217821E-2</v>
      </c>
      <c r="Z759" s="183">
        <v>1.5613960658571457E-2</v>
      </c>
    </row>
    <row r="760" spans="22:26" x14ac:dyDescent="0.2">
      <c r="V760" s="180" t="str">
        <f t="shared" si="19"/>
        <v>1w</v>
      </c>
      <c r="W760" s="177">
        <f>_xll.qlCalendarAdvance(Calendar,W759,V760,"f",FALSE)</f>
        <v>44257</v>
      </c>
      <c r="X760" s="181">
        <f>_xll.qlCalendarAdvance(Calendar,W760,NDays&amp;"D")</f>
        <v>44259</v>
      </c>
      <c r="Y760" s="178">
        <v>1.7454684484410187E-2</v>
      </c>
      <c r="Z760" s="183">
        <v>1.5682414405162604E-2</v>
      </c>
    </row>
    <row r="761" spans="22:26" x14ac:dyDescent="0.2">
      <c r="V761" s="180" t="str">
        <f t="shared" si="19"/>
        <v>1w</v>
      </c>
      <c r="W761" s="177">
        <f>_xll.qlCalendarAdvance(Calendar,W760,V761,"f",FALSE)</f>
        <v>44264</v>
      </c>
      <c r="X761" s="181">
        <f>_xll.qlCalendarAdvance(Calendar,W761,NDays&amp;"D")</f>
        <v>44266</v>
      </c>
      <c r="Y761" s="178">
        <v>1.7514877406543533E-2</v>
      </c>
      <c r="Z761" s="183">
        <v>1.5750524323827619E-2</v>
      </c>
    </row>
    <row r="762" spans="22:26" x14ac:dyDescent="0.2">
      <c r="V762" s="180" t="str">
        <f t="shared" si="19"/>
        <v>1w</v>
      </c>
      <c r="W762" s="177">
        <f>_xll.qlCalendarAdvance(Calendar,W761,V762,"f",FALSE)</f>
        <v>44271</v>
      </c>
      <c r="X762" s="181">
        <f>_xll.qlCalendarAdvance(Calendar,W762,NDays&amp;"D")</f>
        <v>44273</v>
      </c>
      <c r="Y762" s="178">
        <v>1.7574721275184141E-2</v>
      </c>
      <c r="Z762" s="183">
        <v>1.5818290414486569E-2</v>
      </c>
    </row>
    <row r="763" spans="22:26" x14ac:dyDescent="0.2">
      <c r="V763" s="180" t="str">
        <f t="shared" si="19"/>
        <v>1w</v>
      </c>
      <c r="W763" s="177">
        <f>_xll.qlCalendarAdvance(Calendar,W762,V763,"f",FALSE)</f>
        <v>44278</v>
      </c>
      <c r="X763" s="181">
        <f>_xll.qlCalendarAdvance(Calendar,W763,NDays&amp;"D")</f>
        <v>44280</v>
      </c>
      <c r="Y763" s="178">
        <v>1.7634215879227231E-2</v>
      </c>
      <c r="Z763" s="183">
        <v>1.5885712676899644E-2</v>
      </c>
    </row>
    <row r="764" spans="22:26" x14ac:dyDescent="0.2">
      <c r="V764" s="180" t="str">
        <f t="shared" si="19"/>
        <v>1w</v>
      </c>
      <c r="W764" s="177">
        <f>_xll.qlCalendarAdvance(Calendar,W763,V764,"f",FALSE)</f>
        <v>44285</v>
      </c>
      <c r="X764" s="181">
        <f>_xll.qlCalendarAdvance(Calendar,W764,NDays&amp;"D")</f>
        <v>44287</v>
      </c>
      <c r="Y764" s="178">
        <v>1.769336100789631E-2</v>
      </c>
      <c r="Z764" s="183">
        <v>1.5973303499894342E-2</v>
      </c>
    </row>
    <row r="765" spans="22:26" x14ac:dyDescent="0.2">
      <c r="V765" s="180" t="str">
        <f t="shared" si="19"/>
        <v>1w</v>
      </c>
      <c r="W765" s="177">
        <f>_xll.qlCalendarAdvance(Calendar,W764,V765,"f",FALSE)</f>
        <v>44292</v>
      </c>
      <c r="X765" s="181">
        <f>_xll.qlCalendarAdvance(Calendar,W765,NDays&amp;"D")</f>
        <v>44294</v>
      </c>
      <c r="Y765" s="178">
        <v>1.7752156450745581E-2</v>
      </c>
      <c r="Z765" s="183">
        <v>1.6019525716268745E-2</v>
      </c>
    </row>
    <row r="766" spans="22:26" x14ac:dyDescent="0.2">
      <c r="V766" s="180" t="str">
        <f t="shared" si="19"/>
        <v>1w</v>
      </c>
      <c r="W766" s="177">
        <f>_xll.qlCalendarAdvance(Calendar,W765,V766,"f",FALSE)</f>
        <v>44299</v>
      </c>
      <c r="X766" s="181">
        <f>_xll.qlCalendarAdvance(Calendar,W766,NDays&amp;"D")</f>
        <v>44301</v>
      </c>
      <c r="Y766" s="178">
        <v>1.7828109256777667E-2</v>
      </c>
      <c r="Z766" s="183">
        <v>1.6085916492825092E-2</v>
      </c>
    </row>
    <row r="767" spans="22:26" x14ac:dyDescent="0.2">
      <c r="V767" s="180" t="str">
        <f t="shared" si="19"/>
        <v>1w</v>
      </c>
      <c r="W767" s="177">
        <f>_xll.qlCalendarAdvance(Calendar,W766,V767,"f",FALSE)</f>
        <v>44306</v>
      </c>
      <c r="X767" s="181">
        <f>_xll.qlCalendarAdvance(Calendar,W767,NDays&amp;"D")</f>
        <v>44308</v>
      </c>
      <c r="Y767" s="178">
        <v>1.7868697438854112E-2</v>
      </c>
      <c r="Z767" s="183">
        <v>1.6151963440336203E-2</v>
      </c>
    </row>
    <row r="768" spans="22:26" x14ac:dyDescent="0.2">
      <c r="V768" s="180" t="str">
        <f t="shared" si="19"/>
        <v>1w</v>
      </c>
      <c r="W768" s="177">
        <f>_xll.qlCalendarAdvance(Calendar,W767,V768,"f",FALSE)</f>
        <v>44313</v>
      </c>
      <c r="X768" s="181">
        <f>_xll.qlCalendarAdvance(Calendar,W768,NDays&amp;"D")</f>
        <v>44315</v>
      </c>
      <c r="Y768" s="178">
        <v>1.7926442564876337E-2</v>
      </c>
      <c r="Z768" s="183">
        <v>1.6217666558642208E-2</v>
      </c>
    </row>
    <row r="769" spans="22:26" x14ac:dyDescent="0.2">
      <c r="V769" s="180" t="str">
        <f t="shared" si="19"/>
        <v>1w</v>
      </c>
      <c r="W769" s="177">
        <f>_xll.qlCalendarAdvance(Calendar,W768,V769,"f",FALSE)</f>
        <v>44320</v>
      </c>
      <c r="X769" s="181">
        <f>_xll.qlCalendarAdvance(Calendar,W769,NDays&amp;"D")</f>
        <v>44322</v>
      </c>
      <c r="Y769" s="178">
        <v>1.7983837166606016E-2</v>
      </c>
      <c r="Z769" s="183">
        <v>1.6283025847583232E-2</v>
      </c>
    </row>
    <row r="770" spans="22:26" x14ac:dyDescent="0.2">
      <c r="V770" s="180" t="str">
        <f t="shared" si="19"/>
        <v>1w</v>
      </c>
      <c r="W770" s="177">
        <f>_xll.qlCalendarAdvance(Calendar,W769,V770,"f",FALSE)</f>
        <v>44327</v>
      </c>
      <c r="X770" s="181">
        <f>_xll.qlCalendarAdvance(Calendar,W770,NDays&amp;"D")</f>
        <v>44329</v>
      </c>
      <c r="Y770" s="178">
        <v>1.8040881035256289E-2</v>
      </c>
      <c r="Z770" s="183">
        <v>1.6348041306839534E-2</v>
      </c>
    </row>
    <row r="771" spans="22:26" x14ac:dyDescent="0.2">
      <c r="V771" s="180" t="str">
        <f t="shared" si="19"/>
        <v>1w</v>
      </c>
      <c r="W771" s="177">
        <f>_xll.qlCalendarAdvance(Calendar,W770,V771,"f",FALSE)</f>
        <v>44334</v>
      </c>
      <c r="X771" s="181">
        <f>_xll.qlCalendarAdvance(Calendar,W771,NDays&amp;"D")</f>
        <v>44336</v>
      </c>
      <c r="Y771" s="178">
        <v>1.8097573962373634E-2</v>
      </c>
      <c r="Z771" s="183">
        <v>1.6412712936491047E-2</v>
      </c>
    </row>
    <row r="772" spans="22:26" x14ac:dyDescent="0.2">
      <c r="V772" s="180" t="str">
        <f t="shared" si="19"/>
        <v>1w</v>
      </c>
      <c r="W772" s="177">
        <f>_xll.qlCalendarAdvance(Calendar,W771,V772,"f",FALSE)</f>
        <v>44341</v>
      </c>
      <c r="X772" s="181">
        <f>_xll.qlCalendarAdvance(Calendar,W772,NDays&amp;"D")</f>
        <v>44343</v>
      </c>
      <c r="Y772" s="178">
        <v>1.8153915739838721E-2</v>
      </c>
      <c r="Z772" s="183">
        <v>1.6477040736138093E-2</v>
      </c>
    </row>
    <row r="773" spans="22:26" x14ac:dyDescent="0.2">
      <c r="V773" s="180" t="str">
        <f t="shared" si="19"/>
        <v>1w</v>
      </c>
      <c r="W773" s="177">
        <f>_xll.qlCalendarAdvance(Calendar,W772,V773,"f",FALSE)</f>
        <v>44348</v>
      </c>
      <c r="X773" s="181">
        <f>_xll.qlCalendarAdvance(Calendar,W773,NDays&amp;"D")</f>
        <v>44350</v>
      </c>
      <c r="Y773" s="178">
        <v>1.8209906159867291E-2</v>
      </c>
      <c r="Z773" s="183">
        <v>1.6541024705620799E-2</v>
      </c>
    </row>
    <row r="774" spans="22:26" x14ac:dyDescent="0.2">
      <c r="V774" s="180" t="str">
        <f t="shared" si="19"/>
        <v>1w</v>
      </c>
      <c r="W774" s="177">
        <f>_xll.qlCalendarAdvance(Calendar,W773,V774,"f",FALSE)</f>
        <v>44355</v>
      </c>
      <c r="X774" s="181">
        <f>_xll.qlCalendarAdvance(Calendar,W774,NDays&amp;"D")</f>
        <v>44357</v>
      </c>
      <c r="Y774" s="178">
        <v>1.8265545015010164E-2</v>
      </c>
      <c r="Z774" s="183">
        <v>1.6604664844859229E-2</v>
      </c>
    </row>
    <row r="775" spans="22:26" x14ac:dyDescent="0.2">
      <c r="V775" s="180" t="str">
        <f t="shared" si="19"/>
        <v>1w</v>
      </c>
      <c r="W775" s="177">
        <f>_xll.qlCalendarAdvance(Calendar,W774,V775,"f",FALSE)</f>
        <v>44362</v>
      </c>
      <c r="X775" s="181">
        <f>_xll.qlCalendarAdvance(Calendar,W775,NDays&amp;"D")</f>
        <v>44364</v>
      </c>
      <c r="Y775" s="178">
        <v>1.8320832098155427E-2</v>
      </c>
      <c r="Z775" s="183">
        <v>1.6667961153533639E-2</v>
      </c>
    </row>
    <row r="776" spans="22:26" x14ac:dyDescent="0.2">
      <c r="V776" s="180" t="str">
        <f t="shared" si="19"/>
        <v>1w</v>
      </c>
      <c r="W776" s="177">
        <f>_xll.qlCalendarAdvance(Calendar,W775,V776,"f",FALSE)</f>
        <v>44369</v>
      </c>
      <c r="X776" s="181">
        <f>_xll.qlCalendarAdvance(Calendar,W776,NDays&amp;"D")</f>
        <v>44371</v>
      </c>
      <c r="Y776" s="178">
        <v>1.837576720252623E-2</v>
      </c>
      <c r="Z776" s="183">
        <v>1.6730913631484157E-2</v>
      </c>
    </row>
    <row r="777" spans="22:26" x14ac:dyDescent="0.2">
      <c r="V777" s="180" t="str">
        <f t="shared" si="19"/>
        <v>1w</v>
      </c>
      <c r="W777" s="177">
        <f>_xll.qlCalendarAdvance(Calendar,W776,V777,"f",FALSE)</f>
        <v>44376</v>
      </c>
      <c r="X777" s="181">
        <f>_xll.qlCalendarAdvance(Calendar,W777,NDays&amp;"D")</f>
        <v>44378</v>
      </c>
      <c r="Y777" s="178">
        <v>1.8430350121684754E-2</v>
      </c>
      <c r="Z777" s="183">
        <v>1.6793522278710782E-2</v>
      </c>
    </row>
    <row r="778" spans="22:26" x14ac:dyDescent="0.2">
      <c r="V778" s="180" t="str">
        <f t="shared" si="19"/>
        <v>1w</v>
      </c>
      <c r="W778" s="177">
        <f>_xll.qlCalendarAdvance(Calendar,W777,V778,"f",FALSE)</f>
        <v>44383</v>
      </c>
      <c r="X778" s="181">
        <f>_xll.qlCalendarAdvance(Calendar,W778,NDays&amp;"D")</f>
        <v>44385</v>
      </c>
      <c r="Y778" s="178">
        <v>1.8484580649530218E-2</v>
      </c>
      <c r="Z778" s="183">
        <v>1.6855787094813834E-2</v>
      </c>
    </row>
    <row r="779" spans="22:26" x14ac:dyDescent="0.2">
      <c r="V779" s="180" t="str">
        <f t="shared" si="19"/>
        <v>1w</v>
      </c>
      <c r="W779" s="177">
        <f>_xll.qlCalendarAdvance(Calendar,W778,V779,"f",FALSE)</f>
        <v>44390</v>
      </c>
      <c r="X779" s="181">
        <f>_xll.qlCalendarAdvance(Calendar,W779,NDays&amp;"D")</f>
        <v>44392</v>
      </c>
      <c r="Y779" s="178">
        <v>1.8538458580300857E-2</v>
      </c>
      <c r="Z779" s="183">
        <v>1.6917708079713378E-2</v>
      </c>
    </row>
    <row r="780" spans="22:26" x14ac:dyDescent="0.2">
      <c r="V780" s="180" t="str">
        <f t="shared" si="19"/>
        <v>1w</v>
      </c>
      <c r="W780" s="177">
        <f>_xll.qlCalendarAdvance(Calendar,W779,V780,"f",FALSE)</f>
        <v>44397</v>
      </c>
      <c r="X780" s="181">
        <f>_xll.qlCalendarAdvance(Calendar,W780,NDays&amp;"D")</f>
        <v>44399</v>
      </c>
      <c r="Y780" s="178">
        <v>1.8591983708573921E-2</v>
      </c>
      <c r="Z780" s="183">
        <v>1.6979285233169605E-2</v>
      </c>
    </row>
    <row r="781" spans="22:26" x14ac:dyDescent="0.2">
      <c r="V781" s="180" t="str">
        <f t="shared" si="19"/>
        <v>1w</v>
      </c>
      <c r="W781" s="177">
        <f>_xll.qlCalendarAdvance(Calendar,W780,V781,"f",FALSE)</f>
        <v>44404</v>
      </c>
      <c r="X781" s="181">
        <f>_xll.qlCalendarAdvance(Calendar,W781,NDays&amp;"D")</f>
        <v>44406</v>
      </c>
      <c r="Y781" s="178">
        <v>1.8645155829266777E-2</v>
      </c>
      <c r="Z781" s="183">
        <v>1.704051855510258E-2</v>
      </c>
    </row>
    <row r="782" spans="22:26" x14ac:dyDescent="0.2">
      <c r="V782" s="180" t="str">
        <f t="shared" si="19"/>
        <v>1w</v>
      </c>
      <c r="W782" s="177">
        <f>_xll.qlCalendarAdvance(Calendar,W781,V782,"f",FALSE)</f>
        <v>44411</v>
      </c>
      <c r="X782" s="181">
        <f>_xll.qlCalendarAdvance(Calendar,W782,NDays&amp;"D")</f>
        <v>44413</v>
      </c>
      <c r="Y782" s="178">
        <v>1.8697974737636902E-2</v>
      </c>
      <c r="Z782" s="183">
        <v>1.7101408045352429E-2</v>
      </c>
    </row>
    <row r="783" spans="22:26" x14ac:dyDescent="0.2">
      <c r="V783" s="180" t="str">
        <f t="shared" si="19"/>
        <v>1w</v>
      </c>
      <c r="W783" s="177">
        <f>_xll.qlCalendarAdvance(Calendar,W782,V783,"f",FALSE)</f>
        <v>44418</v>
      </c>
      <c r="X783" s="181">
        <f>_xll.qlCalendarAdvance(Calendar,W783,NDays&amp;"D")</f>
        <v>44420</v>
      </c>
      <c r="Y783" s="178">
        <v>1.8750440229283412E-2</v>
      </c>
      <c r="Z783" s="183">
        <v>1.7161953703519472E-2</v>
      </c>
    </row>
    <row r="784" spans="22:26" x14ac:dyDescent="0.2">
      <c r="V784" s="180" t="str">
        <f t="shared" si="19"/>
        <v>1w</v>
      </c>
      <c r="W784" s="177">
        <f>_xll.qlCalendarAdvance(Calendar,W783,V784,"f",FALSE)</f>
        <v>44425</v>
      </c>
      <c r="X784" s="181">
        <f>_xll.qlCalendarAdvance(Calendar,W784,NDays&amp;"D")</f>
        <v>44427</v>
      </c>
      <c r="Y784" s="178">
        <v>1.880255210014686E-2</v>
      </c>
      <c r="Z784" s="183">
        <v>1.7222155529683647E-2</v>
      </c>
    </row>
    <row r="785" spans="22:26" x14ac:dyDescent="0.2">
      <c r="V785" s="180" t="str">
        <f t="shared" si="19"/>
        <v>1w</v>
      </c>
      <c r="W785" s="177">
        <f>_xll.qlCalendarAdvance(Calendar,W784,V785,"f",FALSE)</f>
        <v>44432</v>
      </c>
      <c r="X785" s="181">
        <f>_xll.qlCalendarAdvance(Calendar,W785,NDays&amp;"D")</f>
        <v>44434</v>
      </c>
      <c r="Y785" s="178">
        <v>1.8854310146510084E-2</v>
      </c>
      <c r="Z785" s="183">
        <v>1.728201352368508E-2</v>
      </c>
    </row>
    <row r="786" spans="22:26" x14ac:dyDescent="0.2">
      <c r="V786" s="180" t="str">
        <f t="shared" si="19"/>
        <v>1w</v>
      </c>
      <c r="W786" s="177">
        <f>_xll.qlCalendarAdvance(Calendar,W785,V786,"f",FALSE)</f>
        <v>44439</v>
      </c>
      <c r="X786" s="181">
        <f>_xll.qlCalendarAdvance(Calendar,W786,NDays&amp;"D")</f>
        <v>44441</v>
      </c>
      <c r="Y786" s="178">
        <v>1.8905714164999116E-2</v>
      </c>
      <c r="Z786" s="183">
        <v>1.7341527685124092E-2</v>
      </c>
    </row>
    <row r="787" spans="22:26" x14ac:dyDescent="0.2">
      <c r="V787" s="180" t="str">
        <f t="shared" si="19"/>
        <v>1w</v>
      </c>
      <c r="W787" s="177">
        <f>_xll.qlCalendarAdvance(Calendar,W786,V787,"f",FALSE)</f>
        <v>44446</v>
      </c>
      <c r="X787" s="181">
        <f>_xll.qlCalendarAdvance(Calendar,W787,NDays&amp;"D")</f>
        <v>44448</v>
      </c>
      <c r="Y787" s="178">
        <v>1.8956763952583593E-2</v>
      </c>
      <c r="Z787" s="183">
        <v>1.7400698013920746E-2</v>
      </c>
    </row>
    <row r="788" spans="22:26" x14ac:dyDescent="0.2">
      <c r="V788" s="180" t="str">
        <f t="shared" si="19"/>
        <v>1w</v>
      </c>
      <c r="W788" s="177">
        <f>_xll.qlCalendarAdvance(Calendar,W787,V788,"f",FALSE)</f>
        <v>44453</v>
      </c>
      <c r="X788" s="181">
        <f>_xll.qlCalendarAdvance(Calendar,W788,NDays&amp;"D")</f>
        <v>44455</v>
      </c>
      <c r="Y788" s="178">
        <v>1.900745930657699E-2</v>
      </c>
      <c r="Z788" s="183">
        <v>1.7459524509995106E-2</v>
      </c>
    </row>
    <row r="789" spans="22:26" x14ac:dyDescent="0.2">
      <c r="V789" s="180" t="str">
        <f t="shared" ref="V789:V852" si="20">V788</f>
        <v>1w</v>
      </c>
      <c r="W789" s="177">
        <f>_xll.qlCalendarAdvance(Calendar,W788,V789,"f",FALSE)</f>
        <v>44460</v>
      </c>
      <c r="X789" s="181">
        <f>_xll.qlCalendarAdvance(Calendar,W789,NDays&amp;"D")</f>
        <v>44462</v>
      </c>
      <c r="Y789" s="178">
        <v>1.9057800024637715E-2</v>
      </c>
      <c r="Z789" s="183">
        <v>1.75180071731873E-2</v>
      </c>
    </row>
    <row r="790" spans="22:26" x14ac:dyDescent="0.2">
      <c r="V790" s="180" t="str">
        <f t="shared" si="20"/>
        <v>1w</v>
      </c>
      <c r="W790" s="177">
        <f>_xll.qlCalendarAdvance(Calendar,W789,V790,"f",FALSE)</f>
        <v>44467</v>
      </c>
      <c r="X790" s="181">
        <f>_xll.qlCalendarAdvance(Calendar,W790,NDays&amp;"D")</f>
        <v>44469</v>
      </c>
      <c r="Y790" s="178">
        <v>1.910778590477041E-2</v>
      </c>
      <c r="Z790" s="183">
        <v>1.7576146003177584E-2</v>
      </c>
    </row>
    <row r="791" spans="22:26" x14ac:dyDescent="0.2">
      <c r="V791" s="180" t="str">
        <f t="shared" si="20"/>
        <v>1w</v>
      </c>
      <c r="W791" s="177">
        <f>_xll.qlCalendarAdvance(Calendar,W790,V791,"f",FALSE)</f>
        <v>44474</v>
      </c>
      <c r="X791" s="181">
        <f>_xll.qlCalendarAdvance(Calendar,W791,NDays&amp;"D")</f>
        <v>44476</v>
      </c>
      <c r="Y791" s="178">
        <v>1.9157416745324656E-2</v>
      </c>
      <c r="Z791" s="183">
        <v>1.7633940999886022E-2</v>
      </c>
    </row>
    <row r="792" spans="22:26" x14ac:dyDescent="0.2">
      <c r="V792" s="180" t="str">
        <f t="shared" si="20"/>
        <v>1w</v>
      </c>
      <c r="W792" s="177">
        <f>_xll.qlCalendarAdvance(Calendar,W791,V792,"f",FALSE)</f>
        <v>44481</v>
      </c>
      <c r="X792" s="181">
        <f>_xll.qlCalendarAdvance(Calendar,W792,NDays&amp;"D")</f>
        <v>44483</v>
      </c>
      <c r="Y792" s="178">
        <v>1.920669234499759E-2</v>
      </c>
      <c r="Z792" s="183">
        <v>1.7691392163152742E-2</v>
      </c>
    </row>
    <row r="793" spans="22:26" x14ac:dyDescent="0.2">
      <c r="V793" s="180" t="str">
        <f t="shared" si="20"/>
        <v>1w</v>
      </c>
      <c r="W793" s="177">
        <f>_xll.qlCalendarAdvance(Calendar,W792,V793,"f",FALSE)</f>
        <v>44488</v>
      </c>
      <c r="X793" s="181">
        <f>_xll.qlCalendarAdvance(Calendar,W793,NDays&amp;"D")</f>
        <v>44490</v>
      </c>
      <c r="Y793" s="178">
        <v>1.9255612502833027E-2</v>
      </c>
      <c r="Z793" s="183">
        <v>1.7748499492817871E-2</v>
      </c>
    </row>
    <row r="794" spans="22:26" x14ac:dyDescent="0.2">
      <c r="V794" s="180" t="str">
        <f t="shared" si="20"/>
        <v>1w</v>
      </c>
      <c r="W794" s="177">
        <f>_xll.qlCalendarAdvance(Calendar,W793,V794,"f",FALSE)</f>
        <v>44495</v>
      </c>
      <c r="X794" s="181">
        <f>_xll.qlCalendarAdvance(Calendar,W794,NDays&amp;"D")</f>
        <v>44497</v>
      </c>
      <c r="Y794" s="178">
        <v>1.9304177018223217E-2</v>
      </c>
      <c r="Z794" s="183">
        <v>1.7805262988721537E-2</v>
      </c>
    </row>
    <row r="795" spans="22:26" x14ac:dyDescent="0.2">
      <c r="V795" s="180" t="str">
        <f t="shared" si="20"/>
        <v>1w</v>
      </c>
      <c r="W795" s="177">
        <f>_xll.qlCalendarAdvance(Calendar,W794,V795,"f",FALSE)</f>
        <v>44502</v>
      </c>
      <c r="X795" s="181">
        <f>_xll.qlCalendarAdvance(Calendar,W795,NDays&amp;"D")</f>
        <v>44504</v>
      </c>
      <c r="Y795" s="178">
        <v>1.9352385691545047E-2</v>
      </c>
      <c r="Z795" s="183">
        <v>1.7861682469808571E-2</v>
      </c>
    </row>
    <row r="796" spans="22:26" x14ac:dyDescent="0.2">
      <c r="V796" s="180" t="str">
        <f t="shared" si="20"/>
        <v>1w</v>
      </c>
      <c r="W796" s="177">
        <f>_xll.qlCalendarAdvance(Calendar,W795,V796,"f",FALSE)</f>
        <v>44509</v>
      </c>
      <c r="X796" s="181">
        <f>_xll.qlCalendarAdvance(Calendar,W796,NDays&amp;"D")</f>
        <v>44511</v>
      </c>
      <c r="Y796" s="178">
        <v>1.9400238646686923E-2</v>
      </c>
      <c r="Z796" s="183">
        <v>1.7917752872929071E-2</v>
      </c>
    </row>
    <row r="797" spans="22:26" x14ac:dyDescent="0.2">
      <c r="V797" s="180" t="str">
        <f t="shared" si="20"/>
        <v>1w</v>
      </c>
      <c r="W797" s="177">
        <f>_xll.qlCalendarAdvance(Calendar,W796,V797,"f",FALSE)</f>
        <v>44516</v>
      </c>
      <c r="X797" s="181">
        <f>_xll.qlCalendarAdvance(Calendar,W797,NDays&amp;"D")</f>
        <v>44518</v>
      </c>
      <c r="Y797" s="178">
        <v>1.9447736855973972E-2</v>
      </c>
      <c r="Z797" s="183">
        <v>1.7973471847083644E-2</v>
      </c>
    </row>
    <row r="798" spans="22:26" x14ac:dyDescent="0.2">
      <c r="V798" s="180" t="str">
        <f t="shared" si="20"/>
        <v>1w</v>
      </c>
      <c r="W798" s="177">
        <f>_xll.qlCalendarAdvance(Calendar,W797,V798,"f",FALSE)</f>
        <v>44523</v>
      </c>
      <c r="X798" s="181">
        <f>_xll.qlCalendarAdvance(Calendar,W798,NDays&amp;"D")</f>
        <v>44525</v>
      </c>
      <c r="Y798" s="178">
        <v>1.9494881429720883E-2</v>
      </c>
      <c r="Z798" s="183">
        <v>1.8028839392112417E-2</v>
      </c>
    </row>
    <row r="799" spans="22:26" x14ac:dyDescent="0.2">
      <c r="V799" s="180" t="str">
        <f t="shared" si="20"/>
        <v>1w</v>
      </c>
      <c r="W799" s="177">
        <f>_xll.qlCalendarAdvance(Calendar,W798,V799,"f",FALSE)</f>
        <v>44530</v>
      </c>
      <c r="X799" s="181">
        <f>_xll.qlCalendarAdvance(Calendar,W799,NDays&amp;"D")</f>
        <v>44532</v>
      </c>
      <c r="Y799" s="178">
        <v>1.9541673478834527E-2</v>
      </c>
      <c r="Z799" s="183">
        <v>1.8083855507855517E-2</v>
      </c>
    </row>
    <row r="800" spans="22:26" x14ac:dyDescent="0.2">
      <c r="V800" s="180" t="str">
        <f t="shared" si="20"/>
        <v>1w</v>
      </c>
      <c r="W800" s="177">
        <f>_xll.qlCalendarAdvance(Calendar,W799,V800,"f",FALSE)</f>
        <v>44537</v>
      </c>
      <c r="X800" s="181">
        <f>_xll.qlCalendarAdvance(Calendar,W800,NDays&amp;"D")</f>
        <v>44539</v>
      </c>
      <c r="Y800" s="178">
        <v>1.9588114114808267E-2</v>
      </c>
      <c r="Z800" s="183">
        <v>1.813852019423301E-2</v>
      </c>
    </row>
    <row r="801" spans="22:26" x14ac:dyDescent="0.2">
      <c r="V801" s="180" t="str">
        <f t="shared" si="20"/>
        <v>1w</v>
      </c>
      <c r="W801" s="177">
        <f>_xll.qlCalendarAdvance(Calendar,W800,V801,"f",FALSE)</f>
        <v>44544</v>
      </c>
      <c r="X801" s="181">
        <f>_xll.qlCalendarAdvance(Calendar,W801,NDays&amp;"D")</f>
        <v>44546</v>
      </c>
      <c r="Y801" s="178">
        <v>1.9634204449719771E-2</v>
      </c>
      <c r="Z801" s="183">
        <v>1.8192833450845214E-2</v>
      </c>
    </row>
    <row r="802" spans="22:26" x14ac:dyDescent="0.2">
      <c r="V802" s="180" t="str">
        <f t="shared" si="20"/>
        <v>1w</v>
      </c>
      <c r="W802" s="177">
        <f>_xll.qlCalendarAdvance(Calendar,W801,V802,"f",FALSE)</f>
        <v>44551</v>
      </c>
      <c r="X802" s="181">
        <f>_xll.qlCalendarAdvance(Calendar,W802,NDays&amp;"D")</f>
        <v>44553</v>
      </c>
      <c r="Y802" s="178">
        <v>1.967994559622574E-2</v>
      </c>
      <c r="Z802" s="183">
        <v>1.8246795277852002E-2</v>
      </c>
    </row>
    <row r="803" spans="22:26" x14ac:dyDescent="0.2">
      <c r="V803" s="180" t="str">
        <f t="shared" si="20"/>
        <v>1w</v>
      </c>
      <c r="W803" s="177">
        <f>_xll.qlCalendarAdvance(Calendar,W802,V803,"f",FALSE)</f>
        <v>44558</v>
      </c>
      <c r="X803" s="181">
        <f>_xll.qlCalendarAdvance(Calendar,W803,NDays&amp;"D")</f>
        <v>44560</v>
      </c>
      <c r="Y803" s="178">
        <v>1.9725338667559517E-2</v>
      </c>
      <c r="Z803" s="183">
        <v>1.8300405674933629E-2</v>
      </c>
    </row>
    <row r="804" spans="22:26" x14ac:dyDescent="0.2">
      <c r="V804" s="180" t="str">
        <f t="shared" si="20"/>
        <v>1w</v>
      </c>
      <c r="W804" s="177">
        <f>_xll.qlCalendarAdvance(Calendar,W803,V804,"f",FALSE)</f>
        <v>44565</v>
      </c>
      <c r="X804" s="181">
        <f>_xll.qlCalendarAdvance(Calendar,W804,NDays&amp;"D")</f>
        <v>44567</v>
      </c>
      <c r="Y804" s="178">
        <v>1.9770384777524505E-2</v>
      </c>
      <c r="Z804" s="183">
        <v>1.8353664641930223E-2</v>
      </c>
    </row>
    <row r="805" spans="22:26" x14ac:dyDescent="0.2">
      <c r="V805" s="180" t="str">
        <f t="shared" si="20"/>
        <v>1w</v>
      </c>
      <c r="W805" s="177">
        <f>_xll.qlCalendarAdvance(Calendar,W804,V805,"f",FALSE)</f>
        <v>44572</v>
      </c>
      <c r="X805" s="181">
        <f>_xll.qlCalendarAdvance(Calendar,W805,NDays&amp;"D")</f>
        <v>44574</v>
      </c>
      <c r="Y805" s="178">
        <v>1.9815085040492866E-2</v>
      </c>
      <c r="Z805" s="183">
        <v>1.8406572178761849E-2</v>
      </c>
    </row>
    <row r="806" spans="22:26" x14ac:dyDescent="0.2">
      <c r="V806" s="180" t="str">
        <f t="shared" si="20"/>
        <v>1w</v>
      </c>
      <c r="W806" s="177">
        <f>_xll.qlCalendarAdvance(Calendar,W805,V806,"f",FALSE)</f>
        <v>44579</v>
      </c>
      <c r="X806" s="181">
        <f>_xll.qlCalendarAdvance(Calendar,W806,NDays&amp;"D")</f>
        <v>44581</v>
      </c>
      <c r="Y806" s="178">
        <v>1.9859440571400464E-2</v>
      </c>
      <c r="Z806" s="183">
        <v>1.8459128285108761E-2</v>
      </c>
    </row>
    <row r="807" spans="22:26" x14ac:dyDescent="0.2">
      <c r="V807" s="180" t="str">
        <f t="shared" si="20"/>
        <v>1w</v>
      </c>
      <c r="W807" s="177">
        <f>_xll.qlCalendarAdvance(Calendar,W806,V807,"f",FALSE)</f>
        <v>44586</v>
      </c>
      <c r="X807" s="181">
        <f>_xll.qlCalendarAdvance(Calendar,W807,NDays&amp;"D")</f>
        <v>44588</v>
      </c>
      <c r="Y807" s="178">
        <v>1.9903452485742948E-2</v>
      </c>
      <c r="Z807" s="183">
        <v>1.8511332960970961E-2</v>
      </c>
    </row>
    <row r="808" spans="22:26" x14ac:dyDescent="0.2">
      <c r="V808" s="180" t="str">
        <f t="shared" si="20"/>
        <v>1w</v>
      </c>
      <c r="W808" s="177">
        <f>_xll.qlCalendarAdvance(Calendar,W807,V808,"f",FALSE)</f>
        <v>44593</v>
      </c>
      <c r="X808" s="181">
        <f>_xll.qlCalendarAdvance(Calendar,W808,NDays&amp;"D")</f>
        <v>44595</v>
      </c>
      <c r="Y808" s="178">
        <v>1.9947121899571998E-2</v>
      </c>
      <c r="Z808" s="183">
        <v>1.8563186206188576E-2</v>
      </c>
    </row>
    <row r="809" spans="22:26" x14ac:dyDescent="0.2">
      <c r="V809" s="180" t="str">
        <f t="shared" si="20"/>
        <v>1w</v>
      </c>
      <c r="W809" s="177">
        <f>_xll.qlCalendarAdvance(Calendar,W808,V809,"f",FALSE)</f>
        <v>44600</v>
      </c>
      <c r="X809" s="181">
        <f>_xll.qlCalendarAdvance(Calendar,W809,NDays&amp;"D")</f>
        <v>44602</v>
      </c>
      <c r="Y809" s="178">
        <v>1.9990449929491633E-2</v>
      </c>
      <c r="Z809" s="183">
        <v>1.8614688020521797E-2</v>
      </c>
    </row>
    <row r="810" spans="22:26" x14ac:dyDescent="0.2">
      <c r="V810" s="180" t="str">
        <f t="shared" si="20"/>
        <v>1w</v>
      </c>
      <c r="W810" s="177">
        <f>_xll.qlCalendarAdvance(Calendar,W809,V810,"f",FALSE)</f>
        <v>44607</v>
      </c>
      <c r="X810" s="181">
        <f>_xll.qlCalendarAdvance(Calendar,W810,NDays&amp;"D")</f>
        <v>44609</v>
      </c>
      <c r="Y810" s="178">
        <v>2.0033437692653373E-2</v>
      </c>
      <c r="Z810" s="183">
        <v>1.8665838403890689E-2</v>
      </c>
    </row>
    <row r="811" spans="22:26" x14ac:dyDescent="0.2">
      <c r="V811" s="180" t="str">
        <f t="shared" si="20"/>
        <v>1w</v>
      </c>
      <c r="W811" s="177">
        <f>_xll.qlCalendarAdvance(Calendar,W810,V811,"f",FALSE)</f>
        <v>44614</v>
      </c>
      <c r="X811" s="181">
        <f>_xll.qlCalendarAdvance(Calendar,W811,NDays&amp;"D")</f>
        <v>44616</v>
      </c>
      <c r="Y811" s="178">
        <v>2.0076086306754063E-2</v>
      </c>
      <c r="Z811" s="183">
        <v>1.8716637356135379E-2</v>
      </c>
    </row>
    <row r="812" spans="22:26" x14ac:dyDescent="0.2">
      <c r="V812" s="180" t="str">
        <f t="shared" si="20"/>
        <v>1w</v>
      </c>
      <c r="W812" s="177">
        <f>_xll.qlCalendarAdvance(Calendar,W811,V812,"f",FALSE)</f>
        <v>44621</v>
      </c>
      <c r="X812" s="181">
        <f>_xll.qlCalendarAdvance(Calendar,W812,NDays&amp;"D")</f>
        <v>44623</v>
      </c>
      <c r="Y812" s="178">
        <v>2.0118396890030817E-2</v>
      </c>
      <c r="Z812" s="183">
        <v>1.8767084877095996E-2</v>
      </c>
    </row>
    <row r="813" spans="22:26" x14ac:dyDescent="0.2">
      <c r="V813" s="180" t="str">
        <f t="shared" si="20"/>
        <v>1w</v>
      </c>
      <c r="W813" s="177">
        <f>_xll.qlCalendarAdvance(Calendar,W812,V813,"f",FALSE)</f>
        <v>44628</v>
      </c>
      <c r="X813" s="181">
        <f>_xll.qlCalendarAdvance(Calendar,W813,NDays&amp;"D")</f>
        <v>44630</v>
      </c>
      <c r="Y813" s="178">
        <v>2.016037056125709E-2</v>
      </c>
      <c r="Z813" s="183">
        <v>1.8817180966612668E-2</v>
      </c>
    </row>
    <row r="814" spans="22:26" x14ac:dyDescent="0.2">
      <c r="V814" s="180" t="str">
        <f t="shared" si="20"/>
        <v>1w</v>
      </c>
      <c r="W814" s="177">
        <f>_xll.qlCalendarAdvance(Calendar,W813,V814,"f",FALSE)</f>
        <v>44635</v>
      </c>
      <c r="X814" s="181">
        <f>_xll.qlCalendarAdvance(Calendar,W814,NDays&amp;"D")</f>
        <v>44637</v>
      </c>
      <c r="Y814" s="178">
        <v>2.0202008439739839E-2</v>
      </c>
      <c r="Z814" s="183">
        <v>1.8866925624525521E-2</v>
      </c>
    </row>
    <row r="815" spans="22:26" x14ac:dyDescent="0.2">
      <c r="V815" s="180" t="str">
        <f t="shared" si="20"/>
        <v>1w</v>
      </c>
      <c r="W815" s="177">
        <f>_xll.qlCalendarAdvance(Calendar,W814,V815,"f",FALSE)</f>
        <v>44642</v>
      </c>
      <c r="X815" s="181">
        <f>_xll.qlCalendarAdvance(Calendar,W815,NDays&amp;"D")</f>
        <v>44644</v>
      </c>
      <c r="Y815" s="178">
        <v>2.0243311645314458E-2</v>
      </c>
      <c r="Z815" s="183">
        <v>1.8916318850754621E-2</v>
      </c>
    </row>
    <row r="816" spans="22:26" x14ac:dyDescent="0.2">
      <c r="V816" s="180" t="str">
        <f t="shared" si="20"/>
        <v>1w</v>
      </c>
      <c r="W816" s="177">
        <f>_xll.qlCalendarAdvance(Calendar,W815,V816,"f",FALSE)</f>
        <v>44649</v>
      </c>
      <c r="X816" s="181">
        <f>_xll.qlCalendarAdvance(Calendar,W816,NDays&amp;"D")</f>
        <v>44651</v>
      </c>
      <c r="Y816" s="178">
        <v>2.0284281298342182E-2</v>
      </c>
      <c r="Z816" s="183">
        <v>1.8965360645140095E-2</v>
      </c>
    </row>
    <row r="817" spans="22:26" x14ac:dyDescent="0.2">
      <c r="V817" s="180" t="str">
        <f t="shared" si="20"/>
        <v>1w</v>
      </c>
      <c r="W817" s="177">
        <f>_xll.qlCalendarAdvance(Calendar,W816,V817,"f",FALSE)</f>
        <v>44656</v>
      </c>
      <c r="X817" s="181">
        <f>_xll.qlCalendarAdvance(Calendar,W817,NDays&amp;"D")</f>
        <v>44658</v>
      </c>
      <c r="Y817" s="178">
        <v>2.033791474035444E-2</v>
      </c>
      <c r="Z817" s="183">
        <v>1.9014051007362198E-2</v>
      </c>
    </row>
    <row r="818" spans="22:26" x14ac:dyDescent="0.2">
      <c r="V818" s="180" t="str">
        <f t="shared" si="20"/>
        <v>1w</v>
      </c>
      <c r="W818" s="177">
        <f>_xll.qlCalendarAdvance(Calendar,W817,V818,"f",FALSE)</f>
        <v>44663</v>
      </c>
      <c r="X818" s="181">
        <f>_xll.qlCalendarAdvance(Calendar,W818,NDays&amp;"D")</f>
        <v>44665</v>
      </c>
      <c r="Y818" s="178">
        <v>2.0365224430804914E-2</v>
      </c>
      <c r="Z818" s="183">
        <v>1.9078151106143082E-2</v>
      </c>
    </row>
    <row r="819" spans="22:26" x14ac:dyDescent="0.2">
      <c r="V819" s="180" t="str">
        <f t="shared" si="20"/>
        <v>1w</v>
      </c>
      <c r="W819" s="177">
        <f>_xll.qlCalendarAdvance(Calendar,W818,V819,"f",FALSE)</f>
        <v>44670</v>
      </c>
      <c r="X819" s="181">
        <f>_xll.qlCalendarAdvance(Calendar,W819,NDays&amp;"D")</f>
        <v>44672</v>
      </c>
      <c r="Y819" s="178">
        <v>2.0405200153553845E-2</v>
      </c>
      <c r="Z819" s="183">
        <v>1.9110377435476167E-2</v>
      </c>
    </row>
    <row r="820" spans="22:26" x14ac:dyDescent="0.2">
      <c r="V820" s="180" t="str">
        <f t="shared" si="20"/>
        <v>1w</v>
      </c>
      <c r="W820" s="177">
        <f>_xll.qlCalendarAdvance(Calendar,W819,V820,"f",FALSE)</f>
        <v>44677</v>
      </c>
      <c r="X820" s="181">
        <f>_xll.qlCalendarAdvance(Calendar,W820,NDays&amp;"D")</f>
        <v>44679</v>
      </c>
      <c r="Y820" s="178">
        <v>2.044484681037758E-2</v>
      </c>
      <c r="Z820" s="183">
        <v>1.9158013500968352E-2</v>
      </c>
    </row>
    <row r="821" spans="22:26" x14ac:dyDescent="0.2">
      <c r="V821" s="180" t="str">
        <f t="shared" si="20"/>
        <v>1w</v>
      </c>
      <c r="W821" s="177">
        <f>_xll.qlCalendarAdvance(Calendar,W820,V821,"f",FALSE)</f>
        <v>44684</v>
      </c>
      <c r="X821" s="181">
        <f>_xll.qlCalendarAdvance(Calendar,W821,NDays&amp;"D")</f>
        <v>44686</v>
      </c>
      <c r="Y821" s="178">
        <v>2.0484165524206475E-2</v>
      </c>
      <c r="Z821" s="183">
        <v>1.9205298133737614E-2</v>
      </c>
    </row>
    <row r="822" spans="22:26" x14ac:dyDescent="0.2">
      <c r="V822" s="180" t="str">
        <f t="shared" si="20"/>
        <v>1w</v>
      </c>
      <c r="W822" s="177">
        <f>_xll.qlCalendarAdvance(Calendar,W821,V822,"f",FALSE)</f>
        <v>44691</v>
      </c>
      <c r="X822" s="181">
        <f>_xll.qlCalendarAdvance(Calendar,W822,NDays&amp;"D")</f>
        <v>44693</v>
      </c>
      <c r="Y822" s="178">
        <v>2.0523157418474366E-2</v>
      </c>
      <c r="Z822" s="183">
        <v>1.925223133386389E-2</v>
      </c>
    </row>
    <row r="823" spans="22:26" x14ac:dyDescent="0.2">
      <c r="V823" s="180" t="str">
        <f t="shared" si="20"/>
        <v>1w</v>
      </c>
      <c r="W823" s="177">
        <f>_xll.qlCalendarAdvance(Calendar,W822,V823,"f",FALSE)</f>
        <v>44698</v>
      </c>
      <c r="X823" s="181">
        <f>_xll.qlCalendarAdvance(Calendar,W823,NDays&amp;"D")</f>
        <v>44700</v>
      </c>
      <c r="Y823" s="178">
        <v>2.0561823617113763E-2</v>
      </c>
      <c r="Z823" s="183">
        <v>1.9298813101187307E-2</v>
      </c>
    </row>
    <row r="824" spans="22:26" x14ac:dyDescent="0.2">
      <c r="V824" s="180" t="str">
        <f t="shared" si="20"/>
        <v>1w</v>
      </c>
      <c r="W824" s="177">
        <f>_xll.qlCalendarAdvance(Calendar,W823,V824,"f",FALSE)</f>
        <v>44705</v>
      </c>
      <c r="X824" s="181">
        <f>_xll.qlCalendarAdvance(Calendar,W824,NDays&amp;"D")</f>
        <v>44707</v>
      </c>
      <c r="Y824" s="178">
        <v>2.0600165244552996E-2</v>
      </c>
      <c r="Z824" s="183">
        <v>1.9345043435468057E-2</v>
      </c>
    </row>
    <row r="825" spans="22:26" x14ac:dyDescent="0.2">
      <c r="V825" s="180" t="str">
        <f t="shared" si="20"/>
        <v>1w</v>
      </c>
      <c r="W825" s="177">
        <f>_xll.qlCalendarAdvance(Calendar,W824,V825,"f",FALSE)</f>
        <v>44712</v>
      </c>
      <c r="X825" s="181">
        <f>_xll.qlCalendarAdvance(Calendar,W825,NDays&amp;"D")</f>
        <v>44714</v>
      </c>
      <c r="Y825" s="178">
        <v>2.0638183425710964E-2</v>
      </c>
      <c r="Z825" s="183">
        <v>1.939092233670614E-2</v>
      </c>
    </row>
    <row r="826" spans="22:26" x14ac:dyDescent="0.2">
      <c r="V826" s="180" t="str">
        <f t="shared" si="20"/>
        <v>1w</v>
      </c>
      <c r="W826" s="177">
        <f>_xll.qlCalendarAdvance(Calendar,W825,V826,"f",FALSE)</f>
        <v>44719</v>
      </c>
      <c r="X826" s="181">
        <f>_xll.qlCalendarAdvance(Calendar,W826,NDays&amp;"D")</f>
        <v>44721</v>
      </c>
      <c r="Y826" s="178">
        <v>2.0675879285996034E-2</v>
      </c>
      <c r="Z826" s="183">
        <v>1.9436449804581812E-2</v>
      </c>
    </row>
    <row r="827" spans="22:26" x14ac:dyDescent="0.2">
      <c r="V827" s="180" t="str">
        <f t="shared" si="20"/>
        <v>1w</v>
      </c>
      <c r="W827" s="177">
        <f>_xll.qlCalendarAdvance(Calendar,W826,V827,"f",FALSE)</f>
        <v>44726</v>
      </c>
      <c r="X827" s="181">
        <f>_xll.qlCalendarAdvance(Calendar,W827,NDays&amp;"D")</f>
        <v>44728</v>
      </c>
      <c r="Y827" s="178">
        <v>2.0713253951299481E-2</v>
      </c>
      <c r="Z827" s="183">
        <v>1.9481625839095074E-2</v>
      </c>
    </row>
    <row r="828" spans="22:26" x14ac:dyDescent="0.2">
      <c r="V828" s="180" t="str">
        <f t="shared" si="20"/>
        <v>1w</v>
      </c>
      <c r="W828" s="177">
        <f>_xll.qlCalendarAdvance(Calendar,W827,V828,"f",FALSE)</f>
        <v>44733</v>
      </c>
      <c r="X828" s="181">
        <f>_xll.qlCalendarAdvance(Calendar,W828,NDays&amp;"D")</f>
        <v>44735</v>
      </c>
      <c r="Y828" s="178">
        <v>2.075030854799394E-2</v>
      </c>
      <c r="Z828" s="183">
        <v>1.9526450440086052E-2</v>
      </c>
    </row>
    <row r="829" spans="22:26" x14ac:dyDescent="0.2">
      <c r="V829" s="180" t="str">
        <f t="shared" si="20"/>
        <v>1w</v>
      </c>
      <c r="W829" s="177">
        <f>_xll.qlCalendarAdvance(Calendar,W828,V829,"f",FALSE)</f>
        <v>44740</v>
      </c>
      <c r="X829" s="181">
        <f>_xll.qlCalendarAdvance(Calendar,W829,NDays&amp;"D")</f>
        <v>44742</v>
      </c>
      <c r="Y829" s="178">
        <v>2.0787044202929043E-2</v>
      </c>
      <c r="Z829" s="183">
        <v>1.9570923607474811E-2</v>
      </c>
    </row>
    <row r="830" spans="22:26" x14ac:dyDescent="0.2">
      <c r="V830" s="180" t="str">
        <f t="shared" si="20"/>
        <v>1w</v>
      </c>
      <c r="W830" s="177">
        <f>_xll.qlCalendarAdvance(Calendar,W829,V830,"f",FALSE)</f>
        <v>44747</v>
      </c>
      <c r="X830" s="181">
        <f>_xll.qlCalendarAdvance(Calendar,W830,NDays&amp;"D")</f>
        <v>44749</v>
      </c>
      <c r="Y830" s="178">
        <v>2.0823462043427457E-2</v>
      </c>
      <c r="Z830" s="183">
        <v>1.9615045340941606E-2</v>
      </c>
    </row>
    <row r="831" spans="22:26" x14ac:dyDescent="0.2">
      <c r="V831" s="180" t="str">
        <f t="shared" si="20"/>
        <v>1w</v>
      </c>
      <c r="W831" s="177">
        <f>_xll.qlCalendarAdvance(Calendar,W830,V831,"f",FALSE)</f>
        <v>44754</v>
      </c>
      <c r="X831" s="181">
        <f>_xll.qlCalendarAdvance(Calendar,W831,NDays&amp;"D")</f>
        <v>44756</v>
      </c>
      <c r="Y831" s="178">
        <v>2.0859563197281623E-2</v>
      </c>
      <c r="Z831" s="183">
        <v>1.9658815640566374E-2</v>
      </c>
    </row>
    <row r="832" spans="22:26" x14ac:dyDescent="0.2">
      <c r="V832" s="180" t="str">
        <f t="shared" si="20"/>
        <v>1w</v>
      </c>
      <c r="W832" s="177">
        <f>_xll.qlCalendarAdvance(Calendar,W831,V832,"f",FALSE)</f>
        <v>44761</v>
      </c>
      <c r="X832" s="181">
        <f>_xll.qlCalendarAdvance(Calendar,W832,NDays&amp;"D")</f>
        <v>44763</v>
      </c>
      <c r="Y832" s="178">
        <v>2.0895348792750446E-2</v>
      </c>
      <c r="Z832" s="183">
        <v>1.9702234506189242E-2</v>
      </c>
    </row>
    <row r="833" spans="22:26" x14ac:dyDescent="0.2">
      <c r="V833" s="180" t="str">
        <f t="shared" si="20"/>
        <v>1w</v>
      </c>
      <c r="W833" s="177">
        <f>_xll.qlCalendarAdvance(Calendar,W832,V833,"f",FALSE)</f>
        <v>44768</v>
      </c>
      <c r="X833" s="181">
        <f>_xll.qlCalendarAdvance(Calendar,W833,NDays&amp;"D")</f>
        <v>44770</v>
      </c>
      <c r="Y833" s="178">
        <v>2.0930819958555159E-2</v>
      </c>
      <c r="Z833" s="183">
        <v>1.9745301937650339E-2</v>
      </c>
    </row>
    <row r="834" spans="22:26" x14ac:dyDescent="0.2">
      <c r="V834" s="180" t="str">
        <f t="shared" si="20"/>
        <v>1w</v>
      </c>
      <c r="W834" s="177">
        <f>_xll.qlCalendarAdvance(Calendar,W833,V834,"f",FALSE)</f>
        <v>44775</v>
      </c>
      <c r="X834" s="181">
        <f>_xll.qlCalendarAdvance(Calendar,W834,NDays&amp;"D")</f>
        <v>44777</v>
      </c>
      <c r="Y834" s="178">
        <v>2.0965977823875791E-2</v>
      </c>
      <c r="Z834" s="183">
        <v>1.9788017934709856E-2</v>
      </c>
    </row>
    <row r="835" spans="22:26" x14ac:dyDescent="0.2">
      <c r="V835" s="180" t="str">
        <f t="shared" si="20"/>
        <v>1w</v>
      </c>
      <c r="W835" s="177">
        <f>_xll.qlCalendarAdvance(Calendar,W834,V835,"f",FALSE)</f>
        <v>44782</v>
      </c>
      <c r="X835" s="181">
        <f>_xll.qlCalendarAdvance(Calendar,W835,NDays&amp;"D")</f>
        <v>44784</v>
      </c>
      <c r="Y835" s="178">
        <v>2.1000823518347693E-2</v>
      </c>
      <c r="Z835" s="183">
        <v>1.9830382497447729E-2</v>
      </c>
    </row>
    <row r="836" spans="22:26" x14ac:dyDescent="0.2">
      <c r="V836" s="180" t="str">
        <f t="shared" si="20"/>
        <v>1w</v>
      </c>
      <c r="W836" s="177">
        <f>_xll.qlCalendarAdvance(Calendar,W835,V836,"f",FALSE)</f>
        <v>44789</v>
      </c>
      <c r="X836" s="181">
        <f>_xll.qlCalendarAdvance(Calendar,W836,NDays&amp;"D")</f>
        <v>44791</v>
      </c>
      <c r="Y836" s="178">
        <v>2.1035358172058666E-2</v>
      </c>
      <c r="Z836" s="183">
        <v>1.9872395625544215E-2</v>
      </c>
    </row>
    <row r="837" spans="22:26" x14ac:dyDescent="0.2">
      <c r="V837" s="180" t="str">
        <f t="shared" si="20"/>
        <v>1w</v>
      </c>
      <c r="W837" s="177">
        <f>_xll.qlCalendarAdvance(Calendar,W836,V837,"f",FALSE)</f>
        <v>44796</v>
      </c>
      <c r="X837" s="181">
        <f>_xll.qlCalendarAdvance(Calendar,W837,NDays&amp;"D")</f>
        <v>44798</v>
      </c>
      <c r="Y837" s="178">
        <v>2.1069582915543939E-2</v>
      </c>
      <c r="Z837" s="183">
        <v>1.9914057319079248E-2</v>
      </c>
    </row>
    <row r="838" spans="22:26" x14ac:dyDescent="0.2">
      <c r="V838" s="180" t="str">
        <f t="shared" si="20"/>
        <v>1w</v>
      </c>
      <c r="W838" s="177">
        <f>_xll.qlCalendarAdvance(Calendar,W837,V838,"f",FALSE)</f>
        <v>44803</v>
      </c>
      <c r="X838" s="181">
        <f>_xll.qlCalendarAdvance(Calendar,W838,NDays&amp;"D")</f>
        <v>44805</v>
      </c>
      <c r="Y838" s="178">
        <v>2.1103498879784192E-2</v>
      </c>
      <c r="Z838" s="183">
        <v>1.9955367577733085E-2</v>
      </c>
    </row>
    <row r="839" spans="22:26" x14ac:dyDescent="0.2">
      <c r="V839" s="180" t="str">
        <f t="shared" si="20"/>
        <v>1w</v>
      </c>
      <c r="W839" s="177">
        <f>_xll.qlCalendarAdvance(Calendar,W838,V839,"f",FALSE)</f>
        <v>44810</v>
      </c>
      <c r="X839" s="181">
        <f>_xll.qlCalendarAdvance(Calendar,W839,NDays&amp;"D")</f>
        <v>44812</v>
      </c>
      <c r="Y839" s="178">
        <v>2.1137107196201169E-2</v>
      </c>
      <c r="Z839" s="183">
        <v>1.9996326401585662E-2</v>
      </c>
    </row>
    <row r="840" spans="22:26" x14ac:dyDescent="0.2">
      <c r="V840" s="180" t="str">
        <f t="shared" si="20"/>
        <v>1w</v>
      </c>
      <c r="W840" s="177">
        <f>_xll.qlCalendarAdvance(Calendar,W839,V840,"f",FALSE)</f>
        <v>44817</v>
      </c>
      <c r="X840" s="181">
        <f>_xll.qlCalendarAdvance(Calendar,W840,NDays&amp;"D")</f>
        <v>44819</v>
      </c>
      <c r="Y840" s="178">
        <v>2.1170408996653758E-2</v>
      </c>
      <c r="Z840" s="183">
        <v>2.0036933790317235E-2</v>
      </c>
    </row>
    <row r="841" spans="22:26" x14ac:dyDescent="0.2">
      <c r="V841" s="180" t="str">
        <f t="shared" si="20"/>
        <v>1w</v>
      </c>
      <c r="W841" s="177">
        <f>_xll.qlCalendarAdvance(Calendar,W840,V841,"f",FALSE)</f>
        <v>44824</v>
      </c>
      <c r="X841" s="181">
        <f>_xll.qlCalendarAdvance(Calendar,W841,NDays&amp;"D")</f>
        <v>44826</v>
      </c>
      <c r="Y841" s="178">
        <v>2.1203405413435773E-2</v>
      </c>
      <c r="Z841" s="183">
        <v>2.0077189743847867E-2</v>
      </c>
    </row>
    <row r="842" spans="22:26" x14ac:dyDescent="0.2">
      <c r="V842" s="180" t="str">
        <f t="shared" si="20"/>
        <v>1w</v>
      </c>
      <c r="W842" s="177">
        <f>_xll.qlCalendarAdvance(Calendar,W841,V842,"f",FALSE)</f>
        <v>44831</v>
      </c>
      <c r="X842" s="181">
        <f>_xll.qlCalendarAdvance(Calendar,W842,NDays&amp;"D")</f>
        <v>44833</v>
      </c>
      <c r="Y842" s="178">
        <v>2.1236097579271602E-2</v>
      </c>
      <c r="Z842" s="183">
        <v>2.0117094262177559E-2</v>
      </c>
    </row>
    <row r="843" spans="22:26" x14ac:dyDescent="0.2">
      <c r="V843" s="180" t="str">
        <f t="shared" si="20"/>
        <v>1w</v>
      </c>
      <c r="W843" s="177">
        <f>_xll.qlCalendarAdvance(Calendar,W842,V843,"f",FALSE)</f>
        <v>44838</v>
      </c>
      <c r="X843" s="181">
        <f>_xll.qlCalendarAdvance(Calendar,W843,NDays&amp;"D")</f>
        <v>44840</v>
      </c>
      <c r="Y843" s="178">
        <v>2.1268486627312674E-2</v>
      </c>
      <c r="Z843" s="183">
        <v>2.0156647345146439E-2</v>
      </c>
    </row>
    <row r="844" spans="22:26" x14ac:dyDescent="0.2">
      <c r="V844" s="180" t="str">
        <f t="shared" si="20"/>
        <v>1w</v>
      </c>
      <c r="W844" s="177">
        <f>_xll.qlCalendarAdvance(Calendar,W843,V844,"f",FALSE)</f>
        <v>44845</v>
      </c>
      <c r="X844" s="181">
        <f>_xll.qlCalendarAdvance(Calendar,W844,NDays&amp;"D")</f>
        <v>44847</v>
      </c>
      <c r="Y844" s="178">
        <v>2.1300573691134417E-2</v>
      </c>
      <c r="Z844" s="183">
        <v>2.0195848992594634E-2</v>
      </c>
    </row>
    <row r="845" spans="22:26" x14ac:dyDescent="0.2">
      <c r="V845" s="180" t="str">
        <f t="shared" si="20"/>
        <v>1w</v>
      </c>
      <c r="W845" s="177">
        <f>_xll.qlCalendarAdvance(Calendar,W844,V845,"f",FALSE)</f>
        <v>44852</v>
      </c>
      <c r="X845" s="181">
        <f>_xll.qlCalendarAdvance(Calendar,W845,NDays&amp;"D")</f>
        <v>44854</v>
      </c>
      <c r="Y845" s="178">
        <v>2.1332359904732083E-2</v>
      </c>
      <c r="Z845" s="183">
        <v>2.0234699204442208E-2</v>
      </c>
    </row>
    <row r="846" spans="22:26" x14ac:dyDescent="0.2">
      <c r="V846" s="180" t="str">
        <f t="shared" si="20"/>
        <v>1w</v>
      </c>
      <c r="W846" s="177">
        <f>_xll.qlCalendarAdvance(Calendar,W845,V846,"f",FALSE)</f>
        <v>44859</v>
      </c>
      <c r="X846" s="181">
        <f>_xll.qlCalendarAdvance(Calendar,W846,NDays&amp;"D")</f>
        <v>44861</v>
      </c>
      <c r="Y846" s="178">
        <v>2.1363846402518566E-2</v>
      </c>
      <c r="Z846" s="183">
        <v>2.0273197980449353E-2</v>
      </c>
    </row>
    <row r="847" spans="22:26" x14ac:dyDescent="0.2">
      <c r="V847" s="180" t="str">
        <f t="shared" si="20"/>
        <v>1w</v>
      </c>
      <c r="W847" s="177">
        <f>_xll.qlCalendarAdvance(Calendar,W846,V847,"f",FALSE)</f>
        <v>44866</v>
      </c>
      <c r="X847" s="181">
        <f>_xll.qlCalendarAdvance(Calendar,W847,NDays&amp;"D")</f>
        <v>44868</v>
      </c>
      <c r="Y847" s="178">
        <v>2.1395034319320019E-2</v>
      </c>
      <c r="Z847" s="183">
        <v>2.0311345522614488E-2</v>
      </c>
    </row>
    <row r="848" spans="22:26" x14ac:dyDescent="0.2">
      <c r="V848" s="180" t="str">
        <f t="shared" si="20"/>
        <v>1w</v>
      </c>
      <c r="W848" s="177">
        <f>_xll.qlCalendarAdvance(Calendar,W847,V848,"f",FALSE)</f>
        <v>44873</v>
      </c>
      <c r="X848" s="181">
        <f>_xll.qlCalendarAdvance(Calendar,W848,NDays&amp;"D")</f>
        <v>44875</v>
      </c>
      <c r="Y848" s="178">
        <v>2.1425925359050597E-2</v>
      </c>
      <c r="Z848" s="183">
        <v>2.0349175345248938E-2</v>
      </c>
    </row>
    <row r="849" spans="22:26" x14ac:dyDescent="0.2">
      <c r="V849" s="180" t="str">
        <f t="shared" si="20"/>
        <v>1w</v>
      </c>
      <c r="W849" s="177">
        <f>_xll.qlCalendarAdvance(Calendar,W848,V849,"f",FALSE)</f>
        <v>44880</v>
      </c>
      <c r="X849" s="181">
        <f>_xll.qlCalendarAdvance(Calendar,W849,NDays&amp;"D")</f>
        <v>44882</v>
      </c>
      <c r="Y849" s="178">
        <v>2.1456523500880613E-2</v>
      </c>
      <c r="Z849" s="183">
        <v>2.038671308912221E-2</v>
      </c>
    </row>
    <row r="850" spans="22:26" x14ac:dyDescent="0.2">
      <c r="V850" s="180" t="str">
        <f t="shared" si="20"/>
        <v>1w</v>
      </c>
      <c r="W850" s="177">
        <f>_xll.qlCalendarAdvance(Calendar,W849,V850,"f",FALSE)</f>
        <v>44887</v>
      </c>
      <c r="X850" s="181">
        <f>_xll.qlCalendarAdvance(Calendar,W850,NDays&amp;"D")</f>
        <v>44889</v>
      </c>
      <c r="Y850" s="178">
        <v>2.1486833293436966E-2</v>
      </c>
      <c r="Z850" s="183">
        <v>2.0423958753994498E-2</v>
      </c>
    </row>
    <row r="851" spans="22:26" x14ac:dyDescent="0.2">
      <c r="V851" s="180" t="str">
        <f t="shared" si="20"/>
        <v>1w</v>
      </c>
      <c r="W851" s="177">
        <f>_xll.qlCalendarAdvance(Calendar,W850,V851,"f",FALSE)</f>
        <v>44894</v>
      </c>
      <c r="X851" s="181">
        <f>_xll.qlCalendarAdvance(Calendar,W851,NDays&amp;"D")</f>
        <v>44896</v>
      </c>
      <c r="Y851" s="178">
        <v>2.151685928614723E-2</v>
      </c>
      <c r="Z851" s="183">
        <v>2.0460912339945736E-2</v>
      </c>
    </row>
    <row r="852" spans="22:26" x14ac:dyDescent="0.2">
      <c r="V852" s="180" t="str">
        <f t="shared" si="20"/>
        <v>1w</v>
      </c>
      <c r="W852" s="177">
        <f>_xll.qlCalendarAdvance(Calendar,W851,V852,"f",FALSE)</f>
        <v>44901</v>
      </c>
      <c r="X852" s="181">
        <f>_xll.qlCalendarAdvance(Calendar,W852,NDays&amp;"D")</f>
        <v>44903</v>
      </c>
      <c r="Y852" s="178">
        <v>2.1546606029226732E-2</v>
      </c>
      <c r="Z852" s="183">
        <v>2.0497573846656181E-2</v>
      </c>
    </row>
    <row r="853" spans="22:26" x14ac:dyDescent="0.2">
      <c r="V853" s="180" t="str">
        <f t="shared" ref="V853:V916" si="21">V852</f>
        <v>1w</v>
      </c>
      <c r="W853" s="177">
        <f>_xll.qlCalendarAdvance(Calendar,W852,V853,"f",FALSE)</f>
        <v>44908</v>
      </c>
      <c r="X853" s="181">
        <f>_xll.qlCalendarAdvance(Calendar,W853,NDays&amp;"D")</f>
        <v>44910</v>
      </c>
      <c r="Y853" s="178">
        <v>2.1576078073665413E-2</v>
      </c>
      <c r="Z853" s="183">
        <v>2.0533943274125832E-2</v>
      </c>
    </row>
    <row r="854" spans="22:26" x14ac:dyDescent="0.2">
      <c r="V854" s="180" t="str">
        <f t="shared" si="21"/>
        <v>1w</v>
      </c>
      <c r="W854" s="177">
        <f>_xll.qlCalendarAdvance(Calendar,W853,V854,"f",FALSE)</f>
        <v>44915</v>
      </c>
      <c r="X854" s="181">
        <f>_xll.qlCalendarAdvance(Calendar,W854,NDays&amp;"D")</f>
        <v>44917</v>
      </c>
      <c r="Y854" s="178">
        <v>2.1605279971215783E-2</v>
      </c>
      <c r="Z854" s="183">
        <v>2.057002062235469E-2</v>
      </c>
    </row>
    <row r="855" spans="22:26" x14ac:dyDescent="0.2">
      <c r="V855" s="180" t="str">
        <f t="shared" si="21"/>
        <v>1w</v>
      </c>
      <c r="W855" s="177">
        <f>_xll.qlCalendarAdvance(Calendar,W854,V855,"f",FALSE)</f>
        <v>44922</v>
      </c>
      <c r="X855" s="181">
        <f>_xll.qlCalendarAdvance(Calendar,W855,NDays&amp;"D")</f>
        <v>44924</v>
      </c>
      <c r="Y855" s="178">
        <v>2.1634216274380433E-2</v>
      </c>
      <c r="Z855" s="183">
        <v>2.0605805891182882E-2</v>
      </c>
    </row>
    <row r="856" spans="22:26" x14ac:dyDescent="0.2">
      <c r="V856" s="180" t="str">
        <f t="shared" si="21"/>
        <v>1w</v>
      </c>
      <c r="W856" s="177">
        <f>_xll.qlCalendarAdvance(Calendar,W855,V856,"f",FALSE)</f>
        <v>44929</v>
      </c>
      <c r="X856" s="181">
        <f>_xll.qlCalendarAdvance(Calendar,W856,NDays&amp;"D")</f>
        <v>44931</v>
      </c>
      <c r="Y856" s="178">
        <v>2.1662891536399345E-2</v>
      </c>
      <c r="Z856" s="183">
        <v>2.0641299080530473E-2</v>
      </c>
    </row>
    <row r="857" spans="22:26" x14ac:dyDescent="0.2">
      <c r="V857" s="180" t="str">
        <f t="shared" si="21"/>
        <v>1w</v>
      </c>
      <c r="W857" s="177">
        <f>_xll.qlCalendarAdvance(Calendar,W856,V857,"f",FALSE)</f>
        <v>44936</v>
      </c>
      <c r="X857" s="181">
        <f>_xll.qlCalendarAdvance(Calendar,W857,NDays&amp;"D")</f>
        <v>44938</v>
      </c>
      <c r="Y857" s="178">
        <v>2.1691310311238925E-2</v>
      </c>
      <c r="Z857" s="183">
        <v>2.0676500190317526E-2</v>
      </c>
    </row>
    <row r="858" spans="22:26" x14ac:dyDescent="0.2">
      <c r="V858" s="180" t="str">
        <f t="shared" si="21"/>
        <v>1w</v>
      </c>
      <c r="W858" s="177">
        <f>_xll.qlCalendarAdvance(Calendar,W857,V858,"f",FALSE)</f>
        <v>44943</v>
      </c>
      <c r="X858" s="181">
        <f>_xll.qlCalendarAdvance(Calendar,W858,NDays&amp;"D")</f>
        <v>44945</v>
      </c>
      <c r="Y858" s="178">
        <v>2.1719477153579535E-2</v>
      </c>
      <c r="Z858" s="183">
        <v>2.0711409220464105E-2</v>
      </c>
    </row>
    <row r="859" spans="22:26" x14ac:dyDescent="0.2">
      <c r="V859" s="180" t="str">
        <f t="shared" si="21"/>
        <v>1w</v>
      </c>
      <c r="W859" s="177">
        <f>_xll.qlCalendarAdvance(Calendar,W858,V859,"f",FALSE)</f>
        <v>44950</v>
      </c>
      <c r="X859" s="181">
        <f>_xll.qlCalendarAdvance(Calendar,W859,NDays&amp;"D")</f>
        <v>44952</v>
      </c>
      <c r="Y859" s="178">
        <v>2.1747396618804749E-2</v>
      </c>
      <c r="Z859" s="183">
        <v>2.0746026170890275E-2</v>
      </c>
    </row>
    <row r="860" spans="22:26" x14ac:dyDescent="0.2">
      <c r="V860" s="180" t="str">
        <f t="shared" si="21"/>
        <v>1w</v>
      </c>
      <c r="W860" s="177">
        <f>_xll.qlCalendarAdvance(Calendar,W859,V860,"f",FALSE)</f>
        <v>44957</v>
      </c>
      <c r="X860" s="181">
        <f>_xll.qlCalendarAdvance(Calendar,W860,NDays&amp;"D")</f>
        <v>44959</v>
      </c>
      <c r="Y860" s="178">
        <v>2.1775073262988883E-2</v>
      </c>
      <c r="Z860" s="183">
        <v>2.0780351041436163E-2</v>
      </c>
    </row>
    <row r="861" spans="22:26" x14ac:dyDescent="0.2">
      <c r="V861" s="180" t="str">
        <f t="shared" si="21"/>
        <v>1w</v>
      </c>
      <c r="W861" s="177">
        <f>_xll.qlCalendarAdvance(Calendar,W860,V861,"f",FALSE)</f>
        <v>44964</v>
      </c>
      <c r="X861" s="181">
        <f>_xll.qlCalendarAdvance(Calendar,W861,NDays&amp;"D")</f>
        <v>44966</v>
      </c>
      <c r="Y861" s="178">
        <v>2.1802511642886904E-2</v>
      </c>
      <c r="Z861" s="183">
        <v>2.0814383832181704E-2</v>
      </c>
    </row>
    <row r="862" spans="22:26" x14ac:dyDescent="0.2">
      <c r="V862" s="180" t="str">
        <f t="shared" si="21"/>
        <v>1w</v>
      </c>
      <c r="W862" s="177">
        <f>_xll.qlCalendarAdvance(Calendar,W861,V862,"f",FALSE)</f>
        <v>44971</v>
      </c>
      <c r="X862" s="181">
        <f>_xll.qlCalendarAdvance(Calendar,W862,NDays&amp;"D")</f>
        <v>44973</v>
      </c>
      <c r="Y862" s="178">
        <v>2.1829716315923283E-2</v>
      </c>
      <c r="Z862" s="183">
        <v>2.0848124542887092E-2</v>
      </c>
    </row>
    <row r="863" spans="22:26" x14ac:dyDescent="0.2">
      <c r="V863" s="180" t="str">
        <f t="shared" si="21"/>
        <v>1w</v>
      </c>
      <c r="W863" s="177">
        <f>_xll.qlCalendarAdvance(Calendar,W862,V863,"f",FALSE)</f>
        <v>44978</v>
      </c>
      <c r="X863" s="181">
        <f>_xll.qlCalendarAdvance(Calendar,W863,NDays&amp;"D")</f>
        <v>44980</v>
      </c>
      <c r="Y863" s="178">
        <v>2.1856691840180804E-2</v>
      </c>
      <c r="Z863" s="183">
        <v>2.088157317347239E-2</v>
      </c>
    </row>
    <row r="864" spans="22:26" x14ac:dyDescent="0.2">
      <c r="V864" s="180" t="str">
        <f t="shared" si="21"/>
        <v>1w</v>
      </c>
      <c r="W864" s="177">
        <f>_xll.qlCalendarAdvance(Calendar,W863,V864,"f",FALSE)</f>
        <v>44985</v>
      </c>
      <c r="X864" s="181">
        <f>_xll.qlCalendarAdvance(Calendar,W864,NDays&amp;"D")</f>
        <v>44987</v>
      </c>
      <c r="Y864" s="178">
        <v>2.1890684126036342E-2</v>
      </c>
      <c r="Z864" s="183">
        <v>2.0914729724017533E-2</v>
      </c>
    </row>
    <row r="865" spans="22:26" x14ac:dyDescent="0.2">
      <c r="V865" s="180" t="str">
        <f t="shared" si="21"/>
        <v>1w</v>
      </c>
      <c r="W865" s="177">
        <f>_xll.qlCalendarAdvance(Calendar,W864,V865,"f",FALSE)</f>
        <v>44992</v>
      </c>
      <c r="X865" s="181">
        <f>_xll.qlCalendarAdvance(Calendar,W865,NDays&amp;"D")</f>
        <v>44994</v>
      </c>
      <c r="Y865" s="178">
        <v>2.191718472663029E-2</v>
      </c>
      <c r="Z865" s="183">
        <v>2.0947594194202779E-2</v>
      </c>
    </row>
    <row r="866" spans="22:26" x14ac:dyDescent="0.2">
      <c r="V866" s="180" t="str">
        <f t="shared" si="21"/>
        <v>1w</v>
      </c>
      <c r="W866" s="177">
        <f>_xll.qlCalendarAdvance(Calendar,W865,V866,"f",FALSE)</f>
        <v>44999</v>
      </c>
      <c r="X866" s="181">
        <f>_xll.qlCalendarAdvance(Calendar,W866,NDays&amp;"D")</f>
        <v>45001</v>
      </c>
      <c r="Y866" s="178">
        <v>2.1943471094640392E-2</v>
      </c>
      <c r="Z866" s="183">
        <v>2.0980166584187998E-2</v>
      </c>
    </row>
    <row r="867" spans="22:26" x14ac:dyDescent="0.2">
      <c r="V867" s="180" t="str">
        <f t="shared" si="21"/>
        <v>1w</v>
      </c>
      <c r="W867" s="177">
        <f>_xll.qlCalendarAdvance(Calendar,W866,V867,"f",FALSE)</f>
        <v>45006</v>
      </c>
      <c r="X867" s="181">
        <f>_xll.qlCalendarAdvance(Calendar,W867,NDays&amp;"D")</f>
        <v>45008</v>
      </c>
      <c r="Y867" s="178">
        <v>2.1969547754190983E-2</v>
      </c>
      <c r="Z867" s="183">
        <v>2.1012446893733383E-2</v>
      </c>
    </row>
    <row r="868" spans="22:26" x14ac:dyDescent="0.2">
      <c r="V868" s="180" t="str">
        <f t="shared" si="21"/>
        <v>1w</v>
      </c>
      <c r="W868" s="177">
        <f>_xll.qlCalendarAdvance(Calendar,W867,V868,"f",FALSE)</f>
        <v>45013</v>
      </c>
      <c r="X868" s="181">
        <f>_xll.qlCalendarAdvance(Calendar,W868,NDays&amp;"D")</f>
        <v>45015</v>
      </c>
      <c r="Y868" s="178">
        <v>2.1985914969728938E-2</v>
      </c>
      <c r="Z868" s="183">
        <v>2.1044435122838934E-2</v>
      </c>
    </row>
    <row r="869" spans="22:26" x14ac:dyDescent="0.2">
      <c r="V869" s="180" t="str">
        <f t="shared" si="21"/>
        <v>1w</v>
      </c>
      <c r="W869" s="177">
        <f>_xll.qlCalendarAdvance(Calendar,W868,V869,"f",FALSE)</f>
        <v>45020</v>
      </c>
      <c r="X869" s="181">
        <f>_xll.qlCalendarAdvance(Calendar,W869,NDays&amp;"D")</f>
        <v>45022</v>
      </c>
      <c r="Y869" s="178">
        <v>2.2021090047436818E-2</v>
      </c>
      <c r="Z869" s="183">
        <v>2.1087597753540521E-2</v>
      </c>
    </row>
    <row r="870" spans="22:26" x14ac:dyDescent="0.2">
      <c r="V870" s="180" t="str">
        <f t="shared" si="21"/>
        <v>1w</v>
      </c>
      <c r="W870" s="177">
        <f>_xll.qlCalendarAdvance(Calendar,W869,V870,"f",FALSE)</f>
        <v>45027</v>
      </c>
      <c r="X870" s="181">
        <f>_xll.qlCalendarAdvance(Calendar,W870,NDays&amp;"D")</f>
        <v>45029</v>
      </c>
      <c r="Y870" s="178">
        <v>2.2046564732379856E-2</v>
      </c>
      <c r="Z870" s="183">
        <v>2.1107535339330852E-2</v>
      </c>
    </row>
    <row r="871" spans="22:26" x14ac:dyDescent="0.2">
      <c r="V871" s="180" t="str">
        <f t="shared" si="21"/>
        <v>1w</v>
      </c>
      <c r="W871" s="177">
        <f>_xll.qlCalendarAdvance(Calendar,W870,V871,"f",FALSE)</f>
        <v>45034</v>
      </c>
      <c r="X871" s="181">
        <f>_xll.qlCalendarAdvance(Calendar,W871,NDays&amp;"D")</f>
        <v>45036</v>
      </c>
      <c r="Y871" s="178">
        <v>2.2071847811340511E-2</v>
      </c>
      <c r="Z871" s="183">
        <v>2.1138647326557347E-2</v>
      </c>
    </row>
    <row r="872" spans="22:26" x14ac:dyDescent="0.2">
      <c r="V872" s="180" t="str">
        <f t="shared" si="21"/>
        <v>1w</v>
      </c>
      <c r="W872" s="177">
        <f>_xll.qlCalendarAdvance(Calendar,W871,V872,"f",FALSE)</f>
        <v>45041</v>
      </c>
      <c r="X872" s="181">
        <f>_xll.qlCalendarAdvance(Calendar,W872,NDays&amp;"D")</f>
        <v>45043</v>
      </c>
      <c r="Y872" s="178">
        <v>2.2096943811387715E-2</v>
      </c>
      <c r="Z872" s="183">
        <v>2.1169467232944328E-2</v>
      </c>
    </row>
    <row r="873" spans="22:26" x14ac:dyDescent="0.2">
      <c r="V873" s="180" t="str">
        <f t="shared" si="21"/>
        <v>1w</v>
      </c>
      <c r="W873" s="177">
        <f>_xll.qlCalendarAdvance(Calendar,W872,V873,"f",FALSE)</f>
        <v>45048</v>
      </c>
      <c r="X873" s="181">
        <f>_xll.qlCalendarAdvance(Calendar,W873,NDays&amp;"D")</f>
        <v>45050</v>
      </c>
      <c r="Y873" s="178">
        <v>2.2121857260153224E-2</v>
      </c>
      <c r="Z873" s="183">
        <v>2.119999505857173E-2</v>
      </c>
    </row>
    <row r="874" spans="22:26" x14ac:dyDescent="0.2">
      <c r="V874" s="180" t="str">
        <f t="shared" si="21"/>
        <v>1w</v>
      </c>
      <c r="W874" s="177">
        <f>_xll.qlCalendarAdvance(Calendar,W873,V874,"f",FALSE)</f>
        <v>45055</v>
      </c>
      <c r="X874" s="181">
        <f>_xll.qlCalendarAdvance(Calendar,W874,NDays&amp;"D")</f>
        <v>45057</v>
      </c>
      <c r="Y874" s="178">
        <v>2.2146592685822464E-2</v>
      </c>
      <c r="Z874" s="183">
        <v>2.1230230803279682E-2</v>
      </c>
    </row>
    <row r="875" spans="22:26" x14ac:dyDescent="0.2">
      <c r="V875" s="180" t="str">
        <f t="shared" si="21"/>
        <v>1w</v>
      </c>
      <c r="W875" s="177">
        <f>_xll.qlCalendarAdvance(Calendar,W874,V875,"f",FALSE)</f>
        <v>45062</v>
      </c>
      <c r="X875" s="181">
        <f>_xll.qlCalendarAdvance(Calendar,W875,NDays&amp;"D")</f>
        <v>45064</v>
      </c>
      <c r="Y875" s="178">
        <v>2.2171154617126529E-2</v>
      </c>
      <c r="Z875" s="183">
        <v>2.1260174466988246E-2</v>
      </c>
    </row>
    <row r="876" spans="22:26" x14ac:dyDescent="0.2">
      <c r="V876" s="180" t="str">
        <f t="shared" si="21"/>
        <v>1w</v>
      </c>
      <c r="W876" s="177">
        <f>_xll.qlCalendarAdvance(Calendar,W875,V876,"f",FALSE)</f>
        <v>45069</v>
      </c>
      <c r="X876" s="181">
        <f>_xll.qlCalendarAdvance(Calendar,W876,NDays&amp;"D")</f>
        <v>45071</v>
      </c>
      <c r="Y876" s="178">
        <v>2.2195547583335196E-2</v>
      </c>
      <c r="Z876" s="183">
        <v>2.1289826049617488E-2</v>
      </c>
    </row>
    <row r="877" spans="22:26" x14ac:dyDescent="0.2">
      <c r="V877" s="180" t="str">
        <f t="shared" si="21"/>
        <v>1w</v>
      </c>
      <c r="W877" s="177">
        <f>_xll.qlCalendarAdvance(Calendar,W876,V877,"f",FALSE)</f>
        <v>45076</v>
      </c>
      <c r="X877" s="181">
        <f>_xll.qlCalendarAdvance(Calendar,W877,NDays&amp;"D")</f>
        <v>45078</v>
      </c>
      <c r="Y877" s="178">
        <v>2.2219776114247837E-2</v>
      </c>
      <c r="Z877" s="183">
        <v>2.1319185551087472E-2</v>
      </c>
    </row>
    <row r="878" spans="22:26" x14ac:dyDescent="0.2">
      <c r="V878" s="180" t="str">
        <f t="shared" si="21"/>
        <v>1w</v>
      </c>
      <c r="W878" s="177">
        <f>_xll.qlCalendarAdvance(Calendar,W877,V878,"f",FALSE)</f>
        <v>45083</v>
      </c>
      <c r="X878" s="181">
        <f>_xll.qlCalendarAdvance(Calendar,W878,NDays&amp;"D")</f>
        <v>45085</v>
      </c>
      <c r="Y878" s="178">
        <v>2.2243844740186428E-2</v>
      </c>
      <c r="Z878" s="183">
        <v>2.134825297131826E-2</v>
      </c>
    </row>
    <row r="879" spans="22:26" x14ac:dyDescent="0.2">
      <c r="V879" s="180" t="str">
        <f t="shared" si="21"/>
        <v>1w</v>
      </c>
      <c r="W879" s="177">
        <f>_xll.qlCalendarAdvance(Calendar,W878,V879,"f",FALSE)</f>
        <v>45090</v>
      </c>
      <c r="X879" s="181">
        <f>_xll.qlCalendarAdvance(Calendar,W879,NDays&amp;"D")</f>
        <v>45092</v>
      </c>
      <c r="Y879" s="178">
        <v>2.2267757991987987E-2</v>
      </c>
      <c r="Z879" s="183">
        <v>2.1377028310309854E-2</v>
      </c>
    </row>
    <row r="880" spans="22:26" x14ac:dyDescent="0.2">
      <c r="V880" s="180" t="str">
        <f t="shared" si="21"/>
        <v>1w</v>
      </c>
      <c r="W880" s="177">
        <f>_xll.qlCalendarAdvance(Calendar,W879,V880,"f",FALSE)</f>
        <v>45097</v>
      </c>
      <c r="X880" s="181">
        <f>_xll.qlCalendarAdvance(Calendar,W880,NDays&amp;"D")</f>
        <v>45099</v>
      </c>
      <c r="Y880" s="178">
        <v>2.229152040099781E-2</v>
      </c>
      <c r="Z880" s="183">
        <v>2.140551156790238E-2</v>
      </c>
    </row>
    <row r="881" spans="22:26" x14ac:dyDescent="0.2">
      <c r="V881" s="180" t="str">
        <f t="shared" si="21"/>
        <v>1w</v>
      </c>
      <c r="W881" s="177">
        <f>_xll.qlCalendarAdvance(Calendar,W880,V881,"f",FALSE)</f>
        <v>45104</v>
      </c>
      <c r="X881" s="181">
        <f>_xll.qlCalendarAdvance(Calendar,W881,NDays&amp;"D")</f>
        <v>45106</v>
      </c>
      <c r="Y881" s="178">
        <v>2.2308266732024965E-2</v>
      </c>
      <c r="Z881" s="183">
        <v>2.1433702744095839E-2</v>
      </c>
    </row>
    <row r="882" spans="22:26" x14ac:dyDescent="0.2">
      <c r="V882" s="180" t="str">
        <f t="shared" si="21"/>
        <v>1w</v>
      </c>
      <c r="W882" s="177">
        <f>_xll.qlCalendarAdvance(Calendar,W881,V882,"f",FALSE)</f>
        <v>45111</v>
      </c>
      <c r="X882" s="181">
        <f>_xll.qlCalendarAdvance(Calendar,W882,NDays&amp;"D")</f>
        <v>45113</v>
      </c>
      <c r="Y882" s="178">
        <v>2.2338610818524056E-2</v>
      </c>
      <c r="Z882" s="183">
        <v>2.1461601838810296E-2</v>
      </c>
    </row>
    <row r="883" spans="22:26" x14ac:dyDescent="0.2">
      <c r="V883" s="180" t="str">
        <f t="shared" si="21"/>
        <v>1w</v>
      </c>
      <c r="W883" s="177">
        <f>_xll.qlCalendarAdvance(Calendar,W882,V883,"f",FALSE)</f>
        <v>45118</v>
      </c>
      <c r="X883" s="181">
        <f>_xll.qlCalendarAdvance(Calendar,W883,NDays&amp;"D")</f>
        <v>45120</v>
      </c>
      <c r="Y883" s="178">
        <v>2.2361947892209744E-2</v>
      </c>
      <c r="Z883" s="183">
        <v>2.1489208851965813E-2</v>
      </c>
    </row>
    <row r="884" spans="22:26" x14ac:dyDescent="0.2">
      <c r="V884" s="180" t="str">
        <f t="shared" si="21"/>
        <v>1w</v>
      </c>
      <c r="W884" s="177">
        <f>_xll.qlCalendarAdvance(Calendar,W883,V884,"f",FALSE)</f>
        <v>45125</v>
      </c>
      <c r="X884" s="181">
        <f>_xll.qlCalendarAdvance(Calendar,W884,NDays&amp;"D")</f>
        <v>45127</v>
      </c>
      <c r="Y884" s="178">
        <v>2.2385152253430282E-2</v>
      </c>
      <c r="Z884" s="183">
        <v>2.1516523783482455E-2</v>
      </c>
    </row>
    <row r="885" spans="22:26" x14ac:dyDescent="0.2">
      <c r="V885" s="180" t="str">
        <f t="shared" si="21"/>
        <v>1w</v>
      </c>
      <c r="W885" s="177">
        <f>_xll.qlCalendarAdvance(Calendar,W884,V885,"f",FALSE)</f>
        <v>45132</v>
      </c>
      <c r="X885" s="181">
        <f>_xll.qlCalendarAdvance(Calendar,W885,NDays&amp;"D")</f>
        <v>45134</v>
      </c>
      <c r="Y885" s="178">
        <v>2.2408228435971848E-2</v>
      </c>
      <c r="Z885" s="183">
        <v>2.1543546633360222E-2</v>
      </c>
    </row>
    <row r="886" spans="22:26" x14ac:dyDescent="0.2">
      <c r="V886" s="180" t="str">
        <f t="shared" si="21"/>
        <v>1w</v>
      </c>
      <c r="W886" s="177">
        <f>_xll.qlCalendarAdvance(Calendar,W885,V886,"f",FALSE)</f>
        <v>45139</v>
      </c>
      <c r="X886" s="181">
        <f>_xll.qlCalendarAdvance(Calendar,W886,NDays&amp;"D")</f>
        <v>45141</v>
      </c>
      <c r="Y886" s="178">
        <v>2.2431180974088933E-2</v>
      </c>
      <c r="Z886" s="183">
        <v>2.1570277401359306E-2</v>
      </c>
    </row>
    <row r="887" spans="22:26" x14ac:dyDescent="0.2">
      <c r="V887" s="180" t="str">
        <f t="shared" si="21"/>
        <v>1w</v>
      </c>
      <c r="W887" s="177">
        <f>_xll.qlCalendarAdvance(Calendar,W886,V887,"f",FALSE)</f>
        <v>45146</v>
      </c>
      <c r="X887" s="181">
        <f>_xll.qlCalendarAdvance(Calendar,W887,NDays&amp;"D")</f>
        <v>45148</v>
      </c>
      <c r="Y887" s="178">
        <v>2.2454014402501308E-2</v>
      </c>
      <c r="Z887" s="183">
        <v>2.1596716087639578E-2</v>
      </c>
    </row>
    <row r="888" spans="22:26" x14ac:dyDescent="0.2">
      <c r="V888" s="180" t="str">
        <f t="shared" si="21"/>
        <v>1w</v>
      </c>
      <c r="W888" s="177">
        <f>_xll.qlCalendarAdvance(Calendar,W887,V888,"f",FALSE)</f>
        <v>45153</v>
      </c>
      <c r="X888" s="181">
        <f>_xll.qlCalendarAdvance(Calendar,W888,NDays&amp;"D")</f>
        <v>45155</v>
      </c>
      <c r="Y888" s="178">
        <v>2.2476733256385776E-2</v>
      </c>
      <c r="Z888" s="183">
        <v>2.1622862692041167E-2</v>
      </c>
    </row>
    <row r="889" spans="22:26" x14ac:dyDescent="0.2">
      <c r="V889" s="180" t="str">
        <f t="shared" si="21"/>
        <v>1w</v>
      </c>
      <c r="W889" s="177">
        <f>_xll.qlCalendarAdvance(Calendar,W888,V889,"f",FALSE)</f>
        <v>45160</v>
      </c>
      <c r="X889" s="181">
        <f>_xll.qlCalendarAdvance(Calendar,W889,NDays&amp;"D")</f>
        <v>45162</v>
      </c>
      <c r="Y889" s="178">
        <v>2.2499342071372899E-2</v>
      </c>
      <c r="Z889" s="183">
        <v>2.1648717214404201E-2</v>
      </c>
    </row>
    <row r="890" spans="22:26" x14ac:dyDescent="0.2">
      <c r="V890" s="180" t="str">
        <f t="shared" si="21"/>
        <v>1w</v>
      </c>
      <c r="W890" s="177">
        <f>_xll.qlCalendarAdvance(Calendar,W889,V890,"f",FALSE)</f>
        <v>45167</v>
      </c>
      <c r="X890" s="181">
        <f>_xll.qlCalendarAdvance(Calendar,W890,NDays&amp;"D")</f>
        <v>45169</v>
      </c>
      <c r="Y890" s="178">
        <v>2.2515084414661046E-2</v>
      </c>
      <c r="Z890" s="183">
        <v>2.1674279654808615E-2</v>
      </c>
    </row>
    <row r="891" spans="22:26" x14ac:dyDescent="0.2">
      <c r="V891" s="180" t="str">
        <f t="shared" si="21"/>
        <v>1w</v>
      </c>
      <c r="W891" s="177">
        <f>_xll.qlCalendarAdvance(Calendar,W890,V891,"f",FALSE)</f>
        <v>45174</v>
      </c>
      <c r="X891" s="181">
        <f>_xll.qlCalendarAdvance(Calendar,W891,NDays&amp;"D")</f>
        <v>45176</v>
      </c>
      <c r="Y891" s="178">
        <v>2.2544247729410386E-2</v>
      </c>
      <c r="Z891" s="183">
        <v>2.1699550013094537E-2</v>
      </c>
    </row>
    <row r="892" spans="22:26" x14ac:dyDescent="0.2">
      <c r="V892" s="180" t="str">
        <f t="shared" si="21"/>
        <v>1w</v>
      </c>
      <c r="W892" s="177">
        <f>_xll.qlCalendarAdvance(Calendar,W891,V892,"f",FALSE)</f>
        <v>45181</v>
      </c>
      <c r="X892" s="181">
        <f>_xll.qlCalendarAdvance(Calendar,W892,NDays&amp;"D")</f>
        <v>45183</v>
      </c>
      <c r="Y892" s="178">
        <v>2.2566553645941848E-2</v>
      </c>
      <c r="Z892" s="183">
        <v>2.1724528289261968E-2</v>
      </c>
    </row>
    <row r="893" spans="22:26" x14ac:dyDescent="0.2">
      <c r="V893" s="180" t="str">
        <f t="shared" si="21"/>
        <v>1w</v>
      </c>
      <c r="W893" s="177">
        <f>_xll.qlCalendarAdvance(Calendar,W892,V893,"f",FALSE)</f>
        <v>45188</v>
      </c>
      <c r="X893" s="181">
        <f>_xll.qlCalendarAdvance(Calendar,W893,NDays&amp;"D")</f>
        <v>45190</v>
      </c>
      <c r="Y893" s="178">
        <v>2.2588767670527948E-2</v>
      </c>
      <c r="Z893" s="183">
        <v>2.1749214483230972E-2</v>
      </c>
    </row>
    <row r="894" spans="22:26" x14ac:dyDescent="0.2">
      <c r="V894" s="180" t="str">
        <f t="shared" si="21"/>
        <v>1w</v>
      </c>
      <c r="W894" s="177">
        <f>_xll.qlCalendarAdvance(Calendar,W893,V894,"f",FALSE)</f>
        <v>45195</v>
      </c>
      <c r="X894" s="181">
        <f>_xll.qlCalendarAdvance(Calendar,W894,NDays&amp;"D")</f>
        <v>45197</v>
      </c>
      <c r="Y894" s="178">
        <v>2.2610894340991856E-2</v>
      </c>
      <c r="Z894" s="183">
        <v>2.1773608594921612E-2</v>
      </c>
    </row>
    <row r="895" spans="22:26" x14ac:dyDescent="0.2">
      <c r="V895" s="180" t="str">
        <f t="shared" si="21"/>
        <v>1w</v>
      </c>
      <c r="W895" s="177">
        <f>_xll.qlCalendarAdvance(Calendar,W894,V895,"f",FALSE)</f>
        <v>45202</v>
      </c>
      <c r="X895" s="181">
        <f>_xll.qlCalendarAdvance(Calendar,W895,NDays&amp;"D")</f>
        <v>45204</v>
      </c>
      <c r="Y895" s="178">
        <v>2.2632938195582254E-2</v>
      </c>
      <c r="Z895" s="183">
        <v>2.1797710624333888E-2</v>
      </c>
    </row>
    <row r="896" spans="22:26" x14ac:dyDescent="0.2">
      <c r="V896" s="180" t="str">
        <f t="shared" si="21"/>
        <v>1w</v>
      </c>
      <c r="W896" s="177">
        <f>_xll.qlCalendarAdvance(Calendar,W895,V896,"f",FALSE)</f>
        <v>45209</v>
      </c>
      <c r="X896" s="181">
        <f>_xll.qlCalendarAdvance(Calendar,W896,NDays&amp;"D")</f>
        <v>45211</v>
      </c>
      <c r="Y896" s="178">
        <v>2.2654903772969019E-2</v>
      </c>
      <c r="Z896" s="183">
        <v>2.1821520571387865E-2</v>
      </c>
    </row>
    <row r="897" spans="22:26" x14ac:dyDescent="0.2">
      <c r="V897" s="180" t="str">
        <f t="shared" si="21"/>
        <v>1w</v>
      </c>
      <c r="W897" s="177">
        <f>_xll.qlCalendarAdvance(Calendar,W896,V897,"f",FALSE)</f>
        <v>45216</v>
      </c>
      <c r="X897" s="181">
        <f>_xll.qlCalendarAdvance(Calendar,W897,NDays&amp;"D")</f>
        <v>45218</v>
      </c>
      <c r="Y897" s="178">
        <v>2.267679561224039E-2</v>
      </c>
      <c r="Z897" s="183">
        <v>2.1845038435923669E-2</v>
      </c>
    </row>
    <row r="898" spans="22:26" x14ac:dyDescent="0.2">
      <c r="V898" s="180" t="str">
        <f t="shared" si="21"/>
        <v>1w</v>
      </c>
      <c r="W898" s="177">
        <f>_xll.qlCalendarAdvance(Calendar,W897,V898,"f",FALSE)</f>
        <v>45223</v>
      </c>
      <c r="X898" s="181">
        <f>_xll.qlCalendarAdvance(Calendar,W898,NDays&amp;"D")</f>
        <v>45225</v>
      </c>
      <c r="Y898" s="178">
        <v>2.2698618252898619E-2</v>
      </c>
      <c r="Z898" s="183">
        <v>2.1868264217941302E-2</v>
      </c>
    </row>
    <row r="899" spans="22:26" x14ac:dyDescent="0.2">
      <c r="V899" s="180" t="str">
        <f t="shared" si="21"/>
        <v>1w</v>
      </c>
      <c r="W899" s="177">
        <f>_xll.qlCalendarAdvance(Calendar,W898,V899,"f",FALSE)</f>
        <v>45230</v>
      </c>
      <c r="X899" s="181">
        <f>_xll.qlCalendarAdvance(Calendar,W899,NDays&amp;"D")</f>
        <v>45232</v>
      </c>
      <c r="Y899" s="178">
        <v>2.2720376234858015E-2</v>
      </c>
      <c r="Z899" s="183">
        <v>2.1891197917520699E-2</v>
      </c>
    </row>
    <row r="900" spans="22:26" x14ac:dyDescent="0.2">
      <c r="V900" s="180" t="str">
        <f t="shared" si="21"/>
        <v>1w</v>
      </c>
      <c r="W900" s="177">
        <f>_xll.qlCalendarAdvance(Calendar,W899,V900,"f",FALSE)</f>
        <v>45237</v>
      </c>
      <c r="X900" s="181">
        <f>_xll.qlCalendarAdvance(Calendar,W900,NDays&amp;"D")</f>
        <v>45239</v>
      </c>
      <c r="Y900" s="178">
        <v>2.2742073295482043E-2</v>
      </c>
      <c r="Z900" s="183">
        <v>2.1913940400217768E-2</v>
      </c>
    </row>
    <row r="901" spans="22:26" x14ac:dyDescent="0.2">
      <c r="V901" s="180" t="str">
        <f t="shared" si="21"/>
        <v>1w</v>
      </c>
      <c r="W901" s="177">
        <f>_xll.qlCalendarAdvance(Calendar,W900,V901,"f",FALSE)</f>
        <v>45244</v>
      </c>
      <c r="X901" s="181">
        <f>_xll.qlCalendarAdvance(Calendar,W901,NDays&amp;"D")</f>
        <v>45246</v>
      </c>
      <c r="Y901" s="178">
        <v>2.2763708924879011E-2</v>
      </c>
      <c r="Z901" s="183">
        <v>2.1936623506331188E-2</v>
      </c>
    </row>
    <row r="902" spans="22:26" x14ac:dyDescent="0.2">
      <c r="V902" s="180" t="str">
        <f t="shared" si="21"/>
        <v>1w</v>
      </c>
      <c r="W902" s="177">
        <f>_xll.qlCalendarAdvance(Calendar,W901,V902,"f",FALSE)</f>
        <v>45251</v>
      </c>
      <c r="X902" s="181">
        <f>_xll.qlCalendarAdvance(Calendar,W902,NDays&amp;"D")</f>
        <v>45253</v>
      </c>
      <c r="Y902" s="178">
        <v>2.2785281165297565E-2</v>
      </c>
      <c r="Z902" s="183">
        <v>2.1959248029945755E-2</v>
      </c>
    </row>
    <row r="903" spans="22:26" x14ac:dyDescent="0.2">
      <c r="V903" s="180" t="str">
        <f t="shared" si="21"/>
        <v>1w</v>
      </c>
      <c r="W903" s="177">
        <f>_xll.qlCalendarAdvance(Calendar,W902,V903,"f",FALSE)</f>
        <v>45258</v>
      </c>
      <c r="X903" s="181">
        <f>_xll.qlCalendarAdvance(Calendar,W903,NDays&amp;"D")</f>
        <v>45260</v>
      </c>
      <c r="Y903" s="178">
        <v>2.2800150180489424E-2</v>
      </c>
      <c r="Z903" s="183">
        <v>2.1981813971141406E-2</v>
      </c>
    </row>
    <row r="904" spans="22:26" x14ac:dyDescent="0.2">
      <c r="V904" s="180" t="str">
        <f t="shared" si="21"/>
        <v>1w</v>
      </c>
      <c r="W904" s="177">
        <f>_xll.qlCalendarAdvance(Calendar,W903,V904,"f",FALSE)</f>
        <v>45265</v>
      </c>
      <c r="X904" s="181">
        <f>_xll.qlCalendarAdvance(Calendar,W904,NDays&amp;"D")</f>
        <v>45267</v>
      </c>
      <c r="Y904" s="178">
        <v>2.2828227638578016E-2</v>
      </c>
      <c r="Z904" s="183">
        <v>2.2004321329918142E-2</v>
      </c>
    </row>
    <row r="905" spans="22:26" x14ac:dyDescent="0.2">
      <c r="V905" s="180" t="str">
        <f t="shared" si="21"/>
        <v>1w</v>
      </c>
      <c r="W905" s="177">
        <f>_xll.qlCalendarAdvance(Calendar,W904,V905,"f",FALSE)</f>
        <v>45272</v>
      </c>
      <c r="X905" s="181">
        <f>_xll.qlCalendarAdvance(Calendar,W905,NDays&amp;"D")</f>
        <v>45274</v>
      </c>
      <c r="Y905" s="178">
        <v>2.2849597950741582E-2</v>
      </c>
      <c r="Z905" s="183">
        <v>2.2026770106275961E-2</v>
      </c>
    </row>
    <row r="906" spans="22:26" x14ac:dyDescent="0.2">
      <c r="V906" s="180" t="str">
        <f t="shared" si="21"/>
        <v>1w</v>
      </c>
      <c r="W906" s="177">
        <f>_xll.qlCalendarAdvance(Calendar,W905,V906,"f",FALSE)</f>
        <v>45279</v>
      </c>
      <c r="X906" s="181">
        <f>_xll.qlCalendarAdvance(Calendar,W906,NDays&amp;"D")</f>
        <v>45281</v>
      </c>
      <c r="Y906" s="178">
        <v>2.2870897032532679E-2</v>
      </c>
      <c r="Z906" s="183">
        <v>2.2049160300214865E-2</v>
      </c>
    </row>
    <row r="907" spans="22:26" x14ac:dyDescent="0.2">
      <c r="V907" s="180" t="str">
        <f t="shared" si="21"/>
        <v>1w</v>
      </c>
      <c r="W907" s="177">
        <f>_xll.qlCalendarAdvance(Calendar,W906,V907,"f",FALSE)</f>
        <v>45287</v>
      </c>
      <c r="X907" s="181">
        <f>_xll.qlCalendarAdvance(Calendar,W907,NDays&amp;"D")</f>
        <v>45289</v>
      </c>
      <c r="Y907" s="178">
        <v>2.2895149104199881E-2</v>
      </c>
      <c r="Z907" s="183">
        <v>2.2081483884943687E-2</v>
      </c>
    </row>
    <row r="908" spans="22:26" x14ac:dyDescent="0.2">
      <c r="V908" s="180" t="str">
        <f t="shared" si="21"/>
        <v>1w</v>
      </c>
      <c r="W908" s="177">
        <f>_xll.qlCalendarAdvance(Calendar,W907,V908,"f",FALSE)</f>
        <v>45294</v>
      </c>
      <c r="X908" s="181">
        <f>_xll.qlCalendarAdvance(Calendar,W908,NDays&amp;"D")</f>
        <v>45296</v>
      </c>
      <c r="Y908" s="178">
        <v>2.2914100381416867E-2</v>
      </c>
      <c r="Z908" s="183">
        <v>2.2101474241207342E-2</v>
      </c>
    </row>
    <row r="909" spans="22:26" x14ac:dyDescent="0.2">
      <c r="V909" s="180" t="str">
        <f t="shared" si="21"/>
        <v>1w</v>
      </c>
      <c r="W909" s="177">
        <f>_xll.qlCalendarAdvance(Calendar,W908,V909,"f",FALSE)</f>
        <v>45301</v>
      </c>
      <c r="X909" s="181">
        <f>_xll.qlCalendarAdvance(Calendar,W909,NDays&amp;"D")</f>
        <v>45303</v>
      </c>
      <c r="Y909" s="178">
        <v>2.2935168190383673E-2</v>
      </c>
      <c r="Z909" s="183">
        <v>2.2123674676670646E-2</v>
      </c>
    </row>
    <row r="910" spans="22:26" x14ac:dyDescent="0.2">
      <c r="V910" s="180" t="str">
        <f t="shared" si="21"/>
        <v>1w</v>
      </c>
      <c r="W910" s="177">
        <f>_xll.qlCalendarAdvance(Calendar,W909,V910,"f",FALSE)</f>
        <v>45308</v>
      </c>
      <c r="X910" s="181">
        <f>_xll.qlCalendarAdvance(Calendar,W910,NDays&amp;"D")</f>
        <v>45310</v>
      </c>
      <c r="Y910" s="178">
        <v>2.2956156875326091E-2</v>
      </c>
      <c r="Z910" s="183">
        <v>2.2145816525158679E-2</v>
      </c>
    </row>
    <row r="911" spans="22:26" x14ac:dyDescent="0.2">
      <c r="V911" s="180" t="str">
        <f t="shared" si="21"/>
        <v>1w</v>
      </c>
      <c r="W911" s="177">
        <f>_xll.qlCalendarAdvance(Calendar,W910,V911,"f",FALSE)</f>
        <v>45315</v>
      </c>
      <c r="X911" s="181">
        <f>_xll.qlCalendarAdvance(Calendar,W911,NDays&amp;"D")</f>
        <v>45317</v>
      </c>
      <c r="Y911" s="178">
        <v>2.2977064469723221E-2</v>
      </c>
      <c r="Z911" s="183">
        <v>2.2167899786671441E-2</v>
      </c>
    </row>
    <row r="912" spans="22:26" x14ac:dyDescent="0.2">
      <c r="V912" s="180" t="str">
        <f t="shared" si="21"/>
        <v>1w</v>
      </c>
      <c r="W912" s="177">
        <f>_xll.qlCalendarAdvance(Calendar,W911,V912,"f",FALSE)</f>
        <v>45322</v>
      </c>
      <c r="X912" s="181">
        <f>_xll.qlCalendarAdvance(Calendar,W912,NDays&amp;"D")</f>
        <v>45324</v>
      </c>
      <c r="Y912" s="178">
        <v>2.2997889006910847E-2</v>
      </c>
      <c r="Z912" s="183">
        <v>2.2189924461128996E-2</v>
      </c>
    </row>
    <row r="913" spans="22:26" x14ac:dyDescent="0.2">
      <c r="V913" s="180" t="str">
        <f t="shared" si="21"/>
        <v>1w</v>
      </c>
      <c r="W913" s="177">
        <f>_xll.qlCalendarAdvance(Calendar,W912,V913,"f",FALSE)</f>
        <v>45329</v>
      </c>
      <c r="X913" s="181">
        <f>_xll.qlCalendarAdvance(Calendar,W913,NDays&amp;"D")</f>
        <v>45331</v>
      </c>
      <c r="Y913" s="178">
        <v>2.3018628520081005E-2</v>
      </c>
      <c r="Z913" s="183">
        <v>2.2211890548504698E-2</v>
      </c>
    </row>
    <row r="914" spans="22:26" x14ac:dyDescent="0.2">
      <c r="V914" s="180" t="str">
        <f t="shared" si="21"/>
        <v>1w</v>
      </c>
      <c r="W914" s="177">
        <f>_xll.qlCalendarAdvance(Calendar,W913,V914,"f",FALSE)</f>
        <v>45336</v>
      </c>
      <c r="X914" s="181">
        <f>_xll.qlCalendarAdvance(Calendar,W914,NDays&amp;"D")</f>
        <v>45338</v>
      </c>
      <c r="Y914" s="178">
        <v>2.3039281042286537E-2</v>
      </c>
      <c r="Z914" s="183">
        <v>2.2233798048798548E-2</v>
      </c>
    </row>
    <row r="915" spans="22:26" x14ac:dyDescent="0.2">
      <c r="V915" s="180" t="str">
        <f t="shared" si="21"/>
        <v>1w</v>
      </c>
      <c r="W915" s="177">
        <f>_xll.qlCalendarAdvance(Calendar,W914,V915,"f",FALSE)</f>
        <v>45343</v>
      </c>
      <c r="X915" s="181">
        <f>_xll.qlCalendarAdvance(Calendar,W915,NDays&amp;"D")</f>
        <v>45345</v>
      </c>
      <c r="Y915" s="178">
        <v>2.305984460644003E-2</v>
      </c>
      <c r="Z915" s="183">
        <v>2.2255646961957254E-2</v>
      </c>
    </row>
    <row r="916" spans="22:26" x14ac:dyDescent="0.2">
      <c r="V916" s="180" t="str">
        <f t="shared" si="21"/>
        <v>1w</v>
      </c>
      <c r="W916" s="177">
        <f>_xll.qlCalendarAdvance(Calendar,W915,V916,"f",FALSE)</f>
        <v>45350</v>
      </c>
      <c r="X916" s="181">
        <f>_xll.qlCalendarAdvance(Calendar,W916,NDays&amp;"D")</f>
        <v>45352</v>
      </c>
      <c r="Y916" s="178">
        <v>2.3080317245316839E-2</v>
      </c>
      <c r="Z916" s="183">
        <v>2.2277437287954172E-2</v>
      </c>
    </row>
    <row r="917" spans="22:26" x14ac:dyDescent="0.2">
      <c r="V917" s="180" t="str">
        <f t="shared" ref="V917:V980" si="22">V916</f>
        <v>1w</v>
      </c>
      <c r="W917" s="177">
        <f>_xll.qlCalendarAdvance(Calendar,W916,V917,"f",FALSE)</f>
        <v>45357</v>
      </c>
      <c r="X917" s="181">
        <f>_xll.qlCalendarAdvance(Calendar,W917,NDays&amp;"D")</f>
        <v>45359</v>
      </c>
      <c r="Y917" s="178">
        <v>2.310069699155707E-2</v>
      </c>
      <c r="Z917" s="183">
        <v>2.2299169026762655E-2</v>
      </c>
    </row>
    <row r="918" spans="22:26" x14ac:dyDescent="0.2">
      <c r="V918" s="180" t="str">
        <f t="shared" si="22"/>
        <v>1w</v>
      </c>
      <c r="W918" s="177">
        <f>_xll.qlCalendarAdvance(Calendar,W917,V918,"f",FALSE)</f>
        <v>45364</v>
      </c>
      <c r="X918" s="181">
        <f>_xll.qlCalendarAdvance(Calendar,W918,NDays&amp;"D")</f>
        <v>45366</v>
      </c>
      <c r="Y918" s="178">
        <v>2.3120981877666431E-2</v>
      </c>
      <c r="Z918" s="183">
        <v>2.2320842178329414E-2</v>
      </c>
    </row>
    <row r="919" spans="22:26" x14ac:dyDescent="0.2">
      <c r="V919" s="180" t="str">
        <f t="shared" si="22"/>
        <v>1w</v>
      </c>
      <c r="W919" s="177">
        <f>_xll.qlCalendarAdvance(Calendar,W918,V919,"f",FALSE)</f>
        <v>45371</v>
      </c>
      <c r="X919" s="181">
        <f>_xll.qlCalendarAdvance(Calendar,W919,NDays&amp;"D")</f>
        <v>45373</v>
      </c>
      <c r="Y919" s="178">
        <v>2.3141169936019085E-2</v>
      </c>
      <c r="Z919" s="183">
        <v>2.2342456742627803E-2</v>
      </c>
    </row>
    <row r="920" spans="22:26" x14ac:dyDescent="0.2">
      <c r="V920" s="180" t="str">
        <f t="shared" si="22"/>
        <v>1w</v>
      </c>
      <c r="W920" s="177">
        <f>_xll.qlCalendarAdvance(Calendar,W919,V920,"f",FALSE)</f>
        <v>45378</v>
      </c>
      <c r="X920" s="181">
        <f>_xll.qlCalendarAdvance(Calendar,W920,NDays&amp;"D")</f>
        <v>45384</v>
      </c>
      <c r="Y920" s="178">
        <v>2.3168479867476877E-2</v>
      </c>
      <c r="Z920" s="183">
        <v>2.2371843154411764E-2</v>
      </c>
    </row>
    <row r="921" spans="22:26" x14ac:dyDescent="0.2">
      <c r="V921" s="180" t="str">
        <f t="shared" si="22"/>
        <v>1w</v>
      </c>
      <c r="W921" s="177">
        <f>_xll.qlCalendarAdvance(Calendar,W920,V921,"f",FALSE)</f>
        <v>45385</v>
      </c>
      <c r="X921" s="181">
        <f>_xll.qlCalendarAdvance(Calendar,W921,NDays&amp;"D")</f>
        <v>45387</v>
      </c>
      <c r="Y921" s="178">
        <v>2.3181247698300711E-2</v>
      </c>
      <c r="Z921" s="183">
        <v>2.2385510109339535E-2</v>
      </c>
    </row>
    <row r="922" spans="22:26" x14ac:dyDescent="0.2">
      <c r="V922" s="180" t="str">
        <f t="shared" si="22"/>
        <v>1w</v>
      </c>
      <c r="W922" s="177">
        <f>_xll.qlCalendarAdvance(Calendar,W921,V922,"f",FALSE)</f>
        <v>45392</v>
      </c>
      <c r="X922" s="181">
        <f>_xll.qlCalendarAdvance(Calendar,W922,NDays&amp;"D")</f>
        <v>45394</v>
      </c>
      <c r="Y922" s="178">
        <v>2.3201133466334591E-2</v>
      </c>
      <c r="Z922" s="183">
        <v>2.2406948911699587E-2</v>
      </c>
    </row>
    <row r="923" spans="22:26" x14ac:dyDescent="0.2">
      <c r="V923" s="180" t="str">
        <f t="shared" si="22"/>
        <v>1w</v>
      </c>
      <c r="W923" s="177">
        <f>_xll.qlCalendarAdvance(Calendar,W922,V923,"f",FALSE)</f>
        <v>45399</v>
      </c>
      <c r="X923" s="181">
        <f>_xll.qlCalendarAdvance(Calendar,W923,NDays&amp;"D")</f>
        <v>45401</v>
      </c>
      <c r="Y923" s="178">
        <v>2.322300087732922E-2</v>
      </c>
      <c r="Z923" s="183">
        <v>2.2428329126658042E-2</v>
      </c>
    </row>
    <row r="924" spans="22:26" x14ac:dyDescent="0.2">
      <c r="V924" s="180" t="str">
        <f t="shared" si="22"/>
        <v>1w</v>
      </c>
      <c r="W924" s="177">
        <f>_xll.qlCalendarAdvance(Calendar,W923,V924,"f",FALSE)</f>
        <v>45406</v>
      </c>
      <c r="X924" s="181">
        <f>_xll.qlCalendarAdvance(Calendar,W924,NDays&amp;"D")</f>
        <v>45408</v>
      </c>
      <c r="Y924" s="178">
        <v>2.32405889355159E-2</v>
      </c>
      <c r="Z924" s="183">
        <v>2.2449650754188255E-2</v>
      </c>
    </row>
    <row r="925" spans="22:26" x14ac:dyDescent="0.2">
      <c r="V925" s="180" t="str">
        <f t="shared" si="22"/>
        <v>1w</v>
      </c>
      <c r="W925" s="177">
        <f>_xll.qlCalendarAdvance(Calendar,W924,V925,"f",FALSE)</f>
        <v>45414</v>
      </c>
      <c r="X925" s="181">
        <f>_xll.qlCalendarAdvance(Calendar,W925,NDays&amp;"D")</f>
        <v>45418</v>
      </c>
      <c r="Y925" s="178">
        <v>2.3264371839543597E-2</v>
      </c>
      <c r="Z925" s="183">
        <v>2.2475575358438249E-2</v>
      </c>
    </row>
    <row r="926" spans="22:26" x14ac:dyDescent="0.2">
      <c r="V926" s="180" t="str">
        <f t="shared" si="22"/>
        <v>1w</v>
      </c>
      <c r="W926" s="177">
        <f>_xll.qlCalendarAdvance(Calendar,W925,V926,"f",FALSE)</f>
        <v>45421</v>
      </c>
      <c r="X926" s="181">
        <f>_xll.qlCalendarAdvance(Calendar,W926,NDays&amp;"D")</f>
        <v>45425</v>
      </c>
      <c r="Y926" s="178">
        <v>2.3283796228398899E-2</v>
      </c>
      <c r="Z926" s="183">
        <v>2.2496760425179119E-2</v>
      </c>
    </row>
    <row r="927" spans="22:26" x14ac:dyDescent="0.2">
      <c r="V927" s="180" t="str">
        <f t="shared" si="22"/>
        <v>1w</v>
      </c>
      <c r="W927" s="177">
        <f>_xll.qlCalendarAdvance(Calendar,W926,V927,"f",FALSE)</f>
        <v>45428</v>
      </c>
      <c r="X927" s="181">
        <f>_xll.qlCalendarAdvance(Calendar,W927,NDays&amp;"D")</f>
        <v>45432</v>
      </c>
      <c r="Y927" s="178">
        <v>2.3303107482523466E-2</v>
      </c>
      <c r="Z927" s="183">
        <v>2.2517886909261264E-2</v>
      </c>
    </row>
    <row r="928" spans="22:26" x14ac:dyDescent="0.2">
      <c r="V928" s="180" t="str">
        <f t="shared" si="22"/>
        <v>1w</v>
      </c>
      <c r="W928" s="177">
        <f>_xll.qlCalendarAdvance(Calendar,W927,V928,"f",FALSE)</f>
        <v>45435</v>
      </c>
      <c r="X928" s="181">
        <f>_xll.qlCalendarAdvance(Calendar,W928,NDays&amp;"D")</f>
        <v>45439</v>
      </c>
      <c r="Y928" s="178">
        <v>2.3322303622694374E-2</v>
      </c>
      <c r="Z928" s="183">
        <v>2.253895481060475E-2</v>
      </c>
    </row>
    <row r="929" spans="22:26" x14ac:dyDescent="0.2">
      <c r="V929" s="180" t="str">
        <f t="shared" si="22"/>
        <v>1w</v>
      </c>
      <c r="W929" s="177">
        <f>_xll.qlCalendarAdvance(Calendar,W928,V929,"f",FALSE)</f>
        <v>45442</v>
      </c>
      <c r="X929" s="181">
        <f>_xll.qlCalendarAdvance(Calendar,W929,NDays&amp;"D")</f>
        <v>45446</v>
      </c>
      <c r="Y929" s="178">
        <v>2.3341382669578546E-2</v>
      </c>
      <c r="Z929" s="183">
        <v>2.2559964129289511E-2</v>
      </c>
    </row>
    <row r="930" spans="22:26" x14ac:dyDescent="0.2">
      <c r="V930" s="180" t="str">
        <f t="shared" si="22"/>
        <v>1w</v>
      </c>
      <c r="W930" s="177">
        <f>_xll.qlCalendarAdvance(Calendar,W929,V930,"f",FALSE)</f>
        <v>45449</v>
      </c>
      <c r="X930" s="181">
        <f>_xll.qlCalendarAdvance(Calendar,W930,NDays&amp;"D")</f>
        <v>45453</v>
      </c>
      <c r="Y930" s="178">
        <v>2.3360342643733833E-2</v>
      </c>
      <c r="Z930" s="183">
        <v>2.2580914865155677E-2</v>
      </c>
    </row>
    <row r="931" spans="22:26" x14ac:dyDescent="0.2">
      <c r="V931" s="180" t="str">
        <f t="shared" si="22"/>
        <v>1w</v>
      </c>
      <c r="W931" s="177">
        <f>_xll.qlCalendarAdvance(Calendar,W930,V931,"f",FALSE)</f>
        <v>45456</v>
      </c>
      <c r="X931" s="181">
        <f>_xll.qlCalendarAdvance(Calendar,W931,NDays&amp;"D")</f>
        <v>45460</v>
      </c>
      <c r="Y931" s="178">
        <v>2.3379181565611442E-2</v>
      </c>
      <c r="Z931" s="183">
        <v>2.2601807018443054E-2</v>
      </c>
    </row>
    <row r="932" spans="22:26" x14ac:dyDescent="0.2">
      <c r="V932" s="180" t="str">
        <f t="shared" si="22"/>
        <v>1w</v>
      </c>
      <c r="W932" s="177">
        <f>_xll.qlCalendarAdvance(Calendar,W931,V932,"f",FALSE)</f>
        <v>45463</v>
      </c>
      <c r="X932" s="181">
        <f>_xll.qlCalendarAdvance(Calendar,W932,NDays&amp;"D")</f>
        <v>45467</v>
      </c>
      <c r="Y932" s="178">
        <v>2.3397897455558325E-2</v>
      </c>
      <c r="Z932" s="183">
        <v>2.2622640588911835E-2</v>
      </c>
    </row>
    <row r="933" spans="22:26" x14ac:dyDescent="0.2">
      <c r="V933" s="180" t="str">
        <f t="shared" si="22"/>
        <v>1w</v>
      </c>
      <c r="W933" s="177">
        <f>_xll.qlCalendarAdvance(Calendar,W932,V933,"f",FALSE)</f>
        <v>45470</v>
      </c>
      <c r="X933" s="181">
        <f>_xll.qlCalendarAdvance(Calendar,W933,NDays&amp;"D")</f>
        <v>45474</v>
      </c>
      <c r="Y933" s="178">
        <v>2.3416488333820037E-2</v>
      </c>
      <c r="Z933" s="183">
        <v>2.2643415576641956E-2</v>
      </c>
    </row>
    <row r="934" spans="22:26" x14ac:dyDescent="0.2">
      <c r="V934" s="180" t="str">
        <f t="shared" si="22"/>
        <v>1w</v>
      </c>
      <c r="W934" s="177">
        <f>_xll.qlCalendarAdvance(Calendar,W933,V934,"f",FALSE)</f>
        <v>45477</v>
      </c>
      <c r="X934" s="181">
        <f>_xll.qlCalendarAdvance(Calendar,W934,NDays&amp;"D")</f>
        <v>45481</v>
      </c>
      <c r="Y934" s="178">
        <v>2.3434952220542715E-2</v>
      </c>
      <c r="Z934" s="183">
        <v>2.2664131981633417E-2</v>
      </c>
    </row>
    <row r="935" spans="22:26" x14ac:dyDescent="0.2">
      <c r="V935" s="180" t="str">
        <f t="shared" si="22"/>
        <v>1w</v>
      </c>
      <c r="W935" s="177">
        <f>_xll.qlCalendarAdvance(Calendar,W934,V935,"f",FALSE)</f>
        <v>45484</v>
      </c>
      <c r="X935" s="181">
        <f>_xll.qlCalendarAdvance(Calendar,W935,NDays&amp;"D")</f>
        <v>45488</v>
      </c>
      <c r="Y935" s="178">
        <v>2.3453287135775026E-2</v>
      </c>
      <c r="Z935" s="183">
        <v>2.2684789803886218E-2</v>
      </c>
    </row>
    <row r="936" spans="22:26" x14ac:dyDescent="0.2">
      <c r="V936" s="180" t="str">
        <f t="shared" si="22"/>
        <v>1w</v>
      </c>
      <c r="W936" s="177">
        <f>_xll.qlCalendarAdvance(Calendar,W935,V936,"f",FALSE)</f>
        <v>45491</v>
      </c>
      <c r="X936" s="181">
        <f>_xll.qlCalendarAdvance(Calendar,W936,NDays&amp;"D")</f>
        <v>45495</v>
      </c>
      <c r="Y936" s="178">
        <v>2.3471491099471695E-2</v>
      </c>
      <c r="Z936" s="183">
        <v>2.2705389043240487E-2</v>
      </c>
    </row>
    <row r="937" spans="22:26" x14ac:dyDescent="0.2">
      <c r="V937" s="180" t="str">
        <f t="shared" si="22"/>
        <v>1w</v>
      </c>
      <c r="W937" s="177">
        <f>_xll.qlCalendarAdvance(Calendar,W936,V937,"f",FALSE)</f>
        <v>45498</v>
      </c>
      <c r="X937" s="181">
        <f>_xll.qlCalendarAdvance(Calendar,W937,NDays&amp;"D")</f>
        <v>45502</v>
      </c>
      <c r="Y937" s="178">
        <v>2.3489562131496118E-2</v>
      </c>
      <c r="Z937" s="183">
        <v>2.2725929699936032E-2</v>
      </c>
    </row>
    <row r="938" spans="22:26" x14ac:dyDescent="0.2">
      <c r="V938" s="180" t="str">
        <f t="shared" si="22"/>
        <v>1w</v>
      </c>
      <c r="W938" s="177">
        <f>_xll.qlCalendarAdvance(Calendar,W937,V938,"f",FALSE)</f>
        <v>45505</v>
      </c>
      <c r="X938" s="181">
        <f>_xll.qlCalendarAdvance(Calendar,W938,NDays&amp;"D")</f>
        <v>45509</v>
      </c>
      <c r="Y938" s="178">
        <v>2.3507498251621465E-2</v>
      </c>
      <c r="Z938" s="183">
        <v>2.274641177381298E-2</v>
      </c>
    </row>
    <row r="939" spans="22:26" x14ac:dyDescent="0.2">
      <c r="V939" s="180" t="str">
        <f t="shared" si="22"/>
        <v>1w</v>
      </c>
      <c r="W939" s="177">
        <f>_xll.qlCalendarAdvance(Calendar,W938,V939,"f",FALSE)</f>
        <v>45512</v>
      </c>
      <c r="X939" s="181">
        <f>_xll.qlCalendarAdvance(Calendar,W939,NDays&amp;"D")</f>
        <v>45516</v>
      </c>
      <c r="Y939" s="178">
        <v>2.3525297479535055E-2</v>
      </c>
      <c r="Z939" s="183">
        <v>2.2766835264871332E-2</v>
      </c>
    </row>
    <row r="940" spans="22:26" x14ac:dyDescent="0.2">
      <c r="V940" s="180" t="str">
        <f t="shared" si="22"/>
        <v>1w</v>
      </c>
      <c r="W940" s="177">
        <f>_xll.qlCalendarAdvance(Calendar,W939,V940,"f",FALSE)</f>
        <v>45519</v>
      </c>
      <c r="X940" s="181">
        <f>_xll.qlCalendarAdvance(Calendar,W940,NDays&amp;"D")</f>
        <v>45523</v>
      </c>
      <c r="Y940" s="178">
        <v>2.3542957834839451E-2</v>
      </c>
      <c r="Z940" s="183">
        <v>2.2787200173111088E-2</v>
      </c>
    </row>
    <row r="941" spans="22:26" x14ac:dyDescent="0.2">
      <c r="V941" s="180" t="str">
        <f t="shared" si="22"/>
        <v>1w</v>
      </c>
      <c r="W941" s="177">
        <f>_xll.qlCalendarAdvance(Calendar,W940,V941,"f",FALSE)</f>
        <v>45526</v>
      </c>
      <c r="X941" s="181">
        <f>_xll.qlCalendarAdvance(Calendar,W941,NDays&amp;"D")</f>
        <v>45530</v>
      </c>
      <c r="Y941" s="178">
        <v>2.3560477337056844E-2</v>
      </c>
      <c r="Z941" s="183">
        <v>2.2807506498532248E-2</v>
      </c>
    </row>
    <row r="942" spans="22:26" x14ac:dyDescent="0.2">
      <c r="V942" s="180" t="str">
        <f t="shared" si="22"/>
        <v>1w</v>
      </c>
      <c r="W942" s="177">
        <f>_xll.qlCalendarAdvance(Calendar,W941,V942,"f",FALSE)</f>
        <v>45533</v>
      </c>
      <c r="X942" s="181">
        <f>_xll.qlCalendarAdvance(Calendar,W942,NDays&amp;"D")</f>
        <v>45537</v>
      </c>
      <c r="Y942" s="178">
        <v>2.3577854005630148E-2</v>
      </c>
      <c r="Z942" s="183">
        <v>2.2827754241054876E-2</v>
      </c>
    </row>
    <row r="943" spans="22:26" x14ac:dyDescent="0.2">
      <c r="V943" s="180" t="str">
        <f t="shared" si="22"/>
        <v>1w</v>
      </c>
      <c r="W943" s="177">
        <f>_xll.qlCalendarAdvance(Calendar,W942,V943,"f",FALSE)</f>
        <v>45540</v>
      </c>
      <c r="X943" s="181">
        <f>_xll.qlCalendarAdvance(Calendar,W943,NDays&amp;"D")</f>
        <v>45544</v>
      </c>
      <c r="Y943" s="178">
        <v>2.3595085859926937E-2</v>
      </c>
      <c r="Z943" s="183">
        <v>2.2847943400838844E-2</v>
      </c>
    </row>
    <row r="944" spans="22:26" x14ac:dyDescent="0.2">
      <c r="V944" s="180" t="str">
        <f t="shared" si="22"/>
        <v>1w</v>
      </c>
      <c r="W944" s="177">
        <f>_xll.qlCalendarAdvance(Calendar,W943,V944,"f",FALSE)</f>
        <v>45547</v>
      </c>
      <c r="X944" s="181">
        <f>_xll.qlCalendarAdvance(Calendar,W944,NDays&amp;"D")</f>
        <v>45551</v>
      </c>
      <c r="Y944" s="178">
        <v>2.3612170919241858E-2</v>
      </c>
      <c r="Z944" s="183">
        <v>2.2868073977724279E-2</v>
      </c>
    </row>
    <row r="945" spans="22:26" x14ac:dyDescent="0.2">
      <c r="V945" s="180" t="str">
        <f t="shared" si="22"/>
        <v>1w</v>
      </c>
      <c r="W945" s="177">
        <f>_xll.qlCalendarAdvance(Calendar,W944,V945,"f",FALSE)</f>
        <v>45554</v>
      </c>
      <c r="X945" s="181">
        <f>_xll.qlCalendarAdvance(Calendar,W945,NDays&amp;"D")</f>
        <v>45558</v>
      </c>
      <c r="Y945" s="178">
        <v>2.3629107202799472E-2</v>
      </c>
      <c r="Z945" s="183">
        <v>2.2888145971791118E-2</v>
      </c>
    </row>
    <row r="946" spans="22:26" x14ac:dyDescent="0.2">
      <c r="V946" s="180" t="str">
        <f t="shared" si="22"/>
        <v>1w</v>
      </c>
      <c r="W946" s="177">
        <f>_xll.qlCalendarAdvance(Calendar,W945,V946,"f",FALSE)</f>
        <v>45561</v>
      </c>
      <c r="X946" s="181">
        <f>_xll.qlCalendarAdvance(Calendar,W946,NDays&amp;"D")</f>
        <v>45565</v>
      </c>
      <c r="Y946" s="178">
        <v>2.3645892729756243E-2</v>
      </c>
      <c r="Z946" s="183">
        <v>2.2908159382879489E-2</v>
      </c>
    </row>
    <row r="947" spans="22:26" x14ac:dyDescent="0.2">
      <c r="V947" s="180" t="str">
        <f t="shared" si="22"/>
        <v>1w</v>
      </c>
      <c r="W947" s="177">
        <f>_xll.qlCalendarAdvance(Calendar,W946,V947,"f",FALSE)</f>
        <v>45568</v>
      </c>
      <c r="X947" s="181">
        <f>_xll.qlCalendarAdvance(Calendar,W947,NDays&amp;"D")</f>
        <v>45572</v>
      </c>
      <c r="Y947" s="178">
        <v>2.3662525519205987E-2</v>
      </c>
      <c r="Z947" s="183">
        <v>2.2928114211149264E-2</v>
      </c>
    </row>
    <row r="948" spans="22:26" x14ac:dyDescent="0.2">
      <c r="V948" s="180" t="str">
        <f t="shared" si="22"/>
        <v>1w</v>
      </c>
      <c r="W948" s="177">
        <f>_xll.qlCalendarAdvance(Calendar,W947,V948,"f",FALSE)</f>
        <v>45575</v>
      </c>
      <c r="X948" s="181">
        <f>_xll.qlCalendarAdvance(Calendar,W948,NDays&amp;"D")</f>
        <v>45579</v>
      </c>
      <c r="Y948" s="178">
        <v>2.367900359018011E-2</v>
      </c>
      <c r="Z948" s="183">
        <v>2.2948010456520507E-2</v>
      </c>
    </row>
    <row r="949" spans="22:26" x14ac:dyDescent="0.2">
      <c r="V949" s="180" t="str">
        <f t="shared" si="22"/>
        <v>1w</v>
      </c>
      <c r="W949" s="177">
        <f>_xll.qlCalendarAdvance(Calendar,W948,V949,"f",FALSE)</f>
        <v>45582</v>
      </c>
      <c r="X949" s="181">
        <f>_xll.qlCalendarAdvance(Calendar,W949,NDays&amp;"D")</f>
        <v>45586</v>
      </c>
      <c r="Y949" s="178">
        <v>2.3695324961651765E-2</v>
      </c>
      <c r="Z949" s="183">
        <v>2.2967848118993217E-2</v>
      </c>
    </row>
    <row r="950" spans="22:26" x14ac:dyDescent="0.2">
      <c r="V950" s="180" t="str">
        <f t="shared" si="22"/>
        <v>1w</v>
      </c>
      <c r="W950" s="177">
        <f>_xll.qlCalendarAdvance(Calendar,W949,V950,"f",FALSE)</f>
        <v>45589</v>
      </c>
      <c r="X950" s="181">
        <f>_xll.qlCalendarAdvance(Calendar,W950,NDays&amp;"D")</f>
        <v>45593</v>
      </c>
      <c r="Y950" s="178">
        <v>2.3711487652539567E-2</v>
      </c>
      <c r="Z950" s="183">
        <v>2.2987627198487459E-2</v>
      </c>
    </row>
    <row r="951" spans="22:26" x14ac:dyDescent="0.2">
      <c r="V951" s="180" t="str">
        <f t="shared" si="22"/>
        <v>1w</v>
      </c>
      <c r="W951" s="177">
        <f>_xll.qlCalendarAdvance(Calendar,W950,V951,"f",FALSE)</f>
        <v>45596</v>
      </c>
      <c r="X951" s="181">
        <f>_xll.qlCalendarAdvance(Calendar,W951,NDays&amp;"D")</f>
        <v>45600</v>
      </c>
      <c r="Y951" s="178">
        <v>2.3727489681708923E-2</v>
      </c>
      <c r="Z951" s="183">
        <v>2.3007347353276586E-2</v>
      </c>
    </row>
    <row r="952" spans="22:26" x14ac:dyDescent="0.2">
      <c r="V952" s="180" t="str">
        <f t="shared" si="22"/>
        <v>1w</v>
      </c>
      <c r="W952" s="177">
        <f>_xll.qlCalendarAdvance(Calendar,W951,V952,"f",FALSE)</f>
        <v>45603</v>
      </c>
      <c r="X952" s="181">
        <f>_xll.qlCalendarAdvance(Calendar,W952,NDays&amp;"D")</f>
        <v>45607</v>
      </c>
      <c r="Y952" s="178">
        <v>2.3743329396900565E-2</v>
      </c>
      <c r="Z952" s="183">
        <v>2.3026951842188836E-2</v>
      </c>
    </row>
    <row r="953" spans="22:26" x14ac:dyDescent="0.2">
      <c r="V953" s="180" t="str">
        <f t="shared" si="22"/>
        <v>1w</v>
      </c>
      <c r="W953" s="177">
        <f>_xll.qlCalendarAdvance(Calendar,W952,V953,"f",FALSE)</f>
        <v>45610</v>
      </c>
      <c r="X953" s="181">
        <f>_xll.qlCalendarAdvance(Calendar,W953,NDays&amp;"D")</f>
        <v>45614</v>
      </c>
      <c r="Y953" s="178">
        <v>2.3759006461541429E-2</v>
      </c>
      <c r="Z953" s="183">
        <v>2.3046397254828932E-2</v>
      </c>
    </row>
    <row r="954" spans="22:26" x14ac:dyDescent="0.2">
      <c r="V954" s="180" t="str">
        <f t="shared" si="22"/>
        <v>1w</v>
      </c>
      <c r="W954" s="177">
        <f>_xll.qlCalendarAdvance(Calendar,W953,V954,"f",FALSE)</f>
        <v>45617</v>
      </c>
      <c r="X954" s="181">
        <f>_xll.qlCalendarAdvance(Calendar,W954,NDays&amp;"D")</f>
        <v>45621</v>
      </c>
      <c r="Y954" s="178">
        <v>2.3774520868050503E-2</v>
      </c>
      <c r="Z954" s="183">
        <v>2.3065683591116937E-2</v>
      </c>
    </row>
    <row r="955" spans="22:26" x14ac:dyDescent="0.2">
      <c r="V955" s="180" t="str">
        <f t="shared" si="22"/>
        <v>1w</v>
      </c>
      <c r="W955" s="177">
        <f>_xll.qlCalendarAdvance(Calendar,W954,V955,"f",FALSE)</f>
        <v>45624</v>
      </c>
      <c r="X955" s="181">
        <f>_xll.qlCalendarAdvance(Calendar,W955,NDays&amp;"D")</f>
        <v>45628</v>
      </c>
      <c r="Y955" s="178">
        <v>2.3789872608925195E-2</v>
      </c>
      <c r="Z955" s="183">
        <v>2.3084810851212723E-2</v>
      </c>
    </row>
    <row r="956" spans="22:26" x14ac:dyDescent="0.2">
      <c r="V956" s="180" t="str">
        <f t="shared" si="22"/>
        <v>1w</v>
      </c>
      <c r="W956" s="177">
        <f>_xll.qlCalendarAdvance(Calendar,W955,V956,"f",FALSE)</f>
        <v>45631</v>
      </c>
      <c r="X956" s="181">
        <f>_xll.qlCalendarAdvance(Calendar,W956,NDays&amp;"D")</f>
        <v>45635</v>
      </c>
      <c r="Y956" s="178">
        <v>2.3805061676741516E-2</v>
      </c>
      <c r="Z956" s="183">
        <v>2.3103779034796545E-2</v>
      </c>
    </row>
    <row r="957" spans="22:26" x14ac:dyDescent="0.2">
      <c r="V957" s="180" t="str">
        <f t="shared" si="22"/>
        <v>1w</v>
      </c>
      <c r="W957" s="177">
        <f>_xll.qlCalendarAdvance(Calendar,W956,V957,"f",FALSE)</f>
        <v>45638</v>
      </c>
      <c r="X957" s="181">
        <f>_xll.qlCalendarAdvance(Calendar,W957,NDays&amp;"D")</f>
        <v>45642</v>
      </c>
      <c r="Y957" s="178">
        <v>2.3820088064153679E-2</v>
      </c>
      <c r="Z957" s="183">
        <v>2.3122588142028278E-2</v>
      </c>
    </row>
    <row r="958" spans="22:26" x14ac:dyDescent="0.2">
      <c r="V958" s="180" t="str">
        <f t="shared" si="22"/>
        <v>1w</v>
      </c>
      <c r="W958" s="177">
        <f>_xll.qlCalendarAdvance(Calendar,W957,V958,"f",FALSE)</f>
        <v>45645</v>
      </c>
      <c r="X958" s="181">
        <f>_xll.qlCalendarAdvance(Calendar,W958,NDays&amp;"D")</f>
        <v>45649</v>
      </c>
      <c r="Y958" s="178">
        <v>2.3834951763894725E-2</v>
      </c>
      <c r="Z958" s="183">
        <v>2.3141238172748047E-2</v>
      </c>
    </row>
    <row r="959" spans="22:26" x14ac:dyDescent="0.2">
      <c r="V959" s="180" t="str">
        <f t="shared" si="22"/>
        <v>1w</v>
      </c>
      <c r="W959" s="177">
        <f>_xll.qlCalendarAdvance(Calendar,W958,V959,"f",FALSE)</f>
        <v>45653</v>
      </c>
      <c r="X959" s="181">
        <f>_xll.qlCalendarAdvance(Calendar,W959,NDays&amp;"D")</f>
        <v>45657</v>
      </c>
      <c r="Y959" s="178">
        <v>2.3851739630702987E-2</v>
      </c>
      <c r="Z959" s="183">
        <v>2.3164415588654563E-2</v>
      </c>
    </row>
    <row r="960" spans="22:26" x14ac:dyDescent="0.2">
      <c r="V960" s="180" t="str">
        <f t="shared" si="22"/>
        <v>1w</v>
      </c>
      <c r="W960" s="177">
        <f>_xll.qlCalendarAdvance(Calendar,W959,V960,"f",FALSE)</f>
        <v>45660</v>
      </c>
      <c r="X960" s="181">
        <f>_xll.qlCalendarAdvance(Calendar,W960,NDays&amp;"D")</f>
        <v>45664</v>
      </c>
      <c r="Y960" s="178">
        <v>2.3866254689901844E-2</v>
      </c>
      <c r="Z960" s="183">
        <v>2.3180666858904075E-2</v>
      </c>
    </row>
    <row r="961" spans="22:26" x14ac:dyDescent="0.2">
      <c r="V961" s="180" t="str">
        <f t="shared" si="22"/>
        <v>1w</v>
      </c>
      <c r="W961" s="177">
        <f>_xll.qlCalendarAdvance(Calendar,W960,V961,"f",FALSE)</f>
        <v>45667</v>
      </c>
      <c r="X961" s="181">
        <f>_xll.qlCalendarAdvance(Calendar,W961,NDays&amp;"D")</f>
        <v>45671</v>
      </c>
      <c r="Y961" s="178">
        <v>2.3880607039102896E-2</v>
      </c>
      <c r="Z961" s="183">
        <v>2.3198816935066091E-2</v>
      </c>
    </row>
    <row r="962" spans="22:26" x14ac:dyDescent="0.2">
      <c r="V962" s="180" t="str">
        <f t="shared" si="22"/>
        <v>1w</v>
      </c>
      <c r="W962" s="177">
        <f>_xll.qlCalendarAdvance(Calendar,W961,V962,"f",FALSE)</f>
        <v>45674</v>
      </c>
      <c r="X962" s="181">
        <f>_xll.qlCalendarAdvance(Calendar,W962,NDays&amp;"D")</f>
        <v>45678</v>
      </c>
      <c r="Y962" s="178">
        <v>2.3894796671364849E-2</v>
      </c>
      <c r="Z962" s="183">
        <v>2.3216807934716144E-2</v>
      </c>
    </row>
    <row r="963" spans="22:26" x14ac:dyDescent="0.2">
      <c r="V963" s="180" t="str">
        <f t="shared" si="22"/>
        <v>1w</v>
      </c>
      <c r="W963" s="177">
        <f>_xll.qlCalendarAdvance(Calendar,W962,V963,"f",FALSE)</f>
        <v>45681</v>
      </c>
      <c r="X963" s="181">
        <f>_xll.qlCalendarAdvance(Calendar,W963,NDays&amp;"D")</f>
        <v>45685</v>
      </c>
      <c r="Y963" s="178">
        <v>2.3908823579825243E-2</v>
      </c>
      <c r="Z963" s="183">
        <v>2.3234639857854233E-2</v>
      </c>
    </row>
    <row r="964" spans="22:26" x14ac:dyDescent="0.2">
      <c r="V964" s="180" t="str">
        <f t="shared" si="22"/>
        <v>1w</v>
      </c>
      <c r="W964" s="177">
        <f>_xll.qlCalendarAdvance(Calendar,W963,V964,"f",FALSE)</f>
        <v>45688</v>
      </c>
      <c r="X964" s="181">
        <f>_xll.qlCalendarAdvance(Calendar,W964,NDays&amp;"D")</f>
        <v>45692</v>
      </c>
      <c r="Y964" s="178">
        <v>2.3922687757699811E-2</v>
      </c>
      <c r="Z964" s="183">
        <v>2.3252312704400424E-2</v>
      </c>
    </row>
    <row r="965" spans="22:26" x14ac:dyDescent="0.2">
      <c r="V965" s="180" t="str">
        <f t="shared" si="22"/>
        <v>1w</v>
      </c>
      <c r="W965" s="177">
        <f>_xll.qlCalendarAdvance(Calendar,W964,V965,"f",FALSE)</f>
        <v>45695</v>
      </c>
      <c r="X965" s="181">
        <f>_xll.qlCalendarAdvance(Calendar,W965,NDays&amp;"D")</f>
        <v>45699</v>
      </c>
      <c r="Y965" s="178">
        <v>2.3936389198283777E-2</v>
      </c>
      <c r="Z965" s="183">
        <v>2.3269826474354716E-2</v>
      </c>
    </row>
    <row r="966" spans="22:26" x14ac:dyDescent="0.2">
      <c r="V966" s="180" t="str">
        <f t="shared" si="22"/>
        <v>1w</v>
      </c>
      <c r="W966" s="177">
        <f>_xll.qlCalendarAdvance(Calendar,W965,V966,"f",FALSE)</f>
        <v>45702</v>
      </c>
      <c r="X966" s="181">
        <f>_xll.qlCalendarAdvance(Calendar,W966,NDays&amp;"D")</f>
        <v>45706</v>
      </c>
      <c r="Y966" s="178">
        <v>2.394992789495011E-2</v>
      </c>
      <c r="Z966" s="183">
        <v>2.3287181167717108E-2</v>
      </c>
    </row>
    <row r="967" spans="22:26" x14ac:dyDescent="0.2">
      <c r="V967" s="180" t="str">
        <f t="shared" si="22"/>
        <v>1w</v>
      </c>
      <c r="W967" s="177">
        <f>_xll.qlCalendarAdvance(Calendar,W966,V967,"f",FALSE)</f>
        <v>45709</v>
      </c>
      <c r="X967" s="181">
        <f>_xll.qlCalendarAdvance(Calendar,W967,NDays&amp;"D")</f>
        <v>45713</v>
      </c>
      <c r="Y967" s="178">
        <v>2.3963303841151067E-2</v>
      </c>
      <c r="Z967" s="183">
        <v>2.3304376784407665E-2</v>
      </c>
    </row>
    <row r="968" spans="22:26" x14ac:dyDescent="0.2">
      <c r="V968" s="180" t="str">
        <f t="shared" si="22"/>
        <v>1w</v>
      </c>
      <c r="W968" s="177">
        <f>_xll.qlCalendarAdvance(Calendar,W967,V968,"f",FALSE)</f>
        <v>45716</v>
      </c>
      <c r="X968" s="181">
        <f>_xll.qlCalendarAdvance(Calendar,W968,NDays&amp;"D")</f>
        <v>45720</v>
      </c>
      <c r="Y968" s="178">
        <v>2.3976517030417081E-2</v>
      </c>
      <c r="Z968" s="183">
        <v>2.3321413324506324E-2</v>
      </c>
    </row>
    <row r="969" spans="22:26" x14ac:dyDescent="0.2">
      <c r="V969" s="180" t="str">
        <f t="shared" si="22"/>
        <v>1w</v>
      </c>
      <c r="W969" s="177">
        <f>_xll.qlCalendarAdvance(Calendar,W968,V969,"f",FALSE)</f>
        <v>45723</v>
      </c>
      <c r="X969" s="181">
        <f>_xll.qlCalendarAdvance(Calendar,W969,NDays&amp;"D")</f>
        <v>45727</v>
      </c>
      <c r="Y969" s="178">
        <v>2.3989567456357646E-2</v>
      </c>
      <c r="Z969" s="183">
        <v>2.3338290787933147E-2</v>
      </c>
    </row>
    <row r="970" spans="22:26" x14ac:dyDescent="0.2">
      <c r="V970" s="180" t="str">
        <f t="shared" si="22"/>
        <v>1w</v>
      </c>
      <c r="W970" s="177">
        <f>_xll.qlCalendarAdvance(Calendar,W969,V970,"f",FALSE)</f>
        <v>45730</v>
      </c>
      <c r="X970" s="181">
        <f>_xll.qlCalendarAdvance(Calendar,W970,NDays&amp;"D")</f>
        <v>45734</v>
      </c>
      <c r="Y970" s="178">
        <v>2.4002455112660883E-2</v>
      </c>
      <c r="Z970" s="183">
        <v>2.3355009174608199E-2</v>
      </c>
    </row>
    <row r="971" spans="22:26" x14ac:dyDescent="0.2">
      <c r="V971" s="180" t="str">
        <f t="shared" si="22"/>
        <v>1w</v>
      </c>
      <c r="W971" s="177">
        <f>_xll.qlCalendarAdvance(Calendar,W970,V971,"f",FALSE)</f>
        <v>45737</v>
      </c>
      <c r="X971" s="181">
        <f>_xll.qlCalendarAdvance(Calendar,W971,NDays&amp;"D")</f>
        <v>45741</v>
      </c>
      <c r="Y971" s="178">
        <v>2.4015179993093091E-2</v>
      </c>
      <c r="Z971" s="183">
        <v>2.3371568484611416E-2</v>
      </c>
    </row>
    <row r="972" spans="22:26" x14ac:dyDescent="0.2">
      <c r="V972" s="180" t="str">
        <f t="shared" si="22"/>
        <v>1w</v>
      </c>
      <c r="W972" s="177">
        <f>_xll.qlCalendarAdvance(Calendar,W971,V972,"f",FALSE)</f>
        <v>45744</v>
      </c>
      <c r="X972" s="181">
        <f>_xll.qlCalendarAdvance(Calendar,W972,NDays&amp;"D")</f>
        <v>45748</v>
      </c>
      <c r="Y972" s="178">
        <v>2.4027742091499847E-2</v>
      </c>
      <c r="Z972" s="183">
        <v>2.3387968717782925E-2</v>
      </c>
    </row>
    <row r="973" spans="22:26" x14ac:dyDescent="0.2">
      <c r="V973" s="180" t="str">
        <f t="shared" si="22"/>
        <v>1w</v>
      </c>
      <c r="W973" s="177">
        <f>_xll.qlCalendarAdvance(Calendar,W972,V973,"f",FALSE)</f>
        <v>45751</v>
      </c>
      <c r="X973" s="181">
        <f>_xll.qlCalendarAdvance(Calendar,W973,NDays&amp;"D")</f>
        <v>45755</v>
      </c>
      <c r="Y973" s="178">
        <v>2.4040141401805142E-2</v>
      </c>
      <c r="Z973" s="183">
        <v>2.3404209874122728E-2</v>
      </c>
    </row>
    <row r="974" spans="22:26" x14ac:dyDescent="0.2">
      <c r="V974" s="180" t="str">
        <f t="shared" si="22"/>
        <v>1w</v>
      </c>
      <c r="W974" s="177">
        <f>_xll.qlCalendarAdvance(Calendar,W973,V974,"f",FALSE)</f>
        <v>45758</v>
      </c>
      <c r="X974" s="181">
        <f>_xll.qlCalendarAdvance(Calendar,W974,NDays&amp;"D")</f>
        <v>45762</v>
      </c>
      <c r="Y974" s="178">
        <v>2.4052377918011798E-2</v>
      </c>
      <c r="Z974" s="183">
        <v>2.3420291953790695E-2</v>
      </c>
    </row>
    <row r="975" spans="22:26" x14ac:dyDescent="0.2">
      <c r="V975" s="180" t="str">
        <f t="shared" si="22"/>
        <v>1w</v>
      </c>
      <c r="W975" s="177">
        <f>_xll.qlCalendarAdvance(Calendar,W974,V975,"f",FALSE)</f>
        <v>45769</v>
      </c>
      <c r="X975" s="181">
        <f>_xll.qlCalendarAdvance(Calendar,W975,NDays&amp;"D")</f>
        <v>45771</v>
      </c>
      <c r="Y975" s="178">
        <v>2.4067871364534907E-2</v>
      </c>
      <c r="Z975" s="183">
        <v>2.3440735167872262E-2</v>
      </c>
    </row>
    <row r="976" spans="22:26" x14ac:dyDescent="0.2">
      <c r="V976" s="180" t="str">
        <f t="shared" si="22"/>
        <v>1w</v>
      </c>
      <c r="W976" s="177">
        <f>_xll.qlCalendarAdvance(Calendar,W975,V976,"f",FALSE)</f>
        <v>45776</v>
      </c>
      <c r="X976" s="181">
        <f>_xll.qlCalendarAdvance(Calendar,W976,NDays&amp;"D")</f>
        <v>45779</v>
      </c>
      <c r="Y976" s="178">
        <v>2.4084491009763068E-2</v>
      </c>
      <c r="Z976" s="183">
        <v>2.3462443298338798E-2</v>
      </c>
    </row>
    <row r="977" spans="22:26" x14ac:dyDescent="0.2">
      <c r="V977" s="180" t="str">
        <f t="shared" si="22"/>
        <v>1w</v>
      </c>
      <c r="W977" s="177">
        <f>_xll.qlCalendarAdvance(Calendar,W976,V977,"f",FALSE)</f>
        <v>45783</v>
      </c>
      <c r="X977" s="181">
        <f>_xll.qlCalendarAdvance(Calendar,W977,NDays&amp;"D")</f>
        <v>45785</v>
      </c>
      <c r="Y977" s="178">
        <v>2.4091437337907518E-2</v>
      </c>
      <c r="Z977" s="183">
        <v>2.3472013041923034E-2</v>
      </c>
    </row>
    <row r="978" spans="22:26" x14ac:dyDescent="0.2">
      <c r="V978" s="180" t="str">
        <f t="shared" si="22"/>
        <v>1w</v>
      </c>
      <c r="W978" s="177">
        <f>_xll.qlCalendarAdvance(Calendar,W977,V978,"f",FALSE)</f>
        <v>45790</v>
      </c>
      <c r="X978" s="181">
        <f>_xll.qlCalendarAdvance(Calendar,W978,NDays&amp;"D")</f>
        <v>45792</v>
      </c>
      <c r="Y978" s="178">
        <v>2.4102976099059124E-2</v>
      </c>
      <c r="Z978" s="183">
        <v>2.3487413363740828E-2</v>
      </c>
    </row>
    <row r="979" spans="22:26" x14ac:dyDescent="0.2">
      <c r="V979" s="180" t="str">
        <f t="shared" si="22"/>
        <v>1w</v>
      </c>
      <c r="W979" s="177">
        <f>_xll.qlCalendarAdvance(Calendar,W978,V979,"f",FALSE)</f>
        <v>45797</v>
      </c>
      <c r="X979" s="181">
        <f>_xll.qlCalendarAdvance(Calendar,W979,NDays&amp;"D")</f>
        <v>45799</v>
      </c>
      <c r="Y979" s="178">
        <v>2.4114352035719086E-2</v>
      </c>
      <c r="Z979" s="183">
        <v>2.3502654608567042E-2</v>
      </c>
    </row>
    <row r="980" spans="22:26" x14ac:dyDescent="0.2">
      <c r="V980" s="180" t="str">
        <f t="shared" si="22"/>
        <v>1w</v>
      </c>
      <c r="W980" s="177">
        <f>_xll.qlCalendarAdvance(Calendar,W979,V980,"f",FALSE)</f>
        <v>45804</v>
      </c>
      <c r="X980" s="181">
        <f>_xll.qlCalendarAdvance(Calendar,W980,NDays&amp;"D")</f>
        <v>45806</v>
      </c>
      <c r="Y980" s="178">
        <v>2.4125565142385175E-2</v>
      </c>
      <c r="Z980" s="183">
        <v>2.3517736776401676E-2</v>
      </c>
    </row>
    <row r="981" spans="22:26" x14ac:dyDescent="0.2">
      <c r="V981" s="180" t="str">
        <f t="shared" ref="V981:V1044" si="23">V980</f>
        <v>1w</v>
      </c>
      <c r="W981" s="177">
        <f>_xll.qlCalendarAdvance(Calendar,W980,V981,"f",FALSE)</f>
        <v>45811</v>
      </c>
      <c r="X981" s="181">
        <f>_xll.qlCalendarAdvance(Calendar,W981,NDays&amp;"D")</f>
        <v>45813</v>
      </c>
      <c r="Y981" s="178">
        <v>2.4136615413633787E-2</v>
      </c>
      <c r="Z981" s="183">
        <v>2.3532659867404604E-2</v>
      </c>
    </row>
    <row r="982" spans="22:26" x14ac:dyDescent="0.2">
      <c r="V982" s="180" t="str">
        <f t="shared" si="23"/>
        <v>1w</v>
      </c>
      <c r="W982" s="177">
        <f>_xll.qlCalendarAdvance(Calendar,W981,V982,"f",FALSE)</f>
        <v>45818</v>
      </c>
      <c r="X982" s="181">
        <f>_xll.qlCalendarAdvance(Calendar,W982,NDays&amp;"D")</f>
        <v>45820</v>
      </c>
      <c r="Y982" s="178">
        <v>2.4147502844119494E-2</v>
      </c>
      <c r="Z982" s="183">
        <v>2.3547423881415952E-2</v>
      </c>
    </row>
    <row r="983" spans="22:26" x14ac:dyDescent="0.2">
      <c r="V983" s="180" t="str">
        <f t="shared" si="23"/>
        <v>1w</v>
      </c>
      <c r="W983" s="177">
        <f>_xll.qlCalendarAdvance(Calendar,W982,V983,"f",FALSE)</f>
        <v>45825</v>
      </c>
      <c r="X983" s="181">
        <f>_xll.qlCalendarAdvance(Calendar,W983,NDays&amp;"D")</f>
        <v>45827</v>
      </c>
      <c r="Y983" s="178">
        <v>2.4158227428575943E-2</v>
      </c>
      <c r="Z983" s="183">
        <v>2.3562028818435721E-2</v>
      </c>
    </row>
    <row r="984" spans="22:26" x14ac:dyDescent="0.2">
      <c r="V984" s="180" t="str">
        <f t="shared" si="23"/>
        <v>1w</v>
      </c>
      <c r="W984" s="177">
        <f>_xll.qlCalendarAdvance(Calendar,W983,V984,"f",FALSE)</f>
        <v>45832</v>
      </c>
      <c r="X984" s="181">
        <f>_xll.qlCalendarAdvance(Calendar,W984,NDays&amp;"D")</f>
        <v>45834</v>
      </c>
      <c r="Y984" s="178">
        <v>2.4168789161815602E-2</v>
      </c>
      <c r="Z984" s="183">
        <v>2.357647467846391E-2</v>
      </c>
    </row>
    <row r="985" spans="22:26" x14ac:dyDescent="0.2">
      <c r="V985" s="180" t="str">
        <f t="shared" si="23"/>
        <v>1w</v>
      </c>
      <c r="W985" s="177">
        <f>_xll.qlCalendarAdvance(Calendar,W984,V985,"f",FALSE)</f>
        <v>45839</v>
      </c>
      <c r="X985" s="181">
        <f>_xll.qlCalendarAdvance(Calendar,W985,NDays&amp;"D")</f>
        <v>45841</v>
      </c>
      <c r="Y985" s="178">
        <v>2.4179188038729576E-2</v>
      </c>
      <c r="Z985" s="183">
        <v>2.359076146150052E-2</v>
      </c>
    </row>
    <row r="986" spans="22:26" x14ac:dyDescent="0.2">
      <c r="V986" s="180" t="str">
        <f t="shared" si="23"/>
        <v>1w</v>
      </c>
      <c r="W986" s="177">
        <f>_xll.qlCalendarAdvance(Calendar,W985,V986,"f",FALSE)</f>
        <v>45846</v>
      </c>
      <c r="X986" s="181">
        <f>_xll.qlCalendarAdvance(Calendar,W986,NDays&amp;"D")</f>
        <v>45848</v>
      </c>
      <c r="Y986" s="178">
        <v>2.4189424054287371E-2</v>
      </c>
      <c r="Z986" s="183">
        <v>2.3604889167465615E-2</v>
      </c>
    </row>
    <row r="987" spans="22:26" x14ac:dyDescent="0.2">
      <c r="V987" s="180" t="str">
        <f t="shared" si="23"/>
        <v>1w</v>
      </c>
      <c r="W987" s="177">
        <f>_xll.qlCalendarAdvance(Calendar,W986,V987,"f",FALSE)</f>
        <v>45853</v>
      </c>
      <c r="X987" s="181">
        <f>_xll.qlCalendarAdvance(Calendar,W987,NDays&amp;"D")</f>
        <v>45855</v>
      </c>
      <c r="Y987" s="178">
        <v>2.4199497203537763E-2</v>
      </c>
      <c r="Z987" s="183">
        <v>2.3618857796359194E-2</v>
      </c>
    </row>
    <row r="988" spans="22:26" x14ac:dyDescent="0.2">
      <c r="V988" s="180" t="str">
        <f t="shared" si="23"/>
        <v>1w</v>
      </c>
      <c r="W988" s="177">
        <f>_xll.qlCalendarAdvance(Calendar,W987,V988,"f",FALSE)</f>
        <v>45860</v>
      </c>
      <c r="X988" s="181">
        <f>_xll.qlCalendarAdvance(Calendar,W988,NDays&amp;"D")</f>
        <v>45862</v>
      </c>
      <c r="Y988" s="178">
        <v>2.4209407481608162E-2</v>
      </c>
      <c r="Z988" s="183">
        <v>2.3632667348261194E-2</v>
      </c>
    </row>
    <row r="989" spans="22:26" x14ac:dyDescent="0.2">
      <c r="V989" s="180" t="str">
        <f t="shared" si="23"/>
        <v>1w</v>
      </c>
      <c r="W989" s="177">
        <f>_xll.qlCalendarAdvance(Calendar,W988,V989,"f",FALSE)</f>
        <v>45867</v>
      </c>
      <c r="X989" s="181">
        <f>_xll.qlCalendarAdvance(Calendar,W989,NDays&amp;"D")</f>
        <v>45869</v>
      </c>
      <c r="Y989" s="178">
        <v>2.4219154883704373E-2</v>
      </c>
      <c r="Z989" s="183">
        <v>2.3646317823011742E-2</v>
      </c>
    </row>
    <row r="990" spans="22:26" x14ac:dyDescent="0.2">
      <c r="V990" s="180" t="str">
        <f t="shared" si="23"/>
        <v>1w</v>
      </c>
      <c r="W990" s="177">
        <f>_xll.qlCalendarAdvance(Calendar,W989,V990,"f",FALSE)</f>
        <v>45874</v>
      </c>
      <c r="X990" s="181">
        <f>_xll.qlCalendarAdvance(Calendar,W990,NDays&amp;"D")</f>
        <v>45876</v>
      </c>
      <c r="Y990" s="178">
        <v>2.4228739405111704E-2</v>
      </c>
      <c r="Z990" s="183">
        <v>2.3659809220690775E-2</v>
      </c>
    </row>
    <row r="991" spans="22:26" x14ac:dyDescent="0.2">
      <c r="V991" s="180" t="str">
        <f t="shared" si="23"/>
        <v>1w</v>
      </c>
      <c r="W991" s="177">
        <f>_xll.qlCalendarAdvance(Calendar,W990,V991,"f",FALSE)</f>
        <v>45881</v>
      </c>
      <c r="X991" s="181">
        <f>_xll.qlCalendarAdvance(Calendar,W991,NDays&amp;"D")</f>
        <v>45883</v>
      </c>
      <c r="Y991" s="178">
        <v>2.4238161041193203E-2</v>
      </c>
      <c r="Z991" s="183">
        <v>2.3673141541138421E-2</v>
      </c>
    </row>
    <row r="992" spans="22:26" x14ac:dyDescent="0.2">
      <c r="V992" s="180" t="str">
        <f t="shared" si="23"/>
        <v>1w</v>
      </c>
      <c r="W992" s="177">
        <f>_xll.qlCalendarAdvance(Calendar,W991,V992,"f",FALSE)</f>
        <v>45888</v>
      </c>
      <c r="X992" s="181">
        <f>_xll.qlCalendarAdvance(Calendar,W992,NDays&amp;"D")</f>
        <v>45890</v>
      </c>
      <c r="Y992" s="178">
        <v>2.4247419787391422E-2</v>
      </c>
      <c r="Z992" s="183">
        <v>2.3686314784434614E-2</v>
      </c>
    </row>
    <row r="993" spans="22:26" x14ac:dyDescent="0.2">
      <c r="V993" s="180" t="str">
        <f t="shared" si="23"/>
        <v>1w</v>
      </c>
      <c r="W993" s="177">
        <f>_xll.qlCalendarAdvance(Calendar,W992,V993,"f",FALSE)</f>
        <v>45895</v>
      </c>
      <c r="X993" s="181">
        <f>_xll.qlCalendarAdvance(Calendar,W993,NDays&amp;"D")</f>
        <v>45897</v>
      </c>
      <c r="Y993" s="178">
        <v>2.4256515639227753E-2</v>
      </c>
      <c r="Z993" s="183">
        <v>2.3699328950659293E-2</v>
      </c>
    </row>
    <row r="994" spans="22:26" x14ac:dyDescent="0.2">
      <c r="V994" s="180" t="str">
        <f t="shared" si="23"/>
        <v>1w</v>
      </c>
      <c r="W994" s="177">
        <f>_xll.qlCalendarAdvance(Calendar,W993,V994,"f",FALSE)</f>
        <v>45902</v>
      </c>
      <c r="X994" s="181">
        <f>_xll.qlCalendarAdvance(Calendar,W994,NDays&amp;"D")</f>
        <v>45904</v>
      </c>
      <c r="Y994" s="178">
        <v>2.4265448592301769E-2</v>
      </c>
      <c r="Z994" s="183">
        <v>2.371218403973252E-2</v>
      </c>
    </row>
    <row r="995" spans="22:26" x14ac:dyDescent="0.2">
      <c r="V995" s="180" t="str">
        <f t="shared" si="23"/>
        <v>1w</v>
      </c>
      <c r="W995" s="177">
        <f>_xll.qlCalendarAdvance(Calendar,W994,V995,"f",FALSE)</f>
        <v>45909</v>
      </c>
      <c r="X995" s="181">
        <f>_xll.qlCalendarAdvance(Calendar,W995,NDays&amp;"D")</f>
        <v>45911</v>
      </c>
      <c r="Y995" s="178">
        <v>2.4274218642292324E-2</v>
      </c>
      <c r="Z995" s="183">
        <v>2.372488005157436E-2</v>
      </c>
    </row>
    <row r="996" spans="22:26" x14ac:dyDescent="0.2">
      <c r="V996" s="180" t="str">
        <f t="shared" si="23"/>
        <v>1w</v>
      </c>
      <c r="W996" s="177">
        <f>_xll.qlCalendarAdvance(Calendar,W995,V996,"f",FALSE)</f>
        <v>45916</v>
      </c>
      <c r="X996" s="181">
        <f>_xll.qlCalendarAdvance(Calendar,W996,NDays&amp;"D")</f>
        <v>45918</v>
      </c>
      <c r="Y996" s="178">
        <v>2.4282825784956451E-2</v>
      </c>
      <c r="Z996" s="183">
        <v>2.3737416986184812E-2</v>
      </c>
    </row>
    <row r="997" spans="22:26" x14ac:dyDescent="0.2">
      <c r="V997" s="180" t="str">
        <f t="shared" si="23"/>
        <v>1w</v>
      </c>
      <c r="W997" s="177">
        <f>_xll.qlCalendarAdvance(Calendar,W996,V997,"f",FALSE)</f>
        <v>45923</v>
      </c>
      <c r="X997" s="181">
        <f>_xll.qlCalendarAdvance(Calendar,W997,NDays&amp;"D")</f>
        <v>45925</v>
      </c>
      <c r="Y997" s="178">
        <v>2.4291270016131135E-2</v>
      </c>
      <c r="Z997" s="183">
        <v>2.374979484348394E-2</v>
      </c>
    </row>
    <row r="998" spans="22:26" x14ac:dyDescent="0.2">
      <c r="V998" s="180" t="str">
        <f t="shared" si="23"/>
        <v>1w</v>
      </c>
      <c r="W998" s="177">
        <f>_xll.qlCalendarAdvance(Calendar,W997,V998,"f",FALSE)</f>
        <v>45930</v>
      </c>
      <c r="X998" s="181">
        <f>_xll.qlCalendarAdvance(Calendar,W998,NDays&amp;"D")</f>
        <v>45932</v>
      </c>
      <c r="Y998" s="178">
        <v>2.429955133173043E-2</v>
      </c>
      <c r="Z998" s="183">
        <v>2.3762013623631617E-2</v>
      </c>
    </row>
    <row r="999" spans="22:26" x14ac:dyDescent="0.2">
      <c r="V999" s="180" t="str">
        <f t="shared" si="23"/>
        <v>1w</v>
      </c>
      <c r="W999" s="177">
        <f>_xll.qlCalendarAdvance(Calendar,W998,V999,"f",FALSE)</f>
        <v>45937</v>
      </c>
      <c r="X999" s="181">
        <f>_xll.qlCalendarAdvance(Calendar,W999,NDays&amp;"D")</f>
        <v>45939</v>
      </c>
      <c r="Y999" s="178">
        <v>2.4307669727749212E-2</v>
      </c>
      <c r="Z999" s="183">
        <v>2.3774073326547907E-2</v>
      </c>
    </row>
    <row r="1000" spans="22:26" x14ac:dyDescent="0.2">
      <c r="V1000" s="180" t="str">
        <f t="shared" si="23"/>
        <v>1w</v>
      </c>
      <c r="W1000" s="177">
        <f>_xll.qlCalendarAdvance(Calendar,W999,V1000,"f",FALSE)</f>
        <v>45944</v>
      </c>
      <c r="X1000" s="181">
        <f>_xll.qlCalendarAdvance(Calendar,W1000,NDays&amp;"D")</f>
        <v>45946</v>
      </c>
      <c r="Y1000" s="178">
        <v>2.4315625200259448E-2</v>
      </c>
      <c r="Z1000" s="183">
        <v>2.3785973952072936E-2</v>
      </c>
    </row>
    <row r="1001" spans="22:26" x14ac:dyDescent="0.2">
      <c r="V1001" s="180" t="str">
        <f t="shared" si="23"/>
        <v>1w</v>
      </c>
      <c r="W1001" s="177">
        <f>_xll.qlCalendarAdvance(Calendar,W1000,V1001,"f",FALSE)</f>
        <v>45951</v>
      </c>
      <c r="X1001" s="181">
        <f>_xll.qlCalendarAdvance(Calendar,W1001,NDays&amp;"D")</f>
        <v>45953</v>
      </c>
      <c r="Y1001" s="178">
        <v>2.43234177454126E-2</v>
      </c>
      <c r="Z1001" s="183">
        <v>2.3797715500366579E-2</v>
      </c>
    </row>
    <row r="1002" spans="22:26" x14ac:dyDescent="0.2">
      <c r="V1002" s="180" t="str">
        <f t="shared" si="23"/>
        <v>1w</v>
      </c>
      <c r="W1002" s="177">
        <f>_xll.qlCalendarAdvance(Calendar,W1001,V1002,"f",FALSE)</f>
        <v>45958</v>
      </c>
      <c r="X1002" s="181">
        <f>_xll.qlCalendarAdvance(Calendar,W1002,NDays&amp;"D")</f>
        <v>45960</v>
      </c>
      <c r="Y1002" s="178">
        <v>2.433104735943897E-2</v>
      </c>
      <c r="Z1002" s="183">
        <v>2.3809297971348897E-2</v>
      </c>
    </row>
    <row r="1003" spans="22:26" x14ac:dyDescent="0.2">
      <c r="V1003" s="180" t="str">
        <f t="shared" si="23"/>
        <v>1w</v>
      </c>
      <c r="W1003" s="177">
        <f>_xll.qlCalendarAdvance(Calendar,W1002,V1003,"f",FALSE)</f>
        <v>45965</v>
      </c>
      <c r="X1003" s="181">
        <f>_xll.qlCalendarAdvance(Calendar,W1003,NDays&amp;"D")</f>
        <v>45967</v>
      </c>
      <c r="Y1003" s="178">
        <v>2.433851407649228E-2</v>
      </c>
      <c r="Z1003" s="183">
        <v>2.3820721364939956E-2</v>
      </c>
    </row>
    <row r="1004" spans="22:26" x14ac:dyDescent="0.2">
      <c r="V1004" s="180" t="str">
        <f t="shared" si="23"/>
        <v>1w</v>
      </c>
      <c r="W1004" s="177">
        <f>_xll.qlCalendarAdvance(Calendar,W1003,V1004,"f",FALSE)</f>
        <v>45972</v>
      </c>
      <c r="X1004" s="181">
        <f>_xll.qlCalendarAdvance(Calendar,W1004,NDays&amp;"D")</f>
        <v>45974</v>
      </c>
      <c r="Y1004" s="178">
        <v>2.4345819181100518E-2</v>
      </c>
      <c r="Z1004" s="183">
        <v>2.3831985681299628E-2</v>
      </c>
    </row>
    <row r="1005" spans="22:26" x14ac:dyDescent="0.2">
      <c r="V1005" s="180" t="str">
        <f t="shared" si="23"/>
        <v>1w</v>
      </c>
      <c r="W1005" s="177">
        <f>_xll.qlCalendarAdvance(Calendar,W1004,V1005,"f",FALSE)</f>
        <v>45979</v>
      </c>
      <c r="X1005" s="181">
        <f>_xll.qlCalendarAdvance(Calendar,W1005,NDays&amp;"D")</f>
        <v>45981</v>
      </c>
      <c r="Y1005" s="178">
        <v>2.4352965464717109E-2</v>
      </c>
      <c r="Z1005" s="183">
        <v>2.3843090920188104E-2</v>
      </c>
    </row>
    <row r="1006" spans="22:26" x14ac:dyDescent="0.2">
      <c r="V1006" s="180" t="str">
        <f t="shared" si="23"/>
        <v>1w</v>
      </c>
      <c r="W1006" s="177">
        <f>_xll.qlCalendarAdvance(Calendar,W1005,V1006,"f",FALSE)</f>
        <v>45986</v>
      </c>
      <c r="X1006" s="181">
        <f>_xll.qlCalendarAdvance(Calendar,W1006,NDays&amp;"D")</f>
        <v>45988</v>
      </c>
      <c r="Y1006" s="178">
        <v>2.4359955808659156E-2</v>
      </c>
      <c r="Z1006" s="183">
        <v>2.3854037081765256E-2</v>
      </c>
    </row>
    <row r="1007" spans="22:26" x14ac:dyDescent="0.2">
      <c r="V1007" s="180" t="str">
        <f t="shared" si="23"/>
        <v>1w</v>
      </c>
      <c r="W1007" s="177">
        <f>_xll.qlCalendarAdvance(Calendar,W1006,V1007,"f",FALSE)</f>
        <v>45993</v>
      </c>
      <c r="X1007" s="181">
        <f>_xll.qlCalendarAdvance(Calendar,W1007,NDays&amp;"D")</f>
        <v>45995</v>
      </c>
      <c r="Y1007" s="178">
        <v>2.4366793094395971E-2</v>
      </c>
      <c r="Z1007" s="183">
        <v>2.3864824165951148E-2</v>
      </c>
    </row>
    <row r="1008" spans="22:26" x14ac:dyDescent="0.2">
      <c r="V1008" s="180" t="str">
        <f t="shared" si="23"/>
        <v>1w</v>
      </c>
      <c r="W1008" s="177">
        <f>_xll.qlCalendarAdvance(Calendar,W1007,V1008,"f",FALSE)</f>
        <v>46000</v>
      </c>
      <c r="X1008" s="181">
        <f>_xll.qlCalendarAdvance(Calendar,W1008,NDays&amp;"D")</f>
        <v>46002</v>
      </c>
      <c r="Y1008" s="178">
        <v>2.4373480203546443E-2</v>
      </c>
      <c r="Z1008" s="183">
        <v>2.3875452172745781E-2</v>
      </c>
    </row>
    <row r="1009" spans="22:26" x14ac:dyDescent="0.2">
      <c r="V1009" s="180" t="str">
        <f t="shared" si="23"/>
        <v>1w</v>
      </c>
      <c r="W1009" s="177">
        <f>_xll.qlCalendarAdvance(Calendar,W1008,V1009,"f",FALSE)</f>
        <v>46007</v>
      </c>
      <c r="X1009" s="181">
        <f>_xll.qlCalendarAdvance(Calendar,W1009,NDays&amp;"D")</f>
        <v>46009</v>
      </c>
      <c r="Y1009" s="178">
        <v>2.4380020017872466E-2</v>
      </c>
      <c r="Z1009" s="183">
        <v>2.3885921102149155E-2</v>
      </c>
    </row>
    <row r="1010" spans="22:26" x14ac:dyDescent="0.2">
      <c r="V1010" s="180" t="str">
        <f t="shared" si="23"/>
        <v>1w</v>
      </c>
      <c r="W1010" s="177">
        <f>_xll.qlCalendarAdvance(Calendar,W1009,V1010,"f",FALSE)</f>
        <v>46014</v>
      </c>
      <c r="X1010" s="181">
        <f>_xll.qlCalendarAdvance(Calendar,W1010,NDays&amp;"D")</f>
        <v>46020</v>
      </c>
      <c r="Y1010" s="178">
        <v>2.4390006205026817E-2</v>
      </c>
      <c r="Z1010" s="183">
        <v>2.3902050875426184E-2</v>
      </c>
    </row>
    <row r="1011" spans="22:26" x14ac:dyDescent="0.2">
      <c r="V1011" s="180" t="str">
        <f t="shared" si="23"/>
        <v>1w</v>
      </c>
      <c r="W1011" s="177">
        <f>_xll.qlCalendarAdvance(Calendar,W1010,V1011,"f",FALSE)</f>
        <v>46021</v>
      </c>
      <c r="X1011" s="181">
        <f>_xll.qlCalendarAdvance(Calendar,W1011,NDays&amp;"D")</f>
        <v>46024</v>
      </c>
      <c r="Y1011" s="178">
        <v>2.4395881291481979E-2</v>
      </c>
      <c r="Z1011" s="183">
        <v>2.391083960759488E-2</v>
      </c>
    </row>
    <row r="1012" spans="22:26" x14ac:dyDescent="0.2">
      <c r="V1012" s="180" t="str">
        <f t="shared" si="23"/>
        <v>1w</v>
      </c>
      <c r="W1012" s="177">
        <f>_xll.qlCalendarAdvance(Calendar,W1011,V1012,"f",FALSE)</f>
        <v>46028</v>
      </c>
      <c r="X1012" s="181">
        <f>_xll.qlCalendarAdvance(Calendar,W1012,NDays&amp;"D")</f>
        <v>46030</v>
      </c>
      <c r="Y1012" s="178">
        <v>2.4398784511602923E-2</v>
      </c>
      <c r="Z1012" s="183">
        <v>2.39163734255321E-2</v>
      </c>
    </row>
    <row r="1013" spans="22:26" x14ac:dyDescent="0.2">
      <c r="V1013" s="180" t="str">
        <f t="shared" si="23"/>
        <v>1w</v>
      </c>
      <c r="W1013" s="177">
        <f>_xll.qlCalendarAdvance(Calendar,W1012,V1013,"f",FALSE)</f>
        <v>46035</v>
      </c>
      <c r="X1013" s="181">
        <f>_xll.qlCalendarAdvance(Calendar,W1013,NDays&amp;"D")</f>
        <v>46037</v>
      </c>
      <c r="Y1013" s="178">
        <v>2.4404763966992708E-2</v>
      </c>
      <c r="Z1013" s="183">
        <v>2.3926206045130627E-2</v>
      </c>
    </row>
    <row r="1014" spans="22:26" x14ac:dyDescent="0.2">
      <c r="V1014" s="180" t="str">
        <f t="shared" si="23"/>
        <v>1w</v>
      </c>
      <c r="W1014" s="177">
        <f>_xll.qlCalendarAdvance(Calendar,W1013,V1014,"f",FALSE)</f>
        <v>46042</v>
      </c>
      <c r="X1014" s="181">
        <f>_xll.qlCalendarAdvance(Calendar,W1014,NDays&amp;"D")</f>
        <v>46044</v>
      </c>
      <c r="Y1014" s="178">
        <v>2.4410610538386959E-2</v>
      </c>
      <c r="Z1014" s="183">
        <v>2.3935879587257958E-2</v>
      </c>
    </row>
    <row r="1015" spans="22:26" x14ac:dyDescent="0.2">
      <c r="V1015" s="180" t="str">
        <f t="shared" si="23"/>
        <v>1w</v>
      </c>
      <c r="W1015" s="177">
        <f>_xll.qlCalendarAdvance(Calendar,W1014,V1015,"f",FALSE)</f>
        <v>46049</v>
      </c>
      <c r="X1015" s="181">
        <f>_xll.qlCalendarAdvance(Calendar,W1015,NDays&amp;"D")</f>
        <v>46051</v>
      </c>
      <c r="Y1015" s="178">
        <v>2.4416327108326787E-2</v>
      </c>
      <c r="Z1015" s="183">
        <v>2.3945394051834157E-2</v>
      </c>
    </row>
    <row r="1016" spans="22:26" x14ac:dyDescent="0.2">
      <c r="V1016" s="180" t="str">
        <f t="shared" si="23"/>
        <v>1w</v>
      </c>
      <c r="W1016" s="177">
        <f>_xll.qlCalendarAdvance(Calendar,W1015,V1016,"f",FALSE)</f>
        <v>46056</v>
      </c>
      <c r="X1016" s="181">
        <f>_xll.qlCalendarAdvance(Calendar,W1016,NDays&amp;"D")</f>
        <v>46058</v>
      </c>
      <c r="Y1016" s="178">
        <v>2.4421916559469813E-2</v>
      </c>
      <c r="Z1016" s="183">
        <v>2.3954749438859224E-2</v>
      </c>
    </row>
    <row r="1017" spans="22:26" x14ac:dyDescent="0.2">
      <c r="V1017" s="180" t="str">
        <f t="shared" si="23"/>
        <v>1w</v>
      </c>
      <c r="W1017" s="177">
        <f>_xll.qlCalendarAdvance(Calendar,W1016,V1017,"f",FALSE)</f>
        <v>46063</v>
      </c>
      <c r="X1017" s="181">
        <f>_xll.qlCalendarAdvance(Calendar,W1017,NDays&amp;"D")</f>
        <v>46065</v>
      </c>
      <c r="Y1017" s="178">
        <v>2.4427381774585564E-2</v>
      </c>
      <c r="Z1017" s="183">
        <v>2.3963945748413096E-2</v>
      </c>
    </row>
    <row r="1018" spans="22:26" x14ac:dyDescent="0.2">
      <c r="V1018" s="180" t="str">
        <f t="shared" si="23"/>
        <v>1w</v>
      </c>
      <c r="W1018" s="177">
        <f>_xll.qlCalendarAdvance(Calendar,W1017,V1018,"f",FALSE)</f>
        <v>46070</v>
      </c>
      <c r="X1018" s="181">
        <f>_xll.qlCalendarAdvance(Calendar,W1018,NDays&amp;"D")</f>
        <v>46072</v>
      </c>
      <c r="Y1018" s="178">
        <v>2.4432725636552851E-2</v>
      </c>
      <c r="Z1018" s="183">
        <v>2.3972982980495772E-2</v>
      </c>
    </row>
    <row r="1019" spans="22:26" x14ac:dyDescent="0.2">
      <c r="V1019" s="180" t="str">
        <f t="shared" si="23"/>
        <v>1w</v>
      </c>
      <c r="W1019" s="177">
        <f>_xll.qlCalendarAdvance(Calendar,W1018,V1019,"f",FALSE)</f>
        <v>46077</v>
      </c>
      <c r="X1019" s="181">
        <f>_xll.qlCalendarAdvance(Calendar,W1019,NDays&amp;"D")</f>
        <v>46079</v>
      </c>
      <c r="Y1019" s="178">
        <v>2.4437951028356272E-2</v>
      </c>
      <c r="Z1019" s="183">
        <v>2.398186113494738E-2</v>
      </c>
    </row>
    <row r="1020" spans="22:26" x14ac:dyDescent="0.2">
      <c r="V1020" s="180" t="str">
        <f t="shared" si="23"/>
        <v>1w</v>
      </c>
      <c r="W1020" s="177">
        <f>_xll.qlCalendarAdvance(Calendar,W1019,V1020,"f",FALSE)</f>
        <v>46084</v>
      </c>
      <c r="X1020" s="181">
        <f>_xll.qlCalendarAdvance(Calendar,W1020,NDays&amp;"D")</f>
        <v>46086</v>
      </c>
      <c r="Y1020" s="178">
        <v>2.4443060833081589E-2</v>
      </c>
      <c r="Z1020" s="183">
        <v>2.3990580211927792E-2</v>
      </c>
    </row>
    <row r="1021" spans="22:26" x14ac:dyDescent="0.2">
      <c r="V1021" s="180" t="str">
        <f t="shared" si="23"/>
        <v>1w</v>
      </c>
      <c r="W1021" s="177">
        <f>_xll.qlCalendarAdvance(Calendar,W1020,V1021,"f",FALSE)</f>
        <v>46091</v>
      </c>
      <c r="X1021" s="181">
        <f>_xll.qlCalendarAdvance(Calendar,W1021,NDays&amp;"D")</f>
        <v>46093</v>
      </c>
      <c r="Y1021" s="178">
        <v>2.4448057933913567E-2</v>
      </c>
      <c r="Z1021" s="183">
        <v>2.3999140211277137E-2</v>
      </c>
    </row>
    <row r="1022" spans="22:26" x14ac:dyDescent="0.2">
      <c r="V1022" s="180" t="str">
        <f t="shared" si="23"/>
        <v>1w</v>
      </c>
      <c r="W1022" s="177">
        <f>_xll.qlCalendarAdvance(Calendar,W1021,V1022,"f",FALSE)</f>
        <v>46098</v>
      </c>
      <c r="X1022" s="181">
        <f>_xll.qlCalendarAdvance(Calendar,W1022,NDays&amp;"D")</f>
        <v>46100</v>
      </c>
      <c r="Y1022" s="178">
        <v>2.4452945214132663E-2</v>
      </c>
      <c r="Z1022" s="183">
        <v>2.400754113307535E-2</v>
      </c>
    </row>
    <row r="1023" spans="22:26" x14ac:dyDescent="0.2">
      <c r="V1023" s="180" t="str">
        <f t="shared" si="23"/>
        <v>1w</v>
      </c>
      <c r="W1023" s="177">
        <f>_xll.qlCalendarAdvance(Calendar,W1022,V1023,"f",FALSE)</f>
        <v>46105</v>
      </c>
      <c r="X1023" s="181">
        <f>_xll.qlCalendarAdvance(Calendar,W1023,NDays&amp;"D")</f>
        <v>46107</v>
      </c>
      <c r="Y1023" s="178">
        <v>2.4462092850828707E-2</v>
      </c>
      <c r="Z1023" s="183">
        <v>2.4015782977242495E-2</v>
      </c>
    </row>
    <row r="1024" spans="22:26" x14ac:dyDescent="0.2">
      <c r="V1024" s="180" t="str">
        <f t="shared" si="23"/>
        <v>1w</v>
      </c>
      <c r="W1024" s="177">
        <f>_xll.qlCalendarAdvance(Calendar,W1023,V1024,"f",FALSE)</f>
        <v>46112</v>
      </c>
      <c r="X1024" s="181">
        <f>_xll.qlCalendarAdvance(Calendar,W1024,NDays&amp;"D")</f>
        <v>46114</v>
      </c>
      <c r="Y1024" s="178">
        <v>2.4462401846310922E-2</v>
      </c>
      <c r="Z1024" s="183">
        <v>2.4029349830083646E-2</v>
      </c>
    </row>
    <row r="1025" spans="22:26" x14ac:dyDescent="0.2">
      <c r="V1025" s="180" t="str">
        <f t="shared" si="23"/>
        <v>1w</v>
      </c>
      <c r="W1025" s="177">
        <f>_xll.qlCalendarAdvance(Calendar,W1024,V1025,"f",FALSE)</f>
        <v>46119</v>
      </c>
      <c r="X1025" s="181">
        <f>_xll.qlCalendarAdvance(Calendar,W1025,NDays&amp;"D")</f>
        <v>46121</v>
      </c>
      <c r="Y1025" s="178">
        <v>2.446697696527975E-2</v>
      </c>
      <c r="Z1025" s="183">
        <v>2.4031789432763517E-2</v>
      </c>
    </row>
    <row r="1026" spans="22:26" x14ac:dyDescent="0.2">
      <c r="V1026" s="180" t="str">
        <f t="shared" si="23"/>
        <v>1w</v>
      </c>
      <c r="W1026" s="177">
        <f>_xll.qlCalendarAdvance(Calendar,W1025,V1026,"f",FALSE)</f>
        <v>46126</v>
      </c>
      <c r="X1026" s="181">
        <f>_xll.qlCalendarAdvance(Calendar,W1026,NDays&amp;"D")</f>
        <v>46128</v>
      </c>
      <c r="Y1026" s="178">
        <v>2.4471453797648236E-2</v>
      </c>
      <c r="Z1026" s="183">
        <v>2.4039554044117395E-2</v>
      </c>
    </row>
    <row r="1027" spans="22:26" x14ac:dyDescent="0.2">
      <c r="V1027" s="180" t="str">
        <f t="shared" si="23"/>
        <v>1w</v>
      </c>
      <c r="W1027" s="177">
        <f>_xll.qlCalendarAdvance(Calendar,W1026,V1027,"f",FALSE)</f>
        <v>46133</v>
      </c>
      <c r="X1027" s="181">
        <f>_xll.qlCalendarAdvance(Calendar,W1027,NDays&amp;"D")</f>
        <v>46135</v>
      </c>
      <c r="Y1027" s="178">
        <v>2.4475835227127849E-2</v>
      </c>
      <c r="Z1027" s="183">
        <v>2.4047159577920141E-2</v>
      </c>
    </row>
    <row r="1028" spans="22:26" x14ac:dyDescent="0.2">
      <c r="V1028" s="180" t="str">
        <f t="shared" si="23"/>
        <v>1w</v>
      </c>
      <c r="W1028" s="177">
        <f>_xll.qlCalendarAdvance(Calendar,W1027,V1028,"f",FALSE)</f>
        <v>46140</v>
      </c>
      <c r="X1028" s="181">
        <f>_xll.qlCalendarAdvance(Calendar,W1028,NDays&amp;"D")</f>
        <v>46142</v>
      </c>
      <c r="Y1028" s="178">
        <v>2.448012413750757E-2</v>
      </c>
      <c r="Z1028" s="183">
        <v>2.4058590334121721E-2</v>
      </c>
    </row>
    <row r="1029" spans="22:26" x14ac:dyDescent="0.2">
      <c r="V1029" s="180" t="str">
        <f t="shared" si="23"/>
        <v>1w</v>
      </c>
      <c r="W1029" s="177">
        <f>_xll.qlCalendarAdvance(Calendar,W1028,V1029,"f",FALSE)</f>
        <v>46147</v>
      </c>
      <c r="X1029" s="181">
        <f>_xll.qlCalendarAdvance(Calendar,W1029,NDays&amp;"D")</f>
        <v>46149</v>
      </c>
      <c r="Y1029" s="178">
        <v>2.4484323412651075E-2</v>
      </c>
      <c r="Z1029" s="183">
        <v>2.4061893412392621E-2</v>
      </c>
    </row>
    <row r="1030" spans="22:26" x14ac:dyDescent="0.2">
      <c r="V1030" s="180" t="str">
        <f t="shared" si="23"/>
        <v>1w</v>
      </c>
      <c r="W1030" s="177">
        <f>_xll.qlCalendarAdvance(Calendar,W1029,V1030,"f",FALSE)</f>
        <v>46154</v>
      </c>
      <c r="X1030" s="181">
        <f>_xll.qlCalendarAdvance(Calendar,W1030,NDays&amp;"D")</f>
        <v>46156</v>
      </c>
      <c r="Y1030" s="178">
        <v>2.4488435936494517E-2</v>
      </c>
      <c r="Z1030" s="183">
        <v>2.4069021713142291E-2</v>
      </c>
    </row>
    <row r="1031" spans="22:26" x14ac:dyDescent="0.2">
      <c r="V1031" s="180" t="str">
        <f t="shared" si="23"/>
        <v>1w</v>
      </c>
      <c r="W1031" s="177">
        <f>_xll.qlCalendarAdvance(Calendar,W1030,V1031,"f",FALSE)</f>
        <v>46161</v>
      </c>
      <c r="X1031" s="181">
        <f>_xll.qlCalendarAdvance(Calendar,W1031,NDays&amp;"D")</f>
        <v>46163</v>
      </c>
      <c r="Y1031" s="178">
        <v>2.4492464593043696E-2</v>
      </c>
      <c r="Z1031" s="183">
        <v>2.4075990936260894E-2</v>
      </c>
    </row>
    <row r="1032" spans="22:26" x14ac:dyDescent="0.2">
      <c r="V1032" s="180" t="str">
        <f t="shared" si="23"/>
        <v>1w</v>
      </c>
      <c r="W1032" s="177">
        <f>_xll.qlCalendarAdvance(Calendar,W1031,V1032,"f",FALSE)</f>
        <v>46168</v>
      </c>
      <c r="X1032" s="181">
        <f>_xll.qlCalendarAdvance(Calendar,W1032,NDays&amp;"D")</f>
        <v>46170</v>
      </c>
      <c r="Y1032" s="178">
        <v>2.4496412266372093E-2</v>
      </c>
      <c r="Z1032" s="183">
        <v>2.4082801081668492E-2</v>
      </c>
    </row>
    <row r="1033" spans="22:26" x14ac:dyDescent="0.2">
      <c r="V1033" s="180" t="str">
        <f t="shared" si="23"/>
        <v>1w</v>
      </c>
      <c r="W1033" s="177">
        <f>_xll.qlCalendarAdvance(Calendar,W1032,V1033,"f",FALSE)</f>
        <v>46175</v>
      </c>
      <c r="X1033" s="181">
        <f>_xll.qlCalendarAdvance(Calendar,W1033,NDays&amp;"D")</f>
        <v>46177</v>
      </c>
      <c r="Y1033" s="178">
        <v>2.450028184061756E-2</v>
      </c>
      <c r="Z1033" s="183">
        <v>2.4089452149445023E-2</v>
      </c>
    </row>
    <row r="1034" spans="22:26" x14ac:dyDescent="0.2">
      <c r="V1034" s="180" t="str">
        <f t="shared" si="23"/>
        <v>1w</v>
      </c>
      <c r="W1034" s="177">
        <f>_xll.qlCalendarAdvance(Calendar,W1033,V1034,"f",FALSE)</f>
        <v>46182</v>
      </c>
      <c r="X1034" s="181">
        <f>_xll.qlCalendarAdvance(Calendar,W1034,NDays&amp;"D")</f>
        <v>46184</v>
      </c>
      <c r="Y1034" s="178">
        <v>2.4504076199981253E-2</v>
      </c>
      <c r="Z1034" s="183">
        <v>2.4095944139430614E-2</v>
      </c>
    </row>
    <row r="1035" spans="22:26" x14ac:dyDescent="0.2">
      <c r="V1035" s="180" t="str">
        <f t="shared" si="23"/>
        <v>1w</v>
      </c>
      <c r="W1035" s="177">
        <f>_xll.qlCalendarAdvance(Calendar,W1034,V1035,"f",FALSE)</f>
        <v>46189</v>
      </c>
      <c r="X1035" s="181">
        <f>_xll.qlCalendarAdvance(Calendar,W1035,NDays&amp;"D")</f>
        <v>46191</v>
      </c>
      <c r="Y1035" s="178">
        <v>2.4507798228725206E-2</v>
      </c>
      <c r="Z1035" s="183">
        <v>2.4102277051785137E-2</v>
      </c>
    </row>
    <row r="1036" spans="22:26" x14ac:dyDescent="0.2">
      <c r="V1036" s="180" t="str">
        <f t="shared" si="23"/>
        <v>1w</v>
      </c>
      <c r="W1036" s="177">
        <f>_xll.qlCalendarAdvance(Calendar,W1035,V1036,"f",FALSE)</f>
        <v>46196</v>
      </c>
      <c r="X1036" s="181">
        <f>_xll.qlCalendarAdvance(Calendar,W1036,NDays&amp;"D")</f>
        <v>46198</v>
      </c>
      <c r="Y1036" s="178">
        <v>2.4511450811168834E-2</v>
      </c>
      <c r="Z1036" s="183">
        <v>2.410845088634872E-2</v>
      </c>
    </row>
    <row r="1037" spans="22:26" x14ac:dyDescent="0.2">
      <c r="V1037" s="180" t="str">
        <f t="shared" si="23"/>
        <v>1w</v>
      </c>
      <c r="W1037" s="177">
        <f>_xll.qlCalendarAdvance(Calendar,W1036,V1037,"f",FALSE)</f>
        <v>46203</v>
      </c>
      <c r="X1037" s="181">
        <f>_xll.qlCalendarAdvance(Calendar,W1037,NDays&amp;"D")</f>
        <v>46205</v>
      </c>
      <c r="Y1037" s="178">
        <v>2.4515036831688486E-2</v>
      </c>
      <c r="Z1037" s="183">
        <v>2.4114465643281235E-2</v>
      </c>
    </row>
    <row r="1038" spans="22:26" x14ac:dyDescent="0.2">
      <c r="V1038" s="180" t="str">
        <f t="shared" si="23"/>
        <v>1w</v>
      </c>
      <c r="W1038" s="177">
        <f>_xll.qlCalendarAdvance(Calendar,W1037,V1038,"f",FALSE)</f>
        <v>46210</v>
      </c>
      <c r="X1038" s="181">
        <f>_xll.qlCalendarAdvance(Calendar,W1038,NDays&amp;"D")</f>
        <v>46212</v>
      </c>
      <c r="Y1038" s="178">
        <v>2.4518559174715272E-2</v>
      </c>
      <c r="Z1038" s="183">
        <v>2.4120321322342875E-2</v>
      </c>
    </row>
    <row r="1039" spans="22:26" x14ac:dyDescent="0.2">
      <c r="V1039" s="180" t="str">
        <f t="shared" si="23"/>
        <v>1w</v>
      </c>
      <c r="W1039" s="177">
        <f>_xll.qlCalendarAdvance(Calendar,W1038,V1039,"f",FALSE)</f>
        <v>46217</v>
      </c>
      <c r="X1039" s="181">
        <f>_xll.qlCalendarAdvance(Calendar,W1039,NDays&amp;"D")</f>
        <v>46219</v>
      </c>
      <c r="Y1039" s="178">
        <v>2.4522020724732856E-2</v>
      </c>
      <c r="Z1039" s="183">
        <v>2.4126017923773446E-2</v>
      </c>
    </row>
    <row r="1040" spans="22:26" x14ac:dyDescent="0.2">
      <c r="V1040" s="180" t="str">
        <f t="shared" si="23"/>
        <v>1w</v>
      </c>
      <c r="W1040" s="177">
        <f>_xll.qlCalendarAdvance(Calendar,W1039,V1040,"f",FALSE)</f>
        <v>46224</v>
      </c>
      <c r="X1040" s="181">
        <f>_xll.qlCalendarAdvance(Calendar,W1040,NDays&amp;"D")</f>
        <v>46226</v>
      </c>
      <c r="Y1040" s="178">
        <v>2.4525424366275493E-2</v>
      </c>
      <c r="Z1040" s="183">
        <v>2.4131555447413078E-2</v>
      </c>
    </row>
    <row r="1041" spans="22:26" x14ac:dyDescent="0.2">
      <c r="V1041" s="180" t="str">
        <f t="shared" si="23"/>
        <v>1w</v>
      </c>
      <c r="W1041" s="177">
        <f>_xll.qlCalendarAdvance(Calendar,W1040,V1041,"f",FALSE)</f>
        <v>46231</v>
      </c>
      <c r="X1041" s="181">
        <f>_xll.qlCalendarAdvance(Calendar,W1041,NDays&amp;"D")</f>
        <v>46233</v>
      </c>
      <c r="Y1041" s="178">
        <v>2.4528772983926497E-2</v>
      </c>
      <c r="Z1041" s="183">
        <v>2.4136933893341705E-2</v>
      </c>
    </row>
    <row r="1042" spans="22:26" x14ac:dyDescent="0.2">
      <c r="V1042" s="180" t="str">
        <f t="shared" si="23"/>
        <v>1w</v>
      </c>
      <c r="W1042" s="177">
        <f>_xll.qlCalendarAdvance(Calendar,W1041,V1042,"f",FALSE)</f>
        <v>46238</v>
      </c>
      <c r="X1042" s="181">
        <f>_xll.qlCalendarAdvance(Calendar,W1042,NDays&amp;"D")</f>
        <v>46240</v>
      </c>
      <c r="Y1042" s="178">
        <v>2.4532069462316917E-2</v>
      </c>
      <c r="Z1042" s="183">
        <v>2.4142153261479393E-2</v>
      </c>
    </row>
    <row r="1043" spans="22:26" x14ac:dyDescent="0.2">
      <c r="V1043" s="180" t="str">
        <f t="shared" si="23"/>
        <v>1w</v>
      </c>
      <c r="W1043" s="177">
        <f>_xll.qlCalendarAdvance(Calendar,W1042,V1043,"f",FALSE)</f>
        <v>46245</v>
      </c>
      <c r="X1043" s="181">
        <f>_xll.qlCalendarAdvance(Calendar,W1043,NDays&amp;"D")</f>
        <v>46247</v>
      </c>
      <c r="Y1043" s="178">
        <v>2.4535316686124242E-2</v>
      </c>
      <c r="Z1043" s="183">
        <v>2.4147213551826141E-2</v>
      </c>
    </row>
    <row r="1044" spans="22:26" x14ac:dyDescent="0.2">
      <c r="V1044" s="180" t="str">
        <f t="shared" si="23"/>
        <v>1w</v>
      </c>
      <c r="W1044" s="177">
        <f>_xll.qlCalendarAdvance(Calendar,W1043,V1044,"f",FALSE)</f>
        <v>46252</v>
      </c>
      <c r="X1044" s="181">
        <f>_xll.qlCalendarAdvance(Calendar,W1044,NDays&amp;"D")</f>
        <v>46254</v>
      </c>
      <c r="Y1044" s="178">
        <v>2.4538517540069315E-2</v>
      </c>
      <c r="Z1044" s="183">
        <v>2.4152114764381949E-2</v>
      </c>
    </row>
    <row r="1045" spans="22:26" x14ac:dyDescent="0.2">
      <c r="V1045" s="180" t="str">
        <f t="shared" ref="V1045:V1108" si="24">V1044</f>
        <v>1w</v>
      </c>
      <c r="W1045" s="177">
        <f>_xll.qlCalendarAdvance(Calendar,W1044,V1045,"f",FALSE)</f>
        <v>46259</v>
      </c>
      <c r="X1045" s="181">
        <f>_xll.qlCalendarAdvance(Calendar,W1045,NDays&amp;"D")</f>
        <v>46261</v>
      </c>
      <c r="Y1045" s="178">
        <v>2.4541674908917881E-2</v>
      </c>
      <c r="Z1045" s="183">
        <v>2.4156856899306689E-2</v>
      </c>
    </row>
    <row r="1046" spans="22:26" x14ac:dyDescent="0.2">
      <c r="V1046" s="180" t="str">
        <f t="shared" si="24"/>
        <v>1w</v>
      </c>
      <c r="W1046" s="177">
        <f>_xll.qlCalendarAdvance(Calendar,W1045,V1046,"f",FALSE)</f>
        <v>46266</v>
      </c>
      <c r="X1046" s="181">
        <f>_xll.qlCalendarAdvance(Calendar,W1046,NDays&amp;"D")</f>
        <v>46268</v>
      </c>
      <c r="Y1046" s="178">
        <v>2.4544791677475971E-2</v>
      </c>
      <c r="Z1046" s="183">
        <v>2.4161439956360553E-2</v>
      </c>
    </row>
    <row r="1047" spans="22:26" x14ac:dyDescent="0.2">
      <c r="V1047" s="180" t="str">
        <f t="shared" si="24"/>
        <v>1w</v>
      </c>
      <c r="W1047" s="177">
        <f>_xll.qlCalendarAdvance(Calendar,W1046,V1047,"f",FALSE)</f>
        <v>46273</v>
      </c>
      <c r="X1047" s="181">
        <f>_xll.qlCalendarAdvance(Calendar,W1047,NDays&amp;"D")</f>
        <v>46275</v>
      </c>
      <c r="Y1047" s="178">
        <v>2.4547870730591021E-2</v>
      </c>
      <c r="Z1047" s="183">
        <v>2.4165863935543541E-2</v>
      </c>
    </row>
    <row r="1048" spans="22:26" x14ac:dyDescent="0.2">
      <c r="V1048" s="180" t="str">
        <f t="shared" si="24"/>
        <v>1w</v>
      </c>
      <c r="W1048" s="177">
        <f>_xll.qlCalendarAdvance(Calendar,W1047,V1048,"f",FALSE)</f>
        <v>46280</v>
      </c>
      <c r="X1048" s="181">
        <f>_xll.qlCalendarAdvance(Calendar,W1048,NDays&amp;"D")</f>
        <v>46282</v>
      </c>
      <c r="Y1048" s="178">
        <v>2.4550914953150316E-2</v>
      </c>
      <c r="Z1048" s="183">
        <v>2.4170128836935589E-2</v>
      </c>
    </row>
    <row r="1049" spans="22:26" x14ac:dyDescent="0.2">
      <c r="V1049" s="180" t="str">
        <f t="shared" si="24"/>
        <v>1w</v>
      </c>
      <c r="W1049" s="177">
        <f>_xll.qlCalendarAdvance(Calendar,W1048,V1049,"f",FALSE)</f>
        <v>46287</v>
      </c>
      <c r="X1049" s="181">
        <f>_xll.qlCalendarAdvance(Calendar,W1049,NDays&amp;"D")</f>
        <v>46289</v>
      </c>
      <c r="Y1049" s="178">
        <v>2.4553927230079688E-2</v>
      </c>
      <c r="Z1049" s="183">
        <v>2.4174234660616634E-2</v>
      </c>
    </row>
    <row r="1050" spans="22:26" x14ac:dyDescent="0.2">
      <c r="V1050" s="180" t="str">
        <f t="shared" si="24"/>
        <v>1w</v>
      </c>
      <c r="W1050" s="177">
        <f>_xll.qlCalendarAdvance(Calendar,W1049,V1050,"f",FALSE)</f>
        <v>46294</v>
      </c>
      <c r="X1050" s="181">
        <f>_xll.qlCalendarAdvance(Calendar,W1050,NDays&amp;"D")</f>
        <v>46296</v>
      </c>
      <c r="Y1050" s="178">
        <v>2.4556910446341763E-2</v>
      </c>
      <c r="Z1050" s="183">
        <v>2.4178181406346866E-2</v>
      </c>
    </row>
    <row r="1051" spans="22:26" x14ac:dyDescent="0.2">
      <c r="V1051" s="180" t="str">
        <f t="shared" si="24"/>
        <v>1w</v>
      </c>
      <c r="W1051" s="177">
        <f>_xll.qlCalendarAdvance(Calendar,W1050,V1051,"f",FALSE)</f>
        <v>46301</v>
      </c>
      <c r="X1051" s="181">
        <f>_xll.qlCalendarAdvance(Calendar,W1051,NDays&amp;"D")</f>
        <v>46303</v>
      </c>
      <c r="Y1051" s="178">
        <v>2.4559867486937271E-2</v>
      </c>
      <c r="Z1051" s="183">
        <v>2.418196907444603E-2</v>
      </c>
    </row>
    <row r="1052" spans="22:26" x14ac:dyDescent="0.2">
      <c r="V1052" s="180" t="str">
        <f t="shared" si="24"/>
        <v>1w</v>
      </c>
      <c r="W1052" s="177">
        <f>_xll.qlCalendarAdvance(Calendar,W1051,V1052,"f",FALSE)</f>
        <v>46308</v>
      </c>
      <c r="X1052" s="181">
        <f>_xll.qlCalendarAdvance(Calendar,W1052,NDays&amp;"D")</f>
        <v>46310</v>
      </c>
      <c r="Y1052" s="178">
        <v>2.4562801236901331E-2</v>
      </c>
      <c r="Z1052" s="183">
        <v>2.4185597664594383E-2</v>
      </c>
    </row>
    <row r="1053" spans="22:26" x14ac:dyDescent="0.2">
      <c r="V1053" s="180" t="str">
        <f t="shared" si="24"/>
        <v>1w</v>
      </c>
      <c r="W1053" s="177">
        <f>_xll.qlCalendarAdvance(Calendar,W1052,V1053,"f",FALSE)</f>
        <v>46315</v>
      </c>
      <c r="X1053" s="181">
        <f>_xll.qlCalendarAdvance(Calendar,W1053,NDays&amp;"D")</f>
        <v>46317</v>
      </c>
      <c r="Y1053" s="178">
        <v>2.4565714581305628E-2</v>
      </c>
      <c r="Z1053" s="183">
        <v>2.4189067176951795E-2</v>
      </c>
    </row>
    <row r="1054" spans="22:26" x14ac:dyDescent="0.2">
      <c r="V1054" s="180" t="str">
        <f t="shared" si="24"/>
        <v>1w</v>
      </c>
      <c r="W1054" s="177">
        <f>_xll.qlCalendarAdvance(Calendar,W1053,V1054,"f",FALSE)</f>
        <v>46322</v>
      </c>
      <c r="X1054" s="181">
        <f>_xll.qlCalendarAdvance(Calendar,W1054,NDays&amp;"D")</f>
        <v>46324</v>
      </c>
      <c r="Y1054" s="178">
        <v>2.4568610405255792E-2</v>
      </c>
      <c r="Z1054" s="183">
        <v>2.4192377611438332E-2</v>
      </c>
    </row>
    <row r="1055" spans="22:26" x14ac:dyDescent="0.2">
      <c r="V1055" s="180" t="str">
        <f t="shared" si="24"/>
        <v>1w</v>
      </c>
      <c r="W1055" s="177">
        <f>_xll.qlCalendarAdvance(Calendar,W1054,V1055,"f",FALSE)</f>
        <v>46329</v>
      </c>
      <c r="X1055" s="181">
        <f>_xll.qlCalendarAdvance(Calendar,W1055,NDays&amp;"D")</f>
        <v>46331</v>
      </c>
      <c r="Y1055" s="178">
        <v>2.4571491582675617E-2</v>
      </c>
      <c r="Z1055" s="183">
        <v>2.4195538455265009E-2</v>
      </c>
    </row>
    <row r="1056" spans="22:26" x14ac:dyDescent="0.2">
      <c r="V1056" s="180" t="str">
        <f t="shared" si="24"/>
        <v>1w</v>
      </c>
      <c r="W1056" s="177">
        <f>_xll.qlCalendarAdvance(Calendar,W1055,V1056,"f",FALSE)</f>
        <v>46336</v>
      </c>
      <c r="X1056" s="181">
        <f>_xll.qlCalendarAdvance(Calendar,W1056,NDays&amp;"D")</f>
        <v>46338</v>
      </c>
      <c r="Y1056" s="178">
        <v>2.457436001033474E-2</v>
      </c>
      <c r="Z1056" s="183">
        <v>2.4198656562797183E-2</v>
      </c>
    </row>
    <row r="1057" spans="22:26" x14ac:dyDescent="0.2">
      <c r="V1057" s="180" t="str">
        <f t="shared" si="24"/>
        <v>1w</v>
      </c>
      <c r="W1057" s="177">
        <f>_xll.qlCalendarAdvance(Calendar,W1056,V1057,"f",FALSE)</f>
        <v>46343</v>
      </c>
      <c r="X1057" s="181">
        <f>_xll.qlCalendarAdvance(Calendar,W1057,NDays&amp;"D")</f>
        <v>46345</v>
      </c>
      <c r="Y1057" s="178">
        <v>2.4577215863373504E-2</v>
      </c>
      <c r="Z1057" s="183">
        <v>2.4201762392790371E-2</v>
      </c>
    </row>
    <row r="1058" spans="22:26" x14ac:dyDescent="0.2">
      <c r="V1058" s="180" t="str">
        <f t="shared" si="24"/>
        <v>1w</v>
      </c>
      <c r="W1058" s="177">
        <f>_xll.qlCalendarAdvance(Calendar,W1057,V1058,"f",FALSE)</f>
        <v>46350</v>
      </c>
      <c r="X1058" s="181">
        <f>_xll.qlCalendarAdvance(Calendar,W1058,NDays&amp;"D")</f>
        <v>46352</v>
      </c>
      <c r="Y1058" s="178">
        <v>2.4580059141685914E-2</v>
      </c>
      <c r="Z1058" s="183">
        <v>2.4204855945164638E-2</v>
      </c>
    </row>
    <row r="1059" spans="22:26" x14ac:dyDescent="0.2">
      <c r="V1059" s="180" t="str">
        <f t="shared" si="24"/>
        <v>1w</v>
      </c>
      <c r="W1059" s="177">
        <f>_xll.qlCalendarAdvance(Calendar,W1058,V1059,"f",FALSE)</f>
        <v>46357</v>
      </c>
      <c r="X1059" s="181">
        <f>_xll.qlCalendarAdvance(Calendar,W1059,NDays&amp;"D")</f>
        <v>46359</v>
      </c>
      <c r="Y1059" s="178">
        <v>2.4582889845165531E-2</v>
      </c>
      <c r="Z1059" s="183">
        <v>2.4207937219760112E-2</v>
      </c>
    </row>
    <row r="1060" spans="22:26" x14ac:dyDescent="0.2">
      <c r="V1060" s="180" t="str">
        <f t="shared" si="24"/>
        <v>1w</v>
      </c>
      <c r="W1060" s="177">
        <f>_xll.qlCalendarAdvance(Calendar,W1059,V1060,"f",FALSE)</f>
        <v>46364</v>
      </c>
      <c r="X1060" s="181">
        <f>_xll.qlCalendarAdvance(Calendar,W1060,NDays&amp;"D")</f>
        <v>46366</v>
      </c>
      <c r="Y1060" s="178">
        <v>2.4585707973706357E-2</v>
      </c>
      <c r="Z1060" s="183">
        <v>2.42110062168166E-2</v>
      </c>
    </row>
    <row r="1061" spans="22:26" x14ac:dyDescent="0.2">
      <c r="V1061" s="180" t="str">
        <f t="shared" si="24"/>
        <v>1w</v>
      </c>
      <c r="W1061" s="177">
        <f>_xll.qlCalendarAdvance(Calendar,W1060,V1061,"f",FALSE)</f>
        <v>46371</v>
      </c>
      <c r="X1061" s="181">
        <f>_xll.qlCalendarAdvance(Calendar,W1061,NDays&amp;"D")</f>
        <v>46373</v>
      </c>
      <c r="Y1061" s="178">
        <v>2.4588513527203714E-2</v>
      </c>
      <c r="Z1061" s="183">
        <v>2.4214062936254166E-2</v>
      </c>
    </row>
    <row r="1062" spans="22:26" x14ac:dyDescent="0.2">
      <c r="V1062" s="180" t="str">
        <f t="shared" si="24"/>
        <v>1w</v>
      </c>
      <c r="W1062" s="177">
        <f>_xll.qlCalendarAdvance(Calendar,W1061,V1062,"f",FALSE)</f>
        <v>46378</v>
      </c>
      <c r="X1062" s="181">
        <f>_xll.qlCalendarAdvance(Calendar,W1062,NDays&amp;"D")</f>
        <v>46380</v>
      </c>
      <c r="Y1062" s="178">
        <v>2.4591306505552694E-2</v>
      </c>
      <c r="Z1062" s="183">
        <v>2.4220201863220936E-2</v>
      </c>
    </row>
    <row r="1063" spans="22:26" x14ac:dyDescent="0.2">
      <c r="V1063" s="180" t="str">
        <f t="shared" si="24"/>
        <v>1w</v>
      </c>
      <c r="W1063" s="177">
        <f>_xll.qlCalendarAdvance(Calendar,W1062,V1063,"f",FALSE)</f>
        <v>46385</v>
      </c>
      <c r="X1063" s="181">
        <f>_xll.qlCalendarAdvance(Calendar,W1063,NDays&amp;"D")</f>
        <v>46387</v>
      </c>
      <c r="Y1063" s="178">
        <v>2.4594086908649056E-2</v>
      </c>
      <c r="Z1063" s="183">
        <v>2.4223232007916096E-2</v>
      </c>
    </row>
    <row r="1064" spans="22:26" x14ac:dyDescent="0.2">
      <c r="V1064" s="180" t="str">
        <f t="shared" si="24"/>
        <v>1w</v>
      </c>
      <c r="W1064" s="177">
        <f>_xll.qlCalendarAdvance(Calendar,W1063,V1064,"f",FALSE)</f>
        <v>46392</v>
      </c>
      <c r="X1064" s="181">
        <f>_xll.qlCalendarAdvance(Calendar,W1064,NDays&amp;"D")</f>
        <v>46394</v>
      </c>
      <c r="Y1064" s="178">
        <v>2.4596854736388771E-2</v>
      </c>
      <c r="Z1064" s="183">
        <v>2.4223159428613528E-2</v>
      </c>
    </row>
    <row r="1065" spans="22:26" x14ac:dyDescent="0.2">
      <c r="V1065" s="180" t="str">
        <f t="shared" si="24"/>
        <v>1w</v>
      </c>
      <c r="W1065" s="177">
        <f>_xll.qlCalendarAdvance(Calendar,W1064,V1065,"f",FALSE)</f>
        <v>46399</v>
      </c>
      <c r="X1065" s="181">
        <f>_xll.qlCalendarAdvance(Calendar,W1065,NDays&amp;"D")</f>
        <v>46401</v>
      </c>
      <c r="Y1065" s="178">
        <v>2.4599609988668471E-2</v>
      </c>
      <c r="Z1065" s="183">
        <v>2.4226167037575408E-2</v>
      </c>
    </row>
    <row r="1066" spans="22:26" x14ac:dyDescent="0.2">
      <c r="V1066" s="180" t="str">
        <f t="shared" si="24"/>
        <v>1w</v>
      </c>
      <c r="W1066" s="177">
        <f>_xll.qlCalendarAdvance(Calendar,W1065,V1066,"f",FALSE)</f>
        <v>46406</v>
      </c>
      <c r="X1066" s="181">
        <f>_xll.qlCalendarAdvance(Calendar,W1066,NDays&amp;"D")</f>
        <v>46408</v>
      </c>
      <c r="Y1066" s="178">
        <v>2.4602352665385661E-2</v>
      </c>
      <c r="Z1066" s="183">
        <v>2.4229162368678558E-2</v>
      </c>
    </row>
    <row r="1067" spans="22:26" x14ac:dyDescent="0.2">
      <c r="V1067" s="180" t="str">
        <f t="shared" si="24"/>
        <v>1w</v>
      </c>
      <c r="W1067" s="177">
        <f>_xll.qlCalendarAdvance(Calendar,W1066,V1067,"f",FALSE)</f>
        <v>46413</v>
      </c>
      <c r="X1067" s="181">
        <f>_xll.qlCalendarAdvance(Calendar,W1067,NDays&amp;"D")</f>
        <v>46415</v>
      </c>
      <c r="Y1067" s="178">
        <v>2.4605082766437629E-2</v>
      </c>
      <c r="Z1067" s="183">
        <v>2.423214542232266E-2</v>
      </c>
    </row>
    <row r="1068" spans="22:26" x14ac:dyDescent="0.2">
      <c r="V1068" s="180" t="str">
        <f t="shared" si="24"/>
        <v>1w</v>
      </c>
      <c r="W1068" s="177">
        <f>_xll.qlCalendarAdvance(Calendar,W1067,V1068,"f",FALSE)</f>
        <v>46420</v>
      </c>
      <c r="X1068" s="181">
        <f>_xll.qlCalendarAdvance(Calendar,W1068,NDays&amp;"D")</f>
        <v>46422</v>
      </c>
      <c r="Y1068" s="178">
        <v>2.4607800291722538E-2</v>
      </c>
      <c r="Z1068" s="183">
        <v>2.4235116198267903E-2</v>
      </c>
    </row>
    <row r="1069" spans="22:26" x14ac:dyDescent="0.2">
      <c r="V1069" s="180" t="str">
        <f t="shared" si="24"/>
        <v>1w</v>
      </c>
      <c r="W1069" s="177">
        <f>_xll.qlCalendarAdvance(Calendar,W1068,V1069,"f",FALSE)</f>
        <v>46427</v>
      </c>
      <c r="X1069" s="181">
        <f>_xll.qlCalendarAdvance(Calendar,W1069,NDays&amp;"D")</f>
        <v>46429</v>
      </c>
      <c r="Y1069" s="178">
        <v>2.4610505241139214E-2</v>
      </c>
      <c r="Z1069" s="183">
        <v>2.4238074696514289E-2</v>
      </c>
    </row>
    <row r="1070" spans="22:26" x14ac:dyDescent="0.2">
      <c r="V1070" s="180" t="str">
        <f t="shared" si="24"/>
        <v>1w</v>
      </c>
      <c r="W1070" s="177">
        <f>_xll.qlCalendarAdvance(Calendar,W1069,V1070,"f",FALSE)</f>
        <v>46434</v>
      </c>
      <c r="X1070" s="181">
        <f>_xll.qlCalendarAdvance(Calendar,W1070,NDays&amp;"D")</f>
        <v>46436</v>
      </c>
      <c r="Y1070" s="178">
        <v>2.4613197614586031E-2</v>
      </c>
      <c r="Z1070" s="183">
        <v>2.4241020917141753E-2</v>
      </c>
    </row>
    <row r="1071" spans="22:26" x14ac:dyDescent="0.2">
      <c r="V1071" s="180" t="str">
        <f t="shared" si="24"/>
        <v>1w</v>
      </c>
      <c r="W1071" s="177">
        <f>_xll.qlCalendarAdvance(Calendar,W1070,V1071,"f",FALSE)</f>
        <v>46441</v>
      </c>
      <c r="X1071" s="181">
        <f>_xll.qlCalendarAdvance(Calendar,W1071,NDays&amp;"D")</f>
        <v>46443</v>
      </c>
      <c r="Y1071" s="178">
        <v>2.4615877411962913E-2</v>
      </c>
      <c r="Z1071" s="183">
        <v>2.4243954860150296E-2</v>
      </c>
    </row>
    <row r="1072" spans="22:26" x14ac:dyDescent="0.2">
      <c r="V1072" s="180" t="str">
        <f t="shared" si="24"/>
        <v>1w</v>
      </c>
      <c r="W1072" s="177">
        <f>_xll.qlCalendarAdvance(Calendar,W1071,V1072,"f",FALSE)</f>
        <v>46448</v>
      </c>
      <c r="X1072" s="181">
        <f>_xll.qlCalendarAdvance(Calendar,W1072,NDays&amp;"D")</f>
        <v>46450</v>
      </c>
      <c r="Y1072" s="178">
        <v>2.4621595845705613E-2</v>
      </c>
      <c r="Z1072" s="183">
        <v>2.4246876525619854E-2</v>
      </c>
    </row>
    <row r="1073" spans="22:26" x14ac:dyDescent="0.2">
      <c r="V1073" s="180" t="str">
        <f t="shared" si="24"/>
        <v>1w</v>
      </c>
      <c r="W1073" s="177">
        <f>_xll.qlCalendarAdvance(Calendar,W1072,V1073,"f",FALSE)</f>
        <v>46455</v>
      </c>
      <c r="X1073" s="181">
        <f>_xll.qlCalendarAdvance(Calendar,W1073,NDays&amp;"D")</f>
        <v>46457</v>
      </c>
      <c r="Y1073" s="178">
        <v>2.4624248333128578E-2</v>
      </c>
      <c r="Z1073" s="183">
        <v>2.4249785913310618E-2</v>
      </c>
    </row>
    <row r="1074" spans="22:26" x14ac:dyDescent="0.2">
      <c r="V1074" s="180" t="str">
        <f t="shared" si="24"/>
        <v>1w</v>
      </c>
      <c r="W1074" s="177">
        <f>_xll.qlCalendarAdvance(Calendar,W1073,V1074,"f",FALSE)</f>
        <v>46462</v>
      </c>
      <c r="X1074" s="181">
        <f>_xll.qlCalendarAdvance(Calendar,W1074,NDays&amp;"D")</f>
        <v>46464</v>
      </c>
      <c r="Y1074" s="178">
        <v>2.4626888241669913E-2</v>
      </c>
      <c r="Z1074" s="183">
        <v>2.425268302338246E-2</v>
      </c>
    </row>
    <row r="1075" spans="22:26" x14ac:dyDescent="0.2">
      <c r="V1075" s="180" t="str">
        <f t="shared" si="24"/>
        <v>1w</v>
      </c>
      <c r="W1075" s="177">
        <f>_xll.qlCalendarAdvance(Calendar,W1074,V1075,"f",FALSE)</f>
        <v>46469</v>
      </c>
      <c r="X1075" s="181">
        <f>_xll.qlCalendarAdvance(Calendar,W1075,NDays&amp;"D")</f>
        <v>46471</v>
      </c>
      <c r="Y1075" s="178">
        <v>2.4629515571230127E-2</v>
      </c>
      <c r="Z1075" s="183">
        <v>2.4259658544039553E-2</v>
      </c>
    </row>
    <row r="1076" spans="22:26" x14ac:dyDescent="0.2">
      <c r="V1076" s="180" t="str">
        <f t="shared" si="24"/>
        <v>1w</v>
      </c>
      <c r="W1076" s="177">
        <f>_xll.qlCalendarAdvance(Calendar,W1075,V1076,"f",FALSE)</f>
        <v>46476</v>
      </c>
      <c r="X1076" s="181">
        <f>_xll.qlCalendarAdvance(Calendar,W1076,NDays&amp;"D")</f>
        <v>46478</v>
      </c>
      <c r="Y1076" s="178">
        <v>2.4632130321710174E-2</v>
      </c>
      <c r="Z1076" s="183">
        <v>2.425844041066938E-2</v>
      </c>
    </row>
    <row r="1077" spans="22:26" x14ac:dyDescent="0.2">
      <c r="V1077" s="180" t="str">
        <f t="shared" si="24"/>
        <v>1w</v>
      </c>
      <c r="W1077" s="177">
        <f>_xll.qlCalendarAdvance(Calendar,W1076,V1077,"f",FALSE)</f>
        <v>46483</v>
      </c>
      <c r="X1077" s="181">
        <f>_xll.qlCalendarAdvance(Calendar,W1077,NDays&amp;"D")</f>
        <v>46485</v>
      </c>
      <c r="Y1077" s="178">
        <v>2.4634732493011874E-2</v>
      </c>
      <c r="Z1077" s="183">
        <v>2.4261300687804521E-2</v>
      </c>
    </row>
    <row r="1078" spans="22:26" x14ac:dyDescent="0.2">
      <c r="V1078" s="180" t="str">
        <f t="shared" si="24"/>
        <v>1w</v>
      </c>
      <c r="W1078" s="177">
        <f>_xll.qlCalendarAdvance(Calendar,W1077,V1078,"f",FALSE)</f>
        <v>46490</v>
      </c>
      <c r="X1078" s="181">
        <f>_xll.qlCalendarAdvance(Calendar,W1078,NDays&amp;"D")</f>
        <v>46492</v>
      </c>
      <c r="Y1078" s="178">
        <v>2.4638334780383766E-2</v>
      </c>
      <c r="Z1078" s="183">
        <v>2.4264148687320741E-2</v>
      </c>
    </row>
    <row r="1079" spans="22:26" x14ac:dyDescent="0.2">
      <c r="V1079" s="180" t="str">
        <f t="shared" si="24"/>
        <v>1w</v>
      </c>
      <c r="W1079" s="177">
        <f>_xll.qlCalendarAdvance(Calendar,W1078,V1079,"f",FALSE)</f>
        <v>46497</v>
      </c>
      <c r="X1079" s="181">
        <f>_xll.qlCalendarAdvance(Calendar,W1079,NDays&amp;"D")</f>
        <v>46499</v>
      </c>
      <c r="Y1079" s="178">
        <v>2.4639899097689003E-2</v>
      </c>
      <c r="Z1079" s="183">
        <v>2.4266984409138104E-2</v>
      </c>
    </row>
    <row r="1080" spans="22:26" x14ac:dyDescent="0.2">
      <c r="V1080" s="180" t="str">
        <f t="shared" si="24"/>
        <v>1w</v>
      </c>
      <c r="W1080" s="177">
        <f>_xll.qlCalendarAdvance(Calendar,W1079,V1080,"f",FALSE)</f>
        <v>46504</v>
      </c>
      <c r="X1080" s="181">
        <f>_xll.qlCalendarAdvance(Calendar,W1080,NDays&amp;"D")</f>
        <v>46506</v>
      </c>
      <c r="Y1080" s="178">
        <v>2.4639429648851789E-2</v>
      </c>
      <c r="Z1080" s="183">
        <v>2.4269807853416481E-2</v>
      </c>
    </row>
    <row r="1081" spans="22:26" x14ac:dyDescent="0.2">
      <c r="V1081" s="180" t="str">
        <f t="shared" si="24"/>
        <v>1w</v>
      </c>
      <c r="W1081" s="177">
        <f>_xll.qlCalendarAdvance(Calendar,W1080,V1081,"f",FALSE)</f>
        <v>46511</v>
      </c>
      <c r="X1081" s="181">
        <f>_xll.qlCalendarAdvance(Calendar,W1081,NDays&amp;"D")</f>
        <v>46513</v>
      </c>
      <c r="Y1081" s="178">
        <v>2.4645015384483011E-2</v>
      </c>
      <c r="Z1081" s="183">
        <v>2.4272619019996E-2</v>
      </c>
    </row>
    <row r="1082" spans="22:26" x14ac:dyDescent="0.2">
      <c r="V1082" s="180" t="str">
        <f t="shared" si="24"/>
        <v>1w</v>
      </c>
      <c r="W1082" s="177">
        <f>_xll.qlCalendarAdvance(Calendar,W1081,V1082,"f",FALSE)</f>
        <v>46518</v>
      </c>
      <c r="X1082" s="181">
        <f>_xll.qlCalendarAdvance(Calendar,W1082,NDays&amp;"D")</f>
        <v>46520</v>
      </c>
      <c r="Y1082" s="178">
        <v>2.4647554658432817E-2</v>
      </c>
      <c r="Z1082" s="183">
        <v>2.4275417908956598E-2</v>
      </c>
    </row>
    <row r="1083" spans="22:26" x14ac:dyDescent="0.2">
      <c r="V1083" s="180" t="str">
        <f t="shared" si="24"/>
        <v>1w</v>
      </c>
      <c r="W1083" s="177">
        <f>_xll.qlCalendarAdvance(Calendar,W1082,V1083,"f",FALSE)</f>
        <v>46525</v>
      </c>
      <c r="X1083" s="181">
        <f>_xll.qlCalendarAdvance(Calendar,W1083,NDays&amp;"D")</f>
        <v>46527</v>
      </c>
      <c r="Y1083" s="178">
        <v>2.4650081352623646E-2</v>
      </c>
      <c r="Z1083" s="183">
        <v>2.4278204520298274E-2</v>
      </c>
    </row>
    <row r="1084" spans="22:26" x14ac:dyDescent="0.2">
      <c r="V1084" s="180" t="str">
        <f t="shared" si="24"/>
        <v>1w</v>
      </c>
      <c r="W1084" s="177">
        <f>_xll.qlCalendarAdvance(Calendar,W1083,V1084,"f",FALSE)</f>
        <v>46532</v>
      </c>
      <c r="X1084" s="181">
        <f>_xll.qlCalendarAdvance(Calendar,W1084,NDays&amp;"D")</f>
        <v>46534</v>
      </c>
      <c r="Y1084" s="178">
        <v>2.4652595466960362E-2</v>
      </c>
      <c r="Z1084" s="183">
        <v>2.4280978853941093E-2</v>
      </c>
    </row>
    <row r="1085" spans="22:26" x14ac:dyDescent="0.2">
      <c r="V1085" s="180" t="str">
        <f t="shared" si="24"/>
        <v>1w</v>
      </c>
      <c r="W1085" s="177">
        <f>_xll.qlCalendarAdvance(Calendar,W1084,V1085,"f",FALSE)</f>
        <v>46539</v>
      </c>
      <c r="X1085" s="181">
        <f>_xll.qlCalendarAdvance(Calendar,W1085,NDays&amp;"D")</f>
        <v>46541</v>
      </c>
      <c r="Y1085" s="178">
        <v>2.4655097001348256E-2</v>
      </c>
      <c r="Z1085" s="183">
        <v>2.428374090996499E-2</v>
      </c>
    </row>
    <row r="1086" spans="22:26" x14ac:dyDescent="0.2">
      <c r="V1086" s="180" t="str">
        <f t="shared" si="24"/>
        <v>1w</v>
      </c>
      <c r="W1086" s="177">
        <f>_xll.qlCalendarAdvance(Calendar,W1085,V1086,"f",FALSE)</f>
        <v>46546</v>
      </c>
      <c r="X1086" s="181">
        <f>_xll.qlCalendarAdvance(Calendar,W1086,NDays&amp;"D")</f>
        <v>46548</v>
      </c>
      <c r="Y1086" s="178">
        <v>2.4657585955693055E-2</v>
      </c>
      <c r="Z1086" s="183">
        <v>2.428649068829003E-2</v>
      </c>
    </row>
    <row r="1087" spans="22:26" x14ac:dyDescent="0.2">
      <c r="V1087" s="180" t="str">
        <f t="shared" si="24"/>
        <v>1w</v>
      </c>
      <c r="W1087" s="177">
        <f>_xll.qlCalendarAdvance(Calendar,W1086,V1087,"f",FALSE)</f>
        <v>46553</v>
      </c>
      <c r="X1087" s="181">
        <f>_xll.qlCalendarAdvance(Calendar,W1087,NDays&amp;"D")</f>
        <v>46555</v>
      </c>
      <c r="Y1087" s="178">
        <v>2.4660062329901575E-2</v>
      </c>
      <c r="Z1087" s="183">
        <v>2.4289228189076084E-2</v>
      </c>
    </row>
    <row r="1088" spans="22:26" x14ac:dyDescent="0.2">
      <c r="V1088" s="180" t="str">
        <f t="shared" si="24"/>
        <v>1w</v>
      </c>
      <c r="W1088" s="177">
        <f>_xll.qlCalendarAdvance(Calendar,W1087,V1088,"f",FALSE)</f>
        <v>46560</v>
      </c>
      <c r="X1088" s="181">
        <f>_xll.qlCalendarAdvance(Calendar,W1088,NDays&amp;"D")</f>
        <v>46562</v>
      </c>
      <c r="Y1088" s="178">
        <v>2.4662526123879976E-2</v>
      </c>
      <c r="Z1088" s="183">
        <v>2.4291953412163281E-2</v>
      </c>
    </row>
    <row r="1089" spans="22:26" x14ac:dyDescent="0.2">
      <c r="V1089" s="180" t="str">
        <f t="shared" si="24"/>
        <v>1w</v>
      </c>
      <c r="W1089" s="177">
        <f>_xll.qlCalendarAdvance(Calendar,W1088,V1089,"f",FALSE)</f>
        <v>46567</v>
      </c>
      <c r="X1089" s="181">
        <f>_xll.qlCalendarAdvance(Calendar,W1089,NDays&amp;"D")</f>
        <v>46569</v>
      </c>
      <c r="Y1089" s="178">
        <v>2.4664977337535726E-2</v>
      </c>
      <c r="Z1089" s="183">
        <v>2.429466635755162E-2</v>
      </c>
    </row>
    <row r="1090" spans="22:26" x14ac:dyDescent="0.2">
      <c r="V1090" s="180" t="str">
        <f t="shared" si="24"/>
        <v>1w</v>
      </c>
      <c r="W1090" s="177">
        <f>_xll.qlCalendarAdvance(Calendar,W1089,V1090,"f",FALSE)</f>
        <v>46574</v>
      </c>
      <c r="X1090" s="181">
        <f>_xll.qlCalendarAdvance(Calendar,W1090,NDays&amp;"D")</f>
        <v>46576</v>
      </c>
      <c r="Y1090" s="178">
        <v>2.4667415970776936E-2</v>
      </c>
      <c r="Z1090" s="183">
        <v>2.4297367025321037E-2</v>
      </c>
    </row>
    <row r="1091" spans="22:26" x14ac:dyDescent="0.2">
      <c r="V1091" s="180" t="str">
        <f t="shared" si="24"/>
        <v>1w</v>
      </c>
      <c r="W1091" s="177">
        <f>_xll.qlCalendarAdvance(Calendar,W1090,V1091,"f",FALSE)</f>
        <v>46581</v>
      </c>
      <c r="X1091" s="181">
        <f>_xll.qlCalendarAdvance(Calendar,W1091,NDays&amp;"D")</f>
        <v>46583</v>
      </c>
      <c r="Y1091" s="178">
        <v>2.4669842023511076E-2</v>
      </c>
      <c r="Z1091" s="183">
        <v>2.4300055415471533E-2</v>
      </c>
    </row>
    <row r="1092" spans="22:26" x14ac:dyDescent="0.2">
      <c r="V1092" s="180" t="str">
        <f t="shared" si="24"/>
        <v>1w</v>
      </c>
      <c r="W1092" s="177">
        <f>_xll.qlCalendarAdvance(Calendar,W1091,V1092,"f",FALSE)</f>
        <v>46588</v>
      </c>
      <c r="X1092" s="181">
        <f>_xll.qlCalendarAdvance(Calendar,W1092,NDays&amp;"D")</f>
        <v>46590</v>
      </c>
      <c r="Y1092" s="178">
        <v>2.467225549564735E-2</v>
      </c>
      <c r="Z1092" s="183">
        <v>2.4302731528003108E-2</v>
      </c>
    </row>
    <row r="1093" spans="22:26" x14ac:dyDescent="0.2">
      <c r="V1093" s="180" t="str">
        <f t="shared" si="24"/>
        <v>1w</v>
      </c>
      <c r="W1093" s="177">
        <f>_xll.qlCalendarAdvance(Calendar,W1092,V1093,"f",FALSE)</f>
        <v>46595</v>
      </c>
      <c r="X1093" s="181">
        <f>_xll.qlCalendarAdvance(Calendar,W1093,NDays&amp;"D")</f>
        <v>46597</v>
      </c>
      <c r="Y1093" s="178">
        <v>2.4674656387094956E-2</v>
      </c>
      <c r="Z1093" s="183">
        <v>2.4305395362835824E-2</v>
      </c>
    </row>
    <row r="1094" spans="22:26" x14ac:dyDescent="0.2">
      <c r="V1094" s="180" t="str">
        <f t="shared" si="24"/>
        <v>1w</v>
      </c>
      <c r="W1094" s="177">
        <f>_xll.qlCalendarAdvance(Calendar,W1093,V1094,"f",FALSE)</f>
        <v>46602</v>
      </c>
      <c r="X1094" s="181">
        <f>_xll.qlCalendarAdvance(Calendar,W1094,NDays&amp;"D")</f>
        <v>46604</v>
      </c>
      <c r="Y1094" s="178">
        <v>2.4677044697763103E-2</v>
      </c>
      <c r="Z1094" s="183">
        <v>2.4308046919969684E-2</v>
      </c>
    </row>
    <row r="1095" spans="22:26" x14ac:dyDescent="0.2">
      <c r="V1095" s="180" t="str">
        <f t="shared" si="24"/>
        <v>1w</v>
      </c>
      <c r="W1095" s="177">
        <f>_xll.qlCalendarAdvance(Calendar,W1094,V1095,"f",FALSE)</f>
        <v>46609</v>
      </c>
      <c r="X1095" s="181">
        <f>_xll.qlCalendarAdvance(Calendar,W1095,NDays&amp;"D")</f>
        <v>46611</v>
      </c>
      <c r="Y1095" s="178">
        <v>2.4679420427562077E-2</v>
      </c>
      <c r="Z1095" s="183">
        <v>2.4310686199564557E-2</v>
      </c>
    </row>
    <row r="1096" spans="22:26" x14ac:dyDescent="0.2">
      <c r="V1096" s="180" t="str">
        <f t="shared" si="24"/>
        <v>1w</v>
      </c>
      <c r="W1096" s="177">
        <f>_xll.qlCalendarAdvance(Calendar,W1095,V1096,"f",FALSE)</f>
        <v>46616</v>
      </c>
      <c r="X1096" s="181">
        <f>_xll.qlCalendarAdvance(Calendar,W1096,NDays&amp;"D")</f>
        <v>46618</v>
      </c>
      <c r="Y1096" s="178">
        <v>2.468178357640282E-2</v>
      </c>
      <c r="Z1096" s="183">
        <v>2.4313313201460574E-2</v>
      </c>
    </row>
    <row r="1097" spans="22:26" x14ac:dyDescent="0.2">
      <c r="V1097" s="180" t="str">
        <f t="shared" si="24"/>
        <v>1w</v>
      </c>
      <c r="W1097" s="177">
        <f>_xll.qlCalendarAdvance(Calendar,W1096,V1097,"f",FALSE)</f>
        <v>46623</v>
      </c>
      <c r="X1097" s="181">
        <f>_xll.qlCalendarAdvance(Calendar,W1097,NDays&amp;"D")</f>
        <v>46625</v>
      </c>
      <c r="Y1097" s="178">
        <v>2.4684134144195836E-2</v>
      </c>
      <c r="Z1097" s="183">
        <v>2.4315927925657732E-2</v>
      </c>
    </row>
    <row r="1098" spans="22:26" x14ac:dyDescent="0.2">
      <c r="V1098" s="180" t="str">
        <f t="shared" si="24"/>
        <v>1w</v>
      </c>
      <c r="W1098" s="177">
        <f>_xll.qlCalendarAdvance(Calendar,W1097,V1098,"f",FALSE)</f>
        <v>46630</v>
      </c>
      <c r="X1098" s="181">
        <f>_xll.qlCalendarAdvance(Calendar,W1098,NDays&amp;"D")</f>
        <v>46632</v>
      </c>
      <c r="Y1098" s="178">
        <v>2.4686472130852937E-2</v>
      </c>
      <c r="Z1098" s="183">
        <v>2.4318530372315905E-2</v>
      </c>
    </row>
    <row r="1099" spans="22:26" x14ac:dyDescent="0.2">
      <c r="V1099" s="180" t="str">
        <f t="shared" si="24"/>
        <v>1w</v>
      </c>
      <c r="W1099" s="177">
        <f>_xll.qlCalendarAdvance(Calendar,W1098,V1099,"f",FALSE)</f>
        <v>46637</v>
      </c>
      <c r="X1099" s="181">
        <f>_xll.qlCalendarAdvance(Calendar,W1099,NDays&amp;"D")</f>
        <v>46639</v>
      </c>
      <c r="Y1099" s="178">
        <v>2.4688797536286149E-2</v>
      </c>
      <c r="Z1099" s="183">
        <v>2.4321120541195285E-2</v>
      </c>
    </row>
    <row r="1100" spans="22:26" x14ac:dyDescent="0.2">
      <c r="V1100" s="180" t="str">
        <f t="shared" si="24"/>
        <v>1w</v>
      </c>
      <c r="W1100" s="177">
        <f>_xll.qlCalendarAdvance(Calendar,W1099,V1100,"f",FALSE)</f>
        <v>46644</v>
      </c>
      <c r="X1100" s="181">
        <f>_xll.qlCalendarAdvance(Calendar,W1100,NDays&amp;"D")</f>
        <v>46646</v>
      </c>
      <c r="Y1100" s="178">
        <v>2.4691110360407716E-2</v>
      </c>
      <c r="Z1100" s="183">
        <v>2.4323698432535679E-2</v>
      </c>
    </row>
    <row r="1101" spans="22:26" x14ac:dyDescent="0.2">
      <c r="V1101" s="180" t="str">
        <f t="shared" si="24"/>
        <v>1w</v>
      </c>
      <c r="W1101" s="177">
        <f>_xll.qlCalendarAdvance(Calendar,W1100,V1101,"f",FALSE)</f>
        <v>46651</v>
      </c>
      <c r="X1101" s="181">
        <f>_xll.qlCalendarAdvance(Calendar,W1101,NDays&amp;"D")</f>
        <v>46653</v>
      </c>
      <c r="Y1101" s="178">
        <v>2.4693410603130319E-2</v>
      </c>
      <c r="Z1101" s="183">
        <v>2.4326264046257151E-2</v>
      </c>
    </row>
    <row r="1102" spans="22:26" x14ac:dyDescent="0.2">
      <c r="V1102" s="180" t="str">
        <f t="shared" si="24"/>
        <v>1w</v>
      </c>
      <c r="W1102" s="177">
        <f>_xll.qlCalendarAdvance(Calendar,W1101,V1102,"f",FALSE)</f>
        <v>46658</v>
      </c>
      <c r="X1102" s="181">
        <f>_xll.qlCalendarAdvance(Calendar,W1102,NDays&amp;"D")</f>
        <v>46660</v>
      </c>
      <c r="Y1102" s="178">
        <v>2.4692712873258055E-2</v>
      </c>
      <c r="Z1102" s="183">
        <v>2.432881738219983E-2</v>
      </c>
    </row>
    <row r="1103" spans="22:26" x14ac:dyDescent="0.2">
      <c r="V1103" s="180" t="str">
        <f t="shared" si="24"/>
        <v>1w</v>
      </c>
      <c r="W1103" s="177">
        <f>_xll.qlCalendarAdvance(Calendar,W1102,V1103,"f",FALSE)</f>
        <v>46665</v>
      </c>
      <c r="X1103" s="181">
        <f>_xll.qlCalendarAdvance(Calendar,W1103,NDays&amp;"D")</f>
        <v>46667</v>
      </c>
      <c r="Y1103" s="178">
        <v>2.4697973344034549E-2</v>
      </c>
      <c r="Z1103" s="183">
        <v>2.4331358440603523E-2</v>
      </c>
    </row>
    <row r="1104" spans="22:26" x14ac:dyDescent="0.2">
      <c r="V1104" s="180" t="str">
        <f t="shared" si="24"/>
        <v>1w</v>
      </c>
      <c r="W1104" s="177">
        <f>_xll.qlCalendarAdvance(Calendar,W1103,V1104,"f",FALSE)</f>
        <v>46672</v>
      </c>
      <c r="X1104" s="181">
        <f>_xll.qlCalendarAdvance(Calendar,W1104,NDays&amp;"D")</f>
        <v>46674</v>
      </c>
      <c r="Y1104" s="178">
        <v>2.4700235842043929E-2</v>
      </c>
      <c r="Z1104" s="183">
        <v>2.4333887221308359E-2</v>
      </c>
    </row>
    <row r="1105" spans="22:26" x14ac:dyDescent="0.2">
      <c r="V1105" s="180" t="str">
        <f t="shared" si="24"/>
        <v>1w</v>
      </c>
      <c r="W1105" s="177">
        <f>_xll.qlCalendarAdvance(Calendar,W1104,V1105,"f",FALSE)</f>
        <v>46679</v>
      </c>
      <c r="X1105" s="181">
        <f>_xll.qlCalendarAdvance(Calendar,W1105,NDays&amp;"D")</f>
        <v>46681</v>
      </c>
      <c r="Y1105" s="178">
        <v>2.4702485758311351E-2</v>
      </c>
      <c r="Z1105" s="183">
        <v>2.4336403724314337E-2</v>
      </c>
    </row>
    <row r="1106" spans="22:26" x14ac:dyDescent="0.2">
      <c r="V1106" s="180" t="str">
        <f t="shared" si="24"/>
        <v>1w</v>
      </c>
      <c r="W1106" s="177">
        <f>_xll.qlCalendarAdvance(Calendar,W1105,V1106,"f",FALSE)</f>
        <v>46686</v>
      </c>
      <c r="X1106" s="181">
        <f>_xll.qlCalendarAdvance(Calendar,W1106,NDays&amp;"D")</f>
        <v>46688</v>
      </c>
      <c r="Y1106" s="178">
        <v>2.4704723092751891E-2</v>
      </c>
      <c r="Z1106" s="183">
        <v>2.433890794978133E-2</v>
      </c>
    </row>
    <row r="1107" spans="22:26" x14ac:dyDescent="0.2">
      <c r="V1107" s="180" t="str">
        <f t="shared" si="24"/>
        <v>1w</v>
      </c>
      <c r="W1107" s="177">
        <f>_xll.qlCalendarAdvance(Calendar,W1106,V1107,"f",FALSE)</f>
        <v>46693</v>
      </c>
      <c r="X1107" s="181">
        <f>_xll.qlCalendarAdvance(Calendar,W1107,NDays&amp;"D")</f>
        <v>46695</v>
      </c>
      <c r="Y1107" s="178">
        <v>2.4706947845281265E-2</v>
      </c>
      <c r="Z1107" s="183">
        <v>2.4341399897469529E-2</v>
      </c>
    </row>
    <row r="1108" spans="22:26" x14ac:dyDescent="0.2">
      <c r="V1108" s="180" t="str">
        <f t="shared" si="24"/>
        <v>1w</v>
      </c>
      <c r="W1108" s="177">
        <f>_xll.qlCalendarAdvance(Calendar,W1107,V1108,"f",FALSE)</f>
        <v>46700</v>
      </c>
      <c r="X1108" s="181">
        <f>_xll.qlCalendarAdvance(Calendar,W1108,NDays&amp;"D")</f>
        <v>46702</v>
      </c>
      <c r="Y1108" s="178">
        <v>2.4709160015815846E-2</v>
      </c>
      <c r="Z1108" s="183">
        <v>2.4343879567538806E-2</v>
      </c>
    </row>
    <row r="1109" spans="22:26" x14ac:dyDescent="0.2">
      <c r="V1109" s="180" t="str">
        <f t="shared" ref="V1109:V1172" si="25">V1108</f>
        <v>1w</v>
      </c>
      <c r="W1109" s="177">
        <f>_xll.qlCalendarAdvance(Calendar,W1108,V1109,"f",FALSE)</f>
        <v>46707</v>
      </c>
      <c r="X1109" s="181">
        <f>_xll.qlCalendarAdvance(Calendar,W1109,NDays&amp;"D")</f>
        <v>46709</v>
      </c>
      <c r="Y1109" s="178">
        <v>2.471135960427244E-2</v>
      </c>
      <c r="Z1109" s="183">
        <v>2.4346346959989162E-2</v>
      </c>
    </row>
    <row r="1110" spans="22:26" x14ac:dyDescent="0.2">
      <c r="V1110" s="180" t="str">
        <f t="shared" si="25"/>
        <v>1w</v>
      </c>
      <c r="W1110" s="177">
        <f>_xll.qlCalendarAdvance(Calendar,W1109,V1110,"f",FALSE)</f>
        <v>46714</v>
      </c>
      <c r="X1110" s="181">
        <f>_xll.qlCalendarAdvance(Calendar,W1110,NDays&amp;"D")</f>
        <v>46716</v>
      </c>
      <c r="Y1110" s="178">
        <v>2.4713546610568283E-2</v>
      </c>
      <c r="Z1110" s="183">
        <v>2.4348802074900533E-2</v>
      </c>
    </row>
    <row r="1111" spans="22:26" x14ac:dyDescent="0.2">
      <c r="V1111" s="180" t="str">
        <f t="shared" si="25"/>
        <v>1w</v>
      </c>
      <c r="W1111" s="177">
        <f>_xll.qlCalendarAdvance(Calendar,W1110,V1111,"f",FALSE)</f>
        <v>46721</v>
      </c>
      <c r="X1111" s="181">
        <f>_xll.qlCalendarAdvance(Calendar,W1111,NDays&amp;"D")</f>
        <v>46723</v>
      </c>
      <c r="Y1111" s="178">
        <v>2.4715721034620837E-2</v>
      </c>
      <c r="Z1111" s="183">
        <v>2.435124491203311E-2</v>
      </c>
    </row>
    <row r="1112" spans="22:26" x14ac:dyDescent="0.2">
      <c r="V1112" s="180" t="str">
        <f t="shared" si="25"/>
        <v>1w</v>
      </c>
      <c r="W1112" s="177">
        <f>_xll.qlCalendarAdvance(Calendar,W1111,V1112,"f",FALSE)</f>
        <v>46728</v>
      </c>
      <c r="X1112" s="181">
        <f>_xll.qlCalendarAdvance(Calendar,W1112,NDays&amp;"D")</f>
        <v>46730</v>
      </c>
      <c r="Y1112" s="178">
        <v>2.4717882876348209E-2</v>
      </c>
      <c r="Z1112" s="183">
        <v>2.4353675471466829E-2</v>
      </c>
    </row>
    <row r="1113" spans="22:26" x14ac:dyDescent="0.2">
      <c r="V1113" s="180" t="str">
        <f t="shared" si="25"/>
        <v>1w</v>
      </c>
      <c r="W1113" s="177">
        <f>_xll.qlCalendarAdvance(Calendar,W1112,V1113,"f",FALSE)</f>
        <v>46735</v>
      </c>
      <c r="X1113" s="181">
        <f>_xll.qlCalendarAdvance(Calendar,W1113,NDays&amp;"D")</f>
        <v>46737</v>
      </c>
      <c r="Y1113" s="178">
        <v>2.4720032135669378E-2</v>
      </c>
      <c r="Z1113" s="183">
        <v>2.4356093753361563E-2</v>
      </c>
    </row>
    <row r="1114" spans="22:26" x14ac:dyDescent="0.2">
      <c r="V1114" s="180" t="str">
        <f t="shared" si="25"/>
        <v>1w</v>
      </c>
      <c r="W1114" s="177">
        <f>_xll.qlCalendarAdvance(Calendar,W1113,V1114,"f",FALSE)</f>
        <v>46742</v>
      </c>
      <c r="X1114" s="181">
        <f>_xll.qlCalendarAdvance(Calendar,W1114,NDays&amp;"D")</f>
        <v>46744</v>
      </c>
      <c r="Y1114" s="178">
        <v>2.4724140956608014E-2</v>
      </c>
      <c r="Z1114" s="183">
        <v>2.4358499757477503E-2</v>
      </c>
    </row>
    <row r="1115" spans="22:26" x14ac:dyDescent="0.2">
      <c r="V1115" s="180" t="str">
        <f t="shared" si="25"/>
        <v>1w</v>
      </c>
      <c r="W1115" s="177">
        <f>_xll.qlCalendarAdvance(Calendar,W1114,V1115,"f",FALSE)</f>
        <v>46749</v>
      </c>
      <c r="X1115" s="181">
        <f>_xll.qlCalendarAdvance(Calendar,W1115,NDays&amp;"D")</f>
        <v>46751</v>
      </c>
      <c r="Y1115" s="178">
        <v>2.4721336745078131E-2</v>
      </c>
      <c r="Z1115" s="183">
        <v>2.4360893484054458E-2</v>
      </c>
    </row>
    <row r="1116" spans="22:26" x14ac:dyDescent="0.2">
      <c r="V1116" s="180" t="str">
        <f t="shared" si="25"/>
        <v>1w</v>
      </c>
      <c r="W1116" s="177">
        <f>_xll.qlCalendarAdvance(Calendar,W1115,V1116,"f",FALSE)</f>
        <v>46756</v>
      </c>
      <c r="X1116" s="181">
        <f>_xll.qlCalendarAdvance(Calendar,W1116,NDays&amp;"D")</f>
        <v>46758</v>
      </c>
      <c r="Y1116" s="178">
        <v>2.4726404418387173E-2</v>
      </c>
      <c r="Z1116" s="183">
        <v>2.4363274932932555E-2</v>
      </c>
    </row>
    <row r="1117" spans="22:26" x14ac:dyDescent="0.2">
      <c r="V1117" s="180" t="str">
        <f t="shared" si="25"/>
        <v>1w</v>
      </c>
      <c r="W1117" s="177">
        <f>_xll.qlCalendarAdvance(Calendar,W1116,V1117,"f",FALSE)</f>
        <v>46763</v>
      </c>
      <c r="X1117" s="181">
        <f>_xll.qlCalendarAdvance(Calendar,W1117,NDays&amp;"D")</f>
        <v>46765</v>
      </c>
      <c r="Y1117" s="178">
        <v>2.4728503347278302E-2</v>
      </c>
      <c r="Z1117" s="183">
        <v>2.436564410419173E-2</v>
      </c>
    </row>
    <row r="1118" spans="22:26" x14ac:dyDescent="0.2">
      <c r="V1118" s="180" t="str">
        <f t="shared" si="25"/>
        <v>1w</v>
      </c>
      <c r="W1118" s="177">
        <f>_xll.qlCalendarAdvance(Calendar,W1117,V1118,"f",FALSE)</f>
        <v>46770</v>
      </c>
      <c r="X1118" s="181">
        <f>_xll.qlCalendarAdvance(Calendar,W1118,NDays&amp;"D")</f>
        <v>46772</v>
      </c>
      <c r="Y1118" s="178">
        <v>2.4730589693363107E-2</v>
      </c>
      <c r="Z1118" s="183">
        <v>2.4368000997752048E-2</v>
      </c>
    </row>
    <row r="1119" spans="22:26" x14ac:dyDescent="0.2">
      <c r="V1119" s="180" t="str">
        <f t="shared" si="25"/>
        <v>1w</v>
      </c>
      <c r="W1119" s="177">
        <f>_xll.qlCalendarAdvance(Calendar,W1118,V1119,"f",FALSE)</f>
        <v>46777</v>
      </c>
      <c r="X1119" s="181">
        <f>_xll.qlCalendarAdvance(Calendar,W1119,NDays&amp;"D")</f>
        <v>46779</v>
      </c>
      <c r="Y1119" s="178">
        <v>2.4732663456562966E-2</v>
      </c>
      <c r="Z1119" s="183">
        <v>2.4370345613693445E-2</v>
      </c>
    </row>
    <row r="1120" spans="22:26" x14ac:dyDescent="0.2">
      <c r="V1120" s="180" t="str">
        <f t="shared" si="25"/>
        <v>1w</v>
      </c>
      <c r="W1120" s="177">
        <f>_xll.qlCalendarAdvance(Calendar,W1119,V1120,"f",FALSE)</f>
        <v>46784</v>
      </c>
      <c r="X1120" s="181">
        <f>_xll.qlCalendarAdvance(Calendar,W1120,NDays&amp;"D")</f>
        <v>46786</v>
      </c>
      <c r="Y1120" s="178">
        <v>2.4734724636800109E-2</v>
      </c>
      <c r="Z1120" s="183">
        <v>2.437267795201592E-2</v>
      </c>
    </row>
    <row r="1121" spans="22:26" x14ac:dyDescent="0.2">
      <c r="V1121" s="180" t="str">
        <f t="shared" si="25"/>
        <v>1w</v>
      </c>
      <c r="W1121" s="177">
        <f>_xll.qlCalendarAdvance(Calendar,W1120,V1121,"f",FALSE)</f>
        <v>46791</v>
      </c>
      <c r="X1121" s="181">
        <f>_xll.qlCalendarAdvance(Calendar,W1121,NDays&amp;"D")</f>
        <v>46793</v>
      </c>
      <c r="Y1121" s="178">
        <v>2.473677323399677E-2</v>
      </c>
      <c r="Z1121" s="183">
        <v>2.4374998012639537E-2</v>
      </c>
    </row>
    <row r="1122" spans="22:26" x14ac:dyDescent="0.2">
      <c r="V1122" s="180" t="str">
        <f t="shared" si="25"/>
        <v>1w</v>
      </c>
      <c r="W1122" s="177">
        <f>_xll.qlCalendarAdvance(Calendar,W1121,V1122,"f",FALSE)</f>
        <v>46798</v>
      </c>
      <c r="X1122" s="181">
        <f>_xll.qlCalendarAdvance(Calendar,W1122,NDays&amp;"D")</f>
        <v>46800</v>
      </c>
      <c r="Y1122" s="178">
        <v>2.473880924807606E-2</v>
      </c>
      <c r="Z1122" s="183">
        <v>2.4377305795564297E-2</v>
      </c>
    </row>
    <row r="1123" spans="22:26" x14ac:dyDescent="0.2">
      <c r="V1123" s="180" t="str">
        <f t="shared" si="25"/>
        <v>1w</v>
      </c>
      <c r="W1123" s="177">
        <f>_xll.qlCalendarAdvance(Calendar,W1122,V1123,"f",FALSE)</f>
        <v>46805</v>
      </c>
      <c r="X1123" s="181">
        <f>_xll.qlCalendarAdvance(Calendar,W1123,NDays&amp;"D")</f>
        <v>46807</v>
      </c>
      <c r="Y1123" s="178">
        <v>2.4740832678960861E-2</v>
      </c>
      <c r="Z1123" s="183">
        <v>2.4379601300870135E-2</v>
      </c>
    </row>
    <row r="1124" spans="22:26" x14ac:dyDescent="0.2">
      <c r="V1124" s="180" t="str">
        <f t="shared" si="25"/>
        <v>1w</v>
      </c>
      <c r="W1124" s="177">
        <f>_xll.qlCalendarAdvance(Calendar,W1123,V1124,"f",FALSE)</f>
        <v>46812</v>
      </c>
      <c r="X1124" s="181">
        <f>_xll.qlCalendarAdvance(Calendar,W1124,NDays&amp;"D")</f>
        <v>46814</v>
      </c>
      <c r="Y1124" s="178">
        <v>2.4739907852038098E-2</v>
      </c>
      <c r="Z1124" s="183">
        <v>2.4381884528557052E-2</v>
      </c>
    </row>
    <row r="1125" spans="22:26" x14ac:dyDescent="0.2">
      <c r="V1125" s="180" t="str">
        <f t="shared" si="25"/>
        <v>1w</v>
      </c>
      <c r="W1125" s="177">
        <f>_xll.qlCalendarAdvance(Calendar,W1124,V1125,"f",FALSE)</f>
        <v>46819</v>
      </c>
      <c r="X1125" s="181">
        <f>_xll.qlCalendarAdvance(Calendar,W1125,NDays&amp;"D")</f>
        <v>46821</v>
      </c>
      <c r="Y1125" s="178">
        <v>2.4741908405375334E-2</v>
      </c>
      <c r="Z1125" s="183">
        <v>2.4384155478545111E-2</v>
      </c>
    </row>
    <row r="1126" spans="22:26" x14ac:dyDescent="0.2">
      <c r="V1126" s="180" t="str">
        <f t="shared" si="25"/>
        <v>1w</v>
      </c>
      <c r="W1126" s="177">
        <f>_xll.qlCalendarAdvance(Calendar,W1125,V1126,"f",FALSE)</f>
        <v>46826</v>
      </c>
      <c r="X1126" s="181">
        <f>_xll.qlCalendarAdvance(Calendar,W1126,NDays&amp;"D")</f>
        <v>46828</v>
      </c>
      <c r="Y1126" s="178">
        <v>2.4743896377837048E-2</v>
      </c>
      <c r="Z1126" s="183">
        <v>2.4386414150834312E-2</v>
      </c>
    </row>
    <row r="1127" spans="22:26" x14ac:dyDescent="0.2">
      <c r="V1127" s="180" t="str">
        <f t="shared" si="25"/>
        <v>1w</v>
      </c>
      <c r="W1127" s="177">
        <f>_xll.qlCalendarAdvance(Calendar,W1126,V1127,"f",FALSE)</f>
        <v>46833</v>
      </c>
      <c r="X1127" s="181">
        <f>_xll.qlCalendarAdvance(Calendar,W1127,NDays&amp;"D")</f>
        <v>46835</v>
      </c>
      <c r="Y1127" s="178">
        <v>2.4745871769349004E-2</v>
      </c>
      <c r="Z1127" s="183">
        <v>2.4388660545584528E-2</v>
      </c>
    </row>
    <row r="1128" spans="22:26" x14ac:dyDescent="0.2">
      <c r="V1128" s="180" t="str">
        <f t="shared" si="25"/>
        <v>1w</v>
      </c>
      <c r="W1128" s="177">
        <f>_xll.qlCalendarAdvance(Calendar,W1127,V1128,"f",FALSE)</f>
        <v>46840</v>
      </c>
      <c r="X1128" s="181">
        <f>_xll.qlCalendarAdvance(Calendar,W1128,NDays&amp;"D")</f>
        <v>46842</v>
      </c>
      <c r="Y1128" s="178">
        <v>2.4746859019995193E-2</v>
      </c>
      <c r="Z1128" s="183">
        <v>2.4390894662555951E-2</v>
      </c>
    </row>
    <row r="1129" spans="22:26" x14ac:dyDescent="0.2">
      <c r="V1129" s="180" t="str">
        <f t="shared" si="25"/>
        <v>1w</v>
      </c>
      <c r="W1129" s="177">
        <f>_xll.qlCalendarAdvance(Calendar,W1128,V1129,"f",FALSE)</f>
        <v>46847</v>
      </c>
      <c r="X1129" s="181">
        <f>_xll.qlCalendarAdvance(Calendar,W1129,NDays&amp;"D")</f>
        <v>46849</v>
      </c>
      <c r="Y1129" s="178">
        <v>2.4749784809228851E-2</v>
      </c>
      <c r="Z1129" s="183">
        <v>2.4393116501988388E-2</v>
      </c>
    </row>
    <row r="1130" spans="22:26" x14ac:dyDescent="0.2">
      <c r="V1130" s="180" t="str">
        <f t="shared" si="25"/>
        <v>1w</v>
      </c>
      <c r="W1130" s="177">
        <f>_xll.qlCalendarAdvance(Calendar,W1129,V1130,"f",FALSE)</f>
        <v>46854</v>
      </c>
      <c r="X1130" s="181">
        <f>_xll.qlCalendarAdvance(Calendar,W1130,NDays&amp;"D")</f>
        <v>46856</v>
      </c>
      <c r="Y1130" s="178">
        <v>2.4751722457450668E-2</v>
      </c>
      <c r="Z1130" s="183">
        <v>2.4399261544415296E-2</v>
      </c>
    </row>
    <row r="1131" spans="22:26" x14ac:dyDescent="0.2">
      <c r="V1131" s="180" t="str">
        <f t="shared" si="25"/>
        <v>1w</v>
      </c>
      <c r="W1131" s="177">
        <f>_xll.qlCalendarAdvance(Calendar,W1130,V1131,"f",FALSE)</f>
        <v>46861</v>
      </c>
      <c r="X1131" s="181">
        <f>_xll.qlCalendarAdvance(Calendar,W1131,NDays&amp;"D")</f>
        <v>46863</v>
      </c>
      <c r="Y1131" s="178">
        <v>2.4753647524430138E-2</v>
      </c>
      <c r="Z1131" s="183">
        <v>2.4397523347756689E-2</v>
      </c>
    </row>
    <row r="1132" spans="22:26" x14ac:dyDescent="0.2">
      <c r="V1132" s="180" t="str">
        <f t="shared" si="25"/>
        <v>1w</v>
      </c>
      <c r="W1132" s="177">
        <f>_xll.qlCalendarAdvance(Calendar,W1131,V1132,"f",FALSE)</f>
        <v>46868</v>
      </c>
      <c r="X1132" s="181">
        <f>_xll.qlCalendarAdvance(Calendar,W1132,NDays&amp;"D")</f>
        <v>46870</v>
      </c>
      <c r="Y1132" s="178">
        <v>2.4755560010095861E-2</v>
      </c>
      <c r="Z1132" s="183">
        <v>2.4399708354172489E-2</v>
      </c>
    </row>
    <row r="1133" spans="22:26" x14ac:dyDescent="0.2">
      <c r="V1133" s="180" t="str">
        <f t="shared" si="25"/>
        <v>1w</v>
      </c>
      <c r="W1133" s="177">
        <f>_xll.qlCalendarAdvance(Calendar,W1132,V1133,"f",FALSE)</f>
        <v>46875</v>
      </c>
      <c r="X1133" s="181">
        <f>_xll.qlCalendarAdvance(Calendar,W1133,NDays&amp;"D")</f>
        <v>46877</v>
      </c>
      <c r="Y1133" s="178">
        <v>2.4757459914376008E-2</v>
      </c>
      <c r="Z1133" s="183">
        <v>2.4401881082889432E-2</v>
      </c>
    </row>
    <row r="1134" spans="22:26" x14ac:dyDescent="0.2">
      <c r="V1134" s="180" t="str">
        <f t="shared" si="25"/>
        <v>1w</v>
      </c>
      <c r="W1134" s="177">
        <f>_xll.qlCalendarAdvance(Calendar,W1133,V1134,"f",FALSE)</f>
        <v>46882</v>
      </c>
      <c r="X1134" s="181">
        <f>_xll.qlCalendarAdvance(Calendar,W1134,NDays&amp;"D")</f>
        <v>46884</v>
      </c>
      <c r="Y1134" s="178">
        <v>2.4759347237200059E-2</v>
      </c>
      <c r="Z1134" s="183">
        <v>2.4404041533987453E-2</v>
      </c>
    </row>
    <row r="1135" spans="22:26" x14ac:dyDescent="0.2">
      <c r="V1135" s="180" t="str">
        <f t="shared" si="25"/>
        <v>1w</v>
      </c>
      <c r="W1135" s="177">
        <f>_xll.qlCalendarAdvance(Calendar,W1134,V1135,"f",FALSE)</f>
        <v>46889</v>
      </c>
      <c r="X1135" s="181">
        <f>_xll.qlCalendarAdvance(Calendar,W1135,NDays&amp;"D")</f>
        <v>46891</v>
      </c>
      <c r="Y1135" s="178">
        <v>2.4761221978497276E-2</v>
      </c>
      <c r="Z1135" s="183">
        <v>2.4406189707386616E-2</v>
      </c>
    </row>
    <row r="1136" spans="22:26" x14ac:dyDescent="0.2">
      <c r="V1136" s="180" t="str">
        <f t="shared" si="25"/>
        <v>1w</v>
      </c>
      <c r="W1136" s="177">
        <f>_xll.qlCalendarAdvance(Calendar,W1135,V1136,"f",FALSE)</f>
        <v>46896</v>
      </c>
      <c r="X1136" s="181">
        <f>_xll.qlCalendarAdvance(Calendar,W1136,NDays&amp;"D")</f>
        <v>46898</v>
      </c>
      <c r="Y1136" s="178">
        <v>2.4763084138197798E-2</v>
      </c>
      <c r="Z1136" s="183">
        <v>2.4408325603166858E-2</v>
      </c>
    </row>
    <row r="1137" spans="22:26" x14ac:dyDescent="0.2">
      <c r="V1137" s="180" t="str">
        <f t="shared" si="25"/>
        <v>1w</v>
      </c>
      <c r="W1137" s="177">
        <f>_xll.qlCalendarAdvance(Calendar,W1136,V1137,"f",FALSE)</f>
        <v>46903</v>
      </c>
      <c r="X1137" s="181">
        <f>_xll.qlCalendarAdvance(Calendar,W1137,NDays&amp;"D")</f>
        <v>46905</v>
      </c>
      <c r="Y1137" s="178">
        <v>2.4764933716231979E-2</v>
      </c>
      <c r="Z1137" s="183">
        <v>2.4410449221328179E-2</v>
      </c>
    </row>
    <row r="1138" spans="22:26" x14ac:dyDescent="0.2">
      <c r="V1138" s="180" t="str">
        <f t="shared" si="25"/>
        <v>1w</v>
      </c>
      <c r="W1138" s="177">
        <f>_xll.qlCalendarAdvance(Calendar,W1137,V1138,"f",FALSE)</f>
        <v>46910</v>
      </c>
      <c r="X1138" s="181">
        <f>_xll.qlCalendarAdvance(Calendar,W1138,NDays&amp;"D")</f>
        <v>46912</v>
      </c>
      <c r="Y1138" s="178">
        <v>2.4766770712530837E-2</v>
      </c>
      <c r="Z1138" s="183">
        <v>2.4412560561710706E-2</v>
      </c>
    </row>
    <row r="1139" spans="22:26" x14ac:dyDescent="0.2">
      <c r="V1139" s="180" t="str">
        <f t="shared" si="25"/>
        <v>1w</v>
      </c>
      <c r="W1139" s="177">
        <f>_xll.qlCalendarAdvance(Calendar,W1138,V1139,"f",FALSE)</f>
        <v>46917</v>
      </c>
      <c r="X1139" s="181">
        <f>_xll.qlCalendarAdvance(Calendar,W1139,NDays&amp;"D")</f>
        <v>46919</v>
      </c>
      <c r="Y1139" s="178">
        <v>2.4768595127025603E-2</v>
      </c>
      <c r="Z1139" s="183">
        <v>2.4414659624554247E-2</v>
      </c>
    </row>
    <row r="1140" spans="22:26" x14ac:dyDescent="0.2">
      <c r="V1140" s="180" t="str">
        <f t="shared" si="25"/>
        <v>1w</v>
      </c>
      <c r="W1140" s="177">
        <f>_xll.qlCalendarAdvance(Calendar,W1139,V1140,"f",FALSE)</f>
        <v>46924</v>
      </c>
      <c r="X1140" s="181">
        <f>_xll.qlCalendarAdvance(Calendar,W1140,NDays&amp;"D")</f>
        <v>46926</v>
      </c>
      <c r="Y1140" s="178">
        <v>2.4770406959648602E-2</v>
      </c>
      <c r="Z1140" s="183">
        <v>2.4416746409778867E-2</v>
      </c>
    </row>
    <row r="1141" spans="22:26" x14ac:dyDescent="0.2">
      <c r="V1141" s="180" t="str">
        <f t="shared" si="25"/>
        <v>1w</v>
      </c>
      <c r="W1141" s="177">
        <f>_xll.qlCalendarAdvance(Calendar,W1140,V1141,"f",FALSE)</f>
        <v>46931</v>
      </c>
      <c r="X1141" s="181">
        <f>_xll.qlCalendarAdvance(Calendar,W1141,NDays&amp;"D")</f>
        <v>46933</v>
      </c>
      <c r="Y1141" s="178">
        <v>2.4772206210331733E-2</v>
      </c>
      <c r="Z1141" s="183">
        <v>2.4418820917224693E-2</v>
      </c>
    </row>
    <row r="1142" spans="22:26" x14ac:dyDescent="0.2">
      <c r="V1142" s="180" t="str">
        <f t="shared" si="25"/>
        <v>1w</v>
      </c>
      <c r="W1142" s="177">
        <f>_xll.qlCalendarAdvance(Calendar,W1141,V1142,"f",FALSE)</f>
        <v>46938</v>
      </c>
      <c r="X1142" s="181">
        <f>_xll.qlCalendarAdvance(Calendar,W1142,NDays&amp;"D")</f>
        <v>46940</v>
      </c>
      <c r="Y1142" s="178">
        <v>2.4773992879007754E-2</v>
      </c>
      <c r="Z1142" s="183">
        <v>2.4420883146971661E-2</v>
      </c>
    </row>
    <row r="1143" spans="22:26" x14ac:dyDescent="0.2">
      <c r="V1143" s="180" t="str">
        <f t="shared" si="25"/>
        <v>1w</v>
      </c>
      <c r="W1143" s="177">
        <f>_xll.qlCalendarAdvance(Calendar,W1142,V1143,"f",FALSE)</f>
        <v>46945</v>
      </c>
      <c r="X1143" s="181">
        <f>_xll.qlCalendarAdvance(Calendar,W1143,NDays&amp;"D")</f>
        <v>46947</v>
      </c>
      <c r="Y1143" s="178">
        <v>2.4775766965610527E-2</v>
      </c>
      <c r="Z1143" s="183">
        <v>2.4422933099179645E-2</v>
      </c>
    </row>
    <row r="1144" spans="22:26" x14ac:dyDescent="0.2">
      <c r="V1144" s="180" t="str">
        <f t="shared" si="25"/>
        <v>1w</v>
      </c>
      <c r="W1144" s="177">
        <f>_xll.qlCalendarAdvance(Calendar,W1143,V1144,"f",FALSE)</f>
        <v>46952</v>
      </c>
      <c r="X1144" s="181">
        <f>_xll.qlCalendarAdvance(Calendar,W1144,NDays&amp;"D")</f>
        <v>46954</v>
      </c>
      <c r="Y1144" s="178">
        <v>2.477752847007304E-2</v>
      </c>
      <c r="Z1144" s="183">
        <v>2.442497077368877E-2</v>
      </c>
    </row>
    <row r="1145" spans="22:26" x14ac:dyDescent="0.2">
      <c r="V1145" s="180" t="str">
        <f t="shared" si="25"/>
        <v>1w</v>
      </c>
      <c r="W1145" s="177">
        <f>_xll.qlCalendarAdvance(Calendar,W1144,V1145,"f",FALSE)</f>
        <v>46959</v>
      </c>
      <c r="X1145" s="181">
        <f>_xll.qlCalendarAdvance(Calendar,W1145,NDays&amp;"D")</f>
        <v>46961</v>
      </c>
      <c r="Y1145" s="178">
        <v>2.4779277392330247E-2</v>
      </c>
      <c r="Z1145" s="183">
        <v>2.4426996170578974E-2</v>
      </c>
    </row>
    <row r="1146" spans="22:26" x14ac:dyDescent="0.2">
      <c r="V1146" s="180" t="str">
        <f t="shared" si="25"/>
        <v>1w</v>
      </c>
      <c r="W1146" s="177">
        <f>_xll.qlCalendarAdvance(Calendar,W1145,V1146,"f",FALSE)</f>
        <v>46966</v>
      </c>
      <c r="X1146" s="181">
        <f>_xll.qlCalendarAdvance(Calendar,W1146,NDays&amp;"D")</f>
        <v>46968</v>
      </c>
      <c r="Y1146" s="178">
        <v>2.4781013732316233E-2</v>
      </c>
      <c r="Z1146" s="183">
        <v>2.4429009289690384E-2</v>
      </c>
    </row>
    <row r="1147" spans="22:26" x14ac:dyDescent="0.2">
      <c r="V1147" s="180" t="str">
        <f t="shared" si="25"/>
        <v>1w</v>
      </c>
      <c r="W1147" s="177">
        <f>_xll.qlCalendarAdvance(Calendar,W1146,V1147,"f",FALSE)</f>
        <v>46973</v>
      </c>
      <c r="X1147" s="181">
        <f>_xll.qlCalendarAdvance(Calendar,W1147,NDays&amp;"D")</f>
        <v>46975</v>
      </c>
      <c r="Y1147" s="178">
        <v>2.4782737489966605E-2</v>
      </c>
      <c r="Z1147" s="183">
        <v>2.4431010131262809E-2</v>
      </c>
    </row>
    <row r="1148" spans="22:26" x14ac:dyDescent="0.2">
      <c r="V1148" s="180" t="str">
        <f t="shared" si="25"/>
        <v>1w</v>
      </c>
      <c r="W1148" s="177">
        <f>_xll.qlCalendarAdvance(Calendar,W1147,V1148,"f",FALSE)</f>
        <v>46980</v>
      </c>
      <c r="X1148" s="181">
        <f>_xll.qlCalendarAdvance(Calendar,W1148,NDays&amp;"D")</f>
        <v>46982</v>
      </c>
      <c r="Y1148" s="178">
        <v>2.4784448665216976E-2</v>
      </c>
      <c r="Z1148" s="183">
        <v>2.4432998695136376E-2</v>
      </c>
    </row>
    <row r="1149" spans="22:26" x14ac:dyDescent="0.2">
      <c r="V1149" s="180" t="str">
        <f t="shared" si="25"/>
        <v>1w</v>
      </c>
      <c r="W1149" s="177">
        <f>_xll.qlCalendarAdvance(Calendar,W1148,V1149,"f",FALSE)</f>
        <v>46987</v>
      </c>
      <c r="X1149" s="181">
        <f>_xll.qlCalendarAdvance(Calendar,W1149,NDays&amp;"D")</f>
        <v>46989</v>
      </c>
      <c r="Y1149" s="178">
        <v>2.4786147258003183E-2</v>
      </c>
      <c r="Z1149" s="183">
        <v>2.4434974981311086E-2</v>
      </c>
    </row>
    <row r="1150" spans="22:26" x14ac:dyDescent="0.2">
      <c r="V1150" s="180" t="str">
        <f t="shared" si="25"/>
        <v>1w</v>
      </c>
      <c r="W1150" s="177">
        <f>_xll.qlCalendarAdvance(Calendar,W1149,V1150,"f",FALSE)</f>
        <v>46994</v>
      </c>
      <c r="X1150" s="181">
        <f>_xll.qlCalendarAdvance(Calendar,W1150,NDays&amp;"D")</f>
        <v>46996</v>
      </c>
      <c r="Y1150" s="178">
        <v>2.4787833268261932E-2</v>
      </c>
      <c r="Z1150" s="183">
        <v>2.4436938989866874E-2</v>
      </c>
    </row>
    <row r="1151" spans="22:26" x14ac:dyDescent="0.2">
      <c r="V1151" s="180" t="str">
        <f t="shared" si="25"/>
        <v>1w</v>
      </c>
      <c r="W1151" s="177">
        <f>_xll.qlCalendarAdvance(Calendar,W1150,V1151,"f",FALSE)</f>
        <v>47001</v>
      </c>
      <c r="X1151" s="181">
        <f>_xll.qlCalendarAdvance(Calendar,W1151,NDays&amp;"D")</f>
        <v>47003</v>
      </c>
      <c r="Y1151" s="178">
        <v>2.4789506695930368E-2</v>
      </c>
      <c r="Z1151" s="183">
        <v>2.4438890720803741E-2</v>
      </c>
    </row>
    <row r="1152" spans="22:26" x14ac:dyDescent="0.2">
      <c r="V1152" s="180" t="str">
        <f t="shared" si="25"/>
        <v>1w</v>
      </c>
      <c r="W1152" s="177">
        <f>_xll.qlCalendarAdvance(Calendar,W1151,V1152,"f",FALSE)</f>
        <v>47008</v>
      </c>
      <c r="X1152" s="181">
        <f>_xll.qlCalendarAdvance(Calendar,W1152,NDays&amp;"D")</f>
        <v>47010</v>
      </c>
      <c r="Y1152" s="178">
        <v>2.4791167540945638E-2</v>
      </c>
      <c r="Z1152" s="183">
        <v>2.444083017404175E-2</v>
      </c>
    </row>
    <row r="1153" spans="22:26" x14ac:dyDescent="0.2">
      <c r="V1153" s="180" t="str">
        <f t="shared" si="25"/>
        <v>1w</v>
      </c>
      <c r="W1153" s="177">
        <f>_xll.qlCalendarAdvance(Calendar,W1152,V1153,"f",FALSE)</f>
        <v>47015</v>
      </c>
      <c r="X1153" s="181">
        <f>_xll.qlCalendarAdvance(Calendar,W1153,NDays&amp;"D")</f>
        <v>47017</v>
      </c>
      <c r="Y1153" s="178">
        <v>2.479281580324642E-2</v>
      </c>
      <c r="Z1153" s="183">
        <v>2.4442757349500965E-2</v>
      </c>
    </row>
    <row r="1154" spans="22:26" x14ac:dyDescent="0.2">
      <c r="V1154" s="180" t="str">
        <f t="shared" si="25"/>
        <v>1w</v>
      </c>
      <c r="W1154" s="177">
        <f>_xll.qlCalendarAdvance(Calendar,W1153,V1154,"f",FALSE)</f>
        <v>47022</v>
      </c>
      <c r="X1154" s="181">
        <f>_xll.qlCalendarAdvance(Calendar,W1154,NDays&amp;"D")</f>
        <v>47024</v>
      </c>
      <c r="Y1154" s="178">
        <v>2.4794451482770302E-2</v>
      </c>
      <c r="Z1154" s="183">
        <v>2.4444672247421195E-2</v>
      </c>
    </row>
    <row r="1155" spans="22:26" x14ac:dyDescent="0.2">
      <c r="V1155" s="180" t="str">
        <f t="shared" si="25"/>
        <v>1w</v>
      </c>
      <c r="W1155" s="177">
        <f>_xll.qlCalendarAdvance(Calendar,W1154,V1155,"f",FALSE)</f>
        <v>47029</v>
      </c>
      <c r="X1155" s="181">
        <f>_xll.qlCalendarAdvance(Calendar,W1155,NDays&amp;"D")</f>
        <v>47031</v>
      </c>
      <c r="Y1155" s="178">
        <v>2.4796074579457053E-2</v>
      </c>
      <c r="Z1155" s="183">
        <v>2.4446574867722504E-2</v>
      </c>
    </row>
    <row r="1156" spans="22:26" x14ac:dyDescent="0.2">
      <c r="V1156" s="180" t="str">
        <f t="shared" si="25"/>
        <v>1w</v>
      </c>
      <c r="W1156" s="177">
        <f>_xll.qlCalendarAdvance(Calendar,W1155,V1156,"f",FALSE)</f>
        <v>47036</v>
      </c>
      <c r="X1156" s="181">
        <f>_xll.qlCalendarAdvance(Calendar,W1156,NDays&amp;"D")</f>
        <v>47038</v>
      </c>
      <c r="Y1156" s="178">
        <v>2.4797685093245574E-2</v>
      </c>
      <c r="Z1156" s="183">
        <v>2.4448465210245018E-2</v>
      </c>
    </row>
    <row r="1157" spans="22:26" x14ac:dyDescent="0.2">
      <c r="V1157" s="180" t="str">
        <f t="shared" si="25"/>
        <v>1w</v>
      </c>
      <c r="W1157" s="177">
        <f>_xll.qlCalendarAdvance(Calendar,W1156,V1157,"f",FALSE)</f>
        <v>47043</v>
      </c>
      <c r="X1157" s="181">
        <f>_xll.qlCalendarAdvance(Calendar,W1157,NDays&amp;"D")</f>
        <v>47045</v>
      </c>
      <c r="Y1157" s="178">
        <v>2.4799283024075861E-2</v>
      </c>
      <c r="Z1157" s="183">
        <v>2.4450343275148612E-2</v>
      </c>
    </row>
    <row r="1158" spans="22:26" x14ac:dyDescent="0.2">
      <c r="V1158" s="180" t="str">
        <f t="shared" si="25"/>
        <v>1w</v>
      </c>
      <c r="W1158" s="177">
        <f>_xll.qlCalendarAdvance(Calendar,W1157,V1158,"f",FALSE)</f>
        <v>47050</v>
      </c>
      <c r="X1158" s="181">
        <f>_xll.qlCalendarAdvance(Calendar,W1158,NDays&amp;"D")</f>
        <v>47052</v>
      </c>
      <c r="Y1158" s="178">
        <v>2.4800868371887903E-2</v>
      </c>
      <c r="Z1158" s="183">
        <v>2.4452209062433283E-2</v>
      </c>
    </row>
    <row r="1159" spans="22:26" x14ac:dyDescent="0.2">
      <c r="V1159" s="180" t="str">
        <f t="shared" si="25"/>
        <v>1w</v>
      </c>
      <c r="W1159" s="177">
        <f>_xll.qlCalendarAdvance(Calendar,W1158,V1159,"f",FALSE)</f>
        <v>47057</v>
      </c>
      <c r="X1159" s="181">
        <f>_xll.qlCalendarAdvance(Calendar,W1159,NDays&amp;"D")</f>
        <v>47059</v>
      </c>
      <c r="Y1159" s="178">
        <v>2.4802441136623225E-2</v>
      </c>
      <c r="Z1159" s="183">
        <v>2.4454062572099033E-2</v>
      </c>
    </row>
    <row r="1160" spans="22:26" x14ac:dyDescent="0.2">
      <c r="V1160" s="180" t="str">
        <f t="shared" si="25"/>
        <v>1w</v>
      </c>
      <c r="W1160" s="177">
        <f>_xll.qlCalendarAdvance(Calendar,W1159,V1160,"f",FALSE)</f>
        <v>47064</v>
      </c>
      <c r="X1160" s="181">
        <f>_xll.qlCalendarAdvance(Calendar,W1160,NDays&amp;"D")</f>
        <v>47066</v>
      </c>
      <c r="Y1160" s="178">
        <v>2.4804001296504841E-2</v>
      </c>
      <c r="Z1160" s="183">
        <v>2.445590380398599E-2</v>
      </c>
    </row>
    <row r="1161" spans="22:26" x14ac:dyDescent="0.2">
      <c r="V1161" s="180" t="str">
        <f t="shared" si="25"/>
        <v>1w</v>
      </c>
      <c r="W1161" s="177">
        <f>_xll.qlCalendarAdvance(Calendar,W1160,V1161,"f",FALSE)</f>
        <v>47071</v>
      </c>
      <c r="X1161" s="181">
        <f>_xll.qlCalendarAdvance(Calendar,W1161,NDays&amp;"D")</f>
        <v>47073</v>
      </c>
      <c r="Y1161" s="178">
        <v>2.4805548464968102E-2</v>
      </c>
      <c r="Z1161" s="183">
        <v>2.4457732758254025E-2</v>
      </c>
    </row>
    <row r="1162" spans="22:26" x14ac:dyDescent="0.2">
      <c r="V1162" s="180" t="str">
        <f t="shared" si="25"/>
        <v>1w</v>
      </c>
      <c r="W1162" s="177">
        <f>_xll.qlCalendarAdvance(Calendar,W1161,V1162,"f",FALSE)</f>
        <v>47078</v>
      </c>
      <c r="X1162" s="181">
        <f>_xll.qlCalendarAdvance(Calendar,W1162,NDays&amp;"D")</f>
        <v>47080</v>
      </c>
      <c r="Y1162" s="178">
        <v>2.4807081952755706E-2</v>
      </c>
      <c r="Z1162" s="183">
        <v>2.4459549434823202E-2</v>
      </c>
    </row>
    <row r="1163" spans="22:26" x14ac:dyDescent="0.2">
      <c r="V1163" s="180" t="str">
        <f t="shared" si="25"/>
        <v>1w</v>
      </c>
      <c r="W1163" s="177">
        <f>_xll.qlCalendarAdvance(Calendar,W1162,V1163,"f",FALSE)</f>
        <v>47085</v>
      </c>
      <c r="X1163" s="181">
        <f>_xll.qlCalendarAdvance(Calendar,W1163,NDays&amp;"D")</f>
        <v>47087</v>
      </c>
      <c r="Y1163" s="178">
        <v>2.480860106144419E-2</v>
      </c>
      <c r="Z1163" s="183">
        <v>2.4461353833773458E-2</v>
      </c>
    </row>
    <row r="1164" spans="22:26" x14ac:dyDescent="0.2">
      <c r="V1164" s="180" t="str">
        <f t="shared" si="25"/>
        <v>1w</v>
      </c>
      <c r="W1164" s="177">
        <f>_xll.qlCalendarAdvance(Calendar,W1163,V1164,"f",FALSE)</f>
        <v>47092</v>
      </c>
      <c r="X1164" s="181">
        <f>_xll.qlCalendarAdvance(Calendar,W1164,NDays&amp;"D")</f>
        <v>47094</v>
      </c>
      <c r="Y1164" s="178">
        <v>2.4810105092607695E-2</v>
      </c>
      <c r="Z1164" s="183">
        <v>2.4463145955024856E-2</v>
      </c>
    </row>
    <row r="1165" spans="22:26" x14ac:dyDescent="0.2">
      <c r="V1165" s="180" t="str">
        <f t="shared" si="25"/>
        <v>1w</v>
      </c>
      <c r="W1165" s="177">
        <f>_xll.qlCalendarAdvance(Calendar,W1164,V1165,"f",FALSE)</f>
        <v>47099</v>
      </c>
      <c r="X1165" s="181">
        <f>_xll.qlCalendarAdvance(Calendar,W1165,NDays&amp;"D")</f>
        <v>47101</v>
      </c>
      <c r="Y1165" s="178">
        <v>2.4811593347815533E-2</v>
      </c>
      <c r="Z1165" s="183">
        <v>2.4464925798657333E-2</v>
      </c>
    </row>
    <row r="1166" spans="22:26" x14ac:dyDescent="0.2">
      <c r="V1166" s="180" t="str">
        <f t="shared" si="25"/>
        <v>1w</v>
      </c>
      <c r="W1166" s="177">
        <f>_xll.qlCalendarAdvance(Calendar,W1165,V1166,"f",FALSE)</f>
        <v>47106</v>
      </c>
      <c r="X1166" s="181">
        <f>_xll.qlCalendarAdvance(Calendar,W1166,NDays&amp;"D")</f>
        <v>47108</v>
      </c>
      <c r="Y1166" s="178">
        <v>2.4813065128633956E-2</v>
      </c>
      <c r="Z1166" s="183">
        <v>2.4466693364590952E-2</v>
      </c>
    </row>
    <row r="1167" spans="22:26" x14ac:dyDescent="0.2">
      <c r="V1167" s="180" t="str">
        <f t="shared" si="25"/>
        <v>1w</v>
      </c>
      <c r="W1167" s="177">
        <f>_xll.qlCalendarAdvance(Calendar,W1166,V1167,"f",FALSE)</f>
        <v>47114</v>
      </c>
      <c r="X1167" s="181">
        <f>_xll.qlCalendarAdvance(Calendar,W1167,NDays&amp;"D")</f>
        <v>47116</v>
      </c>
      <c r="Y1167" s="178">
        <v>2.481661001755885E-2</v>
      </c>
      <c r="Z1167" s="183">
        <v>2.4471567253823157E-2</v>
      </c>
    </row>
    <row r="1168" spans="22:26" x14ac:dyDescent="0.2">
      <c r="V1168" s="180" t="str">
        <f t="shared" si="25"/>
        <v>1w</v>
      </c>
      <c r="W1168" s="177">
        <f>_xll.qlCalendarAdvance(Calendar,W1167,V1168,"f",FALSE)</f>
        <v>47121</v>
      </c>
      <c r="X1168" s="181">
        <f>_xll.qlCalendarAdvance(Calendar,W1168,NDays&amp;"D")</f>
        <v>47123</v>
      </c>
      <c r="Y1168" s="178">
        <v>2.4818041011480791E-2</v>
      </c>
      <c r="Z1168" s="183">
        <v>2.4472350739372928E-2</v>
      </c>
    </row>
    <row r="1169" spans="22:26" x14ac:dyDescent="0.2">
      <c r="V1169" s="180" t="str">
        <f t="shared" si="25"/>
        <v>1w</v>
      </c>
      <c r="W1169" s="177">
        <f>_xll.qlCalendarAdvance(Calendar,W1168,V1169,"f",FALSE)</f>
        <v>47128</v>
      </c>
      <c r="X1169" s="181">
        <f>_xll.qlCalendarAdvance(Calendar,W1169,NDays&amp;"D")</f>
        <v>47130</v>
      </c>
      <c r="Y1169" s="178">
        <v>2.4819453168067988E-2</v>
      </c>
      <c r="Z1169" s="183">
        <v>2.4474078199254734E-2</v>
      </c>
    </row>
    <row r="1170" spans="22:26" x14ac:dyDescent="0.2">
      <c r="V1170" s="180" t="str">
        <f t="shared" si="25"/>
        <v>1w</v>
      </c>
      <c r="W1170" s="177">
        <f>_xll.qlCalendarAdvance(Calendar,W1169,V1170,"f",FALSE)</f>
        <v>47135</v>
      </c>
      <c r="X1170" s="181">
        <f>_xll.qlCalendarAdvance(Calendar,W1170,NDays&amp;"D")</f>
        <v>47137</v>
      </c>
      <c r="Y1170" s="178">
        <v>2.4820845792584183E-2</v>
      </c>
      <c r="Z1170" s="183">
        <v>2.4475793379838962E-2</v>
      </c>
    </row>
    <row r="1171" spans="22:26" x14ac:dyDescent="0.2">
      <c r="V1171" s="180" t="str">
        <f t="shared" si="25"/>
        <v>1w</v>
      </c>
      <c r="W1171" s="177">
        <f>_xll.qlCalendarAdvance(Calendar,W1170,V1171,"f",FALSE)</f>
        <v>47142</v>
      </c>
      <c r="X1171" s="181">
        <f>_xll.qlCalendarAdvance(Calendar,W1171,NDays&amp;"D")</f>
        <v>47144</v>
      </c>
      <c r="Y1171" s="178">
        <v>2.4822218190290724E-2</v>
      </c>
      <c r="Z1171" s="183">
        <v>2.4477496281045674E-2</v>
      </c>
    </row>
    <row r="1172" spans="22:26" x14ac:dyDescent="0.2">
      <c r="V1172" s="180" t="str">
        <f t="shared" si="25"/>
        <v>1w</v>
      </c>
      <c r="W1172" s="177">
        <f>_xll.qlCalendarAdvance(Calendar,W1171,V1172,"f",FALSE)</f>
        <v>47149</v>
      </c>
      <c r="X1172" s="181">
        <f>_xll.qlCalendarAdvance(Calendar,W1172,NDays&amp;"D")</f>
        <v>47151</v>
      </c>
      <c r="Y1172" s="178">
        <v>2.4823569666445909E-2</v>
      </c>
      <c r="Z1172" s="183">
        <v>2.4479186902981453E-2</v>
      </c>
    </row>
    <row r="1173" spans="22:26" x14ac:dyDescent="0.2">
      <c r="V1173" s="180" t="str">
        <f t="shared" ref="V1173:V1236" si="26">V1172</f>
        <v>1w</v>
      </c>
      <c r="W1173" s="177">
        <f>_xll.qlCalendarAdvance(Calendar,W1172,V1173,"f",FALSE)</f>
        <v>47156</v>
      </c>
      <c r="X1173" s="181">
        <f>_xll.qlCalendarAdvance(Calendar,W1173,NDays&amp;"D")</f>
        <v>47158</v>
      </c>
      <c r="Y1173" s="178">
        <v>2.4824899526305635E-2</v>
      </c>
      <c r="Z1173" s="183">
        <v>2.4480865245619654E-2</v>
      </c>
    </row>
    <row r="1174" spans="22:26" x14ac:dyDescent="0.2">
      <c r="V1174" s="180" t="str">
        <f t="shared" si="26"/>
        <v>1w</v>
      </c>
      <c r="W1174" s="177">
        <f>_xll.qlCalendarAdvance(Calendar,W1173,V1174,"f",FALSE)</f>
        <v>47163</v>
      </c>
      <c r="X1174" s="181">
        <f>_xll.qlCalendarAdvance(Calendar,W1174,NDays&amp;"D")</f>
        <v>47165</v>
      </c>
      <c r="Y1174" s="178">
        <v>2.4826207075123629E-2</v>
      </c>
      <c r="Z1174" s="183">
        <v>2.4482531308906985E-2</v>
      </c>
    </row>
    <row r="1175" spans="22:26" x14ac:dyDescent="0.2">
      <c r="V1175" s="180" t="str">
        <f t="shared" si="26"/>
        <v>1w</v>
      </c>
      <c r="W1175" s="177">
        <f>_xll.qlCalendarAdvance(Calendar,W1174,V1175,"f",FALSE)</f>
        <v>47170</v>
      </c>
      <c r="X1175" s="181">
        <f>_xll.qlCalendarAdvance(Calendar,W1175,NDays&amp;"D")</f>
        <v>47172</v>
      </c>
      <c r="Y1175" s="178">
        <v>2.4827491618151652E-2</v>
      </c>
      <c r="Z1175" s="183">
        <v>2.4484185092870092E-2</v>
      </c>
    </row>
    <row r="1176" spans="22:26" x14ac:dyDescent="0.2">
      <c r="V1176" s="180" t="str">
        <f t="shared" si="26"/>
        <v>1w</v>
      </c>
      <c r="W1176" s="177">
        <f>_xll.qlCalendarAdvance(Calendar,W1175,V1176,"f",FALSE)</f>
        <v>47177</v>
      </c>
      <c r="X1176" s="181">
        <f>_xll.qlCalendarAdvance(Calendar,W1176,NDays&amp;"D")</f>
        <v>47179</v>
      </c>
      <c r="Y1176" s="178">
        <v>2.4828752460638853E-2</v>
      </c>
      <c r="Z1176" s="183">
        <v>2.448582659753562E-2</v>
      </c>
    </row>
    <row r="1177" spans="22:26" x14ac:dyDescent="0.2">
      <c r="V1177" s="180" t="str">
        <f t="shared" si="26"/>
        <v>1w</v>
      </c>
      <c r="W1177" s="177">
        <f>_xll.qlCalendarAdvance(Calendar,W1176,V1177,"f",FALSE)</f>
        <v>47184</v>
      </c>
      <c r="X1177" s="181">
        <f>_xll.qlCalendarAdvance(Calendar,W1177,NDays&amp;"D")</f>
        <v>47186</v>
      </c>
      <c r="Y1177" s="178">
        <v>2.4829988907833073E-2</v>
      </c>
      <c r="Z1177" s="183">
        <v>2.4487455822850279E-2</v>
      </c>
    </row>
    <row r="1178" spans="22:26" x14ac:dyDescent="0.2">
      <c r="V1178" s="180" t="str">
        <f t="shared" si="26"/>
        <v>1w</v>
      </c>
      <c r="W1178" s="177">
        <f>_xll.qlCalendarAdvance(Calendar,W1177,V1178,"f",FALSE)</f>
        <v>47191</v>
      </c>
      <c r="X1178" s="181">
        <f>_xll.qlCalendarAdvance(Calendar,W1178,NDays&amp;"D")</f>
        <v>47193</v>
      </c>
      <c r="Y1178" s="178">
        <v>2.4831200264980417E-2</v>
      </c>
      <c r="Z1178" s="183">
        <v>2.4489072768867359E-2</v>
      </c>
    </row>
    <row r="1179" spans="22:26" x14ac:dyDescent="0.2">
      <c r="V1179" s="180" t="str">
        <f t="shared" si="26"/>
        <v>1w</v>
      </c>
      <c r="W1179" s="177">
        <f>_xll.qlCalendarAdvance(Calendar,W1178,V1179,"f",FALSE)</f>
        <v>47198</v>
      </c>
      <c r="X1179" s="181">
        <f>_xll.qlCalendarAdvance(Calendar,W1179,NDays&amp;"D")</f>
        <v>47200</v>
      </c>
      <c r="Y1179" s="178">
        <v>2.483238583732502E-2</v>
      </c>
      <c r="Z1179" s="183">
        <v>2.4490677435560215E-2</v>
      </c>
    </row>
    <row r="1180" spans="22:26" x14ac:dyDescent="0.2">
      <c r="V1180" s="180" t="str">
        <f t="shared" si="26"/>
        <v>1w</v>
      </c>
      <c r="W1180" s="177">
        <f>_xll.qlCalendarAdvance(Calendar,W1179,V1180,"f",FALSE)</f>
        <v>47205</v>
      </c>
      <c r="X1180" s="181">
        <f>_xll.qlCalendarAdvance(Calendar,W1180,NDays&amp;"D")</f>
        <v>47211</v>
      </c>
      <c r="Y1180" s="178">
        <v>2.4832366803841793E-2</v>
      </c>
      <c r="Z1180" s="183">
        <v>2.4491282386689406E-2</v>
      </c>
    </row>
    <row r="1181" spans="22:26" x14ac:dyDescent="0.2">
      <c r="V1181" s="180" t="str">
        <f t="shared" si="26"/>
        <v>1w</v>
      </c>
      <c r="W1181" s="177">
        <f>_xll.qlCalendarAdvance(Calendar,W1180,V1181,"f",FALSE)</f>
        <v>47212</v>
      </c>
      <c r="X1181" s="181">
        <f>_xll.qlCalendarAdvance(Calendar,W1181,NDays&amp;"D")</f>
        <v>47214</v>
      </c>
      <c r="Y1181" s="178">
        <v>2.4834676848578641E-2</v>
      </c>
      <c r="Z1181" s="183">
        <v>2.449384993094661E-2</v>
      </c>
    </row>
    <row r="1182" spans="22:26" x14ac:dyDescent="0.2">
      <c r="V1182" s="180" t="str">
        <f t="shared" si="26"/>
        <v>1w</v>
      </c>
      <c r="W1182" s="177">
        <f>_xll.qlCalendarAdvance(Calendar,W1181,V1182,"f",FALSE)</f>
        <v>47219</v>
      </c>
      <c r="X1182" s="181">
        <f>_xll.qlCalendarAdvance(Calendar,W1182,NDays&amp;"D")</f>
        <v>47221</v>
      </c>
      <c r="Y1182" s="178">
        <v>2.4835780897970498E-2</v>
      </c>
      <c r="Z1182" s="183">
        <v>2.4495417759666793E-2</v>
      </c>
    </row>
    <row r="1183" spans="22:26" x14ac:dyDescent="0.2">
      <c r="V1183" s="180" t="str">
        <f t="shared" si="26"/>
        <v>1w</v>
      </c>
      <c r="W1183" s="177">
        <f>_xll.qlCalendarAdvance(Calendar,W1182,V1183,"f",FALSE)</f>
        <v>47226</v>
      </c>
      <c r="X1183" s="181">
        <f>_xll.qlCalendarAdvance(Calendar,W1183,NDays&amp;"D")</f>
        <v>47228</v>
      </c>
      <c r="Y1183" s="178">
        <v>2.4837763879948783E-2</v>
      </c>
      <c r="Z1183" s="183">
        <v>2.4496973309062753E-2</v>
      </c>
    </row>
    <row r="1184" spans="22:26" x14ac:dyDescent="0.2">
      <c r="V1184" s="180" t="str">
        <f t="shared" si="26"/>
        <v>1w</v>
      </c>
      <c r="W1184" s="177">
        <f>_xll.qlCalendarAdvance(Calendar,W1183,V1184,"f",FALSE)</f>
        <v>47233</v>
      </c>
      <c r="X1184" s="181">
        <f>_xll.qlCalendarAdvance(Calendar,W1184,NDays&amp;"D")</f>
        <v>47235</v>
      </c>
      <c r="Y1184" s="178">
        <v>2.4837902610486257E-2</v>
      </c>
      <c r="Z1184" s="183">
        <v>2.4498516579134488E-2</v>
      </c>
    </row>
    <row r="1185" spans="22:26" x14ac:dyDescent="0.2">
      <c r="V1185" s="180" t="str">
        <f t="shared" si="26"/>
        <v>1w</v>
      </c>
      <c r="W1185" s="177">
        <f>_xll.qlCalendarAdvance(Calendar,W1184,V1185,"f",FALSE)</f>
        <v>47240</v>
      </c>
      <c r="X1185" s="181">
        <f>_xll.qlCalendarAdvance(Calendar,W1185,NDays&amp;"D")</f>
        <v>47242</v>
      </c>
      <c r="Y1185" s="178">
        <v>2.4838918884089078E-2</v>
      </c>
      <c r="Z1185" s="183">
        <v>2.4500047569882E-2</v>
      </c>
    </row>
    <row r="1186" spans="22:26" x14ac:dyDescent="0.2">
      <c r="V1186" s="180" t="str">
        <f t="shared" si="26"/>
        <v>1w</v>
      </c>
      <c r="W1186" s="177">
        <f>_xll.qlCalendarAdvance(Calendar,W1185,V1186,"f",FALSE)</f>
        <v>47247</v>
      </c>
      <c r="X1186" s="181">
        <f>_xll.qlCalendarAdvance(Calendar,W1186,NDays&amp;"D")</f>
        <v>47249</v>
      </c>
      <c r="Y1186" s="178">
        <v>2.4839904509574393E-2</v>
      </c>
      <c r="Z1186" s="183">
        <v>2.4501566281305287E-2</v>
      </c>
    </row>
    <row r="1187" spans="22:26" x14ac:dyDescent="0.2">
      <c r="V1187" s="180" t="str">
        <f t="shared" si="26"/>
        <v>1w</v>
      </c>
      <c r="W1187" s="177">
        <f>_xll.qlCalendarAdvance(Calendar,W1186,V1187,"f",FALSE)</f>
        <v>47254</v>
      </c>
      <c r="X1187" s="181">
        <f>_xll.qlCalendarAdvance(Calendar,W1187,NDays&amp;"D")</f>
        <v>47256</v>
      </c>
      <c r="Y1187" s="178">
        <v>2.4840858792181116E-2</v>
      </c>
      <c r="Z1187" s="183">
        <v>2.4503072713377705E-2</v>
      </c>
    </row>
    <row r="1188" spans="22:26" x14ac:dyDescent="0.2">
      <c r="V1188" s="180" t="str">
        <f t="shared" si="26"/>
        <v>1w</v>
      </c>
      <c r="W1188" s="177">
        <f>_xll.qlCalendarAdvance(Calendar,W1187,V1188,"f",FALSE)</f>
        <v>47261</v>
      </c>
      <c r="X1188" s="181">
        <f>_xll.qlCalendarAdvance(Calendar,W1188,NDays&amp;"D")</f>
        <v>47263</v>
      </c>
      <c r="Y1188" s="178">
        <v>2.4841781037148594E-2</v>
      </c>
      <c r="Z1188" s="183">
        <v>2.4504566866152544E-2</v>
      </c>
    </row>
    <row r="1189" spans="22:26" x14ac:dyDescent="0.2">
      <c r="V1189" s="180" t="str">
        <f t="shared" si="26"/>
        <v>1w</v>
      </c>
      <c r="W1189" s="177">
        <f>_xll.qlCalendarAdvance(Calendar,W1188,V1189,"f",FALSE)</f>
        <v>47268</v>
      </c>
      <c r="X1189" s="181">
        <f>_xll.qlCalendarAdvance(Calendar,W1189,NDays&amp;"D")</f>
        <v>47270</v>
      </c>
      <c r="Y1189" s="178">
        <v>2.4842670549717047E-2</v>
      </c>
      <c r="Z1189" s="183">
        <v>2.4506048739603159E-2</v>
      </c>
    </row>
    <row r="1190" spans="22:26" x14ac:dyDescent="0.2">
      <c r="V1190" s="180" t="str">
        <f t="shared" si="26"/>
        <v>1w</v>
      </c>
      <c r="W1190" s="177">
        <f>_xll.qlCalendarAdvance(Calendar,W1189,V1190,"f",FALSE)</f>
        <v>47275</v>
      </c>
      <c r="X1190" s="181">
        <f>_xll.qlCalendarAdvance(Calendar,W1190,NDays&amp;"D")</f>
        <v>47277</v>
      </c>
      <c r="Y1190" s="178">
        <v>2.4843526635127129E-2</v>
      </c>
      <c r="Z1190" s="183">
        <v>2.450751833372955E-2</v>
      </c>
    </row>
    <row r="1191" spans="22:26" x14ac:dyDescent="0.2">
      <c r="V1191" s="180" t="str">
        <f t="shared" si="26"/>
        <v>1w</v>
      </c>
      <c r="W1191" s="177">
        <f>_xll.qlCalendarAdvance(Calendar,W1190,V1191,"f",FALSE)</f>
        <v>47282</v>
      </c>
      <c r="X1191" s="181">
        <f>_xll.qlCalendarAdvance(Calendar,W1191,NDays&amp;"D")</f>
        <v>47284</v>
      </c>
      <c r="Y1191" s="178">
        <v>2.4844348598620149E-2</v>
      </c>
      <c r="Z1191" s="183">
        <v>2.4508975648531717E-2</v>
      </c>
    </row>
    <row r="1192" spans="22:26" x14ac:dyDescent="0.2">
      <c r="V1192" s="180" t="str">
        <f t="shared" si="26"/>
        <v>1w</v>
      </c>
      <c r="W1192" s="177">
        <f>_xll.qlCalendarAdvance(Calendar,W1191,V1192,"f",FALSE)</f>
        <v>47289</v>
      </c>
      <c r="X1192" s="181">
        <f>_xll.qlCalendarAdvance(Calendar,W1192,NDays&amp;"D")</f>
        <v>47291</v>
      </c>
      <c r="Y1192" s="178">
        <v>2.4845135745438937E-2</v>
      </c>
      <c r="Z1192" s="183">
        <v>2.4510420683983014E-2</v>
      </c>
    </row>
    <row r="1193" spans="22:26" x14ac:dyDescent="0.2">
      <c r="V1193" s="180" t="str">
        <f t="shared" si="26"/>
        <v>1w</v>
      </c>
      <c r="W1193" s="177">
        <f>_xll.qlCalendarAdvance(Calendar,W1192,V1193,"f",FALSE)</f>
        <v>47296</v>
      </c>
      <c r="X1193" s="181">
        <f>_xll.qlCalendarAdvance(Calendar,W1193,NDays&amp;"D")</f>
        <v>47298</v>
      </c>
      <c r="Y1193" s="178">
        <v>2.4843250610076414E-2</v>
      </c>
      <c r="Z1193" s="183">
        <v>2.4511853440083442E-2</v>
      </c>
    </row>
    <row r="1194" spans="22:26" x14ac:dyDescent="0.2">
      <c r="V1194" s="180" t="str">
        <f t="shared" si="26"/>
        <v>1w</v>
      </c>
      <c r="W1194" s="177">
        <f>_xll.qlCalendarAdvance(Calendar,W1193,V1194,"f",FALSE)</f>
        <v>47303</v>
      </c>
      <c r="X1194" s="181">
        <f>_xll.qlCalendarAdvance(Calendar,W1194,NDays&amp;"D")</f>
        <v>47305</v>
      </c>
      <c r="Y1194" s="178">
        <v>2.4846602810031253E-2</v>
      </c>
      <c r="Z1194" s="183">
        <v>2.4513273916886291E-2</v>
      </c>
    </row>
    <row r="1195" spans="22:26" x14ac:dyDescent="0.2">
      <c r="V1195" s="180" t="str">
        <f t="shared" si="26"/>
        <v>1w</v>
      </c>
      <c r="W1195" s="177">
        <f>_xll.qlCalendarAdvance(Calendar,W1194,V1195,"f",FALSE)</f>
        <v>47310</v>
      </c>
      <c r="X1195" s="181">
        <f>_xll.qlCalendarAdvance(Calendar,W1195,NDays&amp;"D")</f>
        <v>47312</v>
      </c>
      <c r="Y1195" s="178">
        <v>2.4847281338298503E-2</v>
      </c>
      <c r="Z1195" s="183">
        <v>2.4514682114364916E-2</v>
      </c>
    </row>
    <row r="1196" spans="22:26" x14ac:dyDescent="0.2">
      <c r="V1196" s="180" t="str">
        <f t="shared" si="26"/>
        <v>1w</v>
      </c>
      <c r="W1196" s="177">
        <f>_xll.qlCalendarAdvance(Calendar,W1195,V1196,"f",FALSE)</f>
        <v>47317</v>
      </c>
      <c r="X1196" s="181">
        <f>_xll.qlCalendarAdvance(Calendar,W1196,NDays&amp;"D")</f>
        <v>47319</v>
      </c>
      <c r="Y1196" s="178">
        <v>2.4847922270878755E-2</v>
      </c>
      <c r="Z1196" s="183">
        <v>2.4516078032492672E-2</v>
      </c>
    </row>
    <row r="1197" spans="22:26" x14ac:dyDescent="0.2">
      <c r="V1197" s="180" t="str">
        <f t="shared" si="26"/>
        <v>1w</v>
      </c>
      <c r="W1197" s="177">
        <f>_xll.qlCalendarAdvance(Calendar,W1196,V1197,"f",FALSE)</f>
        <v>47324</v>
      </c>
      <c r="X1197" s="181">
        <f>_xll.qlCalendarAdvance(Calendar,W1197,NDays&amp;"D")</f>
        <v>47326</v>
      </c>
      <c r="Y1197" s="178">
        <v>2.4848524913023768E-2</v>
      </c>
      <c r="Z1197" s="183">
        <v>2.4517461671322849E-2</v>
      </c>
    </row>
    <row r="1198" spans="22:26" x14ac:dyDescent="0.2">
      <c r="V1198" s="180" t="str">
        <f t="shared" si="26"/>
        <v>1w</v>
      </c>
      <c r="W1198" s="177">
        <f>_xll.qlCalendarAdvance(Calendar,W1197,V1198,"f",FALSE)</f>
        <v>47331</v>
      </c>
      <c r="X1198" s="181">
        <f>_xll.qlCalendarAdvance(Calendar,W1198,NDays&amp;"D")</f>
        <v>47333</v>
      </c>
      <c r="Y1198" s="178">
        <v>2.4849088569988794E-2</v>
      </c>
      <c r="Z1198" s="183">
        <v>2.4518833030802156E-2</v>
      </c>
    </row>
    <row r="1199" spans="22:26" x14ac:dyDescent="0.2">
      <c r="V1199" s="180" t="str">
        <f t="shared" si="26"/>
        <v>1w</v>
      </c>
      <c r="W1199" s="177">
        <f>_xll.qlCalendarAdvance(Calendar,W1198,V1199,"f",FALSE)</f>
        <v>47338</v>
      </c>
      <c r="X1199" s="181">
        <f>_xll.qlCalendarAdvance(Calendar,W1199,NDays&amp;"D")</f>
        <v>47340</v>
      </c>
      <c r="Y1199" s="178">
        <v>2.4849612547031257E-2</v>
      </c>
      <c r="Z1199" s="183">
        <v>2.452019211095724E-2</v>
      </c>
    </row>
    <row r="1200" spans="22:26" x14ac:dyDescent="0.2">
      <c r="V1200" s="180" t="str">
        <f t="shared" si="26"/>
        <v>1w</v>
      </c>
      <c r="W1200" s="177">
        <f>_xll.qlCalendarAdvance(Calendar,W1199,V1200,"f",FALSE)</f>
        <v>47345</v>
      </c>
      <c r="X1200" s="181">
        <f>_xll.qlCalendarAdvance(Calendar,W1200,NDays&amp;"D")</f>
        <v>47347</v>
      </c>
      <c r="Y1200" s="178">
        <v>2.4850096149412072E-2</v>
      </c>
      <c r="Z1200" s="183">
        <v>2.4521538911761454E-2</v>
      </c>
    </row>
    <row r="1201" spans="22:26" x14ac:dyDescent="0.2">
      <c r="V1201" s="180" t="str">
        <f t="shared" si="26"/>
        <v>1w</v>
      </c>
      <c r="W1201" s="177">
        <f>_xll.qlCalendarAdvance(Calendar,W1200,V1201,"f",FALSE)</f>
        <v>47352</v>
      </c>
      <c r="X1201" s="181">
        <f>_xll.qlCalendarAdvance(Calendar,W1201,NDays&amp;"D")</f>
        <v>47354</v>
      </c>
      <c r="Y1201" s="178">
        <v>2.4850538682396062E-2</v>
      </c>
      <c r="Z1201" s="183">
        <v>2.4522873433268089E-2</v>
      </c>
    </row>
    <row r="1202" spans="22:26" x14ac:dyDescent="0.2">
      <c r="V1202" s="180" t="str">
        <f t="shared" si="26"/>
        <v>1w</v>
      </c>
      <c r="W1202" s="177">
        <f>_xll.qlCalendarAdvance(Calendar,W1201,V1202,"f",FALSE)</f>
        <v>47359</v>
      </c>
      <c r="X1202" s="181">
        <f>_xll.qlCalendarAdvance(Calendar,W1202,NDays&amp;"D")</f>
        <v>47361</v>
      </c>
      <c r="Y1202" s="178">
        <v>2.4848390973523399E-2</v>
      </c>
      <c r="Z1202" s="183">
        <v>2.4524195675423854E-2</v>
      </c>
    </row>
    <row r="1203" spans="22:26" x14ac:dyDescent="0.2">
      <c r="V1203" s="180" t="str">
        <f t="shared" si="26"/>
        <v>1w</v>
      </c>
      <c r="W1203" s="177">
        <f>_xll.qlCalendarAdvance(Calendar,W1202,V1203,"f",FALSE)</f>
        <v>47366</v>
      </c>
      <c r="X1203" s="181">
        <f>_xll.qlCalendarAdvance(Calendar,W1203,NDays&amp;"D")</f>
        <v>47368</v>
      </c>
      <c r="Y1203" s="178">
        <v>2.4851297761248586E-2</v>
      </c>
      <c r="Z1203" s="183">
        <v>2.4525505638228751E-2</v>
      </c>
    </row>
    <row r="1204" spans="22:26" x14ac:dyDescent="0.2">
      <c r="V1204" s="180" t="str">
        <f t="shared" si="26"/>
        <v>1w</v>
      </c>
      <c r="W1204" s="177">
        <f>_xll.qlCalendarAdvance(Calendar,W1203,V1204,"f",FALSE)</f>
        <v>47373</v>
      </c>
      <c r="X1204" s="181">
        <f>_xll.qlCalendarAdvance(Calendar,W1204,NDays&amp;"D")</f>
        <v>47375</v>
      </c>
      <c r="Y1204" s="178">
        <v>2.4851612917666171E-2</v>
      </c>
      <c r="Z1204" s="183">
        <v>2.4526803321736068E-2</v>
      </c>
    </row>
    <row r="1205" spans="22:26" x14ac:dyDescent="0.2">
      <c r="V1205" s="180" t="str">
        <f t="shared" si="26"/>
        <v>1w</v>
      </c>
      <c r="W1205" s="177">
        <f>_xll.qlCalendarAdvance(Calendar,W1204,V1205,"f",FALSE)</f>
        <v>47380</v>
      </c>
      <c r="X1205" s="181">
        <f>_xll.qlCalendarAdvance(Calendar,W1205,NDays&amp;"D")</f>
        <v>47382</v>
      </c>
      <c r="Y1205" s="178">
        <v>2.4851884225784378E-2</v>
      </c>
      <c r="Z1205" s="183">
        <v>2.4528088725865871E-2</v>
      </c>
    </row>
    <row r="1206" spans="22:26" x14ac:dyDescent="0.2">
      <c r="V1206" s="180" t="str">
        <f t="shared" si="26"/>
        <v>1w</v>
      </c>
      <c r="W1206" s="177">
        <f>_xll.qlCalendarAdvance(Calendar,W1205,V1206,"f",FALSE)</f>
        <v>47387</v>
      </c>
      <c r="X1206" s="181">
        <f>_xll.qlCalendarAdvance(Calendar,W1206,NDays&amp;"D")</f>
        <v>47389</v>
      </c>
      <c r="Y1206" s="178">
        <v>2.48521109908896E-2</v>
      </c>
      <c r="Z1206" s="183">
        <v>2.4529361850698095E-2</v>
      </c>
    </row>
    <row r="1207" spans="22:26" x14ac:dyDescent="0.2">
      <c r="V1207" s="180" t="str">
        <f t="shared" si="26"/>
        <v>1w</v>
      </c>
      <c r="W1207" s="177">
        <f>_xll.qlCalendarAdvance(Calendar,W1206,V1207,"f",FALSE)</f>
        <v>47394</v>
      </c>
      <c r="X1207" s="181">
        <f>_xll.qlCalendarAdvance(Calendar,W1207,NDays&amp;"D")</f>
        <v>47396</v>
      </c>
      <c r="Y1207" s="178">
        <v>2.4852292518272805E-2</v>
      </c>
      <c r="Z1207" s="183">
        <v>2.4530622696179449E-2</v>
      </c>
    </row>
    <row r="1208" spans="22:26" x14ac:dyDescent="0.2">
      <c r="V1208" s="180" t="str">
        <f t="shared" si="26"/>
        <v>1w</v>
      </c>
      <c r="W1208" s="177">
        <f>_xll.qlCalendarAdvance(Calendar,W1207,V1208,"f",FALSE)</f>
        <v>47401</v>
      </c>
      <c r="X1208" s="181">
        <f>_xll.qlCalendarAdvance(Calendar,W1208,NDays&amp;"D")</f>
        <v>47403</v>
      </c>
      <c r="Y1208" s="178">
        <v>2.4852428113230848E-2</v>
      </c>
      <c r="Z1208" s="183">
        <v>2.453187126233658E-2</v>
      </c>
    </row>
    <row r="1209" spans="22:26" x14ac:dyDescent="0.2">
      <c r="V1209" s="180" t="str">
        <f t="shared" si="26"/>
        <v>1w</v>
      </c>
      <c r="W1209" s="177">
        <f>_xll.qlCalendarAdvance(Calendar,W1208,V1209,"f",FALSE)</f>
        <v>47408</v>
      </c>
      <c r="X1209" s="181">
        <f>_xll.qlCalendarAdvance(Calendar,W1209,NDays&amp;"D")</f>
        <v>47410</v>
      </c>
      <c r="Y1209" s="178">
        <v>2.4852517081066672E-2</v>
      </c>
      <c r="Z1209" s="183">
        <v>2.4533107549142841E-2</v>
      </c>
    </row>
    <row r="1210" spans="22:26" x14ac:dyDescent="0.2">
      <c r="V1210" s="180" t="str">
        <f t="shared" si="26"/>
        <v>1w</v>
      </c>
      <c r="W1210" s="177">
        <f>_xll.qlCalendarAdvance(Calendar,W1209,V1210,"f",FALSE)</f>
        <v>47415</v>
      </c>
      <c r="X1210" s="181">
        <f>_xll.qlCalendarAdvance(Calendar,W1210,NDays&amp;"D")</f>
        <v>47417</v>
      </c>
      <c r="Y1210" s="178">
        <v>2.4852558727088886E-2</v>
      </c>
      <c r="Z1210" s="183">
        <v>2.4534331556651523E-2</v>
      </c>
    </row>
    <row r="1211" spans="22:26" x14ac:dyDescent="0.2">
      <c r="V1211" s="180" t="str">
        <f t="shared" si="26"/>
        <v>1w</v>
      </c>
      <c r="W1211" s="177">
        <f>_xll.qlCalendarAdvance(Calendar,W1210,V1211,"f",FALSE)</f>
        <v>47422</v>
      </c>
      <c r="X1211" s="181">
        <f>_xll.qlCalendarAdvance(Calendar,W1211,NDays&amp;"D")</f>
        <v>47424</v>
      </c>
      <c r="Y1211" s="178">
        <v>2.4852552356613079E-2</v>
      </c>
      <c r="Z1211" s="183">
        <v>2.453554328478269E-2</v>
      </c>
    </row>
    <row r="1212" spans="22:26" x14ac:dyDescent="0.2">
      <c r="V1212" s="180" t="str">
        <f t="shared" si="26"/>
        <v>1w</v>
      </c>
      <c r="W1212" s="177">
        <f>_xll.qlCalendarAdvance(Calendar,W1211,V1212,"f",FALSE)</f>
        <v>47429</v>
      </c>
      <c r="X1212" s="181">
        <f>_xll.qlCalendarAdvance(Calendar,W1212,NDays&amp;"D")</f>
        <v>47431</v>
      </c>
      <c r="Y1212" s="178">
        <v>2.4852497296564351E-2</v>
      </c>
      <c r="Z1212" s="183">
        <v>2.4536731495032882E-2</v>
      </c>
    </row>
    <row r="1213" spans="22:26" x14ac:dyDescent="0.2">
      <c r="V1213" s="180" t="str">
        <f t="shared" si="26"/>
        <v>1w</v>
      </c>
      <c r="W1213" s="177">
        <f>_xll.qlCalendarAdvance(Calendar,W1212,V1213,"f",FALSE)</f>
        <v>47436</v>
      </c>
      <c r="X1213" s="181">
        <f>_xll.qlCalendarAdvance(Calendar,W1213,NDays&amp;"D")</f>
        <v>47438</v>
      </c>
      <c r="Y1213" s="178">
        <v>2.4852393236742012E-2</v>
      </c>
      <c r="Z1213" s="183">
        <v>2.4537872985241904E-2</v>
      </c>
    </row>
    <row r="1214" spans="22:26" x14ac:dyDescent="0.2">
      <c r="V1214" s="180" t="str">
        <f t="shared" si="26"/>
        <v>1w</v>
      </c>
      <c r="W1214" s="177">
        <f>_xll.qlCalendarAdvance(Calendar,W1213,V1214,"f",FALSE)</f>
        <v>47443</v>
      </c>
      <c r="X1214" s="181">
        <f>_xll.qlCalendarAdvance(Calendar,W1214,NDays&amp;"D")</f>
        <v>47445</v>
      </c>
      <c r="Y1214" s="178">
        <v>2.4852240168047508E-2</v>
      </c>
      <c r="Z1214" s="183">
        <v>2.453896666777311E-2</v>
      </c>
    </row>
    <row r="1215" spans="22:26" x14ac:dyDescent="0.2">
      <c r="V1215" s="180" t="str">
        <f t="shared" si="26"/>
        <v>1w</v>
      </c>
      <c r="W1215" s="177">
        <f>_xll.qlCalendarAdvance(Calendar,W1214,V1215,"f",FALSE)</f>
        <v>47450</v>
      </c>
      <c r="X1215" s="181">
        <f>_xll.qlCalendarAdvance(Calendar,W1215,NDays&amp;"D")</f>
        <v>47452</v>
      </c>
      <c r="Y1215" s="178">
        <v>2.4849625085265649E-2</v>
      </c>
      <c r="Z1215" s="183">
        <v>2.4540012542653145E-2</v>
      </c>
    </row>
    <row r="1216" spans="22:26" x14ac:dyDescent="0.2">
      <c r="V1216" s="180" t="str">
        <f t="shared" si="26"/>
        <v>1w</v>
      </c>
      <c r="W1216" s="177">
        <f>_xll.qlCalendarAdvance(Calendar,W1215,V1216,"f",FALSE)</f>
        <v>47457</v>
      </c>
      <c r="X1216" s="181">
        <f>_xll.qlCalendarAdvance(Calendar,W1216,NDays&amp;"D")</f>
        <v>47459</v>
      </c>
      <c r="Y1216" s="178">
        <v>2.4851787004138492E-2</v>
      </c>
      <c r="Z1216" s="183">
        <v>2.4541010609855363E-2</v>
      </c>
    </row>
    <row r="1217" spans="22:26" x14ac:dyDescent="0.2">
      <c r="V1217" s="180" t="str">
        <f t="shared" si="26"/>
        <v>1w</v>
      </c>
      <c r="W1217" s="177">
        <f>_xll.qlCalendarAdvance(Calendar,W1216,V1217,"f",FALSE)</f>
        <v>47464</v>
      </c>
      <c r="X1217" s="181">
        <f>_xll.qlCalendarAdvance(Calendar,W1217,NDays&amp;"D")</f>
        <v>47466</v>
      </c>
      <c r="Y1217" s="178">
        <v>2.4851486908990198E-2</v>
      </c>
      <c r="Z1217" s="183">
        <v>2.454196086940641E-2</v>
      </c>
    </row>
    <row r="1218" spans="22:26" x14ac:dyDescent="0.2">
      <c r="V1218" s="180" t="str">
        <f t="shared" si="26"/>
        <v>1w</v>
      </c>
      <c r="W1218" s="177">
        <f>_xll.qlCalendarAdvance(Calendar,W1217,V1218,"f",FALSE)</f>
        <v>47471</v>
      </c>
      <c r="X1218" s="181">
        <f>_xll.qlCalendarAdvance(Calendar,W1218,NDays&amp;"D")</f>
        <v>47473</v>
      </c>
      <c r="Y1218" s="178">
        <v>2.4851137805102601E-2</v>
      </c>
      <c r="Z1218" s="183">
        <v>2.454286332127964E-2</v>
      </c>
    </row>
    <row r="1219" spans="22:26" x14ac:dyDescent="0.2">
      <c r="V1219" s="180" t="str">
        <f t="shared" si="26"/>
        <v>1w</v>
      </c>
      <c r="W1219" s="177">
        <f>_xll.qlCalendarAdvance(Calendar,W1218,V1219,"f",FALSE)</f>
        <v>47479</v>
      </c>
      <c r="X1219" s="181">
        <f>_xll.qlCalendarAdvance(Calendar,W1219,NDays&amp;"D")</f>
        <v>47483</v>
      </c>
      <c r="Y1219" s="178">
        <v>2.4848976904490564E-2</v>
      </c>
      <c r="Z1219" s="183">
        <v>2.4543175210327561E-2</v>
      </c>
    </row>
    <row r="1220" spans="22:26" x14ac:dyDescent="0.2">
      <c r="V1220" s="180" t="str">
        <f t="shared" si="26"/>
        <v>1w</v>
      </c>
      <c r="W1220" s="177">
        <f>_xll.qlCalendarAdvance(Calendar,W1219,V1220,"f",FALSE)</f>
        <v>47486</v>
      </c>
      <c r="X1220" s="181">
        <f>_xll.qlCalendarAdvance(Calendar,W1220,NDays&amp;"D")</f>
        <v>47490</v>
      </c>
      <c r="Y1220" s="178">
        <v>2.4848515843665975E-2</v>
      </c>
      <c r="Z1220" s="183">
        <v>2.4543073603844334E-2</v>
      </c>
    </row>
    <row r="1221" spans="22:26" x14ac:dyDescent="0.2">
      <c r="V1221" s="180" t="str">
        <f t="shared" si="26"/>
        <v>1w</v>
      </c>
      <c r="W1221" s="177">
        <f>_xll.qlCalendarAdvance(Calendar,W1220,V1221,"f",FALSE)</f>
        <v>47493</v>
      </c>
      <c r="X1221" s="181">
        <f>_xll.qlCalendarAdvance(Calendar,W1221,NDays&amp;"D")</f>
        <v>47497</v>
      </c>
      <c r="Y1221" s="178">
        <v>2.4848005780972963E-2</v>
      </c>
      <c r="Z1221" s="183">
        <v>2.4543818871771705E-2</v>
      </c>
    </row>
    <row r="1222" spans="22:26" x14ac:dyDescent="0.2">
      <c r="V1222" s="180" t="str">
        <f t="shared" si="26"/>
        <v>1w</v>
      </c>
      <c r="W1222" s="177">
        <f>_xll.qlCalendarAdvance(Calendar,W1221,V1222,"f",FALSE)</f>
        <v>47500</v>
      </c>
      <c r="X1222" s="181">
        <f>_xll.qlCalendarAdvance(Calendar,W1222,NDays&amp;"D")</f>
        <v>47504</v>
      </c>
      <c r="Y1222" s="178">
        <v>2.4847446716485984E-2</v>
      </c>
      <c r="Z1222" s="183">
        <v>2.4544516338576017E-2</v>
      </c>
    </row>
    <row r="1223" spans="22:26" x14ac:dyDescent="0.2">
      <c r="V1223" s="180" t="str">
        <f t="shared" si="26"/>
        <v>1w</v>
      </c>
      <c r="W1223" s="177">
        <f>_xll.qlCalendarAdvance(Calendar,W1222,V1223,"f",FALSE)</f>
        <v>47507</v>
      </c>
      <c r="X1223" s="181">
        <f>_xll.qlCalendarAdvance(Calendar,W1223,NDays&amp;"D")</f>
        <v>47511</v>
      </c>
      <c r="Y1223" s="178">
        <v>2.484683865028629E-2</v>
      </c>
      <c r="Z1223" s="183">
        <v>2.4545166004097396E-2</v>
      </c>
    </row>
    <row r="1224" spans="22:26" x14ac:dyDescent="0.2">
      <c r="V1224" s="180" t="str">
        <f t="shared" si="26"/>
        <v>1w</v>
      </c>
      <c r="W1224" s="177">
        <f>_xll.qlCalendarAdvance(Calendar,W1223,V1224,"f",FALSE)</f>
        <v>47514</v>
      </c>
      <c r="X1224" s="181">
        <f>_xll.qlCalendarAdvance(Calendar,W1224,NDays&amp;"D")</f>
        <v>47518</v>
      </c>
      <c r="Y1224" s="178">
        <v>2.4846181582462358E-2</v>
      </c>
      <c r="Z1224" s="183">
        <v>2.4545767868575652E-2</v>
      </c>
    </row>
    <row r="1225" spans="22:26" x14ac:dyDescent="0.2">
      <c r="V1225" s="180" t="str">
        <f t="shared" si="26"/>
        <v>1w</v>
      </c>
      <c r="W1225" s="177">
        <f>_xll.qlCalendarAdvance(Calendar,W1224,V1225,"f",FALSE)</f>
        <v>47521</v>
      </c>
      <c r="X1225" s="181">
        <f>_xll.qlCalendarAdvance(Calendar,W1225,NDays&amp;"D")</f>
        <v>47525</v>
      </c>
      <c r="Y1225" s="178">
        <v>2.4845475513109457E-2</v>
      </c>
      <c r="Z1225" s="183">
        <v>2.4546321931850912E-2</v>
      </c>
    </row>
    <row r="1226" spans="22:26" x14ac:dyDescent="0.2">
      <c r="V1226" s="180" t="str">
        <f t="shared" si="26"/>
        <v>1w</v>
      </c>
      <c r="W1226" s="177">
        <f>_xll.qlCalendarAdvance(Calendar,W1225,V1226,"f",FALSE)</f>
        <v>47528</v>
      </c>
      <c r="X1226" s="181">
        <f>_xll.qlCalendarAdvance(Calendar,W1226,NDays&amp;"D")</f>
        <v>47532</v>
      </c>
      <c r="Y1226" s="178">
        <v>2.4844720442330513E-2</v>
      </c>
      <c r="Z1226" s="183">
        <v>2.4546828194003112E-2</v>
      </c>
    </row>
    <row r="1227" spans="22:26" x14ac:dyDescent="0.2">
      <c r="V1227" s="180" t="str">
        <f t="shared" si="26"/>
        <v>1w</v>
      </c>
      <c r="W1227" s="177">
        <f>_xll.qlCalendarAdvance(Calendar,W1226,V1227,"f",FALSE)</f>
        <v>47535</v>
      </c>
      <c r="X1227" s="181">
        <f>_xll.qlCalendarAdvance(Calendar,W1227,NDays&amp;"D")</f>
        <v>47539</v>
      </c>
      <c r="Y1227" s="178">
        <v>2.4843916370235249E-2</v>
      </c>
      <c r="Z1227" s="183">
        <v>2.4547286655032252E-2</v>
      </c>
    </row>
    <row r="1228" spans="22:26" x14ac:dyDescent="0.2">
      <c r="V1228" s="180" t="str">
        <f t="shared" si="26"/>
        <v>1w</v>
      </c>
      <c r="W1228" s="177">
        <f>_xll.qlCalendarAdvance(Calendar,W1227,V1228,"f",FALSE)</f>
        <v>47542</v>
      </c>
      <c r="X1228" s="181">
        <f>_xll.qlCalendarAdvance(Calendar,W1228,NDays&amp;"D")</f>
        <v>47546</v>
      </c>
      <c r="Y1228" s="178">
        <v>2.4843063296940179E-2</v>
      </c>
      <c r="Z1228" s="183">
        <v>2.4547697314698524E-2</v>
      </c>
    </row>
    <row r="1229" spans="22:26" x14ac:dyDescent="0.2">
      <c r="V1229" s="180" t="str">
        <f t="shared" si="26"/>
        <v>1w</v>
      </c>
      <c r="W1229" s="177">
        <f>_xll.qlCalendarAdvance(Calendar,W1228,V1229,"f",FALSE)</f>
        <v>47549</v>
      </c>
      <c r="X1229" s="181">
        <f>_xll.qlCalendarAdvance(Calendar,W1229,NDays&amp;"D")</f>
        <v>47553</v>
      </c>
      <c r="Y1229" s="178">
        <v>2.4842161222569908E-2</v>
      </c>
      <c r="Z1229" s="183">
        <v>2.4548060173401609E-2</v>
      </c>
    </row>
    <row r="1230" spans="22:26" x14ac:dyDescent="0.2">
      <c r="V1230" s="180" t="str">
        <f t="shared" si="26"/>
        <v>1w</v>
      </c>
      <c r="W1230" s="177">
        <f>_xll.qlCalendarAdvance(Calendar,W1229,V1230,"f",FALSE)</f>
        <v>47556</v>
      </c>
      <c r="X1230" s="181">
        <f>_xll.qlCalendarAdvance(Calendar,W1230,NDays&amp;"D")</f>
        <v>47560</v>
      </c>
      <c r="Y1230" s="178">
        <v>2.4841210147255186E-2</v>
      </c>
      <c r="Z1230" s="183">
        <v>2.4548375230901698E-2</v>
      </c>
    </row>
    <row r="1231" spans="22:26" x14ac:dyDescent="0.2">
      <c r="V1231" s="180" t="str">
        <f t="shared" si="26"/>
        <v>1w</v>
      </c>
      <c r="W1231" s="177">
        <f>_xll.qlCalendarAdvance(Calendar,W1230,V1231,"f",FALSE)</f>
        <v>47563</v>
      </c>
      <c r="X1231" s="181">
        <f>_xll.qlCalendarAdvance(Calendar,W1231,NDays&amp;"D")</f>
        <v>47567</v>
      </c>
      <c r="Y1231" s="178">
        <v>2.4840210071134638E-2</v>
      </c>
      <c r="Z1231" s="183">
        <v>2.4548642487198791E-2</v>
      </c>
    </row>
    <row r="1232" spans="22:26" x14ac:dyDescent="0.2">
      <c r="V1232" s="180" t="str">
        <f t="shared" si="26"/>
        <v>1w</v>
      </c>
      <c r="W1232" s="177">
        <f>_xll.qlCalendarAdvance(Calendar,W1231,V1232,"f",FALSE)</f>
        <v>47570</v>
      </c>
      <c r="X1232" s="181">
        <f>_xll.qlCalendarAdvance(Calendar,W1232,NDays&amp;"D")</f>
        <v>47574</v>
      </c>
      <c r="Y1232" s="178">
        <v>2.4839160994353467E-2</v>
      </c>
      <c r="Z1232" s="183">
        <v>2.4548861942372824E-2</v>
      </c>
    </row>
    <row r="1233" spans="22:26" x14ac:dyDescent="0.2">
      <c r="V1233" s="180" t="str">
        <f t="shared" si="26"/>
        <v>1w</v>
      </c>
      <c r="W1233" s="177">
        <f>_xll.qlCalendarAdvance(Calendar,W1232,V1233,"f",FALSE)</f>
        <v>47577</v>
      </c>
      <c r="X1233" s="181">
        <f>_xll.qlCalendarAdvance(Calendar,W1233,NDays&amp;"D")</f>
        <v>47581</v>
      </c>
      <c r="Y1233" s="178">
        <v>2.4838062917063877E-2</v>
      </c>
      <c r="Z1233" s="183">
        <v>2.4549033596423797E-2</v>
      </c>
    </row>
    <row r="1234" spans="22:26" x14ac:dyDescent="0.2">
      <c r="V1234" s="180" t="str">
        <f t="shared" si="26"/>
        <v>1w</v>
      </c>
      <c r="W1234" s="177">
        <f>_xll.qlCalendarAdvance(Calendar,W1233,V1234,"f",FALSE)</f>
        <v>47584</v>
      </c>
      <c r="X1234" s="181">
        <f>_xll.qlCalendarAdvance(Calendar,W1234,NDays&amp;"D")</f>
        <v>47588</v>
      </c>
      <c r="Y1234" s="178">
        <v>2.483691583942596E-2</v>
      </c>
      <c r="Z1234" s="183">
        <v>2.4549157449271775E-2</v>
      </c>
    </row>
    <row r="1235" spans="22:26" x14ac:dyDescent="0.2">
      <c r="V1235" s="180" t="str">
        <f t="shared" si="26"/>
        <v>1w</v>
      </c>
      <c r="W1235" s="177">
        <f>_xll.qlCalendarAdvance(Calendar,W1234,V1235,"f",FALSE)</f>
        <v>47591</v>
      </c>
      <c r="X1235" s="181">
        <f>_xll.qlCalendarAdvance(Calendar,W1235,NDays&amp;"D")</f>
        <v>47597</v>
      </c>
      <c r="Y1235" s="178">
        <v>2.4835369025077464E-2</v>
      </c>
      <c r="Z1235" s="183">
        <v>2.4549246450238371E-2</v>
      </c>
    </row>
    <row r="1236" spans="22:26" x14ac:dyDescent="0.2">
      <c r="V1236" s="180" t="str">
        <f t="shared" si="26"/>
        <v>1w</v>
      </c>
      <c r="W1236" s="177">
        <f>_xll.qlCalendarAdvance(Calendar,W1235,V1236,"f",FALSE)</f>
        <v>47598</v>
      </c>
      <c r="X1236" s="181">
        <f>_xll.qlCalendarAdvance(Calendar,W1236,NDays&amp;"D")</f>
        <v>47602</v>
      </c>
      <c r="Y1236" s="178">
        <v>2.4834474683779018E-2</v>
      </c>
      <c r="Z1236" s="183">
        <v>2.4549261751518614E-2</v>
      </c>
    </row>
    <row r="1237" spans="22:26" x14ac:dyDescent="0.2">
      <c r="V1237" s="180" t="str">
        <f t="shared" ref="V1237:V1300" si="27">V1236</f>
        <v>1w</v>
      </c>
      <c r="W1237" s="177">
        <f>_xll.qlCalendarAdvance(Calendar,W1236,V1237,"f",FALSE)</f>
        <v>47605</v>
      </c>
      <c r="X1237" s="181">
        <f>_xll.qlCalendarAdvance(Calendar,W1237,NDays&amp;"D")</f>
        <v>47609</v>
      </c>
      <c r="Y1237" s="178">
        <v>2.4833180606124779E-2</v>
      </c>
      <c r="Z1237" s="183">
        <v>2.454924220083754E-2</v>
      </c>
    </row>
    <row r="1238" spans="22:26" x14ac:dyDescent="0.2">
      <c r="V1238" s="180" t="str">
        <f t="shared" si="27"/>
        <v>1w</v>
      </c>
      <c r="W1238" s="177">
        <f>_xll.qlCalendarAdvance(Calendar,W1237,V1238,"f",FALSE)</f>
        <v>47612</v>
      </c>
      <c r="X1238" s="181">
        <f>_xll.qlCalendarAdvance(Calendar,W1238,NDays&amp;"D")</f>
        <v>47616</v>
      </c>
      <c r="Y1238" s="178">
        <v>2.4831837528831783E-2</v>
      </c>
      <c r="Z1238" s="183">
        <v>2.4549174849113342E-2</v>
      </c>
    </row>
    <row r="1239" spans="22:26" x14ac:dyDescent="0.2">
      <c r="V1239" s="180" t="str">
        <f t="shared" si="27"/>
        <v>1w</v>
      </c>
      <c r="W1239" s="177">
        <f>_xll.qlCalendarAdvance(Calendar,W1238,V1239,"f",FALSE)</f>
        <v>47619</v>
      </c>
      <c r="X1239" s="181">
        <f>_xll.qlCalendarAdvance(Calendar,W1239,NDays&amp;"D")</f>
        <v>47623</v>
      </c>
      <c r="Y1239" s="178">
        <v>2.4830445452095378E-2</v>
      </c>
      <c r="Z1239" s="183">
        <v>2.4549059696106212E-2</v>
      </c>
    </row>
    <row r="1240" spans="22:26" x14ac:dyDescent="0.2">
      <c r="V1240" s="180" t="str">
        <f t="shared" si="27"/>
        <v>1w</v>
      </c>
      <c r="W1240" s="177">
        <f>_xll.qlCalendarAdvance(Calendar,W1239,V1240,"f",FALSE)</f>
        <v>47626</v>
      </c>
      <c r="X1240" s="181">
        <f>_xll.qlCalendarAdvance(Calendar,W1240,NDays&amp;"D")</f>
        <v>47630</v>
      </c>
      <c r="Y1240" s="178">
        <v>2.4829004376117923E-2</v>
      </c>
      <c r="Z1240" s="183">
        <v>2.4548896742055959E-2</v>
      </c>
    </row>
    <row r="1241" spans="22:26" x14ac:dyDescent="0.2">
      <c r="V1241" s="180" t="str">
        <f t="shared" si="27"/>
        <v>1w</v>
      </c>
      <c r="W1241" s="177">
        <f>_xll.qlCalendarAdvance(Calendar,W1240,V1241,"f",FALSE)</f>
        <v>47633</v>
      </c>
      <c r="X1241" s="181">
        <f>_xll.qlCalendarAdvance(Calendar,W1241,NDays&amp;"D")</f>
        <v>47637</v>
      </c>
      <c r="Y1241" s="178">
        <v>2.482751430110923E-2</v>
      </c>
      <c r="Z1241" s="183">
        <v>2.454868598680271E-2</v>
      </c>
    </row>
    <row r="1242" spans="22:26" x14ac:dyDescent="0.2">
      <c r="V1242" s="180" t="str">
        <f t="shared" si="27"/>
        <v>1w</v>
      </c>
      <c r="W1242" s="177">
        <f>_xll.qlCalendarAdvance(Calendar,W1241,V1242,"f",FALSE)</f>
        <v>47640</v>
      </c>
      <c r="X1242" s="181">
        <f>_xll.qlCalendarAdvance(Calendar,W1242,NDays&amp;"D")</f>
        <v>47644</v>
      </c>
      <c r="Y1242" s="178">
        <v>2.4825975227285225E-2</v>
      </c>
      <c r="Z1242" s="183">
        <v>2.4548427430426401E-2</v>
      </c>
    </row>
    <row r="1243" spans="22:26" x14ac:dyDescent="0.2">
      <c r="V1243" s="180" t="str">
        <f t="shared" si="27"/>
        <v>1w</v>
      </c>
      <c r="W1243" s="177">
        <f>_xll.qlCalendarAdvance(Calendar,W1242,V1243,"f",FALSE)</f>
        <v>47647</v>
      </c>
      <c r="X1243" s="181">
        <f>_xll.qlCalendarAdvance(Calendar,W1243,NDays&amp;"D")</f>
        <v>47651</v>
      </c>
      <c r="Y1243" s="178">
        <v>2.4824387154870394E-2</v>
      </c>
      <c r="Z1243" s="183">
        <v>2.4548121072847096E-2</v>
      </c>
    </row>
    <row r="1244" spans="22:26" x14ac:dyDescent="0.2">
      <c r="V1244" s="180" t="str">
        <f t="shared" si="27"/>
        <v>1w</v>
      </c>
      <c r="W1244" s="177">
        <f>_xll.qlCalendarAdvance(Calendar,W1243,V1244,"f",FALSE)</f>
        <v>47654</v>
      </c>
      <c r="X1244" s="181">
        <f>_xll.qlCalendarAdvance(Calendar,W1244,NDays&amp;"D")</f>
        <v>47658</v>
      </c>
      <c r="Y1244" s="178">
        <v>2.4822750084095346E-2</v>
      </c>
      <c r="Z1244" s="183">
        <v>2.4547766914144731E-2</v>
      </c>
    </row>
    <row r="1245" spans="22:26" x14ac:dyDescent="0.2">
      <c r="V1245" s="180" t="str">
        <f t="shared" si="27"/>
        <v>1w</v>
      </c>
      <c r="W1245" s="177">
        <f>_xll.qlCalendarAdvance(Calendar,W1244,V1245,"f",FALSE)</f>
        <v>47661</v>
      </c>
      <c r="X1245" s="181">
        <f>_xll.qlCalendarAdvance(Calendar,W1245,NDays&amp;"D")</f>
        <v>47665</v>
      </c>
      <c r="Y1245" s="178">
        <v>2.4821064015197913E-2</v>
      </c>
      <c r="Z1245" s="183">
        <v>2.454736495423937E-2</v>
      </c>
    </row>
    <row r="1246" spans="22:26" x14ac:dyDescent="0.2">
      <c r="V1246" s="180" t="str">
        <f t="shared" si="27"/>
        <v>1w</v>
      </c>
      <c r="W1246" s="177">
        <f>_xll.qlCalendarAdvance(Calendar,W1245,V1246,"f",FALSE)</f>
        <v>47668</v>
      </c>
      <c r="X1246" s="181">
        <f>_xll.qlCalendarAdvance(Calendar,W1246,NDays&amp;"D")</f>
        <v>47672</v>
      </c>
      <c r="Y1246" s="178">
        <v>2.4819328948423387E-2</v>
      </c>
      <c r="Z1246" s="183">
        <v>2.454691519321095E-2</v>
      </c>
    </row>
    <row r="1247" spans="22:26" x14ac:dyDescent="0.2">
      <c r="V1247" s="180" t="str">
        <f t="shared" si="27"/>
        <v>1w</v>
      </c>
      <c r="W1247" s="177">
        <f>_xll.qlCalendarAdvance(Calendar,W1246,V1247,"f",FALSE)</f>
        <v>47675</v>
      </c>
      <c r="X1247" s="181">
        <f>_xll.qlCalendarAdvance(Calendar,W1247,NDays&amp;"D")</f>
        <v>47679</v>
      </c>
      <c r="Y1247" s="178">
        <v>2.481754488402383E-2</v>
      </c>
      <c r="Z1247" s="183">
        <v>2.4546417630979533E-2</v>
      </c>
    </row>
    <row r="1248" spans="22:26" x14ac:dyDescent="0.2">
      <c r="V1248" s="180" t="str">
        <f t="shared" si="27"/>
        <v>1w</v>
      </c>
      <c r="W1248" s="177">
        <f>_xll.qlCalendarAdvance(Calendar,W1247,V1248,"f",FALSE)</f>
        <v>47682</v>
      </c>
      <c r="X1248" s="181">
        <f>_xll.qlCalendarAdvance(Calendar,W1248,NDays&amp;"D")</f>
        <v>47686</v>
      </c>
      <c r="Y1248" s="178">
        <v>2.4815711822258987E-2</v>
      </c>
      <c r="Z1248" s="183">
        <v>2.4545872267625057E-2</v>
      </c>
    </row>
    <row r="1249" spans="22:26" x14ac:dyDescent="0.2">
      <c r="V1249" s="180" t="str">
        <f t="shared" si="27"/>
        <v>1w</v>
      </c>
      <c r="W1249" s="177">
        <f>_xll.qlCalendarAdvance(Calendar,W1248,V1249,"f",FALSE)</f>
        <v>47689</v>
      </c>
      <c r="X1249" s="181">
        <f>_xll.qlCalendarAdvance(Calendar,W1249,NDays&amp;"D")</f>
        <v>47693</v>
      </c>
      <c r="Y1249" s="178">
        <v>2.4813829763394944E-2</v>
      </c>
      <c r="Z1249" s="183">
        <v>2.4545279103147521E-2</v>
      </c>
    </row>
    <row r="1250" spans="22:26" x14ac:dyDescent="0.2">
      <c r="V1250" s="180" t="str">
        <f t="shared" si="27"/>
        <v>1w</v>
      </c>
      <c r="W1250" s="177">
        <f>_xll.qlCalendarAdvance(Calendar,W1249,V1250,"f",FALSE)</f>
        <v>47696</v>
      </c>
      <c r="X1250" s="181">
        <f>_xll.qlCalendarAdvance(Calendar,W1250,NDays&amp;"D")</f>
        <v>47700</v>
      </c>
      <c r="Y1250" s="178">
        <v>2.4811898707705674E-2</v>
      </c>
      <c r="Z1250" s="183">
        <v>2.454463813746699E-2</v>
      </c>
    </row>
    <row r="1251" spans="22:26" x14ac:dyDescent="0.2">
      <c r="V1251" s="180" t="str">
        <f t="shared" si="27"/>
        <v>1w</v>
      </c>
      <c r="W1251" s="177">
        <f>_xll.qlCalendarAdvance(Calendar,W1250,V1251,"f",FALSE)</f>
        <v>47703</v>
      </c>
      <c r="X1251" s="181">
        <f>_xll.qlCalendarAdvance(Calendar,W1251,NDays&amp;"D")</f>
        <v>47707</v>
      </c>
      <c r="Y1251" s="178">
        <v>2.4809918655471719E-2</v>
      </c>
      <c r="Z1251" s="183">
        <v>2.4543949370663398E-2</v>
      </c>
    </row>
    <row r="1252" spans="22:26" x14ac:dyDescent="0.2">
      <c r="V1252" s="180" t="str">
        <f t="shared" si="27"/>
        <v>1w</v>
      </c>
      <c r="W1252" s="177">
        <f>_xll.qlCalendarAdvance(Calendar,W1251,V1252,"f",FALSE)</f>
        <v>47710</v>
      </c>
      <c r="X1252" s="181">
        <f>_xll.qlCalendarAdvance(Calendar,W1252,NDays&amp;"D")</f>
        <v>47714</v>
      </c>
      <c r="Y1252" s="178">
        <v>2.4807889606980847E-2</v>
      </c>
      <c r="Z1252" s="183">
        <v>2.4543212802656811E-2</v>
      </c>
    </row>
    <row r="1253" spans="22:26" x14ac:dyDescent="0.2">
      <c r="V1253" s="180" t="str">
        <f t="shared" si="27"/>
        <v>1w</v>
      </c>
      <c r="W1253" s="177">
        <f>_xll.qlCalendarAdvance(Calendar,W1252,V1253,"f",FALSE)</f>
        <v>47717</v>
      </c>
      <c r="X1253" s="181">
        <f>_xll.qlCalendarAdvance(Calendar,W1253,NDays&amp;"D")</f>
        <v>47721</v>
      </c>
      <c r="Y1253" s="178">
        <v>2.48058115625285E-2</v>
      </c>
      <c r="Z1253" s="183">
        <v>2.4542428433527164E-2</v>
      </c>
    </row>
    <row r="1254" spans="22:26" x14ac:dyDescent="0.2">
      <c r="V1254" s="180" t="str">
        <f t="shared" si="27"/>
        <v>1w</v>
      </c>
      <c r="W1254" s="177">
        <f>_xll.qlCalendarAdvance(Calendar,W1253,V1254,"f",FALSE)</f>
        <v>47724</v>
      </c>
      <c r="X1254" s="181">
        <f>_xll.qlCalendarAdvance(Calendar,W1254,NDays&amp;"D")</f>
        <v>47728</v>
      </c>
      <c r="Y1254" s="178">
        <v>2.4803684522416016E-2</v>
      </c>
      <c r="Z1254" s="183">
        <v>2.4541596263194521E-2</v>
      </c>
    </row>
    <row r="1255" spans="22:26" x14ac:dyDescent="0.2">
      <c r="V1255" s="180" t="str">
        <f t="shared" si="27"/>
        <v>1w</v>
      </c>
      <c r="W1255" s="177">
        <f>_xll.qlCalendarAdvance(Calendar,W1254,V1255,"f",FALSE)</f>
        <v>47731</v>
      </c>
      <c r="X1255" s="181">
        <f>_xll.qlCalendarAdvance(Calendar,W1255,NDays&amp;"D")</f>
        <v>47735</v>
      </c>
      <c r="Y1255" s="178">
        <v>2.4801508486953294E-2</v>
      </c>
      <c r="Z1255" s="183">
        <v>2.4540716291738818E-2</v>
      </c>
    </row>
    <row r="1256" spans="22:26" x14ac:dyDescent="0.2">
      <c r="V1256" s="180" t="str">
        <f t="shared" si="27"/>
        <v>1w</v>
      </c>
      <c r="W1256" s="177">
        <f>_xll.qlCalendarAdvance(Calendar,W1255,V1256,"f",FALSE)</f>
        <v>47738</v>
      </c>
      <c r="X1256" s="181">
        <f>_xll.qlCalendarAdvance(Calendar,W1256,NDays&amp;"D")</f>
        <v>47742</v>
      </c>
      <c r="Y1256" s="178">
        <v>2.4799283456456347E-2</v>
      </c>
      <c r="Z1256" s="183">
        <v>2.4539788519160055E-2</v>
      </c>
    </row>
    <row r="1257" spans="22:26" x14ac:dyDescent="0.2">
      <c r="V1257" s="180" t="str">
        <f t="shared" si="27"/>
        <v>1w</v>
      </c>
      <c r="W1257" s="177">
        <f>_xll.qlCalendarAdvance(Calendar,W1256,V1257,"f",FALSE)</f>
        <v>47745</v>
      </c>
      <c r="X1257" s="181">
        <f>_xll.qlCalendarAdvance(Calendar,W1257,NDays&amp;"D")</f>
        <v>47749</v>
      </c>
      <c r="Y1257" s="178">
        <v>2.4797009431248868E-2</v>
      </c>
      <c r="Z1257" s="183">
        <v>2.4538812945378297E-2</v>
      </c>
    </row>
    <row r="1258" spans="22:26" x14ac:dyDescent="0.2">
      <c r="V1258" s="180" t="str">
        <f t="shared" si="27"/>
        <v>1w</v>
      </c>
      <c r="W1258" s="177">
        <f>_xll.qlCalendarAdvance(Calendar,W1257,V1258,"f",FALSE)</f>
        <v>47752</v>
      </c>
      <c r="X1258" s="181">
        <f>_xll.qlCalendarAdvance(Calendar,W1258,NDays&amp;"D")</f>
        <v>47756</v>
      </c>
      <c r="Y1258" s="178">
        <v>2.4794686411661326E-2</v>
      </c>
      <c r="Z1258" s="183">
        <v>2.4537789570473478E-2</v>
      </c>
    </row>
    <row r="1259" spans="22:26" x14ac:dyDescent="0.2">
      <c r="V1259" s="180" t="str">
        <f t="shared" si="27"/>
        <v>1w</v>
      </c>
      <c r="W1259" s="177">
        <f>_xll.qlCalendarAdvance(Calendar,W1258,V1259,"f",FALSE)</f>
        <v>47759</v>
      </c>
      <c r="X1259" s="181">
        <f>_xll.qlCalendarAdvance(Calendar,W1259,NDays&amp;"D")</f>
        <v>47763</v>
      </c>
      <c r="Y1259" s="178">
        <v>2.479231439803143E-2</v>
      </c>
      <c r="Z1259" s="183">
        <v>2.4536718394365664E-2</v>
      </c>
    </row>
    <row r="1260" spans="22:26" x14ac:dyDescent="0.2">
      <c r="V1260" s="180" t="str">
        <f t="shared" si="27"/>
        <v>1w</v>
      </c>
      <c r="W1260" s="177">
        <f>_xll.qlCalendarAdvance(Calendar,W1259,V1260,"f",FALSE)</f>
        <v>47766</v>
      </c>
      <c r="X1260" s="181">
        <f>_xll.qlCalendarAdvance(Calendar,W1260,NDays&amp;"D")</f>
        <v>47770</v>
      </c>
      <c r="Y1260" s="178">
        <v>2.4789893390704105E-2</v>
      </c>
      <c r="Z1260" s="183">
        <v>2.453559941713479E-2</v>
      </c>
    </row>
    <row r="1261" spans="22:26" x14ac:dyDescent="0.2">
      <c r="V1261" s="180" t="str">
        <f t="shared" si="27"/>
        <v>1w</v>
      </c>
      <c r="W1261" s="177">
        <f>_xll.qlCalendarAdvance(Calendar,W1260,V1261,"f",FALSE)</f>
        <v>47773</v>
      </c>
      <c r="X1261" s="181">
        <f>_xll.qlCalendarAdvance(Calendar,W1261,NDays&amp;"D")</f>
        <v>47777</v>
      </c>
      <c r="Y1261" s="178">
        <v>2.4787423390031288E-2</v>
      </c>
      <c r="Z1261" s="183">
        <v>2.4534432638780856E-2</v>
      </c>
    </row>
    <row r="1262" spans="22:26" x14ac:dyDescent="0.2">
      <c r="V1262" s="180" t="str">
        <f t="shared" si="27"/>
        <v>1w</v>
      </c>
      <c r="W1262" s="177">
        <f>_xll.qlCalendarAdvance(Calendar,W1261,V1262,"f",FALSE)</f>
        <v>47780</v>
      </c>
      <c r="X1262" s="181">
        <f>_xll.qlCalendarAdvance(Calendar,W1262,NDays&amp;"D")</f>
        <v>47784</v>
      </c>
      <c r="Y1262" s="178">
        <v>2.4784904396372147E-2</v>
      </c>
      <c r="Z1262" s="183">
        <v>2.4533218059303863E-2</v>
      </c>
    </row>
    <row r="1263" spans="22:26" x14ac:dyDescent="0.2">
      <c r="V1263" s="180" t="str">
        <f t="shared" si="27"/>
        <v>1w</v>
      </c>
      <c r="W1263" s="177">
        <f>_xll.qlCalendarAdvance(Calendar,W1262,V1263,"f",FALSE)</f>
        <v>47787</v>
      </c>
      <c r="X1263" s="181">
        <f>_xll.qlCalendarAdvance(Calendar,W1263,NDays&amp;"D")</f>
        <v>47791</v>
      </c>
      <c r="Y1263" s="178">
        <v>2.4782336410092632E-2</v>
      </c>
      <c r="Z1263" s="183">
        <v>2.4531955678623873E-2</v>
      </c>
    </row>
    <row r="1264" spans="22:26" x14ac:dyDescent="0.2">
      <c r="V1264" s="180" t="str">
        <f t="shared" si="27"/>
        <v>1w</v>
      </c>
      <c r="W1264" s="177">
        <f>_xll.qlCalendarAdvance(Calendar,W1263,V1264,"f",FALSE)</f>
        <v>47794</v>
      </c>
      <c r="X1264" s="181">
        <f>_xll.qlCalendarAdvance(Calendar,W1264,NDays&amp;"D")</f>
        <v>47798</v>
      </c>
      <c r="Y1264" s="178">
        <v>2.477971943156615E-2</v>
      </c>
      <c r="Z1264" s="183">
        <v>2.4530645496740888E-2</v>
      </c>
    </row>
    <row r="1265" spans="22:26" x14ac:dyDescent="0.2">
      <c r="V1265" s="180" t="str">
        <f t="shared" si="27"/>
        <v>1w</v>
      </c>
      <c r="W1265" s="177">
        <f>_xll.qlCalendarAdvance(Calendar,W1264,V1265,"f",FALSE)</f>
        <v>47801</v>
      </c>
      <c r="X1265" s="181">
        <f>_xll.qlCalendarAdvance(Calendar,W1265,NDays&amp;"D")</f>
        <v>47805</v>
      </c>
      <c r="Y1265" s="178">
        <v>2.4777053461173319E-2</v>
      </c>
      <c r="Z1265" s="183">
        <v>2.4529287513734843E-2</v>
      </c>
    </row>
    <row r="1266" spans="22:26" x14ac:dyDescent="0.2">
      <c r="V1266" s="180" t="str">
        <f t="shared" si="27"/>
        <v>1w</v>
      </c>
      <c r="W1266" s="177">
        <f>_xll.qlCalendarAdvance(Calendar,W1265,V1266,"f",FALSE)</f>
        <v>47808</v>
      </c>
      <c r="X1266" s="181">
        <f>_xll.qlCalendarAdvance(Calendar,W1266,NDays&amp;"D")</f>
        <v>47812</v>
      </c>
      <c r="Y1266" s="178">
        <v>2.4774338499301562E-2</v>
      </c>
      <c r="Z1266" s="183">
        <v>2.4527881729605738E-2</v>
      </c>
    </row>
    <row r="1267" spans="22:26" x14ac:dyDescent="0.2">
      <c r="V1267" s="180" t="str">
        <f t="shared" si="27"/>
        <v>1w</v>
      </c>
      <c r="W1267" s="177">
        <f>_xll.qlCalendarAdvance(Calendar,W1266,V1267,"f",FALSE)</f>
        <v>47815</v>
      </c>
      <c r="X1267" s="181">
        <f>_xll.qlCalendarAdvance(Calendar,W1267,NDays&amp;"D")</f>
        <v>47819</v>
      </c>
      <c r="Y1267" s="178">
        <v>2.4771574546345737E-2</v>
      </c>
      <c r="Z1267" s="183">
        <v>2.4526428144353574E-2</v>
      </c>
    </row>
    <row r="1268" spans="22:26" x14ac:dyDescent="0.2">
      <c r="V1268" s="180" t="str">
        <f t="shared" si="27"/>
        <v>1w</v>
      </c>
      <c r="W1268" s="177">
        <f>_xll.qlCalendarAdvance(Calendar,W1267,V1268,"f",FALSE)</f>
        <v>47822</v>
      </c>
      <c r="X1268" s="181">
        <f>_xll.qlCalendarAdvance(Calendar,W1268,NDays&amp;"D")</f>
        <v>47826</v>
      </c>
      <c r="Y1268" s="178">
        <v>2.4768761602707717E-2</v>
      </c>
      <c r="Z1268" s="183">
        <v>2.4524926757898413E-2</v>
      </c>
    </row>
    <row r="1269" spans="22:26" x14ac:dyDescent="0.2">
      <c r="V1269" s="180" t="str">
        <f t="shared" si="27"/>
        <v>1w</v>
      </c>
      <c r="W1269" s="177">
        <f>_xll.qlCalendarAdvance(Calendar,W1268,V1269,"f",FALSE)</f>
        <v>47829</v>
      </c>
      <c r="X1269" s="181">
        <f>_xll.qlCalendarAdvance(Calendar,W1269,NDays&amp;"D")</f>
        <v>47833</v>
      </c>
      <c r="Y1269" s="178">
        <v>2.4765899668795943E-2</v>
      </c>
      <c r="Z1269" s="183">
        <v>2.4523377570320193E-2</v>
      </c>
    </row>
    <row r="1270" spans="22:26" x14ac:dyDescent="0.2">
      <c r="V1270" s="180" t="str">
        <f t="shared" si="27"/>
        <v>1w</v>
      </c>
      <c r="W1270" s="177">
        <f>_xll.qlCalendarAdvance(Calendar,W1269,V1270,"f",FALSE)</f>
        <v>47836</v>
      </c>
      <c r="X1270" s="181">
        <f>_xll.qlCalendarAdvance(Calendar,W1270,NDays&amp;"D")</f>
        <v>47840</v>
      </c>
      <c r="Y1270" s="178">
        <v>2.4762988745026956E-2</v>
      </c>
      <c r="Z1270" s="183">
        <v>2.4521780581618913E-2</v>
      </c>
    </row>
    <row r="1271" spans="22:26" x14ac:dyDescent="0.2">
      <c r="V1271" s="180" t="str">
        <f t="shared" si="27"/>
        <v>1w</v>
      </c>
      <c r="W1271" s="177">
        <f>_xll.qlCalendarAdvance(Calendar,W1270,V1271,"f",FALSE)</f>
        <v>47844</v>
      </c>
      <c r="X1271" s="181">
        <f>_xll.qlCalendarAdvance(Calendar,W1271,NDays&amp;"D")</f>
        <v>47848</v>
      </c>
      <c r="Y1271" s="178">
        <v>2.4759601987968047E-2</v>
      </c>
      <c r="Z1271" s="183">
        <v>2.4520612022769228E-2</v>
      </c>
    </row>
    <row r="1272" spans="22:26" x14ac:dyDescent="0.2">
      <c r="V1272" s="180" t="str">
        <f t="shared" si="27"/>
        <v>1w</v>
      </c>
      <c r="W1272" s="177">
        <f>_xll.qlCalendarAdvance(Calendar,W1271,V1272,"f",FALSE)</f>
        <v>47851</v>
      </c>
      <c r="X1272" s="181">
        <f>_xll.qlCalendarAdvance(Calendar,W1272,NDays&amp;"D")</f>
        <v>47855</v>
      </c>
      <c r="Y1272" s="178">
        <v>2.4756586087367451E-2</v>
      </c>
      <c r="Z1272" s="183">
        <v>2.4518197499787675E-2</v>
      </c>
    </row>
    <row r="1273" spans="22:26" x14ac:dyDescent="0.2">
      <c r="V1273" s="180" t="str">
        <f t="shared" si="27"/>
        <v>1w</v>
      </c>
      <c r="W1273" s="177">
        <f>_xll.qlCalendarAdvance(Calendar,W1272,V1273,"f",FALSE)</f>
        <v>47858</v>
      </c>
      <c r="X1273" s="181">
        <f>_xll.qlCalendarAdvance(Calendar,W1273,NDays&amp;"D")</f>
        <v>47862</v>
      </c>
      <c r="Y1273" s="178">
        <v>2.4753521198263732E-2</v>
      </c>
      <c r="Z1273" s="183">
        <v>2.4516450278939672E-2</v>
      </c>
    </row>
    <row r="1274" spans="22:26" x14ac:dyDescent="0.2">
      <c r="V1274" s="180" t="str">
        <f t="shared" si="27"/>
        <v>1w</v>
      </c>
      <c r="W1274" s="177">
        <f>_xll.qlCalendarAdvance(Calendar,W1273,V1274,"f",FALSE)</f>
        <v>47865</v>
      </c>
      <c r="X1274" s="181">
        <f>_xll.qlCalendarAdvance(Calendar,W1274,NDays&amp;"D")</f>
        <v>47869</v>
      </c>
      <c r="Y1274" s="178">
        <v>2.4750407321102133E-2</v>
      </c>
      <c r="Z1274" s="183">
        <v>2.4514655256888673E-2</v>
      </c>
    </row>
    <row r="1275" spans="22:26" x14ac:dyDescent="0.2">
      <c r="V1275" s="180" t="str">
        <f t="shared" si="27"/>
        <v>1w</v>
      </c>
      <c r="W1275" s="177">
        <f>_xll.qlCalendarAdvance(Calendar,W1274,V1275,"f",FALSE)</f>
        <v>47872</v>
      </c>
      <c r="X1275" s="181">
        <f>_xll.qlCalendarAdvance(Calendar,W1275,NDays&amp;"D")</f>
        <v>47876</v>
      </c>
      <c r="Y1275" s="178">
        <v>2.474724445633511E-2</v>
      </c>
      <c r="Z1275" s="183">
        <v>2.4512812433634679E-2</v>
      </c>
    </row>
    <row r="1276" spans="22:26" x14ac:dyDescent="0.2">
      <c r="V1276" s="180" t="str">
        <f t="shared" si="27"/>
        <v>1w</v>
      </c>
      <c r="W1276" s="177">
        <f>_xll.qlCalendarAdvance(Calendar,W1275,V1276,"f",FALSE)</f>
        <v>47879</v>
      </c>
      <c r="X1276" s="181">
        <f>_xll.qlCalendarAdvance(Calendar,W1276,NDays&amp;"D")</f>
        <v>47883</v>
      </c>
      <c r="Y1276" s="178">
        <v>2.4744032604423007E-2</v>
      </c>
      <c r="Z1276" s="183">
        <v>2.451092180933756E-2</v>
      </c>
    </row>
    <row r="1277" spans="22:26" x14ac:dyDescent="0.2">
      <c r="V1277" s="180" t="str">
        <f t="shared" si="27"/>
        <v>1w</v>
      </c>
      <c r="W1277" s="177">
        <f>_xll.qlCalendarAdvance(Calendar,W1276,V1277,"f",FALSE)</f>
        <v>47886</v>
      </c>
      <c r="X1277" s="181">
        <f>_xll.qlCalendarAdvance(Calendar,W1277,NDays&amp;"D")</f>
        <v>47890</v>
      </c>
      <c r="Y1277" s="178">
        <v>2.4740771765832517E-2</v>
      </c>
      <c r="Z1277" s="183">
        <v>2.4508983383837446E-2</v>
      </c>
    </row>
    <row r="1278" spans="22:26" x14ac:dyDescent="0.2">
      <c r="V1278" s="180" t="str">
        <f t="shared" si="27"/>
        <v>1w</v>
      </c>
      <c r="W1278" s="177">
        <f>_xll.qlCalendarAdvance(Calendar,W1277,V1278,"f",FALSE)</f>
        <v>47893</v>
      </c>
      <c r="X1278" s="181">
        <f>_xll.qlCalendarAdvance(Calendar,W1278,NDays&amp;"D")</f>
        <v>47897</v>
      </c>
      <c r="Y1278" s="178">
        <v>2.4737461941037348E-2</v>
      </c>
      <c r="Z1278" s="183">
        <v>2.4506997157134336E-2</v>
      </c>
    </row>
    <row r="1279" spans="22:26" x14ac:dyDescent="0.2">
      <c r="V1279" s="180" t="str">
        <f t="shared" si="27"/>
        <v>1w</v>
      </c>
      <c r="W1279" s="177">
        <f>_xll.qlCalendarAdvance(Calendar,W1278,V1279,"f",FALSE)</f>
        <v>47900</v>
      </c>
      <c r="X1279" s="181">
        <f>_xll.qlCalendarAdvance(Calendar,W1279,NDays&amp;"D")</f>
        <v>47904</v>
      </c>
      <c r="Y1279" s="178">
        <v>2.4734103130519301E-2</v>
      </c>
      <c r="Z1279" s="183">
        <v>2.4504963129388102E-2</v>
      </c>
    </row>
    <row r="1280" spans="22:26" x14ac:dyDescent="0.2">
      <c r="V1280" s="180" t="str">
        <f t="shared" si="27"/>
        <v>1w</v>
      </c>
      <c r="W1280" s="177">
        <f>_xll.qlCalendarAdvance(Calendar,W1279,V1280,"f",FALSE)</f>
        <v>47907</v>
      </c>
      <c r="X1280" s="181">
        <f>_xll.qlCalendarAdvance(Calendar,W1280,NDays&amp;"D")</f>
        <v>47911</v>
      </c>
      <c r="Y1280" s="178">
        <v>2.4731262033136161E-2</v>
      </c>
      <c r="Z1280" s="183">
        <v>2.4502881300518808E-2</v>
      </c>
    </row>
    <row r="1281" spans="22:26" x14ac:dyDescent="0.2">
      <c r="V1281" s="180" t="str">
        <f t="shared" si="27"/>
        <v>1w</v>
      </c>
      <c r="W1281" s="177">
        <f>_xll.qlCalendarAdvance(Calendar,W1280,V1281,"f",FALSE)</f>
        <v>47914</v>
      </c>
      <c r="X1281" s="181">
        <f>_xll.qlCalendarAdvance(Calendar,W1281,NDays&amp;"D")</f>
        <v>47918</v>
      </c>
      <c r="Y1281" s="178">
        <v>2.472780151909057E-2</v>
      </c>
      <c r="Z1281" s="183">
        <v>2.4500751670446519E-2</v>
      </c>
    </row>
    <row r="1282" spans="22:26" x14ac:dyDescent="0.2">
      <c r="V1282" s="180" t="str">
        <f t="shared" si="27"/>
        <v>1w</v>
      </c>
      <c r="W1282" s="177">
        <f>_xll.qlCalendarAdvance(Calendar,W1281,V1282,"f",FALSE)</f>
        <v>47921</v>
      </c>
      <c r="X1282" s="181">
        <f>_xll.qlCalendarAdvance(Calendar,W1282,NDays&amp;"D")</f>
        <v>47925</v>
      </c>
      <c r="Y1282" s="178">
        <v>2.4724292017555285E-2</v>
      </c>
      <c r="Z1282" s="183">
        <v>2.449857423925117E-2</v>
      </c>
    </row>
    <row r="1283" spans="22:26" x14ac:dyDescent="0.2">
      <c r="V1283" s="180" t="str">
        <f t="shared" si="27"/>
        <v>1w</v>
      </c>
      <c r="W1283" s="177">
        <f>_xll.qlCalendarAdvance(Calendar,W1282,V1283,"f",FALSE)</f>
        <v>47928</v>
      </c>
      <c r="X1283" s="181">
        <f>_xll.qlCalendarAdvance(Calendar,W1283,NDays&amp;"D")</f>
        <v>47932</v>
      </c>
      <c r="Y1283" s="178">
        <v>2.4720733529042031E-2</v>
      </c>
      <c r="Z1283" s="183">
        <v>2.4496349006932761E-2</v>
      </c>
    </row>
    <row r="1284" spans="22:26" x14ac:dyDescent="0.2">
      <c r="V1284" s="180" t="str">
        <f t="shared" si="27"/>
        <v>1w</v>
      </c>
      <c r="W1284" s="177">
        <f>_xll.qlCalendarAdvance(Calendar,W1283,V1284,"f",FALSE)</f>
        <v>47935</v>
      </c>
      <c r="X1284" s="181">
        <f>_xll.qlCalendarAdvance(Calendar,W1284,NDays&amp;"D")</f>
        <v>47939</v>
      </c>
      <c r="Y1284" s="178">
        <v>2.4717126054069519E-2</v>
      </c>
      <c r="Z1284" s="183">
        <v>2.4494075973411356E-2</v>
      </c>
    </row>
    <row r="1285" spans="22:26" x14ac:dyDescent="0.2">
      <c r="V1285" s="180" t="str">
        <f t="shared" si="27"/>
        <v>1w</v>
      </c>
      <c r="W1285" s="177">
        <f>_xll.qlCalendarAdvance(Calendar,W1284,V1285,"f",FALSE)</f>
        <v>47942</v>
      </c>
      <c r="X1285" s="181">
        <f>_xll.qlCalendarAdvance(Calendar,W1285,NDays&amp;"D")</f>
        <v>47946</v>
      </c>
      <c r="Y1285" s="178">
        <v>2.4713469593163659E-2</v>
      </c>
      <c r="Z1285" s="183">
        <v>2.4491755138846827E-2</v>
      </c>
    </row>
    <row r="1286" spans="22:26" x14ac:dyDescent="0.2">
      <c r="V1286" s="180" t="str">
        <f t="shared" si="27"/>
        <v>1w</v>
      </c>
      <c r="W1286" s="177">
        <f>_xll.qlCalendarAdvance(Calendar,W1285,V1286,"f",FALSE)</f>
        <v>47953</v>
      </c>
      <c r="X1286" s="181">
        <f>_xll.qlCalendarAdvance(Calendar,W1286,NDays&amp;"D")</f>
        <v>47955</v>
      </c>
      <c r="Y1286" s="178">
        <v>2.4709781796635504E-2</v>
      </c>
      <c r="Z1286" s="183">
        <v>2.44887009702488E-2</v>
      </c>
    </row>
    <row r="1287" spans="22:26" x14ac:dyDescent="0.2">
      <c r="V1287" s="180" t="str">
        <f t="shared" si="27"/>
        <v>1w</v>
      </c>
      <c r="W1287" s="177">
        <f>_xll.qlCalendarAdvance(Calendar,W1286,V1287,"f",FALSE)</f>
        <v>47960</v>
      </c>
      <c r="X1287" s="181">
        <f>_xll.qlCalendarAdvance(Calendar,W1287,NDays&amp;"D")</f>
        <v>47962</v>
      </c>
      <c r="Y1287" s="178">
        <v>2.4706005860517379E-2</v>
      </c>
      <c r="Z1287" s="183">
        <v>2.4486270875883065E-2</v>
      </c>
    </row>
    <row r="1288" spans="22:26" x14ac:dyDescent="0.2">
      <c r="V1288" s="180" t="str">
        <f t="shared" si="27"/>
        <v>1w</v>
      </c>
      <c r="W1288" s="177">
        <f>_xll.qlCalendarAdvance(Calendar,W1287,V1288,"f",FALSE)</f>
        <v>47967</v>
      </c>
      <c r="X1288" s="181">
        <f>_xll.qlCalendarAdvance(Calendar,W1288,NDays&amp;"D")</f>
        <v>47970</v>
      </c>
      <c r="Y1288" s="178">
        <v>2.4701096061523053E-2</v>
      </c>
      <c r="Z1288" s="183">
        <v>2.4484741001415955E-2</v>
      </c>
    </row>
    <row r="1289" spans="22:26" x14ac:dyDescent="0.2">
      <c r="V1289" s="180" t="str">
        <f t="shared" si="27"/>
        <v>1w</v>
      </c>
      <c r="W1289" s="177">
        <f>_xll.qlCalendarAdvance(Calendar,W1288,V1289,"f",FALSE)</f>
        <v>47974</v>
      </c>
      <c r="X1289" s="181">
        <f>_xll.qlCalendarAdvance(Calendar,W1289,NDays&amp;"D")</f>
        <v>47976</v>
      </c>
      <c r="Y1289" s="178">
        <v>2.4698307016936469E-2</v>
      </c>
      <c r="Z1289" s="183">
        <v>2.4481267283862351E-2</v>
      </c>
    </row>
    <row r="1290" spans="22:26" x14ac:dyDescent="0.2">
      <c r="V1290" s="180" t="str">
        <f t="shared" si="27"/>
        <v>1w</v>
      </c>
      <c r="W1290" s="177">
        <f>_xll.qlCalendarAdvance(Calendar,W1289,V1290,"f",FALSE)</f>
        <v>47981</v>
      </c>
      <c r="X1290" s="181">
        <f>_xll.qlCalendarAdvance(Calendar,W1290,NDays&amp;"D")</f>
        <v>47983</v>
      </c>
      <c r="Y1290" s="178">
        <v>2.4694384110601476E-2</v>
      </c>
      <c r="Z1290" s="183">
        <v>2.4478693786047501E-2</v>
      </c>
    </row>
    <row r="1291" spans="22:26" x14ac:dyDescent="0.2">
      <c r="V1291" s="180" t="str">
        <f t="shared" si="27"/>
        <v>1w</v>
      </c>
      <c r="W1291" s="177">
        <f>_xll.qlCalendarAdvance(Calendar,W1290,V1291,"f",FALSE)</f>
        <v>47988</v>
      </c>
      <c r="X1291" s="181">
        <f>_xll.qlCalendarAdvance(Calendar,W1291,NDays&amp;"D")</f>
        <v>47990</v>
      </c>
      <c r="Y1291" s="178">
        <v>2.4690412215334877E-2</v>
      </c>
      <c r="Z1291" s="183">
        <v>2.4476072487189526E-2</v>
      </c>
    </row>
    <row r="1292" spans="22:26" x14ac:dyDescent="0.2">
      <c r="V1292" s="180" t="str">
        <f t="shared" si="27"/>
        <v>1w</v>
      </c>
      <c r="W1292" s="177">
        <f>_xll.qlCalendarAdvance(Calendar,W1291,V1292,"f",FALSE)</f>
        <v>47995</v>
      </c>
      <c r="X1292" s="181">
        <f>_xll.qlCalendarAdvance(Calendar,W1292,NDays&amp;"D")</f>
        <v>47997</v>
      </c>
      <c r="Y1292" s="178">
        <v>2.4686391331718162E-2</v>
      </c>
      <c r="Z1292" s="183">
        <v>2.4473403387208492E-2</v>
      </c>
    </row>
    <row r="1293" spans="22:26" x14ac:dyDescent="0.2">
      <c r="V1293" s="180" t="str">
        <f t="shared" si="27"/>
        <v>1w</v>
      </c>
      <c r="W1293" s="177">
        <f>_xll.qlCalendarAdvance(Calendar,W1292,V1293,"f",FALSE)</f>
        <v>48002</v>
      </c>
      <c r="X1293" s="181">
        <f>_xll.qlCalendarAdvance(Calendar,W1293,NDays&amp;"D")</f>
        <v>48004</v>
      </c>
      <c r="Y1293" s="178">
        <v>2.4682321460341078E-2</v>
      </c>
      <c r="Z1293" s="183">
        <v>2.4470686486024462E-2</v>
      </c>
    </row>
    <row r="1294" spans="22:26" x14ac:dyDescent="0.2">
      <c r="V1294" s="180" t="str">
        <f t="shared" si="27"/>
        <v>1w</v>
      </c>
      <c r="W1294" s="177">
        <f>_xll.qlCalendarAdvance(Calendar,W1293,V1294,"f",FALSE)</f>
        <v>48009</v>
      </c>
      <c r="X1294" s="181">
        <f>_xll.qlCalendarAdvance(Calendar,W1294,NDays&amp;"D")</f>
        <v>48011</v>
      </c>
      <c r="Y1294" s="178">
        <v>2.4678202601800103E-2</v>
      </c>
      <c r="Z1294" s="183">
        <v>2.4467921783797308E-2</v>
      </c>
    </row>
    <row r="1295" spans="22:26" x14ac:dyDescent="0.2">
      <c r="V1295" s="180" t="str">
        <f t="shared" si="27"/>
        <v>1w</v>
      </c>
      <c r="W1295" s="177">
        <f>_xll.qlCalendarAdvance(Calendar,W1294,V1295,"f",FALSE)</f>
        <v>48016</v>
      </c>
      <c r="X1295" s="181">
        <f>_xll.qlCalendarAdvance(Calendar,W1295,NDays&amp;"D")</f>
        <v>48018</v>
      </c>
      <c r="Y1295" s="178">
        <v>2.4674034756698885E-2</v>
      </c>
      <c r="Z1295" s="183">
        <v>2.4465109280447095E-2</v>
      </c>
    </row>
    <row r="1296" spans="22:26" x14ac:dyDescent="0.2">
      <c r="V1296" s="180" t="str">
        <f t="shared" si="27"/>
        <v>1w</v>
      </c>
      <c r="W1296" s="177">
        <f>_xll.qlCalendarAdvance(Calendar,W1295,V1296,"f",FALSE)</f>
        <v>48023</v>
      </c>
      <c r="X1296" s="181">
        <f>_xll.qlCalendarAdvance(Calendar,W1296,NDays&amp;"D")</f>
        <v>48025</v>
      </c>
      <c r="Y1296" s="178">
        <v>2.4669817925647805E-2</v>
      </c>
      <c r="Z1296" s="183">
        <v>2.4462248975973822E-2</v>
      </c>
    </row>
    <row r="1297" spans="22:26" x14ac:dyDescent="0.2">
      <c r="V1297" s="180" t="str">
        <f t="shared" si="27"/>
        <v>1w</v>
      </c>
      <c r="W1297" s="177">
        <f>_xll.qlCalendarAdvance(Calendar,W1296,V1297,"f",FALSE)</f>
        <v>48030</v>
      </c>
      <c r="X1297" s="181">
        <f>_xll.qlCalendarAdvance(Calendar,W1297,NDays&amp;"D")</f>
        <v>48032</v>
      </c>
      <c r="Y1297" s="178">
        <v>2.46655521092655E-2</v>
      </c>
      <c r="Z1297" s="183">
        <v>2.4459340870297552E-2</v>
      </c>
    </row>
    <row r="1298" spans="22:26" x14ac:dyDescent="0.2">
      <c r="V1298" s="180" t="str">
        <f t="shared" si="27"/>
        <v>1w</v>
      </c>
      <c r="W1298" s="177">
        <f>_xll.qlCalendarAdvance(Calendar,W1297,V1298,"f",FALSE)</f>
        <v>48037</v>
      </c>
      <c r="X1298" s="181">
        <f>_xll.qlCalendarAdvance(Calendar,W1298,NDays&amp;"D")</f>
        <v>48039</v>
      </c>
      <c r="Y1298" s="178">
        <v>2.4661237308177122E-2</v>
      </c>
      <c r="Z1298" s="183">
        <v>2.4456384963578159E-2</v>
      </c>
    </row>
    <row r="1299" spans="22:26" x14ac:dyDescent="0.2">
      <c r="V1299" s="180" t="str">
        <f t="shared" si="27"/>
        <v>1w</v>
      </c>
      <c r="W1299" s="177">
        <f>_xll.qlCalendarAdvance(Calendar,W1298,V1299,"f",FALSE)</f>
        <v>48044</v>
      </c>
      <c r="X1299" s="181">
        <f>_xll.qlCalendarAdvance(Calendar,W1299,NDays&amp;"D")</f>
        <v>48046</v>
      </c>
      <c r="Y1299" s="178">
        <v>2.4656873523014555E-2</v>
      </c>
      <c r="Z1299" s="183">
        <v>2.4453381255655771E-2</v>
      </c>
    </row>
    <row r="1300" spans="22:26" x14ac:dyDescent="0.2">
      <c r="V1300" s="180" t="str">
        <f t="shared" si="27"/>
        <v>1w</v>
      </c>
      <c r="W1300" s="177">
        <f>_xll.qlCalendarAdvance(Calendar,W1299,V1300,"f",FALSE)</f>
        <v>48051</v>
      </c>
      <c r="X1300" s="181">
        <f>_xll.qlCalendarAdvance(Calendar,W1300,NDays&amp;"D")</f>
        <v>48053</v>
      </c>
      <c r="Y1300" s="178">
        <v>2.4652460754417939E-2</v>
      </c>
      <c r="Z1300" s="183">
        <v>2.4450329746690258E-2</v>
      </c>
    </row>
    <row r="1301" spans="22:26" x14ac:dyDescent="0.2">
      <c r="V1301" s="180" t="str">
        <f t="shared" ref="V1301:V1364" si="28">V1300</f>
        <v>1w</v>
      </c>
      <c r="W1301" s="177">
        <f>_xll.qlCalendarAdvance(Calendar,W1300,V1301,"f",FALSE)</f>
        <v>48058</v>
      </c>
      <c r="X1301" s="181">
        <f>_xll.qlCalendarAdvance(Calendar,W1301,NDays&amp;"D")</f>
        <v>48060</v>
      </c>
      <c r="Y1301" s="178">
        <v>2.4646540448572233E-2</v>
      </c>
      <c r="Z1301" s="183">
        <v>2.444723043652175E-2</v>
      </c>
    </row>
    <row r="1302" spans="22:26" x14ac:dyDescent="0.2">
      <c r="V1302" s="180" t="str">
        <f t="shared" si="28"/>
        <v>1w</v>
      </c>
      <c r="W1302" s="177">
        <f>_xll.qlCalendarAdvance(Calendar,W1301,V1302,"f",FALSE)</f>
        <v>48065</v>
      </c>
      <c r="X1302" s="181">
        <f>_xll.qlCalendarAdvance(Calendar,W1302,NDays&amp;"D")</f>
        <v>48067</v>
      </c>
      <c r="Y1302" s="178">
        <v>2.4643488269515706E-2</v>
      </c>
      <c r="Z1302" s="183">
        <v>2.4444083325310118E-2</v>
      </c>
    </row>
    <row r="1303" spans="22:26" x14ac:dyDescent="0.2">
      <c r="V1303" s="180" t="str">
        <f t="shared" si="28"/>
        <v>1w</v>
      </c>
      <c r="W1303" s="177">
        <f>_xll.qlCalendarAdvance(Calendar,W1302,V1303,"f",FALSE)</f>
        <v>48072</v>
      </c>
      <c r="X1303" s="181">
        <f>_xll.qlCalendarAdvance(Calendar,W1303,NDays&amp;"D")</f>
        <v>48074</v>
      </c>
      <c r="Y1303" s="178">
        <v>2.4638928554525558E-2</v>
      </c>
      <c r="Z1303" s="183">
        <v>2.4440888412975426E-2</v>
      </c>
    </row>
    <row r="1304" spans="22:26" x14ac:dyDescent="0.2">
      <c r="V1304" s="180" t="str">
        <f t="shared" si="28"/>
        <v>1w</v>
      </c>
      <c r="W1304" s="177">
        <f>_xll.qlCalendarAdvance(Calendar,W1303,V1304,"f",FALSE)</f>
        <v>48079</v>
      </c>
      <c r="X1304" s="181">
        <f>_xll.qlCalendarAdvance(Calendar,W1304,NDays&amp;"D")</f>
        <v>48081</v>
      </c>
      <c r="Y1304" s="178">
        <v>2.4634319858730779E-2</v>
      </c>
      <c r="Z1304" s="183">
        <v>2.4437645699517674E-2</v>
      </c>
    </row>
    <row r="1305" spans="22:26" x14ac:dyDescent="0.2">
      <c r="V1305" s="180" t="str">
        <f t="shared" si="28"/>
        <v>1w</v>
      </c>
      <c r="W1305" s="177">
        <f>_xll.qlCalendarAdvance(Calendar,W1304,V1305,"f",FALSE)</f>
        <v>48086</v>
      </c>
      <c r="X1305" s="181">
        <f>_xll.qlCalendarAdvance(Calendar,W1305,NDays&amp;"D")</f>
        <v>48088</v>
      </c>
      <c r="Y1305" s="178">
        <v>2.4629662182807356E-2</v>
      </c>
      <c r="Z1305" s="183">
        <v>2.4434355184936862E-2</v>
      </c>
    </row>
    <row r="1306" spans="22:26" x14ac:dyDescent="0.2">
      <c r="V1306" s="180" t="str">
        <f t="shared" si="28"/>
        <v>1w</v>
      </c>
      <c r="W1306" s="177">
        <f>_xll.qlCalendarAdvance(Calendar,W1305,V1306,"f",FALSE)</f>
        <v>48093</v>
      </c>
      <c r="X1306" s="181">
        <f>_xll.qlCalendarAdvance(Calendar,W1306,NDays&amp;"D")</f>
        <v>48095</v>
      </c>
      <c r="Y1306" s="178">
        <v>2.4624955527437559E-2</v>
      </c>
      <c r="Z1306" s="183">
        <v>2.4431016869232991E-2</v>
      </c>
    </row>
    <row r="1307" spans="22:26" x14ac:dyDescent="0.2">
      <c r="V1307" s="180" t="str">
        <f t="shared" si="28"/>
        <v>1w</v>
      </c>
      <c r="W1307" s="177">
        <f>_xll.qlCalendarAdvance(Calendar,W1306,V1307,"f",FALSE)</f>
        <v>48100</v>
      </c>
      <c r="X1307" s="181">
        <f>_xll.qlCalendarAdvance(Calendar,W1307,NDays&amp;"D")</f>
        <v>48102</v>
      </c>
      <c r="Y1307" s="178">
        <v>2.46201998933115E-2</v>
      </c>
      <c r="Z1307" s="183">
        <v>2.442763075240606E-2</v>
      </c>
    </row>
    <row r="1308" spans="22:26" x14ac:dyDescent="0.2">
      <c r="V1308" s="180" t="str">
        <f t="shared" si="28"/>
        <v>1w</v>
      </c>
      <c r="W1308" s="177">
        <f>_xll.qlCalendarAdvance(Calendar,W1307,V1308,"f",FALSE)</f>
        <v>48107</v>
      </c>
      <c r="X1308" s="181">
        <f>_xll.qlCalendarAdvance(Calendar,W1308,NDays&amp;"D")</f>
        <v>48109</v>
      </c>
      <c r="Y1308" s="178">
        <v>2.4615395281125784E-2</v>
      </c>
      <c r="Z1308" s="183">
        <v>2.4424196834615941E-2</v>
      </c>
    </row>
    <row r="1309" spans="22:26" x14ac:dyDescent="0.2">
      <c r="V1309" s="180" t="str">
        <f t="shared" si="28"/>
        <v>1w</v>
      </c>
      <c r="W1309" s="177">
        <f>_xll.qlCalendarAdvance(Calendar,W1308,V1309,"f",FALSE)</f>
        <v>48114</v>
      </c>
      <c r="X1309" s="181">
        <f>_xll.qlCalendarAdvance(Calendar,W1309,NDays&amp;"D")</f>
        <v>48116</v>
      </c>
      <c r="Y1309" s="178">
        <v>2.4610541691585074E-2</v>
      </c>
      <c r="Z1309" s="183">
        <v>2.4420715115462954E-2</v>
      </c>
    </row>
    <row r="1310" spans="22:26" x14ac:dyDescent="0.2">
      <c r="V1310" s="180" t="str">
        <f t="shared" si="28"/>
        <v>1w</v>
      </c>
      <c r="W1310" s="177">
        <f>_xll.qlCalendarAdvance(Calendar,W1309,V1310,"f",FALSE)</f>
        <v>48121</v>
      </c>
      <c r="X1310" s="181">
        <f>_xll.qlCalendarAdvance(Calendar,W1310,NDays&amp;"D")</f>
        <v>48123</v>
      </c>
      <c r="Y1310" s="178">
        <v>2.4605639125400317E-2</v>
      </c>
      <c r="Z1310" s="183">
        <v>2.441718559534678E-2</v>
      </c>
    </row>
    <row r="1311" spans="22:26" x14ac:dyDescent="0.2">
      <c r="V1311" s="180" t="str">
        <f t="shared" si="28"/>
        <v>1w</v>
      </c>
      <c r="W1311" s="177">
        <f>_xll.qlCalendarAdvance(Calendar,W1310,V1311,"f",FALSE)</f>
        <v>48128</v>
      </c>
      <c r="X1311" s="181">
        <f>_xll.qlCalendarAdvance(Calendar,W1311,NDays&amp;"D")</f>
        <v>48130</v>
      </c>
      <c r="Y1311" s="178">
        <v>2.4600687583290072E-2</v>
      </c>
      <c r="Z1311" s="183">
        <v>2.4413608274187482E-2</v>
      </c>
    </row>
    <row r="1312" spans="22:26" x14ac:dyDescent="0.2">
      <c r="V1312" s="180" t="str">
        <f t="shared" si="28"/>
        <v>1w</v>
      </c>
      <c r="W1312" s="177">
        <f>_xll.qlCalendarAdvance(Calendar,W1311,V1312,"f",FALSE)</f>
        <v>48135</v>
      </c>
      <c r="X1312" s="181">
        <f>_xll.qlCalendarAdvance(Calendar,W1312,NDays&amp;"D")</f>
        <v>48137</v>
      </c>
      <c r="Y1312" s="178">
        <v>2.4595687065980282E-2</v>
      </c>
      <c r="Z1312" s="183">
        <v>2.4409983151745251E-2</v>
      </c>
    </row>
    <row r="1313" spans="22:26" x14ac:dyDescent="0.2">
      <c r="V1313" s="180" t="str">
        <f t="shared" si="28"/>
        <v>1w</v>
      </c>
      <c r="W1313" s="177">
        <f>_xll.qlCalendarAdvance(Calendar,W1312,V1313,"f",FALSE)</f>
        <v>48142</v>
      </c>
      <c r="X1313" s="181">
        <f>_xll.qlCalendarAdvance(Calendar,W1313,NDays&amp;"D")</f>
        <v>48144</v>
      </c>
      <c r="Y1313" s="178">
        <v>2.4590637574203395E-2</v>
      </c>
      <c r="Z1313" s="183">
        <v>2.4406310228339834E-2</v>
      </c>
    </row>
    <row r="1314" spans="22:26" x14ac:dyDescent="0.2">
      <c r="V1314" s="180" t="str">
        <f t="shared" si="28"/>
        <v>1w</v>
      </c>
      <c r="W1314" s="177">
        <f>_xll.qlCalendarAdvance(Calendar,W1313,V1314,"f",FALSE)</f>
        <v>48149</v>
      </c>
      <c r="X1314" s="181">
        <f>_xll.qlCalendarAdvance(Calendar,W1314,NDays&amp;"D")</f>
        <v>48151</v>
      </c>
      <c r="Y1314" s="178">
        <v>2.4584229612612103E-2</v>
      </c>
      <c r="Z1314" s="183">
        <v>2.4402589503811356E-2</v>
      </c>
    </row>
    <row r="1315" spans="22:26" x14ac:dyDescent="0.2">
      <c r="V1315" s="180" t="str">
        <f t="shared" si="28"/>
        <v>1w</v>
      </c>
      <c r="W1315" s="177">
        <f>_xll.qlCalendarAdvance(Calendar,W1314,V1315,"f",FALSE)</f>
        <v>48156</v>
      </c>
      <c r="X1315" s="181">
        <f>_xll.qlCalendarAdvance(Calendar,W1315,NDays&amp;"D")</f>
        <v>48158</v>
      </c>
      <c r="Y1315" s="178">
        <v>2.4580391670215983E-2</v>
      </c>
      <c r="Z1315" s="183">
        <v>2.4398820978159819E-2</v>
      </c>
    </row>
    <row r="1316" spans="22:26" x14ac:dyDescent="0.2">
      <c r="V1316" s="180" t="str">
        <f t="shared" si="28"/>
        <v>1w</v>
      </c>
      <c r="W1316" s="177">
        <f>_xll.qlCalendarAdvance(Calendar,W1315,V1316,"f",FALSE)</f>
        <v>48163</v>
      </c>
      <c r="X1316" s="181">
        <f>_xll.qlCalendarAdvance(Calendar,W1316,NDays&amp;"D")</f>
        <v>48165</v>
      </c>
      <c r="Y1316" s="178">
        <v>2.4575195259507299E-2</v>
      </c>
      <c r="Z1316" s="183">
        <v>2.4395004651385221E-2</v>
      </c>
    </row>
    <row r="1317" spans="22:26" x14ac:dyDescent="0.2">
      <c r="V1317" s="180" t="str">
        <f t="shared" si="28"/>
        <v>1w</v>
      </c>
      <c r="W1317" s="177">
        <f>_xll.qlCalendarAdvance(Calendar,W1316,V1317,"f",FALSE)</f>
        <v>48170</v>
      </c>
      <c r="X1317" s="181">
        <f>_xll.qlCalendarAdvance(Calendar,W1317,NDays&amp;"D")</f>
        <v>48172</v>
      </c>
      <c r="Y1317" s="178">
        <v>2.4569949877334771E-2</v>
      </c>
      <c r="Z1317" s="183">
        <v>2.4391140523567501E-2</v>
      </c>
    </row>
    <row r="1318" spans="22:26" x14ac:dyDescent="0.2">
      <c r="V1318" s="180" t="str">
        <f t="shared" si="28"/>
        <v>1w</v>
      </c>
      <c r="W1318" s="177">
        <f>_xll.qlCalendarAdvance(Calendar,W1317,V1318,"f",FALSE)</f>
        <v>48177</v>
      </c>
      <c r="X1318" s="181">
        <f>_xll.qlCalendarAdvance(Calendar,W1318,NDays&amp;"D")</f>
        <v>48179</v>
      </c>
      <c r="Y1318" s="178">
        <v>2.4564655524467353E-2</v>
      </c>
      <c r="Z1318" s="183">
        <v>2.4387228594706656E-2</v>
      </c>
    </row>
    <row r="1319" spans="22:26" x14ac:dyDescent="0.2">
      <c r="V1319" s="180" t="str">
        <f t="shared" si="28"/>
        <v>1w</v>
      </c>
      <c r="W1319" s="177">
        <f>_xll.qlCalendarAdvance(Calendar,W1318,V1319,"f",FALSE)</f>
        <v>48184</v>
      </c>
      <c r="X1319" s="181">
        <f>_xll.qlCalendarAdvance(Calendar,W1319,NDays&amp;"D")</f>
        <v>48186</v>
      </c>
      <c r="Y1319" s="178">
        <v>2.4559312201680512E-2</v>
      </c>
      <c r="Z1319" s="183">
        <v>2.4383268864642815E-2</v>
      </c>
    </row>
    <row r="1320" spans="22:26" x14ac:dyDescent="0.2">
      <c r="V1320" s="180" t="str">
        <f t="shared" si="28"/>
        <v>1w</v>
      </c>
      <c r="W1320" s="177">
        <f>_xll.qlCalendarAdvance(Calendar,W1319,V1320,"f",FALSE)</f>
        <v>48191</v>
      </c>
      <c r="X1320" s="181">
        <f>_xll.qlCalendarAdvance(Calendar,W1320,NDays&amp;"D")</f>
        <v>48193</v>
      </c>
      <c r="Y1320" s="178">
        <v>2.4553919909757752E-2</v>
      </c>
      <c r="Z1320" s="183">
        <v>2.4379261333535851E-2</v>
      </c>
    </row>
    <row r="1321" spans="22:26" x14ac:dyDescent="0.2">
      <c r="V1321" s="180" t="str">
        <f t="shared" si="28"/>
        <v>1w</v>
      </c>
      <c r="W1321" s="177">
        <f>_xll.qlCalendarAdvance(Calendar,W1320,V1321,"f",FALSE)</f>
        <v>48198</v>
      </c>
      <c r="X1321" s="181">
        <f>_xll.qlCalendarAdvance(Calendar,W1321,NDays&amp;"D")</f>
        <v>48200</v>
      </c>
      <c r="Y1321" s="178">
        <v>2.454847864948909E-2</v>
      </c>
      <c r="Z1321" s="183">
        <v>2.4375206001305827E-2</v>
      </c>
    </row>
    <row r="1322" spans="22:26" x14ac:dyDescent="0.2">
      <c r="V1322" s="180" t="str">
        <f t="shared" si="28"/>
        <v>1w</v>
      </c>
      <c r="W1322" s="177">
        <f>_xll.qlCalendarAdvance(Calendar,W1321,V1322,"f",FALSE)</f>
        <v>48205</v>
      </c>
      <c r="X1322" s="181">
        <f>_xll.qlCalendarAdvance(Calendar,W1322,NDays&amp;"D")</f>
        <v>48211</v>
      </c>
      <c r="Y1322" s="178">
        <v>2.4539022627549378E-2</v>
      </c>
      <c r="Z1322" s="183">
        <v>2.4368736758724197E-2</v>
      </c>
    </row>
    <row r="1323" spans="22:26" x14ac:dyDescent="0.2">
      <c r="V1323" s="180" t="str">
        <f t="shared" si="28"/>
        <v>1w</v>
      </c>
      <c r="W1323" s="177">
        <f>_xll.qlCalendarAdvance(Calendar,W1322,V1323,"f",FALSE)</f>
        <v>48212</v>
      </c>
      <c r="X1323" s="181">
        <f>_xll.qlCalendarAdvance(Calendar,W1323,NDays&amp;"D")</f>
        <v>48215</v>
      </c>
      <c r="Y1323" s="178">
        <v>2.4536253037120176E-2</v>
      </c>
      <c r="Z1323" s="183">
        <v>2.4367406023761973E-2</v>
      </c>
    </row>
    <row r="1324" spans="22:26" x14ac:dyDescent="0.2">
      <c r="V1324" s="180" t="str">
        <f t="shared" si="28"/>
        <v>1w</v>
      </c>
      <c r="W1324" s="177">
        <f>_xll.qlCalendarAdvance(Calendar,W1323,V1324,"f",FALSE)</f>
        <v>48219</v>
      </c>
      <c r="X1324" s="181">
        <f>_xll.qlCalendarAdvance(Calendar,W1324,NDays&amp;"D")</f>
        <v>48221</v>
      </c>
      <c r="Y1324" s="178">
        <v>2.4531861066618255E-2</v>
      </c>
      <c r="Z1324" s="183">
        <v>2.4362753198117204E-2</v>
      </c>
    </row>
    <row r="1325" spans="22:26" x14ac:dyDescent="0.2">
      <c r="V1325" s="180" t="str">
        <f t="shared" si="28"/>
        <v>1w</v>
      </c>
      <c r="W1325" s="177">
        <f>_xll.qlCalendarAdvance(Calendar,W1324,V1325,"f",FALSE)</f>
        <v>48226</v>
      </c>
      <c r="X1325" s="181">
        <f>_xll.qlCalendarAdvance(Calendar,W1325,NDays&amp;"D")</f>
        <v>48228</v>
      </c>
      <c r="Y1325" s="178">
        <v>2.4526223941012601E-2</v>
      </c>
      <c r="Z1325" s="183">
        <v>2.4358506661554813E-2</v>
      </c>
    </row>
    <row r="1326" spans="22:26" x14ac:dyDescent="0.2">
      <c r="V1326" s="180" t="str">
        <f t="shared" si="28"/>
        <v>1w</v>
      </c>
      <c r="W1326" s="177">
        <f>_xll.qlCalendarAdvance(Calendar,W1325,V1326,"f",FALSE)</f>
        <v>48233</v>
      </c>
      <c r="X1326" s="181">
        <f>_xll.qlCalendarAdvance(Calendar,W1326,NDays&amp;"D")</f>
        <v>48235</v>
      </c>
      <c r="Y1326" s="178">
        <v>2.4520537851119757E-2</v>
      </c>
      <c r="Z1326" s="183">
        <v>2.4354212323869362E-2</v>
      </c>
    </row>
    <row r="1327" spans="22:26" x14ac:dyDescent="0.2">
      <c r="V1327" s="180" t="str">
        <f t="shared" si="28"/>
        <v>1w</v>
      </c>
      <c r="W1327" s="177">
        <f>_xll.qlCalendarAdvance(Calendar,W1326,V1327,"f",FALSE)</f>
        <v>48240</v>
      </c>
      <c r="X1327" s="181">
        <f>_xll.qlCalendarAdvance(Calendar,W1327,NDays&amp;"D")</f>
        <v>48242</v>
      </c>
      <c r="Y1327" s="178">
        <v>2.4514802797773187E-2</v>
      </c>
      <c r="Z1327" s="183">
        <v>2.4349870185220723E-2</v>
      </c>
    </row>
    <row r="1328" spans="22:26" x14ac:dyDescent="0.2">
      <c r="V1328" s="180" t="str">
        <f t="shared" si="28"/>
        <v>1w</v>
      </c>
      <c r="W1328" s="177">
        <f>_xll.qlCalendarAdvance(Calendar,W1327,V1328,"f",FALSE)</f>
        <v>48247</v>
      </c>
      <c r="X1328" s="181">
        <f>_xll.qlCalendarAdvance(Calendar,W1328,NDays&amp;"D")</f>
        <v>48249</v>
      </c>
      <c r="Y1328" s="178">
        <v>2.4509018781813521E-2</v>
      </c>
      <c r="Z1328" s="183">
        <v>2.4345480245449025E-2</v>
      </c>
    </row>
    <row r="1329" spans="22:26" x14ac:dyDescent="0.2">
      <c r="V1329" s="180" t="str">
        <f t="shared" si="28"/>
        <v>1w</v>
      </c>
      <c r="W1329" s="177">
        <f>_xll.qlCalendarAdvance(Calendar,W1328,V1329,"f",FALSE)</f>
        <v>48254</v>
      </c>
      <c r="X1329" s="181">
        <f>_xll.qlCalendarAdvance(Calendar,W1329,NDays&amp;"D")</f>
        <v>48256</v>
      </c>
      <c r="Y1329" s="178">
        <v>2.4503185804087908E-2</v>
      </c>
      <c r="Z1329" s="183">
        <v>2.4341042504554267E-2</v>
      </c>
    </row>
    <row r="1330" spans="22:26" x14ac:dyDescent="0.2">
      <c r="V1330" s="180" t="str">
        <f t="shared" si="28"/>
        <v>1w</v>
      </c>
      <c r="W1330" s="177">
        <f>_xll.qlCalendarAdvance(Calendar,W1329,V1330,"f",FALSE)</f>
        <v>48261</v>
      </c>
      <c r="X1330" s="181">
        <f>_xll.qlCalendarAdvance(Calendar,W1330,NDays&amp;"D")</f>
        <v>48263</v>
      </c>
      <c r="Y1330" s="178">
        <v>2.4497303865451972E-2</v>
      </c>
      <c r="Z1330" s="183">
        <v>2.4336556962536449E-2</v>
      </c>
    </row>
    <row r="1331" spans="22:26" x14ac:dyDescent="0.2">
      <c r="V1331" s="180" t="str">
        <f t="shared" si="28"/>
        <v>1w</v>
      </c>
      <c r="W1331" s="177">
        <f>_xll.qlCalendarAdvance(Calendar,W1330,V1331,"f",FALSE)</f>
        <v>48268</v>
      </c>
      <c r="X1331" s="181">
        <f>_xll.qlCalendarAdvance(Calendar,W1331,NDays&amp;"D")</f>
        <v>48270</v>
      </c>
      <c r="Y1331" s="178">
        <v>2.4491372966766761E-2</v>
      </c>
      <c r="Z1331" s="183">
        <v>2.4332023619555443E-2</v>
      </c>
    </row>
    <row r="1332" spans="22:26" x14ac:dyDescent="0.2">
      <c r="V1332" s="180" t="str">
        <f t="shared" si="28"/>
        <v>1w</v>
      </c>
      <c r="W1332" s="177">
        <f>_xll.qlCalendarAdvance(Calendar,W1331,V1332,"f",FALSE)</f>
        <v>48275</v>
      </c>
      <c r="X1332" s="181">
        <f>_xll.qlCalendarAdvance(Calendar,W1332,NDays&amp;"D")</f>
        <v>48277</v>
      </c>
      <c r="Y1332" s="178">
        <v>2.4484292656618615E-2</v>
      </c>
      <c r="Z1332" s="183">
        <v>2.4327442475371441E-2</v>
      </c>
    </row>
    <row r="1333" spans="22:26" x14ac:dyDescent="0.2">
      <c r="V1333" s="180" t="str">
        <f t="shared" si="28"/>
        <v>1w</v>
      </c>
      <c r="W1333" s="177">
        <f>_xll.qlCalendarAdvance(Calendar,W1332,V1333,"f",FALSE)</f>
        <v>48282</v>
      </c>
      <c r="X1333" s="181">
        <f>_xll.qlCalendarAdvance(Calendar,W1333,NDays&amp;"D")</f>
        <v>48284</v>
      </c>
      <c r="Y1333" s="178">
        <v>2.4478275543581746E-2</v>
      </c>
      <c r="Z1333" s="183">
        <v>2.4322813530224252E-2</v>
      </c>
    </row>
    <row r="1334" spans="22:26" x14ac:dyDescent="0.2">
      <c r="V1334" s="180" t="str">
        <f t="shared" si="28"/>
        <v>1w</v>
      </c>
      <c r="W1334" s="177">
        <f>_xll.qlCalendarAdvance(Calendar,W1333,V1334,"f",FALSE)</f>
        <v>48289</v>
      </c>
      <c r="X1334" s="181">
        <f>_xll.qlCalendarAdvance(Calendar,W1334,NDays&amp;"D")</f>
        <v>48291</v>
      </c>
      <c r="Y1334" s="178">
        <v>2.4472209482497728E-2</v>
      </c>
      <c r="Z1334" s="183">
        <v>2.4318136784033939E-2</v>
      </c>
    </row>
    <row r="1335" spans="22:26" x14ac:dyDescent="0.2">
      <c r="V1335" s="180" t="str">
        <f t="shared" si="28"/>
        <v>1w</v>
      </c>
      <c r="W1335" s="177">
        <f>_xll.qlCalendarAdvance(Calendar,W1334,V1335,"f",FALSE)</f>
        <v>48296</v>
      </c>
      <c r="X1335" s="181">
        <f>_xll.qlCalendarAdvance(Calendar,W1335,NDays&amp;"D")</f>
        <v>48298</v>
      </c>
      <c r="Y1335" s="178">
        <v>2.4466094474248048E-2</v>
      </c>
      <c r="Z1335" s="183">
        <v>2.4315336587479308E-2</v>
      </c>
    </row>
    <row r="1336" spans="22:26" x14ac:dyDescent="0.2">
      <c r="V1336" s="180" t="str">
        <f t="shared" si="28"/>
        <v>1w</v>
      </c>
      <c r="W1336" s="177">
        <f>_xll.qlCalendarAdvance(Calendar,W1335,V1336,"f",FALSE)</f>
        <v>48303</v>
      </c>
      <c r="X1336" s="181">
        <f>_xll.qlCalendarAdvance(Calendar,W1336,NDays&amp;"D")</f>
        <v>48305</v>
      </c>
      <c r="Y1336" s="178">
        <v>2.4459930519721635E-2</v>
      </c>
      <c r="Z1336" s="183">
        <v>2.4308639888284134E-2</v>
      </c>
    </row>
    <row r="1337" spans="22:26" x14ac:dyDescent="0.2">
      <c r="V1337" s="180" t="str">
        <f t="shared" si="28"/>
        <v>1w</v>
      </c>
      <c r="W1337" s="177">
        <f>_xll.qlCalendarAdvance(Calendar,W1336,V1337,"f",FALSE)</f>
        <v>48310</v>
      </c>
      <c r="X1337" s="181">
        <f>_xll.qlCalendarAdvance(Calendar,W1337,NDays&amp;"D")</f>
        <v>48312</v>
      </c>
      <c r="Y1337" s="178">
        <v>2.4453717619814217E-2</v>
      </c>
      <c r="Z1337" s="183">
        <v>2.4303819738884513E-2</v>
      </c>
    </row>
    <row r="1338" spans="22:26" x14ac:dyDescent="0.2">
      <c r="V1338" s="180" t="str">
        <f t="shared" si="28"/>
        <v>1w</v>
      </c>
      <c r="W1338" s="177">
        <f>_xll.qlCalendarAdvance(Calendar,W1337,V1338,"f",FALSE)</f>
        <v>48317</v>
      </c>
      <c r="X1338" s="181">
        <f>_xll.qlCalendarAdvance(Calendar,W1338,NDays&amp;"D")</f>
        <v>48319</v>
      </c>
      <c r="Y1338" s="178">
        <v>2.4448828511726493E-2</v>
      </c>
      <c r="Z1338" s="183">
        <v>2.4298951788441769E-2</v>
      </c>
    </row>
    <row r="1339" spans="22:26" x14ac:dyDescent="0.2">
      <c r="V1339" s="180" t="str">
        <f t="shared" si="28"/>
        <v>1w</v>
      </c>
      <c r="W1339" s="177">
        <f>_xll.qlCalendarAdvance(Calendar,W1338,V1339,"f",FALSE)</f>
        <v>48324</v>
      </c>
      <c r="X1339" s="181">
        <f>_xll.qlCalendarAdvance(Calendar,W1339,NDays&amp;"D")</f>
        <v>48326</v>
      </c>
      <c r="Y1339" s="178">
        <v>2.4441144987475811E-2</v>
      </c>
      <c r="Z1339" s="183">
        <v>2.429403603679603E-2</v>
      </c>
    </row>
    <row r="1340" spans="22:26" x14ac:dyDescent="0.2">
      <c r="V1340" s="180" t="str">
        <f t="shared" si="28"/>
        <v>1w</v>
      </c>
      <c r="W1340" s="177">
        <f>_xll.qlCalendarAdvance(Calendar,W1339,V1340,"f",FALSE)</f>
        <v>48331</v>
      </c>
      <c r="X1340" s="181">
        <f>_xll.qlCalendarAdvance(Calendar,W1340,NDays&amp;"D")</f>
        <v>48333</v>
      </c>
      <c r="Y1340" s="178">
        <v>2.4434785256871969E-2</v>
      </c>
      <c r="Z1340" s="183">
        <v>2.4289072484267038E-2</v>
      </c>
    </row>
    <row r="1341" spans="22:26" x14ac:dyDescent="0.2">
      <c r="V1341" s="180" t="str">
        <f t="shared" si="28"/>
        <v>1w</v>
      </c>
      <c r="W1341" s="177">
        <f>_xll.qlCalendarAdvance(Calendar,W1340,V1341,"f",FALSE)</f>
        <v>48338</v>
      </c>
      <c r="X1341" s="181">
        <f>_xll.qlCalendarAdvance(Calendar,W1341,NDays&amp;"D")</f>
        <v>48340</v>
      </c>
      <c r="Y1341" s="178">
        <v>2.4428376584542496E-2</v>
      </c>
      <c r="Z1341" s="183">
        <v>2.4284061130535051E-2</v>
      </c>
    </row>
    <row r="1342" spans="22:26" x14ac:dyDescent="0.2">
      <c r="V1342" s="180" t="str">
        <f t="shared" si="28"/>
        <v>1w</v>
      </c>
      <c r="W1342" s="177">
        <f>_xll.qlCalendarAdvance(Calendar,W1341,V1342,"f",FALSE)</f>
        <v>48345</v>
      </c>
      <c r="X1342" s="181">
        <f>_xll.qlCalendarAdvance(Calendar,W1342,NDays&amp;"D")</f>
        <v>48347</v>
      </c>
      <c r="Y1342" s="178">
        <v>2.4421918971417933E-2</v>
      </c>
      <c r="Z1342" s="183">
        <v>2.4279001975839876E-2</v>
      </c>
    </row>
    <row r="1343" spans="22:26" x14ac:dyDescent="0.2">
      <c r="V1343" s="180" t="str">
        <f t="shared" si="28"/>
        <v>1w</v>
      </c>
      <c r="W1343" s="177">
        <f>_xll.qlCalendarAdvance(Calendar,W1342,V1343,"f",FALSE)</f>
        <v>48352</v>
      </c>
      <c r="X1343" s="181">
        <f>_xll.qlCalendarAdvance(Calendar,W1343,NDays&amp;"D")</f>
        <v>48354</v>
      </c>
      <c r="Y1343" s="178">
        <v>2.4415412418437588E-2</v>
      </c>
      <c r="Z1343" s="183">
        <v>2.4273895020101577E-2</v>
      </c>
    </row>
    <row r="1344" spans="22:26" x14ac:dyDescent="0.2">
      <c r="V1344" s="180" t="str">
        <f t="shared" si="28"/>
        <v>1w</v>
      </c>
      <c r="W1344" s="177">
        <f>_xll.qlCalendarAdvance(Calendar,W1343,V1344,"f",FALSE)</f>
        <v>48359</v>
      </c>
      <c r="X1344" s="181">
        <f>_xll.qlCalendarAdvance(Calendar,W1344,NDays&amp;"D")</f>
        <v>48361</v>
      </c>
      <c r="Y1344" s="178">
        <v>2.4408856926546454E-2</v>
      </c>
      <c r="Z1344" s="183">
        <v>2.4268740263160282E-2</v>
      </c>
    </row>
    <row r="1345" spans="22:26" x14ac:dyDescent="0.2">
      <c r="V1345" s="180" t="str">
        <f t="shared" si="28"/>
        <v>1w</v>
      </c>
      <c r="W1345" s="177">
        <f>_xll.qlCalendarAdvance(Calendar,W1344,V1345,"f",FALSE)</f>
        <v>48366</v>
      </c>
      <c r="X1345" s="181">
        <f>_xll.qlCalendarAdvance(Calendar,W1345,NDays&amp;"D")</f>
        <v>48368</v>
      </c>
      <c r="Y1345" s="178">
        <v>2.4402252496698074E-2</v>
      </c>
      <c r="Z1345" s="183">
        <v>2.4263537705335736E-2</v>
      </c>
    </row>
    <row r="1346" spans="22:26" x14ac:dyDescent="0.2">
      <c r="V1346" s="180" t="str">
        <f t="shared" si="28"/>
        <v>1w</v>
      </c>
      <c r="W1346" s="177">
        <f>_xll.qlCalendarAdvance(Calendar,W1345,V1346,"f",FALSE)</f>
        <v>48373</v>
      </c>
      <c r="X1346" s="181">
        <f>_xll.qlCalendarAdvance(Calendar,W1346,NDays&amp;"D")</f>
        <v>48375</v>
      </c>
      <c r="Y1346" s="178">
        <v>2.4395599129851894E-2</v>
      </c>
      <c r="Z1346" s="183">
        <v>2.4258287346468066E-2</v>
      </c>
    </row>
    <row r="1347" spans="22:26" x14ac:dyDescent="0.2">
      <c r="V1347" s="180" t="str">
        <f t="shared" si="28"/>
        <v>1w</v>
      </c>
      <c r="W1347" s="177">
        <f>_xll.qlCalendarAdvance(Calendar,W1346,V1347,"f",FALSE)</f>
        <v>48380</v>
      </c>
      <c r="X1347" s="181">
        <f>_xll.qlCalendarAdvance(Calendar,W1347,NDays&amp;"D")</f>
        <v>48382</v>
      </c>
      <c r="Y1347" s="178">
        <v>2.4388896826974819E-2</v>
      </c>
      <c r="Z1347" s="183">
        <v>2.4252989186477336E-2</v>
      </c>
    </row>
    <row r="1348" spans="22:26" x14ac:dyDescent="0.2">
      <c r="V1348" s="180" t="str">
        <f t="shared" si="28"/>
        <v>1w</v>
      </c>
      <c r="W1348" s="177">
        <f>_xll.qlCalendarAdvance(Calendar,W1347,V1348,"f",FALSE)</f>
        <v>48387</v>
      </c>
      <c r="X1348" s="181">
        <f>_xll.qlCalendarAdvance(Calendar,W1348,NDays&amp;"D")</f>
        <v>48389</v>
      </c>
      <c r="Y1348" s="178">
        <v>2.4382145589041188E-2</v>
      </c>
      <c r="Z1348" s="183">
        <v>2.4247643225443483E-2</v>
      </c>
    </row>
    <row r="1349" spans="22:26" x14ac:dyDescent="0.2">
      <c r="V1349" s="180" t="str">
        <f t="shared" si="28"/>
        <v>1w</v>
      </c>
      <c r="W1349" s="177">
        <f>_xll.qlCalendarAdvance(Calendar,W1348,V1349,"f",FALSE)</f>
        <v>48394</v>
      </c>
      <c r="X1349" s="181">
        <f>_xll.qlCalendarAdvance(Calendar,W1349,NDays&amp;"D")</f>
        <v>48396</v>
      </c>
      <c r="Y1349" s="178">
        <v>2.437534541703279E-2</v>
      </c>
      <c r="Z1349" s="183">
        <v>2.4242249463526377E-2</v>
      </c>
    </row>
    <row r="1350" spans="22:26" x14ac:dyDescent="0.2">
      <c r="V1350" s="180" t="str">
        <f t="shared" si="28"/>
        <v>1w</v>
      </c>
      <c r="W1350" s="177">
        <f>_xll.qlCalendarAdvance(Calendar,W1349,V1350,"f",FALSE)</f>
        <v>48401</v>
      </c>
      <c r="X1350" s="181">
        <f>_xll.qlCalendarAdvance(Calendar,W1350,NDays&amp;"D")</f>
        <v>48403</v>
      </c>
      <c r="Y1350" s="178">
        <v>2.4368496311936896E-2</v>
      </c>
      <c r="Z1350" s="183">
        <v>2.4236807900406276E-2</v>
      </c>
    </row>
    <row r="1351" spans="22:26" x14ac:dyDescent="0.2">
      <c r="V1351" s="180" t="str">
        <f t="shared" si="28"/>
        <v>1w</v>
      </c>
      <c r="W1351" s="177">
        <f>_xll.qlCalendarAdvance(Calendar,W1350,V1351,"f",FALSE)</f>
        <v>48408</v>
      </c>
      <c r="X1351" s="181">
        <f>_xll.qlCalendarAdvance(Calendar,W1351,NDays&amp;"D")</f>
        <v>48410</v>
      </c>
      <c r="Y1351" s="178">
        <v>2.4361598274749523E-2</v>
      </c>
      <c r="Z1351" s="183">
        <v>2.4231318536322988E-2</v>
      </c>
    </row>
    <row r="1352" spans="22:26" x14ac:dyDescent="0.2">
      <c r="V1352" s="180" t="str">
        <f t="shared" si="28"/>
        <v>1w</v>
      </c>
      <c r="W1352" s="177">
        <f>_xll.qlCalendarAdvance(Calendar,W1351,V1352,"f",FALSE)</f>
        <v>48415</v>
      </c>
      <c r="X1352" s="181">
        <f>_xll.qlCalendarAdvance(Calendar,W1352,NDays&amp;"D")</f>
        <v>48417</v>
      </c>
      <c r="Y1352" s="178">
        <v>2.4354651306472838E-2</v>
      </c>
      <c r="Z1352" s="183">
        <v>2.4225781371116639E-2</v>
      </c>
    </row>
    <row r="1353" spans="22:26" x14ac:dyDescent="0.2">
      <c r="V1353" s="180" t="str">
        <f t="shared" si="28"/>
        <v>1w</v>
      </c>
      <c r="W1353" s="177">
        <f>_xll.qlCalendarAdvance(Calendar,W1352,V1353,"f",FALSE)</f>
        <v>48422</v>
      </c>
      <c r="X1353" s="181">
        <f>_xll.qlCalendarAdvance(Calendar,W1353,NDays&amp;"D")</f>
        <v>48424</v>
      </c>
      <c r="Y1353" s="178">
        <v>2.434765540811731E-2</v>
      </c>
      <c r="Z1353" s="183">
        <v>2.4220196404947103E-2</v>
      </c>
    </row>
    <row r="1354" spans="22:26" x14ac:dyDescent="0.2">
      <c r="V1354" s="180" t="str">
        <f t="shared" si="28"/>
        <v>1w</v>
      </c>
      <c r="W1354" s="177">
        <f>_xll.qlCalendarAdvance(Calendar,W1353,V1354,"f",FALSE)</f>
        <v>48429</v>
      </c>
      <c r="X1354" s="181">
        <f>_xll.qlCalendarAdvance(Calendar,W1354,NDays&amp;"D")</f>
        <v>48431</v>
      </c>
      <c r="Y1354" s="178">
        <v>2.4340610580699119E-2</v>
      </c>
      <c r="Z1354" s="183">
        <v>2.4214563637814379E-2</v>
      </c>
    </row>
    <row r="1355" spans="22:26" x14ac:dyDescent="0.2">
      <c r="V1355" s="180" t="str">
        <f t="shared" si="28"/>
        <v>1w</v>
      </c>
      <c r="W1355" s="177">
        <f>_xll.qlCalendarAdvance(Calendar,W1354,V1355,"f",FALSE)</f>
        <v>48436</v>
      </c>
      <c r="X1355" s="181">
        <f>_xll.qlCalendarAdvance(Calendar,W1355,NDays&amp;"D")</f>
        <v>48438</v>
      </c>
      <c r="Y1355" s="178">
        <v>2.4333516825241885E-2</v>
      </c>
      <c r="Z1355" s="183">
        <v>2.4208883069558595E-2</v>
      </c>
    </row>
    <row r="1356" spans="22:26" x14ac:dyDescent="0.2">
      <c r="V1356" s="180" t="str">
        <f t="shared" si="28"/>
        <v>1w</v>
      </c>
      <c r="W1356" s="177">
        <f>_xll.qlCalendarAdvance(Calendar,W1355,V1356,"f",FALSE)</f>
        <v>48443</v>
      </c>
      <c r="X1356" s="181">
        <f>_xll.qlCalendarAdvance(Calendar,W1356,NDays&amp;"D")</f>
        <v>48445</v>
      </c>
      <c r="Y1356" s="178">
        <v>2.4326374142777107E-2</v>
      </c>
      <c r="Z1356" s="183">
        <v>2.4203154700339624E-2</v>
      </c>
    </row>
    <row r="1357" spans="22:26" x14ac:dyDescent="0.2">
      <c r="V1357" s="180" t="str">
        <f t="shared" si="28"/>
        <v>1w</v>
      </c>
      <c r="W1357" s="177">
        <f>_xll.qlCalendarAdvance(Calendar,W1356,V1357,"f",FALSE)</f>
        <v>48450</v>
      </c>
      <c r="X1357" s="181">
        <f>_xll.qlCalendarAdvance(Calendar,W1357,NDays&amp;"D")</f>
        <v>48452</v>
      </c>
      <c r="Y1357" s="178">
        <v>2.4319182534342645E-2</v>
      </c>
      <c r="Z1357" s="183">
        <v>2.4197378530077529E-2</v>
      </c>
    </row>
    <row r="1358" spans="22:26" x14ac:dyDescent="0.2">
      <c r="V1358" s="180" t="str">
        <f t="shared" si="28"/>
        <v>1w</v>
      </c>
      <c r="W1358" s="177">
        <f>_xll.qlCalendarAdvance(Calendar,W1357,V1358,"f",FALSE)</f>
        <v>48457</v>
      </c>
      <c r="X1358" s="181">
        <f>_xll.qlCalendarAdvance(Calendar,W1358,NDays&amp;"D")</f>
        <v>48459</v>
      </c>
      <c r="Y1358" s="178">
        <v>2.4311942000984015E-2</v>
      </c>
      <c r="Z1358" s="183">
        <v>2.4191554558852246E-2</v>
      </c>
    </row>
    <row r="1359" spans="22:26" x14ac:dyDescent="0.2">
      <c r="V1359" s="180" t="str">
        <f t="shared" si="28"/>
        <v>1w</v>
      </c>
      <c r="W1359" s="177">
        <f>_xll.qlCalendarAdvance(Calendar,W1358,V1359,"f",FALSE)</f>
        <v>48464</v>
      </c>
      <c r="X1359" s="181">
        <f>_xll.qlCalendarAdvance(Calendar,W1359,NDays&amp;"D")</f>
        <v>48466</v>
      </c>
      <c r="Y1359" s="178">
        <v>2.430465254375265E-2</v>
      </c>
      <c r="Z1359" s="183">
        <v>2.4185682786423968E-2</v>
      </c>
    </row>
    <row r="1360" spans="22:26" x14ac:dyDescent="0.2">
      <c r="V1360" s="180" t="str">
        <f t="shared" si="28"/>
        <v>1w</v>
      </c>
      <c r="W1360" s="177">
        <f>_xll.qlCalendarAdvance(Calendar,W1359,V1360,"f",FALSE)</f>
        <v>48471</v>
      </c>
      <c r="X1360" s="181">
        <f>_xll.qlCalendarAdvance(Calendar,W1360,NDays&amp;"D")</f>
        <v>48473</v>
      </c>
      <c r="Y1360" s="178">
        <v>2.4297314163709182E-2</v>
      </c>
      <c r="Z1360" s="183">
        <v>2.4179763213192373E-2</v>
      </c>
    </row>
    <row r="1361" spans="22:26" x14ac:dyDescent="0.2">
      <c r="V1361" s="180" t="str">
        <f t="shared" si="28"/>
        <v>1w</v>
      </c>
      <c r="W1361" s="177">
        <f>_xll.qlCalendarAdvance(Calendar,W1360,V1361,"f",FALSE)</f>
        <v>48478</v>
      </c>
      <c r="X1361" s="181">
        <f>_xll.qlCalendarAdvance(Calendar,W1361,NDays&amp;"D")</f>
        <v>48480</v>
      </c>
      <c r="Y1361" s="178">
        <v>2.4289926861918845E-2</v>
      </c>
      <c r="Z1361" s="183">
        <v>2.4173795838837719E-2</v>
      </c>
    </row>
    <row r="1362" spans="22:26" x14ac:dyDescent="0.2">
      <c r="V1362" s="180" t="str">
        <f t="shared" si="28"/>
        <v>1w</v>
      </c>
      <c r="W1362" s="177">
        <f>_xll.qlCalendarAdvance(Calendar,W1361,V1362,"f",FALSE)</f>
        <v>48485</v>
      </c>
      <c r="X1362" s="181">
        <f>_xll.qlCalendarAdvance(Calendar,W1362,NDays&amp;"D")</f>
        <v>48487</v>
      </c>
      <c r="Y1362" s="178">
        <v>2.4282490639456061E-2</v>
      </c>
      <c r="Z1362" s="183">
        <v>2.4167780663519878E-2</v>
      </c>
    </row>
    <row r="1363" spans="22:26" x14ac:dyDescent="0.2">
      <c r="V1363" s="180" t="str">
        <f t="shared" si="28"/>
        <v>1w</v>
      </c>
      <c r="W1363" s="177">
        <f>_xll.qlCalendarAdvance(Calendar,W1362,V1363,"f",FALSE)</f>
        <v>48492</v>
      </c>
      <c r="X1363" s="181">
        <f>_xll.qlCalendarAdvance(Calendar,W1363,NDays&amp;"D")</f>
        <v>48494</v>
      </c>
      <c r="Y1363" s="178">
        <v>2.4275005497401393E-2</v>
      </c>
      <c r="Z1363" s="183">
        <v>2.4161717687238848E-2</v>
      </c>
    </row>
    <row r="1364" spans="22:26" x14ac:dyDescent="0.2">
      <c r="V1364" s="180" t="str">
        <f t="shared" si="28"/>
        <v>1w</v>
      </c>
      <c r="W1364" s="177">
        <f>_xll.qlCalendarAdvance(Calendar,W1363,V1364,"f",FALSE)</f>
        <v>48499</v>
      </c>
      <c r="X1364" s="181">
        <f>_xll.qlCalendarAdvance(Calendar,W1364,NDays&amp;"D")</f>
        <v>48501</v>
      </c>
      <c r="Y1364" s="178">
        <v>2.4267471436842627E-2</v>
      </c>
      <c r="Z1364" s="183">
        <v>2.4155606909834759E-2</v>
      </c>
    </row>
    <row r="1365" spans="22:26" x14ac:dyDescent="0.2">
      <c r="V1365" s="180" t="str">
        <f t="shared" ref="V1365:V1428" si="29">V1364</f>
        <v>1w</v>
      </c>
      <c r="W1365" s="177">
        <f>_xll.qlCalendarAdvance(Calendar,W1364,V1365,"f",FALSE)</f>
        <v>48506</v>
      </c>
      <c r="X1365" s="181">
        <f>_xll.qlCalendarAdvance(Calendar,W1365,NDays&amp;"D")</f>
        <v>48508</v>
      </c>
      <c r="Y1365" s="178">
        <v>2.4259888458874779E-2</v>
      </c>
      <c r="Z1365" s="183">
        <v>2.4149448331547418E-2</v>
      </c>
    </row>
    <row r="1366" spans="22:26" x14ac:dyDescent="0.2">
      <c r="V1366" s="180" t="str">
        <f t="shared" si="29"/>
        <v>1w</v>
      </c>
      <c r="W1366" s="177">
        <f>_xll.qlCalendarAdvance(Calendar,W1365,V1366,"f",FALSE)</f>
        <v>48513</v>
      </c>
      <c r="X1366" s="181">
        <f>_xll.qlCalendarAdvance(Calendar,W1366,NDays&amp;"D")</f>
        <v>48515</v>
      </c>
      <c r="Y1366" s="178">
        <v>2.4252256564599652E-2</v>
      </c>
      <c r="Z1366" s="183">
        <v>2.4143241952137018E-2</v>
      </c>
    </row>
    <row r="1367" spans="22:26" x14ac:dyDescent="0.2">
      <c r="V1367" s="180" t="str">
        <f t="shared" si="29"/>
        <v>1w</v>
      </c>
      <c r="W1367" s="177">
        <f>_xll.qlCalendarAdvance(Calendar,W1366,V1367,"f",FALSE)</f>
        <v>48520</v>
      </c>
      <c r="X1367" s="181">
        <f>_xll.qlCalendarAdvance(Calendar,W1367,NDays&amp;"D")</f>
        <v>48522</v>
      </c>
      <c r="Y1367" s="178">
        <v>2.4244575755126278E-2</v>
      </c>
      <c r="Z1367" s="183">
        <v>2.4136987771843366E-2</v>
      </c>
    </row>
    <row r="1368" spans="22:26" x14ac:dyDescent="0.2">
      <c r="V1368" s="180" t="str">
        <f t="shared" si="29"/>
        <v>1w</v>
      </c>
      <c r="W1368" s="177">
        <f>_xll.qlCalendarAdvance(Calendar,W1367,V1368,"f",FALSE)</f>
        <v>48527</v>
      </c>
      <c r="X1368" s="181">
        <f>_xll.qlCalendarAdvance(Calendar,W1368,NDays&amp;"D")</f>
        <v>48529</v>
      </c>
      <c r="Y1368" s="178">
        <v>2.4236846031571353E-2</v>
      </c>
      <c r="Z1368" s="183">
        <v>2.4130685790426654E-2</v>
      </c>
    </row>
    <row r="1369" spans="22:26" x14ac:dyDescent="0.2">
      <c r="V1369" s="180" t="str">
        <f t="shared" si="29"/>
        <v>1w</v>
      </c>
      <c r="W1369" s="177">
        <f>_xll.qlCalendarAdvance(Calendar,W1368,V1369,"f",FALSE)</f>
        <v>48534</v>
      </c>
      <c r="X1369" s="181">
        <f>_xll.qlCalendarAdvance(Calendar,W1369,NDays&amp;"D")</f>
        <v>48536</v>
      </c>
      <c r="Y1369" s="178">
        <v>2.4229067395058139E-2</v>
      </c>
      <c r="Z1369" s="183">
        <v>2.4124336008206626E-2</v>
      </c>
    </row>
    <row r="1370" spans="22:26" x14ac:dyDescent="0.2">
      <c r="V1370" s="180" t="str">
        <f t="shared" si="29"/>
        <v>1w</v>
      </c>
      <c r="W1370" s="177">
        <f>_xll.qlCalendarAdvance(Calendar,W1369,V1370,"f",FALSE)</f>
        <v>48541</v>
      </c>
      <c r="X1370" s="181">
        <f>_xll.qlCalendarAdvance(Calendar,W1370,NDays&amp;"D")</f>
        <v>48543</v>
      </c>
      <c r="Y1370" s="178">
        <v>2.4221239846716477E-2</v>
      </c>
      <c r="Z1370" s="183">
        <v>2.4117938424863539E-2</v>
      </c>
    </row>
    <row r="1371" spans="22:26" x14ac:dyDescent="0.2">
      <c r="V1371" s="180" t="str">
        <f t="shared" si="29"/>
        <v>1w</v>
      </c>
      <c r="W1371" s="177">
        <f>_xll.qlCalendarAdvance(Calendar,W1370,V1371,"f",FALSE)</f>
        <v>48548</v>
      </c>
      <c r="X1371" s="181">
        <f>_xll.qlCalendarAdvance(Calendar,W1371,NDays&amp;"D")</f>
        <v>48550</v>
      </c>
      <c r="Y1371" s="178">
        <v>2.4213363387684522E-2</v>
      </c>
      <c r="Z1371" s="183">
        <v>2.4111493040557264E-2</v>
      </c>
    </row>
    <row r="1372" spans="22:26" x14ac:dyDescent="0.2">
      <c r="V1372" s="180" t="str">
        <f t="shared" si="29"/>
        <v>1w</v>
      </c>
      <c r="W1372" s="177">
        <f>_xll.qlCalendarAdvance(Calendar,W1371,V1372,"f",FALSE)</f>
        <v>48555</v>
      </c>
      <c r="X1372" s="181">
        <f>_xll.qlCalendarAdvance(Calendar,W1372,NDays&amp;"D")</f>
        <v>48557</v>
      </c>
      <c r="Y1372" s="178">
        <v>2.4205438019106781E-2</v>
      </c>
      <c r="Z1372" s="183">
        <v>2.4104999855287801E-2</v>
      </c>
    </row>
    <row r="1373" spans="22:26" x14ac:dyDescent="0.2">
      <c r="V1373" s="180" t="str">
        <f t="shared" si="29"/>
        <v>1w</v>
      </c>
      <c r="W1373" s="177">
        <f>_xll.qlCalendarAdvance(Calendar,W1372,V1373,"f",FALSE)</f>
        <v>48562</v>
      </c>
      <c r="X1373" s="181">
        <f>_xll.qlCalendarAdvance(Calendar,W1373,NDays&amp;"D")</f>
        <v>48564</v>
      </c>
      <c r="Y1373" s="178">
        <v>2.4197463742134995E-2</v>
      </c>
      <c r="Z1373" s="183">
        <v>2.4098458868975214E-2</v>
      </c>
    </row>
    <row r="1374" spans="22:26" x14ac:dyDescent="0.2">
      <c r="V1374" s="180" t="str">
        <f t="shared" si="29"/>
        <v>1w</v>
      </c>
      <c r="W1374" s="177">
        <f>_xll.qlCalendarAdvance(Calendar,W1373,V1374,"f",FALSE)</f>
        <v>48569</v>
      </c>
      <c r="X1374" s="181">
        <f>_xll.qlCalendarAdvance(Calendar,W1374,NDays&amp;"D")</f>
        <v>48571</v>
      </c>
      <c r="Y1374" s="178">
        <v>2.4189440557927686E-2</v>
      </c>
      <c r="Z1374" s="183">
        <v>2.409187008169944E-2</v>
      </c>
    </row>
    <row r="1375" spans="22:26" x14ac:dyDescent="0.2">
      <c r="V1375" s="180" t="str">
        <f t="shared" si="29"/>
        <v>1w</v>
      </c>
      <c r="W1375" s="177">
        <f>_xll.qlCalendarAdvance(Calendar,W1374,V1375,"f",FALSE)</f>
        <v>48576</v>
      </c>
      <c r="X1375" s="181">
        <f>_xll.qlCalendarAdvance(Calendar,W1375,NDays&amp;"D")</f>
        <v>48578</v>
      </c>
      <c r="Y1375" s="178">
        <v>2.4181368467651048E-2</v>
      </c>
      <c r="Z1375" s="183">
        <v>2.4085233493540414E-2</v>
      </c>
    </row>
    <row r="1376" spans="22:26" x14ac:dyDescent="0.2">
      <c r="V1376" s="180" t="str">
        <f t="shared" si="29"/>
        <v>1w</v>
      </c>
      <c r="W1376" s="177">
        <f>_xll.qlCalendarAdvance(Calendar,W1375,V1376,"f",FALSE)</f>
        <v>48583</v>
      </c>
      <c r="X1376" s="181">
        <f>_xll.qlCalendarAdvance(Calendar,W1376,NDays&amp;"D")</f>
        <v>48585</v>
      </c>
      <c r="Y1376" s="178">
        <v>2.4173247472478277E-2</v>
      </c>
      <c r="Z1376" s="183">
        <v>2.4078549104338265E-2</v>
      </c>
    </row>
    <row r="1377" spans="22:26" x14ac:dyDescent="0.2">
      <c r="V1377" s="180" t="str">
        <f t="shared" si="29"/>
        <v>1w</v>
      </c>
      <c r="W1377" s="177">
        <f>_xll.qlCalendarAdvance(Calendar,W1376,V1377,"f",FALSE)</f>
        <v>48590</v>
      </c>
      <c r="X1377" s="181">
        <f>_xll.qlCalendarAdvance(Calendar,W1377,NDays&amp;"D")</f>
        <v>48592</v>
      </c>
      <c r="Y1377" s="178">
        <v>2.4165077573589797E-2</v>
      </c>
      <c r="Z1377" s="183">
        <v>2.4071816914172928E-2</v>
      </c>
    </row>
    <row r="1378" spans="22:26" x14ac:dyDescent="0.2">
      <c r="V1378" s="180" t="str">
        <f t="shared" si="29"/>
        <v>1w</v>
      </c>
      <c r="W1378" s="177">
        <f>_xll.qlCalendarAdvance(Calendar,W1377,V1378,"f",FALSE)</f>
        <v>48597</v>
      </c>
      <c r="X1378" s="181">
        <f>_xll.qlCalendarAdvance(Calendar,W1378,NDays&amp;"D")</f>
        <v>48599</v>
      </c>
      <c r="Y1378" s="178">
        <v>2.4156858772171951E-2</v>
      </c>
      <c r="Z1378" s="183">
        <v>2.4065036923044403E-2</v>
      </c>
    </row>
    <row r="1379" spans="22:26" x14ac:dyDescent="0.2">
      <c r="V1379" s="180" t="str">
        <f t="shared" si="29"/>
        <v>1w</v>
      </c>
      <c r="W1379" s="177">
        <f>_xll.qlCalendarAdvance(Calendar,W1378,V1379,"f",FALSE)</f>
        <v>48604</v>
      </c>
      <c r="X1379" s="181">
        <f>_xll.qlCalendarAdvance(Calendar,W1379,NDays&amp;"D")</f>
        <v>48606</v>
      </c>
      <c r="Y1379" s="178">
        <v>2.4148591069419613E-2</v>
      </c>
      <c r="Z1379" s="183">
        <v>2.4058209130872754E-2</v>
      </c>
    </row>
    <row r="1380" spans="22:26" x14ac:dyDescent="0.2">
      <c r="V1380" s="180" t="str">
        <f t="shared" si="29"/>
        <v>1w</v>
      </c>
      <c r="W1380" s="177">
        <f>_xll.qlCalendarAdvance(Calendar,W1379,V1380,"f",FALSE)</f>
        <v>48611</v>
      </c>
      <c r="X1380" s="181">
        <f>_xll.qlCalendarAdvance(Calendar,W1380,NDays&amp;"D")</f>
        <v>48613</v>
      </c>
      <c r="Y1380" s="178">
        <v>2.4140274466534238E-2</v>
      </c>
      <c r="Z1380" s="183">
        <v>2.4051333537817854E-2</v>
      </c>
    </row>
    <row r="1381" spans="22:26" x14ac:dyDescent="0.2">
      <c r="V1381" s="180" t="str">
        <f t="shared" si="29"/>
        <v>1w</v>
      </c>
      <c r="W1381" s="177">
        <f>_xll.qlCalendarAdvance(Calendar,W1380,V1381,"f",FALSE)</f>
        <v>48618</v>
      </c>
      <c r="X1381" s="181">
        <f>_xll.qlCalendarAdvance(Calendar,W1381,NDays&amp;"D")</f>
        <v>48620</v>
      </c>
      <c r="Y1381" s="178">
        <v>2.4131908964724502E-2</v>
      </c>
      <c r="Z1381" s="183">
        <v>2.4044410143799766E-2</v>
      </c>
    </row>
    <row r="1382" spans="22:26" x14ac:dyDescent="0.2">
      <c r="V1382" s="180" t="str">
        <f t="shared" si="29"/>
        <v>1w</v>
      </c>
      <c r="W1382" s="177">
        <f>_xll.qlCalendarAdvance(Calendar,W1381,V1382,"f",FALSE)</f>
        <v>48625</v>
      </c>
      <c r="X1382" s="181">
        <f>_xll.qlCalendarAdvance(Calendar,W1382,NDays&amp;"D")</f>
        <v>48627</v>
      </c>
      <c r="Y1382" s="178">
        <v>2.412349456520587E-2</v>
      </c>
      <c r="Z1382" s="183">
        <v>2.403743894881849E-2</v>
      </c>
    </row>
    <row r="1383" spans="22:26" x14ac:dyDescent="0.2">
      <c r="V1383" s="180" t="str">
        <f t="shared" si="29"/>
        <v>1w</v>
      </c>
      <c r="W1383" s="177">
        <f>_xll.qlCalendarAdvance(Calendar,W1382,V1383,"f",FALSE)</f>
        <v>48632</v>
      </c>
      <c r="X1383" s="181">
        <f>_xll.qlCalendarAdvance(Calendar,W1383,NDays&amp;"D")</f>
        <v>48634</v>
      </c>
      <c r="Y1383" s="178">
        <v>2.4115031269201039E-2</v>
      </c>
      <c r="Z1383" s="183">
        <v>2.4030419952874027E-2</v>
      </c>
    </row>
    <row r="1384" spans="22:26" x14ac:dyDescent="0.2">
      <c r="V1384" s="180" t="str">
        <f t="shared" si="29"/>
        <v>1w</v>
      </c>
      <c r="W1384" s="177">
        <f>_xll.qlCalendarAdvance(Calendar,W1383,V1384,"f",FALSE)</f>
        <v>48639</v>
      </c>
      <c r="X1384" s="181">
        <f>_xll.qlCalendarAdvance(Calendar,W1384,NDays&amp;"D")</f>
        <v>48641</v>
      </c>
      <c r="Y1384" s="178">
        <v>2.4106519077939922E-2</v>
      </c>
      <c r="Z1384" s="183">
        <v>2.4023353156046312E-2</v>
      </c>
    </row>
    <row r="1385" spans="22:26" x14ac:dyDescent="0.2">
      <c r="V1385" s="180" t="str">
        <f t="shared" si="29"/>
        <v>1w</v>
      </c>
      <c r="W1385" s="177">
        <f>_xll.qlCalendarAdvance(Calendar,W1384,V1385,"f",FALSE)</f>
        <v>48646</v>
      </c>
      <c r="X1385" s="181">
        <f>_xll.qlCalendarAdvance(Calendar,W1385,NDays&amp;"D")</f>
        <v>48648</v>
      </c>
      <c r="Y1385" s="178">
        <v>2.4097957992659451E-2</v>
      </c>
      <c r="Z1385" s="183">
        <v>2.4016238558175473E-2</v>
      </c>
    </row>
    <row r="1386" spans="22:26" x14ac:dyDescent="0.2">
      <c r="V1386" s="180" t="str">
        <f t="shared" si="29"/>
        <v>1w</v>
      </c>
      <c r="W1386" s="177">
        <f>_xll.qlCalendarAdvance(Calendar,W1385,V1386,"f",FALSE)</f>
        <v>48653</v>
      </c>
      <c r="X1386" s="181">
        <f>_xll.qlCalendarAdvance(Calendar,W1386,NDays&amp;"D")</f>
        <v>48655</v>
      </c>
      <c r="Y1386" s="178">
        <v>2.4089348014603561E-2</v>
      </c>
      <c r="Z1386" s="183">
        <v>2.4009076159341447E-2</v>
      </c>
    </row>
    <row r="1387" spans="22:26" x14ac:dyDescent="0.2">
      <c r="V1387" s="180" t="str">
        <f t="shared" si="29"/>
        <v>1w</v>
      </c>
      <c r="W1387" s="177">
        <f>_xll.qlCalendarAdvance(Calendar,W1386,V1387,"f",FALSE)</f>
        <v>48660</v>
      </c>
      <c r="X1387" s="181">
        <f>_xll.qlCalendarAdvance(Calendar,W1387,NDays&amp;"D")</f>
        <v>48662</v>
      </c>
      <c r="Y1387" s="178">
        <v>2.4080689145023638E-2</v>
      </c>
      <c r="Z1387" s="183">
        <v>2.4001865959704105E-2</v>
      </c>
    </row>
    <row r="1388" spans="22:26" x14ac:dyDescent="0.2">
      <c r="V1388" s="180" t="str">
        <f t="shared" si="29"/>
        <v>1w</v>
      </c>
      <c r="W1388" s="177">
        <f>_xll.qlCalendarAdvance(Calendar,W1387,V1388,"f",FALSE)</f>
        <v>48667</v>
      </c>
      <c r="X1388" s="181">
        <f>_xll.qlCalendarAdvance(Calendar,W1388,NDays&amp;"D")</f>
        <v>48669</v>
      </c>
      <c r="Y1388" s="178">
        <v>2.4071981385178073E-2</v>
      </c>
      <c r="Z1388" s="183">
        <v>2.3994607959023639E-2</v>
      </c>
    </row>
    <row r="1389" spans="22:26" x14ac:dyDescent="0.2">
      <c r="V1389" s="180" t="str">
        <f t="shared" si="29"/>
        <v>1w</v>
      </c>
      <c r="W1389" s="177">
        <f>_xll.qlCalendarAdvance(Calendar,W1388,V1389,"f",FALSE)</f>
        <v>48674</v>
      </c>
      <c r="X1389" s="181">
        <f>_xll.qlCalendarAdvance(Calendar,W1389,NDays&amp;"D")</f>
        <v>48676</v>
      </c>
      <c r="Y1389" s="178">
        <v>2.4063782235361007E-2</v>
      </c>
      <c r="Z1389" s="183">
        <v>2.3987302157379986E-2</v>
      </c>
    </row>
    <row r="1390" spans="22:26" x14ac:dyDescent="0.2">
      <c r="V1390" s="180" t="str">
        <f t="shared" si="29"/>
        <v>1w</v>
      </c>
      <c r="W1390" s="177">
        <f>_xll.qlCalendarAdvance(Calendar,W1389,V1390,"f",FALSE)</f>
        <v>48681</v>
      </c>
      <c r="X1390" s="181">
        <f>_xll.qlCalendarAdvance(Calendar,W1390,NDays&amp;"D")</f>
        <v>48683</v>
      </c>
      <c r="Y1390" s="178">
        <v>2.4054419199757076E-2</v>
      </c>
      <c r="Z1390" s="183">
        <v>2.3981032075774067E-2</v>
      </c>
    </row>
    <row r="1391" spans="22:26" x14ac:dyDescent="0.2">
      <c r="V1391" s="180" t="str">
        <f t="shared" si="29"/>
        <v>1w</v>
      </c>
      <c r="W1391" s="177">
        <f>_xll.qlCalendarAdvance(Calendar,W1390,V1391,"f",FALSE)</f>
        <v>48688</v>
      </c>
      <c r="X1391" s="181">
        <f>_xll.qlCalendarAdvance(Calendar,W1391,NDays&amp;"D")</f>
        <v>48690</v>
      </c>
      <c r="Y1391" s="178">
        <v>2.4045564776733908E-2</v>
      </c>
      <c r="Z1391" s="183">
        <v>2.3972547151362988E-2</v>
      </c>
    </row>
    <row r="1392" spans="22:26" x14ac:dyDescent="0.2">
      <c r="V1392" s="180" t="str">
        <f t="shared" si="29"/>
        <v>1w</v>
      </c>
      <c r="W1392" s="177">
        <f>_xll.qlCalendarAdvance(Calendar,W1391,V1392,"f",FALSE)</f>
        <v>48695</v>
      </c>
      <c r="X1392" s="181">
        <f>_xll.qlCalendarAdvance(Calendar,W1392,NDays&amp;"D")</f>
        <v>48697</v>
      </c>
      <c r="Y1392" s="178">
        <v>2.4036661468548739E-2</v>
      </c>
      <c r="Z1392" s="183">
        <v>2.3965097946909708E-2</v>
      </c>
    </row>
    <row r="1393" spans="22:26" x14ac:dyDescent="0.2">
      <c r="V1393" s="180" t="str">
        <f t="shared" si="29"/>
        <v>1w</v>
      </c>
      <c r="W1393" s="177">
        <f>_xll.qlCalendarAdvance(Calendar,W1392,V1393,"f",FALSE)</f>
        <v>48702</v>
      </c>
      <c r="X1393" s="181">
        <f>_xll.qlCalendarAdvance(Calendar,W1393,NDays&amp;"D")</f>
        <v>48704</v>
      </c>
      <c r="Y1393" s="178">
        <v>2.4027709276494998E-2</v>
      </c>
      <c r="Z1393" s="183">
        <v>2.3957600941573176E-2</v>
      </c>
    </row>
    <row r="1394" spans="22:26" x14ac:dyDescent="0.2">
      <c r="V1394" s="180" t="str">
        <f t="shared" si="29"/>
        <v>1w</v>
      </c>
      <c r="W1394" s="177">
        <f>_xll.qlCalendarAdvance(Calendar,W1393,V1394,"f",FALSE)</f>
        <v>48709</v>
      </c>
      <c r="X1394" s="181">
        <f>_xll.qlCalendarAdvance(Calendar,W1394,NDays&amp;"D")</f>
        <v>48711</v>
      </c>
      <c r="Y1394" s="178">
        <v>2.4018708201874003E-2</v>
      </c>
      <c r="Z1394" s="183">
        <v>2.3950056135353393E-2</v>
      </c>
    </row>
    <row r="1395" spans="22:26" x14ac:dyDescent="0.2">
      <c r="V1395" s="180" t="str">
        <f t="shared" si="29"/>
        <v>1w</v>
      </c>
      <c r="W1395" s="177">
        <f>_xll.qlCalendarAdvance(Calendar,W1394,V1395,"f",FALSE)</f>
        <v>48716</v>
      </c>
      <c r="X1395" s="181">
        <f>_xll.qlCalendarAdvance(Calendar,W1395,NDays&amp;"D")</f>
        <v>48718</v>
      </c>
      <c r="Y1395" s="178">
        <v>2.4009658245993642E-2</v>
      </c>
      <c r="Z1395" s="183">
        <v>2.3942463528170421E-2</v>
      </c>
    </row>
    <row r="1396" spans="22:26" x14ac:dyDescent="0.2">
      <c r="V1396" s="180" t="str">
        <f t="shared" si="29"/>
        <v>1w</v>
      </c>
      <c r="W1396" s="177">
        <f>_xll.qlCalendarAdvance(Calendar,W1395,V1396,"f",FALSE)</f>
        <v>48723</v>
      </c>
      <c r="X1396" s="181">
        <f>_xll.qlCalendarAdvance(Calendar,W1396,NDays&amp;"D")</f>
        <v>48725</v>
      </c>
      <c r="Y1396" s="178">
        <v>2.4000559410168584E-2</v>
      </c>
      <c r="Z1396" s="183">
        <v>2.3934823120104198E-2</v>
      </c>
    </row>
    <row r="1397" spans="22:26" x14ac:dyDescent="0.2">
      <c r="V1397" s="180" t="str">
        <f t="shared" si="29"/>
        <v>1w</v>
      </c>
      <c r="W1397" s="177">
        <f>_xll.qlCalendarAdvance(Calendar,W1396,V1397,"f",FALSE)</f>
        <v>48730</v>
      </c>
      <c r="X1397" s="181">
        <f>_xll.qlCalendarAdvance(Calendar,W1397,NDays&amp;"D")</f>
        <v>48732</v>
      </c>
      <c r="Y1397" s="178">
        <v>2.3991411695720954E-2</v>
      </c>
      <c r="Z1397" s="183">
        <v>2.3927134911074788E-2</v>
      </c>
    </row>
    <row r="1398" spans="22:26" x14ac:dyDescent="0.2">
      <c r="V1398" s="180" t="str">
        <f t="shared" si="29"/>
        <v>1w</v>
      </c>
      <c r="W1398" s="177">
        <f>_xll.qlCalendarAdvance(Calendar,W1397,V1398,"f",FALSE)</f>
        <v>48737</v>
      </c>
      <c r="X1398" s="181">
        <f>_xll.qlCalendarAdvance(Calendar,W1398,NDays&amp;"D")</f>
        <v>48739</v>
      </c>
      <c r="Y1398" s="178">
        <v>2.3982215103980097E-2</v>
      </c>
      <c r="Z1398" s="183">
        <v>2.3919398901242062E-2</v>
      </c>
    </row>
    <row r="1399" spans="22:26" x14ac:dyDescent="0.2">
      <c r="V1399" s="180" t="str">
        <f t="shared" si="29"/>
        <v>1w</v>
      </c>
      <c r="W1399" s="177">
        <f>_xll.qlCalendarAdvance(Calendar,W1398,V1399,"f",FALSE)</f>
        <v>48744</v>
      </c>
      <c r="X1399" s="181">
        <f>_xll.qlCalendarAdvance(Calendar,W1399,NDays&amp;"D")</f>
        <v>48746</v>
      </c>
      <c r="Y1399" s="178">
        <v>2.3972969636282367E-2</v>
      </c>
      <c r="Z1399" s="183">
        <v>2.3911615090286276E-2</v>
      </c>
    </row>
    <row r="1400" spans="22:26" x14ac:dyDescent="0.2">
      <c r="V1400" s="180" t="str">
        <f t="shared" si="29"/>
        <v>1w</v>
      </c>
      <c r="W1400" s="177">
        <f>_xll.qlCalendarAdvance(Calendar,W1399,V1400,"f",FALSE)</f>
        <v>48751</v>
      </c>
      <c r="X1400" s="181">
        <f>_xll.qlCalendarAdvance(Calendar,W1400,NDays&amp;"D")</f>
        <v>48753</v>
      </c>
      <c r="Y1400" s="178">
        <v>2.3963675293970914E-2</v>
      </c>
      <c r="Z1400" s="183">
        <v>2.3903783478527174E-2</v>
      </c>
    </row>
    <row r="1401" spans="22:26" x14ac:dyDescent="0.2">
      <c r="V1401" s="180" t="str">
        <f t="shared" si="29"/>
        <v>1w</v>
      </c>
      <c r="W1401" s="177">
        <f>_xll.qlCalendarAdvance(Calendar,W1400,V1401,"f",FALSE)</f>
        <v>48758</v>
      </c>
      <c r="X1401" s="181">
        <f>_xll.qlCalendarAdvance(Calendar,W1401,NDays&amp;"D")</f>
        <v>48760</v>
      </c>
      <c r="Y1401" s="178">
        <v>2.3954332078396322E-2</v>
      </c>
      <c r="Z1401" s="183">
        <v>2.3895904066044693E-2</v>
      </c>
    </row>
    <row r="1402" spans="22:26" x14ac:dyDescent="0.2">
      <c r="V1402" s="180" t="str">
        <f t="shared" si="29"/>
        <v>1w</v>
      </c>
      <c r="W1402" s="177">
        <f>_xll.qlCalendarAdvance(Calendar,W1401,V1402,"f",FALSE)</f>
        <v>48765</v>
      </c>
      <c r="X1402" s="181">
        <f>_xll.qlCalendarAdvance(Calendar,W1402,NDays&amp;"D")</f>
        <v>48767</v>
      </c>
      <c r="Y1402" s="178">
        <v>2.3944939990916198E-2</v>
      </c>
      <c r="Z1402" s="183">
        <v>2.3887976852439152E-2</v>
      </c>
    </row>
    <row r="1403" spans="22:26" x14ac:dyDescent="0.2">
      <c r="V1403" s="180" t="str">
        <f t="shared" si="29"/>
        <v>1w</v>
      </c>
      <c r="W1403" s="177">
        <f>_xll.qlCalendarAdvance(Calendar,W1402,V1403,"f",FALSE)</f>
        <v>48772</v>
      </c>
      <c r="X1403" s="181">
        <f>_xll.qlCalendarAdvance(Calendar,W1403,NDays&amp;"D")</f>
        <v>48774</v>
      </c>
      <c r="Y1403" s="178">
        <v>2.3935499032895144E-2</v>
      </c>
      <c r="Z1403" s="183">
        <v>2.3880001838110232E-2</v>
      </c>
    </row>
    <row r="1404" spans="22:26" x14ac:dyDescent="0.2">
      <c r="V1404" s="180" t="str">
        <f t="shared" si="29"/>
        <v>1w</v>
      </c>
      <c r="W1404" s="177">
        <f>_xll.qlCalendarAdvance(Calendar,W1403,V1404,"f",FALSE)</f>
        <v>48779</v>
      </c>
      <c r="X1404" s="181">
        <f>_xll.qlCalendarAdvance(Calendar,W1404,NDays&amp;"D")</f>
        <v>48781</v>
      </c>
      <c r="Y1404" s="178">
        <v>2.3926009205704993E-2</v>
      </c>
      <c r="Z1404" s="183">
        <v>2.3871979022658252E-2</v>
      </c>
    </row>
    <row r="1405" spans="22:26" x14ac:dyDescent="0.2">
      <c r="V1405" s="180" t="str">
        <f t="shared" si="29"/>
        <v>1w</v>
      </c>
      <c r="W1405" s="177">
        <f>_xll.qlCalendarAdvance(Calendar,W1404,V1405,"f",FALSE)</f>
        <v>48786</v>
      </c>
      <c r="X1405" s="181">
        <f>_xll.qlCalendarAdvance(Calendar,W1405,NDays&amp;"D")</f>
        <v>48788</v>
      </c>
      <c r="Y1405" s="178">
        <v>2.391647051072459E-2</v>
      </c>
      <c r="Z1405" s="183">
        <v>2.3863908406562828E-2</v>
      </c>
    </row>
    <row r="1406" spans="22:26" x14ac:dyDescent="0.2">
      <c r="V1406" s="180" t="str">
        <f t="shared" si="29"/>
        <v>1w</v>
      </c>
      <c r="W1406" s="177">
        <f>_xll.qlCalendarAdvance(Calendar,W1405,V1406,"f",FALSE)</f>
        <v>48793</v>
      </c>
      <c r="X1406" s="181">
        <f>_xll.qlCalendarAdvance(Calendar,W1406,NDays&amp;"D")</f>
        <v>48795</v>
      </c>
      <c r="Y1406" s="178">
        <v>2.3906882949339785E-2</v>
      </c>
      <c r="Z1406" s="183">
        <v>2.3855789989504217E-2</v>
      </c>
    </row>
    <row r="1407" spans="22:26" x14ac:dyDescent="0.2">
      <c r="V1407" s="180" t="str">
        <f t="shared" si="29"/>
        <v>1w</v>
      </c>
      <c r="W1407" s="177">
        <f>_xll.qlCalendarAdvance(Calendar,W1406,V1407,"f",FALSE)</f>
        <v>48800</v>
      </c>
      <c r="X1407" s="181">
        <f>_xll.qlCalendarAdvance(Calendar,W1407,NDays&amp;"D")</f>
        <v>48802</v>
      </c>
      <c r="Y1407" s="178">
        <v>2.3897246522943436E-2</v>
      </c>
      <c r="Z1407" s="183">
        <v>2.3847623771482418E-2</v>
      </c>
    </row>
    <row r="1408" spans="22:26" x14ac:dyDescent="0.2">
      <c r="V1408" s="180" t="str">
        <f t="shared" si="29"/>
        <v>1w</v>
      </c>
      <c r="W1408" s="177">
        <f>_xll.qlCalendarAdvance(Calendar,W1407,V1408,"f",FALSE)</f>
        <v>48807</v>
      </c>
      <c r="X1408" s="181">
        <f>_xll.qlCalendarAdvance(Calendar,W1408,NDays&amp;"D")</f>
        <v>48809</v>
      </c>
      <c r="Y1408" s="178">
        <v>2.3887561232936064E-2</v>
      </c>
      <c r="Z1408" s="183">
        <v>2.3839409752657303E-2</v>
      </c>
    </row>
    <row r="1409" spans="22:26" x14ac:dyDescent="0.2">
      <c r="V1409" s="180" t="str">
        <f t="shared" si="29"/>
        <v>1w</v>
      </c>
      <c r="W1409" s="177">
        <f>_xll.qlCalendarAdvance(Calendar,W1408,V1409,"f",FALSE)</f>
        <v>48814</v>
      </c>
      <c r="X1409" s="181">
        <f>_xll.qlCalendarAdvance(Calendar,W1409,NDays&amp;"D")</f>
        <v>48816</v>
      </c>
      <c r="Y1409" s="178">
        <v>2.3877827080724549E-2</v>
      </c>
      <c r="Z1409" s="183">
        <v>2.3831147932869001E-2</v>
      </c>
    </row>
    <row r="1410" spans="22:26" x14ac:dyDescent="0.2">
      <c r="V1410" s="180" t="str">
        <f t="shared" si="29"/>
        <v>1w</v>
      </c>
      <c r="W1410" s="177">
        <f>_xll.qlCalendarAdvance(Calendar,W1409,V1410,"f",FALSE)</f>
        <v>48821</v>
      </c>
      <c r="X1410" s="181">
        <f>_xll.qlCalendarAdvance(Calendar,W1410,NDays&amp;"D")</f>
        <v>48823</v>
      </c>
      <c r="Y1410" s="178">
        <v>2.3868044067723429E-2</v>
      </c>
      <c r="Z1410" s="183">
        <v>2.382283831235732E-2</v>
      </c>
    </row>
    <row r="1411" spans="22:26" x14ac:dyDescent="0.2">
      <c r="V1411" s="180" t="str">
        <f t="shared" si="29"/>
        <v>1w</v>
      </c>
      <c r="W1411" s="177">
        <f>_xll.qlCalendarAdvance(Calendar,W1410,V1411,"f",FALSE)</f>
        <v>48828</v>
      </c>
      <c r="X1411" s="181">
        <f>_xll.qlCalendarAdvance(Calendar,W1411,NDays&amp;"D")</f>
        <v>48830</v>
      </c>
      <c r="Y1411" s="178">
        <v>2.3858212195354032E-2</v>
      </c>
      <c r="Z1411" s="183">
        <v>2.3814480890802514E-2</v>
      </c>
    </row>
    <row r="1412" spans="22:26" x14ac:dyDescent="0.2">
      <c r="V1412" s="180" t="str">
        <f t="shared" si="29"/>
        <v>1w</v>
      </c>
      <c r="W1412" s="177">
        <f>_xll.qlCalendarAdvance(Calendar,W1411,V1412,"f",FALSE)</f>
        <v>48835</v>
      </c>
      <c r="X1412" s="181">
        <f>_xll.qlCalendarAdvance(Calendar,W1412,NDays&amp;"D")</f>
        <v>48837</v>
      </c>
      <c r="Y1412" s="178">
        <v>2.3848331465044691E-2</v>
      </c>
      <c r="Z1412" s="183">
        <v>2.3806075668524329E-2</v>
      </c>
    </row>
    <row r="1413" spans="22:26" x14ac:dyDescent="0.2">
      <c r="V1413" s="180" t="str">
        <f t="shared" si="29"/>
        <v>1w</v>
      </c>
      <c r="W1413" s="177">
        <f>_xll.qlCalendarAdvance(Calendar,W1412,V1413,"f",FALSE)</f>
        <v>48842</v>
      </c>
      <c r="X1413" s="181">
        <f>_xll.qlCalendarAdvance(Calendar,W1413,NDays&amp;"D")</f>
        <v>48844</v>
      </c>
      <c r="Y1413" s="178">
        <v>2.3838401878230976E-2</v>
      </c>
      <c r="Z1413" s="183">
        <v>2.3797622645362893E-2</v>
      </c>
    </row>
    <row r="1414" spans="22:26" x14ac:dyDescent="0.2">
      <c r="V1414" s="180" t="str">
        <f t="shared" si="29"/>
        <v>1w</v>
      </c>
      <c r="W1414" s="177">
        <f>_xll.qlCalendarAdvance(Calendar,W1413,V1414,"f",FALSE)</f>
        <v>48849</v>
      </c>
      <c r="X1414" s="181">
        <f>_xll.qlCalendarAdvance(Calendar,W1414,NDays&amp;"D")</f>
        <v>48851</v>
      </c>
      <c r="Y1414" s="178">
        <v>2.3828423436355675E-2</v>
      </c>
      <c r="Z1414" s="183">
        <v>2.3789121821238268E-2</v>
      </c>
    </row>
    <row r="1415" spans="22:26" x14ac:dyDescent="0.2">
      <c r="V1415" s="180" t="str">
        <f t="shared" si="29"/>
        <v>1w</v>
      </c>
      <c r="W1415" s="177">
        <f>_xll.qlCalendarAdvance(Calendar,W1414,V1415,"f",FALSE)</f>
        <v>48856</v>
      </c>
      <c r="X1415" s="181">
        <f>_xll.qlCalendarAdvance(Calendar,W1415,NDays&amp;"D")</f>
        <v>48858</v>
      </c>
      <c r="Y1415" s="178">
        <v>2.381839614086859E-2</v>
      </c>
      <c r="Z1415" s="183">
        <v>2.3780573196310328E-2</v>
      </c>
    </row>
    <row r="1416" spans="22:26" x14ac:dyDescent="0.2">
      <c r="V1416" s="180" t="str">
        <f t="shared" si="29"/>
        <v>1w</v>
      </c>
      <c r="W1416" s="177">
        <f>_xll.qlCalendarAdvance(Calendar,W1415,V1416,"f",FALSE)</f>
        <v>48863</v>
      </c>
      <c r="X1416" s="181">
        <f>_xll.qlCalendarAdvance(Calendar,W1416,NDays&amp;"D")</f>
        <v>48865</v>
      </c>
      <c r="Y1416" s="178">
        <v>2.3808319993226523E-2</v>
      </c>
      <c r="Z1416" s="183">
        <v>2.3771976770659009E-2</v>
      </c>
    </row>
    <row r="1417" spans="22:26" x14ac:dyDescent="0.2">
      <c r="V1417" s="180" t="str">
        <f t="shared" si="29"/>
        <v>1w</v>
      </c>
      <c r="W1417" s="177">
        <f>_xll.qlCalendarAdvance(Calendar,W1416,V1417,"f",FALSE)</f>
        <v>48870</v>
      </c>
      <c r="X1417" s="181">
        <f>_xll.qlCalendarAdvance(Calendar,W1417,NDays&amp;"D")</f>
        <v>48872</v>
      </c>
      <c r="Y1417" s="178">
        <v>2.3798194994893294E-2</v>
      </c>
      <c r="Z1417" s="183">
        <v>2.3763332543964566E-2</v>
      </c>
    </row>
    <row r="1418" spans="22:26" x14ac:dyDescent="0.2">
      <c r="V1418" s="180" t="str">
        <f t="shared" si="29"/>
        <v>1w</v>
      </c>
      <c r="W1418" s="177">
        <f>_xll.qlCalendarAdvance(Calendar,W1417,V1418,"f",FALSE)</f>
        <v>48877</v>
      </c>
      <c r="X1418" s="181">
        <f>_xll.qlCalendarAdvance(Calendar,W1418,NDays&amp;"D")</f>
        <v>48879</v>
      </c>
      <c r="Y1418" s="178">
        <v>2.3788021147339505E-2</v>
      </c>
      <c r="Z1418" s="183">
        <v>2.3754640516546743E-2</v>
      </c>
    </row>
    <row r="1419" spans="22:26" x14ac:dyDescent="0.2">
      <c r="V1419" s="180" t="str">
        <f t="shared" si="29"/>
        <v>1w</v>
      </c>
      <c r="W1419" s="177">
        <f>_xll.qlCalendarAdvance(Calendar,W1418,V1419,"f",FALSE)</f>
        <v>48884</v>
      </c>
      <c r="X1419" s="181">
        <f>_xll.qlCalendarAdvance(Calendar,W1419,NDays&amp;"D")</f>
        <v>48886</v>
      </c>
      <c r="Y1419" s="178">
        <v>2.3777798452044304E-2</v>
      </c>
      <c r="Z1419" s="183">
        <v>2.3745900688245669E-2</v>
      </c>
    </row>
    <row r="1420" spans="22:26" x14ac:dyDescent="0.2">
      <c r="V1420" s="180" t="str">
        <f t="shared" si="29"/>
        <v>1w</v>
      </c>
      <c r="W1420" s="177">
        <f>_xll.qlCalendarAdvance(Calendar,W1419,V1420,"f",FALSE)</f>
        <v>48891</v>
      </c>
      <c r="X1420" s="181">
        <f>_xll.qlCalendarAdvance(Calendar,W1420,NDays&amp;"D")</f>
        <v>48893</v>
      </c>
      <c r="Y1420" s="178">
        <v>2.3767527114012577E-2</v>
      </c>
      <c r="Z1420" s="183">
        <v>2.3737113059061343E-2</v>
      </c>
    </row>
    <row r="1421" spans="22:26" x14ac:dyDescent="0.2">
      <c r="V1421" s="180" t="str">
        <f t="shared" si="29"/>
        <v>1w</v>
      </c>
      <c r="W1421" s="177">
        <f>_xll.qlCalendarAdvance(Calendar,W1420,V1421,"f",FALSE)</f>
        <v>48898</v>
      </c>
      <c r="X1421" s="181">
        <f>_xll.qlCalendarAdvance(Calendar,W1421,NDays&amp;"D")</f>
        <v>48900</v>
      </c>
      <c r="Y1421" s="178">
        <v>2.3757208152323947E-2</v>
      </c>
      <c r="Z1421" s="183">
        <v>2.3728277629153638E-2</v>
      </c>
    </row>
    <row r="1422" spans="22:26" x14ac:dyDescent="0.2">
      <c r="V1422" s="180" t="str">
        <f t="shared" si="29"/>
        <v>1w</v>
      </c>
      <c r="W1422" s="177">
        <f>_xll.qlCalendarAdvance(Calendar,W1421,V1422,"f",FALSE)</f>
        <v>48905</v>
      </c>
      <c r="X1422" s="181">
        <f>_xll.qlCalendarAdvance(Calendar,W1422,NDays&amp;"D")</f>
        <v>48907</v>
      </c>
      <c r="Y1422" s="178">
        <v>2.3746842789539525E-2</v>
      </c>
      <c r="Z1422" s="183">
        <v>2.3719394398282745E-2</v>
      </c>
    </row>
    <row r="1423" spans="22:26" x14ac:dyDescent="0.2">
      <c r="V1423" s="180" t="str">
        <f t="shared" si="29"/>
        <v>1w</v>
      </c>
      <c r="W1423" s="177">
        <f>_xll.qlCalendarAdvance(Calendar,W1422,V1423,"f",FALSE)</f>
        <v>48912</v>
      </c>
      <c r="X1423" s="181">
        <f>_xll.qlCalendarAdvance(Calendar,W1423,NDays&amp;"D")</f>
        <v>48914</v>
      </c>
      <c r="Y1423" s="178">
        <v>2.3736432248176634E-2</v>
      </c>
      <c r="Z1423" s="183">
        <v>2.3710463366688472E-2</v>
      </c>
    </row>
    <row r="1424" spans="22:26" x14ac:dyDescent="0.2">
      <c r="V1424" s="180" t="str">
        <f t="shared" si="29"/>
        <v>1w</v>
      </c>
      <c r="W1424" s="177">
        <f>_xll.qlCalendarAdvance(Calendar,W1423,V1424,"f",FALSE)</f>
        <v>48919</v>
      </c>
      <c r="X1424" s="181">
        <f>_xll.qlCalendarAdvance(Calendar,W1424,NDays&amp;"D")</f>
        <v>48921</v>
      </c>
      <c r="Y1424" s="178">
        <v>2.3725977750708799E-2</v>
      </c>
      <c r="Z1424" s="183">
        <v>2.3701484534210948E-2</v>
      </c>
    </row>
    <row r="1425" spans="22:26" x14ac:dyDescent="0.2">
      <c r="V1425" s="180" t="str">
        <f t="shared" si="29"/>
        <v>1w</v>
      </c>
      <c r="W1425" s="177">
        <f>_xll.qlCalendarAdvance(Calendar,W1424,V1425,"f",FALSE)</f>
        <v>48926</v>
      </c>
      <c r="X1425" s="181">
        <f>_xll.qlCalendarAdvance(Calendar,W1425,NDays&amp;"D")</f>
        <v>48928</v>
      </c>
      <c r="Y1425" s="178">
        <v>2.3715480519563764E-2</v>
      </c>
      <c r="Z1425" s="183">
        <v>2.3692457900930108E-2</v>
      </c>
    </row>
    <row r="1426" spans="22:26" x14ac:dyDescent="0.2">
      <c r="V1426" s="180" t="str">
        <f t="shared" si="29"/>
        <v>1w</v>
      </c>
      <c r="W1426" s="177">
        <f>_xll.qlCalendarAdvance(Calendar,W1425,V1426,"f",FALSE)</f>
        <v>48933</v>
      </c>
      <c r="X1426" s="181">
        <f>_xll.qlCalendarAdvance(Calendar,W1426,NDays&amp;"D")</f>
        <v>48935</v>
      </c>
      <c r="Y1426" s="178">
        <v>2.3704941777125694E-2</v>
      </c>
      <c r="Z1426" s="183">
        <v>2.3683383466845953E-2</v>
      </c>
    </row>
    <row r="1427" spans="22:26" x14ac:dyDescent="0.2">
      <c r="V1427" s="180" t="str">
        <f t="shared" si="29"/>
        <v>1w</v>
      </c>
      <c r="W1427" s="177">
        <f>_xll.qlCalendarAdvance(Calendar,W1426,V1427,"f",FALSE)</f>
        <v>48940</v>
      </c>
      <c r="X1427" s="181">
        <f>_xll.qlCalendarAdvance(Calendar,W1427,NDays&amp;"D")</f>
        <v>48942</v>
      </c>
      <c r="Y1427" s="178">
        <v>2.3694362745731456E-2</v>
      </c>
      <c r="Z1427" s="183">
        <v>2.3674261231878546E-2</v>
      </c>
    </row>
    <row r="1428" spans="22:26" x14ac:dyDescent="0.2">
      <c r="V1428" s="180" t="str">
        <f t="shared" si="29"/>
        <v>1w</v>
      </c>
      <c r="W1428" s="177">
        <f>_xll.qlCalendarAdvance(Calendar,W1427,V1428,"f",FALSE)</f>
        <v>48947</v>
      </c>
      <c r="X1428" s="181">
        <f>_xll.qlCalendarAdvance(Calendar,W1428,NDays&amp;"D")</f>
        <v>48949</v>
      </c>
      <c r="Y1428" s="178">
        <v>2.368374464767279E-2</v>
      </c>
      <c r="Z1428" s="183">
        <v>2.366509119618776E-2</v>
      </c>
    </row>
    <row r="1429" spans="22:26" x14ac:dyDescent="0.2">
      <c r="V1429" s="180" t="str">
        <f t="shared" ref="V1429:V1492" si="30">V1428</f>
        <v>1w</v>
      </c>
      <c r="W1429" s="177">
        <f>_xll.qlCalendarAdvance(Calendar,W1428,V1429,"f",FALSE)</f>
        <v>48954</v>
      </c>
      <c r="X1429" s="181">
        <f>_xll.qlCalendarAdvance(Calendar,W1429,NDays&amp;"D")</f>
        <v>48956</v>
      </c>
      <c r="Y1429" s="178">
        <v>2.3673088705194145E-2</v>
      </c>
      <c r="Z1429" s="183">
        <v>2.3655873359693658E-2</v>
      </c>
    </row>
    <row r="1430" spans="22:26" x14ac:dyDescent="0.2">
      <c r="V1430" s="180" t="str">
        <f t="shared" si="30"/>
        <v>1w</v>
      </c>
      <c r="W1430" s="177">
        <f>_xll.qlCalendarAdvance(Calendar,W1429,V1430,"f",FALSE)</f>
        <v>48961</v>
      </c>
      <c r="X1430" s="181">
        <f>_xll.qlCalendarAdvance(Calendar,W1430,NDays&amp;"D")</f>
        <v>48963</v>
      </c>
      <c r="Y1430" s="178">
        <v>2.3662396140492873E-2</v>
      </c>
      <c r="Z1430" s="183">
        <v>2.3646607722316304E-2</v>
      </c>
    </row>
    <row r="1431" spans="22:26" x14ac:dyDescent="0.2">
      <c r="V1431" s="180" t="str">
        <f t="shared" si="30"/>
        <v>1w</v>
      </c>
      <c r="W1431" s="177">
        <f>_xll.qlCalendarAdvance(Calendar,W1430,V1431,"f",FALSE)</f>
        <v>48968</v>
      </c>
      <c r="X1431" s="181">
        <f>_xll.qlCalendarAdvance(Calendar,W1431,NDays&amp;"D")</f>
        <v>48970</v>
      </c>
      <c r="Y1431" s="178">
        <v>2.3651668175719034E-2</v>
      </c>
      <c r="Z1431" s="183">
        <v>2.3637294284215571E-2</v>
      </c>
    </row>
    <row r="1432" spans="22:26" x14ac:dyDescent="0.2">
      <c r="V1432" s="180" t="str">
        <f t="shared" si="30"/>
        <v>1w</v>
      </c>
      <c r="W1432" s="177">
        <f>_xll.qlCalendarAdvance(Calendar,W1431,V1432,"f",FALSE)</f>
        <v>48975</v>
      </c>
      <c r="X1432" s="181">
        <f>_xll.qlCalendarAdvance(Calendar,W1432,NDays&amp;"D")</f>
        <v>48977</v>
      </c>
      <c r="Y1432" s="178">
        <v>2.3640906032974054E-2</v>
      </c>
      <c r="Z1432" s="183">
        <v>2.3627933045311522E-2</v>
      </c>
    </row>
    <row r="1433" spans="22:26" x14ac:dyDescent="0.2">
      <c r="V1433" s="180" t="str">
        <f t="shared" si="30"/>
        <v>1w</v>
      </c>
      <c r="W1433" s="177">
        <f>_xll.qlCalendarAdvance(Calendar,W1432,V1433,"f",FALSE)</f>
        <v>48982</v>
      </c>
      <c r="X1433" s="181">
        <f>_xll.qlCalendarAdvance(Calendar,W1433,NDays&amp;"D")</f>
        <v>48984</v>
      </c>
      <c r="Y1433" s="178">
        <v>2.3630110934311187E-2</v>
      </c>
      <c r="Z1433" s="183">
        <v>2.3618524005604158E-2</v>
      </c>
    </row>
    <row r="1434" spans="22:26" x14ac:dyDescent="0.2">
      <c r="V1434" s="180" t="str">
        <f t="shared" si="30"/>
        <v>1w</v>
      </c>
      <c r="W1434" s="177">
        <f>_xll.qlCalendarAdvance(Calendar,W1433,V1434,"f",FALSE)</f>
        <v>48989</v>
      </c>
      <c r="X1434" s="181">
        <f>_xll.qlCalendarAdvance(Calendar,W1434,NDays&amp;"D")</f>
        <v>48991</v>
      </c>
      <c r="Y1434" s="178">
        <v>2.3619284101734854E-2</v>
      </c>
      <c r="Z1434" s="183">
        <v>2.3609067165173414E-2</v>
      </c>
    </row>
    <row r="1435" spans="22:26" x14ac:dyDescent="0.2">
      <c r="V1435" s="180" t="str">
        <f t="shared" si="30"/>
        <v>1w</v>
      </c>
      <c r="W1435" s="177">
        <f>_xll.qlCalendarAdvance(Calendar,W1434,V1435,"f",FALSE)</f>
        <v>48996</v>
      </c>
      <c r="X1435" s="181">
        <f>_xll.qlCalendarAdvance(Calendar,W1435,NDays&amp;"D")</f>
        <v>48998</v>
      </c>
      <c r="Y1435" s="178">
        <v>2.3608426757199971E-2</v>
      </c>
      <c r="Z1435" s="183">
        <v>2.3599562523779483E-2</v>
      </c>
    </row>
    <row r="1436" spans="22:26" x14ac:dyDescent="0.2">
      <c r="V1436" s="180" t="str">
        <f t="shared" si="30"/>
        <v>1w</v>
      </c>
      <c r="W1436" s="177">
        <f>_xll.qlCalendarAdvance(Calendar,W1435,V1436,"f",FALSE)</f>
        <v>49003</v>
      </c>
      <c r="X1436" s="181">
        <f>_xll.qlCalendarAdvance(Calendar,W1436,NDays&amp;"D")</f>
        <v>49005</v>
      </c>
      <c r="Y1436" s="178">
        <v>2.3597540122611962E-2</v>
      </c>
      <c r="Z1436" s="183">
        <v>2.3590010081742108E-2</v>
      </c>
    </row>
    <row r="1437" spans="22:26" x14ac:dyDescent="0.2">
      <c r="V1437" s="180" t="str">
        <f t="shared" si="30"/>
        <v>1w</v>
      </c>
      <c r="W1437" s="177">
        <f>_xll.qlCalendarAdvance(Calendar,W1436,V1437,"f",FALSE)</f>
        <v>49010</v>
      </c>
      <c r="X1437" s="181">
        <f>_xll.qlCalendarAdvance(Calendar,W1437,NDays&amp;"D")</f>
        <v>49012</v>
      </c>
      <c r="Y1437" s="178">
        <v>2.3586625419826326E-2</v>
      </c>
      <c r="Z1437" s="183">
        <v>2.3580409838901417E-2</v>
      </c>
    </row>
    <row r="1438" spans="22:26" x14ac:dyDescent="0.2">
      <c r="V1438" s="180" t="str">
        <f t="shared" si="30"/>
        <v>1w</v>
      </c>
      <c r="W1438" s="177">
        <f>_xll.qlCalendarAdvance(Calendar,W1437,V1438,"f",FALSE)</f>
        <v>49017</v>
      </c>
      <c r="X1438" s="181">
        <f>_xll.qlCalendarAdvance(Calendar,W1438,NDays&amp;"D")</f>
        <v>49019</v>
      </c>
      <c r="Y1438" s="178">
        <v>2.3575683870647748E-2</v>
      </c>
      <c r="Z1438" s="183">
        <v>2.3570761795257411E-2</v>
      </c>
    </row>
    <row r="1439" spans="22:26" x14ac:dyDescent="0.2">
      <c r="V1439" s="180" t="str">
        <f t="shared" si="30"/>
        <v>1w</v>
      </c>
      <c r="W1439" s="177">
        <f>_xll.qlCalendarAdvance(Calendar,W1438,V1439,"f",FALSE)</f>
        <v>49024</v>
      </c>
      <c r="X1439" s="181">
        <f>_xll.qlCalendarAdvance(Calendar,W1439,NDays&amp;"D")</f>
        <v>49026</v>
      </c>
      <c r="Y1439" s="178">
        <v>2.3564570217948454E-2</v>
      </c>
      <c r="Z1439" s="183">
        <v>2.3561065950890026E-2</v>
      </c>
    </row>
    <row r="1440" spans="22:26" x14ac:dyDescent="0.2">
      <c r="V1440" s="180" t="str">
        <f t="shared" si="30"/>
        <v>1w</v>
      </c>
      <c r="W1440" s="177">
        <f>_xll.qlCalendarAdvance(Calendar,W1439,V1440,"f",FALSE)</f>
        <v>49031</v>
      </c>
      <c r="X1440" s="181">
        <f>_xll.qlCalendarAdvance(Calendar,W1440,NDays&amp;"D")</f>
        <v>49033</v>
      </c>
      <c r="Y1440" s="178">
        <v>2.3553725120078643E-2</v>
      </c>
      <c r="Z1440" s="183">
        <v>2.3551322305719324E-2</v>
      </c>
    </row>
    <row r="1441" spans="22:26" x14ac:dyDescent="0.2">
      <c r="V1441" s="180" t="str">
        <f t="shared" si="30"/>
        <v>1w</v>
      </c>
      <c r="W1441" s="177">
        <f>_xll.qlCalendarAdvance(Calendar,W1440,V1441,"f",FALSE)</f>
        <v>49038</v>
      </c>
      <c r="X1441" s="181">
        <f>_xll.qlCalendarAdvance(Calendar,W1441,NDays&amp;"D")</f>
        <v>49040</v>
      </c>
      <c r="Y1441" s="178">
        <v>2.3542710362043005E-2</v>
      </c>
      <c r="Z1441" s="183">
        <v>2.3541801924915617E-2</v>
      </c>
    </row>
    <row r="1442" spans="22:26" x14ac:dyDescent="0.2">
      <c r="V1442" s="180" t="str">
        <f t="shared" si="30"/>
        <v>1w</v>
      </c>
      <c r="W1442" s="177">
        <f>_xll.qlCalendarAdvance(Calendar,W1441,V1442,"f",FALSE)</f>
        <v>49045</v>
      </c>
      <c r="X1442" s="181">
        <f>_xll.qlCalendarAdvance(Calendar,W1442,NDays&amp;"D")</f>
        <v>49047</v>
      </c>
      <c r="Y1442" s="178">
        <v>2.3531673644324416E-2</v>
      </c>
      <c r="Z1442" s="183">
        <v>2.3531691613207784E-2</v>
      </c>
    </row>
    <row r="1443" spans="22:26" x14ac:dyDescent="0.2">
      <c r="V1443" s="180" t="str">
        <f t="shared" si="30"/>
        <v>1w</v>
      </c>
      <c r="W1443" s="177">
        <f>_xll.qlCalendarAdvance(Calendar,W1442,V1443,"f",FALSE)</f>
        <v>49052</v>
      </c>
      <c r="X1443" s="181">
        <f>_xll.qlCalendarAdvance(Calendar,W1443,NDays&amp;"D")</f>
        <v>49054</v>
      </c>
      <c r="Y1443" s="178">
        <v>2.3520616188471333E-2</v>
      </c>
      <c r="Z1443" s="183">
        <v>2.3521804565787008E-2</v>
      </c>
    </row>
    <row r="1444" spans="22:26" x14ac:dyDescent="0.2">
      <c r="V1444" s="180" t="str">
        <f t="shared" si="30"/>
        <v>1w</v>
      </c>
      <c r="W1444" s="177">
        <f>_xll.qlCalendarAdvance(Calendar,W1443,V1444,"f",FALSE)</f>
        <v>49059</v>
      </c>
      <c r="X1444" s="181">
        <f>_xll.qlCalendarAdvance(Calendar,W1444,NDays&amp;"D")</f>
        <v>49061</v>
      </c>
      <c r="Y1444" s="178">
        <v>2.3509539215979862E-2</v>
      </c>
      <c r="Z1444" s="183">
        <v>2.3511869717562917E-2</v>
      </c>
    </row>
    <row r="1445" spans="22:26" x14ac:dyDescent="0.2">
      <c r="V1445" s="180" t="str">
        <f t="shared" si="30"/>
        <v>1w</v>
      </c>
      <c r="W1445" s="177">
        <f>_xll.qlCalendarAdvance(Calendar,W1444,V1445,"f",FALSE)</f>
        <v>49066</v>
      </c>
      <c r="X1445" s="181">
        <f>_xll.qlCalendarAdvance(Calendar,W1445,NDays&amp;"D")</f>
        <v>49068</v>
      </c>
      <c r="Y1445" s="178">
        <v>2.3498443948294208E-2</v>
      </c>
      <c r="Z1445" s="183">
        <v>2.3501887068695382E-2</v>
      </c>
    </row>
    <row r="1446" spans="22:26" x14ac:dyDescent="0.2">
      <c r="V1446" s="180" t="str">
        <f t="shared" si="30"/>
        <v>1w</v>
      </c>
      <c r="W1446" s="177">
        <f>_xll.qlCalendarAdvance(Calendar,W1445,V1446,"f",FALSE)</f>
        <v>49073</v>
      </c>
      <c r="X1446" s="181">
        <f>_xll.qlCalendarAdvance(Calendar,W1446,NDays&amp;"D")</f>
        <v>49075</v>
      </c>
      <c r="Y1446" s="178">
        <v>2.3487331606805141E-2</v>
      </c>
      <c r="Z1446" s="183">
        <v>2.3491856619024531E-2</v>
      </c>
    </row>
    <row r="1447" spans="22:26" x14ac:dyDescent="0.2">
      <c r="V1447" s="180" t="str">
        <f t="shared" si="30"/>
        <v>1w</v>
      </c>
      <c r="W1447" s="177">
        <f>_xll.qlCalendarAdvance(Calendar,W1446,V1447,"f",FALSE)</f>
        <v>49080</v>
      </c>
      <c r="X1447" s="181">
        <f>_xll.qlCalendarAdvance(Calendar,W1447,NDays&amp;"D")</f>
        <v>49082</v>
      </c>
      <c r="Y1447" s="178">
        <v>2.3476203412851528E-2</v>
      </c>
      <c r="Z1447" s="183">
        <v>2.3481778368630302E-2</v>
      </c>
    </row>
    <row r="1448" spans="22:26" x14ac:dyDescent="0.2">
      <c r="V1448" s="180" t="str">
        <f t="shared" si="30"/>
        <v>1w</v>
      </c>
      <c r="W1448" s="177">
        <f>_xll.qlCalendarAdvance(Calendar,W1447,V1448,"f",FALSE)</f>
        <v>49087</v>
      </c>
      <c r="X1448" s="181">
        <f>_xll.qlCalendarAdvance(Calendar,W1448,NDays&amp;"D")</f>
        <v>49089</v>
      </c>
      <c r="Y1448" s="178">
        <v>2.34650605877188E-2</v>
      </c>
      <c r="Z1448" s="183">
        <v>2.3471652317432756E-2</v>
      </c>
    </row>
    <row r="1449" spans="22:26" x14ac:dyDescent="0.2">
      <c r="V1449" s="180" t="str">
        <f t="shared" si="30"/>
        <v>1w</v>
      </c>
      <c r="W1449" s="177">
        <f>_xll.qlCalendarAdvance(Calendar,W1448,V1449,"f",FALSE)</f>
        <v>49094</v>
      </c>
      <c r="X1449" s="181">
        <f>_xll.qlCalendarAdvance(Calendar,W1449,NDays&amp;"D")</f>
        <v>49096</v>
      </c>
      <c r="Y1449" s="178">
        <v>2.3453904352639162E-2</v>
      </c>
      <c r="Z1449" s="183">
        <v>2.3461478465671703E-2</v>
      </c>
    </row>
    <row r="1450" spans="22:26" x14ac:dyDescent="0.2">
      <c r="V1450" s="180" t="str">
        <f t="shared" si="30"/>
        <v>1w</v>
      </c>
      <c r="W1450" s="177">
        <f>_xll.qlCalendarAdvance(Calendar,W1449,V1450,"f",FALSE)</f>
        <v>49101</v>
      </c>
      <c r="X1450" s="181">
        <f>_xll.qlCalendarAdvance(Calendar,W1450,NDays&amp;"D")</f>
        <v>49103</v>
      </c>
      <c r="Y1450" s="178">
        <v>2.3442735928791397E-2</v>
      </c>
      <c r="Z1450" s="183">
        <v>2.3451256813027399E-2</v>
      </c>
    </row>
    <row r="1451" spans="22:26" x14ac:dyDescent="0.2">
      <c r="V1451" s="180" t="str">
        <f t="shared" si="30"/>
        <v>1w</v>
      </c>
      <c r="W1451" s="177">
        <f>_xll.qlCalendarAdvance(Calendar,W1450,V1451,"f",FALSE)</f>
        <v>49108</v>
      </c>
      <c r="X1451" s="181">
        <f>_xll.qlCalendarAdvance(Calendar,W1451,NDays&amp;"D")</f>
        <v>49110</v>
      </c>
      <c r="Y1451" s="178">
        <v>2.3431556537300616E-2</v>
      </c>
      <c r="Z1451" s="183">
        <v>2.3440987359739651E-2</v>
      </c>
    </row>
    <row r="1452" spans="22:26" x14ac:dyDescent="0.2">
      <c r="V1452" s="180" t="str">
        <f t="shared" si="30"/>
        <v>1w</v>
      </c>
      <c r="W1452" s="177">
        <f>_xll.qlCalendarAdvance(Calendar,W1451,V1452,"f",FALSE)</f>
        <v>49115</v>
      </c>
      <c r="X1452" s="181">
        <f>_xll.qlCalendarAdvance(Calendar,W1452,NDays&amp;"D")</f>
        <v>49117</v>
      </c>
      <c r="Y1452" s="178">
        <v>2.3420367399238723E-2</v>
      </c>
      <c r="Z1452" s="183">
        <v>2.3430670105728524E-2</v>
      </c>
    </row>
    <row r="1453" spans="22:26" x14ac:dyDescent="0.2">
      <c r="V1453" s="180" t="str">
        <f t="shared" si="30"/>
        <v>1w</v>
      </c>
      <c r="W1453" s="177">
        <f>_xll.qlCalendarAdvance(Calendar,W1452,V1453,"f",FALSE)</f>
        <v>49122</v>
      </c>
      <c r="X1453" s="181">
        <f>_xll.qlCalendarAdvance(Calendar,W1453,NDays&amp;"D")</f>
        <v>49124</v>
      </c>
      <c r="Y1453" s="178">
        <v>2.3409169735623524E-2</v>
      </c>
      <c r="Z1453" s="183">
        <v>2.3420305050914081E-2</v>
      </c>
    </row>
    <row r="1454" spans="22:26" x14ac:dyDescent="0.2">
      <c r="V1454" s="180" t="str">
        <f t="shared" si="30"/>
        <v>1w</v>
      </c>
      <c r="W1454" s="177">
        <f>_xll.qlCalendarAdvance(Calendar,W1453,V1454,"f",FALSE)</f>
        <v>49129</v>
      </c>
      <c r="X1454" s="181">
        <f>_xll.qlCalendarAdvance(Calendar,W1454,NDays&amp;"D")</f>
        <v>49131</v>
      </c>
      <c r="Y1454" s="178">
        <v>2.3397964767418736E-2</v>
      </c>
      <c r="Z1454" s="183">
        <v>2.3409892195536131E-2</v>
      </c>
    </row>
    <row r="1455" spans="22:26" x14ac:dyDescent="0.2">
      <c r="V1455" s="180" t="str">
        <f t="shared" si="30"/>
        <v>1w</v>
      </c>
      <c r="W1455" s="177">
        <f>_xll.qlCalendarAdvance(Calendar,W1454,V1455,"f",FALSE)</f>
        <v>49136</v>
      </c>
      <c r="X1455" s="181">
        <f>_xll.qlCalendarAdvance(Calendar,W1455,NDays&amp;"D")</f>
        <v>49138</v>
      </c>
      <c r="Y1455" s="178">
        <v>2.3386753715534853E-2</v>
      </c>
      <c r="Z1455" s="183">
        <v>2.3399431539354865E-2</v>
      </c>
    </row>
    <row r="1456" spans="22:26" x14ac:dyDescent="0.2">
      <c r="V1456" s="180" t="str">
        <f t="shared" si="30"/>
        <v>1w</v>
      </c>
      <c r="W1456" s="177">
        <f>_xll.qlCalendarAdvance(Calendar,W1455,V1456,"f",FALSE)</f>
        <v>49143</v>
      </c>
      <c r="X1456" s="181">
        <f>_xll.qlCalendarAdvance(Calendar,W1456,NDays&amp;"D")</f>
        <v>49145</v>
      </c>
      <c r="Y1456" s="178">
        <v>2.3375537800826747E-2</v>
      </c>
      <c r="Z1456" s="183">
        <v>2.3388923082530155E-2</v>
      </c>
    </row>
    <row r="1457" spans="22:26" x14ac:dyDescent="0.2">
      <c r="V1457" s="180" t="str">
        <f t="shared" si="30"/>
        <v>1w</v>
      </c>
      <c r="W1457" s="177">
        <f>_xll.qlCalendarAdvance(Calendar,W1456,V1457,"f",FALSE)</f>
        <v>49150</v>
      </c>
      <c r="X1457" s="181">
        <f>_xll.qlCalendarAdvance(Calendar,W1457,NDays&amp;"D")</f>
        <v>49152</v>
      </c>
      <c r="Y1457" s="178">
        <v>2.3364318244096939E-2</v>
      </c>
      <c r="Z1457" s="183">
        <v>2.3378366825062002E-2</v>
      </c>
    </row>
    <row r="1458" spans="22:26" x14ac:dyDescent="0.2">
      <c r="V1458" s="180" t="str">
        <f t="shared" si="30"/>
        <v>1w</v>
      </c>
      <c r="W1458" s="177">
        <f>_xll.qlCalendarAdvance(Calendar,W1457,V1458,"f",FALSE)</f>
        <v>49157</v>
      </c>
      <c r="X1458" s="181">
        <f>_xll.qlCalendarAdvance(Calendar,W1458,NDays&amp;"D")</f>
        <v>49159</v>
      </c>
      <c r="Y1458" s="178">
        <v>2.3353096266092117E-2</v>
      </c>
      <c r="Z1458" s="183">
        <v>2.3367762766710598E-2</v>
      </c>
    </row>
    <row r="1459" spans="22:26" x14ac:dyDescent="0.2">
      <c r="V1459" s="180" t="str">
        <f t="shared" si="30"/>
        <v>1w</v>
      </c>
      <c r="W1459" s="177">
        <f>_xll.qlCalendarAdvance(Calendar,W1458,V1459,"f",FALSE)</f>
        <v>49164</v>
      </c>
      <c r="X1459" s="181">
        <f>_xll.qlCalendarAdvance(Calendar,W1459,NDays&amp;"D")</f>
        <v>49166</v>
      </c>
      <c r="Y1459" s="178">
        <v>2.3341873087506182E-2</v>
      </c>
      <c r="Z1459" s="183">
        <v>2.3357110907795686E-2</v>
      </c>
    </row>
    <row r="1460" spans="22:26" x14ac:dyDescent="0.2">
      <c r="V1460" s="180" t="str">
        <f t="shared" si="30"/>
        <v>1w</v>
      </c>
      <c r="W1460" s="177">
        <f>_xll.qlCalendarAdvance(Calendar,W1459,V1460,"f",FALSE)</f>
        <v>49171</v>
      </c>
      <c r="X1460" s="181">
        <f>_xll.qlCalendarAdvance(Calendar,W1460,NDays&amp;"D")</f>
        <v>49173</v>
      </c>
      <c r="Y1460" s="178">
        <v>2.3330649928977844E-2</v>
      </c>
      <c r="Z1460" s="183">
        <v>2.3346411248237331E-2</v>
      </c>
    </row>
    <row r="1461" spans="22:26" x14ac:dyDescent="0.2">
      <c r="V1461" s="180" t="str">
        <f t="shared" si="30"/>
        <v>1w</v>
      </c>
      <c r="W1461" s="177">
        <f>_xll.qlCalendarAdvance(Calendar,W1460,V1461,"f",FALSE)</f>
        <v>49178</v>
      </c>
      <c r="X1461" s="181">
        <f>_xll.qlCalendarAdvance(Calendar,W1461,NDays&amp;"D")</f>
        <v>49180</v>
      </c>
      <c r="Y1461" s="178">
        <v>2.3319428011091728E-2</v>
      </c>
      <c r="Z1461" s="183">
        <v>2.3335663787955596E-2</v>
      </c>
    </row>
    <row r="1462" spans="22:26" x14ac:dyDescent="0.2">
      <c r="V1462" s="180" t="str">
        <f t="shared" si="30"/>
        <v>1w</v>
      </c>
      <c r="W1462" s="177">
        <f>_xll.qlCalendarAdvance(Calendar,W1461,V1462,"f",FALSE)</f>
        <v>49185</v>
      </c>
      <c r="X1462" s="181">
        <f>_xll.qlCalendarAdvance(Calendar,W1462,NDays&amp;"D")</f>
        <v>49187</v>
      </c>
      <c r="Y1462" s="178">
        <v>2.3308208554378356E-2</v>
      </c>
      <c r="Z1462" s="183">
        <v>2.3324868526950482E-2</v>
      </c>
    </row>
    <row r="1463" spans="22:26" x14ac:dyDescent="0.2">
      <c r="V1463" s="180" t="str">
        <f t="shared" si="30"/>
        <v>1w</v>
      </c>
      <c r="W1463" s="177">
        <f>_xll.qlCalendarAdvance(Calendar,W1462,V1463,"f",FALSE)</f>
        <v>49192</v>
      </c>
      <c r="X1463" s="181">
        <f>_xll.qlCalendarAdvance(Calendar,W1463,NDays&amp;"D")</f>
        <v>49194</v>
      </c>
      <c r="Y1463" s="178">
        <v>2.3296992779313505E-2</v>
      </c>
      <c r="Z1463" s="183">
        <v>2.3314025465301924E-2</v>
      </c>
    </row>
    <row r="1464" spans="22:26" x14ac:dyDescent="0.2">
      <c r="V1464" s="180" t="str">
        <f t="shared" si="30"/>
        <v>1w</v>
      </c>
      <c r="W1464" s="177">
        <f>_xll.qlCalendarAdvance(Calendar,W1463,V1464,"f",FALSE)</f>
        <v>49199</v>
      </c>
      <c r="X1464" s="181">
        <f>_xll.qlCalendarAdvance(Calendar,W1464,NDays&amp;"D")</f>
        <v>49201</v>
      </c>
      <c r="Y1464" s="178">
        <v>2.3285781906319948E-2</v>
      </c>
      <c r="Z1464" s="183">
        <v>2.3303134603009923E-2</v>
      </c>
    </row>
    <row r="1465" spans="22:26" x14ac:dyDescent="0.2">
      <c r="V1465" s="180" t="str">
        <f t="shared" si="30"/>
        <v>1w</v>
      </c>
      <c r="W1465" s="177">
        <f>_xll.qlCalendarAdvance(Calendar,W1464,V1465,"f",FALSE)</f>
        <v>49206</v>
      </c>
      <c r="X1465" s="181">
        <f>_xll.qlCalendarAdvance(Calendar,W1465,NDays&amp;"D")</f>
        <v>49208</v>
      </c>
      <c r="Y1465" s="178">
        <v>2.327457715576484E-2</v>
      </c>
      <c r="Z1465" s="183">
        <v>2.3292195939994542E-2</v>
      </c>
    </row>
    <row r="1466" spans="22:26" x14ac:dyDescent="0.2">
      <c r="V1466" s="180" t="str">
        <f t="shared" si="30"/>
        <v>1w</v>
      </c>
      <c r="W1466" s="177">
        <f>_xll.qlCalendarAdvance(Calendar,W1465,V1466,"f",FALSE)</f>
        <v>49213</v>
      </c>
      <c r="X1466" s="181">
        <f>_xll.qlCalendarAdvance(Calendar,W1466,NDays&amp;"D")</f>
        <v>49215</v>
      </c>
      <c r="Y1466" s="178">
        <v>2.3263379747961891E-2</v>
      </c>
      <c r="Z1466" s="183">
        <v>2.3281209476415654E-2</v>
      </c>
    </row>
    <row r="1467" spans="22:26" x14ac:dyDescent="0.2">
      <c r="V1467" s="180" t="str">
        <f t="shared" si="30"/>
        <v>1w</v>
      </c>
      <c r="W1467" s="177">
        <f>_xll.qlCalendarAdvance(Calendar,W1466,V1467,"f",FALSE)</f>
        <v>49220</v>
      </c>
      <c r="X1467" s="181">
        <f>_xll.qlCalendarAdvance(Calendar,W1467,NDays&amp;"D")</f>
        <v>49222</v>
      </c>
      <c r="Y1467" s="178">
        <v>2.3252190903171377E-2</v>
      </c>
      <c r="Z1467" s="183">
        <v>2.3270175212113386E-2</v>
      </c>
    </row>
    <row r="1468" spans="22:26" x14ac:dyDescent="0.2">
      <c r="V1468" s="180" t="str">
        <f t="shared" si="30"/>
        <v>1w</v>
      </c>
      <c r="W1468" s="177">
        <f>_xll.qlCalendarAdvance(Calendar,W1467,V1468,"f",FALSE)</f>
        <v>49227</v>
      </c>
      <c r="X1468" s="181">
        <f>_xll.qlCalendarAdvance(Calendar,W1468,NDays&amp;"D")</f>
        <v>49229</v>
      </c>
      <c r="Y1468" s="178">
        <v>2.3241011841598606E-2</v>
      </c>
      <c r="Z1468" s="183">
        <v>2.3259093147247611E-2</v>
      </c>
    </row>
    <row r="1469" spans="22:26" x14ac:dyDescent="0.2">
      <c r="V1469" s="180" t="str">
        <f t="shared" si="30"/>
        <v>1w</v>
      </c>
      <c r="W1469" s="177">
        <f>_xll.qlCalendarAdvance(Calendar,W1468,V1469,"f",FALSE)</f>
        <v>49234</v>
      </c>
      <c r="X1469" s="181">
        <f>_xll.qlCalendarAdvance(Calendar,W1469,NDays&amp;"D")</f>
        <v>49236</v>
      </c>
      <c r="Y1469" s="178">
        <v>2.3229843783395886E-2</v>
      </c>
      <c r="Z1469" s="183">
        <v>2.3247963281658457E-2</v>
      </c>
    </row>
    <row r="1470" spans="22:26" x14ac:dyDescent="0.2">
      <c r="V1470" s="180" t="str">
        <f t="shared" si="30"/>
        <v>1w</v>
      </c>
      <c r="W1470" s="177">
        <f>_xll.qlCalendarAdvance(Calendar,W1469,V1470,"f",FALSE)</f>
        <v>49241</v>
      </c>
      <c r="X1470" s="181">
        <f>_xll.qlCalendarAdvance(Calendar,W1470,NDays&amp;"D")</f>
        <v>49243</v>
      </c>
      <c r="Y1470" s="178">
        <v>2.3218687948661214E-2</v>
      </c>
      <c r="Z1470" s="183">
        <v>2.3236785615505795E-2</v>
      </c>
    </row>
    <row r="1471" spans="22:26" x14ac:dyDescent="0.2">
      <c r="V1471" s="180" t="str">
        <f t="shared" si="30"/>
        <v>1w</v>
      </c>
      <c r="W1471" s="177">
        <f>_xll.qlCalendarAdvance(Calendar,W1470,V1471,"f",FALSE)</f>
        <v>49248</v>
      </c>
      <c r="X1471" s="181">
        <f>_xll.qlCalendarAdvance(Calendar,W1471,NDays&amp;"D")</f>
        <v>49250</v>
      </c>
      <c r="Y1471" s="178">
        <v>2.3207545557440021E-2</v>
      </c>
      <c r="Z1471" s="183">
        <v>2.3225560148629754E-2</v>
      </c>
    </row>
    <row r="1472" spans="22:26" x14ac:dyDescent="0.2">
      <c r="V1472" s="180" t="str">
        <f t="shared" si="30"/>
        <v>1w</v>
      </c>
      <c r="W1472" s="177">
        <f>_xll.qlCalendarAdvance(Calendar,W1471,V1472,"f",FALSE)</f>
        <v>49255</v>
      </c>
      <c r="X1472" s="181">
        <f>_xll.qlCalendarAdvance(Calendar,W1472,NDays&amp;"D")</f>
        <v>49257</v>
      </c>
      <c r="Y1472" s="178">
        <v>2.3196417701630827E-2</v>
      </c>
      <c r="Z1472" s="183">
        <v>2.3214313740664849E-2</v>
      </c>
    </row>
    <row r="1473" spans="22:26" x14ac:dyDescent="0.2">
      <c r="V1473" s="180" t="str">
        <f t="shared" si="30"/>
        <v>1w</v>
      </c>
      <c r="W1473" s="177">
        <f>_xll.qlCalendarAdvance(Calendar,W1472,V1473,"f",FALSE)</f>
        <v>49262</v>
      </c>
      <c r="X1473" s="181">
        <f>_xll.qlCalendarAdvance(Calendar,W1473,NDays&amp;"D")</f>
        <v>49264</v>
      </c>
      <c r="Y1473" s="178">
        <v>2.3185304682599793E-2</v>
      </c>
      <c r="Z1473" s="183">
        <v>2.3203081499207912E-2</v>
      </c>
    </row>
    <row r="1474" spans="22:26" x14ac:dyDescent="0.2">
      <c r="V1474" s="180" t="str">
        <f t="shared" si="30"/>
        <v>1w</v>
      </c>
      <c r="W1474" s="177">
        <f>_xll.qlCalendarAdvance(Calendar,W1473,V1474,"f",FALSE)</f>
        <v>49269</v>
      </c>
      <c r="X1474" s="181">
        <f>_xll.qlCalendarAdvance(Calendar,W1474,NDays&amp;"D")</f>
        <v>49271</v>
      </c>
      <c r="Y1474" s="178">
        <v>2.3174206500452481E-2</v>
      </c>
      <c r="Z1474" s="183">
        <v>2.3191863635769749E-2</v>
      </c>
    </row>
    <row r="1475" spans="22:26" x14ac:dyDescent="0.2">
      <c r="V1475" s="180" t="str">
        <f t="shared" si="30"/>
        <v>1w</v>
      </c>
      <c r="W1475" s="177">
        <f>_xll.qlCalendarAdvance(Calendar,W1474,V1475,"f",FALSE)</f>
        <v>49276</v>
      </c>
      <c r="X1475" s="181">
        <f>_xll.qlCalendarAdvance(Calendar,W1475,NDays&amp;"D")</f>
        <v>49278</v>
      </c>
      <c r="Y1475" s="178">
        <v>2.3163123154702047E-2</v>
      </c>
      <c r="Z1475" s="183">
        <v>2.3180660150350363E-2</v>
      </c>
    </row>
    <row r="1476" spans="22:26" x14ac:dyDescent="0.2">
      <c r="V1476" s="180" t="str">
        <f t="shared" si="30"/>
        <v>1w</v>
      </c>
      <c r="W1476" s="177">
        <f>_xll.qlCalendarAdvance(Calendar,W1475,V1476,"f",FALSE)</f>
        <v>49283</v>
      </c>
      <c r="X1476" s="181">
        <f>_xll.qlCalendarAdvance(Calendar,W1476,NDays&amp;"D")</f>
        <v>49285</v>
      </c>
      <c r="Y1476" s="178">
        <v>2.3152054644862741E-2</v>
      </c>
      <c r="Z1476" s="183">
        <v>2.3169471043029688E-2</v>
      </c>
    </row>
    <row r="1477" spans="22:26" x14ac:dyDescent="0.2">
      <c r="V1477" s="180" t="str">
        <f t="shared" si="30"/>
        <v>1w</v>
      </c>
      <c r="W1477" s="177">
        <f>_xll.qlCalendarAdvance(Calendar,W1476,V1477,"f",FALSE)</f>
        <v>49290</v>
      </c>
      <c r="X1477" s="181">
        <f>_xll.qlCalendarAdvance(Calendar,W1477,NDays&amp;"D")</f>
        <v>49292</v>
      </c>
      <c r="Y1477" s="178">
        <v>2.314100097044882E-2</v>
      </c>
      <c r="Z1477" s="183">
        <v>2.3158296313567917E-2</v>
      </c>
    </row>
    <row r="1478" spans="22:26" x14ac:dyDescent="0.2">
      <c r="V1478" s="180" t="str">
        <f t="shared" si="30"/>
        <v>1w</v>
      </c>
      <c r="W1478" s="177">
        <f>_xll.qlCalendarAdvance(Calendar,W1477,V1478,"f",FALSE)</f>
        <v>49297</v>
      </c>
      <c r="X1478" s="181">
        <f>_xll.qlCalendarAdvance(Calendar,W1478,NDays&amp;"D")</f>
        <v>49299</v>
      </c>
      <c r="Y1478" s="178">
        <v>2.3129962130976064E-2</v>
      </c>
      <c r="Z1478" s="183">
        <v>2.3147135962284793E-2</v>
      </c>
    </row>
    <row r="1479" spans="22:26" x14ac:dyDescent="0.2">
      <c r="V1479" s="180" t="str">
        <f t="shared" si="30"/>
        <v>1w</v>
      </c>
      <c r="W1479" s="177">
        <f>_xll.qlCalendarAdvance(Calendar,W1478,V1479,"f",FALSE)</f>
        <v>49305</v>
      </c>
      <c r="X1479" s="181">
        <f>_xll.qlCalendarAdvance(Calendar,W1479,NDays&amp;"D")</f>
        <v>49307</v>
      </c>
      <c r="Y1479" s="178">
        <v>2.3117282332316691E-2</v>
      </c>
      <c r="Z1479" s="183">
        <v>2.3134242589315512E-2</v>
      </c>
    </row>
    <row r="1480" spans="22:26" x14ac:dyDescent="0.2">
      <c r="V1480" s="180" t="str">
        <f t="shared" si="30"/>
        <v>1w</v>
      </c>
      <c r="W1480" s="177">
        <f>_xll.qlCalendarAdvance(Calendar,W1479,V1480,"f",FALSE)</f>
        <v>49312</v>
      </c>
      <c r="X1480" s="181">
        <f>_xll.qlCalendarAdvance(Calendar,W1480,NDays&amp;"D")</f>
        <v>49314</v>
      </c>
      <c r="Y1480" s="178">
        <v>2.3106276002544973E-2</v>
      </c>
      <c r="Z1480" s="183">
        <v>2.3123165741969487E-2</v>
      </c>
    </row>
    <row r="1481" spans="22:26" x14ac:dyDescent="0.2">
      <c r="V1481" s="180" t="str">
        <f t="shared" si="30"/>
        <v>1w</v>
      </c>
      <c r="W1481" s="177">
        <f>_xll.qlCalendarAdvance(Calendar,W1480,V1481,"f",FALSE)</f>
        <v>49319</v>
      </c>
      <c r="X1481" s="181">
        <f>_xll.qlCalendarAdvance(Calendar,W1481,NDays&amp;"D")</f>
        <v>49321</v>
      </c>
      <c r="Y1481" s="178">
        <v>2.3095284508665114E-2</v>
      </c>
      <c r="Z1481" s="183">
        <v>2.3112051205451678E-2</v>
      </c>
    </row>
    <row r="1482" spans="22:26" x14ac:dyDescent="0.2">
      <c r="V1482" s="180" t="str">
        <f t="shared" si="30"/>
        <v>1w</v>
      </c>
      <c r="W1482" s="177">
        <f>_xll.qlCalendarAdvance(Calendar,W1481,V1482,"f",FALSE)</f>
        <v>49326</v>
      </c>
      <c r="X1482" s="181">
        <f>_xll.qlCalendarAdvance(Calendar,W1482,NDays&amp;"D")</f>
        <v>49328</v>
      </c>
      <c r="Y1482" s="178">
        <v>2.3084307850192706E-2</v>
      </c>
      <c r="Z1482" s="183">
        <v>2.3100951049510599E-2</v>
      </c>
    </row>
    <row r="1483" spans="22:26" x14ac:dyDescent="0.2">
      <c r="V1483" s="180" t="str">
        <f t="shared" si="30"/>
        <v>1w</v>
      </c>
      <c r="W1483" s="177">
        <f>_xll.qlCalendarAdvance(Calendar,W1482,V1483,"f",FALSE)</f>
        <v>49333</v>
      </c>
      <c r="X1483" s="181">
        <f>_xll.qlCalendarAdvance(Calendar,W1483,NDays&amp;"D")</f>
        <v>49335</v>
      </c>
      <c r="Y1483" s="178">
        <v>2.3073346026643779E-2</v>
      </c>
      <c r="Z1483" s="183">
        <v>2.3089865274092958E-2</v>
      </c>
    </row>
    <row r="1484" spans="22:26" x14ac:dyDescent="0.2">
      <c r="V1484" s="180" t="str">
        <f t="shared" si="30"/>
        <v>1w</v>
      </c>
      <c r="W1484" s="177">
        <f>_xll.qlCalendarAdvance(Calendar,W1483,V1484,"f",FALSE)</f>
        <v>49340</v>
      </c>
      <c r="X1484" s="181">
        <f>_xll.qlCalendarAdvance(Calendar,W1484,NDays&amp;"D")</f>
        <v>49342</v>
      </c>
      <c r="Y1484" s="178">
        <v>2.3062399037535233E-2</v>
      </c>
      <c r="Z1484" s="183">
        <v>2.3078793879225401E-2</v>
      </c>
    </row>
    <row r="1485" spans="22:26" x14ac:dyDescent="0.2">
      <c r="V1485" s="180" t="str">
        <f t="shared" si="30"/>
        <v>1w</v>
      </c>
      <c r="W1485" s="177">
        <f>_xll.qlCalendarAdvance(Calendar,W1484,V1485,"f",FALSE)</f>
        <v>49347</v>
      </c>
      <c r="X1485" s="181">
        <f>_xll.qlCalendarAdvance(Calendar,W1485,NDays&amp;"D")</f>
        <v>49349</v>
      </c>
      <c r="Y1485" s="178">
        <v>2.3051466882383964E-2</v>
      </c>
      <c r="Z1485" s="183">
        <v>2.3067736864881283E-2</v>
      </c>
    </row>
    <row r="1486" spans="22:26" x14ac:dyDescent="0.2">
      <c r="V1486" s="180" t="str">
        <f t="shared" si="30"/>
        <v>1w</v>
      </c>
      <c r="W1486" s="177">
        <f>_xll.qlCalendarAdvance(Calendar,W1485,V1486,"f",FALSE)</f>
        <v>49354</v>
      </c>
      <c r="X1486" s="181">
        <f>_xll.qlCalendarAdvance(Calendar,W1486,NDays&amp;"D")</f>
        <v>49356</v>
      </c>
      <c r="Y1486" s="178">
        <v>2.3040549560709049E-2</v>
      </c>
      <c r="Z1486" s="183">
        <v>2.3056694231060604E-2</v>
      </c>
    </row>
    <row r="1487" spans="22:26" x14ac:dyDescent="0.2">
      <c r="V1487" s="180" t="str">
        <f t="shared" si="30"/>
        <v>1w</v>
      </c>
      <c r="W1487" s="177">
        <f>_xll.qlCalendarAdvance(Calendar,W1486,V1487,"f",FALSE)</f>
        <v>49361</v>
      </c>
      <c r="X1487" s="181">
        <f>_xll.qlCalendarAdvance(Calendar,W1487,NDays&amp;"D")</f>
        <v>49363</v>
      </c>
      <c r="Y1487" s="178">
        <v>2.3029647072027606E-2</v>
      </c>
      <c r="Z1487" s="183">
        <v>2.3045665977790009E-2</v>
      </c>
    </row>
    <row r="1488" spans="22:26" x14ac:dyDescent="0.2">
      <c r="V1488" s="180" t="str">
        <f t="shared" si="30"/>
        <v>1w</v>
      </c>
      <c r="W1488" s="177">
        <f>_xll.qlCalendarAdvance(Calendar,W1487,V1488,"f",FALSE)</f>
        <v>49368</v>
      </c>
      <c r="X1488" s="181">
        <f>_xll.qlCalendarAdvance(Calendar,W1488,NDays&amp;"D")</f>
        <v>49370</v>
      </c>
      <c r="Y1488" s="178">
        <v>2.3018759415860235E-2</v>
      </c>
      <c r="Z1488" s="183">
        <v>2.3034652105042852E-2</v>
      </c>
    </row>
    <row r="1489" spans="22:26" x14ac:dyDescent="0.2">
      <c r="V1489" s="180" t="str">
        <f t="shared" si="30"/>
        <v>1w</v>
      </c>
      <c r="W1489" s="177">
        <f>_xll.qlCalendarAdvance(Calendar,W1488,V1489,"f",FALSE)</f>
        <v>49375</v>
      </c>
      <c r="X1489" s="181">
        <f>_xll.qlCalendarAdvance(Calendar,W1489,NDays&amp;"D")</f>
        <v>49377</v>
      </c>
      <c r="Y1489" s="178">
        <v>2.3007886591726666E-2</v>
      </c>
      <c r="Z1489" s="183">
        <v>2.3023652612792489E-2</v>
      </c>
    </row>
    <row r="1490" spans="22:26" x14ac:dyDescent="0.2">
      <c r="V1490" s="180" t="str">
        <f t="shared" si="30"/>
        <v>1w</v>
      </c>
      <c r="W1490" s="177">
        <f>_xll.qlCalendarAdvance(Calendar,W1489,V1490,"f",FALSE)</f>
        <v>49382</v>
      </c>
      <c r="X1490" s="181">
        <f>_xll.qlCalendarAdvance(Calendar,W1490,NDays&amp;"D")</f>
        <v>49384</v>
      </c>
      <c r="Y1490" s="178">
        <v>2.2997028599147065E-2</v>
      </c>
      <c r="Z1490" s="183">
        <v>2.3012667501065565E-2</v>
      </c>
    </row>
    <row r="1491" spans="22:26" x14ac:dyDescent="0.2">
      <c r="V1491" s="180" t="str">
        <f t="shared" si="30"/>
        <v>1w</v>
      </c>
      <c r="W1491" s="177">
        <f>_xll.qlCalendarAdvance(Calendar,W1490,V1491,"f",FALSE)</f>
        <v>49389</v>
      </c>
      <c r="X1491" s="181">
        <f>_xll.qlCalendarAdvance(Calendar,W1491,NDays&amp;"D")</f>
        <v>49395</v>
      </c>
      <c r="Y1491" s="178">
        <v>2.2980032431081449E-2</v>
      </c>
      <c r="Z1491" s="183">
        <v>2.2995530427598609E-2</v>
      </c>
    </row>
    <row r="1492" spans="22:26" x14ac:dyDescent="0.2">
      <c r="V1492" s="180" t="str">
        <f t="shared" si="30"/>
        <v>1w</v>
      </c>
      <c r="W1492" s="177">
        <f>_xll.qlCalendarAdvance(Calendar,W1491,V1492,"f",FALSE)</f>
        <v>49396</v>
      </c>
      <c r="X1492" s="181">
        <f>_xll.qlCalendarAdvance(Calendar,W1492,NDays&amp;"D")</f>
        <v>49398</v>
      </c>
      <c r="Y1492" s="178">
        <v>2.2975357106736968E-2</v>
      </c>
      <c r="Z1492" s="183">
        <v>2.2990740419102096E-2</v>
      </c>
    </row>
    <row r="1493" spans="22:26" x14ac:dyDescent="0.2">
      <c r="V1493" s="180" t="str">
        <f t="shared" ref="V1493:V1556" si="31">V1492</f>
        <v>1w</v>
      </c>
      <c r="W1493" s="177">
        <f>_xll.qlCalendarAdvance(Calendar,W1492,V1493,"f",FALSE)</f>
        <v>49403</v>
      </c>
      <c r="X1493" s="181">
        <f>_xll.qlCalendarAdvance(Calendar,W1493,NDays&amp;"D")</f>
        <v>49405</v>
      </c>
      <c r="Y1493" s="178">
        <v>2.2964543605950943E-2</v>
      </c>
      <c r="Z1493" s="183">
        <v>2.2979798448918842E-2</v>
      </c>
    </row>
    <row r="1494" spans="22:26" x14ac:dyDescent="0.2">
      <c r="V1494" s="180" t="str">
        <f t="shared" si="31"/>
        <v>1w</v>
      </c>
      <c r="W1494" s="177">
        <f>_xll.qlCalendarAdvance(Calendar,W1493,V1494,"f",FALSE)</f>
        <v>49410</v>
      </c>
      <c r="X1494" s="181">
        <f>_xll.qlCalendarAdvance(Calendar,W1494,NDays&amp;"D")</f>
        <v>49412</v>
      </c>
      <c r="Y1494" s="178">
        <v>2.2953709459655785E-2</v>
      </c>
      <c r="Z1494" s="183">
        <v>2.2968870859205737E-2</v>
      </c>
    </row>
    <row r="1495" spans="22:26" x14ac:dyDescent="0.2">
      <c r="V1495" s="180" t="str">
        <f t="shared" si="31"/>
        <v>1w</v>
      </c>
      <c r="W1495" s="177">
        <f>_xll.qlCalendarAdvance(Calendar,W1494,V1495,"f",FALSE)</f>
        <v>49417</v>
      </c>
      <c r="X1495" s="181">
        <f>_xll.qlCalendarAdvance(Calendar,W1495,NDays&amp;"D")</f>
        <v>49419</v>
      </c>
      <c r="Y1495" s="178">
        <v>2.2942961092833447E-2</v>
      </c>
      <c r="Z1495" s="183">
        <v>2.2957957649989424E-2</v>
      </c>
    </row>
    <row r="1496" spans="22:26" x14ac:dyDescent="0.2">
      <c r="V1496" s="180" t="str">
        <f t="shared" si="31"/>
        <v>1w</v>
      </c>
      <c r="W1496" s="177">
        <f>_xll.qlCalendarAdvance(Calendar,W1495,V1496,"f",FALSE)</f>
        <v>49424</v>
      </c>
      <c r="X1496" s="181">
        <f>_xll.qlCalendarAdvance(Calendar,W1496,NDays&amp;"D")</f>
        <v>49426</v>
      </c>
      <c r="Y1496" s="178">
        <v>2.2932192079550585E-2</v>
      </c>
      <c r="Z1496" s="183">
        <v>2.2947058821269906E-2</v>
      </c>
    </row>
    <row r="1497" spans="22:26" x14ac:dyDescent="0.2">
      <c r="V1497" s="180" t="str">
        <f t="shared" si="31"/>
        <v>1w</v>
      </c>
      <c r="W1497" s="177">
        <f>_xll.qlCalendarAdvance(Calendar,W1496,V1497,"f",FALSE)</f>
        <v>49431</v>
      </c>
      <c r="X1497" s="181">
        <f>_xll.qlCalendarAdvance(Calendar,W1497,NDays&amp;"D")</f>
        <v>49433</v>
      </c>
      <c r="Y1497" s="178">
        <v>2.292143789448485E-2</v>
      </c>
      <c r="Z1497" s="183">
        <v>2.2936174373020535E-2</v>
      </c>
    </row>
    <row r="1498" spans="22:26" x14ac:dyDescent="0.2">
      <c r="V1498" s="180" t="str">
        <f t="shared" si="31"/>
        <v>1w</v>
      </c>
      <c r="W1498" s="177">
        <f>_xll.qlCalendarAdvance(Calendar,W1497,V1498,"f",FALSE)</f>
        <v>49438</v>
      </c>
      <c r="X1498" s="181">
        <f>_xll.qlCalendarAdvance(Calendar,W1498,NDays&amp;"D")</f>
        <v>49440</v>
      </c>
      <c r="Y1498" s="178">
        <v>2.2910698537162509E-2</v>
      </c>
      <c r="Z1498" s="183">
        <v>2.2925304305267957E-2</v>
      </c>
    </row>
    <row r="1499" spans="22:26" x14ac:dyDescent="0.2">
      <c r="V1499" s="180" t="str">
        <f t="shared" si="31"/>
        <v>1w</v>
      </c>
      <c r="W1499" s="177">
        <f>_xll.qlCalendarAdvance(Calendar,W1498,V1499,"f",FALSE)</f>
        <v>49445</v>
      </c>
      <c r="X1499" s="181">
        <f>_xll.qlCalendarAdvance(Calendar,W1499,NDays&amp;"D")</f>
        <v>49447</v>
      </c>
      <c r="Y1499" s="178">
        <v>2.2899974007110042E-2</v>
      </c>
      <c r="Z1499" s="183">
        <v>2.2914448617985528E-2</v>
      </c>
    </row>
    <row r="1500" spans="22:26" x14ac:dyDescent="0.2">
      <c r="V1500" s="180" t="str">
        <f t="shared" si="31"/>
        <v>1w</v>
      </c>
      <c r="W1500" s="177">
        <f>_xll.qlCalendarAdvance(Calendar,W1499,V1500,"f",FALSE)</f>
        <v>49452</v>
      </c>
      <c r="X1500" s="181">
        <f>_xll.qlCalendarAdvance(Calendar,W1500,NDays&amp;"D")</f>
        <v>49454</v>
      </c>
      <c r="Y1500" s="178">
        <v>2.2889264303854587E-2</v>
      </c>
      <c r="Z1500" s="183">
        <v>2.2903607311199892E-2</v>
      </c>
    </row>
    <row r="1501" spans="22:26" x14ac:dyDescent="0.2">
      <c r="V1501" s="180" t="str">
        <f t="shared" si="31"/>
        <v>1w</v>
      </c>
      <c r="W1501" s="177">
        <f>_xll.qlCalendarAdvance(Calendar,W1500,V1501,"f",FALSE)</f>
        <v>49459</v>
      </c>
      <c r="X1501" s="181">
        <f>_xll.qlCalendarAdvance(Calendar,W1501,NDays&amp;"D")</f>
        <v>49461</v>
      </c>
      <c r="Y1501" s="178">
        <v>2.2878569426923932E-2</v>
      </c>
      <c r="Z1501" s="183">
        <v>2.2892780384857758E-2</v>
      </c>
    </row>
    <row r="1502" spans="22:26" x14ac:dyDescent="0.2">
      <c r="V1502" s="180" t="str">
        <f t="shared" si="31"/>
        <v>1w</v>
      </c>
      <c r="W1502" s="177">
        <f>_xll.qlCalendarAdvance(Calendar,W1501,V1502,"f",FALSE)</f>
        <v>49466</v>
      </c>
      <c r="X1502" s="181">
        <f>_xll.qlCalendarAdvance(Calendar,W1502,NDays&amp;"D")</f>
        <v>49468</v>
      </c>
      <c r="Y1502" s="178">
        <v>2.2867889375846953E-2</v>
      </c>
      <c r="Z1502" s="183">
        <v>2.2881967839012418E-2</v>
      </c>
    </row>
    <row r="1503" spans="22:26" x14ac:dyDescent="0.2">
      <c r="V1503" s="180" t="str">
        <f t="shared" si="31"/>
        <v>1w</v>
      </c>
      <c r="W1503" s="177">
        <f>_xll.qlCalendarAdvance(Calendar,W1502,V1503,"f",FALSE)</f>
        <v>49473</v>
      </c>
      <c r="X1503" s="181">
        <f>_xll.qlCalendarAdvance(Calendar,W1503,NDays&amp;"D")</f>
        <v>49475</v>
      </c>
      <c r="Y1503" s="178">
        <v>2.2857224150152535E-2</v>
      </c>
      <c r="Z1503" s="183">
        <v>2.2871169673610581E-2</v>
      </c>
    </row>
    <row r="1504" spans="22:26" x14ac:dyDescent="0.2">
      <c r="V1504" s="180" t="str">
        <f t="shared" si="31"/>
        <v>1w</v>
      </c>
      <c r="W1504" s="177">
        <f>_xll.qlCalendarAdvance(Calendar,W1503,V1504,"f",FALSE)</f>
        <v>49480</v>
      </c>
      <c r="X1504" s="181">
        <f>_xll.qlCalendarAdvance(Calendar,W1504,NDays&amp;"D")</f>
        <v>49482</v>
      </c>
      <c r="Y1504" s="178">
        <v>2.2846573749370637E-2</v>
      </c>
      <c r="Z1504" s="183">
        <v>2.2860385888678891E-2</v>
      </c>
    </row>
    <row r="1505" spans="22:26" x14ac:dyDescent="0.2">
      <c r="V1505" s="180" t="str">
        <f t="shared" si="31"/>
        <v>1w</v>
      </c>
      <c r="W1505" s="177">
        <f>_xll.qlCalendarAdvance(Calendar,W1504,V1505,"f",FALSE)</f>
        <v>49487</v>
      </c>
      <c r="X1505" s="181">
        <f>_xll.qlCalendarAdvance(Calendar,W1505,NDays&amp;"D")</f>
        <v>49489</v>
      </c>
      <c r="Y1505" s="178">
        <v>2.2835938173031665E-2</v>
      </c>
      <c r="Z1505" s="183">
        <v>2.2849616484190705E-2</v>
      </c>
    </row>
    <row r="1506" spans="22:26" x14ac:dyDescent="0.2">
      <c r="V1506" s="180" t="str">
        <f t="shared" si="31"/>
        <v>1w</v>
      </c>
      <c r="W1506" s="177">
        <f>_xll.qlCalendarAdvance(Calendar,W1505,V1506,"f",FALSE)</f>
        <v>49494</v>
      </c>
      <c r="X1506" s="181">
        <f>_xll.qlCalendarAdvance(Calendar,W1506,NDays&amp;"D")</f>
        <v>49496</v>
      </c>
      <c r="Y1506" s="178">
        <v>2.2825317420667113E-2</v>
      </c>
      <c r="Z1506" s="183">
        <v>2.2838861460172666E-2</v>
      </c>
    </row>
    <row r="1507" spans="22:26" x14ac:dyDescent="0.2">
      <c r="V1507" s="180" t="str">
        <f t="shared" si="31"/>
        <v>1w</v>
      </c>
      <c r="W1507" s="177">
        <f>_xll.qlCalendarAdvance(Calendar,W1506,V1507,"f",FALSE)</f>
        <v>49501</v>
      </c>
      <c r="X1507" s="181">
        <f>_xll.qlCalendarAdvance(Calendar,W1507,NDays&amp;"D")</f>
        <v>49503</v>
      </c>
      <c r="Y1507" s="178">
        <v>2.2814711491808474E-2</v>
      </c>
      <c r="Z1507" s="183">
        <v>2.2828120816571484E-2</v>
      </c>
    </row>
    <row r="1508" spans="22:26" x14ac:dyDescent="0.2">
      <c r="V1508" s="180" t="str">
        <f t="shared" si="31"/>
        <v>1w</v>
      </c>
      <c r="W1508" s="177">
        <f>_xll.qlCalendarAdvance(Calendar,W1507,V1508,"f",FALSE)</f>
        <v>49508</v>
      </c>
      <c r="X1508" s="181">
        <f>_xll.qlCalendarAdvance(Calendar,W1508,NDays&amp;"D")</f>
        <v>49510</v>
      </c>
      <c r="Y1508" s="178">
        <v>2.280412038598854E-2</v>
      </c>
      <c r="Z1508" s="183">
        <v>2.2817394553440451E-2</v>
      </c>
    </row>
    <row r="1509" spans="22:26" x14ac:dyDescent="0.2">
      <c r="V1509" s="180" t="str">
        <f t="shared" si="31"/>
        <v>1w</v>
      </c>
      <c r="W1509" s="177">
        <f>_xll.qlCalendarAdvance(Calendar,W1508,V1509,"f",FALSE)</f>
        <v>49515</v>
      </c>
      <c r="X1509" s="181">
        <f>_xll.qlCalendarAdvance(Calendar,W1509,NDays&amp;"D")</f>
        <v>49517</v>
      </c>
      <c r="Y1509" s="178">
        <v>2.2793544102740336E-2</v>
      </c>
      <c r="Z1509" s="183">
        <v>2.2806682670726275E-2</v>
      </c>
    </row>
    <row r="1510" spans="22:26" x14ac:dyDescent="0.2">
      <c r="V1510" s="180" t="str">
        <f t="shared" si="31"/>
        <v>1w</v>
      </c>
      <c r="W1510" s="177">
        <f>_xll.qlCalendarAdvance(Calendar,W1509,V1510,"f",FALSE)</f>
        <v>49522</v>
      </c>
      <c r="X1510" s="181">
        <f>_xll.qlCalendarAdvance(Calendar,W1510,NDays&amp;"D")</f>
        <v>49524</v>
      </c>
      <c r="Y1510" s="178">
        <v>2.2782982641597525E-2</v>
      </c>
      <c r="Z1510" s="183">
        <v>2.2795985168482247E-2</v>
      </c>
    </row>
    <row r="1511" spans="22:26" x14ac:dyDescent="0.2">
      <c r="V1511" s="180" t="str">
        <f t="shared" si="31"/>
        <v>1w</v>
      </c>
      <c r="W1511" s="177">
        <f>_xll.qlCalendarAdvance(Calendar,W1510,V1511,"f",FALSE)</f>
        <v>49529</v>
      </c>
      <c r="X1511" s="181">
        <f>_xll.qlCalendarAdvance(Calendar,W1511,NDays&amp;"D")</f>
        <v>49531</v>
      </c>
      <c r="Y1511" s="178">
        <v>2.2772436002094651E-2</v>
      </c>
      <c r="Z1511" s="183">
        <v>2.2785302046655076E-2</v>
      </c>
    </row>
    <row r="1512" spans="22:26" x14ac:dyDescent="0.2">
      <c r="V1512" s="180" t="str">
        <f t="shared" si="31"/>
        <v>1w</v>
      </c>
      <c r="W1512" s="177">
        <f>_xll.qlCalendarAdvance(Calendar,W1511,V1512,"f",FALSE)</f>
        <v>49536</v>
      </c>
      <c r="X1512" s="181">
        <f>_xll.qlCalendarAdvance(Calendar,W1512,NDays&amp;"D")</f>
        <v>49538</v>
      </c>
      <c r="Y1512" s="178">
        <v>2.2761904183766474E-2</v>
      </c>
      <c r="Z1512" s="183">
        <v>2.2774633305244762E-2</v>
      </c>
    </row>
    <row r="1513" spans="22:26" x14ac:dyDescent="0.2">
      <c r="V1513" s="180" t="str">
        <f t="shared" si="31"/>
        <v>1w</v>
      </c>
      <c r="W1513" s="177">
        <f>_xll.qlCalendarAdvance(Calendar,W1512,V1513,"f",FALSE)</f>
        <v>49543</v>
      </c>
      <c r="X1513" s="181">
        <f>_xll.qlCalendarAdvance(Calendar,W1513,NDays&amp;"D")</f>
        <v>49545</v>
      </c>
      <c r="Y1513" s="178">
        <v>2.2751387186149497E-2</v>
      </c>
      <c r="Z1513" s="183">
        <v>2.2763978944277952E-2</v>
      </c>
    </row>
    <row r="1514" spans="22:26" x14ac:dyDescent="0.2">
      <c r="V1514" s="180" t="str">
        <f t="shared" si="31"/>
        <v>1w</v>
      </c>
      <c r="W1514" s="177">
        <f>_xll.qlCalendarAdvance(Calendar,W1513,V1514,"f",FALSE)</f>
        <v>49550</v>
      </c>
      <c r="X1514" s="181">
        <f>_xll.qlCalendarAdvance(Calendar,W1514,NDays&amp;"D")</f>
        <v>49552</v>
      </c>
      <c r="Y1514" s="178">
        <v>2.2740968192433035E-2</v>
      </c>
      <c r="Z1514" s="183">
        <v>2.2753338963727998E-2</v>
      </c>
    </row>
    <row r="1515" spans="22:26" x14ac:dyDescent="0.2">
      <c r="V1515" s="180" t="str">
        <f t="shared" si="31"/>
        <v>1w</v>
      </c>
      <c r="W1515" s="177">
        <f>_xll.qlCalendarAdvance(Calendar,W1514,V1515,"f",FALSE)</f>
        <v>49557</v>
      </c>
      <c r="X1515" s="181">
        <f>_xll.qlCalendarAdvance(Calendar,W1515,NDays&amp;"D")</f>
        <v>49559</v>
      </c>
      <c r="Y1515" s="178">
        <v>2.2730397651194268E-2</v>
      </c>
      <c r="Z1515" s="183">
        <v>2.2742713363594902E-2</v>
      </c>
    </row>
    <row r="1516" spans="22:26" x14ac:dyDescent="0.2">
      <c r="V1516" s="180" t="str">
        <f t="shared" si="31"/>
        <v>1w</v>
      </c>
      <c r="W1516" s="177">
        <f>_xll.qlCalendarAdvance(Calendar,W1515,V1516,"f",FALSE)</f>
        <v>49564</v>
      </c>
      <c r="X1516" s="181">
        <f>_xll.qlCalendarAdvance(Calendar,W1516,NDays&amp;"D")</f>
        <v>49566</v>
      </c>
      <c r="Y1516" s="178">
        <v>2.271992511293076E-2</v>
      </c>
      <c r="Z1516" s="183">
        <v>2.2732102143878663E-2</v>
      </c>
    </row>
    <row r="1517" spans="22:26" x14ac:dyDescent="0.2">
      <c r="V1517" s="180" t="str">
        <f t="shared" si="31"/>
        <v>1w</v>
      </c>
      <c r="W1517" s="177">
        <f>_xll.qlCalendarAdvance(Calendar,W1516,V1517,"f",FALSE)</f>
        <v>49571</v>
      </c>
      <c r="X1517" s="181">
        <f>_xll.qlCalendarAdvance(Calendar,W1517,NDays&amp;"D")</f>
        <v>49573</v>
      </c>
      <c r="Y1517" s="178">
        <v>2.270946739352751E-2</v>
      </c>
      <c r="Z1517" s="183">
        <v>2.2721505304525991E-2</v>
      </c>
    </row>
    <row r="1518" spans="22:26" x14ac:dyDescent="0.2">
      <c r="V1518" s="180" t="str">
        <f t="shared" si="31"/>
        <v>1w</v>
      </c>
      <c r="W1518" s="177">
        <f>_xll.qlCalendarAdvance(Calendar,W1517,V1518,"f",FALSE)</f>
        <v>49578</v>
      </c>
      <c r="X1518" s="181">
        <f>_xll.qlCalendarAdvance(Calendar,W1518,NDays&amp;"D")</f>
        <v>49580</v>
      </c>
      <c r="Y1518" s="178">
        <v>2.2698998462463104E-2</v>
      </c>
      <c r="Z1518" s="183">
        <v>2.2710922845643466E-2</v>
      </c>
    </row>
    <row r="1519" spans="22:26" x14ac:dyDescent="0.2">
      <c r="V1519" s="180" t="str">
        <f t="shared" si="31"/>
        <v>1w</v>
      </c>
      <c r="W1519" s="177">
        <f>_xll.qlCalendarAdvance(Calendar,W1518,V1519,"f",FALSE)</f>
        <v>49585</v>
      </c>
      <c r="X1519" s="181">
        <f>_xll.qlCalendarAdvance(Calendar,W1519,NDays&amp;"D")</f>
        <v>49587</v>
      </c>
      <c r="Y1519" s="178">
        <v>2.2688596409459753E-2</v>
      </c>
      <c r="Z1519" s="183">
        <v>2.2700354767124509E-2</v>
      </c>
    </row>
    <row r="1520" spans="22:26" x14ac:dyDescent="0.2">
      <c r="V1520" s="180" t="str">
        <f t="shared" si="31"/>
        <v>1w</v>
      </c>
      <c r="W1520" s="177">
        <f>_xll.qlCalendarAdvance(Calendar,W1519,V1520,"f",FALSE)</f>
        <v>49592</v>
      </c>
      <c r="X1520" s="181">
        <f>_xll.qlCalendarAdvance(Calendar,W1520,NDays&amp;"D")</f>
        <v>49594</v>
      </c>
      <c r="Y1520" s="178">
        <v>2.2678183143875E-2</v>
      </c>
      <c r="Z1520" s="183">
        <v>2.2689801069022408E-2</v>
      </c>
    </row>
    <row r="1521" spans="22:26" x14ac:dyDescent="0.2">
      <c r="V1521" s="180" t="str">
        <f t="shared" si="31"/>
        <v>1w</v>
      </c>
      <c r="W1521" s="177">
        <f>_xll.qlCalendarAdvance(Calendar,W1520,V1521,"f",FALSE)</f>
        <v>49599</v>
      </c>
      <c r="X1521" s="181">
        <f>_xll.qlCalendarAdvance(Calendar,W1521,NDays&amp;"D")</f>
        <v>49601</v>
      </c>
      <c r="Y1521" s="178">
        <v>2.2667784695310885E-2</v>
      </c>
      <c r="Z1521" s="183">
        <v>2.267926175131052E-2</v>
      </c>
    </row>
    <row r="1522" spans="22:26" x14ac:dyDescent="0.2">
      <c r="V1522" s="180" t="str">
        <f t="shared" si="31"/>
        <v>1w</v>
      </c>
      <c r="W1522" s="177">
        <f>_xll.qlCalendarAdvance(Calendar,W1521,V1522,"f",FALSE)</f>
        <v>49606</v>
      </c>
      <c r="X1522" s="181">
        <f>_xll.qlCalendarAdvance(Calendar,W1522,NDays&amp;"D")</f>
        <v>49608</v>
      </c>
      <c r="Y1522" s="178">
        <v>2.2657401063308918E-2</v>
      </c>
      <c r="Z1522" s="183">
        <v>2.2668736813988843E-2</v>
      </c>
    </row>
    <row r="1523" spans="22:26" x14ac:dyDescent="0.2">
      <c r="V1523" s="180" t="str">
        <f t="shared" si="31"/>
        <v>1w</v>
      </c>
      <c r="W1523" s="177">
        <f>_xll.qlCalendarAdvance(Calendar,W1522,V1523,"f",FALSE)</f>
        <v>49613</v>
      </c>
      <c r="X1523" s="181">
        <f>_xll.qlCalendarAdvance(Calendar,W1523,NDays&amp;"D")</f>
        <v>49615</v>
      </c>
      <c r="Y1523" s="178">
        <v>2.2647032247411693E-2</v>
      </c>
      <c r="Z1523" s="183">
        <v>2.2658226257057379E-2</v>
      </c>
    </row>
    <row r="1524" spans="22:26" x14ac:dyDescent="0.2">
      <c r="V1524" s="180" t="str">
        <f t="shared" si="31"/>
        <v>1w</v>
      </c>
      <c r="W1524" s="177">
        <f>_xll.qlCalendarAdvance(Calendar,W1523,V1524,"f",FALSE)</f>
        <v>49620</v>
      </c>
      <c r="X1524" s="181">
        <f>_xll.qlCalendarAdvance(Calendar,W1524,NDays&amp;"D")</f>
        <v>49622</v>
      </c>
      <c r="Y1524" s="178">
        <v>2.2636678247162034E-2</v>
      </c>
      <c r="Z1524" s="183">
        <v>2.2647730080516126E-2</v>
      </c>
    </row>
    <row r="1525" spans="22:26" x14ac:dyDescent="0.2">
      <c r="V1525" s="180" t="str">
        <f t="shared" si="31"/>
        <v>1w</v>
      </c>
      <c r="W1525" s="177">
        <f>_xll.qlCalendarAdvance(Calendar,W1524,V1525,"f",FALSE)</f>
        <v>49627</v>
      </c>
      <c r="X1525" s="181">
        <f>_xll.qlCalendarAdvance(Calendar,W1525,NDays&amp;"D")</f>
        <v>49629</v>
      </c>
      <c r="Y1525" s="178">
        <v>2.262633906210363E-2</v>
      </c>
      <c r="Z1525" s="183">
        <v>2.2637248284365086E-2</v>
      </c>
    </row>
    <row r="1526" spans="22:26" x14ac:dyDescent="0.2">
      <c r="V1526" s="180" t="str">
        <f t="shared" si="31"/>
        <v>1w</v>
      </c>
      <c r="W1526" s="177">
        <f>_xll.qlCalendarAdvance(Calendar,W1525,V1526,"f",FALSE)</f>
        <v>49634</v>
      </c>
      <c r="X1526" s="181">
        <f>_xll.qlCalendarAdvance(Calendar,W1526,NDays&amp;"D")</f>
        <v>49636</v>
      </c>
      <c r="Y1526" s="178">
        <v>2.2616014691780602E-2</v>
      </c>
      <c r="Z1526" s="183">
        <v>2.2626780868550966E-2</v>
      </c>
    </row>
    <row r="1527" spans="22:26" x14ac:dyDescent="0.2">
      <c r="V1527" s="180" t="str">
        <f t="shared" si="31"/>
        <v>1w</v>
      </c>
      <c r="W1527" s="177">
        <f>_xll.qlCalendarAdvance(Calendar,W1526,V1527,"f",FALSE)</f>
        <v>49641</v>
      </c>
      <c r="X1527" s="181">
        <f>_xll.qlCalendarAdvance(Calendar,W1527,NDays&amp;"D")</f>
        <v>49643</v>
      </c>
      <c r="Y1527" s="178">
        <v>2.2605772306093376E-2</v>
      </c>
      <c r="Z1527" s="183">
        <v>2.2616327833100414E-2</v>
      </c>
    </row>
    <row r="1528" spans="22:26" x14ac:dyDescent="0.2">
      <c r="V1528" s="180" t="str">
        <f t="shared" si="31"/>
        <v>1w</v>
      </c>
      <c r="W1528" s="177">
        <f>_xll.qlCalendarAdvance(Calendar,W1527,V1528,"f",FALSE)</f>
        <v>49648</v>
      </c>
      <c r="X1528" s="181">
        <f>_xll.qlCalendarAdvance(Calendar,W1528,NDays&amp;"D")</f>
        <v>49650</v>
      </c>
      <c r="Y1528" s="178">
        <v>2.2595410393521538E-2</v>
      </c>
      <c r="Z1528" s="183">
        <v>2.2605889178066718E-2</v>
      </c>
    </row>
    <row r="1529" spans="22:26" x14ac:dyDescent="0.2">
      <c r="V1529" s="180" t="str">
        <f t="shared" si="31"/>
        <v>1w</v>
      </c>
      <c r="W1529" s="177">
        <f>_xll.qlCalendarAdvance(Calendar,W1528,V1529,"f",FALSE)</f>
        <v>49655</v>
      </c>
      <c r="X1529" s="181">
        <f>_xll.qlCalendarAdvance(Calendar,W1529,NDays&amp;"D")</f>
        <v>49657</v>
      </c>
      <c r="Y1529" s="178">
        <v>2.2585130464677673E-2</v>
      </c>
      <c r="Z1529" s="183">
        <v>2.2595464903369944E-2</v>
      </c>
    </row>
    <row r="1530" spans="22:26" x14ac:dyDescent="0.2">
      <c r="V1530" s="180" t="str">
        <f t="shared" si="31"/>
        <v>1w</v>
      </c>
      <c r="W1530" s="177">
        <f>_xll.qlCalendarAdvance(Calendar,W1529,V1530,"f",FALSE)</f>
        <v>49662</v>
      </c>
      <c r="X1530" s="181">
        <f>_xll.qlCalendarAdvance(Calendar,W1530,NDays&amp;"D")</f>
        <v>49664</v>
      </c>
      <c r="Y1530" s="178">
        <v>2.2574865348752873E-2</v>
      </c>
      <c r="Z1530" s="183">
        <v>2.2585055009036736E-2</v>
      </c>
    </row>
    <row r="1531" spans="22:26" x14ac:dyDescent="0.2">
      <c r="V1531" s="180" t="str">
        <f t="shared" si="31"/>
        <v>1w</v>
      </c>
      <c r="W1531" s="177">
        <f>_xll.qlCalendarAdvance(Calendar,W1530,V1531,"f",FALSE)</f>
        <v>49670</v>
      </c>
      <c r="X1531" s="181">
        <f>_xll.qlCalendarAdvance(Calendar,W1531,NDays&amp;"D")</f>
        <v>49674</v>
      </c>
      <c r="Y1531" s="178">
        <v>2.2560247078553749E-2</v>
      </c>
      <c r="Z1531" s="183">
        <v>2.2570242728141565E-2</v>
      </c>
    </row>
    <row r="1532" spans="22:26" x14ac:dyDescent="0.2">
      <c r="V1532" s="180" t="str">
        <f t="shared" si="31"/>
        <v>1w</v>
      </c>
      <c r="W1532" s="177">
        <f>_xll.qlCalendarAdvance(Calendar,W1531,V1532,"f",FALSE)</f>
        <v>49677</v>
      </c>
      <c r="X1532" s="181">
        <f>_xll.qlCalendarAdvance(Calendar,W1532,NDays&amp;"D")</f>
        <v>49681</v>
      </c>
      <c r="Y1532" s="178">
        <v>2.2550017510796945E-2</v>
      </c>
      <c r="Z1532" s="183">
        <v>2.2559901089556078E-2</v>
      </c>
    </row>
    <row r="1533" spans="22:26" x14ac:dyDescent="0.2">
      <c r="V1533" s="180" t="str">
        <f t="shared" si="31"/>
        <v>1w</v>
      </c>
      <c r="W1533" s="177">
        <f>_xll.qlCalendarAdvance(Calendar,W1532,V1533,"f",FALSE)</f>
        <v>49684</v>
      </c>
      <c r="X1533" s="181">
        <f>_xll.qlCalendarAdvance(Calendar,W1533,NDays&amp;"D")</f>
        <v>49688</v>
      </c>
      <c r="Y1533" s="178">
        <v>2.2539802753241731E-2</v>
      </c>
      <c r="Z1533" s="183">
        <v>2.2549539743375036E-2</v>
      </c>
    </row>
    <row r="1534" spans="22:26" x14ac:dyDescent="0.2">
      <c r="V1534" s="180" t="str">
        <f t="shared" si="31"/>
        <v>1w</v>
      </c>
      <c r="W1534" s="177">
        <f>_xll.qlCalendarAdvance(Calendar,W1533,V1534,"f",FALSE)</f>
        <v>49691</v>
      </c>
      <c r="X1534" s="181">
        <f>_xll.qlCalendarAdvance(Calendar,W1534,NDays&amp;"D")</f>
        <v>49695</v>
      </c>
      <c r="Y1534" s="178">
        <v>2.2529602805439503E-2</v>
      </c>
      <c r="Z1534" s="183">
        <v>2.2539192775052896E-2</v>
      </c>
    </row>
    <row r="1535" spans="22:26" x14ac:dyDescent="0.2">
      <c r="V1535" s="180" t="str">
        <f t="shared" si="31"/>
        <v>1w</v>
      </c>
      <c r="W1535" s="177">
        <f>_xll.qlCalendarAdvance(Calendar,W1534,V1535,"f",FALSE)</f>
        <v>49698</v>
      </c>
      <c r="X1535" s="181">
        <f>_xll.qlCalendarAdvance(Calendar,W1535,NDays&amp;"D")</f>
        <v>49702</v>
      </c>
      <c r="Y1535" s="178">
        <v>2.2519417666941877E-2</v>
      </c>
      <c r="Z1535" s="183">
        <v>2.2528860184749533E-2</v>
      </c>
    </row>
    <row r="1536" spans="22:26" x14ac:dyDescent="0.2">
      <c r="V1536" s="180" t="str">
        <f t="shared" si="31"/>
        <v>1w</v>
      </c>
      <c r="W1536" s="177">
        <f>_xll.qlCalendarAdvance(Calendar,W1535,V1536,"f",FALSE)</f>
        <v>49705</v>
      </c>
      <c r="X1536" s="181">
        <f>_xll.qlCalendarAdvance(Calendar,W1536,NDays&amp;"D")</f>
        <v>49709</v>
      </c>
      <c r="Y1536" s="178">
        <v>2.2509247337301343E-2</v>
      </c>
      <c r="Z1536" s="183">
        <v>2.2518541972305073E-2</v>
      </c>
    </row>
    <row r="1537" spans="22:26" x14ac:dyDescent="0.2">
      <c r="V1537" s="180" t="str">
        <f t="shared" si="31"/>
        <v>1w</v>
      </c>
      <c r="W1537" s="177">
        <f>_xll.qlCalendarAdvance(Calendar,W1536,V1537,"f",FALSE)</f>
        <v>49712</v>
      </c>
      <c r="X1537" s="181">
        <f>_xll.qlCalendarAdvance(Calendar,W1537,NDays&amp;"D")</f>
        <v>49716</v>
      </c>
      <c r="Y1537" s="178">
        <v>2.2499091816070828E-2</v>
      </c>
      <c r="Z1537" s="183">
        <v>2.2508238137879388E-2</v>
      </c>
    </row>
    <row r="1538" spans="22:26" x14ac:dyDescent="0.2">
      <c r="V1538" s="180" t="str">
        <f t="shared" si="31"/>
        <v>1w</v>
      </c>
      <c r="W1538" s="177">
        <f>_xll.qlCalendarAdvance(Calendar,W1537,V1538,"f",FALSE)</f>
        <v>49719</v>
      </c>
      <c r="X1538" s="181">
        <f>_xll.qlCalendarAdvance(Calendar,W1538,NDays&amp;"D")</f>
        <v>49723</v>
      </c>
      <c r="Y1538" s="178">
        <v>2.2488951102803471E-2</v>
      </c>
      <c r="Z1538" s="183">
        <v>2.2497948681232671E-2</v>
      </c>
    </row>
    <row r="1539" spans="22:26" x14ac:dyDescent="0.2">
      <c r="V1539" s="180" t="str">
        <f t="shared" si="31"/>
        <v>1w</v>
      </c>
      <c r="W1539" s="177">
        <f>_xll.qlCalendarAdvance(Calendar,W1538,V1539,"f",FALSE)</f>
        <v>49726</v>
      </c>
      <c r="X1539" s="181">
        <f>_xll.qlCalendarAdvance(Calendar,W1539,NDays&amp;"D")</f>
        <v>49730</v>
      </c>
      <c r="Y1539" s="178">
        <v>2.2478825197054606E-2</v>
      </c>
      <c r="Z1539" s="183">
        <v>2.2487673602764602E-2</v>
      </c>
    </row>
    <row r="1540" spans="22:26" x14ac:dyDescent="0.2">
      <c r="V1540" s="180" t="str">
        <f t="shared" si="31"/>
        <v>1w</v>
      </c>
      <c r="W1540" s="177">
        <f>_xll.qlCalendarAdvance(Calendar,W1539,V1540,"f",FALSE)</f>
        <v>49733</v>
      </c>
      <c r="X1540" s="181">
        <f>_xll.qlCalendarAdvance(Calendar,W1540,NDays&amp;"D")</f>
        <v>49737</v>
      </c>
      <c r="Y1540" s="178">
        <v>2.2468730766171917E-2</v>
      </c>
      <c r="Z1540" s="183">
        <v>2.2477412902155436E-2</v>
      </c>
    </row>
    <row r="1541" spans="22:26" x14ac:dyDescent="0.2">
      <c r="V1541" s="180" t="str">
        <f t="shared" si="31"/>
        <v>1w</v>
      </c>
      <c r="W1541" s="177">
        <f>_xll.qlCalendarAdvance(Calendar,W1540,V1541,"f",FALSE)</f>
        <v>49740</v>
      </c>
      <c r="X1541" s="181">
        <f>_xll.qlCalendarAdvance(Calendar,W1541,NDays&amp;"D")</f>
        <v>49744</v>
      </c>
      <c r="Y1541" s="178">
        <v>2.245863403959272E-2</v>
      </c>
      <c r="Z1541" s="183">
        <v>2.2467166579405173E-2</v>
      </c>
    </row>
    <row r="1542" spans="22:26" x14ac:dyDescent="0.2">
      <c r="V1542" s="180" t="str">
        <f t="shared" si="31"/>
        <v>1w</v>
      </c>
      <c r="W1542" s="177">
        <f>_xll.qlCalendarAdvance(Calendar,W1541,V1542,"f",FALSE)</f>
        <v>49747</v>
      </c>
      <c r="X1542" s="181">
        <f>_xll.qlCalendarAdvance(Calendar,W1542,NDays&amp;"D")</f>
        <v>49751</v>
      </c>
      <c r="Y1542" s="178">
        <v>2.244855211804021E-2</v>
      </c>
      <c r="Z1542" s="183">
        <v>2.2456934634673686E-2</v>
      </c>
    </row>
    <row r="1543" spans="22:26" x14ac:dyDescent="0.2">
      <c r="V1543" s="180" t="str">
        <f t="shared" si="31"/>
        <v>1w</v>
      </c>
      <c r="W1543" s="177">
        <f>_xll.qlCalendarAdvance(Calendar,W1542,V1543,"f",FALSE)</f>
        <v>49754</v>
      </c>
      <c r="X1543" s="181">
        <f>_xll.qlCalendarAdvance(Calendar,W1543,NDays&amp;"D")</f>
        <v>49758</v>
      </c>
      <c r="Y1543" s="178">
        <v>2.2438485001072435E-2</v>
      </c>
      <c r="Z1543" s="183">
        <v>2.2446717067801103E-2</v>
      </c>
    </row>
    <row r="1544" spans="22:26" x14ac:dyDescent="0.2">
      <c r="V1544" s="180" t="str">
        <f t="shared" si="31"/>
        <v>1w</v>
      </c>
      <c r="W1544" s="177">
        <f>_xll.qlCalendarAdvance(Calendar,W1543,V1544,"f",FALSE)</f>
        <v>49761</v>
      </c>
      <c r="X1544" s="181">
        <f>_xll.qlCalendarAdvance(Calendar,W1544,NDays&amp;"D")</f>
        <v>49765</v>
      </c>
      <c r="Y1544" s="178">
        <v>2.2428432688247884E-2</v>
      </c>
      <c r="Z1544" s="183">
        <v>2.2436513878947295E-2</v>
      </c>
    </row>
    <row r="1545" spans="22:26" x14ac:dyDescent="0.2">
      <c r="V1545" s="180" t="str">
        <f t="shared" si="31"/>
        <v>1w</v>
      </c>
      <c r="W1545" s="177">
        <f>_xll.qlCalendarAdvance(Calendar,W1544,V1545,"f",FALSE)</f>
        <v>49768</v>
      </c>
      <c r="X1545" s="181">
        <f>_xll.qlCalendarAdvance(Calendar,W1545,NDays&amp;"D")</f>
        <v>49772</v>
      </c>
      <c r="Y1545" s="178">
        <v>2.2418395179126586E-2</v>
      </c>
      <c r="Z1545" s="183">
        <v>2.2426325068032327E-2</v>
      </c>
    </row>
    <row r="1546" spans="22:26" x14ac:dyDescent="0.2">
      <c r="V1546" s="180" t="str">
        <f t="shared" si="31"/>
        <v>1w</v>
      </c>
      <c r="W1546" s="177">
        <f>_xll.qlCalendarAdvance(Calendar,W1545,V1546,"f",FALSE)</f>
        <v>49775</v>
      </c>
      <c r="X1546" s="181">
        <f>_xll.qlCalendarAdvance(Calendar,W1546,NDays&amp;"D")</f>
        <v>49781</v>
      </c>
      <c r="Y1546" s="178">
        <v>2.2405511561927743E-2</v>
      </c>
      <c r="Z1546" s="183">
        <v>2.2413246294927802E-2</v>
      </c>
    </row>
    <row r="1547" spans="22:26" x14ac:dyDescent="0.2">
      <c r="V1547" s="180" t="str">
        <f t="shared" si="31"/>
        <v>1w</v>
      </c>
      <c r="W1547" s="177">
        <f>_xll.qlCalendarAdvance(Calendar,W1546,V1547,"f",FALSE)</f>
        <v>49782</v>
      </c>
      <c r="X1547" s="181">
        <f>_xll.qlCalendarAdvance(Calendar,W1547,NDays&amp;"D")</f>
        <v>49786</v>
      </c>
      <c r="Y1547" s="178">
        <v>2.2398364570233174E-2</v>
      </c>
      <c r="Z1547" s="183">
        <v>2.2405990579938972E-2</v>
      </c>
    </row>
    <row r="1548" spans="22:26" x14ac:dyDescent="0.2">
      <c r="V1548" s="180" t="str">
        <f t="shared" si="31"/>
        <v>1w</v>
      </c>
      <c r="W1548" s="177">
        <f>_xll.qlCalendarAdvance(Calendar,W1547,V1548,"f",FALSE)</f>
        <v>49789</v>
      </c>
      <c r="X1548" s="181">
        <f>_xll.qlCalendarAdvance(Calendar,W1548,NDays&amp;"D")</f>
        <v>49793</v>
      </c>
      <c r="Y1548" s="178">
        <v>2.2388371469583074E-2</v>
      </c>
      <c r="Z1548" s="183">
        <v>2.2395844902760587E-2</v>
      </c>
    </row>
    <row r="1549" spans="22:26" x14ac:dyDescent="0.2">
      <c r="V1549" s="180" t="str">
        <f t="shared" si="31"/>
        <v>1w</v>
      </c>
      <c r="W1549" s="177">
        <f>_xll.qlCalendarAdvance(Calendar,W1548,V1549,"f",FALSE)</f>
        <v>49797</v>
      </c>
      <c r="X1549" s="181">
        <f>_xll.qlCalendarAdvance(Calendar,W1549,NDays&amp;"D")</f>
        <v>49801</v>
      </c>
      <c r="Y1549" s="178">
        <v>2.2376968907933777E-2</v>
      </c>
      <c r="Z1549" s="183">
        <v>2.2384267448725126E-2</v>
      </c>
    </row>
    <row r="1550" spans="22:26" x14ac:dyDescent="0.2">
      <c r="V1550" s="180" t="str">
        <f t="shared" si="31"/>
        <v>1w</v>
      </c>
      <c r="W1550" s="177">
        <f>_xll.qlCalendarAdvance(Calendar,W1549,V1550,"f",FALSE)</f>
        <v>49804</v>
      </c>
      <c r="X1550" s="181">
        <f>_xll.qlCalendarAdvance(Calendar,W1550,NDays&amp;"D")</f>
        <v>49808</v>
      </c>
      <c r="Y1550" s="178">
        <v>2.2367007525206654E-2</v>
      </c>
      <c r="Z1550" s="183">
        <v>2.2374152581541296E-2</v>
      </c>
    </row>
    <row r="1551" spans="22:26" x14ac:dyDescent="0.2">
      <c r="V1551" s="180" t="str">
        <f t="shared" si="31"/>
        <v>1w</v>
      </c>
      <c r="W1551" s="177">
        <f>_xll.qlCalendarAdvance(Calendar,W1550,V1551,"f",FALSE)</f>
        <v>49811</v>
      </c>
      <c r="X1551" s="181">
        <f>_xll.qlCalendarAdvance(Calendar,W1551,NDays&amp;"D")</f>
        <v>49815</v>
      </c>
      <c r="Y1551" s="178">
        <v>2.2357060943489916E-2</v>
      </c>
      <c r="Z1551" s="183">
        <v>2.2364052092056497E-2</v>
      </c>
    </row>
    <row r="1552" spans="22:26" x14ac:dyDescent="0.2">
      <c r="V1552" s="180" t="str">
        <f t="shared" si="31"/>
        <v>1w</v>
      </c>
      <c r="W1552" s="177">
        <f>_xll.qlCalendarAdvance(Calendar,W1551,V1552,"f",FALSE)</f>
        <v>49818</v>
      </c>
      <c r="X1552" s="181">
        <f>_xll.qlCalendarAdvance(Calendar,W1552,NDays&amp;"D")</f>
        <v>49822</v>
      </c>
      <c r="Y1552" s="178">
        <v>2.2347129162347976E-2</v>
      </c>
      <c r="Z1552" s="183">
        <v>2.2353965980670409E-2</v>
      </c>
    </row>
    <row r="1553" spans="22:26" x14ac:dyDescent="0.2">
      <c r="V1553" s="180" t="str">
        <f t="shared" si="31"/>
        <v>1w</v>
      </c>
      <c r="W1553" s="177">
        <f>_xll.qlCalendarAdvance(Calendar,W1552,V1553,"f",FALSE)</f>
        <v>49825</v>
      </c>
      <c r="X1553" s="181">
        <f>_xll.qlCalendarAdvance(Calendar,W1553,NDays&amp;"D")</f>
        <v>49829</v>
      </c>
      <c r="Y1553" s="178">
        <v>2.2337212181345888E-2</v>
      </c>
      <c r="Z1553" s="183">
        <v>2.2343894247143226E-2</v>
      </c>
    </row>
    <row r="1554" spans="22:26" x14ac:dyDescent="0.2">
      <c r="V1554" s="180" t="str">
        <f t="shared" si="31"/>
        <v>1w</v>
      </c>
      <c r="W1554" s="177">
        <f>_xll.qlCalendarAdvance(Calendar,W1553,V1554,"f",FALSE)</f>
        <v>49832</v>
      </c>
      <c r="X1554" s="181">
        <f>_xll.qlCalendarAdvance(Calendar,W1554,NDays&amp;"D")</f>
        <v>49836</v>
      </c>
      <c r="Y1554" s="178">
        <v>2.2327310000048714E-2</v>
      </c>
      <c r="Z1554" s="183">
        <v>2.2333836891474945E-2</v>
      </c>
    </row>
    <row r="1555" spans="22:26" x14ac:dyDescent="0.2">
      <c r="V1555" s="180" t="str">
        <f t="shared" si="31"/>
        <v>1w</v>
      </c>
      <c r="W1555" s="177">
        <f>_xll.qlCalendarAdvance(Calendar,W1554,V1555,"f",FALSE)</f>
        <v>49839</v>
      </c>
      <c r="X1555" s="181">
        <f>_xll.qlCalendarAdvance(Calendar,W1555,NDays&amp;"D")</f>
        <v>49843</v>
      </c>
      <c r="Y1555" s="178">
        <v>2.231742261802239E-2</v>
      </c>
      <c r="Z1555" s="183">
        <v>2.232379391382544E-2</v>
      </c>
    </row>
    <row r="1556" spans="22:26" x14ac:dyDescent="0.2">
      <c r="V1556" s="180" t="str">
        <f t="shared" si="31"/>
        <v>1w</v>
      </c>
      <c r="W1556" s="177">
        <f>_xll.qlCalendarAdvance(Calendar,W1555,V1556,"f",FALSE)</f>
        <v>49846</v>
      </c>
      <c r="X1556" s="181">
        <f>_xll.qlCalendarAdvance(Calendar,W1556,NDays&amp;"D")</f>
        <v>49850</v>
      </c>
      <c r="Y1556" s="178">
        <v>2.2307550034833729E-2</v>
      </c>
      <c r="Z1556" s="183">
        <v>2.2313765314034839E-2</v>
      </c>
    </row>
    <row r="1557" spans="22:26" x14ac:dyDescent="0.2">
      <c r="V1557" s="180" t="str">
        <f t="shared" ref="V1557:V1620" si="32">V1556</f>
        <v>1w</v>
      </c>
      <c r="W1557" s="177">
        <f>_xll.qlCalendarAdvance(Calendar,W1556,V1557,"f",FALSE)</f>
        <v>49853</v>
      </c>
      <c r="X1557" s="181">
        <f>_xll.qlCalendarAdvance(Calendar,W1557,NDays&amp;"D")</f>
        <v>49857</v>
      </c>
      <c r="Y1557" s="178">
        <v>2.2297692250049978E-2</v>
      </c>
      <c r="Z1557" s="183">
        <v>2.2303751092183077E-2</v>
      </c>
    </row>
    <row r="1558" spans="22:26" x14ac:dyDescent="0.2">
      <c r="V1558" s="180" t="str">
        <f t="shared" si="32"/>
        <v>1w</v>
      </c>
      <c r="W1558" s="177">
        <f>_xll.qlCalendarAdvance(Calendar,W1557,V1558,"f",FALSE)</f>
        <v>49860</v>
      </c>
      <c r="X1558" s="181">
        <f>_xll.qlCalendarAdvance(Calendar,W1558,NDays&amp;"D")</f>
        <v>49864</v>
      </c>
      <c r="Y1558" s="178">
        <v>2.2287849263239266E-2</v>
      </c>
      <c r="Z1558" s="183">
        <v>2.2293751248190219E-2</v>
      </c>
    </row>
    <row r="1559" spans="22:26" x14ac:dyDescent="0.2">
      <c r="V1559" s="180" t="str">
        <f t="shared" si="32"/>
        <v>1w</v>
      </c>
      <c r="W1559" s="177">
        <f>_xll.qlCalendarAdvance(Calendar,W1558,V1559,"f",FALSE)</f>
        <v>49867</v>
      </c>
      <c r="X1559" s="181">
        <f>_xll.qlCalendarAdvance(Calendar,W1559,NDays&amp;"D")</f>
        <v>49871</v>
      </c>
      <c r="Y1559" s="178">
        <v>2.2278021073970158E-2</v>
      </c>
      <c r="Z1559" s="183">
        <v>2.2283765782216136E-2</v>
      </c>
    </row>
    <row r="1560" spans="22:26" x14ac:dyDescent="0.2">
      <c r="V1560" s="180" t="str">
        <f t="shared" si="32"/>
        <v>1w</v>
      </c>
      <c r="W1560" s="177">
        <f>_xll.qlCalendarAdvance(Calendar,W1559,V1560,"f",FALSE)</f>
        <v>49874</v>
      </c>
      <c r="X1560" s="181">
        <f>_xll.qlCalendarAdvance(Calendar,W1560,NDays&amp;"D")</f>
        <v>49878</v>
      </c>
      <c r="Y1560" s="178">
        <v>2.2268207681811873E-2</v>
      </c>
      <c r="Z1560" s="183">
        <v>2.2273794694100957E-2</v>
      </c>
    </row>
    <row r="1561" spans="22:26" x14ac:dyDescent="0.2">
      <c r="V1561" s="180" t="str">
        <f t="shared" si="32"/>
        <v>1w</v>
      </c>
      <c r="W1561" s="177">
        <f>_xll.qlCalendarAdvance(Calendar,W1560,V1561,"f",FALSE)</f>
        <v>49881</v>
      </c>
      <c r="X1561" s="181">
        <f>_xll.qlCalendarAdvance(Calendar,W1561,NDays&amp;"D")</f>
        <v>49885</v>
      </c>
      <c r="Y1561" s="178">
        <v>2.2258409086334512E-2</v>
      </c>
      <c r="Z1561" s="183">
        <v>2.2263837983924617E-2</v>
      </c>
    </row>
    <row r="1562" spans="22:26" x14ac:dyDescent="0.2">
      <c r="V1562" s="180" t="str">
        <f t="shared" si="32"/>
        <v>1w</v>
      </c>
      <c r="W1562" s="177">
        <f>_xll.qlCalendarAdvance(Calendar,W1561,V1562,"f",FALSE)</f>
        <v>49888</v>
      </c>
      <c r="X1562" s="181">
        <f>_xll.qlCalendarAdvance(Calendar,W1562,NDays&amp;"D")</f>
        <v>49892</v>
      </c>
      <c r="Y1562" s="178">
        <v>2.2248625287108387E-2</v>
      </c>
      <c r="Z1562" s="183">
        <v>2.2253895651687117E-2</v>
      </c>
    </row>
    <row r="1563" spans="22:26" x14ac:dyDescent="0.2">
      <c r="V1563" s="180" t="str">
        <f t="shared" si="32"/>
        <v>1w</v>
      </c>
      <c r="W1563" s="177">
        <f>_xll.qlCalendarAdvance(Calendar,W1562,V1563,"f",FALSE)</f>
        <v>49895</v>
      </c>
      <c r="X1563" s="181">
        <f>_xll.qlCalendarAdvance(Calendar,W1563,NDays&amp;"D")</f>
        <v>49899</v>
      </c>
      <c r="Y1563" s="178">
        <v>2.223885628370513E-2</v>
      </c>
      <c r="Z1563" s="183">
        <v>2.224396769730852E-2</v>
      </c>
    </row>
    <row r="1564" spans="22:26" x14ac:dyDescent="0.2">
      <c r="V1564" s="180" t="str">
        <f t="shared" si="32"/>
        <v>1w</v>
      </c>
      <c r="W1564" s="177">
        <f>_xll.qlCalendarAdvance(Calendar,W1563,V1564,"f",FALSE)</f>
        <v>49902</v>
      </c>
      <c r="X1564" s="181">
        <f>_xll.qlCalendarAdvance(Calendar,W1564,NDays&amp;"D")</f>
        <v>49906</v>
      </c>
      <c r="Y1564" s="178">
        <v>2.2229102075696155E-2</v>
      </c>
      <c r="Z1564" s="183">
        <v>2.2234054120948699E-2</v>
      </c>
    </row>
    <row r="1565" spans="22:26" x14ac:dyDescent="0.2">
      <c r="V1565" s="180" t="str">
        <f t="shared" si="32"/>
        <v>1w</v>
      </c>
      <c r="W1565" s="177">
        <f>_xll.qlCalendarAdvance(Calendar,W1564,V1565,"f",FALSE)</f>
        <v>49909</v>
      </c>
      <c r="X1565" s="181">
        <f>_xll.qlCalendarAdvance(Calendar,W1565,NDays&amp;"D")</f>
        <v>49913</v>
      </c>
      <c r="Y1565" s="178">
        <v>2.2219362662654622E-2</v>
      </c>
      <c r="Z1565" s="183">
        <v>2.2224154922287909E-2</v>
      </c>
    </row>
    <row r="1566" spans="22:26" x14ac:dyDescent="0.2">
      <c r="V1566" s="180" t="str">
        <f t="shared" si="32"/>
        <v>1w</v>
      </c>
      <c r="W1566" s="177">
        <f>_xll.qlCalendarAdvance(Calendar,W1565,V1566,"f",FALSE)</f>
        <v>49916</v>
      </c>
      <c r="X1566" s="181">
        <f>_xll.qlCalendarAdvance(Calendar,W1566,NDays&amp;"D")</f>
        <v>49920</v>
      </c>
      <c r="Y1566" s="178">
        <v>2.2209638044153036E-2</v>
      </c>
      <c r="Z1566" s="183">
        <v>2.221427010172583E-2</v>
      </c>
    </row>
    <row r="1567" spans="22:26" x14ac:dyDescent="0.2">
      <c r="V1567" s="180" t="str">
        <f t="shared" si="32"/>
        <v>1w</v>
      </c>
      <c r="W1567" s="177">
        <f>_xll.qlCalendarAdvance(Calendar,W1566,V1567,"f",FALSE)</f>
        <v>49923</v>
      </c>
      <c r="X1567" s="181">
        <f>_xll.qlCalendarAdvance(Calendar,W1567,NDays&amp;"D")</f>
        <v>49927</v>
      </c>
      <c r="Y1567" s="178">
        <v>2.219992821976588E-2</v>
      </c>
      <c r="Z1567" s="183">
        <v>2.2204399659022656E-2</v>
      </c>
    </row>
    <row r="1568" spans="22:26" x14ac:dyDescent="0.2">
      <c r="V1568" s="180" t="str">
        <f t="shared" si="32"/>
        <v>1w</v>
      </c>
      <c r="W1568" s="177">
        <f>_xll.qlCalendarAdvance(Calendar,W1567,V1568,"f",FALSE)</f>
        <v>49930</v>
      </c>
      <c r="X1568" s="181">
        <f>_xll.qlCalendarAdvance(Calendar,W1568,NDays&amp;"D")</f>
        <v>49934</v>
      </c>
      <c r="Y1568" s="178">
        <v>2.2190233189066971E-2</v>
      </c>
      <c r="Z1568" s="183">
        <v>2.2194543594178384E-2</v>
      </c>
    </row>
    <row r="1569" spans="22:26" x14ac:dyDescent="0.2">
      <c r="V1569" s="180" t="str">
        <f t="shared" si="32"/>
        <v>1w</v>
      </c>
      <c r="W1569" s="177">
        <f>_xll.qlCalendarAdvance(Calendar,W1568,V1569,"f",FALSE)</f>
        <v>49937</v>
      </c>
      <c r="X1569" s="181">
        <f>_xll.qlCalendarAdvance(Calendar,W1569,NDays&amp;"D")</f>
        <v>49941</v>
      </c>
      <c r="Y1569" s="178">
        <v>2.2180552951632099E-2</v>
      </c>
      <c r="Z1569" s="183">
        <v>2.2184701907352888E-2</v>
      </c>
    </row>
    <row r="1570" spans="22:26" x14ac:dyDescent="0.2">
      <c r="V1570" s="180" t="str">
        <f t="shared" si="32"/>
        <v>1w</v>
      </c>
      <c r="W1570" s="177">
        <f>_xll.qlCalendarAdvance(Calendar,W1569,V1570,"f",FALSE)</f>
        <v>49944</v>
      </c>
      <c r="X1570" s="181">
        <f>_xll.qlCalendarAdvance(Calendar,W1570,NDays&amp;"D")</f>
        <v>49948</v>
      </c>
      <c r="Y1570" s="178">
        <v>2.2170887507036618E-2</v>
      </c>
      <c r="Z1570" s="183">
        <v>2.2174874598226424E-2</v>
      </c>
    </row>
    <row r="1571" spans="22:26" x14ac:dyDescent="0.2">
      <c r="V1571" s="180" t="str">
        <f t="shared" si="32"/>
        <v>1w</v>
      </c>
      <c r="W1571" s="177">
        <f>_xll.qlCalendarAdvance(Calendar,W1570,V1571,"f",FALSE)</f>
        <v>49951</v>
      </c>
      <c r="X1571" s="181">
        <f>_xll.qlCalendarAdvance(Calendar,W1571,NDays&amp;"D")</f>
        <v>49955</v>
      </c>
      <c r="Y1571" s="178">
        <v>2.2161236854857415E-2</v>
      </c>
      <c r="Z1571" s="183">
        <v>2.2165061667198671E-2</v>
      </c>
    </row>
    <row r="1572" spans="22:26" x14ac:dyDescent="0.2">
      <c r="V1572" s="180" t="str">
        <f t="shared" si="32"/>
        <v>1w</v>
      </c>
      <c r="W1572" s="177">
        <f>_xll.qlCalendarAdvance(Calendar,W1571,V1572,"f",FALSE)</f>
        <v>49958</v>
      </c>
      <c r="X1572" s="181">
        <f>_xll.qlCalendarAdvance(Calendar,W1572,NDays&amp;"D")</f>
        <v>49962</v>
      </c>
      <c r="Y1572" s="178">
        <v>2.2151600994671158E-2</v>
      </c>
      <c r="Z1572" s="183">
        <v>2.2155263113949886E-2</v>
      </c>
    </row>
    <row r="1573" spans="22:26" x14ac:dyDescent="0.2">
      <c r="V1573" s="180" t="str">
        <f t="shared" si="32"/>
        <v>1w</v>
      </c>
      <c r="W1573" s="177">
        <f>_xll.qlCalendarAdvance(Calendar,W1572,V1573,"f",FALSE)</f>
        <v>49965</v>
      </c>
      <c r="X1573" s="181">
        <f>_xll.qlCalendarAdvance(Calendar,W1573,NDays&amp;"D")</f>
        <v>49969</v>
      </c>
      <c r="Y1573" s="178">
        <v>2.2141979926055828E-2</v>
      </c>
      <c r="Z1573" s="183">
        <v>2.2145478938719876E-2</v>
      </c>
    </row>
    <row r="1574" spans="22:26" x14ac:dyDescent="0.2">
      <c r="V1574" s="180" t="str">
        <f t="shared" si="32"/>
        <v>1w</v>
      </c>
      <c r="W1574" s="177">
        <f>_xll.qlCalendarAdvance(Calendar,W1573,V1574,"f",FALSE)</f>
        <v>49972</v>
      </c>
      <c r="X1574" s="181">
        <f>_xll.qlCalendarAdvance(Calendar,W1574,NDays&amp;"D")</f>
        <v>49976</v>
      </c>
      <c r="Y1574" s="178">
        <v>2.2132373648589627E-2</v>
      </c>
      <c r="Z1574" s="183">
        <v>2.2135709141348769E-2</v>
      </c>
    </row>
    <row r="1575" spans="22:26" x14ac:dyDescent="0.2">
      <c r="V1575" s="180" t="str">
        <f t="shared" si="32"/>
        <v>1w</v>
      </c>
      <c r="W1575" s="177">
        <f>_xll.qlCalendarAdvance(Calendar,W1574,V1575,"f",FALSE)</f>
        <v>49979</v>
      </c>
      <c r="X1575" s="181">
        <f>_xll.qlCalendarAdvance(Calendar,W1575,NDays&amp;"D")</f>
        <v>49983</v>
      </c>
      <c r="Y1575" s="178">
        <v>2.2122782161852067E-2</v>
      </c>
      <c r="Z1575" s="183">
        <v>2.2125953721836567E-2</v>
      </c>
    </row>
    <row r="1576" spans="22:26" x14ac:dyDescent="0.2">
      <c r="V1576" s="180" t="str">
        <f t="shared" si="32"/>
        <v>1w</v>
      </c>
      <c r="W1576" s="177">
        <f>_xll.qlCalendarAdvance(Calendar,W1575,V1576,"f",FALSE)</f>
        <v>49986</v>
      </c>
      <c r="X1576" s="181">
        <f>_xll.qlCalendarAdvance(Calendar,W1576,NDays&amp;"D")</f>
        <v>49990</v>
      </c>
      <c r="Y1576" s="178">
        <v>2.2113205465422225E-2</v>
      </c>
      <c r="Z1576" s="183">
        <v>2.2116212680183267E-2</v>
      </c>
    </row>
    <row r="1577" spans="22:26" x14ac:dyDescent="0.2">
      <c r="V1577" s="180" t="str">
        <f t="shared" si="32"/>
        <v>1w</v>
      </c>
      <c r="W1577" s="177">
        <f>_xll.qlCalendarAdvance(Calendar,W1576,V1577,"f",FALSE)</f>
        <v>49993</v>
      </c>
      <c r="X1577" s="181">
        <f>_xll.qlCalendarAdvance(Calendar,W1577,NDays&amp;"D")</f>
        <v>49997</v>
      </c>
      <c r="Y1577" s="178">
        <v>2.2103643558881149E-2</v>
      </c>
      <c r="Z1577" s="183">
        <v>2.2106486016468807E-2</v>
      </c>
    </row>
    <row r="1578" spans="22:26" x14ac:dyDescent="0.2">
      <c r="V1578" s="180" t="str">
        <f t="shared" si="32"/>
        <v>1w</v>
      </c>
      <c r="W1578" s="177">
        <f>_xll.qlCalendarAdvance(Calendar,W1577,V1578,"f",FALSE)</f>
        <v>50000</v>
      </c>
      <c r="X1578" s="181">
        <f>_xll.qlCalendarAdvance(Calendar,W1578,NDays&amp;"D")</f>
        <v>50004</v>
      </c>
      <c r="Y1578" s="178">
        <v>2.209409644180901E-2</v>
      </c>
      <c r="Z1578" s="183">
        <v>2.2096773730693187E-2</v>
      </c>
    </row>
    <row r="1579" spans="22:26" x14ac:dyDescent="0.2">
      <c r="V1579" s="180" t="str">
        <f t="shared" si="32"/>
        <v>1w</v>
      </c>
      <c r="W1579" s="177">
        <f>_xll.qlCalendarAdvance(Calendar,W1578,V1579,"f",FALSE)</f>
        <v>50007</v>
      </c>
      <c r="X1579" s="181">
        <f>_xll.qlCalendarAdvance(Calendar,W1579,NDays&amp;"D")</f>
        <v>50011</v>
      </c>
      <c r="Y1579" s="178">
        <v>2.2084564113787949E-2</v>
      </c>
      <c r="Z1579" s="183">
        <v>2.2087075822696534E-2</v>
      </c>
    </row>
    <row r="1580" spans="22:26" x14ac:dyDescent="0.2">
      <c r="V1580" s="180" t="str">
        <f t="shared" si="32"/>
        <v>1w</v>
      </c>
      <c r="W1580" s="177">
        <f>_xll.qlCalendarAdvance(Calendar,W1579,V1580,"f",FALSE)</f>
        <v>50014</v>
      </c>
      <c r="X1580" s="181">
        <f>_xll.qlCalendarAdvance(Calendar,W1580,NDays&amp;"D")</f>
        <v>50018</v>
      </c>
      <c r="Y1580" s="178">
        <v>2.207504657440033E-2</v>
      </c>
      <c r="Z1580" s="183">
        <v>2.2077392292718656E-2</v>
      </c>
    </row>
    <row r="1581" spans="22:26" x14ac:dyDescent="0.2">
      <c r="V1581" s="180" t="str">
        <f t="shared" si="32"/>
        <v>1w</v>
      </c>
      <c r="W1581" s="177">
        <f>_xll.qlCalendarAdvance(Calendar,W1580,V1581,"f",FALSE)</f>
        <v>50021</v>
      </c>
      <c r="X1581" s="181">
        <f>_xll.qlCalendarAdvance(Calendar,W1581,NDays&amp;"D")</f>
        <v>50025</v>
      </c>
      <c r="Y1581" s="178">
        <v>2.2065543823229172E-2</v>
      </c>
      <c r="Z1581" s="183">
        <v>2.2067723140519746E-2</v>
      </c>
    </row>
    <row r="1582" spans="22:26" x14ac:dyDescent="0.2">
      <c r="V1582" s="180" t="str">
        <f t="shared" si="32"/>
        <v>1w</v>
      </c>
      <c r="W1582" s="177">
        <f>_xll.qlCalendarAdvance(Calendar,W1581,V1582,"f",FALSE)</f>
        <v>50028</v>
      </c>
      <c r="X1582" s="181">
        <f>_xll.qlCalendarAdvance(Calendar,W1582,NDays&amp;"D")</f>
        <v>50032</v>
      </c>
      <c r="Y1582" s="178">
        <v>2.2056055859857929E-2</v>
      </c>
      <c r="Z1582" s="183">
        <v>2.2058068366339612E-2</v>
      </c>
    </row>
    <row r="1583" spans="22:26" x14ac:dyDescent="0.2">
      <c r="V1583" s="180" t="str">
        <f t="shared" si="32"/>
        <v>1w</v>
      </c>
      <c r="W1583" s="177">
        <f>_xll.qlCalendarAdvance(Calendar,W1582,V1583,"f",FALSE)</f>
        <v>50038</v>
      </c>
      <c r="X1583" s="181">
        <f>_xll.qlCalendarAdvance(Calendar,W1583,NDays&amp;"D")</f>
        <v>50040</v>
      </c>
      <c r="Y1583" s="178">
        <v>2.2045230580124489E-2</v>
      </c>
      <c r="Z1583" s="183">
        <v>2.2047039136610103E-2</v>
      </c>
    </row>
    <row r="1584" spans="22:26" x14ac:dyDescent="0.2">
      <c r="V1584" s="180" t="str">
        <f t="shared" si="32"/>
        <v>1w</v>
      </c>
      <c r="W1584" s="177">
        <f>_xll.qlCalendarAdvance(Calendar,W1583,V1584,"f",FALSE)</f>
        <v>50045</v>
      </c>
      <c r="X1584" s="181">
        <f>_xll.qlCalendarAdvance(Calendar,W1584,NDays&amp;"D")</f>
        <v>50047</v>
      </c>
      <c r="Y1584" s="178">
        <v>2.2035774303496777E-2</v>
      </c>
      <c r="Z1584" s="183">
        <v>2.2037427979739732E-2</v>
      </c>
    </row>
    <row r="1585" spans="22:26" x14ac:dyDescent="0.2">
      <c r="V1585" s="180" t="str">
        <f t="shared" si="32"/>
        <v>1w</v>
      </c>
      <c r="W1585" s="177">
        <f>_xll.qlCalendarAdvance(Calendar,W1584,V1585,"f",FALSE)</f>
        <v>50052</v>
      </c>
      <c r="X1585" s="181">
        <f>_xll.qlCalendarAdvance(Calendar,W1585,NDays&amp;"D")</f>
        <v>50054</v>
      </c>
      <c r="Y1585" s="178">
        <v>2.2026332813364382E-2</v>
      </c>
      <c r="Z1585" s="183">
        <v>2.2027818393093312E-2</v>
      </c>
    </row>
    <row r="1586" spans="22:26" x14ac:dyDescent="0.2">
      <c r="V1586" s="180" t="str">
        <f t="shared" si="32"/>
        <v>1w</v>
      </c>
      <c r="W1586" s="177">
        <f>_xll.qlCalendarAdvance(Calendar,W1585,V1586,"f",FALSE)</f>
        <v>50059</v>
      </c>
      <c r="X1586" s="181">
        <f>_xll.qlCalendarAdvance(Calendar,W1586,NDays&amp;"D")</f>
        <v>50061</v>
      </c>
      <c r="Y1586" s="178">
        <v>2.2016906109314043E-2</v>
      </c>
      <c r="Z1586" s="183">
        <v>2.2018223184385732E-2</v>
      </c>
    </row>
    <row r="1587" spans="22:26" x14ac:dyDescent="0.2">
      <c r="V1587" s="180" t="str">
        <f t="shared" si="32"/>
        <v>1w</v>
      </c>
      <c r="W1587" s="177">
        <f>_xll.qlCalendarAdvance(Calendar,W1586,V1587,"f",FALSE)</f>
        <v>50066</v>
      </c>
      <c r="X1587" s="181">
        <f>_xll.qlCalendarAdvance(Calendar,W1587,NDays&amp;"D")</f>
        <v>50068</v>
      </c>
      <c r="Y1587" s="178">
        <v>2.2007494190932283E-2</v>
      </c>
      <c r="Z1587" s="183">
        <v>2.2008642353537056E-2</v>
      </c>
    </row>
    <row r="1588" spans="22:26" x14ac:dyDescent="0.2">
      <c r="V1588" s="180" t="str">
        <f t="shared" si="32"/>
        <v>1w</v>
      </c>
      <c r="W1588" s="177">
        <f>_xll.qlCalendarAdvance(Calendar,W1587,V1588,"f",FALSE)</f>
        <v>50073</v>
      </c>
      <c r="X1588" s="181">
        <f>_xll.qlCalendarAdvance(Calendar,W1588,NDays&amp;"D")</f>
        <v>50075</v>
      </c>
      <c r="Y1588" s="178">
        <v>2.1998097057806722E-2</v>
      </c>
      <c r="Z1588" s="183">
        <v>2.1999075900627219E-2</v>
      </c>
    </row>
    <row r="1589" spans="22:26" x14ac:dyDescent="0.2">
      <c r="V1589" s="180" t="str">
        <f t="shared" si="32"/>
        <v>1w</v>
      </c>
      <c r="W1589" s="177">
        <f>_xll.qlCalendarAdvance(Calendar,W1588,V1589,"f",FALSE)</f>
        <v>50080</v>
      </c>
      <c r="X1589" s="181">
        <f>_xll.qlCalendarAdvance(Calendar,W1589,NDays&amp;"D")</f>
        <v>50082</v>
      </c>
      <c r="Y1589" s="178">
        <v>2.1988714709525851E-2</v>
      </c>
      <c r="Z1589" s="183">
        <v>2.1989523825576285E-2</v>
      </c>
    </row>
    <row r="1590" spans="22:26" x14ac:dyDescent="0.2">
      <c r="V1590" s="180" t="str">
        <f t="shared" si="32"/>
        <v>1w</v>
      </c>
      <c r="W1590" s="177">
        <f>_xll.qlCalendarAdvance(Calendar,W1589,V1590,"f",FALSE)</f>
        <v>50087</v>
      </c>
      <c r="X1590" s="181">
        <f>_xll.qlCalendarAdvance(Calendar,W1590,NDays&amp;"D")</f>
        <v>50089</v>
      </c>
      <c r="Y1590" s="178">
        <v>2.1979347145678604E-2</v>
      </c>
      <c r="Z1590" s="183">
        <v>2.1979986128384255E-2</v>
      </c>
    </row>
    <row r="1591" spans="22:26" x14ac:dyDescent="0.2">
      <c r="V1591" s="180" t="str">
        <f t="shared" si="32"/>
        <v>1w</v>
      </c>
      <c r="W1591" s="177">
        <f>_xll.qlCalendarAdvance(Calendar,W1590,V1591,"f",FALSE)</f>
        <v>50094</v>
      </c>
      <c r="X1591" s="181">
        <f>_xll.qlCalendarAdvance(Calendar,W1591,NDays&amp;"D")</f>
        <v>50096</v>
      </c>
      <c r="Y1591" s="178">
        <v>2.1969994365854346E-2</v>
      </c>
      <c r="Z1591" s="183">
        <v>2.1970462809051128E-2</v>
      </c>
    </row>
    <row r="1592" spans="22:26" x14ac:dyDescent="0.2">
      <c r="V1592" s="180" t="str">
        <f t="shared" si="32"/>
        <v>1w</v>
      </c>
      <c r="W1592" s="177">
        <f>_xll.qlCalendarAdvance(Calendar,W1591,V1592,"f",FALSE)</f>
        <v>50101</v>
      </c>
      <c r="X1592" s="181">
        <f>_xll.qlCalendarAdvance(Calendar,W1592,NDays&amp;"D")</f>
        <v>50103</v>
      </c>
      <c r="Y1592" s="178">
        <v>2.1960656369643328E-2</v>
      </c>
      <c r="Z1592" s="183">
        <v>2.1960953867656841E-2</v>
      </c>
    </row>
    <row r="1593" spans="22:26" x14ac:dyDescent="0.2">
      <c r="V1593" s="180" t="str">
        <f t="shared" si="32"/>
        <v>1w</v>
      </c>
      <c r="W1593" s="177">
        <f>_xll.qlCalendarAdvance(Calendar,W1592,V1593,"f",FALSE)</f>
        <v>50108</v>
      </c>
      <c r="X1593" s="181">
        <f>_xll.qlCalendarAdvance(Calendar,W1593,NDays&amp;"D")</f>
        <v>50110</v>
      </c>
      <c r="Y1593" s="178">
        <v>2.195133315663645E-2</v>
      </c>
      <c r="Z1593" s="183">
        <v>2.1951459304121457E-2</v>
      </c>
    </row>
    <row r="1594" spans="22:26" x14ac:dyDescent="0.2">
      <c r="V1594" s="180" t="str">
        <f t="shared" si="32"/>
        <v>1w</v>
      </c>
      <c r="W1594" s="177">
        <f>_xll.qlCalendarAdvance(Calendar,W1593,V1594,"f",FALSE)</f>
        <v>50115</v>
      </c>
      <c r="X1594" s="181">
        <f>_xll.qlCalendarAdvance(Calendar,W1594,NDays&amp;"D")</f>
        <v>50117</v>
      </c>
      <c r="Y1594" s="178">
        <v>2.1942024726425275E-2</v>
      </c>
      <c r="Z1594" s="183">
        <v>2.194197911836504E-2</v>
      </c>
    </row>
    <row r="1595" spans="22:26" x14ac:dyDescent="0.2">
      <c r="V1595" s="180" t="str">
        <f t="shared" si="32"/>
        <v>1w</v>
      </c>
      <c r="W1595" s="177">
        <f>_xll.qlCalendarAdvance(Calendar,W1594,V1595,"f",FALSE)</f>
        <v>50122</v>
      </c>
      <c r="X1595" s="181">
        <f>_xll.qlCalendarAdvance(Calendar,W1595,NDays&amp;"D")</f>
        <v>50124</v>
      </c>
      <c r="Y1595" s="178">
        <v>2.1932731078601574E-2</v>
      </c>
      <c r="Z1595" s="183">
        <v>2.1932513310547463E-2</v>
      </c>
    </row>
    <row r="1596" spans="22:26" x14ac:dyDescent="0.2">
      <c r="V1596" s="180" t="str">
        <f t="shared" si="32"/>
        <v>1w</v>
      </c>
      <c r="W1596" s="177">
        <f>_xll.qlCalendarAdvance(Calendar,W1595,V1596,"f",FALSE)</f>
        <v>50129</v>
      </c>
      <c r="X1596" s="181">
        <f>_xll.qlCalendarAdvance(Calendar,W1596,NDays&amp;"D")</f>
        <v>50131</v>
      </c>
      <c r="Y1596" s="178">
        <v>2.1923452212758883E-2</v>
      </c>
      <c r="Z1596" s="183">
        <v>2.1923061880668726E-2</v>
      </c>
    </row>
    <row r="1597" spans="22:26" x14ac:dyDescent="0.2">
      <c r="V1597" s="180" t="str">
        <f t="shared" si="32"/>
        <v>1w</v>
      </c>
      <c r="W1597" s="177">
        <f>_xll.qlCalendarAdvance(Calendar,W1596,V1597,"f",FALSE)</f>
        <v>50137</v>
      </c>
      <c r="X1597" s="181">
        <f>_xll.qlCalendarAdvance(Calendar,W1597,NDays&amp;"D")</f>
        <v>50139</v>
      </c>
      <c r="Y1597" s="178">
        <v>2.1912865894515601E-2</v>
      </c>
      <c r="Z1597" s="183">
        <v>2.1912277852038642E-2</v>
      </c>
    </row>
    <row r="1598" spans="22:26" x14ac:dyDescent="0.2">
      <c r="V1598" s="180" t="str">
        <f t="shared" si="32"/>
        <v>1w</v>
      </c>
      <c r="W1598" s="177">
        <f>_xll.qlCalendarAdvance(Calendar,W1597,V1598,"f",FALSE)</f>
        <v>50144</v>
      </c>
      <c r="X1598" s="181">
        <f>_xll.qlCalendarAdvance(Calendar,W1598,NDays&amp;"D")</f>
        <v>50146</v>
      </c>
      <c r="Y1598" s="178">
        <v>2.1903618702977076E-2</v>
      </c>
      <c r="Z1598" s="183">
        <v>2.190285723175478E-2</v>
      </c>
    </row>
    <row r="1599" spans="22:26" x14ac:dyDescent="0.2">
      <c r="V1599" s="180" t="str">
        <f t="shared" si="32"/>
        <v>1w</v>
      </c>
      <c r="W1599" s="177">
        <f>_xll.qlCalendarAdvance(Calendar,W1598,V1599,"f",FALSE)</f>
        <v>50151</v>
      </c>
      <c r="X1599" s="181">
        <f>_xll.qlCalendarAdvance(Calendar,W1599,NDays&amp;"D")</f>
        <v>50153</v>
      </c>
      <c r="Y1599" s="178">
        <v>2.1894431096256606E-2</v>
      </c>
      <c r="Z1599" s="183">
        <v>2.1893450989489693E-2</v>
      </c>
    </row>
    <row r="1600" spans="22:26" x14ac:dyDescent="0.2">
      <c r="V1600" s="180" t="str">
        <f t="shared" si="32"/>
        <v>1w</v>
      </c>
      <c r="W1600" s="177">
        <f>_xll.qlCalendarAdvance(Calendar,W1599,V1600,"f",FALSE)</f>
        <v>50158</v>
      </c>
      <c r="X1600" s="181">
        <f>_xll.qlCalendarAdvance(Calendar,W1600,NDays&amp;"D")</f>
        <v>50160</v>
      </c>
      <c r="Y1600" s="178">
        <v>2.1885168661611262E-2</v>
      </c>
      <c r="Z1600" s="183">
        <v>2.1884043817688159E-2</v>
      </c>
    </row>
    <row r="1601" spans="22:26" x14ac:dyDescent="0.2">
      <c r="V1601" s="180" t="str">
        <f t="shared" si="32"/>
        <v>1w</v>
      </c>
      <c r="W1601" s="177">
        <f>_xll.qlCalendarAdvance(Calendar,W1600,V1601,"f",FALSE)</f>
        <v>50165</v>
      </c>
      <c r="X1601" s="181">
        <f>_xll.qlCalendarAdvance(Calendar,W1601,NDays&amp;"D")</f>
        <v>50167</v>
      </c>
      <c r="Y1601" s="178">
        <v>2.1875965810975194E-2</v>
      </c>
      <c r="Z1601" s="183">
        <v>2.1874681638456295E-2</v>
      </c>
    </row>
    <row r="1602" spans="22:26" x14ac:dyDescent="0.2">
      <c r="V1602" s="180" t="str">
        <f t="shared" si="32"/>
        <v>1w</v>
      </c>
      <c r="W1602" s="177">
        <f>_xll.qlCalendarAdvance(Calendar,W1601,V1602,"f",FALSE)</f>
        <v>50172</v>
      </c>
      <c r="X1602" s="181">
        <f>_xll.qlCalendarAdvance(Calendar,W1602,NDays&amp;"D")</f>
        <v>50174</v>
      </c>
      <c r="Y1602" s="178">
        <v>2.1866777739832699E-2</v>
      </c>
      <c r="Z1602" s="183">
        <v>2.1865318529767919E-2</v>
      </c>
    </row>
    <row r="1603" spans="22:26" x14ac:dyDescent="0.2">
      <c r="V1603" s="180" t="str">
        <f t="shared" si="32"/>
        <v>1w</v>
      </c>
      <c r="W1603" s="177">
        <f>_xll.qlCalendarAdvance(Calendar,W1602,V1603,"f",FALSE)</f>
        <v>50179</v>
      </c>
      <c r="X1603" s="181">
        <f>_xll.qlCalendarAdvance(Calendar,W1603,NDays&amp;"D")</f>
        <v>50181</v>
      </c>
      <c r="Y1603" s="178">
        <v>2.1857604447781034E-2</v>
      </c>
      <c r="Z1603" s="183">
        <v>2.185596979885851E-2</v>
      </c>
    </row>
    <row r="1604" spans="22:26" x14ac:dyDescent="0.2">
      <c r="V1604" s="180" t="str">
        <f t="shared" si="32"/>
        <v>1w</v>
      </c>
      <c r="W1604" s="177">
        <f>_xll.qlCalendarAdvance(Calendar,W1603,V1604,"f",FALSE)</f>
        <v>50186</v>
      </c>
      <c r="X1604" s="181">
        <f>_xll.qlCalendarAdvance(Calendar,W1604,NDays&amp;"D")</f>
        <v>50188</v>
      </c>
      <c r="Y1604" s="178">
        <v>2.1848445934418762E-2</v>
      </c>
      <c r="Z1604" s="183">
        <v>2.1846635445808005E-2</v>
      </c>
    </row>
    <row r="1605" spans="22:26" x14ac:dyDescent="0.2">
      <c r="V1605" s="180" t="str">
        <f t="shared" si="32"/>
        <v>1w</v>
      </c>
      <c r="W1605" s="177">
        <f>_xll.qlCalendarAdvance(Calendar,W1604,V1605,"f",FALSE)</f>
        <v>50193</v>
      </c>
      <c r="X1605" s="181">
        <f>_xll.qlCalendarAdvance(Calendar,W1605,NDays&amp;"D")</f>
        <v>50195</v>
      </c>
      <c r="Y1605" s="178">
        <v>2.1839302199344018E-2</v>
      </c>
      <c r="Z1605" s="183">
        <v>2.1837315470696339E-2</v>
      </c>
    </row>
    <row r="1606" spans="22:26" x14ac:dyDescent="0.2">
      <c r="V1606" s="180" t="str">
        <f t="shared" si="32"/>
        <v>1w</v>
      </c>
      <c r="W1606" s="177">
        <f>_xll.qlCalendarAdvance(Calendar,W1605,V1606,"f",FALSE)</f>
        <v>50200</v>
      </c>
      <c r="X1606" s="181">
        <f>_xll.qlCalendarAdvance(Calendar,W1606,NDays&amp;"D")</f>
        <v>50202</v>
      </c>
      <c r="Y1606" s="178">
        <v>2.1830173242156459E-2</v>
      </c>
      <c r="Z1606" s="183">
        <v>2.1828009873443577E-2</v>
      </c>
    </row>
    <row r="1607" spans="22:26" x14ac:dyDescent="0.2">
      <c r="V1607" s="180" t="str">
        <f t="shared" si="32"/>
        <v>1w</v>
      </c>
      <c r="W1607" s="177">
        <f>_xll.qlCalendarAdvance(Calendar,W1606,V1607,"f",FALSE)</f>
        <v>50207</v>
      </c>
      <c r="X1607" s="181">
        <f>_xll.qlCalendarAdvance(Calendar,W1607,NDays&amp;"D")</f>
        <v>50209</v>
      </c>
      <c r="Y1607" s="178">
        <v>2.1821059062456412E-2</v>
      </c>
      <c r="Z1607" s="183">
        <v>2.1818718654049718E-2</v>
      </c>
    </row>
    <row r="1608" spans="22:26" x14ac:dyDescent="0.2">
      <c r="V1608" s="180" t="str">
        <f t="shared" si="32"/>
        <v>1w</v>
      </c>
      <c r="W1608" s="177">
        <f>_xll.qlCalendarAdvance(Calendar,W1607,V1608,"f",FALSE)</f>
        <v>50214</v>
      </c>
      <c r="X1608" s="181">
        <f>_xll.qlCalendarAdvance(Calendar,W1608,NDays&amp;"D")</f>
        <v>50216</v>
      </c>
      <c r="Y1608" s="178">
        <v>2.1811959659844189E-2</v>
      </c>
      <c r="Z1608" s="183">
        <v>2.1809441812514763E-2</v>
      </c>
    </row>
    <row r="1609" spans="22:26" x14ac:dyDescent="0.2">
      <c r="V1609" s="180" t="str">
        <f t="shared" si="32"/>
        <v>1w</v>
      </c>
      <c r="W1609" s="177">
        <f>_xll.qlCalendarAdvance(Calendar,W1608,V1609,"f",FALSE)</f>
        <v>50221</v>
      </c>
      <c r="X1609" s="181">
        <f>_xll.qlCalendarAdvance(Calendar,W1609,NDays&amp;"D")</f>
        <v>50223</v>
      </c>
      <c r="Y1609" s="178">
        <v>2.1802875033921209E-2</v>
      </c>
      <c r="Z1609" s="183">
        <v>2.1800179348838711E-2</v>
      </c>
    </row>
    <row r="1610" spans="22:26" x14ac:dyDescent="0.2">
      <c r="V1610" s="180" t="str">
        <f t="shared" si="32"/>
        <v>1w</v>
      </c>
      <c r="W1610" s="177">
        <f>_xll.qlCalendarAdvance(Calendar,W1609,V1610,"f",FALSE)</f>
        <v>50228</v>
      </c>
      <c r="X1610" s="181">
        <f>_xll.qlCalendarAdvance(Calendar,W1610,NDays&amp;"D")</f>
        <v>50230</v>
      </c>
      <c r="Y1610" s="178">
        <v>2.179380518428976E-2</v>
      </c>
      <c r="Z1610" s="183">
        <v>2.1790931262941626E-2</v>
      </c>
    </row>
    <row r="1611" spans="22:26" x14ac:dyDescent="0.2">
      <c r="V1611" s="180" t="str">
        <f t="shared" si="32"/>
        <v>1w</v>
      </c>
      <c r="W1611" s="177">
        <f>_xll.qlCalendarAdvance(Calendar,W1610,V1611,"f",FALSE)</f>
        <v>50235</v>
      </c>
      <c r="X1611" s="181">
        <f>_xll.qlCalendarAdvance(Calendar,W1611,NDays&amp;"D")</f>
        <v>50237</v>
      </c>
      <c r="Y1611" s="178">
        <v>2.1784750110551917E-2</v>
      </c>
      <c r="Z1611" s="183">
        <v>2.1781697554983381E-2</v>
      </c>
    </row>
    <row r="1612" spans="22:26" x14ac:dyDescent="0.2">
      <c r="V1612" s="180" t="str">
        <f t="shared" si="32"/>
        <v>1w</v>
      </c>
      <c r="W1612" s="177">
        <f>_xll.qlCalendarAdvance(Calendar,W1611,V1612,"f",FALSE)</f>
        <v>50242</v>
      </c>
      <c r="X1612" s="181">
        <f>_xll.qlCalendarAdvance(Calendar,W1612,NDays&amp;"D")</f>
        <v>50244</v>
      </c>
      <c r="Y1612" s="178">
        <v>2.1775709812311504E-2</v>
      </c>
      <c r="Z1612" s="183">
        <v>2.177247822488404E-2</v>
      </c>
    </row>
    <row r="1613" spans="22:26" x14ac:dyDescent="0.2">
      <c r="V1613" s="180" t="str">
        <f t="shared" si="32"/>
        <v>1w</v>
      </c>
      <c r="W1613" s="177">
        <f>_xll.qlCalendarAdvance(Calendar,W1612,V1613,"f",FALSE)</f>
        <v>50249</v>
      </c>
      <c r="X1613" s="181">
        <f>_xll.qlCalendarAdvance(Calendar,W1613,NDays&amp;"D")</f>
        <v>50251</v>
      </c>
      <c r="Y1613" s="178">
        <v>2.176668428917234E-2</v>
      </c>
      <c r="Z1613" s="183">
        <v>2.1763273272563666E-2</v>
      </c>
    </row>
    <row r="1614" spans="22:26" x14ac:dyDescent="0.2">
      <c r="V1614" s="180" t="str">
        <f t="shared" si="32"/>
        <v>1w</v>
      </c>
      <c r="W1614" s="177">
        <f>_xll.qlCalendarAdvance(Calendar,W1613,V1614,"f",FALSE)</f>
        <v>50256</v>
      </c>
      <c r="X1614" s="181">
        <f>_xll.qlCalendarAdvance(Calendar,W1614,NDays&amp;"D")</f>
        <v>50258</v>
      </c>
      <c r="Y1614" s="178">
        <v>2.1757673540738692E-2</v>
      </c>
      <c r="Z1614" s="183">
        <v>2.1754082698182131E-2</v>
      </c>
    </row>
    <row r="1615" spans="22:26" x14ac:dyDescent="0.2">
      <c r="V1615" s="180" t="str">
        <f t="shared" si="32"/>
        <v>1w</v>
      </c>
      <c r="W1615" s="177">
        <f>_xll.qlCalendarAdvance(Calendar,W1614,V1615,"f",FALSE)</f>
        <v>50263</v>
      </c>
      <c r="X1615" s="181">
        <f>_xll.qlCalendarAdvance(Calendar,W1615,NDays&amp;"D")</f>
        <v>50265</v>
      </c>
      <c r="Y1615" s="178">
        <v>2.1748677566616352E-2</v>
      </c>
      <c r="Z1615" s="183">
        <v>2.17449065016595E-2</v>
      </c>
    </row>
    <row r="1616" spans="22:26" x14ac:dyDescent="0.2">
      <c r="V1616" s="180" t="str">
        <f t="shared" si="32"/>
        <v>1w</v>
      </c>
      <c r="W1616" s="177">
        <f>_xll.qlCalendarAdvance(Calendar,W1615,V1616,"f",FALSE)</f>
        <v>50270</v>
      </c>
      <c r="X1616" s="181">
        <f>_xll.qlCalendarAdvance(Calendar,W1616,NDays&amp;"D")</f>
        <v>50272</v>
      </c>
      <c r="Y1616" s="178">
        <v>2.1739696366410897E-2</v>
      </c>
      <c r="Z1616" s="183">
        <v>2.1735744682915836E-2</v>
      </c>
    </row>
    <row r="1617" spans="22:26" x14ac:dyDescent="0.2">
      <c r="V1617" s="180" t="str">
        <f t="shared" si="32"/>
        <v>1w</v>
      </c>
      <c r="W1617" s="177">
        <f>_xll.qlCalendarAdvance(Calendar,W1616,V1617,"f",FALSE)</f>
        <v>50277</v>
      </c>
      <c r="X1617" s="181">
        <f>_xll.qlCalendarAdvance(Calendar,W1617,NDays&amp;"D")</f>
        <v>50279</v>
      </c>
      <c r="Y1617" s="178">
        <v>2.1730729939728997E-2</v>
      </c>
      <c r="Z1617" s="183">
        <v>2.1726597242111012E-2</v>
      </c>
    </row>
    <row r="1618" spans="22:26" x14ac:dyDescent="0.2">
      <c r="V1618" s="180" t="str">
        <f t="shared" si="32"/>
        <v>1w</v>
      </c>
      <c r="W1618" s="177">
        <f>_xll.qlCalendarAdvance(Calendar,W1617,V1618,"f",FALSE)</f>
        <v>50284</v>
      </c>
      <c r="X1618" s="181">
        <f>_xll.qlCalendarAdvance(Calendar,W1618,NDays&amp;"D")</f>
        <v>50286</v>
      </c>
      <c r="Y1618" s="178">
        <v>2.1721778286177759E-2</v>
      </c>
      <c r="Z1618" s="183">
        <v>2.1717464179085155E-2</v>
      </c>
    </row>
    <row r="1619" spans="22:26" x14ac:dyDescent="0.2">
      <c r="V1619" s="180" t="str">
        <f t="shared" si="32"/>
        <v>1w</v>
      </c>
      <c r="W1619" s="177">
        <f>_xll.qlCalendarAdvance(Calendar,W1618,V1619,"f",FALSE)</f>
        <v>50291</v>
      </c>
      <c r="X1619" s="181">
        <f>_xll.qlCalendarAdvance(Calendar,W1619,NDays&amp;"D")</f>
        <v>50293</v>
      </c>
      <c r="Y1619" s="178">
        <v>2.1712841405364735E-2</v>
      </c>
      <c r="Z1619" s="183">
        <v>2.1708345493918202E-2</v>
      </c>
    </row>
    <row r="1620" spans="22:26" x14ac:dyDescent="0.2">
      <c r="V1620" s="180" t="str">
        <f t="shared" si="32"/>
        <v>1w</v>
      </c>
      <c r="W1620" s="177">
        <f>_xll.qlCalendarAdvance(Calendar,W1619,V1620,"f",FALSE)</f>
        <v>50298</v>
      </c>
      <c r="X1620" s="181">
        <f>_xll.qlCalendarAdvance(Calendar,W1620,NDays&amp;"D")</f>
        <v>50300</v>
      </c>
      <c r="Y1620" s="178">
        <v>2.1703919296899219E-2</v>
      </c>
      <c r="Z1620" s="183">
        <v>2.1699241186610152E-2</v>
      </c>
    </row>
    <row r="1621" spans="22:26" x14ac:dyDescent="0.2">
      <c r="V1621" s="180" t="str">
        <f t="shared" ref="V1621:V1684" si="33">V1620</f>
        <v>1w</v>
      </c>
      <c r="W1621" s="177">
        <f>_xll.qlCalendarAdvance(Calendar,W1620,V1621,"f",FALSE)</f>
        <v>50305</v>
      </c>
      <c r="X1621" s="181">
        <f>_xll.qlCalendarAdvance(Calendar,W1621,NDays&amp;"D")</f>
        <v>50307</v>
      </c>
      <c r="Y1621" s="178">
        <v>2.1695011960389414E-2</v>
      </c>
      <c r="Z1621" s="183">
        <v>2.169015125708107E-2</v>
      </c>
    </row>
    <row r="1622" spans="22:26" x14ac:dyDescent="0.2">
      <c r="V1622" s="180" t="str">
        <f t="shared" si="33"/>
        <v>1w</v>
      </c>
      <c r="W1622" s="177">
        <f>_xll.qlCalendarAdvance(Calendar,W1621,V1622,"f",FALSE)</f>
        <v>50312</v>
      </c>
      <c r="X1622" s="181">
        <f>_xll.qlCalendarAdvance(Calendar,W1622,NDays&amp;"D")</f>
        <v>50314</v>
      </c>
      <c r="Y1622" s="178">
        <v>2.1686119395445718E-2</v>
      </c>
      <c r="Z1622" s="183">
        <v>2.1681075705490827E-2</v>
      </c>
    </row>
    <row r="1623" spans="22:26" x14ac:dyDescent="0.2">
      <c r="V1623" s="180" t="str">
        <f t="shared" si="33"/>
        <v>1w</v>
      </c>
      <c r="W1623" s="177">
        <f>_xll.qlCalendarAdvance(Calendar,W1622,V1623,"f",FALSE)</f>
        <v>50319</v>
      </c>
      <c r="X1623" s="181">
        <f>_xll.qlCalendarAdvance(Calendar,W1623,NDays&amp;"D")</f>
        <v>50321</v>
      </c>
      <c r="Y1623" s="178">
        <v>2.1677241601678526E-2</v>
      </c>
      <c r="Z1623" s="183">
        <v>2.1672014531679551E-2</v>
      </c>
    </row>
    <row r="1624" spans="22:26" x14ac:dyDescent="0.2">
      <c r="V1624" s="180" t="str">
        <f t="shared" si="33"/>
        <v>1w</v>
      </c>
      <c r="W1624" s="177">
        <f>_xll.qlCalendarAdvance(Calendar,W1623,V1624,"f",FALSE)</f>
        <v>50326</v>
      </c>
      <c r="X1624" s="181">
        <f>_xll.qlCalendarAdvance(Calendar,W1624,NDays&amp;"D")</f>
        <v>50328</v>
      </c>
      <c r="Y1624" s="178">
        <v>2.1668378578698664E-2</v>
      </c>
      <c r="Z1624" s="183">
        <v>2.1662967735727179E-2</v>
      </c>
    </row>
    <row r="1625" spans="22:26" x14ac:dyDescent="0.2">
      <c r="V1625" s="180" t="str">
        <f t="shared" si="33"/>
        <v>1w</v>
      </c>
      <c r="W1625" s="177">
        <f>_xll.qlCalendarAdvance(Calendar,W1624,V1625,"f",FALSE)</f>
        <v>50333</v>
      </c>
      <c r="X1625" s="181">
        <f>_xll.qlCalendarAdvance(Calendar,W1625,NDays&amp;"D")</f>
        <v>50335</v>
      </c>
      <c r="Y1625" s="178">
        <v>2.1659530326118063E-2</v>
      </c>
      <c r="Z1625" s="183">
        <v>2.1653935317713646E-2</v>
      </c>
    </row>
    <row r="1626" spans="22:26" x14ac:dyDescent="0.2">
      <c r="V1626" s="180" t="str">
        <f t="shared" si="33"/>
        <v>1w</v>
      </c>
      <c r="W1626" s="177">
        <f>_xll.qlCalendarAdvance(Calendar,W1625,V1626,"f",FALSE)</f>
        <v>50340</v>
      </c>
      <c r="X1626" s="181">
        <f>_xll.qlCalendarAdvance(Calendar,W1626,NDays&amp;"D")</f>
        <v>50342</v>
      </c>
      <c r="Y1626" s="178">
        <v>2.1650696843549085E-2</v>
      </c>
      <c r="Z1626" s="183">
        <v>2.1644917277479081E-2</v>
      </c>
    </row>
    <row r="1627" spans="22:26" x14ac:dyDescent="0.2">
      <c r="V1627" s="180" t="str">
        <f t="shared" si="33"/>
        <v>1w</v>
      </c>
      <c r="W1627" s="177">
        <f>_xll.qlCalendarAdvance(Calendar,W1626,V1627,"f",FALSE)</f>
        <v>50347</v>
      </c>
      <c r="X1627" s="181">
        <f>_xll.qlCalendarAdvance(Calendar,W1627,NDays&amp;"D")</f>
        <v>50349</v>
      </c>
      <c r="Y1627" s="178">
        <v>2.1641878130604975E-2</v>
      </c>
      <c r="Z1627" s="183">
        <v>2.1635913615023483E-2</v>
      </c>
    </row>
    <row r="1628" spans="22:26" x14ac:dyDescent="0.2">
      <c r="V1628" s="180" t="str">
        <f t="shared" si="33"/>
        <v>1w</v>
      </c>
      <c r="W1628" s="177">
        <f>_xll.qlCalendarAdvance(Calendar,W1627,V1628,"f",FALSE)</f>
        <v>50354</v>
      </c>
      <c r="X1628" s="181">
        <f>_xll.qlCalendarAdvance(Calendar,W1628,NDays&amp;"D")</f>
        <v>50356</v>
      </c>
      <c r="Y1628" s="178">
        <v>2.1633074186898971E-2</v>
      </c>
      <c r="Z1628" s="183">
        <v>2.1626924330426789E-2</v>
      </c>
    </row>
    <row r="1629" spans="22:26" x14ac:dyDescent="0.2">
      <c r="V1629" s="180" t="str">
        <f t="shared" si="33"/>
        <v>1w</v>
      </c>
      <c r="W1629" s="177">
        <f>_xll.qlCalendarAdvance(Calendar,W1628,V1629,"f",FALSE)</f>
        <v>50361</v>
      </c>
      <c r="X1629" s="181">
        <f>_xll.qlCalendarAdvance(Calendar,W1629,NDays&amp;"D")</f>
        <v>50363</v>
      </c>
      <c r="Y1629" s="178">
        <v>2.1624285012045628E-2</v>
      </c>
      <c r="Z1629" s="183">
        <v>2.1617949423768934E-2</v>
      </c>
    </row>
    <row r="1630" spans="22:26" x14ac:dyDescent="0.2">
      <c r="V1630" s="180" t="str">
        <f t="shared" si="33"/>
        <v>1w</v>
      </c>
      <c r="W1630" s="177">
        <f>_xll.qlCalendarAdvance(Calendar,W1629,V1630,"f",FALSE)</f>
        <v>50368</v>
      </c>
      <c r="X1630" s="181">
        <f>_xll.qlCalendarAdvance(Calendar,W1630,NDays&amp;"D")</f>
        <v>50370</v>
      </c>
      <c r="Y1630" s="178">
        <v>2.1615510605660158E-2</v>
      </c>
      <c r="Z1630" s="183">
        <v>2.1608988894890047E-2</v>
      </c>
    </row>
    <row r="1631" spans="22:26" x14ac:dyDescent="0.2">
      <c r="V1631" s="180" t="str">
        <f t="shared" si="33"/>
        <v>1w</v>
      </c>
      <c r="W1631" s="177">
        <f>_xll.qlCalendarAdvance(Calendar,W1630,V1631,"f",FALSE)</f>
        <v>50375</v>
      </c>
      <c r="X1631" s="181">
        <f>_xll.qlCalendarAdvance(Calendar,W1631,NDays&amp;"D")</f>
        <v>50377</v>
      </c>
      <c r="Y1631" s="178">
        <v>2.1606750967357771E-2</v>
      </c>
      <c r="Z1631" s="183">
        <v>2.1600042743710191E-2</v>
      </c>
    </row>
    <row r="1632" spans="22:26" x14ac:dyDescent="0.2">
      <c r="V1632" s="180" t="str">
        <f t="shared" si="33"/>
        <v>1w</v>
      </c>
      <c r="W1632" s="177">
        <f>_xll.qlCalendarAdvance(Calendar,W1631,V1632,"f",FALSE)</f>
        <v>50382</v>
      </c>
      <c r="X1632" s="181">
        <f>_xll.qlCalendarAdvance(Calendar,W1632,NDays&amp;"D")</f>
        <v>50384</v>
      </c>
      <c r="Y1632" s="178">
        <v>2.1598006096755218E-2</v>
      </c>
      <c r="Z1632" s="183">
        <v>2.159111097054911E-2</v>
      </c>
    </row>
    <row r="1633" spans="22:26" x14ac:dyDescent="0.2">
      <c r="V1633" s="180" t="str">
        <f t="shared" si="33"/>
        <v>1w</v>
      </c>
      <c r="W1633" s="177">
        <f>_xll.qlCalendarAdvance(Calendar,W1632,V1633,"f",FALSE)</f>
        <v>50389</v>
      </c>
      <c r="X1633" s="181">
        <f>_xll.qlCalendarAdvance(Calendar,W1633,NDays&amp;"D")</f>
        <v>50391</v>
      </c>
      <c r="Y1633" s="178">
        <v>2.158927599346902E-2</v>
      </c>
      <c r="Z1633" s="183">
        <v>2.1582193575087061E-2</v>
      </c>
    </row>
    <row r="1634" spans="22:26" x14ac:dyDescent="0.2">
      <c r="V1634" s="180" t="str">
        <f t="shared" si="33"/>
        <v>1w</v>
      </c>
      <c r="W1634" s="177">
        <f>_xll.qlCalendarAdvance(Calendar,W1633,V1634,"f",FALSE)</f>
        <v>50396</v>
      </c>
      <c r="X1634" s="181">
        <f>_xll.qlCalendarAdvance(Calendar,W1634,NDays&amp;"D")</f>
        <v>50398</v>
      </c>
      <c r="Y1634" s="178">
        <v>2.1580560657116797E-2</v>
      </c>
      <c r="Z1634" s="183">
        <v>2.1573323752130946E-2</v>
      </c>
    </row>
    <row r="1635" spans="22:26" x14ac:dyDescent="0.2">
      <c r="V1635" s="180" t="str">
        <f t="shared" si="33"/>
        <v>1w</v>
      </c>
      <c r="W1635" s="177">
        <f>_xll.qlCalendarAdvance(Calendar,W1634,V1635,"f",FALSE)</f>
        <v>50403</v>
      </c>
      <c r="X1635" s="181">
        <f>_xll.qlCalendarAdvance(Calendar,W1635,NDays&amp;"D")</f>
        <v>50405</v>
      </c>
      <c r="Y1635" s="178">
        <v>2.157186008731727E-2</v>
      </c>
      <c r="Z1635" s="183">
        <v>2.156443659631968E-2</v>
      </c>
    </row>
    <row r="1636" spans="22:26" x14ac:dyDescent="0.2">
      <c r="V1636" s="180" t="str">
        <f t="shared" si="33"/>
        <v>1w</v>
      </c>
      <c r="W1636" s="177">
        <f>_xll.qlCalendarAdvance(Calendar,W1635,V1636,"f",FALSE)</f>
        <v>50410</v>
      </c>
      <c r="X1636" s="181">
        <f>_xll.qlCalendarAdvance(Calendar,W1636,NDays&amp;"D")</f>
        <v>50412</v>
      </c>
      <c r="Y1636" s="178">
        <v>2.1563174283688709E-2</v>
      </c>
      <c r="Z1636" s="183">
        <v>2.1555527655854334E-2</v>
      </c>
    </row>
    <row r="1637" spans="22:26" x14ac:dyDescent="0.2">
      <c r="V1637" s="180" t="str">
        <f t="shared" si="33"/>
        <v>1w</v>
      </c>
      <c r="W1637" s="177">
        <f>_xll.qlCalendarAdvance(Calendar,W1636,V1637,"f",FALSE)</f>
        <v>50417</v>
      </c>
      <c r="X1637" s="181">
        <f>_xll.qlCalendarAdvance(Calendar,W1637,NDays&amp;"D")</f>
        <v>50419</v>
      </c>
      <c r="Y1637" s="178">
        <v>2.1554503245850936E-2</v>
      </c>
      <c r="Z1637" s="183">
        <v>2.1546667771827899E-2</v>
      </c>
    </row>
    <row r="1638" spans="22:26" x14ac:dyDescent="0.2">
      <c r="V1638" s="180" t="str">
        <f t="shared" si="33"/>
        <v>1w</v>
      </c>
      <c r="W1638" s="177">
        <f>_xll.qlCalendarAdvance(Calendar,W1637,V1638,"f",FALSE)</f>
        <v>50424</v>
      </c>
      <c r="X1638" s="181">
        <f>_xll.qlCalendarAdvance(Calendar,W1638,NDays&amp;"D")</f>
        <v>50426</v>
      </c>
      <c r="Y1638" s="178">
        <v>2.1545846973424189E-2</v>
      </c>
      <c r="Z1638" s="183">
        <v>2.1537822265500495E-2</v>
      </c>
    </row>
    <row r="1639" spans="22:26" x14ac:dyDescent="0.2">
      <c r="V1639" s="180" t="str">
        <f t="shared" si="33"/>
        <v>1w</v>
      </c>
      <c r="W1639" s="177">
        <f>_xll.qlCalendarAdvance(Calendar,W1638,V1639,"f",FALSE)</f>
        <v>50431</v>
      </c>
      <c r="X1639" s="181">
        <f>_xll.qlCalendarAdvance(Calendar,W1639,NDays&amp;"D")</f>
        <v>50433</v>
      </c>
      <c r="Y1639" s="178">
        <v>2.1537205466029163E-2</v>
      </c>
      <c r="Z1639" s="183">
        <v>2.152899113711193E-2</v>
      </c>
    </row>
    <row r="1640" spans="22:26" x14ac:dyDescent="0.2">
      <c r="V1640" s="180" t="str">
        <f t="shared" si="33"/>
        <v>1w</v>
      </c>
      <c r="W1640" s="177">
        <f>_xll.qlCalendarAdvance(Calendar,W1639,V1640,"f",FALSE)</f>
        <v>50438</v>
      </c>
      <c r="X1640" s="181">
        <f>_xll.qlCalendarAdvance(Calendar,W1640,NDays&amp;"D")</f>
        <v>50440</v>
      </c>
      <c r="Y1640" s="178">
        <v>2.1528578723287634E-2</v>
      </c>
      <c r="Z1640" s="183">
        <v>2.1520174386502333E-2</v>
      </c>
    </row>
    <row r="1641" spans="22:26" x14ac:dyDescent="0.2">
      <c r="V1641" s="180" t="str">
        <f t="shared" si="33"/>
        <v>1w</v>
      </c>
      <c r="W1641" s="177">
        <f>_xll.qlCalendarAdvance(Calendar,W1640,V1641,"f",FALSE)</f>
        <v>50445</v>
      </c>
      <c r="X1641" s="181">
        <f>_xll.qlCalendarAdvance(Calendar,W1641,NDays&amp;"D")</f>
        <v>50447</v>
      </c>
      <c r="Y1641" s="178">
        <v>2.1519966744820949E-2</v>
      </c>
      <c r="Z1641" s="183">
        <v>2.1511372013671703E-2</v>
      </c>
    </row>
    <row r="1642" spans="22:26" x14ac:dyDescent="0.2">
      <c r="V1642" s="180" t="str">
        <f t="shared" si="33"/>
        <v>1w</v>
      </c>
      <c r="W1642" s="177">
        <f>_xll.qlCalendarAdvance(Calendar,W1641,V1642,"f",FALSE)</f>
        <v>50452</v>
      </c>
      <c r="X1642" s="181">
        <f>_xll.qlCalendarAdvance(Calendar,W1642,NDays&amp;"D")</f>
        <v>50454</v>
      </c>
      <c r="Y1642" s="178">
        <v>2.1511369530252865E-2</v>
      </c>
      <c r="Z1642" s="183">
        <v>2.1502584018779913E-2</v>
      </c>
    </row>
    <row r="1643" spans="22:26" x14ac:dyDescent="0.2">
      <c r="V1643" s="180" t="str">
        <f t="shared" si="33"/>
        <v>1w</v>
      </c>
      <c r="W1643" s="177">
        <f>_xll.qlCalendarAdvance(Calendar,W1642,V1643,"f",FALSE)</f>
        <v>50459</v>
      </c>
      <c r="X1643" s="181">
        <f>_xll.qlCalendarAdvance(Calendar,W1643,NDays&amp;"D")</f>
        <v>50461</v>
      </c>
      <c r="Y1643" s="178">
        <v>2.1502787079206033E-2</v>
      </c>
      <c r="Z1643" s="183">
        <v>2.1493810401667091E-2</v>
      </c>
    </row>
    <row r="1644" spans="22:26" x14ac:dyDescent="0.2">
      <c r="V1644" s="180" t="str">
        <f t="shared" si="33"/>
        <v>1w</v>
      </c>
      <c r="W1644" s="177">
        <f>_xll.qlCalendarAdvance(Calendar,W1643,V1644,"f",FALSE)</f>
        <v>50466</v>
      </c>
      <c r="X1644" s="181">
        <f>_xll.qlCalendarAdvance(Calendar,W1644,NDays&amp;"D")</f>
        <v>50468</v>
      </c>
      <c r="Y1644" s="178">
        <v>2.1494219391305084E-2</v>
      </c>
      <c r="Z1644" s="183">
        <v>2.1485051162333235E-2</v>
      </c>
    </row>
    <row r="1645" spans="22:26" x14ac:dyDescent="0.2">
      <c r="V1645" s="180" t="str">
        <f t="shared" si="33"/>
        <v>1w</v>
      </c>
      <c r="W1645" s="177">
        <f>_xll.qlCalendarAdvance(Calendar,W1644,V1645,"f",FALSE)</f>
        <v>50473</v>
      </c>
      <c r="X1645" s="181">
        <f>_xll.qlCalendarAdvance(Calendar,W1645,NDays&amp;"D")</f>
        <v>50475</v>
      </c>
      <c r="Y1645" s="178">
        <v>2.1485666466174429E-2</v>
      </c>
      <c r="Z1645" s="183">
        <v>2.1476306300858283E-2</v>
      </c>
    </row>
    <row r="1646" spans="22:26" x14ac:dyDescent="0.2">
      <c r="V1646" s="180" t="str">
        <f t="shared" si="33"/>
        <v>1w</v>
      </c>
      <c r="W1646" s="177">
        <f>_xll.qlCalendarAdvance(Calendar,W1645,V1646,"f",FALSE)</f>
        <v>50480</v>
      </c>
      <c r="X1646" s="181">
        <f>_xll.qlCalendarAdvance(Calendar,W1646,NDays&amp;"D")</f>
        <v>50482</v>
      </c>
      <c r="Y1646" s="178">
        <v>2.1477128303439355E-2</v>
      </c>
      <c r="Z1646" s="183">
        <v>2.1467575817162299E-2</v>
      </c>
    </row>
    <row r="1647" spans="22:26" x14ac:dyDescent="0.2">
      <c r="V1647" s="180" t="str">
        <f t="shared" si="33"/>
        <v>1w</v>
      </c>
      <c r="W1647" s="177">
        <f>_xll.qlCalendarAdvance(Calendar,W1646,V1647,"f",FALSE)</f>
        <v>50487</v>
      </c>
      <c r="X1647" s="181">
        <f>_xll.qlCalendarAdvance(Calendar,W1647,NDays&amp;"D")</f>
        <v>50489</v>
      </c>
      <c r="Y1647" s="178">
        <v>2.1468604902726462E-2</v>
      </c>
      <c r="Z1647" s="183">
        <v>2.1458859711325218E-2</v>
      </c>
    </row>
    <row r="1648" spans="22:26" x14ac:dyDescent="0.2">
      <c r="V1648" s="180" t="str">
        <f t="shared" si="33"/>
        <v>1w</v>
      </c>
      <c r="W1648" s="177">
        <f>_xll.qlCalendarAdvance(Calendar,W1647,V1648,"f",FALSE)</f>
        <v>50494</v>
      </c>
      <c r="X1648" s="181">
        <f>_xll.qlCalendarAdvance(Calendar,W1648,NDays&amp;"D")</f>
        <v>50496</v>
      </c>
      <c r="Y1648" s="178">
        <v>2.1460096263661691E-2</v>
      </c>
      <c r="Z1648" s="183">
        <v>2.1450157983267104E-2</v>
      </c>
    </row>
    <row r="1649" spans="22:26" x14ac:dyDescent="0.2">
      <c r="V1649" s="180" t="str">
        <f t="shared" si="33"/>
        <v>1w</v>
      </c>
      <c r="W1649" s="177">
        <f>_xll.qlCalendarAdvance(Calendar,W1648,V1649,"f",FALSE)</f>
        <v>50501</v>
      </c>
      <c r="X1649" s="181">
        <f>_xll.qlCalendarAdvance(Calendar,W1649,NDays&amp;"D")</f>
        <v>50503</v>
      </c>
      <c r="Y1649" s="178">
        <v>2.145175275686852E-2</v>
      </c>
      <c r="Z1649" s="183">
        <v>2.1441470633067894E-2</v>
      </c>
    </row>
    <row r="1650" spans="22:26" x14ac:dyDescent="0.2">
      <c r="V1650" s="180" t="str">
        <f t="shared" si="33"/>
        <v>1w</v>
      </c>
      <c r="W1650" s="177">
        <f>_xll.qlCalendarAdvance(Calendar,W1649,V1650,"f",FALSE)</f>
        <v>50508</v>
      </c>
      <c r="X1650" s="181">
        <f>_xll.qlCalendarAdvance(Calendar,W1650,NDays&amp;"D")</f>
        <v>50510</v>
      </c>
      <c r="Y1650" s="178">
        <v>2.1443123268987296E-2</v>
      </c>
      <c r="Z1650" s="183">
        <v>2.1432797660647651E-2</v>
      </c>
    </row>
    <row r="1651" spans="22:26" x14ac:dyDescent="0.2">
      <c r="V1651" s="180" t="str">
        <f t="shared" si="33"/>
        <v>1w</v>
      </c>
      <c r="W1651" s="177">
        <f>_xll.qlCalendarAdvance(Calendar,W1650,V1651,"f",FALSE)</f>
        <v>50515</v>
      </c>
      <c r="X1651" s="181">
        <f>_xll.qlCalendarAdvance(Calendar,W1651,NDays&amp;"D")</f>
        <v>50517</v>
      </c>
      <c r="Y1651" s="178">
        <v>2.143465891263438E-2</v>
      </c>
      <c r="Z1651" s="183">
        <v>2.1424217644877785E-2</v>
      </c>
    </row>
    <row r="1652" spans="22:26" x14ac:dyDescent="0.2">
      <c r="V1652" s="180" t="str">
        <f t="shared" si="33"/>
        <v>1w</v>
      </c>
      <c r="W1652" s="177">
        <f>_xll.qlCalendarAdvance(Calendar,W1651,V1652,"f",FALSE)</f>
        <v>50522</v>
      </c>
      <c r="X1652" s="181">
        <f>_xll.qlCalendarAdvance(Calendar,W1652,NDays&amp;"D")</f>
        <v>50524</v>
      </c>
      <c r="Y1652" s="178">
        <v>2.1426209316442991E-2</v>
      </c>
      <c r="Z1652" s="183">
        <v>2.141549484930394E-2</v>
      </c>
    </row>
    <row r="1653" spans="22:26" x14ac:dyDescent="0.2">
      <c r="V1653" s="180" t="str">
        <f t="shared" si="33"/>
        <v>1w</v>
      </c>
      <c r="W1653" s="177">
        <f>_xll.qlCalendarAdvance(Calendar,W1652,V1653,"f",FALSE)</f>
        <v>50529</v>
      </c>
      <c r="X1653" s="181">
        <f>_xll.qlCalendarAdvance(Calendar,W1653,NDays&amp;"D")</f>
        <v>50531</v>
      </c>
      <c r="Y1653" s="178">
        <v>2.1417774480043023E-2</v>
      </c>
      <c r="Z1653" s="183">
        <v>2.1406865010300535E-2</v>
      </c>
    </row>
    <row r="1654" spans="22:26" x14ac:dyDescent="0.2">
      <c r="V1654" s="180" t="str">
        <f t="shared" si="33"/>
        <v>1w</v>
      </c>
      <c r="W1654" s="177">
        <f>_xll.qlCalendarAdvance(Calendar,W1653,V1654,"f",FALSE)</f>
        <v>50536</v>
      </c>
      <c r="X1654" s="181">
        <f>_xll.qlCalendarAdvance(Calendar,W1654,NDays&amp;"D")</f>
        <v>50538</v>
      </c>
      <c r="Y1654" s="178">
        <v>2.1409354403065229E-2</v>
      </c>
      <c r="Z1654" s="183">
        <v>2.1398249549156034E-2</v>
      </c>
    </row>
    <row r="1655" spans="22:26" x14ac:dyDescent="0.2">
      <c r="V1655" s="180" t="str">
        <f t="shared" si="33"/>
        <v>1w</v>
      </c>
      <c r="W1655" s="177">
        <f>_xll.qlCalendarAdvance(Calendar,W1654,V1655,"f",FALSE)</f>
        <v>50543</v>
      </c>
      <c r="X1655" s="181">
        <f>_xll.qlCalendarAdvance(Calendar,W1655,NDays&amp;"D")</f>
        <v>50545</v>
      </c>
      <c r="Y1655" s="178">
        <v>2.1400949085140595E-2</v>
      </c>
      <c r="Z1655" s="183">
        <v>2.1389648465790501E-2</v>
      </c>
    </row>
    <row r="1656" spans="22:26" x14ac:dyDescent="0.2">
      <c r="V1656" s="180" t="str">
        <f t="shared" si="33"/>
        <v>1w</v>
      </c>
      <c r="W1656" s="177">
        <f>_xll.qlCalendarAdvance(Calendar,W1655,V1656,"f",FALSE)</f>
        <v>50550</v>
      </c>
      <c r="X1656" s="181">
        <f>_xll.qlCalendarAdvance(Calendar,W1656,NDays&amp;"D")</f>
        <v>50552</v>
      </c>
      <c r="Y1656" s="178">
        <v>2.1392558525900975E-2</v>
      </c>
      <c r="Z1656" s="183">
        <v>2.138106176028387E-2</v>
      </c>
    </row>
    <row r="1657" spans="22:26" x14ac:dyDescent="0.2">
      <c r="V1657" s="180" t="str">
        <f t="shared" si="33"/>
        <v>1w</v>
      </c>
      <c r="W1657" s="177">
        <f>_xll.qlCalendarAdvance(Calendar,W1656,V1657,"f",FALSE)</f>
        <v>50557</v>
      </c>
      <c r="X1657" s="181">
        <f>_xll.qlCalendarAdvance(Calendar,W1657,NDays&amp;"D")</f>
        <v>50559</v>
      </c>
      <c r="Y1657" s="178">
        <v>2.1384182724979536E-2</v>
      </c>
      <c r="Z1657" s="183">
        <v>2.1372489432556208E-2</v>
      </c>
    </row>
    <row r="1658" spans="22:26" x14ac:dyDescent="0.2">
      <c r="V1658" s="180" t="str">
        <f t="shared" si="33"/>
        <v>1w</v>
      </c>
      <c r="W1658" s="177">
        <f>_xll.qlCalendarAdvance(Calendar,W1657,V1658,"f",FALSE)</f>
        <v>50564</v>
      </c>
      <c r="X1658" s="181">
        <f>_xll.qlCalendarAdvance(Calendar,W1658,NDays&amp;"D")</f>
        <v>50566</v>
      </c>
      <c r="Y1658" s="178">
        <v>2.1375821682008141E-2</v>
      </c>
      <c r="Z1658" s="183">
        <v>2.1363931482607512E-2</v>
      </c>
    </row>
    <row r="1659" spans="22:26" x14ac:dyDescent="0.2">
      <c r="V1659" s="180" t="str">
        <f t="shared" si="33"/>
        <v>1w</v>
      </c>
      <c r="W1659" s="177">
        <f>_xll.qlCalendarAdvance(Calendar,W1658,V1659,"f",FALSE)</f>
        <v>50571</v>
      </c>
      <c r="X1659" s="181">
        <f>_xll.qlCalendarAdvance(Calendar,W1659,NDays&amp;"D")</f>
        <v>50573</v>
      </c>
      <c r="Y1659" s="178">
        <v>2.1367475396621708E-2</v>
      </c>
      <c r="Z1659" s="183">
        <v>2.135538791051772E-2</v>
      </c>
    </row>
    <row r="1660" spans="22:26" x14ac:dyDescent="0.2">
      <c r="V1660" s="180" t="str">
        <f t="shared" si="33"/>
        <v>1w</v>
      </c>
      <c r="W1660" s="177">
        <f>_xll.qlCalendarAdvance(Calendar,W1659,V1660,"f",FALSE)</f>
        <v>50578</v>
      </c>
      <c r="X1660" s="181">
        <f>_xll.qlCalendarAdvance(Calendar,W1660,NDays&amp;"D")</f>
        <v>50580</v>
      </c>
      <c r="Y1660" s="178">
        <v>2.1359143868454281E-2</v>
      </c>
      <c r="Z1660" s="183">
        <v>2.1346858716206896E-2</v>
      </c>
    </row>
    <row r="1661" spans="22:26" x14ac:dyDescent="0.2">
      <c r="V1661" s="180" t="str">
        <f t="shared" si="33"/>
        <v>1w</v>
      </c>
      <c r="W1661" s="177">
        <f>_xll.qlCalendarAdvance(Calendar,W1660,V1661,"f",FALSE)</f>
        <v>50585</v>
      </c>
      <c r="X1661" s="181">
        <f>_xll.qlCalendarAdvance(Calendar,W1661,NDays&amp;"D")</f>
        <v>50587</v>
      </c>
      <c r="Y1661" s="178">
        <v>2.1350827097141003E-2</v>
      </c>
      <c r="Z1661" s="183">
        <v>2.1338343899675039E-2</v>
      </c>
    </row>
    <row r="1662" spans="22:26" x14ac:dyDescent="0.2">
      <c r="V1662" s="180" t="str">
        <f t="shared" si="33"/>
        <v>1w</v>
      </c>
      <c r="W1662" s="177">
        <f>_xll.qlCalendarAdvance(Calendar,W1661,V1662,"f",FALSE)</f>
        <v>50592</v>
      </c>
      <c r="X1662" s="181">
        <f>_xll.qlCalendarAdvance(Calendar,W1662,NDays&amp;"D")</f>
        <v>50594</v>
      </c>
      <c r="Y1662" s="178">
        <v>2.1342525082317456E-2</v>
      </c>
      <c r="Z1662" s="183">
        <v>2.1329843461002085E-2</v>
      </c>
    </row>
    <row r="1663" spans="22:26" x14ac:dyDescent="0.2">
      <c r="V1663" s="180" t="str">
        <f t="shared" si="33"/>
        <v>1w</v>
      </c>
      <c r="W1663" s="177">
        <f>_xll.qlCalendarAdvance(Calendar,W1662,V1663,"f",FALSE)</f>
        <v>50599</v>
      </c>
      <c r="X1663" s="181">
        <f>_xll.qlCalendarAdvance(Calendar,W1663,NDays&amp;"D")</f>
        <v>50601</v>
      </c>
      <c r="Y1663" s="178">
        <v>2.1334237823620313E-2</v>
      </c>
      <c r="Z1663" s="183">
        <v>2.1321357400108099E-2</v>
      </c>
    </row>
    <row r="1664" spans="22:26" x14ac:dyDescent="0.2">
      <c r="V1664" s="180" t="str">
        <f t="shared" si="33"/>
        <v>1w</v>
      </c>
      <c r="W1664" s="177">
        <f>_xll.qlCalendarAdvance(Calendar,W1663,V1664,"f",FALSE)</f>
        <v>50606</v>
      </c>
      <c r="X1664" s="181">
        <f>_xll.qlCalendarAdvance(Calendar,W1664,NDays&amp;"D")</f>
        <v>50608</v>
      </c>
      <c r="Y1664" s="178">
        <v>2.1325965320686462E-2</v>
      </c>
      <c r="Z1664" s="183">
        <v>2.131288571699308E-2</v>
      </c>
    </row>
    <row r="1665" spans="22:26" x14ac:dyDescent="0.2">
      <c r="V1665" s="180" t="str">
        <f t="shared" si="33"/>
        <v>1w</v>
      </c>
      <c r="W1665" s="177">
        <f>_xll.qlCalendarAdvance(Calendar,W1664,V1665,"f",FALSE)</f>
        <v>50613</v>
      </c>
      <c r="X1665" s="181">
        <f>_xll.qlCalendarAdvance(Calendar,W1665,NDays&amp;"D")</f>
        <v>50615</v>
      </c>
      <c r="Y1665" s="178">
        <v>2.1317707573153679E-2</v>
      </c>
      <c r="Z1665" s="183">
        <v>2.1304428411657028E-2</v>
      </c>
    </row>
    <row r="1666" spans="22:26" x14ac:dyDescent="0.2">
      <c r="V1666" s="180" t="str">
        <f t="shared" si="33"/>
        <v>1w</v>
      </c>
      <c r="W1666" s="177">
        <f>_xll.qlCalendarAdvance(Calendar,W1665,V1666,"f",FALSE)</f>
        <v>50620</v>
      </c>
      <c r="X1666" s="181">
        <f>_xll.qlCalendarAdvance(Calendar,W1666,NDays&amp;"D")</f>
        <v>50622</v>
      </c>
      <c r="Y1666" s="178">
        <v>2.1309464580660169E-2</v>
      </c>
      <c r="Z1666" s="183">
        <v>2.129598548417988E-2</v>
      </c>
    </row>
    <row r="1667" spans="22:26" x14ac:dyDescent="0.2">
      <c r="V1667" s="180" t="str">
        <f t="shared" si="33"/>
        <v>1w</v>
      </c>
      <c r="W1667" s="177">
        <f>_xll.qlCalendarAdvance(Calendar,W1666,V1667,"f",FALSE)</f>
        <v>50627</v>
      </c>
      <c r="X1667" s="181">
        <f>_xll.qlCalendarAdvance(Calendar,W1667,NDays&amp;"D")</f>
        <v>50629</v>
      </c>
      <c r="Y1667" s="178">
        <v>2.1301236342845014E-2</v>
      </c>
      <c r="Z1667" s="183">
        <v>2.1287556934481699E-2</v>
      </c>
    </row>
    <row r="1668" spans="22:26" x14ac:dyDescent="0.2">
      <c r="V1668" s="180" t="str">
        <f t="shared" si="33"/>
        <v>1w</v>
      </c>
      <c r="W1668" s="177">
        <f>_xll.qlCalendarAdvance(Calendar,W1667,V1668,"f",FALSE)</f>
        <v>50634</v>
      </c>
      <c r="X1668" s="181">
        <f>_xll.qlCalendarAdvance(Calendar,W1668,NDays&amp;"D")</f>
        <v>50636</v>
      </c>
      <c r="Y1668" s="178">
        <v>2.1293022859347737E-2</v>
      </c>
      <c r="Z1668" s="183">
        <v>2.1279142762562486E-2</v>
      </c>
    </row>
    <row r="1669" spans="22:26" x14ac:dyDescent="0.2">
      <c r="V1669" s="180" t="str">
        <f t="shared" si="33"/>
        <v>1w</v>
      </c>
      <c r="W1669" s="177">
        <f>_xll.qlCalendarAdvance(Calendar,W1668,V1669,"f",FALSE)</f>
        <v>50641</v>
      </c>
      <c r="X1669" s="181">
        <f>_xll.qlCalendarAdvance(Calendar,W1669,NDays&amp;"D")</f>
        <v>50643</v>
      </c>
      <c r="Y1669" s="178">
        <v>2.1284824129808734E-2</v>
      </c>
      <c r="Z1669" s="183">
        <v>2.127074296842224E-2</v>
      </c>
    </row>
    <row r="1670" spans="22:26" x14ac:dyDescent="0.2">
      <c r="V1670" s="180" t="str">
        <f t="shared" si="33"/>
        <v>1w</v>
      </c>
      <c r="W1670" s="177">
        <f>_xll.qlCalendarAdvance(Calendar,W1669,V1670,"f",FALSE)</f>
        <v>50648</v>
      </c>
      <c r="X1670" s="181">
        <f>_xll.qlCalendarAdvance(Calendar,W1670,NDays&amp;"D")</f>
        <v>50650</v>
      </c>
      <c r="Y1670" s="178">
        <v>2.1276640153869059E-2</v>
      </c>
      <c r="Z1670" s="183">
        <v>2.1262357552060962E-2</v>
      </c>
    </row>
    <row r="1671" spans="22:26" x14ac:dyDescent="0.2">
      <c r="V1671" s="180" t="str">
        <f t="shared" si="33"/>
        <v>1w</v>
      </c>
      <c r="W1671" s="177">
        <f>_xll.qlCalendarAdvance(Calendar,W1670,V1671,"f",FALSE)</f>
        <v>50655</v>
      </c>
      <c r="X1671" s="181">
        <f>_xll.qlCalendarAdvance(Calendar,W1671,NDays&amp;"D")</f>
        <v>50657</v>
      </c>
      <c r="Y1671" s="178">
        <v>2.1268470931170205E-2</v>
      </c>
      <c r="Z1671" s="183">
        <v>2.1253986513558587E-2</v>
      </c>
    </row>
    <row r="1672" spans="22:26" x14ac:dyDescent="0.2">
      <c r="V1672" s="180" t="str">
        <f t="shared" si="33"/>
        <v>1w</v>
      </c>
      <c r="W1672" s="177">
        <f>_xll.qlCalendarAdvance(Calendar,W1671,V1672,"f",FALSE)</f>
        <v>50662</v>
      </c>
      <c r="X1672" s="181">
        <f>_xll.qlCalendarAdvance(Calendar,W1672,NDays&amp;"D")</f>
        <v>50664</v>
      </c>
      <c r="Y1672" s="178">
        <v>2.1260316461354102E-2</v>
      </c>
      <c r="Z1672" s="183">
        <v>2.1245629852835179E-2</v>
      </c>
    </row>
    <row r="1673" spans="22:26" x14ac:dyDescent="0.2">
      <c r="V1673" s="180" t="str">
        <f t="shared" si="33"/>
        <v>1w</v>
      </c>
      <c r="W1673" s="177">
        <f>_xll.qlCalendarAdvance(Calendar,W1672,V1673,"f",FALSE)</f>
        <v>50669</v>
      </c>
      <c r="X1673" s="181">
        <f>_xll.qlCalendarAdvance(Calendar,W1673,NDays&amp;"D")</f>
        <v>50671</v>
      </c>
      <c r="Y1673" s="178">
        <v>2.1252176744063996E-2</v>
      </c>
      <c r="Z1673" s="183">
        <v>2.1237287569890739E-2</v>
      </c>
    </row>
    <row r="1674" spans="22:26" x14ac:dyDescent="0.2">
      <c r="V1674" s="180" t="str">
        <f t="shared" si="33"/>
        <v>1w</v>
      </c>
      <c r="W1674" s="177">
        <f>_xll.qlCalendarAdvance(Calendar,W1673,V1674,"f",FALSE)</f>
        <v>50676</v>
      </c>
      <c r="X1674" s="181">
        <f>_xll.qlCalendarAdvance(Calendar,W1674,NDays&amp;"D")</f>
        <v>50678</v>
      </c>
      <c r="Y1674" s="178">
        <v>2.1244051778943344E-2</v>
      </c>
      <c r="Z1674" s="183">
        <v>2.1228959664725267E-2</v>
      </c>
    </row>
    <row r="1675" spans="22:26" x14ac:dyDescent="0.2">
      <c r="V1675" s="180" t="str">
        <f t="shared" si="33"/>
        <v>1w</v>
      </c>
      <c r="W1675" s="177">
        <f>_xll.qlCalendarAdvance(Calendar,W1674,V1675,"f",FALSE)</f>
        <v>50683</v>
      </c>
      <c r="X1675" s="181">
        <f>_xll.qlCalendarAdvance(Calendar,W1675,NDays&amp;"D")</f>
        <v>50685</v>
      </c>
      <c r="Y1675" s="178">
        <v>2.1235941565636275E-2</v>
      </c>
      <c r="Z1675" s="183">
        <v>2.1220646137418697E-2</v>
      </c>
    </row>
    <row r="1676" spans="22:26" x14ac:dyDescent="0.2">
      <c r="V1676" s="180" t="str">
        <f t="shared" si="33"/>
        <v>1w</v>
      </c>
      <c r="W1676" s="177">
        <f>_xll.qlCalendarAdvance(Calendar,W1675,V1676,"f",FALSE)</f>
        <v>50690</v>
      </c>
      <c r="X1676" s="181">
        <f>_xll.qlCalendarAdvance(Calendar,W1676,NDays&amp;"D")</f>
        <v>50692</v>
      </c>
      <c r="Y1676" s="178">
        <v>2.1227846103787341E-2</v>
      </c>
      <c r="Z1676" s="183">
        <v>2.1212346987731223E-2</v>
      </c>
    </row>
    <row r="1677" spans="22:26" x14ac:dyDescent="0.2">
      <c r="V1677" s="180" t="str">
        <f t="shared" si="33"/>
        <v>1w</v>
      </c>
      <c r="W1677" s="177">
        <f>_xll.qlCalendarAdvance(Calendar,W1676,V1677,"f",FALSE)</f>
        <v>50697</v>
      </c>
      <c r="X1677" s="181">
        <f>_xll.qlCalendarAdvance(Calendar,W1677,NDays&amp;"D")</f>
        <v>50699</v>
      </c>
      <c r="Y1677" s="178">
        <v>2.121976539304242E-2</v>
      </c>
      <c r="Z1677" s="183">
        <v>2.1204062215982589E-2</v>
      </c>
    </row>
    <row r="1678" spans="22:26" x14ac:dyDescent="0.2">
      <c r="V1678" s="180" t="str">
        <f t="shared" si="33"/>
        <v>1w</v>
      </c>
      <c r="W1678" s="177">
        <f>_xll.qlCalendarAdvance(Calendar,W1677,V1678,"f",FALSE)</f>
        <v>50704</v>
      </c>
      <c r="X1678" s="181">
        <f>_xll.qlCalendarAdvance(Calendar,W1678,NDays&amp;"D")</f>
        <v>50706</v>
      </c>
      <c r="Y1678" s="178">
        <v>2.1211699433047595E-2</v>
      </c>
      <c r="Z1678" s="183">
        <v>2.1195791821932985E-2</v>
      </c>
    </row>
    <row r="1679" spans="22:26" x14ac:dyDescent="0.2">
      <c r="V1679" s="180" t="str">
        <f t="shared" si="33"/>
        <v>1w</v>
      </c>
      <c r="W1679" s="177">
        <f>_xll.qlCalendarAdvance(Calendar,W1678,V1679,"f",FALSE)</f>
        <v>50711</v>
      </c>
      <c r="X1679" s="181">
        <f>_xll.qlCalendarAdvance(Calendar,W1679,NDays&amp;"D")</f>
        <v>50713</v>
      </c>
      <c r="Y1679" s="178">
        <v>2.1203648223786887E-2</v>
      </c>
      <c r="Z1679" s="183">
        <v>2.1187535805742286E-2</v>
      </c>
    </row>
    <row r="1680" spans="22:26" x14ac:dyDescent="0.2">
      <c r="V1680" s="180" t="str">
        <f t="shared" si="33"/>
        <v>1w</v>
      </c>
      <c r="W1680" s="177">
        <f>_xll.qlCalendarAdvance(Calendar,W1679,V1680,"f",FALSE)</f>
        <v>50718</v>
      </c>
      <c r="X1680" s="181">
        <f>_xll.qlCalendarAdvance(Calendar,W1680,NDays&amp;"D")</f>
        <v>50720</v>
      </c>
      <c r="Y1680" s="178">
        <v>2.1195611936663784E-2</v>
      </c>
      <c r="Z1680" s="183">
        <v>2.1179294167330553E-2</v>
      </c>
    </row>
    <row r="1681" spans="22:26" x14ac:dyDescent="0.2">
      <c r="V1681" s="180" t="str">
        <f t="shared" si="33"/>
        <v>1w</v>
      </c>
      <c r="W1681" s="177">
        <f>_xll.qlCalendarAdvance(Calendar,W1680,V1681,"f",FALSE)</f>
        <v>50725</v>
      </c>
      <c r="X1681" s="181">
        <f>_xll.qlCalendarAdvance(Calendar,W1681,NDays&amp;"D")</f>
        <v>50727</v>
      </c>
      <c r="Y1681" s="178">
        <v>2.1187591192877605E-2</v>
      </c>
      <c r="Z1681" s="183">
        <v>2.1171066906617853E-2</v>
      </c>
    </row>
    <row r="1682" spans="22:26" x14ac:dyDescent="0.2">
      <c r="V1682" s="180" t="str">
        <f t="shared" si="33"/>
        <v>1w</v>
      </c>
      <c r="W1682" s="177">
        <f>_xll.qlCalendarAdvance(Calendar,W1681,V1682,"f",FALSE)</f>
        <v>50732</v>
      </c>
      <c r="X1682" s="181">
        <f>_xll.qlCalendarAdvance(Calendar,W1682,NDays&amp;"D")</f>
        <v>50734</v>
      </c>
      <c r="Y1682" s="178">
        <v>2.1179586686494951E-2</v>
      </c>
      <c r="Z1682" s="183">
        <v>2.1162854023843991E-2</v>
      </c>
    </row>
    <row r="1683" spans="22:26" x14ac:dyDescent="0.2">
      <c r="V1683" s="180" t="str">
        <f t="shared" si="33"/>
        <v>1w</v>
      </c>
      <c r="W1683" s="177">
        <f>_xll.qlCalendarAdvance(Calendar,W1682,V1683,"f",FALSE)</f>
        <v>50739</v>
      </c>
      <c r="X1683" s="181">
        <f>_xll.qlCalendarAdvance(Calendar,W1683,NDays&amp;"D")</f>
        <v>50741</v>
      </c>
      <c r="Y1683" s="178">
        <v>2.1171599111559889E-2</v>
      </c>
      <c r="Z1683" s="183">
        <v>2.1154655518769161E-2</v>
      </c>
    </row>
    <row r="1684" spans="22:26" x14ac:dyDescent="0.2">
      <c r="V1684" s="180" t="str">
        <f t="shared" si="33"/>
        <v>1w</v>
      </c>
      <c r="W1684" s="177">
        <f>_xll.qlCalendarAdvance(Calendar,W1683,V1684,"f",FALSE)</f>
        <v>50746</v>
      </c>
      <c r="X1684" s="181">
        <f>_xll.qlCalendarAdvance(Calendar,W1684,NDays&amp;"D")</f>
        <v>50748</v>
      </c>
      <c r="Y1684" s="178">
        <v>2.1163629162096315E-2</v>
      </c>
      <c r="Z1684" s="183">
        <v>2.1146471391473298E-2</v>
      </c>
    </row>
    <row r="1685" spans="22:26" x14ac:dyDescent="0.2">
      <c r="V1685" s="180" t="str">
        <f t="shared" ref="V1685:V1748" si="34">V1684</f>
        <v>1w</v>
      </c>
      <c r="W1685" s="177">
        <f>_xll.qlCalendarAdvance(Calendar,W1684,V1685,"f",FALSE)</f>
        <v>50753</v>
      </c>
      <c r="X1685" s="181">
        <f>_xll.qlCalendarAdvance(Calendar,W1685,NDays&amp;"D")</f>
        <v>50755</v>
      </c>
      <c r="Y1685" s="178">
        <v>2.1155677532106901E-2</v>
      </c>
      <c r="Z1685" s="183">
        <v>2.1138301641876467E-2</v>
      </c>
    </row>
    <row r="1686" spans="22:26" x14ac:dyDescent="0.2">
      <c r="V1686" s="180" t="str">
        <f t="shared" si="34"/>
        <v>1w</v>
      </c>
      <c r="W1686" s="177">
        <f>_xll.qlCalendarAdvance(Calendar,W1685,V1686,"f",FALSE)</f>
        <v>50760</v>
      </c>
      <c r="X1686" s="181">
        <f>_xll.qlCalendarAdvance(Calendar,W1686,NDays&amp;"D")</f>
        <v>50762</v>
      </c>
      <c r="Y1686" s="178">
        <v>2.1147744915572409E-2</v>
      </c>
      <c r="Z1686" s="183">
        <v>2.1130146270218475E-2</v>
      </c>
    </row>
    <row r="1687" spans="22:26" x14ac:dyDescent="0.2">
      <c r="V1687" s="180" t="str">
        <f t="shared" si="34"/>
        <v>1w</v>
      </c>
      <c r="W1687" s="177">
        <f>_xll.qlCalendarAdvance(Calendar,W1686,V1687,"f",FALSE)</f>
        <v>50767</v>
      </c>
      <c r="X1687" s="181">
        <f>_xll.qlCalendarAdvance(Calendar,W1687,NDays&amp;"D")</f>
        <v>50769</v>
      </c>
      <c r="Y1687" s="178">
        <v>2.1139832006454324E-2</v>
      </c>
      <c r="Z1687" s="183">
        <v>2.1122005276179578E-2</v>
      </c>
    </row>
    <row r="1688" spans="22:26" x14ac:dyDescent="0.2">
      <c r="V1688" s="180" t="str">
        <f t="shared" si="34"/>
        <v>1w</v>
      </c>
      <c r="W1688" s="177">
        <f>_xll.qlCalendarAdvance(Calendar,W1687,V1688,"f",FALSE)</f>
        <v>50774</v>
      </c>
      <c r="X1688" s="181">
        <f>_xll.qlCalendarAdvance(Calendar,W1688,NDays&amp;"D")</f>
        <v>50776</v>
      </c>
      <c r="Y1688" s="178">
        <v>2.1131939498692243E-2</v>
      </c>
      <c r="Z1688" s="183">
        <v>2.1113878659999585E-2</v>
      </c>
    </row>
    <row r="1689" spans="22:26" x14ac:dyDescent="0.2">
      <c r="V1689" s="180" t="str">
        <f t="shared" si="34"/>
        <v>1w</v>
      </c>
      <c r="W1689" s="177">
        <f>_xll.qlCalendarAdvance(Calendar,W1688,V1689,"f",FALSE)</f>
        <v>50781</v>
      </c>
      <c r="X1689" s="181">
        <f>_xll.qlCalendarAdvance(Calendar,W1689,NDays&amp;"D")</f>
        <v>50783</v>
      </c>
      <c r="Y1689" s="178">
        <v>2.1124068086205604E-2</v>
      </c>
      <c r="Z1689" s="183">
        <v>2.110576642159856E-2</v>
      </c>
    </row>
    <row r="1690" spans="22:26" x14ac:dyDescent="0.2">
      <c r="V1690" s="180" t="str">
        <f t="shared" si="34"/>
        <v>1w</v>
      </c>
      <c r="W1690" s="177">
        <f>_xll.qlCalendarAdvance(Calendar,W1689,V1690,"f",FALSE)</f>
        <v>50788</v>
      </c>
      <c r="X1690" s="181">
        <f>_xll.qlCalendarAdvance(Calendar,W1690,NDays&amp;"D")</f>
        <v>50790</v>
      </c>
      <c r="Y1690" s="178">
        <v>2.1116218462893487E-2</v>
      </c>
      <c r="Z1690" s="183">
        <v>2.1097668560976501E-2</v>
      </c>
    </row>
    <row r="1691" spans="22:26" x14ac:dyDescent="0.2">
      <c r="V1691" s="180" t="str">
        <f t="shared" si="34"/>
        <v>1w</v>
      </c>
      <c r="W1691" s="177">
        <f>_xll.qlCalendarAdvance(Calendar,W1690,V1691,"f",FALSE)</f>
        <v>50795</v>
      </c>
      <c r="X1691" s="181">
        <f>_xll.qlCalendarAdvance(Calendar,W1691,NDays&amp;"D")</f>
        <v>50797</v>
      </c>
      <c r="Y1691" s="178">
        <v>2.1108391322634597E-2</v>
      </c>
      <c r="Z1691" s="183">
        <v>2.1089585078053474E-2</v>
      </c>
    </row>
    <row r="1692" spans="22:26" x14ac:dyDescent="0.2">
      <c r="V1692" s="180" t="str">
        <f t="shared" si="34"/>
        <v>1w</v>
      </c>
      <c r="W1692" s="177">
        <f>_xll.qlCalendarAdvance(Calendar,W1691,V1692,"f",FALSE)</f>
        <v>50802</v>
      </c>
      <c r="X1692" s="181">
        <f>_xll.qlCalendarAdvance(Calendar,W1692,NDays&amp;"D")</f>
        <v>50804</v>
      </c>
      <c r="Y1692" s="178">
        <v>2.1100587359287933E-2</v>
      </c>
      <c r="Z1692" s="183">
        <v>2.1081515972989351E-2</v>
      </c>
    </row>
    <row r="1693" spans="22:26" x14ac:dyDescent="0.2">
      <c r="V1693" s="180" t="str">
        <f t="shared" si="34"/>
        <v>1w</v>
      </c>
      <c r="W1693" s="177">
        <f>_xll.qlCalendarAdvance(Calendar,W1692,V1693,"f",FALSE)</f>
        <v>50809</v>
      </c>
      <c r="X1693" s="181">
        <f>_xll.qlCalendarAdvance(Calendar,W1693,NDays&amp;"D")</f>
        <v>50811</v>
      </c>
      <c r="Y1693" s="178">
        <v>2.1092807266691684E-2</v>
      </c>
      <c r="Z1693" s="183">
        <v>2.1073461245704195E-2</v>
      </c>
    </row>
    <row r="1694" spans="22:26" x14ac:dyDescent="0.2">
      <c r="V1694" s="180" t="str">
        <f t="shared" si="34"/>
        <v>1w</v>
      </c>
      <c r="W1694" s="177">
        <f>_xll.qlCalendarAdvance(Calendar,W1693,V1694,"f",FALSE)</f>
        <v>50816</v>
      </c>
      <c r="X1694" s="181">
        <f>_xll.qlCalendarAdvance(Calendar,W1694,NDays&amp;"D")</f>
        <v>50818</v>
      </c>
      <c r="Y1694" s="178">
        <v>2.1085051738665213E-2</v>
      </c>
      <c r="Z1694" s="183">
        <v>2.1065420896038134E-2</v>
      </c>
    </row>
    <row r="1695" spans="22:26" x14ac:dyDescent="0.2">
      <c r="V1695" s="180" t="str">
        <f t="shared" si="34"/>
        <v>1w</v>
      </c>
      <c r="W1695" s="177">
        <f>_xll.qlCalendarAdvance(Calendar,W1694,V1695,"f",FALSE)</f>
        <v>50823</v>
      </c>
      <c r="X1695" s="181">
        <f>_xll.qlCalendarAdvance(Calendar,W1695,NDays&amp;"D")</f>
        <v>50825</v>
      </c>
      <c r="Y1695" s="178">
        <v>2.1077321469007725E-2</v>
      </c>
      <c r="Z1695" s="183">
        <v>2.1057394924390849E-2</v>
      </c>
    </row>
    <row r="1696" spans="22:26" x14ac:dyDescent="0.2">
      <c r="V1696" s="180" t="str">
        <f t="shared" si="34"/>
        <v>1w</v>
      </c>
      <c r="W1696" s="177">
        <f>_xll.qlCalendarAdvance(Calendar,W1695,V1696,"f",FALSE)</f>
        <v>50830</v>
      </c>
      <c r="X1696" s="181">
        <f>_xll.qlCalendarAdvance(Calendar,W1696,NDays&amp;"D")</f>
        <v>50832</v>
      </c>
      <c r="Y1696" s="178">
        <v>2.1069851198358136E-2</v>
      </c>
      <c r="Z1696" s="183">
        <v>2.1049383330282723E-2</v>
      </c>
    </row>
    <row r="1697" spans="22:26" x14ac:dyDescent="0.2">
      <c r="V1697" s="180" t="str">
        <f t="shared" si="34"/>
        <v>1w</v>
      </c>
      <c r="W1697" s="177">
        <f>_xll.qlCalendarAdvance(Calendar,W1696,V1697,"f",FALSE)</f>
        <v>50837</v>
      </c>
      <c r="X1697" s="181">
        <f>_xll.qlCalendarAdvance(Calendar,W1697,NDays&amp;"D")</f>
        <v>50839</v>
      </c>
      <c r="Y1697" s="178">
        <v>2.1062179742578385E-2</v>
      </c>
      <c r="Z1697" s="183">
        <v>2.1041386114113436E-2</v>
      </c>
    </row>
    <row r="1698" spans="22:26" x14ac:dyDescent="0.2">
      <c r="V1698" s="180" t="str">
        <f t="shared" si="34"/>
        <v>1w</v>
      </c>
      <c r="W1698" s="177">
        <f>_xll.qlCalendarAdvance(Calendar,W1697,V1698,"f",FALSE)</f>
        <v>50844</v>
      </c>
      <c r="X1698" s="181">
        <f>_xll.qlCalendarAdvance(Calendar,W1698,NDays&amp;"D")</f>
        <v>50846</v>
      </c>
      <c r="Y1698" s="178">
        <v>2.1054535824006581E-2</v>
      </c>
      <c r="Z1698" s="183">
        <v>2.1033403275563245E-2</v>
      </c>
    </row>
    <row r="1699" spans="22:26" x14ac:dyDescent="0.2">
      <c r="V1699" s="180" t="str">
        <f t="shared" si="34"/>
        <v>1w</v>
      </c>
      <c r="W1699" s="177">
        <f>_xll.qlCalendarAdvance(Calendar,W1698,V1699,"f",FALSE)</f>
        <v>50851</v>
      </c>
      <c r="X1699" s="181">
        <f>_xll.qlCalendarAdvance(Calendar,W1699,NDays&amp;"D")</f>
        <v>50853</v>
      </c>
      <c r="Y1699" s="178">
        <v>2.1046920130814852E-2</v>
      </c>
      <c r="Z1699" s="183">
        <v>2.1025434814951893E-2</v>
      </c>
    </row>
    <row r="1700" spans="22:26" x14ac:dyDescent="0.2">
      <c r="V1700" s="180" t="str">
        <f t="shared" si="34"/>
        <v>1w</v>
      </c>
      <c r="W1700" s="177">
        <f>_xll.qlCalendarAdvance(Calendar,W1699,V1700,"f",FALSE)</f>
        <v>50858</v>
      </c>
      <c r="X1700" s="181">
        <f>_xll.qlCalendarAdvance(Calendar,W1700,NDays&amp;"D")</f>
        <v>50860</v>
      </c>
      <c r="Y1700" s="178">
        <v>2.1038987102717528E-2</v>
      </c>
      <c r="Z1700" s="183">
        <v>2.1017480731959637E-2</v>
      </c>
    </row>
    <row r="1701" spans="22:26" x14ac:dyDescent="0.2">
      <c r="V1701" s="180" t="str">
        <f t="shared" si="34"/>
        <v>1w</v>
      </c>
      <c r="W1701" s="177">
        <f>_xll.qlCalendarAdvance(Calendar,W1700,V1701,"f",FALSE)</f>
        <v>50865</v>
      </c>
      <c r="X1701" s="181">
        <f>_xll.qlCalendarAdvance(Calendar,W1701,NDays&amp;"D")</f>
        <v>50867</v>
      </c>
      <c r="Y1701" s="178">
        <v>2.1031776173164343E-2</v>
      </c>
      <c r="Z1701" s="183">
        <v>2.1009727314771354E-2</v>
      </c>
    </row>
    <row r="1702" spans="22:26" x14ac:dyDescent="0.2">
      <c r="V1702" s="180" t="str">
        <f t="shared" si="34"/>
        <v>1w</v>
      </c>
      <c r="W1702" s="177">
        <f>_xll.qlCalendarAdvance(Calendar,W1701,V1702,"f",FALSE)</f>
        <v>50872</v>
      </c>
      <c r="X1702" s="181">
        <f>_xll.qlCalendarAdvance(Calendar,W1702,NDays&amp;"D")</f>
        <v>50874</v>
      </c>
      <c r="Y1702" s="178">
        <v>2.1024249284956852E-2</v>
      </c>
      <c r="Z1702" s="183">
        <v>2.1001615699312026E-2</v>
      </c>
    </row>
    <row r="1703" spans="22:26" x14ac:dyDescent="0.2">
      <c r="V1703" s="180" t="str">
        <f t="shared" si="34"/>
        <v>1w</v>
      </c>
      <c r="W1703" s="177">
        <f>_xll.qlCalendarAdvance(Calendar,W1702,V1703,"f",FALSE)</f>
        <v>50879</v>
      </c>
      <c r="X1703" s="181">
        <f>_xll.qlCalendarAdvance(Calendar,W1703,NDays&amp;"D")</f>
        <v>50881</v>
      </c>
      <c r="Y1703" s="178">
        <v>2.1016753374630923E-2</v>
      </c>
      <c r="Z1703" s="183">
        <v>2.0993704749656672E-2</v>
      </c>
    </row>
    <row r="1704" spans="22:26" x14ac:dyDescent="0.2">
      <c r="V1704" s="180" t="str">
        <f t="shared" si="34"/>
        <v>1w</v>
      </c>
      <c r="W1704" s="177">
        <f>_xll.qlCalendarAdvance(Calendar,W1703,V1704,"f",FALSE)</f>
        <v>50886</v>
      </c>
      <c r="X1704" s="181">
        <f>_xll.qlCalendarAdvance(Calendar,W1704,NDays&amp;"D")</f>
        <v>50888</v>
      </c>
      <c r="Y1704" s="178">
        <v>2.1009289130267457E-2</v>
      </c>
      <c r="Z1704" s="183">
        <v>2.0985808177860221E-2</v>
      </c>
    </row>
    <row r="1705" spans="22:26" x14ac:dyDescent="0.2">
      <c r="V1705" s="180" t="str">
        <f t="shared" si="34"/>
        <v>1w</v>
      </c>
      <c r="W1705" s="177">
        <f>_xll.qlCalendarAdvance(Calendar,W1704,V1705,"f",FALSE)</f>
        <v>50893</v>
      </c>
      <c r="X1705" s="181">
        <f>_xll.qlCalendarAdvance(Calendar,W1705,NDays&amp;"D")</f>
        <v>50895</v>
      </c>
      <c r="Y1705" s="178">
        <v>2.10018572399291E-2</v>
      </c>
      <c r="Z1705" s="183">
        <v>2.0977925983682866E-2</v>
      </c>
    </row>
    <row r="1706" spans="22:26" x14ac:dyDescent="0.2">
      <c r="V1706" s="180" t="str">
        <f t="shared" si="34"/>
        <v>1w</v>
      </c>
      <c r="W1706" s="177">
        <f>_xll.qlCalendarAdvance(Calendar,W1705,V1706,"f",FALSE)</f>
        <v>50900</v>
      </c>
      <c r="X1706" s="181">
        <f>_xll.qlCalendarAdvance(Calendar,W1706,NDays&amp;"D")</f>
        <v>50902</v>
      </c>
      <c r="Y1706" s="178">
        <v>2.0994458391661346E-2</v>
      </c>
      <c r="Z1706" s="183">
        <v>2.0970058167364414E-2</v>
      </c>
    </row>
    <row r="1707" spans="22:26" x14ac:dyDescent="0.2">
      <c r="V1707" s="180" t="str">
        <f t="shared" si="34"/>
        <v>1w</v>
      </c>
      <c r="W1707" s="177">
        <f>_xll.qlCalendarAdvance(Calendar,W1706,V1707,"f",FALSE)</f>
        <v>50907</v>
      </c>
      <c r="X1707" s="181">
        <f>_xll.qlCalendarAdvance(Calendar,W1707,NDays&amp;"D")</f>
        <v>50909</v>
      </c>
      <c r="Y1707" s="178">
        <v>2.0987093273492522E-2</v>
      </c>
      <c r="Z1707" s="183">
        <v>2.0962204728665057E-2</v>
      </c>
    </row>
    <row r="1708" spans="22:26" x14ac:dyDescent="0.2">
      <c r="V1708" s="180" t="str">
        <f t="shared" si="34"/>
        <v>1w</v>
      </c>
      <c r="W1708" s="177">
        <f>_xll.qlCalendarAdvance(Calendar,W1707,V1708,"f",FALSE)</f>
        <v>50914</v>
      </c>
      <c r="X1708" s="181">
        <f>_xll.qlCalendarAdvance(Calendar,W1708,NDays&amp;"D")</f>
        <v>50916</v>
      </c>
      <c r="Y1708" s="178">
        <v>2.0979762573433799E-2</v>
      </c>
      <c r="Z1708" s="183">
        <v>2.0954365667744668E-2</v>
      </c>
    </row>
    <row r="1709" spans="22:26" x14ac:dyDescent="0.2">
      <c r="V1709" s="180" t="str">
        <f t="shared" si="34"/>
        <v>1w</v>
      </c>
      <c r="W1709" s="177">
        <f>_xll.qlCalendarAdvance(Calendar,W1708,V1709,"f",FALSE)</f>
        <v>50921</v>
      </c>
      <c r="X1709" s="181">
        <f>_xll.qlCalendarAdvance(Calendar,W1709,NDays&amp;"D")</f>
        <v>50923</v>
      </c>
      <c r="Y1709" s="178">
        <v>2.0972466979479625E-2</v>
      </c>
      <c r="Z1709" s="183">
        <v>2.0946540984683182E-2</v>
      </c>
    </row>
    <row r="1710" spans="22:26" x14ac:dyDescent="0.2">
      <c r="V1710" s="180" t="str">
        <f t="shared" si="34"/>
        <v>1w</v>
      </c>
      <c r="W1710" s="177">
        <f>_xll.qlCalendarAdvance(Calendar,W1709,V1710,"f",FALSE)</f>
        <v>50928</v>
      </c>
      <c r="X1710" s="181">
        <f>_xll.qlCalendarAdvance(Calendar,W1710,NDays&amp;"D")</f>
        <v>50930</v>
      </c>
      <c r="Y1710" s="178">
        <v>2.0965207179608362E-2</v>
      </c>
      <c r="Z1710" s="183">
        <v>2.0938730679400663E-2</v>
      </c>
    </row>
    <row r="1711" spans="22:26" x14ac:dyDescent="0.2">
      <c r="V1711" s="180" t="str">
        <f t="shared" si="34"/>
        <v>1w</v>
      </c>
      <c r="W1711" s="177">
        <f>_xll.qlCalendarAdvance(Calendar,W1710,V1711,"f",FALSE)</f>
        <v>50935</v>
      </c>
      <c r="X1711" s="181">
        <f>_xll.qlCalendarAdvance(Calendar,W1711,NDays&amp;"D")</f>
        <v>50937</v>
      </c>
      <c r="Y1711" s="178">
        <v>2.0957983861782093E-2</v>
      </c>
      <c r="Z1711" s="183">
        <v>2.093093475173724E-2</v>
      </c>
    </row>
    <row r="1712" spans="22:26" x14ac:dyDescent="0.2">
      <c r="V1712" s="180" t="str">
        <f t="shared" si="34"/>
        <v>1w</v>
      </c>
      <c r="W1712" s="177">
        <f>_xll.qlCalendarAdvance(Calendar,W1711,V1712,"f",FALSE)</f>
        <v>50942</v>
      </c>
      <c r="X1712" s="181">
        <f>_xll.qlCalendarAdvance(Calendar,W1712,NDays&amp;"D")</f>
        <v>50944</v>
      </c>
      <c r="Y1712" s="178">
        <v>2.095079771394617E-2</v>
      </c>
      <c r="Z1712" s="183">
        <v>2.0923153201852784E-2</v>
      </c>
    </row>
    <row r="1713" spans="22:26" x14ac:dyDescent="0.2">
      <c r="V1713" s="180" t="str">
        <f t="shared" si="34"/>
        <v>1w</v>
      </c>
      <c r="W1713" s="177">
        <f>_xll.qlCalendarAdvance(Calendar,W1712,V1713,"f",FALSE)</f>
        <v>50949</v>
      </c>
      <c r="X1713" s="181">
        <f>_xll.qlCalendarAdvance(Calendar,W1713,NDays&amp;"D")</f>
        <v>50951</v>
      </c>
      <c r="Y1713" s="178">
        <v>2.0943286614947296E-2</v>
      </c>
      <c r="Z1713" s="183">
        <v>2.0915386029827232E-2</v>
      </c>
    </row>
    <row r="1714" spans="22:26" x14ac:dyDescent="0.2">
      <c r="V1714" s="180" t="str">
        <f t="shared" si="34"/>
        <v>1w</v>
      </c>
      <c r="W1714" s="177">
        <f>_xll.qlCalendarAdvance(Calendar,W1713,V1714,"f",FALSE)</f>
        <v>50956</v>
      </c>
      <c r="X1714" s="181">
        <f>_xll.qlCalendarAdvance(Calendar,W1714,NDays&amp;"D")</f>
        <v>50958</v>
      </c>
      <c r="Y1714" s="178">
        <v>2.0936539679952706E-2</v>
      </c>
      <c r="Z1714" s="183">
        <v>2.0907633235500711E-2</v>
      </c>
    </row>
    <row r="1715" spans="22:26" x14ac:dyDescent="0.2">
      <c r="V1715" s="180" t="str">
        <f t="shared" si="34"/>
        <v>1w</v>
      </c>
      <c r="W1715" s="177">
        <f>_xll.qlCalendarAdvance(Calendar,W1714,V1715,"f",FALSE)</f>
        <v>50963</v>
      </c>
      <c r="X1715" s="181">
        <f>_xll.qlCalendarAdvance(Calendar,W1715,NDays&amp;"D")</f>
        <v>50965</v>
      </c>
      <c r="Y1715" s="178">
        <v>2.0929469169609194E-2</v>
      </c>
      <c r="Z1715" s="183">
        <v>2.0899894818953157E-2</v>
      </c>
    </row>
    <row r="1716" spans="22:26" x14ac:dyDescent="0.2">
      <c r="V1716" s="180" t="str">
        <f t="shared" si="34"/>
        <v>1w</v>
      </c>
      <c r="W1716" s="177">
        <f>_xll.qlCalendarAdvance(Calendar,W1715,V1716,"f",FALSE)</f>
        <v>50970</v>
      </c>
      <c r="X1716" s="181">
        <f>_xll.qlCalendarAdvance(Calendar,W1716,NDays&amp;"D")</f>
        <v>50972</v>
      </c>
      <c r="Y1716" s="178">
        <v>2.0922438580885602E-2</v>
      </c>
      <c r="Z1716" s="183">
        <v>2.0892170780024699E-2</v>
      </c>
    </row>
    <row r="1717" spans="22:26" x14ac:dyDescent="0.2">
      <c r="V1717" s="180" t="str">
        <f t="shared" si="34"/>
        <v>1w</v>
      </c>
      <c r="W1717" s="177">
        <f>_xll.qlCalendarAdvance(Calendar,W1716,V1717,"f",FALSE)</f>
        <v>50977</v>
      </c>
      <c r="X1717" s="181">
        <f>_xll.qlCalendarAdvance(Calendar,W1717,NDays&amp;"D")</f>
        <v>50979</v>
      </c>
      <c r="Y1717" s="178">
        <v>2.0915448601652346E-2</v>
      </c>
      <c r="Z1717" s="183">
        <v>2.0884461118955144E-2</v>
      </c>
    </row>
    <row r="1718" spans="22:26" x14ac:dyDescent="0.2">
      <c r="V1718" s="180" t="str">
        <f t="shared" si="34"/>
        <v>1w</v>
      </c>
      <c r="W1718" s="177">
        <f>_xll.qlCalendarAdvance(Calendar,W1717,V1718,"f",FALSE)</f>
        <v>50984</v>
      </c>
      <c r="X1718" s="181">
        <f>_xll.qlCalendarAdvance(Calendar,W1718,NDays&amp;"D")</f>
        <v>50986</v>
      </c>
      <c r="Y1718" s="178">
        <v>2.0908499919764418E-2</v>
      </c>
      <c r="Z1718" s="183">
        <v>2.0876765835664557E-2</v>
      </c>
    </row>
    <row r="1719" spans="22:26" x14ac:dyDescent="0.2">
      <c r="V1719" s="180" t="str">
        <f t="shared" si="34"/>
        <v>1w</v>
      </c>
      <c r="W1719" s="177">
        <f>_xll.qlCalendarAdvance(Calendar,W1718,V1719,"f",FALSE)</f>
        <v>50991</v>
      </c>
      <c r="X1719" s="181">
        <f>_xll.qlCalendarAdvance(Calendar,W1719,NDays&amp;"D")</f>
        <v>50993</v>
      </c>
      <c r="Y1719" s="178">
        <v>2.0901593223063553E-2</v>
      </c>
      <c r="Z1719" s="183">
        <v>2.0869084930073001E-2</v>
      </c>
    </row>
    <row r="1720" spans="22:26" x14ac:dyDescent="0.2">
      <c r="V1720" s="180" t="str">
        <f t="shared" si="34"/>
        <v>1w</v>
      </c>
      <c r="W1720" s="177">
        <f>_xll.qlCalendarAdvance(Calendar,W1719,V1720,"f",FALSE)</f>
        <v>50998</v>
      </c>
      <c r="X1720" s="181">
        <f>_xll.qlCalendarAdvance(Calendar,W1720,NDays&amp;"D")</f>
        <v>51000</v>
      </c>
      <c r="Y1720" s="178">
        <v>2.0894729199378247E-2</v>
      </c>
      <c r="Z1720" s="183">
        <v>2.0861418402180476E-2</v>
      </c>
    </row>
    <row r="1721" spans="22:26" x14ac:dyDescent="0.2">
      <c r="V1721" s="180" t="str">
        <f t="shared" si="34"/>
        <v>1w</v>
      </c>
      <c r="W1721" s="177">
        <f>_xll.qlCalendarAdvance(Calendar,W1720,V1721,"f",FALSE)</f>
        <v>51005</v>
      </c>
      <c r="X1721" s="181">
        <f>_xll.qlCalendarAdvance(Calendar,W1721,NDays&amp;"D")</f>
        <v>51007</v>
      </c>
      <c r="Y1721" s="178">
        <v>2.088790853652156E-2</v>
      </c>
      <c r="Z1721" s="183">
        <v>2.0853766252066919E-2</v>
      </c>
    </row>
    <row r="1722" spans="22:26" x14ac:dyDescent="0.2">
      <c r="V1722" s="180" t="str">
        <f t="shared" si="34"/>
        <v>1w</v>
      </c>
      <c r="W1722" s="177">
        <f>_xll.qlCalendarAdvance(Calendar,W1721,V1722,"f",FALSE)</f>
        <v>51012</v>
      </c>
      <c r="X1722" s="181">
        <f>_xll.qlCalendarAdvance(Calendar,W1722,NDays&amp;"D")</f>
        <v>51014</v>
      </c>
      <c r="Y1722" s="178">
        <v>2.0881131922295272E-2</v>
      </c>
      <c r="Z1722" s="183">
        <v>2.0846128479812265E-2</v>
      </c>
    </row>
    <row r="1723" spans="22:26" x14ac:dyDescent="0.2">
      <c r="V1723" s="180" t="str">
        <f t="shared" si="34"/>
        <v>1w</v>
      </c>
      <c r="W1723" s="177">
        <f>_xll.qlCalendarAdvance(Calendar,W1722,V1723,"f",FALSE)</f>
        <v>51019</v>
      </c>
      <c r="X1723" s="181">
        <f>_xll.qlCalendarAdvance(Calendar,W1723,NDays&amp;"D")</f>
        <v>51021</v>
      </c>
      <c r="Y1723" s="178">
        <v>2.0874400044486815E-2</v>
      </c>
      <c r="Z1723" s="183">
        <v>2.0838505085176706E-2</v>
      </c>
    </row>
    <row r="1724" spans="22:26" x14ac:dyDescent="0.2">
      <c r="V1724" s="180" t="str">
        <f t="shared" si="34"/>
        <v>1w</v>
      </c>
      <c r="W1724" s="177">
        <f>_xll.qlCalendarAdvance(Calendar,W1723,V1724,"f",FALSE)</f>
        <v>51026</v>
      </c>
      <c r="X1724" s="181">
        <f>_xll.qlCalendarAdvance(Calendar,W1724,NDays&amp;"D")</f>
        <v>51028</v>
      </c>
      <c r="Y1724" s="178">
        <v>2.086771359087233E-2</v>
      </c>
      <c r="Z1724" s="183">
        <v>2.0830896068320115E-2</v>
      </c>
    </row>
    <row r="1725" spans="22:26" x14ac:dyDescent="0.2">
      <c r="V1725" s="180" t="str">
        <f t="shared" si="34"/>
        <v>1w</v>
      </c>
      <c r="W1725" s="177">
        <f>_xll.qlCalendarAdvance(Calendar,W1724,V1725,"f",FALSE)</f>
        <v>51033</v>
      </c>
      <c r="X1725" s="181">
        <f>_xll.qlCalendarAdvance(Calendar,W1725,NDays&amp;"D")</f>
        <v>51035</v>
      </c>
      <c r="Y1725" s="178">
        <v>2.0861073249214487E-2</v>
      </c>
      <c r="Z1725" s="183">
        <v>2.0823301429082619E-2</v>
      </c>
    </row>
    <row r="1726" spans="22:26" x14ac:dyDescent="0.2">
      <c r="V1726" s="180" t="str">
        <f t="shared" si="34"/>
        <v>1w</v>
      </c>
      <c r="W1726" s="177">
        <f>_xll.qlCalendarAdvance(Calendar,W1725,V1726,"f",FALSE)</f>
        <v>51040</v>
      </c>
      <c r="X1726" s="181">
        <f>_xll.qlCalendarAdvance(Calendar,W1726,NDays&amp;"D")</f>
        <v>51042</v>
      </c>
      <c r="Y1726" s="178">
        <v>2.0853995783335431E-2</v>
      </c>
      <c r="Z1726" s="183">
        <v>2.0815721167704027E-2</v>
      </c>
    </row>
    <row r="1727" spans="22:26" x14ac:dyDescent="0.2">
      <c r="V1727" s="180" t="str">
        <f t="shared" si="34"/>
        <v>1w</v>
      </c>
      <c r="W1727" s="177">
        <f>_xll.qlCalendarAdvance(Calendar,W1726,V1727,"f",FALSE)</f>
        <v>51047</v>
      </c>
      <c r="X1727" s="181">
        <f>_xll.qlCalendarAdvance(Calendar,W1727,NDays&amp;"D")</f>
        <v>51049</v>
      </c>
      <c r="Y1727" s="178">
        <v>2.0847933652762735E-2</v>
      </c>
      <c r="Z1727" s="183">
        <v>2.0808155284184338E-2</v>
      </c>
    </row>
    <row r="1728" spans="22:26" x14ac:dyDescent="0.2">
      <c r="V1728" s="180" t="str">
        <f t="shared" si="34"/>
        <v>1w</v>
      </c>
      <c r="W1728" s="177">
        <f>_xll.qlCalendarAdvance(Calendar,W1727,V1728,"f",FALSE)</f>
        <v>51054</v>
      </c>
      <c r="X1728" s="181">
        <f>_xll.qlCalendarAdvance(Calendar,W1728,NDays&amp;"D")</f>
        <v>51056</v>
      </c>
      <c r="Y1728" s="178">
        <v>2.084143577343639E-2</v>
      </c>
      <c r="Z1728" s="183">
        <v>2.0800603778203808E-2</v>
      </c>
    </row>
    <row r="1729" spans="22:26" x14ac:dyDescent="0.2">
      <c r="V1729" s="180" t="str">
        <f t="shared" si="34"/>
        <v>1w</v>
      </c>
      <c r="W1729" s="177">
        <f>_xll.qlCalendarAdvance(Calendar,W1728,V1729,"f",FALSE)</f>
        <v>51061</v>
      </c>
      <c r="X1729" s="181">
        <f>_xll.qlCalendarAdvance(Calendar,W1729,NDays&amp;"D")</f>
        <v>51063</v>
      </c>
      <c r="Y1729" s="178">
        <v>2.0834986757002689E-2</v>
      </c>
      <c r="Z1729" s="183">
        <v>2.0793066650002245E-2</v>
      </c>
    </row>
    <row r="1730" spans="22:26" x14ac:dyDescent="0.2">
      <c r="V1730" s="180" t="str">
        <f t="shared" si="34"/>
        <v>1w</v>
      </c>
      <c r="W1730" s="177">
        <f>_xll.qlCalendarAdvance(Calendar,W1729,V1730,"f",FALSE)</f>
        <v>51068</v>
      </c>
      <c r="X1730" s="181">
        <f>_xll.qlCalendarAdvance(Calendar,W1730,NDays&amp;"D")</f>
        <v>51070</v>
      </c>
      <c r="Y1730" s="178">
        <v>2.0828587291168266E-2</v>
      </c>
      <c r="Z1730" s="183">
        <v>2.078554389957965E-2</v>
      </c>
    </row>
    <row r="1731" spans="22:26" x14ac:dyDescent="0.2">
      <c r="V1731" s="180" t="str">
        <f t="shared" si="34"/>
        <v>1w</v>
      </c>
      <c r="W1731" s="177">
        <f>_xll.qlCalendarAdvance(Calendar,W1730,V1731,"f",FALSE)</f>
        <v>51075</v>
      </c>
      <c r="X1731" s="181">
        <f>_xll.qlCalendarAdvance(Calendar,W1731,NDays&amp;"D")</f>
        <v>51077</v>
      </c>
      <c r="Y1731" s="178">
        <v>2.0822238063629754E-2</v>
      </c>
      <c r="Z1731" s="183">
        <v>2.0778035647559534E-2</v>
      </c>
    </row>
    <row r="1732" spans="22:26" x14ac:dyDescent="0.2">
      <c r="V1732" s="180" t="str">
        <f t="shared" si="34"/>
        <v>1w</v>
      </c>
      <c r="W1732" s="177">
        <f>_xll.qlCalendarAdvance(Calendar,W1731,V1732,"f",FALSE)</f>
        <v>51082</v>
      </c>
      <c r="X1732" s="181">
        <f>_xll.qlCalendarAdvance(Calendar,W1732,NDays&amp;"D")</f>
        <v>51084</v>
      </c>
      <c r="Y1732" s="178">
        <v>2.0815939647298443E-2</v>
      </c>
      <c r="Z1732" s="183">
        <v>2.0770561910090635E-2</v>
      </c>
    </row>
    <row r="1733" spans="22:26" x14ac:dyDescent="0.2">
      <c r="V1733" s="180" t="str">
        <f t="shared" si="34"/>
        <v>1w</v>
      </c>
      <c r="W1733" s="177">
        <f>_xll.qlCalendarAdvance(Calendar,W1732,V1733,"f",FALSE)</f>
        <v>51089</v>
      </c>
      <c r="X1733" s="181">
        <f>_xll.qlCalendarAdvance(Calendar,W1733,NDays&amp;"D")</f>
        <v>51091</v>
      </c>
      <c r="Y1733" s="178">
        <v>2.0809692155987637E-2</v>
      </c>
      <c r="Z1733" s="183">
        <v>2.0763138001163028E-2</v>
      </c>
    </row>
    <row r="1734" spans="22:26" x14ac:dyDescent="0.2">
      <c r="V1734" s="180" t="str">
        <f t="shared" si="34"/>
        <v>1w</v>
      </c>
      <c r="W1734" s="177">
        <f>_xll.qlCalendarAdvance(Calendar,W1733,V1734,"f",FALSE)</f>
        <v>51096</v>
      </c>
      <c r="X1734" s="181">
        <f>_xll.qlCalendarAdvance(Calendar,W1734,NDays&amp;"D")</f>
        <v>51098</v>
      </c>
      <c r="Y1734" s="178">
        <v>2.0803495588742449E-2</v>
      </c>
      <c r="Z1734" s="183">
        <v>2.0755763920696779E-2</v>
      </c>
    </row>
    <row r="1735" spans="22:26" x14ac:dyDescent="0.2">
      <c r="V1735" s="180" t="str">
        <f t="shared" si="34"/>
        <v>1w</v>
      </c>
      <c r="W1735" s="177">
        <f>_xll.qlCalendarAdvance(Calendar,W1734,V1735,"f",FALSE)</f>
        <v>51103</v>
      </c>
      <c r="X1735" s="181">
        <f>_xll.qlCalendarAdvance(Calendar,W1735,NDays&amp;"D")</f>
        <v>51105</v>
      </c>
      <c r="Y1735" s="178">
        <v>2.079734994461559E-2</v>
      </c>
      <c r="Z1735" s="183">
        <v>2.0748439668611951E-2</v>
      </c>
    </row>
    <row r="1736" spans="22:26" x14ac:dyDescent="0.2">
      <c r="V1736" s="180" t="str">
        <f t="shared" si="34"/>
        <v>1w</v>
      </c>
      <c r="W1736" s="177">
        <f>_xll.qlCalendarAdvance(Calendar,W1735,V1736,"f",FALSE)</f>
        <v>51110</v>
      </c>
      <c r="X1736" s="181">
        <f>_xll.qlCalendarAdvance(Calendar,W1736,NDays&amp;"D")</f>
        <v>51112</v>
      </c>
      <c r="Y1736" s="178">
        <v>2.0791255222668246E-2</v>
      </c>
      <c r="Z1736" s="183">
        <v>2.074116524498848E-2</v>
      </c>
    </row>
    <row r="1737" spans="22:26" x14ac:dyDescent="0.2">
      <c r="V1737" s="180" t="str">
        <f t="shared" si="34"/>
        <v>1w</v>
      </c>
      <c r="W1737" s="177">
        <f>_xll.qlCalendarAdvance(Calendar,W1736,V1737,"f",FALSE)</f>
        <v>51117</v>
      </c>
      <c r="X1737" s="181">
        <f>_xll.qlCalendarAdvance(Calendar,W1737,NDays&amp;"D")</f>
        <v>51119</v>
      </c>
      <c r="Y1737" s="178">
        <v>2.078521142196834E-2</v>
      </c>
      <c r="Z1737" s="183">
        <v>2.0733940649826366E-2</v>
      </c>
    </row>
    <row r="1738" spans="22:26" x14ac:dyDescent="0.2">
      <c r="V1738" s="180" t="str">
        <f t="shared" si="34"/>
        <v>1w</v>
      </c>
      <c r="W1738" s="177">
        <f>_xll.qlCalendarAdvance(Calendar,W1737,V1738,"f",FALSE)</f>
        <v>51124</v>
      </c>
      <c r="X1738" s="181">
        <f>_xll.qlCalendarAdvance(Calendar,W1738,NDays&amp;"D")</f>
        <v>51126</v>
      </c>
      <c r="Y1738" s="178">
        <v>2.0779218541592911E-2</v>
      </c>
      <c r="Z1738" s="183">
        <v>2.0726765883045672E-2</v>
      </c>
    </row>
    <row r="1739" spans="22:26" x14ac:dyDescent="0.2">
      <c r="V1739" s="180" t="str">
        <f t="shared" si="34"/>
        <v>1w</v>
      </c>
      <c r="W1739" s="177">
        <f>_xll.qlCalendarAdvance(Calendar,W1738,V1739,"f",FALSE)</f>
        <v>51131</v>
      </c>
      <c r="X1739" s="181">
        <f>_xll.qlCalendarAdvance(Calendar,W1739,NDays&amp;"D")</f>
        <v>51133</v>
      </c>
      <c r="Y1739" s="178">
        <v>2.077327658062509E-2</v>
      </c>
      <c r="Z1739" s="183">
        <v>2.0719640944726336E-2</v>
      </c>
    </row>
    <row r="1740" spans="22:26" x14ac:dyDescent="0.2">
      <c r="V1740" s="180" t="str">
        <f t="shared" si="34"/>
        <v>1w</v>
      </c>
      <c r="W1740" s="177">
        <f>_xll.qlCalendarAdvance(Calendar,W1739,V1740,"f",FALSE)</f>
        <v>51138</v>
      </c>
      <c r="X1740" s="181">
        <f>_xll.qlCalendarAdvance(Calendar,W1740,NDays&amp;"D")</f>
        <v>51140</v>
      </c>
      <c r="Y1740" s="178">
        <v>2.0767385538157768E-2</v>
      </c>
      <c r="Z1740" s="183">
        <v>2.0712565834868357E-2</v>
      </c>
    </row>
    <row r="1741" spans="22:26" x14ac:dyDescent="0.2">
      <c r="V1741" s="180" t="str">
        <f t="shared" si="34"/>
        <v>1w</v>
      </c>
      <c r="W1741" s="177">
        <f>_xll.qlCalendarAdvance(Calendar,W1740,V1741,"f",FALSE)</f>
        <v>51145</v>
      </c>
      <c r="X1741" s="181">
        <f>_xll.qlCalendarAdvance(Calendar,W1741,NDays&amp;"D")</f>
        <v>51147</v>
      </c>
      <c r="Y1741" s="178">
        <v>2.0761545413289714E-2</v>
      </c>
      <c r="Z1741" s="183">
        <v>2.0705540553391799E-2</v>
      </c>
    </row>
    <row r="1742" spans="22:26" x14ac:dyDescent="0.2">
      <c r="V1742" s="180" t="str">
        <f t="shared" si="34"/>
        <v>1w</v>
      </c>
      <c r="W1742" s="177">
        <f>_xll.qlCalendarAdvance(Calendar,W1741,V1742,"f",FALSE)</f>
        <v>51152</v>
      </c>
      <c r="X1742" s="181">
        <f>_xll.qlCalendarAdvance(Calendar,W1742,NDays&amp;"D")</f>
        <v>51154</v>
      </c>
      <c r="Y1742" s="178">
        <v>2.0755756205128813E-2</v>
      </c>
      <c r="Z1742" s="183">
        <v>2.0698565100376598E-2</v>
      </c>
    </row>
    <row r="1743" spans="22:26" x14ac:dyDescent="0.2">
      <c r="V1743" s="180" t="str">
        <f t="shared" si="34"/>
        <v>1w</v>
      </c>
      <c r="W1743" s="177">
        <f>_xll.qlCalendarAdvance(Calendar,W1742,V1743,"f",FALSE)</f>
        <v>51159</v>
      </c>
      <c r="X1743" s="181">
        <f>_xll.qlCalendarAdvance(Calendar,W1743,NDays&amp;"D")</f>
        <v>51161</v>
      </c>
      <c r="Y1743" s="178">
        <v>2.0750017912790342E-2</v>
      </c>
      <c r="Z1743" s="183">
        <v>2.0691639475742818E-2</v>
      </c>
    </row>
    <row r="1744" spans="22:26" x14ac:dyDescent="0.2">
      <c r="V1744" s="180" t="str">
        <f t="shared" si="34"/>
        <v>1w</v>
      </c>
      <c r="W1744" s="177">
        <f>_xll.qlCalendarAdvance(Calendar,W1743,V1744,"f",FALSE)</f>
        <v>51166</v>
      </c>
      <c r="X1744" s="181">
        <f>_xll.qlCalendarAdvance(Calendar,W1744,NDays&amp;"D")</f>
        <v>51168</v>
      </c>
      <c r="Y1744" s="178">
        <v>2.0744330535397173E-2</v>
      </c>
      <c r="Z1744" s="183">
        <v>2.0684763679570395E-2</v>
      </c>
    </row>
    <row r="1745" spans="22:26" x14ac:dyDescent="0.2">
      <c r="V1745" s="180" t="str">
        <f t="shared" si="34"/>
        <v>1w</v>
      </c>
      <c r="W1745" s="177">
        <f>_xll.qlCalendarAdvance(Calendar,W1744,V1745,"f",FALSE)</f>
        <v>51173</v>
      </c>
      <c r="X1745" s="181">
        <f>_xll.qlCalendarAdvance(Calendar,W1745,NDays&amp;"D")</f>
        <v>51175</v>
      </c>
      <c r="Y1745" s="178">
        <v>2.0738694072080004E-2</v>
      </c>
      <c r="Z1745" s="183">
        <v>2.0677937711859329E-2</v>
      </c>
    </row>
    <row r="1746" spans="22:26" x14ac:dyDescent="0.2">
      <c r="V1746" s="180" t="str">
        <f t="shared" si="34"/>
        <v>1w</v>
      </c>
      <c r="W1746" s="177">
        <f>_xll.qlCalendarAdvance(Calendar,W1745,V1746,"f",FALSE)</f>
        <v>51180</v>
      </c>
      <c r="X1746" s="181">
        <f>_xll.qlCalendarAdvance(Calendar,W1746,NDays&amp;"D")</f>
        <v>51182</v>
      </c>
      <c r="Y1746" s="178">
        <v>2.0733108521977784E-2</v>
      </c>
      <c r="Z1746" s="183">
        <v>2.0671161572529684E-2</v>
      </c>
    </row>
    <row r="1747" spans="22:26" x14ac:dyDescent="0.2">
      <c r="V1747" s="180" t="str">
        <f t="shared" si="34"/>
        <v>1w</v>
      </c>
      <c r="W1747" s="177">
        <f>_xll.qlCalendarAdvance(Calendar,W1746,V1747,"f",FALSE)</f>
        <v>51187</v>
      </c>
      <c r="X1747" s="181">
        <f>_xll.qlCalendarAdvance(Calendar,W1747,NDays&amp;"D")</f>
        <v>51189</v>
      </c>
      <c r="Y1747" s="178">
        <v>2.0727573884236194E-2</v>
      </c>
      <c r="Z1747" s="183">
        <v>2.0664435261501524E-2</v>
      </c>
    </row>
    <row r="1748" spans="22:26" x14ac:dyDescent="0.2">
      <c r="V1748" s="180" t="str">
        <f t="shared" si="34"/>
        <v>1w</v>
      </c>
      <c r="W1748" s="177">
        <f>_xll.qlCalendarAdvance(Calendar,W1747,V1748,"f",FALSE)</f>
        <v>51194</v>
      </c>
      <c r="X1748" s="181">
        <f>_xll.qlCalendarAdvance(Calendar,W1748,NDays&amp;"D")</f>
        <v>51196</v>
      </c>
      <c r="Y1748" s="178">
        <v>2.0721389045282482E-2</v>
      </c>
      <c r="Z1748" s="183">
        <v>2.0657758778934721E-2</v>
      </c>
    </row>
    <row r="1749" spans="22:26" x14ac:dyDescent="0.2">
      <c r="V1749" s="180" t="str">
        <f t="shared" ref="V1749:V1812" si="35">V1748</f>
        <v>1w</v>
      </c>
      <c r="W1749" s="177">
        <f>_xll.qlCalendarAdvance(Calendar,W1748,V1749,"f",FALSE)</f>
        <v>51201</v>
      </c>
      <c r="X1749" s="181">
        <f>_xll.qlCalendarAdvance(Calendar,W1749,NDays&amp;"D")</f>
        <v>51203</v>
      </c>
      <c r="Y1749" s="178">
        <v>2.071594625096532E-2</v>
      </c>
      <c r="Z1749" s="183">
        <v>2.0651132124829275E-2</v>
      </c>
    </row>
    <row r="1750" spans="22:26" x14ac:dyDescent="0.2">
      <c r="V1750" s="180" t="str">
        <f t="shared" si="35"/>
        <v>1w</v>
      </c>
      <c r="W1750" s="177">
        <f>_xll.qlCalendarAdvance(Calendar,W1749,V1750,"f",FALSE)</f>
        <v>51208</v>
      </c>
      <c r="X1750" s="181">
        <f>_xll.qlCalendarAdvance(Calendar,W1750,NDays&amp;"D")</f>
        <v>51210</v>
      </c>
      <c r="Y1750" s="178">
        <v>2.0710554357730955E-2</v>
      </c>
      <c r="Z1750" s="183">
        <v>2.0644555299105249E-2</v>
      </c>
    </row>
    <row r="1751" spans="22:26" x14ac:dyDescent="0.2">
      <c r="V1751" s="180" t="str">
        <f t="shared" si="35"/>
        <v>1w</v>
      </c>
      <c r="W1751" s="177">
        <f>_xll.qlCalendarAdvance(Calendar,W1750,V1751,"f",FALSE)</f>
        <v>51215</v>
      </c>
      <c r="X1751" s="181">
        <f>_xll.qlCalendarAdvance(Calendar,W1751,NDays&amp;"D")</f>
        <v>51217</v>
      </c>
      <c r="Y1751" s="178">
        <v>2.0705213364762075E-2</v>
      </c>
      <c r="Z1751" s="183">
        <v>2.0638028301842581E-2</v>
      </c>
    </row>
    <row r="1752" spans="22:26" x14ac:dyDescent="0.2">
      <c r="V1752" s="180" t="str">
        <f t="shared" si="35"/>
        <v>1w</v>
      </c>
      <c r="W1752" s="177">
        <f>_xll.qlCalendarAdvance(Calendar,W1751,V1752,"f",FALSE)</f>
        <v>51222</v>
      </c>
      <c r="X1752" s="181">
        <f>_xll.qlCalendarAdvance(Calendar,W1752,NDays&amp;"D")</f>
        <v>51224</v>
      </c>
      <c r="Y1752" s="178">
        <v>2.0699923271249025E-2</v>
      </c>
      <c r="Z1752" s="183">
        <v>2.0632075178568243E-2</v>
      </c>
    </row>
    <row r="1753" spans="22:26" x14ac:dyDescent="0.2">
      <c r="V1753" s="180" t="str">
        <f t="shared" si="35"/>
        <v>1w</v>
      </c>
      <c r="W1753" s="177">
        <f>_xll.qlCalendarAdvance(Calendar,W1752,V1753,"f",FALSE)</f>
        <v>51229</v>
      </c>
      <c r="X1753" s="181">
        <f>_xll.qlCalendarAdvance(Calendar,W1753,NDays&amp;"D")</f>
        <v>51231</v>
      </c>
      <c r="Y1753" s="178">
        <v>2.0694684076390031E-2</v>
      </c>
      <c r="Z1753" s="183">
        <v>2.06251237922217E-2</v>
      </c>
    </row>
    <row r="1754" spans="22:26" x14ac:dyDescent="0.2">
      <c r="V1754" s="180" t="str">
        <f t="shared" si="35"/>
        <v>1w</v>
      </c>
      <c r="W1754" s="177">
        <f>_xll.qlCalendarAdvance(Calendar,W1753,V1754,"f",FALSE)</f>
        <v>51236</v>
      </c>
      <c r="X1754" s="181">
        <f>_xll.qlCalendarAdvance(Calendar,W1754,NDays&amp;"D")</f>
        <v>51238</v>
      </c>
      <c r="Y1754" s="178">
        <v>2.0689495779390991E-2</v>
      </c>
      <c r="Z1754" s="183">
        <v>2.0618746280103295E-2</v>
      </c>
    </row>
    <row r="1755" spans="22:26" x14ac:dyDescent="0.2">
      <c r="V1755" s="180" t="str">
        <f t="shared" si="35"/>
        <v>1w</v>
      </c>
      <c r="W1755" s="177">
        <f>_xll.qlCalendarAdvance(Calendar,W1754,V1755,"f",FALSE)</f>
        <v>51243</v>
      </c>
      <c r="X1755" s="181">
        <f>_xll.qlCalendarAdvance(Calendar,W1755,NDays&amp;"D")</f>
        <v>51245</v>
      </c>
      <c r="Y1755" s="178">
        <v>2.0685387238311731E-2</v>
      </c>
      <c r="Z1755" s="183">
        <v>2.0612418596286375E-2</v>
      </c>
    </row>
    <row r="1756" spans="22:26" x14ac:dyDescent="0.2">
      <c r="V1756" s="180" t="str">
        <f t="shared" si="35"/>
        <v>1w</v>
      </c>
      <c r="W1756" s="177">
        <f>_xll.qlCalendarAdvance(Calendar,W1755,V1756,"f",FALSE)</f>
        <v>51250</v>
      </c>
      <c r="X1756" s="181">
        <f>_xll.qlCalendarAdvance(Calendar,W1756,NDays&amp;"D")</f>
        <v>51252</v>
      </c>
      <c r="Y1756" s="178">
        <v>2.0679271875834244E-2</v>
      </c>
      <c r="Z1756" s="183">
        <v>2.0606140740850876E-2</v>
      </c>
    </row>
    <row r="1757" spans="22:26" x14ac:dyDescent="0.2">
      <c r="V1757" s="180" t="str">
        <f t="shared" si="35"/>
        <v>1w</v>
      </c>
      <c r="W1757" s="177">
        <f>_xll.qlCalendarAdvance(Calendar,W1756,V1757,"f",FALSE)</f>
        <v>51258</v>
      </c>
      <c r="X1757" s="181">
        <f>_xll.qlCalendarAdvance(Calendar,W1757,NDays&amp;"D")</f>
        <v>51260</v>
      </c>
      <c r="Y1757" s="178">
        <v>2.0674049166878167E-2</v>
      </c>
      <c r="Z1757" s="183">
        <v>2.059932135648701E-2</v>
      </c>
    </row>
    <row r="1758" spans="22:26" x14ac:dyDescent="0.2">
      <c r="V1758" s="180" t="str">
        <f t="shared" si="35"/>
        <v>1w</v>
      </c>
      <c r="W1758" s="177">
        <f>_xll.qlCalendarAdvance(Calendar,W1757,V1758,"f",FALSE)</f>
        <v>51265</v>
      </c>
      <c r="X1758" s="181">
        <f>_xll.qlCalendarAdvance(Calendar,W1758,NDays&amp;"D")</f>
        <v>51267</v>
      </c>
      <c r="Y1758" s="178">
        <v>2.0669078429553858E-2</v>
      </c>
      <c r="Z1758" s="183">
        <v>2.0593156689256986E-2</v>
      </c>
    </row>
    <row r="1759" spans="22:26" x14ac:dyDescent="0.2">
      <c r="V1759" s="180" t="str">
        <f t="shared" si="35"/>
        <v>1w</v>
      </c>
      <c r="W1759" s="177">
        <f>_xll.qlCalendarAdvance(Calendar,W1758,V1759,"f",FALSE)</f>
        <v>51272</v>
      </c>
      <c r="X1759" s="181">
        <f>_xll.qlCalendarAdvance(Calendar,W1759,NDays&amp;"D")</f>
        <v>51274</v>
      </c>
      <c r="Y1759" s="178">
        <v>2.0664158591939933E-2</v>
      </c>
      <c r="Z1759" s="183">
        <v>2.0587041856350297E-2</v>
      </c>
    </row>
    <row r="1760" spans="22:26" x14ac:dyDescent="0.2">
      <c r="V1760" s="180" t="str">
        <f t="shared" si="35"/>
        <v>1w</v>
      </c>
      <c r="W1760" s="177">
        <f>_xll.qlCalendarAdvance(Calendar,W1759,V1760,"f",FALSE)</f>
        <v>51279</v>
      </c>
      <c r="X1760" s="181">
        <f>_xll.qlCalendarAdvance(Calendar,W1760,NDays&amp;"D")</f>
        <v>51281</v>
      </c>
      <c r="Y1760" s="178">
        <v>2.0659289653286474E-2</v>
      </c>
      <c r="Z1760" s="183">
        <v>2.0580976857687006E-2</v>
      </c>
    </row>
    <row r="1761" spans="22:26" x14ac:dyDescent="0.2">
      <c r="V1761" s="180" t="str">
        <f t="shared" si="35"/>
        <v>1w</v>
      </c>
      <c r="W1761" s="177">
        <f>_xll.qlCalendarAdvance(Calendar,W1760,V1761,"f",FALSE)</f>
        <v>51286</v>
      </c>
      <c r="X1761" s="181">
        <f>_xll.qlCalendarAdvance(Calendar,W1761,NDays&amp;"D")</f>
        <v>51288</v>
      </c>
      <c r="Y1761" s="178">
        <v>2.0654471612851628E-2</v>
      </c>
      <c r="Z1761" s="183">
        <v>2.0574961693320404E-2</v>
      </c>
    </row>
    <row r="1762" spans="22:26" x14ac:dyDescent="0.2">
      <c r="V1762" s="180" t="str">
        <f t="shared" si="35"/>
        <v>1w</v>
      </c>
      <c r="W1762" s="177">
        <f>_xll.qlCalendarAdvance(Calendar,W1761,V1762,"f",FALSE)</f>
        <v>51293</v>
      </c>
      <c r="X1762" s="181">
        <f>_xll.qlCalendarAdvance(Calendar,W1762,NDays&amp;"D")</f>
        <v>51295</v>
      </c>
      <c r="Y1762" s="178">
        <v>2.0649704469900505E-2</v>
      </c>
      <c r="Z1762" s="183">
        <v>2.0568996363197201E-2</v>
      </c>
    </row>
    <row r="1763" spans="22:26" x14ac:dyDescent="0.2">
      <c r="V1763" s="180" t="str">
        <f t="shared" si="35"/>
        <v>1w</v>
      </c>
      <c r="W1763" s="177">
        <f>_xll.qlCalendarAdvance(Calendar,W1762,V1763,"f",FALSE)</f>
        <v>51300</v>
      </c>
      <c r="X1763" s="181">
        <f>_xll.qlCalendarAdvance(Calendar,W1763,NDays&amp;"D")</f>
        <v>51302</v>
      </c>
      <c r="Y1763" s="178">
        <v>2.0644988223707139E-2</v>
      </c>
      <c r="Z1763" s="183">
        <v>2.0563080867317396E-2</v>
      </c>
    </row>
    <row r="1764" spans="22:26" x14ac:dyDescent="0.2">
      <c r="V1764" s="180" t="str">
        <f t="shared" si="35"/>
        <v>1w</v>
      </c>
      <c r="W1764" s="177">
        <f>_xll.qlCalendarAdvance(Calendar,W1763,V1764,"f",FALSE)</f>
        <v>51307</v>
      </c>
      <c r="X1764" s="181">
        <f>_xll.qlCalendarAdvance(Calendar,W1764,NDays&amp;"D")</f>
        <v>51309</v>
      </c>
      <c r="Y1764" s="178">
        <v>2.0640322873552549E-2</v>
      </c>
      <c r="Z1764" s="183">
        <v>2.055721520568099E-2</v>
      </c>
    </row>
    <row r="1765" spans="22:26" x14ac:dyDescent="0.2">
      <c r="V1765" s="180" t="str">
        <f t="shared" si="35"/>
        <v>1w</v>
      </c>
      <c r="W1765" s="177">
        <f>_xll.qlCalendarAdvance(Calendar,W1764,V1765,"f",FALSE)</f>
        <v>51314</v>
      </c>
      <c r="X1765" s="181">
        <f>_xll.qlCalendarAdvance(Calendar,W1765,NDays&amp;"D")</f>
        <v>51316</v>
      </c>
      <c r="Y1765" s="178">
        <v>2.0634836036521706E-2</v>
      </c>
      <c r="Z1765" s="183">
        <v>2.0551399378341273E-2</v>
      </c>
    </row>
    <row r="1766" spans="22:26" x14ac:dyDescent="0.2">
      <c r="V1766" s="180" t="str">
        <f t="shared" si="35"/>
        <v>1w</v>
      </c>
      <c r="W1766" s="177">
        <f>_xll.qlCalendarAdvance(Calendar,W1765,V1766,"f",FALSE)</f>
        <v>51321</v>
      </c>
      <c r="X1766" s="181">
        <f>_xll.qlCalendarAdvance(Calendar,W1766,NDays&amp;"D")</f>
        <v>51323</v>
      </c>
      <c r="Y1766" s="178">
        <v>2.0631144858523812E-2</v>
      </c>
      <c r="Z1766" s="183">
        <v>2.0545633385191664E-2</v>
      </c>
    </row>
    <row r="1767" spans="22:26" x14ac:dyDescent="0.2">
      <c r="V1767" s="180" t="str">
        <f t="shared" si="35"/>
        <v>1w</v>
      </c>
      <c r="W1767" s="177">
        <f>_xll.qlCalendarAdvance(Calendar,W1766,V1767,"f",FALSE)</f>
        <v>51328</v>
      </c>
      <c r="X1767" s="181">
        <f>_xll.qlCalendarAdvance(Calendar,W1767,NDays&amp;"D")</f>
        <v>51330</v>
      </c>
      <c r="Y1767" s="178">
        <v>2.0626632192250454E-2</v>
      </c>
      <c r="Z1767" s="183">
        <v>2.0539917226312099E-2</v>
      </c>
    </row>
    <row r="1768" spans="22:26" x14ac:dyDescent="0.2">
      <c r="V1768" s="180" t="str">
        <f t="shared" si="35"/>
        <v>1w</v>
      </c>
      <c r="W1768" s="177">
        <f>_xll.qlCalendarAdvance(Calendar,W1767,V1768,"f",FALSE)</f>
        <v>51335</v>
      </c>
      <c r="X1768" s="181">
        <f>_xll.qlCalendarAdvance(Calendar,W1768,NDays&amp;"D")</f>
        <v>51337</v>
      </c>
      <c r="Y1768" s="178">
        <v>2.0622170419218325E-2</v>
      </c>
      <c r="Z1768" s="183">
        <v>2.0534250901595996E-2</v>
      </c>
    </row>
    <row r="1769" spans="22:26" x14ac:dyDescent="0.2">
      <c r="V1769" s="180" t="str">
        <f t="shared" si="35"/>
        <v>1w</v>
      </c>
      <c r="W1769" s="177">
        <f>_xll.qlCalendarAdvance(Calendar,W1768,V1769,"f",FALSE)</f>
        <v>51342</v>
      </c>
      <c r="X1769" s="181">
        <f>_xll.qlCalendarAdvance(Calendar,W1769,NDays&amp;"D")</f>
        <v>51344</v>
      </c>
      <c r="Y1769" s="178">
        <v>2.0617759538747862E-2</v>
      </c>
      <c r="Z1769" s="183">
        <v>2.0528634411123292E-2</v>
      </c>
    </row>
    <row r="1770" spans="22:26" x14ac:dyDescent="0.2">
      <c r="V1770" s="180" t="str">
        <f t="shared" si="35"/>
        <v>1w</v>
      </c>
      <c r="W1770" s="177">
        <f>_xll.qlCalendarAdvance(Calendar,W1769,V1770,"f",FALSE)</f>
        <v>51349</v>
      </c>
      <c r="X1770" s="181">
        <f>_xll.qlCalendarAdvance(Calendar,W1770,NDays&amp;"D")</f>
        <v>51351</v>
      </c>
      <c r="Y1770" s="178">
        <v>2.0613399550166462E-2</v>
      </c>
      <c r="Z1770" s="183">
        <v>2.0523067754867341E-2</v>
      </c>
    </row>
    <row r="1771" spans="22:26" x14ac:dyDescent="0.2">
      <c r="V1771" s="180" t="str">
        <f t="shared" si="35"/>
        <v>1w</v>
      </c>
      <c r="W1771" s="177">
        <f>_xll.qlCalendarAdvance(Calendar,W1770,V1771,"f",FALSE)</f>
        <v>51356</v>
      </c>
      <c r="X1771" s="181">
        <f>_xll.qlCalendarAdvance(Calendar,W1771,NDays&amp;"D")</f>
        <v>51358</v>
      </c>
      <c r="Y1771" s="178">
        <v>2.060909045280938E-2</v>
      </c>
      <c r="Z1771" s="183">
        <v>2.0517550932801498E-2</v>
      </c>
    </row>
    <row r="1772" spans="22:26" x14ac:dyDescent="0.2">
      <c r="V1772" s="180" t="str">
        <f t="shared" si="35"/>
        <v>1w</v>
      </c>
      <c r="W1772" s="177">
        <f>_xll.qlCalendarAdvance(Calendar,W1771,V1772,"f",FALSE)</f>
        <v>51363</v>
      </c>
      <c r="X1772" s="181">
        <f>_xll.qlCalendarAdvance(Calendar,W1772,NDays&amp;"D")</f>
        <v>51365</v>
      </c>
      <c r="Y1772" s="178">
        <v>2.060483224602035E-2</v>
      </c>
      <c r="Z1772" s="183">
        <v>2.0512083944925763E-2</v>
      </c>
    </row>
    <row r="1773" spans="22:26" x14ac:dyDescent="0.2">
      <c r="V1773" s="180" t="str">
        <f t="shared" si="35"/>
        <v>1w</v>
      </c>
      <c r="W1773" s="177">
        <f>_xll.qlCalendarAdvance(Calendar,W1772,V1773,"f",FALSE)</f>
        <v>51370</v>
      </c>
      <c r="X1773" s="181">
        <f>_xll.qlCalendarAdvance(Calendar,W1773,NDays&amp;"D")</f>
        <v>51372</v>
      </c>
      <c r="Y1773" s="178">
        <v>2.0600624929150085E-2</v>
      </c>
      <c r="Z1773" s="183">
        <v>2.0506666791240136E-2</v>
      </c>
    </row>
    <row r="1774" spans="22:26" x14ac:dyDescent="0.2">
      <c r="V1774" s="180" t="str">
        <f t="shared" si="35"/>
        <v>1w</v>
      </c>
      <c r="W1774" s="177">
        <f>_xll.qlCalendarAdvance(Calendar,W1773,V1774,"f",FALSE)</f>
        <v>51377</v>
      </c>
      <c r="X1774" s="181">
        <f>_xll.qlCalendarAdvance(Calendar,W1774,NDays&amp;"D")</f>
        <v>51379</v>
      </c>
      <c r="Y1774" s="178">
        <v>2.0595504662861763E-2</v>
      </c>
      <c r="Z1774" s="183">
        <v>2.0501299471717971E-2</v>
      </c>
    </row>
    <row r="1775" spans="22:26" x14ac:dyDescent="0.2">
      <c r="V1775" s="180" t="str">
        <f t="shared" si="35"/>
        <v>1w</v>
      </c>
      <c r="W1775" s="177">
        <f>_xll.qlCalendarAdvance(Calendar,W1774,V1775,"f",FALSE)</f>
        <v>51384</v>
      </c>
      <c r="X1775" s="181">
        <f>_xll.qlCalendarAdvance(Calendar,W1775,NDays&amp;"D")</f>
        <v>51386</v>
      </c>
      <c r="Y1775" s="178">
        <v>2.0592362962609419E-2</v>
      </c>
      <c r="Z1775" s="183">
        <v>2.0495981986359268E-2</v>
      </c>
    </row>
    <row r="1776" spans="22:26" x14ac:dyDescent="0.2">
      <c r="V1776" s="180" t="str">
        <f t="shared" si="35"/>
        <v>1w</v>
      </c>
      <c r="W1776" s="177">
        <f>_xll.qlCalendarAdvance(Calendar,W1775,V1776,"f",FALSE)</f>
        <v>51391</v>
      </c>
      <c r="X1776" s="181">
        <f>_xll.qlCalendarAdvance(Calendar,W1776,NDays&amp;"D")</f>
        <v>51393</v>
      </c>
      <c r="Y1776" s="178">
        <v>2.0588308311679862E-2</v>
      </c>
      <c r="Z1776" s="183">
        <v>2.0490714335190674E-2</v>
      </c>
    </row>
    <row r="1777" spans="22:26" x14ac:dyDescent="0.2">
      <c r="V1777" s="180" t="str">
        <f t="shared" si="35"/>
        <v>1w</v>
      </c>
      <c r="W1777" s="177">
        <f>_xll.qlCalendarAdvance(Calendar,W1776,V1777,"f",FALSE)</f>
        <v>51398</v>
      </c>
      <c r="X1777" s="181">
        <f>_xll.qlCalendarAdvance(Calendar,W1777,NDays&amp;"D")</f>
        <v>51400</v>
      </c>
      <c r="Y1777" s="178">
        <v>2.058430454815097E-2</v>
      </c>
      <c r="Z1777" s="183">
        <v>2.0485496518185542E-2</v>
      </c>
    </row>
    <row r="1778" spans="22:26" x14ac:dyDescent="0.2">
      <c r="V1778" s="180" t="str">
        <f t="shared" si="35"/>
        <v>1w</v>
      </c>
      <c r="W1778" s="177">
        <f>_xll.qlCalendarAdvance(Calendar,W1777,V1778,"f",FALSE)</f>
        <v>51405</v>
      </c>
      <c r="X1778" s="181">
        <f>_xll.qlCalendarAdvance(Calendar,W1778,NDays&amp;"D")</f>
        <v>51407</v>
      </c>
      <c r="Y1778" s="178">
        <v>2.0580351671412884E-2</v>
      </c>
      <c r="Z1778" s="183">
        <v>2.0480328535343872E-2</v>
      </c>
    </row>
    <row r="1779" spans="22:26" x14ac:dyDescent="0.2">
      <c r="V1779" s="180" t="str">
        <f t="shared" si="35"/>
        <v>1w</v>
      </c>
      <c r="W1779" s="177">
        <f>_xll.qlCalendarAdvance(Calendar,W1778,V1779,"f",FALSE)</f>
        <v>51412</v>
      </c>
      <c r="X1779" s="181">
        <f>_xll.qlCalendarAdvance(Calendar,W1779,NDays&amp;"D")</f>
        <v>51414</v>
      </c>
      <c r="Y1779" s="178">
        <v>2.0576449680862707E-2</v>
      </c>
      <c r="Z1779" s="183">
        <v>2.047521038663902E-2</v>
      </c>
    </row>
    <row r="1780" spans="22:26" x14ac:dyDescent="0.2">
      <c r="V1780" s="180" t="str">
        <f t="shared" si="35"/>
        <v>1w</v>
      </c>
      <c r="W1780" s="177">
        <f>_xll.qlCalendarAdvance(Calendar,W1779,V1780,"f",FALSE)</f>
        <v>51419</v>
      </c>
      <c r="X1780" s="181">
        <f>_xll.qlCalendarAdvance(Calendar,W1780,NDays&amp;"D")</f>
        <v>51421</v>
      </c>
      <c r="Y1780" s="178">
        <v>2.0572598575905814E-2</v>
      </c>
      <c r="Z1780" s="183">
        <v>2.0470142072044339E-2</v>
      </c>
    </row>
    <row r="1781" spans="22:26" x14ac:dyDescent="0.2">
      <c r="V1781" s="180" t="str">
        <f t="shared" si="35"/>
        <v>1w</v>
      </c>
      <c r="W1781" s="177">
        <f>_xll.qlCalendarAdvance(Calendar,W1780,V1781,"f",FALSE)</f>
        <v>51426</v>
      </c>
      <c r="X1781" s="181">
        <f>_xll.qlCalendarAdvance(Calendar,W1781,NDays&amp;"D")</f>
        <v>51428</v>
      </c>
      <c r="Y1781" s="178">
        <v>2.0568798355955646E-2</v>
      </c>
      <c r="Z1781" s="183">
        <v>2.0465123591613121E-2</v>
      </c>
    </row>
    <row r="1782" spans="22:26" x14ac:dyDescent="0.2">
      <c r="V1782" s="180" t="str">
        <f t="shared" si="35"/>
        <v>1w</v>
      </c>
      <c r="W1782" s="177">
        <f>_xll.qlCalendarAdvance(Calendar,W1781,V1782,"f",FALSE)</f>
        <v>51433</v>
      </c>
      <c r="X1782" s="181">
        <f>_xll.qlCalendarAdvance(Calendar,W1782,NDays&amp;"D")</f>
        <v>51435</v>
      </c>
      <c r="Y1782" s="178">
        <v>2.0565049020432612E-2</v>
      </c>
      <c r="Z1782" s="183">
        <v>2.0460154945292075E-2</v>
      </c>
    </row>
    <row r="1783" spans="22:26" x14ac:dyDescent="0.2">
      <c r="V1783" s="180" t="str">
        <f t="shared" si="35"/>
        <v>1w</v>
      </c>
      <c r="W1783" s="177">
        <f>_xll.qlCalendarAdvance(Calendar,W1782,V1783,"f",FALSE)</f>
        <v>51440</v>
      </c>
      <c r="X1783" s="181">
        <f>_xll.qlCalendarAdvance(Calendar,W1783,NDays&amp;"D")</f>
        <v>51442</v>
      </c>
      <c r="Y1783" s="178">
        <v>2.0561350568766054E-2</v>
      </c>
      <c r="Z1783" s="183">
        <v>2.0455236133134491E-2</v>
      </c>
    </row>
    <row r="1784" spans="22:26" x14ac:dyDescent="0.2">
      <c r="V1784" s="180" t="str">
        <f t="shared" si="35"/>
        <v>1w</v>
      </c>
      <c r="W1784" s="177">
        <f>_xll.qlCalendarAdvance(Calendar,W1783,V1784,"f",FALSE)</f>
        <v>51447</v>
      </c>
      <c r="X1784" s="181">
        <f>_xll.qlCalendarAdvance(Calendar,W1784,NDays&amp;"D")</f>
        <v>51449</v>
      </c>
      <c r="Y1784" s="178">
        <v>2.0557703000391409E-2</v>
      </c>
      <c r="Z1784" s="183">
        <v>2.0450367155060434E-2</v>
      </c>
    </row>
    <row r="1785" spans="22:26" x14ac:dyDescent="0.2">
      <c r="V1785" s="180" t="str">
        <f t="shared" si="35"/>
        <v>1w</v>
      </c>
      <c r="W1785" s="177">
        <f>_xll.qlCalendarAdvance(Calendar,W1784,V1785,"f",FALSE)</f>
        <v>51454</v>
      </c>
      <c r="X1785" s="181">
        <f>_xll.qlCalendarAdvance(Calendar,W1785,NDays&amp;"D")</f>
        <v>51456</v>
      </c>
      <c r="Y1785" s="178">
        <v>2.0554106314753483E-2</v>
      </c>
      <c r="Z1785" s="183">
        <v>2.0445548011069903E-2</v>
      </c>
    </row>
    <row r="1786" spans="22:26" x14ac:dyDescent="0.2">
      <c r="V1786" s="180" t="str">
        <f t="shared" si="35"/>
        <v>1w</v>
      </c>
      <c r="W1786" s="177">
        <f>_xll.qlCalendarAdvance(Calendar,W1785,V1786,"f",FALSE)</f>
        <v>51461</v>
      </c>
      <c r="X1786" s="181">
        <f>_xll.qlCalendarAdvance(Calendar,W1786,NDays&amp;"D")</f>
        <v>51463</v>
      </c>
      <c r="Y1786" s="178">
        <v>2.0550560511304043E-2</v>
      </c>
      <c r="Z1786" s="183">
        <v>2.0440778701216189E-2</v>
      </c>
    </row>
    <row r="1787" spans="22:26" x14ac:dyDescent="0.2">
      <c r="V1787" s="180" t="str">
        <f t="shared" si="35"/>
        <v>1w</v>
      </c>
      <c r="W1787" s="177">
        <f>_xll.qlCalendarAdvance(Calendar,W1786,V1787,"f",FALSE)</f>
        <v>51468</v>
      </c>
      <c r="X1787" s="181">
        <f>_xll.qlCalendarAdvance(Calendar,W1787,NDays&amp;"D")</f>
        <v>51470</v>
      </c>
      <c r="Y1787" s="178">
        <v>2.0545968410147719E-2</v>
      </c>
      <c r="Z1787" s="183">
        <v>2.0436059225446002E-2</v>
      </c>
    </row>
    <row r="1788" spans="22:26" x14ac:dyDescent="0.2">
      <c r="V1788" s="180" t="str">
        <f t="shared" si="35"/>
        <v>1w</v>
      </c>
      <c r="W1788" s="177">
        <f>_xll.qlCalendarAdvance(Calendar,W1787,V1788,"f",FALSE)</f>
        <v>51475</v>
      </c>
      <c r="X1788" s="181">
        <f>_xll.qlCalendarAdvance(Calendar,W1788,NDays&amp;"D")</f>
        <v>51477</v>
      </c>
      <c r="Y1788" s="178">
        <v>2.0543621548816497E-2</v>
      </c>
      <c r="Z1788" s="183">
        <v>2.0431389583759341E-2</v>
      </c>
    </row>
    <row r="1789" spans="22:26" x14ac:dyDescent="0.2">
      <c r="V1789" s="180" t="str">
        <f t="shared" si="35"/>
        <v>1w</v>
      </c>
      <c r="W1789" s="177">
        <f>_xll.qlCalendarAdvance(Calendar,W1788,V1789,"f",FALSE)</f>
        <v>51482</v>
      </c>
      <c r="X1789" s="181">
        <f>_xll.qlCalendarAdvance(Calendar,W1789,NDays&amp;"D")</f>
        <v>51484</v>
      </c>
      <c r="Y1789" s="178">
        <v>2.0540228388720928E-2</v>
      </c>
      <c r="Z1789" s="183">
        <v>2.0426769776156206E-2</v>
      </c>
    </row>
    <row r="1790" spans="22:26" x14ac:dyDescent="0.2">
      <c r="V1790" s="180" t="str">
        <f t="shared" si="35"/>
        <v>1w</v>
      </c>
      <c r="W1790" s="177">
        <f>_xll.qlCalendarAdvance(Calendar,W1789,V1790,"f",FALSE)</f>
        <v>51489</v>
      </c>
      <c r="X1790" s="181">
        <f>_xll.qlCalendarAdvance(Calendar,W1790,NDays&amp;"D")</f>
        <v>51491</v>
      </c>
      <c r="Y1790" s="178">
        <v>2.0536886108698919E-2</v>
      </c>
      <c r="Z1790" s="183">
        <v>2.0422199802689889E-2</v>
      </c>
    </row>
    <row r="1791" spans="22:26" x14ac:dyDescent="0.2">
      <c r="V1791" s="180" t="str">
        <f t="shared" si="35"/>
        <v>1w</v>
      </c>
      <c r="W1791" s="177">
        <f>_xll.qlCalendarAdvance(Calendar,W1790,V1791,"f",FALSE)</f>
        <v>51497</v>
      </c>
      <c r="X1791" s="181">
        <f>_xll.qlCalendarAdvance(Calendar,W1791,NDays&amp;"D")</f>
        <v>51501</v>
      </c>
      <c r="Y1791" s="178">
        <v>2.0531437380782482E-2</v>
      </c>
      <c r="Z1791" s="183">
        <v>2.0415498325356829E-2</v>
      </c>
    </row>
    <row r="1792" spans="22:26" x14ac:dyDescent="0.2">
      <c r="V1792" s="180" t="str">
        <f t="shared" si="35"/>
        <v>1w</v>
      </c>
      <c r="W1792" s="177">
        <f>_xll.qlCalendarAdvance(Calendar,W1791,V1792,"f",FALSE)</f>
        <v>51504</v>
      </c>
      <c r="X1792" s="181">
        <f>_xll.qlCalendarAdvance(Calendar,W1792,NDays&amp;"D")</f>
        <v>51508</v>
      </c>
      <c r="Y1792" s="178">
        <v>2.0528211760515593E-2</v>
      </c>
      <c r="Z1792" s="183">
        <v>2.0410783697588641E-2</v>
      </c>
    </row>
    <row r="1793" spans="22:26" x14ac:dyDescent="0.2">
      <c r="V1793" s="180" t="str">
        <f t="shared" si="35"/>
        <v>1w</v>
      </c>
      <c r="W1793" s="177">
        <f>_xll.qlCalendarAdvance(Calendar,W1792,V1793,"f",FALSE)</f>
        <v>51511</v>
      </c>
      <c r="X1793" s="181">
        <f>_xll.qlCalendarAdvance(Calendar,W1793,NDays&amp;"D")</f>
        <v>51515</v>
      </c>
      <c r="Y1793" s="178">
        <v>2.0525037012876678E-2</v>
      </c>
      <c r="Z1793" s="183">
        <v>2.040637796421052E-2</v>
      </c>
    </row>
    <row r="1794" spans="22:26" x14ac:dyDescent="0.2">
      <c r="V1794" s="180" t="str">
        <f t="shared" si="35"/>
        <v>1w</v>
      </c>
      <c r="W1794" s="177">
        <f>_xll.qlCalendarAdvance(Calendar,W1793,V1794,"f",FALSE)</f>
        <v>51518</v>
      </c>
      <c r="X1794" s="181">
        <f>_xll.qlCalendarAdvance(Calendar,W1794,NDays&amp;"D")</f>
        <v>51522</v>
      </c>
      <c r="Y1794" s="178">
        <v>2.0521913137383711E-2</v>
      </c>
      <c r="Z1794" s="183">
        <v>2.0402022058974012E-2</v>
      </c>
    </row>
    <row r="1795" spans="22:26" x14ac:dyDescent="0.2">
      <c r="V1795" s="180" t="str">
        <f t="shared" si="35"/>
        <v>1w</v>
      </c>
      <c r="W1795" s="177">
        <f>_xll.qlCalendarAdvance(Calendar,W1794,V1795,"f",FALSE)</f>
        <v>51525</v>
      </c>
      <c r="X1795" s="181">
        <f>_xll.qlCalendarAdvance(Calendar,W1795,NDays&amp;"D")</f>
        <v>51529</v>
      </c>
      <c r="Y1795" s="178">
        <v>2.0518840133563861E-2</v>
      </c>
      <c r="Z1795" s="183">
        <v>2.0397715982118925E-2</v>
      </c>
    </row>
    <row r="1796" spans="22:26" x14ac:dyDescent="0.2">
      <c r="V1796" s="180" t="str">
        <f t="shared" si="35"/>
        <v>1w</v>
      </c>
      <c r="W1796" s="177">
        <f>_xll.qlCalendarAdvance(Calendar,W1795,V1796,"f",FALSE)</f>
        <v>51532</v>
      </c>
      <c r="X1796" s="181">
        <f>_xll.qlCalendarAdvance(Calendar,W1796,NDays&amp;"D")</f>
        <v>51536</v>
      </c>
      <c r="Y1796" s="178">
        <v>2.0515818000951098E-2</v>
      </c>
      <c r="Z1796" s="183">
        <v>2.0393459733565322E-2</v>
      </c>
    </row>
    <row r="1797" spans="22:26" x14ac:dyDescent="0.2">
      <c r="V1797" s="180" t="str">
        <f t="shared" si="35"/>
        <v>1w</v>
      </c>
      <c r="W1797" s="177">
        <f>_xll.qlCalendarAdvance(Calendar,W1796,V1797,"f",FALSE)</f>
        <v>51539</v>
      </c>
      <c r="X1797" s="181">
        <f>_xll.qlCalendarAdvance(Calendar,W1797,NDays&amp;"D")</f>
        <v>51543</v>
      </c>
      <c r="Y1797" s="178">
        <v>2.0512846739087261E-2</v>
      </c>
      <c r="Z1797" s="183">
        <v>2.0389253313313205E-2</v>
      </c>
    </row>
    <row r="1798" spans="22:26" x14ac:dyDescent="0.2">
      <c r="V1798" s="180" t="str">
        <f t="shared" si="35"/>
        <v>1w</v>
      </c>
      <c r="W1798" s="177">
        <f>_xll.qlCalendarAdvance(Calendar,W1797,V1798,"f",FALSE)</f>
        <v>51546</v>
      </c>
      <c r="X1798" s="181">
        <f>_xll.qlCalendarAdvance(Calendar,W1798,NDays&amp;"D")</f>
        <v>51550</v>
      </c>
      <c r="Y1798" s="178">
        <v>2.0509926347522304E-2</v>
      </c>
      <c r="Z1798" s="183">
        <v>2.0385096721282636E-2</v>
      </c>
    </row>
    <row r="1799" spans="22:26" x14ac:dyDescent="0.2">
      <c r="V1799" s="180" t="str">
        <f t="shared" si="35"/>
        <v>1w</v>
      </c>
      <c r="W1799" s="177">
        <f>_xll.qlCalendarAdvance(Calendar,W1798,V1799,"f",FALSE)</f>
        <v>51553</v>
      </c>
      <c r="X1799" s="181">
        <f>_xll.qlCalendarAdvance(Calendar,W1799,NDays&amp;"D")</f>
        <v>51557</v>
      </c>
      <c r="Y1799" s="178">
        <v>2.0507056825813615E-2</v>
      </c>
      <c r="Z1799" s="183">
        <v>2.0380989957633489E-2</v>
      </c>
    </row>
    <row r="1800" spans="22:26" x14ac:dyDescent="0.2">
      <c r="V1800" s="180" t="str">
        <f t="shared" si="35"/>
        <v>1w</v>
      </c>
      <c r="W1800" s="177">
        <f>_xll.qlCalendarAdvance(Calendar,W1799,V1800,"f",FALSE)</f>
        <v>51560</v>
      </c>
      <c r="X1800" s="181">
        <f>_xll.qlCalendarAdvance(Calendar,W1800,NDays&amp;"D")</f>
        <v>51564</v>
      </c>
      <c r="Y1800" s="178">
        <v>2.0504238173525605E-2</v>
      </c>
      <c r="Z1800" s="183">
        <v>2.0376933022285826E-2</v>
      </c>
    </row>
    <row r="1801" spans="22:26" x14ac:dyDescent="0.2">
      <c r="V1801" s="180" t="str">
        <f t="shared" si="35"/>
        <v>1w</v>
      </c>
      <c r="W1801" s="177">
        <f>_xll.qlCalendarAdvance(Calendar,W1800,V1801,"f",FALSE)</f>
        <v>51567</v>
      </c>
      <c r="X1801" s="181">
        <f>_xll.qlCalendarAdvance(Calendar,W1801,NDays&amp;"D")</f>
        <v>51571</v>
      </c>
      <c r="Y1801" s="178">
        <v>2.0501470390232309E-2</v>
      </c>
      <c r="Z1801" s="183">
        <v>2.0372925915159712E-2</v>
      </c>
    </row>
    <row r="1802" spans="22:26" x14ac:dyDescent="0.2">
      <c r="V1802" s="180" t="str">
        <f t="shared" si="35"/>
        <v>1w</v>
      </c>
      <c r="W1802" s="177">
        <f>_xll.qlCalendarAdvance(Calendar,W1801,V1802,"f",FALSE)</f>
        <v>51574</v>
      </c>
      <c r="X1802" s="181">
        <f>_xll.qlCalendarAdvance(Calendar,W1802,NDays&amp;"D")</f>
        <v>51578</v>
      </c>
      <c r="Y1802" s="178">
        <v>2.0498753475513241E-2</v>
      </c>
      <c r="Z1802" s="183">
        <v>2.0368968636335083E-2</v>
      </c>
    </row>
    <row r="1803" spans="22:26" x14ac:dyDescent="0.2">
      <c r="V1803" s="180" t="str">
        <f t="shared" si="35"/>
        <v>1w</v>
      </c>
      <c r="W1803" s="177">
        <f>_xll.qlCalendarAdvance(Calendar,W1802,V1803,"f",FALSE)</f>
        <v>51581</v>
      </c>
      <c r="X1803" s="181">
        <f>_xll.qlCalendarAdvance(Calendar,W1803,NDays&amp;"D")</f>
        <v>51585</v>
      </c>
      <c r="Y1803" s="178">
        <v>2.0496087428956901E-2</v>
      </c>
      <c r="Z1803" s="183">
        <v>2.0365061185732003E-2</v>
      </c>
    </row>
    <row r="1804" spans="22:26" x14ac:dyDescent="0.2">
      <c r="V1804" s="180" t="str">
        <f t="shared" si="35"/>
        <v>1w</v>
      </c>
      <c r="W1804" s="177">
        <f>_xll.qlCalendarAdvance(Calendar,W1803,V1804,"f",FALSE)</f>
        <v>51588</v>
      </c>
      <c r="X1804" s="181">
        <f>_xll.qlCalendarAdvance(Calendar,W1804,NDays&amp;"D")</f>
        <v>51592</v>
      </c>
      <c r="Y1804" s="178">
        <v>2.0493472250159437E-2</v>
      </c>
      <c r="Z1804" s="183">
        <v>2.0361203563510344E-2</v>
      </c>
    </row>
    <row r="1805" spans="22:26" x14ac:dyDescent="0.2">
      <c r="V1805" s="180" t="str">
        <f t="shared" si="35"/>
        <v>1w</v>
      </c>
      <c r="W1805" s="177">
        <f>_xll.qlCalendarAdvance(Calendar,W1804,V1805,"f",FALSE)</f>
        <v>51595</v>
      </c>
      <c r="X1805" s="181">
        <f>_xll.qlCalendarAdvance(Calendar,W1805,NDays&amp;"D")</f>
        <v>51599</v>
      </c>
      <c r="Y1805" s="178">
        <v>2.0490907938724025E-2</v>
      </c>
      <c r="Z1805" s="183">
        <v>2.0357395769510234E-2</v>
      </c>
    </row>
    <row r="1806" spans="22:26" x14ac:dyDescent="0.2">
      <c r="V1806" s="180" t="str">
        <f t="shared" si="35"/>
        <v>1w</v>
      </c>
      <c r="W1806" s="177">
        <f>_xll.qlCalendarAdvance(Calendar,W1805,V1806,"f",FALSE)</f>
        <v>51602</v>
      </c>
      <c r="X1806" s="181">
        <f>_xll.qlCalendarAdvance(Calendar,W1806,NDays&amp;"D")</f>
        <v>51606</v>
      </c>
      <c r="Y1806" s="178">
        <v>2.0488394494262808E-2</v>
      </c>
      <c r="Z1806" s="183">
        <v>2.0353637803811608E-2</v>
      </c>
    </row>
    <row r="1807" spans="22:26" x14ac:dyDescent="0.2">
      <c r="V1807" s="180" t="str">
        <f t="shared" si="35"/>
        <v>1w</v>
      </c>
      <c r="W1807" s="177">
        <f>_xll.qlCalendarAdvance(Calendar,W1806,V1807,"f",FALSE)</f>
        <v>51609</v>
      </c>
      <c r="X1807" s="181">
        <f>_xll.qlCalendarAdvance(Calendar,W1807,NDays&amp;"D")</f>
        <v>51615</v>
      </c>
      <c r="Y1807" s="178">
        <v>2.0485237665508679E-2</v>
      </c>
      <c r="Z1807" s="183">
        <v>2.0348879350740035E-2</v>
      </c>
    </row>
    <row r="1808" spans="22:26" x14ac:dyDescent="0.2">
      <c r="V1808" s="180" t="str">
        <f t="shared" si="35"/>
        <v>1w</v>
      </c>
      <c r="W1808" s="177">
        <f>_xll.qlCalendarAdvance(Calendar,W1807,V1808,"f",FALSE)</f>
        <v>51616</v>
      </c>
      <c r="X1808" s="181">
        <f>_xll.qlCalendarAdvance(Calendar,W1808,NDays&amp;"D")</f>
        <v>51620</v>
      </c>
      <c r="Y1808" s="178">
        <v>2.0483520204745045E-2</v>
      </c>
      <c r="Z1808" s="183">
        <v>2.0346271357318813E-2</v>
      </c>
    </row>
    <row r="1809" spans="22:26" x14ac:dyDescent="0.2">
      <c r="V1809" s="180" t="str">
        <f t="shared" si="35"/>
        <v>1w</v>
      </c>
      <c r="W1809" s="177">
        <f>_xll.qlCalendarAdvance(Calendar,W1808,V1809,"f",FALSE)</f>
        <v>51623</v>
      </c>
      <c r="X1809" s="181">
        <f>_xll.qlCalendarAdvance(Calendar,W1809,NDays&amp;"D")</f>
        <v>51627</v>
      </c>
      <c r="Y1809" s="178">
        <v>2.0481159358949806E-2</v>
      </c>
      <c r="Z1809" s="183">
        <v>2.0342662876444706E-2</v>
      </c>
    </row>
    <row r="1810" spans="22:26" x14ac:dyDescent="0.2">
      <c r="V1810" s="180" t="str">
        <f t="shared" si="35"/>
        <v>1w</v>
      </c>
      <c r="W1810" s="177">
        <f>_xll.qlCalendarAdvance(Calendar,W1809,V1810,"f",FALSE)</f>
        <v>51630</v>
      </c>
      <c r="X1810" s="181">
        <f>_xll.qlCalendarAdvance(Calendar,W1810,NDays&amp;"D")</f>
        <v>51634</v>
      </c>
      <c r="Y1810" s="178">
        <v>2.0478849378651146E-2</v>
      </c>
      <c r="Z1810" s="183">
        <v>2.0339104223792148E-2</v>
      </c>
    </row>
    <row r="1811" spans="22:26" x14ac:dyDescent="0.2">
      <c r="V1811" s="180" t="str">
        <f t="shared" si="35"/>
        <v>1w</v>
      </c>
      <c r="W1811" s="177">
        <f>_xll.qlCalendarAdvance(Calendar,W1810,V1811,"f",FALSE)</f>
        <v>51637</v>
      </c>
      <c r="X1811" s="181">
        <f>_xll.qlCalendarAdvance(Calendar,W1811,NDays&amp;"D")</f>
        <v>51641</v>
      </c>
      <c r="Y1811" s="178">
        <v>2.0476590263498226E-2</v>
      </c>
      <c r="Z1811" s="183">
        <v>2.0335595399521011E-2</v>
      </c>
    </row>
    <row r="1812" spans="22:26" x14ac:dyDescent="0.2">
      <c r="V1812" s="180" t="str">
        <f t="shared" si="35"/>
        <v>1w</v>
      </c>
      <c r="W1812" s="177">
        <f>_xll.qlCalendarAdvance(Calendar,W1811,V1812,"f",FALSE)</f>
        <v>51644</v>
      </c>
      <c r="X1812" s="181">
        <f>_xll.qlCalendarAdvance(Calendar,W1812,NDays&amp;"D")</f>
        <v>51648</v>
      </c>
      <c r="Y1812" s="178">
        <v>2.0474382013149401E-2</v>
      </c>
      <c r="Z1812" s="183">
        <v>2.0332136403471424E-2</v>
      </c>
    </row>
    <row r="1813" spans="22:26" x14ac:dyDescent="0.2">
      <c r="V1813" s="180" t="str">
        <f t="shared" ref="V1813:V1876" si="36">V1812</f>
        <v>1w</v>
      </c>
      <c r="W1813" s="177">
        <f>_xll.qlCalendarAdvance(Calendar,W1812,V1813,"f",FALSE)</f>
        <v>51651</v>
      </c>
      <c r="X1813" s="181">
        <f>_xll.qlCalendarAdvance(Calendar,W1813,NDays&amp;"D")</f>
        <v>51655</v>
      </c>
      <c r="Y1813" s="178">
        <v>2.0472224627269376E-2</v>
      </c>
      <c r="Z1813" s="183">
        <v>2.0328727235643385E-2</v>
      </c>
    </row>
    <row r="1814" spans="22:26" x14ac:dyDescent="0.2">
      <c r="V1814" s="180" t="str">
        <f t="shared" si="36"/>
        <v>1w</v>
      </c>
      <c r="W1814" s="177">
        <f>_xll.qlCalendarAdvance(Calendar,W1813,V1814,"f",FALSE)</f>
        <v>51658</v>
      </c>
      <c r="X1814" s="181">
        <f>_xll.qlCalendarAdvance(Calendar,W1814,NDays&amp;"D")</f>
        <v>51662</v>
      </c>
      <c r="Y1814" s="178">
        <v>2.0470118105531621E-2</v>
      </c>
      <c r="Z1814" s="183">
        <v>2.032536789611683E-2</v>
      </c>
    </row>
    <row r="1815" spans="22:26" x14ac:dyDescent="0.2">
      <c r="V1815" s="180" t="str">
        <f t="shared" si="36"/>
        <v>1w</v>
      </c>
      <c r="W1815" s="177">
        <f>_xll.qlCalendarAdvance(Calendar,W1814,V1815,"f",FALSE)</f>
        <v>51665</v>
      </c>
      <c r="X1815" s="181">
        <f>_xll.qlCalendarAdvance(Calendar,W1815,NDays&amp;"D")</f>
        <v>51669</v>
      </c>
      <c r="Y1815" s="178">
        <v>2.0468062447616828E-2</v>
      </c>
      <c r="Z1815" s="183">
        <v>2.0322058384971697E-2</v>
      </c>
    </row>
    <row r="1816" spans="22:26" x14ac:dyDescent="0.2">
      <c r="V1816" s="180" t="str">
        <f t="shared" si="36"/>
        <v>1w</v>
      </c>
      <c r="W1816" s="177">
        <f>_xll.qlCalendarAdvance(Calendar,W1815,V1816,"f",FALSE)</f>
        <v>51672</v>
      </c>
      <c r="X1816" s="181">
        <f>_xll.qlCalendarAdvance(Calendar,W1816,NDays&amp;"D")</f>
        <v>51676</v>
      </c>
      <c r="Y1816" s="178">
        <v>2.0466057653213354E-2</v>
      </c>
      <c r="Z1816" s="183">
        <v>2.0318798701888241E-2</v>
      </c>
    </row>
    <row r="1817" spans="22:26" x14ac:dyDescent="0.2">
      <c r="V1817" s="180" t="str">
        <f t="shared" si="36"/>
        <v>1w</v>
      </c>
      <c r="W1817" s="177">
        <f>_xll.qlCalendarAdvance(Calendar,W1816,V1817,"f",FALSE)</f>
        <v>51679</v>
      </c>
      <c r="X1817" s="181">
        <f>_xll.qlCalendarAdvance(Calendar,W1817,NDays&amp;"D")</f>
        <v>51683</v>
      </c>
      <c r="Y1817" s="178">
        <v>2.0464103722017225E-2</v>
      </c>
      <c r="Z1817" s="183">
        <v>2.0315588847266142E-2</v>
      </c>
    </row>
    <row r="1818" spans="22:26" x14ac:dyDescent="0.2">
      <c r="V1818" s="180" t="str">
        <f t="shared" si="36"/>
        <v>1w</v>
      </c>
      <c r="W1818" s="177">
        <f>_xll.qlCalendarAdvance(Calendar,W1817,V1818,"f",FALSE)</f>
        <v>51686</v>
      </c>
      <c r="X1818" s="181">
        <f>_xll.qlCalendarAdvance(Calendar,W1818,NDays&amp;"D")</f>
        <v>51690</v>
      </c>
      <c r="Y1818" s="178">
        <v>2.0462200653732346E-2</v>
      </c>
      <c r="Z1818" s="183">
        <v>2.0312428820785655E-2</v>
      </c>
    </row>
    <row r="1819" spans="22:26" x14ac:dyDescent="0.2">
      <c r="V1819" s="180" t="str">
        <f t="shared" si="36"/>
        <v>1w</v>
      </c>
      <c r="W1819" s="177">
        <f>_xll.qlCalendarAdvance(Calendar,W1818,V1819,"f",FALSE)</f>
        <v>51693</v>
      </c>
      <c r="X1819" s="181">
        <f>_xll.qlCalendarAdvance(Calendar,W1819,NDays&amp;"D")</f>
        <v>51697</v>
      </c>
      <c r="Y1819" s="178">
        <v>2.0460348448070514E-2</v>
      </c>
      <c r="Z1819" s="183">
        <v>2.0309318622606654E-2</v>
      </c>
    </row>
    <row r="1820" spans="22:26" x14ac:dyDescent="0.2">
      <c r="V1820" s="180" t="str">
        <f t="shared" si="36"/>
        <v>1w</v>
      </c>
      <c r="W1820" s="177">
        <f>_xll.qlCalendarAdvance(Calendar,W1819,V1820,"f",FALSE)</f>
        <v>51700</v>
      </c>
      <c r="X1820" s="181">
        <f>_xll.qlCalendarAdvance(Calendar,W1820,NDays&amp;"D")</f>
        <v>51704</v>
      </c>
      <c r="Y1820" s="178">
        <v>2.0458547104750969E-2</v>
      </c>
      <c r="Z1820" s="183">
        <v>2.0306258252729137E-2</v>
      </c>
    </row>
    <row r="1821" spans="22:26" x14ac:dyDescent="0.2">
      <c r="V1821" s="180" t="str">
        <f t="shared" si="36"/>
        <v>1w</v>
      </c>
      <c r="W1821" s="177">
        <f>_xll.qlCalendarAdvance(Calendar,W1820,V1821,"f",FALSE)</f>
        <v>51707</v>
      </c>
      <c r="X1821" s="181">
        <f>_xll.qlCalendarAdvance(Calendar,W1821,NDays&amp;"D")</f>
        <v>51711</v>
      </c>
      <c r="Y1821" s="178">
        <v>2.0456796623500386E-2</v>
      </c>
      <c r="Z1821" s="183">
        <v>2.0303247710993233E-2</v>
      </c>
    </row>
    <row r="1822" spans="22:26" x14ac:dyDescent="0.2">
      <c r="V1822" s="180" t="str">
        <f t="shared" si="36"/>
        <v>1w</v>
      </c>
      <c r="W1822" s="177">
        <f>_xll.qlCalendarAdvance(Calendar,W1821,V1822,"f",FALSE)</f>
        <v>51714</v>
      </c>
      <c r="X1822" s="181">
        <f>_xll.qlCalendarAdvance(Calendar,W1822,NDays&amp;"D")</f>
        <v>51718</v>
      </c>
      <c r="Y1822" s="178">
        <v>2.0455097004053562E-2</v>
      </c>
      <c r="Z1822" s="183">
        <v>2.0300286997558814E-2</v>
      </c>
    </row>
    <row r="1823" spans="22:26" x14ac:dyDescent="0.2">
      <c r="V1823" s="180" t="str">
        <f t="shared" si="36"/>
        <v>1w</v>
      </c>
      <c r="W1823" s="177">
        <f>_xll.qlCalendarAdvance(Calendar,W1822,V1823,"f",FALSE)</f>
        <v>51721</v>
      </c>
      <c r="X1823" s="181">
        <f>_xll.qlCalendarAdvance(Calendar,W1823,NDays&amp;"D")</f>
        <v>51725</v>
      </c>
      <c r="Y1823" s="178">
        <v>2.04534482461536E-2</v>
      </c>
      <c r="Z1823" s="183">
        <v>2.029737611242588E-2</v>
      </c>
    </row>
    <row r="1824" spans="22:26" x14ac:dyDescent="0.2">
      <c r="V1824" s="180" t="str">
        <f t="shared" si="36"/>
        <v>1w</v>
      </c>
      <c r="W1824" s="177">
        <f>_xll.qlCalendarAdvance(Calendar,W1823,V1824,"f",FALSE)</f>
        <v>51728</v>
      </c>
      <c r="X1824" s="181">
        <f>_xll.qlCalendarAdvance(Calendar,W1824,NDays&amp;"D")</f>
        <v>51732</v>
      </c>
      <c r="Y1824" s="178">
        <v>2.0451850349549744E-2</v>
      </c>
      <c r="Z1824" s="183">
        <v>2.0294515055434559E-2</v>
      </c>
    </row>
    <row r="1825" spans="22:26" x14ac:dyDescent="0.2">
      <c r="V1825" s="180" t="str">
        <f t="shared" si="36"/>
        <v>1w</v>
      </c>
      <c r="W1825" s="177">
        <f>_xll.qlCalendarAdvance(Calendar,W1824,V1825,"f",FALSE)</f>
        <v>51735</v>
      </c>
      <c r="X1825" s="181">
        <f>_xll.qlCalendarAdvance(Calendar,W1825,NDays&amp;"D")</f>
        <v>51739</v>
      </c>
      <c r="Y1825" s="178">
        <v>2.0450303314000214E-2</v>
      </c>
      <c r="Z1825" s="183">
        <v>2.0291703826824659E-2</v>
      </c>
    </row>
    <row r="1826" spans="22:26" x14ac:dyDescent="0.2">
      <c r="V1826" s="180" t="str">
        <f t="shared" si="36"/>
        <v>1w</v>
      </c>
      <c r="W1826" s="177">
        <f>_xll.qlCalendarAdvance(Calendar,W1825,V1826,"f",FALSE)</f>
        <v>51742</v>
      </c>
      <c r="X1826" s="181">
        <f>_xll.qlCalendarAdvance(Calendar,W1826,NDays&amp;"D")</f>
        <v>51746</v>
      </c>
      <c r="Y1826" s="178">
        <v>2.0448807139270463E-2</v>
      </c>
      <c r="Z1826" s="183">
        <v>2.0288942426436307E-2</v>
      </c>
    </row>
    <row r="1827" spans="22:26" x14ac:dyDescent="0.2">
      <c r="V1827" s="180" t="str">
        <f t="shared" si="36"/>
        <v>1w</v>
      </c>
      <c r="W1827" s="177">
        <f>_xll.qlCalendarAdvance(Calendar,W1826,V1827,"f",FALSE)</f>
        <v>51749</v>
      </c>
      <c r="X1827" s="181">
        <f>_xll.qlCalendarAdvance(Calendar,W1827,NDays&amp;"D")</f>
        <v>51753</v>
      </c>
      <c r="Y1827" s="178">
        <v>2.0447361825133816E-2</v>
      </c>
      <c r="Z1827" s="183">
        <v>2.0286230854269505E-2</v>
      </c>
    </row>
    <row r="1828" spans="22:26" x14ac:dyDescent="0.2">
      <c r="V1828" s="180" t="str">
        <f t="shared" si="36"/>
        <v>1w</v>
      </c>
      <c r="W1828" s="177">
        <f>_xll.qlCalendarAdvance(Calendar,W1827,V1828,"f",FALSE)</f>
        <v>51756</v>
      </c>
      <c r="X1828" s="181">
        <f>_xll.qlCalendarAdvance(Calendar,W1828,NDays&amp;"D")</f>
        <v>51760</v>
      </c>
      <c r="Y1828" s="178">
        <v>2.0445967371371054E-2</v>
      </c>
      <c r="Z1828" s="183">
        <v>2.0283569110404187E-2</v>
      </c>
    </row>
    <row r="1829" spans="22:26" x14ac:dyDescent="0.2">
      <c r="V1829" s="180" t="str">
        <f t="shared" si="36"/>
        <v>1w</v>
      </c>
      <c r="W1829" s="177">
        <f>_xll.qlCalendarAdvance(Calendar,W1828,V1829,"f",FALSE)</f>
        <v>51763</v>
      </c>
      <c r="X1829" s="181">
        <f>_xll.qlCalendarAdvance(Calendar,W1829,NDays&amp;"D")</f>
        <v>51767</v>
      </c>
      <c r="Y1829" s="178">
        <v>2.044462377777128E-2</v>
      </c>
      <c r="Z1829" s="183">
        <v>2.0280957194840354E-2</v>
      </c>
    </row>
    <row r="1830" spans="22:26" x14ac:dyDescent="0.2">
      <c r="V1830" s="180" t="str">
        <f t="shared" si="36"/>
        <v>1w</v>
      </c>
      <c r="W1830" s="177">
        <f>_xll.qlCalendarAdvance(Calendar,W1829,V1830,"f",FALSE)</f>
        <v>51770</v>
      </c>
      <c r="X1830" s="181">
        <f>_xll.qlCalendarAdvance(Calendar,W1830,NDays&amp;"D")</f>
        <v>51774</v>
      </c>
      <c r="Y1830" s="178">
        <v>2.044333104413016E-2</v>
      </c>
      <c r="Z1830" s="183">
        <v>2.0278395107338198E-2</v>
      </c>
    </row>
    <row r="1831" spans="22:26" x14ac:dyDescent="0.2">
      <c r="V1831" s="180" t="str">
        <f t="shared" si="36"/>
        <v>1w</v>
      </c>
      <c r="W1831" s="177">
        <f>_xll.qlCalendarAdvance(Calendar,W1830,V1831,"f",FALSE)</f>
        <v>51777</v>
      </c>
      <c r="X1831" s="181">
        <f>_xll.qlCalendarAdvance(Calendar,W1831,NDays&amp;"D")</f>
        <v>51781</v>
      </c>
      <c r="Y1831" s="178">
        <v>2.0442089170252344E-2</v>
      </c>
      <c r="Z1831" s="183">
        <v>2.0275882848137528E-2</v>
      </c>
    </row>
    <row r="1832" spans="22:26" x14ac:dyDescent="0.2">
      <c r="V1832" s="180" t="str">
        <f t="shared" si="36"/>
        <v>1w</v>
      </c>
      <c r="W1832" s="177">
        <f>_xll.qlCalendarAdvance(Calendar,W1831,V1832,"f",FALSE)</f>
        <v>51784</v>
      </c>
      <c r="X1832" s="181">
        <f>_xll.qlCalendarAdvance(Calendar,W1832,NDays&amp;"D")</f>
        <v>51788</v>
      </c>
      <c r="Y1832" s="178">
        <v>2.044089815594971E-2</v>
      </c>
      <c r="Z1832" s="183">
        <v>2.0273420417238341E-2</v>
      </c>
    </row>
    <row r="1833" spans="22:26" x14ac:dyDescent="0.2">
      <c r="V1833" s="180" t="str">
        <f t="shared" si="36"/>
        <v>1w</v>
      </c>
      <c r="W1833" s="177">
        <f>_xll.qlCalendarAdvance(Calendar,W1832,V1833,"f",FALSE)</f>
        <v>51791</v>
      </c>
      <c r="X1833" s="181">
        <f>_xll.qlCalendarAdvance(Calendar,W1833,NDays&amp;"D")</f>
        <v>51795</v>
      </c>
      <c r="Y1833" s="178">
        <v>2.0439758001041142E-2</v>
      </c>
      <c r="Z1833" s="183">
        <v>2.027100781464064E-2</v>
      </c>
    </row>
    <row r="1834" spans="22:26" x14ac:dyDescent="0.2">
      <c r="V1834" s="180" t="str">
        <f t="shared" si="36"/>
        <v>1w</v>
      </c>
      <c r="W1834" s="177">
        <f>_xll.qlCalendarAdvance(Calendar,W1833,V1834,"f",FALSE)</f>
        <v>51798</v>
      </c>
      <c r="X1834" s="181">
        <f>_xll.qlCalendarAdvance(Calendar,W1834,NDays&amp;"D")</f>
        <v>51802</v>
      </c>
      <c r="Y1834" s="178">
        <v>2.0438668705354286E-2</v>
      </c>
      <c r="Z1834" s="183">
        <v>2.0268645040184552E-2</v>
      </c>
    </row>
    <row r="1835" spans="22:26" x14ac:dyDescent="0.2">
      <c r="V1835" s="180" t="str">
        <f t="shared" si="36"/>
        <v>1w</v>
      </c>
      <c r="W1835" s="177">
        <f>_xll.qlCalendarAdvance(Calendar,W1834,V1835,"f",FALSE)</f>
        <v>51805</v>
      </c>
      <c r="X1835" s="181">
        <f>_xll.qlCalendarAdvance(Calendar,W1835,NDays&amp;"D")</f>
        <v>51809</v>
      </c>
      <c r="Y1835" s="178">
        <v>2.043763026872401E-2</v>
      </c>
      <c r="Z1835" s="183">
        <v>2.0266332093950012E-2</v>
      </c>
    </row>
    <row r="1836" spans="22:26" x14ac:dyDescent="0.2">
      <c r="V1836" s="180" t="str">
        <f t="shared" si="36"/>
        <v>1w</v>
      </c>
      <c r="W1836" s="177">
        <f>_xll.qlCalendarAdvance(Calendar,W1835,V1836,"f",FALSE)</f>
        <v>51812</v>
      </c>
      <c r="X1836" s="181">
        <f>_xll.qlCalendarAdvance(Calendar,W1836,NDays&amp;"D")</f>
        <v>51816</v>
      </c>
      <c r="Y1836" s="178">
        <v>2.0436642690993077E-2</v>
      </c>
      <c r="Z1836" s="183">
        <v>2.0264068976096894E-2</v>
      </c>
    </row>
    <row r="1837" spans="22:26" x14ac:dyDescent="0.2">
      <c r="V1837" s="180" t="str">
        <f t="shared" si="36"/>
        <v>1w</v>
      </c>
      <c r="W1837" s="177">
        <f>_xll.qlCalendarAdvance(Calendar,W1836,V1837,"f",FALSE)</f>
        <v>51819</v>
      </c>
      <c r="X1837" s="181">
        <f>_xll.qlCalendarAdvance(Calendar,W1837,NDays&amp;"D")</f>
        <v>51823</v>
      </c>
      <c r="Y1837" s="178">
        <v>2.0435705972011463E-2</v>
      </c>
      <c r="Z1837" s="183">
        <v>2.0261855686385388E-2</v>
      </c>
    </row>
    <row r="1838" spans="22:26" x14ac:dyDescent="0.2">
      <c r="V1838" s="180" t="str">
        <f t="shared" si="36"/>
        <v>1w</v>
      </c>
      <c r="W1838" s="177">
        <f>_xll.qlCalendarAdvance(Calendar,W1837,V1838,"f",FALSE)</f>
        <v>51826</v>
      </c>
      <c r="X1838" s="181">
        <f>_xll.qlCalendarAdvance(Calendar,W1838,NDays&amp;"D")</f>
        <v>51830</v>
      </c>
      <c r="Y1838" s="178">
        <v>2.0434820111637473E-2</v>
      </c>
      <c r="Z1838" s="183">
        <v>2.0259692224975367E-2</v>
      </c>
    </row>
    <row r="1839" spans="22:26" x14ac:dyDescent="0.2">
      <c r="V1839" s="180" t="str">
        <f t="shared" si="36"/>
        <v>1w</v>
      </c>
      <c r="W1839" s="177">
        <f>_xll.qlCalendarAdvance(Calendar,W1838,V1839,"f",FALSE)</f>
        <v>51833</v>
      </c>
      <c r="X1839" s="181">
        <f>_xll.qlCalendarAdvance(Calendar,W1839,NDays&amp;"D")</f>
        <v>51837</v>
      </c>
      <c r="Y1839" s="178">
        <v>2.0433985109736427E-2</v>
      </c>
      <c r="Z1839" s="183">
        <v>2.025757859170696E-2</v>
      </c>
    </row>
    <row r="1840" spans="22:26" x14ac:dyDescent="0.2">
      <c r="V1840" s="180" t="str">
        <f t="shared" si="36"/>
        <v>1w</v>
      </c>
      <c r="W1840" s="177">
        <f>_xll.qlCalendarAdvance(Calendar,W1839,V1840,"f",FALSE)</f>
        <v>51840</v>
      </c>
      <c r="X1840" s="181">
        <f>_xll.qlCalendarAdvance(Calendar,W1840,NDays&amp;"D")</f>
        <v>51844</v>
      </c>
      <c r="Y1840" s="178">
        <v>2.0433200966182393E-2</v>
      </c>
      <c r="Z1840" s="183">
        <v>2.0255514786740036E-2</v>
      </c>
    </row>
    <row r="1841" spans="22:26" x14ac:dyDescent="0.2">
      <c r="V1841" s="180" t="str">
        <f t="shared" si="36"/>
        <v>1w</v>
      </c>
      <c r="W1841" s="177">
        <f>_xll.qlCalendarAdvance(Calendar,W1840,V1841,"f",FALSE)</f>
        <v>51847</v>
      </c>
      <c r="X1841" s="181">
        <f>_xll.qlCalendarAdvance(Calendar,W1841,NDays&amp;"D")</f>
        <v>51851</v>
      </c>
      <c r="Y1841" s="178">
        <v>2.0432467680856235E-2</v>
      </c>
      <c r="Z1841" s="183">
        <v>2.0253500809994662E-2</v>
      </c>
    </row>
    <row r="1842" spans="22:26" x14ac:dyDescent="0.2">
      <c r="V1842" s="180" t="str">
        <f t="shared" si="36"/>
        <v>1w</v>
      </c>
      <c r="W1842" s="177">
        <f>_xll.qlCalendarAdvance(Calendar,W1841,V1842,"f",FALSE)</f>
        <v>51854</v>
      </c>
      <c r="X1842" s="181">
        <f>_xll.qlCalendarAdvance(Calendar,W1842,NDays&amp;"D")</f>
        <v>51858</v>
      </c>
      <c r="Y1842" s="178">
        <v>2.0431785253646917E-2</v>
      </c>
      <c r="Z1842" s="183">
        <v>2.0251536661470837E-2</v>
      </c>
    </row>
    <row r="1843" spans="22:26" x14ac:dyDescent="0.2">
      <c r="V1843" s="180" t="str">
        <f t="shared" si="36"/>
        <v>1w</v>
      </c>
      <c r="W1843" s="177">
        <f>_xll.qlCalendarAdvance(Calendar,W1842,V1843,"f",FALSE)</f>
        <v>51862</v>
      </c>
      <c r="X1843" s="181">
        <f>_xll.qlCalendarAdvance(Calendar,W1843,NDays&amp;"D")</f>
        <v>51866</v>
      </c>
      <c r="Y1843" s="178">
        <v>2.043106761194852E-2</v>
      </c>
      <c r="Z1843" s="183">
        <v>2.0249788226913701E-2</v>
      </c>
    </row>
    <row r="1844" spans="22:26" x14ac:dyDescent="0.2">
      <c r="V1844" s="180" t="str">
        <f t="shared" si="36"/>
        <v>1w</v>
      </c>
      <c r="W1844" s="177">
        <f>_xll.qlCalendarAdvance(Calendar,W1843,V1844,"f",FALSE)</f>
        <v>51869</v>
      </c>
      <c r="X1844" s="181">
        <f>_xll.qlCalendarAdvance(Calendar,W1844,NDays&amp;"D")</f>
        <v>51873</v>
      </c>
      <c r="Y1844" s="178">
        <v>2.0430494166079539E-2</v>
      </c>
      <c r="Z1844" s="183">
        <v>2.0247495560816731E-2</v>
      </c>
    </row>
    <row r="1845" spans="22:26" x14ac:dyDescent="0.2">
      <c r="V1845" s="180" t="str">
        <f t="shared" si="36"/>
        <v>1w</v>
      </c>
      <c r="W1845" s="177">
        <f>_xll.qlCalendarAdvance(Calendar,W1844,V1845,"f",FALSE)</f>
        <v>51876</v>
      </c>
      <c r="X1845" s="181">
        <f>_xll.qlCalendarAdvance(Calendar,W1845,NDays&amp;"D")</f>
        <v>51880</v>
      </c>
      <c r="Y1845" s="178">
        <v>2.0429971578028241E-2</v>
      </c>
      <c r="Z1845" s="183">
        <v>2.0245688015263497E-2</v>
      </c>
    </row>
    <row r="1846" spans="22:26" x14ac:dyDescent="0.2">
      <c r="V1846" s="180" t="str">
        <f t="shared" si="36"/>
        <v>1w</v>
      </c>
      <c r="W1846" s="177">
        <f>_xll.qlCalendarAdvance(Calendar,W1845,V1846,"f",FALSE)</f>
        <v>51883</v>
      </c>
      <c r="X1846" s="181">
        <f>_xll.qlCalendarAdvance(Calendar,W1846,NDays&amp;"D")</f>
        <v>51887</v>
      </c>
      <c r="Y1846" s="178">
        <v>2.0429499847715346E-2</v>
      </c>
      <c r="Z1846" s="183">
        <v>2.0243930298091684E-2</v>
      </c>
    </row>
    <row r="1847" spans="22:26" x14ac:dyDescent="0.2">
      <c r="V1847" s="180" t="str">
        <f t="shared" si="36"/>
        <v>1w</v>
      </c>
      <c r="W1847" s="177">
        <f>_xll.qlCalendarAdvance(Calendar,W1846,V1847,"f",FALSE)</f>
        <v>51890</v>
      </c>
      <c r="X1847" s="181">
        <f>_xll.qlCalendarAdvance(Calendar,W1847,NDays&amp;"D")</f>
        <v>51894</v>
      </c>
      <c r="Y1847" s="178">
        <v>2.0429078975069462E-2</v>
      </c>
      <c r="Z1847" s="183">
        <v>2.0242222408981547E-2</v>
      </c>
    </row>
    <row r="1848" spans="22:26" x14ac:dyDescent="0.2">
      <c r="V1848" s="180" t="str">
        <f t="shared" si="36"/>
        <v>1w</v>
      </c>
      <c r="W1848" s="177">
        <f>_xll.qlCalendarAdvance(Calendar,W1847,V1848,"f",FALSE)</f>
        <v>51897</v>
      </c>
      <c r="X1848" s="181">
        <f>_xll.qlCalendarAdvance(Calendar,W1848,NDays&amp;"D")</f>
        <v>51901</v>
      </c>
      <c r="Y1848" s="178">
        <v>2.0428708960026638E-2</v>
      </c>
      <c r="Z1848" s="183">
        <v>2.0240564348252832E-2</v>
      </c>
    </row>
    <row r="1849" spans="22:26" x14ac:dyDescent="0.2">
      <c r="V1849" s="180" t="str">
        <f t="shared" si="36"/>
        <v>1w</v>
      </c>
      <c r="W1849" s="177">
        <f>_xll.qlCalendarAdvance(Calendar,W1848,V1849,"f",FALSE)</f>
        <v>51904</v>
      </c>
      <c r="X1849" s="181">
        <f>_xll.qlCalendarAdvance(Calendar,W1849,NDays&amp;"D")</f>
        <v>51908</v>
      </c>
      <c r="Y1849" s="178">
        <v>2.0428389802531029E-2</v>
      </c>
      <c r="Z1849" s="183">
        <v>2.0238956115665729E-2</v>
      </c>
    </row>
    <row r="1850" spans="22:26" x14ac:dyDescent="0.2">
      <c r="V1850" s="180" t="str">
        <f t="shared" si="36"/>
        <v>1w</v>
      </c>
      <c r="W1850" s="177">
        <f>_xll.qlCalendarAdvance(Calendar,W1849,V1850,"f",FALSE)</f>
        <v>51911</v>
      </c>
      <c r="X1850" s="181">
        <f>_xll.qlCalendarAdvance(Calendar,W1850,NDays&amp;"D")</f>
        <v>51915</v>
      </c>
      <c r="Y1850" s="178">
        <v>2.0428121502534015E-2</v>
      </c>
      <c r="Z1850" s="183">
        <v>2.0237397711380112E-2</v>
      </c>
    </row>
    <row r="1851" spans="22:26" x14ac:dyDescent="0.2">
      <c r="V1851" s="180" t="str">
        <f t="shared" si="36"/>
        <v>1w</v>
      </c>
      <c r="W1851" s="177">
        <f>_xll.qlCalendarAdvance(Calendar,W1850,V1851,"f",FALSE)</f>
        <v>51918</v>
      </c>
      <c r="X1851" s="181">
        <f>_xll.qlCalendarAdvance(Calendar,W1851,NDays&amp;"D")</f>
        <v>51922</v>
      </c>
      <c r="Y1851" s="178">
        <v>2.0427904059995301E-2</v>
      </c>
      <c r="Z1851" s="183">
        <v>2.0235889135316043E-2</v>
      </c>
    </row>
    <row r="1852" spans="22:26" x14ac:dyDescent="0.2">
      <c r="V1852" s="180" t="str">
        <f t="shared" si="36"/>
        <v>1w</v>
      </c>
      <c r="W1852" s="177">
        <f>_xll.qlCalendarAdvance(Calendar,W1851,V1852,"f",FALSE)</f>
        <v>51925</v>
      </c>
      <c r="X1852" s="181">
        <f>_xll.qlCalendarAdvance(Calendar,W1852,NDays&amp;"D")</f>
        <v>51929</v>
      </c>
      <c r="Y1852" s="178">
        <v>2.0427737474881597E-2</v>
      </c>
      <c r="Z1852" s="183">
        <v>2.0234430387553459E-2</v>
      </c>
    </row>
    <row r="1853" spans="22:26" x14ac:dyDescent="0.2">
      <c r="V1853" s="180" t="str">
        <f t="shared" si="36"/>
        <v>1w</v>
      </c>
      <c r="W1853" s="177">
        <f>_xll.qlCalendarAdvance(Calendar,W1852,V1853,"f",FALSE)</f>
        <v>51932</v>
      </c>
      <c r="X1853" s="181">
        <f>_xll.qlCalendarAdvance(Calendar,W1853,NDays&amp;"D")</f>
        <v>51936</v>
      </c>
      <c r="Y1853" s="178">
        <v>2.042762174716772E-2</v>
      </c>
      <c r="Z1853" s="183">
        <v>2.0233021467852552E-2</v>
      </c>
    </row>
    <row r="1854" spans="22:26" x14ac:dyDescent="0.2">
      <c r="V1854" s="180" t="str">
        <f t="shared" si="36"/>
        <v>1w</v>
      </c>
      <c r="W1854" s="177">
        <f>_xll.qlCalendarAdvance(Calendar,W1853,V1854,"f",FALSE)</f>
        <v>51939</v>
      </c>
      <c r="X1854" s="181">
        <f>_xll.qlCalendarAdvance(Calendar,W1854,NDays&amp;"D")</f>
        <v>51943</v>
      </c>
      <c r="Y1854" s="178">
        <v>2.0427556876836145E-2</v>
      </c>
      <c r="Z1854" s="183">
        <v>2.0231662376373194E-2</v>
      </c>
    </row>
    <row r="1855" spans="22:26" x14ac:dyDescent="0.2">
      <c r="V1855" s="180" t="str">
        <f t="shared" si="36"/>
        <v>1w</v>
      </c>
      <c r="W1855" s="177">
        <f>_xll.qlCalendarAdvance(Calendar,W1854,V1855,"f",FALSE)</f>
        <v>51946</v>
      </c>
      <c r="X1855" s="181">
        <f>_xll.qlCalendarAdvance(Calendar,W1855,NDays&amp;"D")</f>
        <v>51950</v>
      </c>
      <c r="Y1855" s="178">
        <v>2.0427542863877463E-2</v>
      </c>
      <c r="Z1855" s="183">
        <v>2.0230353113275257E-2</v>
      </c>
    </row>
    <row r="1856" spans="22:26" x14ac:dyDescent="0.2">
      <c r="V1856" s="180" t="str">
        <f t="shared" si="36"/>
        <v>1w</v>
      </c>
      <c r="W1856" s="177">
        <f>_xll.qlCalendarAdvance(Calendar,W1855,V1856,"f",FALSE)</f>
        <v>51953</v>
      </c>
      <c r="X1856" s="181">
        <f>_xll.qlCalendarAdvance(Calendar,W1856,NDays&amp;"D")</f>
        <v>51957</v>
      </c>
      <c r="Y1856" s="178">
        <v>2.0427579708288821E-2</v>
      </c>
      <c r="Z1856" s="183">
        <v>2.0229093678318932E-2</v>
      </c>
    </row>
    <row r="1857" spans="22:26" x14ac:dyDescent="0.2">
      <c r="V1857" s="180" t="str">
        <f t="shared" si="36"/>
        <v>1w</v>
      </c>
      <c r="W1857" s="177">
        <f>_xll.qlCalendarAdvance(Calendar,W1856,V1857,"f",FALSE)</f>
        <v>51964</v>
      </c>
      <c r="X1857" s="181">
        <f>_xll.qlCalendarAdvance(Calendar,W1857,NDays&amp;"D")</f>
        <v>51966</v>
      </c>
      <c r="Y1857" s="178">
        <v>2.0427701808881909E-2</v>
      </c>
      <c r="Z1857" s="183">
        <v>2.0227547621676223E-2</v>
      </c>
    </row>
    <row r="1858" spans="22:26" x14ac:dyDescent="0.2">
      <c r="V1858" s="180" t="str">
        <f t="shared" si="36"/>
        <v>1w</v>
      </c>
      <c r="W1858" s="177">
        <f>_xll.qlCalendarAdvance(Calendar,W1857,V1858,"f",FALSE)</f>
        <v>51971</v>
      </c>
      <c r="X1858" s="181">
        <f>_xll.qlCalendarAdvance(Calendar,W1858,NDays&amp;"D")</f>
        <v>51973</v>
      </c>
      <c r="Y1858" s="178">
        <v>2.0427854898744886E-2</v>
      </c>
      <c r="Z1858" s="183">
        <v>2.0226402079934758E-2</v>
      </c>
    </row>
    <row r="1859" spans="22:26" x14ac:dyDescent="0.2">
      <c r="V1859" s="180" t="str">
        <f t="shared" si="36"/>
        <v>1w</v>
      </c>
      <c r="W1859" s="177">
        <f>_xll.qlCalendarAdvance(Calendar,W1858,V1859,"f",FALSE)</f>
        <v>51978</v>
      </c>
      <c r="X1859" s="181">
        <f>_xll.qlCalendarAdvance(Calendar,W1859,NDays&amp;"D")</f>
        <v>51980</v>
      </c>
      <c r="Y1859" s="178">
        <v>2.0428058846025211E-2</v>
      </c>
      <c r="Z1859" s="183">
        <v>2.0225306366175033E-2</v>
      </c>
    </row>
    <row r="1860" spans="22:26" x14ac:dyDescent="0.2">
      <c r="V1860" s="180" t="str">
        <f t="shared" si="36"/>
        <v>1w</v>
      </c>
      <c r="W1860" s="177">
        <f>_xll.qlCalendarAdvance(Calendar,W1859,V1860,"f",FALSE)</f>
        <v>51985</v>
      </c>
      <c r="X1860" s="181">
        <f>_xll.qlCalendarAdvance(Calendar,W1860,NDays&amp;"D")</f>
        <v>51988</v>
      </c>
      <c r="Y1860" s="178">
        <v>2.0429610454853309E-2</v>
      </c>
      <c r="Z1860" s="183">
        <v>2.0225107304954193E-2</v>
      </c>
    </row>
    <row r="1861" spans="22:26" x14ac:dyDescent="0.2">
      <c r="V1861" s="180" t="str">
        <f t="shared" si="36"/>
        <v>1w</v>
      </c>
      <c r="W1861" s="177">
        <f>_xll.qlCalendarAdvance(Calendar,W1860,V1861,"f",FALSE)</f>
        <v>51992</v>
      </c>
      <c r="X1861" s="181">
        <f>_xll.qlCalendarAdvance(Calendar,W1861,NDays&amp;"D")</f>
        <v>51994</v>
      </c>
      <c r="Y1861" s="178">
        <v>2.0428619312970832E-2</v>
      </c>
      <c r="Z1861" s="183">
        <v>2.0223264423719911E-2</v>
      </c>
    </row>
    <row r="1862" spans="22:26" x14ac:dyDescent="0.2">
      <c r="V1862" s="180" t="str">
        <f t="shared" si="36"/>
        <v>1w</v>
      </c>
      <c r="W1862" s="177">
        <f>_xll.qlCalendarAdvance(Calendar,W1861,V1862,"f",FALSE)</f>
        <v>51999</v>
      </c>
      <c r="X1862" s="181">
        <f>_xll.qlCalendarAdvance(Calendar,W1862,NDays&amp;"D")</f>
        <v>52001</v>
      </c>
      <c r="Y1862" s="178">
        <v>2.0428975832720662E-2</v>
      </c>
      <c r="Z1862" s="183">
        <v>2.0222318194784705E-2</v>
      </c>
    </row>
    <row r="1863" spans="22:26" x14ac:dyDescent="0.2">
      <c r="V1863" s="180" t="str">
        <f t="shared" si="36"/>
        <v>1w</v>
      </c>
      <c r="W1863" s="177">
        <f>_xll.qlCalendarAdvance(Calendar,W1862,V1863,"f",FALSE)</f>
        <v>52006</v>
      </c>
      <c r="X1863" s="181">
        <f>_xll.qlCalendarAdvance(Calendar,W1863,NDays&amp;"D")</f>
        <v>52008</v>
      </c>
      <c r="Y1863" s="178">
        <v>2.0429383210058008E-2</v>
      </c>
      <c r="Z1863" s="183">
        <v>2.0221421793991112E-2</v>
      </c>
    </row>
    <row r="1864" spans="22:26" x14ac:dyDescent="0.2">
      <c r="V1864" s="180" t="str">
        <f t="shared" si="36"/>
        <v>1w</v>
      </c>
      <c r="W1864" s="177">
        <f>_xll.qlCalendarAdvance(Calendar,W1863,V1864,"f",FALSE)</f>
        <v>52013</v>
      </c>
      <c r="X1864" s="181">
        <f>_xll.qlCalendarAdvance(Calendar,W1864,NDays&amp;"D")</f>
        <v>52015</v>
      </c>
      <c r="Y1864" s="178">
        <v>2.042984144504462E-2</v>
      </c>
      <c r="Z1864" s="183">
        <v>2.0220575221499004E-2</v>
      </c>
    </row>
    <row r="1865" spans="22:26" x14ac:dyDescent="0.2">
      <c r="V1865" s="180" t="str">
        <f t="shared" si="36"/>
        <v>1w</v>
      </c>
      <c r="W1865" s="177">
        <f>_xll.qlCalendarAdvance(Calendar,W1864,V1865,"f",FALSE)</f>
        <v>52020</v>
      </c>
      <c r="X1865" s="181">
        <f>_xll.qlCalendarAdvance(Calendar,W1865,NDays&amp;"D")</f>
        <v>52022</v>
      </c>
      <c r="Y1865" s="178">
        <v>2.0430350537749928E-2</v>
      </c>
      <c r="Z1865" s="183">
        <v>2.0219778477148509E-2</v>
      </c>
    </row>
    <row r="1866" spans="22:26" x14ac:dyDescent="0.2">
      <c r="V1866" s="180" t="str">
        <f t="shared" si="36"/>
        <v>1w</v>
      </c>
      <c r="W1866" s="177">
        <f>_xll.qlCalendarAdvance(Calendar,W1865,V1866,"f",FALSE)</f>
        <v>52027</v>
      </c>
      <c r="X1866" s="181">
        <f>_xll.qlCalendarAdvance(Calendar,W1866,NDays&amp;"D")</f>
        <v>52029</v>
      </c>
      <c r="Y1866" s="178">
        <v>2.0430910488251235E-2</v>
      </c>
      <c r="Z1866" s="183">
        <v>2.0219031561019563E-2</v>
      </c>
    </row>
    <row r="1867" spans="22:26" x14ac:dyDescent="0.2">
      <c r="V1867" s="180" t="str">
        <f t="shared" si="36"/>
        <v>1w</v>
      </c>
      <c r="W1867" s="177">
        <f>_xll.qlCalendarAdvance(Calendar,W1866,V1867,"f",FALSE)</f>
        <v>52034</v>
      </c>
      <c r="X1867" s="181">
        <f>_xll.qlCalendarAdvance(Calendar,W1867,NDays&amp;"D")</f>
        <v>52036</v>
      </c>
      <c r="Y1867" s="178">
        <v>2.0431521296633521E-2</v>
      </c>
      <c r="Z1867" s="183">
        <v>2.0218334473272037E-2</v>
      </c>
    </row>
    <row r="1868" spans="22:26" x14ac:dyDescent="0.2">
      <c r="V1868" s="180" t="str">
        <f t="shared" si="36"/>
        <v>1w</v>
      </c>
      <c r="W1868" s="177">
        <f>_xll.qlCalendarAdvance(Calendar,W1867,V1868,"f",FALSE)</f>
        <v>52041</v>
      </c>
      <c r="X1868" s="181">
        <f>_xll.qlCalendarAdvance(Calendar,W1868,NDays&amp;"D")</f>
        <v>52043</v>
      </c>
      <c r="Y1868" s="178">
        <v>2.0432182962988762E-2</v>
      </c>
      <c r="Z1868" s="183">
        <v>2.0217687213586188E-2</v>
      </c>
    </row>
    <row r="1869" spans="22:26" x14ac:dyDescent="0.2">
      <c r="V1869" s="180" t="str">
        <f t="shared" si="36"/>
        <v>1w</v>
      </c>
      <c r="W1869" s="177">
        <f>_xll.qlCalendarAdvance(Calendar,W1868,V1869,"f",FALSE)</f>
        <v>52048</v>
      </c>
      <c r="X1869" s="181">
        <f>_xll.qlCalendarAdvance(Calendar,W1869,NDays&amp;"D")</f>
        <v>52050</v>
      </c>
      <c r="Y1869" s="178">
        <v>2.0432895487417699E-2</v>
      </c>
      <c r="Z1869" s="183">
        <v>2.0217089782201825E-2</v>
      </c>
    </row>
    <row r="1870" spans="22:26" x14ac:dyDescent="0.2">
      <c r="V1870" s="180" t="str">
        <f t="shared" si="36"/>
        <v>1w</v>
      </c>
      <c r="W1870" s="177">
        <f>_xll.qlCalendarAdvance(Calendar,W1869,V1870,"f",FALSE)</f>
        <v>52055</v>
      </c>
      <c r="X1870" s="181">
        <f>_xll.qlCalendarAdvance(Calendar,W1870,NDays&amp;"D")</f>
        <v>52057</v>
      </c>
      <c r="Y1870" s="178">
        <v>2.0433658870028303E-2</v>
      </c>
      <c r="Z1870" s="183">
        <v>2.021654217903901E-2</v>
      </c>
    </row>
    <row r="1871" spans="22:26" x14ac:dyDescent="0.2">
      <c r="V1871" s="180" t="str">
        <f t="shared" si="36"/>
        <v>1w</v>
      </c>
      <c r="W1871" s="177">
        <f>_xll.qlCalendarAdvance(Calendar,W1870,V1871,"f",FALSE)</f>
        <v>52062</v>
      </c>
      <c r="X1871" s="181">
        <f>_xll.qlCalendarAdvance(Calendar,W1871,NDays&amp;"D")</f>
        <v>52064</v>
      </c>
      <c r="Y1871" s="178">
        <v>2.0434473110936425E-2</v>
      </c>
      <c r="Z1871" s="183">
        <v>2.0216044404017808E-2</v>
      </c>
    </row>
    <row r="1872" spans="22:26" x14ac:dyDescent="0.2">
      <c r="V1872" s="180" t="str">
        <f t="shared" si="36"/>
        <v>1w</v>
      </c>
      <c r="W1872" s="177">
        <f>_xll.qlCalendarAdvance(Calendar,W1871,V1872,"f",FALSE)</f>
        <v>52069</v>
      </c>
      <c r="X1872" s="181">
        <f>_xll.qlCalendarAdvance(Calendar,W1872,NDays&amp;"D")</f>
        <v>52071</v>
      </c>
      <c r="Y1872" s="178">
        <v>2.0435338210264709E-2</v>
      </c>
      <c r="Z1872" s="183">
        <v>2.0215596457218155E-2</v>
      </c>
    </row>
    <row r="1873" spans="22:26" x14ac:dyDescent="0.2">
      <c r="V1873" s="180" t="str">
        <f t="shared" si="36"/>
        <v>1w</v>
      </c>
      <c r="W1873" s="177">
        <f>_xll.qlCalendarAdvance(Calendar,W1872,V1873,"f",FALSE)</f>
        <v>52076</v>
      </c>
      <c r="X1873" s="181">
        <f>_xll.qlCalendarAdvance(Calendar,W1873,NDays&amp;"D")</f>
        <v>52078</v>
      </c>
      <c r="Y1873" s="178">
        <v>2.043625416814521E-2</v>
      </c>
      <c r="Z1873" s="183">
        <v>2.0215198338799922E-2</v>
      </c>
    </row>
    <row r="1874" spans="22:26" x14ac:dyDescent="0.2">
      <c r="V1874" s="180" t="str">
        <f t="shared" si="36"/>
        <v>1w</v>
      </c>
      <c r="W1874" s="177">
        <f>_xll.qlCalendarAdvance(Calendar,W1873,V1874,"f",FALSE)</f>
        <v>52083</v>
      </c>
      <c r="X1874" s="181">
        <f>_xll.qlCalendarAdvance(Calendar,W1874,NDays&amp;"D")</f>
        <v>52085</v>
      </c>
      <c r="Y1874" s="178">
        <v>2.0437220984716339E-2</v>
      </c>
      <c r="Z1874" s="183">
        <v>2.0214850048523303E-2</v>
      </c>
    </row>
    <row r="1875" spans="22:26" x14ac:dyDescent="0.2">
      <c r="V1875" s="180" t="str">
        <f t="shared" si="36"/>
        <v>1w</v>
      </c>
      <c r="W1875" s="177">
        <f>_xll.qlCalendarAdvance(Calendar,W1874,V1875,"f",FALSE)</f>
        <v>52090</v>
      </c>
      <c r="X1875" s="181">
        <f>_xll.qlCalendarAdvance(Calendar,W1875,NDays&amp;"D")</f>
        <v>52092</v>
      </c>
      <c r="Y1875" s="178">
        <v>2.0438238660124394E-2</v>
      </c>
      <c r="Z1875" s="183">
        <v>2.0214551586388296E-2</v>
      </c>
    </row>
    <row r="1876" spans="22:26" x14ac:dyDescent="0.2">
      <c r="V1876" s="180" t="str">
        <f t="shared" si="36"/>
        <v>1w</v>
      </c>
      <c r="W1876" s="177">
        <f>_xll.qlCalendarAdvance(Calendar,W1875,V1876,"f",FALSE)</f>
        <v>52097</v>
      </c>
      <c r="X1876" s="181">
        <f>_xll.qlCalendarAdvance(Calendar,W1876,NDays&amp;"D")</f>
        <v>52099</v>
      </c>
      <c r="Y1876" s="178">
        <v>2.0439307194523765E-2</v>
      </c>
      <c r="Z1876" s="183">
        <v>2.0214302952554775E-2</v>
      </c>
    </row>
    <row r="1877" spans="22:26" x14ac:dyDescent="0.2">
      <c r="V1877" s="180" t="str">
        <f t="shared" ref="V1877:V1940" si="37">V1876</f>
        <v>1w</v>
      </c>
      <c r="W1877" s="177">
        <f>_xll.qlCalendarAdvance(Calendar,W1876,V1877,"f",FALSE)</f>
        <v>52104</v>
      </c>
      <c r="X1877" s="181">
        <f>_xll.qlCalendarAdvance(Calendar,W1877,NDays&amp;"D")</f>
        <v>52106</v>
      </c>
      <c r="Y1877" s="178">
        <v>2.0440426588076523E-2</v>
      </c>
      <c r="Z1877" s="183">
        <v>2.0214104146942802E-2</v>
      </c>
    </row>
    <row r="1878" spans="22:26" x14ac:dyDescent="0.2">
      <c r="V1878" s="180" t="str">
        <f t="shared" si="37"/>
        <v>1w</v>
      </c>
      <c r="W1878" s="177">
        <f>_xll.qlCalendarAdvance(Calendar,W1877,V1878,"f",FALSE)</f>
        <v>52111</v>
      </c>
      <c r="X1878" s="181">
        <f>_xll.qlCalendarAdvance(Calendar,W1878,NDays&amp;"D")</f>
        <v>52113</v>
      </c>
      <c r="Y1878" s="178">
        <v>2.0441596840952387E-2</v>
      </c>
      <c r="Z1878" s="183">
        <v>2.0213955169472442E-2</v>
      </c>
    </row>
    <row r="1879" spans="22:26" x14ac:dyDescent="0.2">
      <c r="V1879" s="180" t="str">
        <f t="shared" si="37"/>
        <v>1w</v>
      </c>
      <c r="W1879" s="177">
        <f>_xll.qlCalendarAdvance(Calendar,W1878,V1879,"f",FALSE)</f>
        <v>52118</v>
      </c>
      <c r="X1879" s="181">
        <f>_xll.qlCalendarAdvance(Calendar,W1879,NDays&amp;"D")</f>
        <v>52120</v>
      </c>
      <c r="Y1879" s="178">
        <v>2.0442817953328096E-2</v>
      </c>
      <c r="Z1879" s="183">
        <v>2.0213856020223631E-2</v>
      </c>
    </row>
    <row r="1880" spans="22:26" x14ac:dyDescent="0.2">
      <c r="V1880" s="180" t="str">
        <f t="shared" si="37"/>
        <v>1w</v>
      </c>
      <c r="W1880" s="177">
        <f>_xll.qlCalendarAdvance(Calendar,W1879,V1880,"f",FALSE)</f>
        <v>52125</v>
      </c>
      <c r="X1880" s="181">
        <f>_xll.qlCalendarAdvance(Calendar,W1880,NDays&amp;"D")</f>
        <v>52127</v>
      </c>
      <c r="Y1880" s="178">
        <v>2.044408992538958E-2</v>
      </c>
      <c r="Z1880" s="183">
        <v>2.021380669935624E-2</v>
      </c>
    </row>
    <row r="1881" spans="22:26" x14ac:dyDescent="0.2">
      <c r="V1881" s="180" t="str">
        <f t="shared" si="37"/>
        <v>1w</v>
      </c>
      <c r="W1881" s="177">
        <f>_xll.qlCalendarAdvance(Calendar,W1880,V1881,"f",FALSE)</f>
        <v>52132</v>
      </c>
      <c r="X1881" s="181">
        <f>_xll.qlCalendarAdvance(Calendar,W1881,NDays&amp;"D")</f>
        <v>52134</v>
      </c>
      <c r="Y1881" s="178">
        <v>2.0445412757329348E-2</v>
      </c>
      <c r="Z1881" s="183">
        <v>2.0213807206550527E-2</v>
      </c>
    </row>
    <row r="1882" spans="22:26" x14ac:dyDescent="0.2">
      <c r="V1882" s="180" t="str">
        <f t="shared" si="37"/>
        <v>1w</v>
      </c>
      <c r="W1882" s="177">
        <f>_xll.qlCalendarAdvance(Calendar,W1881,V1882,"f",FALSE)</f>
        <v>52139</v>
      </c>
      <c r="X1882" s="181">
        <f>_xll.qlCalendarAdvance(Calendar,W1882,NDays&amp;"D")</f>
        <v>52141</v>
      </c>
      <c r="Y1882" s="178">
        <v>2.0446786449347349E-2</v>
      </c>
      <c r="Z1882" s="183">
        <v>2.0213857541966362E-2</v>
      </c>
    </row>
    <row r="1883" spans="22:26" x14ac:dyDescent="0.2">
      <c r="V1883" s="180" t="str">
        <f t="shared" si="37"/>
        <v>1w</v>
      </c>
      <c r="W1883" s="177">
        <f>_xll.qlCalendarAdvance(Calendar,W1882,V1883,"f",FALSE)</f>
        <v>52146</v>
      </c>
      <c r="X1883" s="181">
        <f>_xll.qlCalendarAdvance(Calendar,W1883,NDays&amp;"D")</f>
        <v>52148</v>
      </c>
      <c r="Y1883" s="178">
        <v>2.0448211001652509E-2</v>
      </c>
      <c r="Z1883" s="183">
        <v>2.0213957705763619E-2</v>
      </c>
    </row>
    <row r="1884" spans="22:26" x14ac:dyDescent="0.2">
      <c r="V1884" s="180" t="str">
        <f t="shared" si="37"/>
        <v>1w</v>
      </c>
      <c r="W1884" s="177">
        <f>_xll.qlCalendarAdvance(Calendar,W1883,V1884,"f",FALSE)</f>
        <v>52153</v>
      </c>
      <c r="X1884" s="181">
        <f>_xll.qlCalendarAdvance(Calendar,W1884,NDays&amp;"D")</f>
        <v>52155</v>
      </c>
      <c r="Y1884" s="178">
        <v>2.0449686414460107E-2</v>
      </c>
      <c r="Z1884" s="183">
        <v>2.0214107697622552E-2</v>
      </c>
    </row>
    <row r="1885" spans="22:26" x14ac:dyDescent="0.2">
      <c r="V1885" s="180" t="str">
        <f t="shared" si="37"/>
        <v>1w</v>
      </c>
      <c r="W1885" s="177">
        <f>_xll.qlCalendarAdvance(Calendar,W1884,V1885,"f",FALSE)</f>
        <v>52160</v>
      </c>
      <c r="X1885" s="181">
        <f>_xll.qlCalendarAdvance(Calendar,W1885,NDays&amp;"D")</f>
        <v>52162</v>
      </c>
      <c r="Y1885" s="178">
        <v>2.0451212687993967E-2</v>
      </c>
      <c r="Z1885" s="183">
        <v>2.0214307517703034E-2</v>
      </c>
    </row>
    <row r="1886" spans="22:26" x14ac:dyDescent="0.2">
      <c r="V1886" s="180" t="str">
        <f t="shared" si="37"/>
        <v>1w</v>
      </c>
      <c r="W1886" s="177">
        <f>_xll.qlCalendarAdvance(Calendar,W1885,V1886,"f",FALSE)</f>
        <v>52167</v>
      </c>
      <c r="X1886" s="181">
        <f>_xll.qlCalendarAdvance(Calendar,W1886,NDays&amp;"D")</f>
        <v>52169</v>
      </c>
      <c r="Y1886" s="178">
        <v>2.0452789822485794E-2</v>
      </c>
      <c r="Z1886" s="183">
        <v>2.0214557166085001E-2</v>
      </c>
    </row>
    <row r="1887" spans="22:26" x14ac:dyDescent="0.2">
      <c r="V1887" s="180" t="str">
        <f t="shared" si="37"/>
        <v>1w</v>
      </c>
      <c r="W1887" s="177">
        <f>_xll.qlCalendarAdvance(Calendar,W1886,V1887,"f",FALSE)</f>
        <v>52174</v>
      </c>
      <c r="X1887" s="181">
        <f>_xll.qlCalendarAdvance(Calendar,W1887,NDays&amp;"D")</f>
        <v>52176</v>
      </c>
      <c r="Y1887" s="178">
        <v>2.0454417818174076E-2</v>
      </c>
      <c r="Z1887" s="183">
        <v>2.0214856642608581E-2</v>
      </c>
    </row>
    <row r="1888" spans="22:26" x14ac:dyDescent="0.2">
      <c r="V1888" s="180" t="str">
        <f t="shared" si="37"/>
        <v>1w</v>
      </c>
      <c r="W1888" s="177">
        <f>_xll.qlCalendarAdvance(Calendar,W1887,V1888,"f",FALSE)</f>
        <v>52181</v>
      </c>
      <c r="X1888" s="181">
        <f>_xll.qlCalendarAdvance(Calendar,W1888,NDays&amp;"D")</f>
        <v>52183</v>
      </c>
      <c r="Y1888" s="178">
        <v>2.045609667530586E-2</v>
      </c>
      <c r="Z1888" s="183">
        <v>2.0215205947353709E-2</v>
      </c>
    </row>
    <row r="1889" spans="22:26" x14ac:dyDescent="0.2">
      <c r="V1889" s="180" t="str">
        <f t="shared" si="37"/>
        <v>1w</v>
      </c>
      <c r="W1889" s="177">
        <f>_xll.qlCalendarAdvance(Calendar,W1888,V1889,"f",FALSE)</f>
        <v>52188</v>
      </c>
      <c r="X1889" s="181">
        <f>_xll.qlCalendarAdvance(Calendar,W1889,NDays&amp;"D")</f>
        <v>52190</v>
      </c>
      <c r="Y1889" s="178">
        <v>2.0457826394135396E-2</v>
      </c>
      <c r="Z1889" s="183">
        <v>2.0215605080480259E-2</v>
      </c>
    </row>
    <row r="1890" spans="22:26" x14ac:dyDescent="0.2">
      <c r="V1890" s="180" t="str">
        <f t="shared" si="37"/>
        <v>1w</v>
      </c>
      <c r="W1890" s="177">
        <f>_xll.qlCalendarAdvance(Calendar,W1889,V1890,"f",FALSE)</f>
        <v>52195</v>
      </c>
      <c r="X1890" s="181">
        <f>_xll.qlCalendarAdvance(Calendar,W1890,NDays&amp;"D")</f>
        <v>52197</v>
      </c>
      <c r="Y1890" s="178">
        <v>2.0459606974924618E-2</v>
      </c>
      <c r="Z1890" s="183">
        <v>2.0216054041668485E-2</v>
      </c>
    </row>
    <row r="1891" spans="22:26" x14ac:dyDescent="0.2">
      <c r="V1891" s="180" t="str">
        <f t="shared" si="37"/>
        <v>1w</v>
      </c>
      <c r="W1891" s="177">
        <f>_xll.qlCalendarAdvance(Calendar,W1890,V1891,"f",FALSE)</f>
        <v>52202</v>
      </c>
      <c r="X1891" s="181">
        <f>_xll.qlCalendarAdvance(Calendar,W1891,NDays&amp;"D")</f>
        <v>52204</v>
      </c>
      <c r="Y1891" s="178">
        <v>2.0461438417944216E-2</v>
      </c>
      <c r="Z1891" s="183">
        <v>2.0216552831078261E-2</v>
      </c>
    </row>
    <row r="1892" spans="22:26" x14ac:dyDescent="0.2">
      <c r="V1892" s="180" t="str">
        <f t="shared" si="37"/>
        <v>1w</v>
      </c>
      <c r="W1892" s="177">
        <f>_xll.qlCalendarAdvance(Calendar,W1891,V1892,"f",FALSE)</f>
        <v>52209</v>
      </c>
      <c r="X1892" s="181">
        <f>_xll.qlCalendarAdvance(Calendar,W1892,NDays&amp;"D")</f>
        <v>52211</v>
      </c>
      <c r="Y1892" s="178">
        <v>2.0463320723471005E-2</v>
      </c>
      <c r="Z1892" s="183">
        <v>2.0217101448789521E-2</v>
      </c>
    </row>
    <row r="1893" spans="22:26" x14ac:dyDescent="0.2">
      <c r="V1893" s="180" t="str">
        <f t="shared" si="37"/>
        <v>1w</v>
      </c>
      <c r="W1893" s="177">
        <f>_xll.qlCalendarAdvance(Calendar,W1892,V1893,"f",FALSE)</f>
        <v>52216</v>
      </c>
      <c r="X1893" s="181">
        <f>_xll.qlCalendarAdvance(Calendar,W1893,NDays&amp;"D")</f>
        <v>52218</v>
      </c>
      <c r="Y1893" s="178">
        <v>2.0465253891790127E-2</v>
      </c>
      <c r="Z1893" s="183">
        <v>2.0217699894562458E-2</v>
      </c>
    </row>
    <row r="1894" spans="22:26" x14ac:dyDescent="0.2">
      <c r="V1894" s="180" t="str">
        <f t="shared" si="37"/>
        <v>1w</v>
      </c>
      <c r="W1894" s="177">
        <f>_xll.qlCalendarAdvance(Calendar,W1893,V1894,"f",FALSE)</f>
        <v>52223</v>
      </c>
      <c r="X1894" s="181">
        <f>_xll.qlCalendarAdvance(Calendar,W1894,NDays&amp;"D")</f>
        <v>52229</v>
      </c>
      <c r="Y1894" s="178">
        <v>2.0468394492029612E-2</v>
      </c>
      <c r="Z1894" s="183">
        <v>2.0218740982897998E-2</v>
      </c>
    </row>
    <row r="1895" spans="22:26" x14ac:dyDescent="0.2">
      <c r="V1895" s="180" t="str">
        <f t="shared" si="37"/>
        <v>1w</v>
      </c>
      <c r="W1895" s="177">
        <f>_xll.qlCalendarAdvance(Calendar,W1894,V1895,"f",FALSE)</f>
        <v>52230</v>
      </c>
      <c r="X1895" s="181">
        <f>_xll.qlCalendarAdvance(Calendar,W1895,NDays&amp;"D")</f>
        <v>52233</v>
      </c>
      <c r="Y1895" s="178">
        <v>2.047108288608529E-2</v>
      </c>
      <c r="Z1895" s="183">
        <v>2.0220390847596192E-2</v>
      </c>
    </row>
    <row r="1896" spans="22:26" x14ac:dyDescent="0.2">
      <c r="V1896" s="180" t="str">
        <f t="shared" si="37"/>
        <v>1w</v>
      </c>
      <c r="W1896" s="177">
        <f>_xll.qlCalendarAdvance(Calendar,W1895,V1896,"f",FALSE)</f>
        <v>52237</v>
      </c>
      <c r="X1896" s="181">
        <f>_xll.qlCalendarAdvance(Calendar,W1896,NDays&amp;"D")</f>
        <v>52239</v>
      </c>
      <c r="Y1896" s="178">
        <v>2.0471358576472712E-2</v>
      </c>
      <c r="Z1896" s="183">
        <v>2.0219794201690178E-2</v>
      </c>
    </row>
    <row r="1897" spans="22:26" x14ac:dyDescent="0.2">
      <c r="V1897" s="180" t="str">
        <f t="shared" si="37"/>
        <v>1w</v>
      </c>
      <c r="W1897" s="177">
        <f>_xll.qlCalendarAdvance(Calendar,W1896,V1897,"f",FALSE)</f>
        <v>52244</v>
      </c>
      <c r="X1897" s="181">
        <f>_xll.qlCalendarAdvance(Calendar,W1897,NDays&amp;"D")</f>
        <v>52246</v>
      </c>
      <c r="Y1897" s="178">
        <v>2.0473495198969831E-2</v>
      </c>
      <c r="Z1897" s="183">
        <v>2.022059196034931E-2</v>
      </c>
    </row>
    <row r="1898" spans="22:26" x14ac:dyDescent="0.2">
      <c r="V1898" s="180" t="str">
        <f t="shared" si="37"/>
        <v>1w</v>
      </c>
      <c r="W1898" s="177">
        <f>_xll.qlCalendarAdvance(Calendar,W1897,V1898,"f",FALSE)</f>
        <v>52251</v>
      </c>
      <c r="X1898" s="181">
        <f>_xll.qlCalendarAdvance(Calendar,W1898,NDays&amp;"D")</f>
        <v>52253</v>
      </c>
      <c r="Y1898" s="178">
        <v>2.0475682685801504E-2</v>
      </c>
      <c r="Z1898" s="183">
        <v>2.0221439547469799E-2</v>
      </c>
    </row>
    <row r="1899" spans="22:26" x14ac:dyDescent="0.2">
      <c r="V1899" s="180" t="str">
        <f t="shared" si="37"/>
        <v>1w</v>
      </c>
      <c r="W1899" s="177">
        <f>_xll.qlCalendarAdvance(Calendar,W1898,V1899,"f",FALSE)</f>
        <v>52258</v>
      </c>
      <c r="X1899" s="181">
        <f>_xll.qlCalendarAdvance(Calendar,W1899,NDays&amp;"D")</f>
        <v>52260</v>
      </c>
      <c r="Y1899" s="178">
        <v>2.0477921037299299E-2</v>
      </c>
      <c r="Z1899" s="183">
        <v>2.022233696257203E-2</v>
      </c>
    </row>
    <row r="1900" spans="22:26" x14ac:dyDescent="0.2">
      <c r="V1900" s="180" t="str">
        <f t="shared" si="37"/>
        <v>1w</v>
      </c>
      <c r="W1900" s="177">
        <f>_xll.qlCalendarAdvance(Calendar,W1899,V1900,"f",FALSE)</f>
        <v>52265</v>
      </c>
      <c r="X1900" s="181">
        <f>_xll.qlCalendarAdvance(Calendar,W1900,NDays&amp;"D")</f>
        <v>52267</v>
      </c>
      <c r="Y1900" s="178">
        <v>2.0480210253802891E-2</v>
      </c>
      <c r="Z1900" s="183">
        <v>2.0223284206055681E-2</v>
      </c>
    </row>
    <row r="1901" spans="22:26" x14ac:dyDescent="0.2">
      <c r="V1901" s="180" t="str">
        <f t="shared" si="37"/>
        <v>1w</v>
      </c>
      <c r="W1901" s="177">
        <f>_xll.qlCalendarAdvance(Calendar,W1900,V1901,"f",FALSE)</f>
        <v>52272</v>
      </c>
      <c r="X1901" s="181">
        <f>_xll.qlCalendarAdvance(Calendar,W1901,NDays&amp;"D")</f>
        <v>52274</v>
      </c>
      <c r="Y1901" s="178">
        <v>2.0482550335658524E-2</v>
      </c>
      <c r="Z1901" s="183">
        <v>2.0224281277840817E-2</v>
      </c>
    </row>
    <row r="1902" spans="22:26" x14ac:dyDescent="0.2">
      <c r="V1902" s="180" t="str">
        <f t="shared" si="37"/>
        <v>1w</v>
      </c>
      <c r="W1902" s="177">
        <f>_xll.qlCalendarAdvance(Calendar,W1901,V1902,"f",FALSE)</f>
        <v>52279</v>
      </c>
      <c r="X1902" s="181">
        <f>_xll.qlCalendarAdvance(Calendar,W1902,NDays&amp;"D")</f>
        <v>52281</v>
      </c>
      <c r="Y1902" s="178">
        <v>2.04849412832212E-2</v>
      </c>
      <c r="Z1902" s="183">
        <v>2.0225328177687629E-2</v>
      </c>
    </row>
    <row r="1903" spans="22:26" x14ac:dyDescent="0.2">
      <c r="V1903" s="180" t="str">
        <f t="shared" si="37"/>
        <v>1w</v>
      </c>
      <c r="W1903" s="177">
        <f>_xll.qlCalendarAdvance(Calendar,W1902,V1903,"f",FALSE)</f>
        <v>52286</v>
      </c>
      <c r="X1903" s="181">
        <f>_xll.qlCalendarAdvance(Calendar,W1903,NDays&amp;"D")</f>
        <v>52288</v>
      </c>
      <c r="Y1903" s="178">
        <v>2.0487383096853367E-2</v>
      </c>
      <c r="Z1903" s="183">
        <v>2.0226424905835927E-2</v>
      </c>
    </row>
    <row r="1904" spans="22:26" x14ac:dyDescent="0.2">
      <c r="V1904" s="180" t="str">
        <f t="shared" si="37"/>
        <v>1w</v>
      </c>
      <c r="W1904" s="177">
        <f>_xll.qlCalendarAdvance(Calendar,W1903,V1904,"f",FALSE)</f>
        <v>52293</v>
      </c>
      <c r="X1904" s="181">
        <f>_xll.qlCalendarAdvance(Calendar,W1904,NDays&amp;"D")</f>
        <v>52295</v>
      </c>
      <c r="Y1904" s="178">
        <v>2.0492249173212931E-2</v>
      </c>
      <c r="Z1904" s="183">
        <v>2.0227571462125837E-2</v>
      </c>
    </row>
    <row r="1905" spans="22:26" x14ac:dyDescent="0.2">
      <c r="V1905" s="180" t="str">
        <f t="shared" si="37"/>
        <v>1w</v>
      </c>
      <c r="W1905" s="177">
        <f>_xll.qlCalendarAdvance(Calendar,W1904,V1905,"f",FALSE)</f>
        <v>52300</v>
      </c>
      <c r="X1905" s="181">
        <f>_xll.qlCalendarAdvance(Calendar,W1905,NDays&amp;"D")</f>
        <v>52302</v>
      </c>
      <c r="Y1905" s="178">
        <v>2.0494804052202172E-2</v>
      </c>
      <c r="Z1905" s="183">
        <v>2.0228767846717233E-2</v>
      </c>
    </row>
    <row r="1906" spans="22:26" x14ac:dyDescent="0.2">
      <c r="V1906" s="180" t="str">
        <f t="shared" si="37"/>
        <v>1w</v>
      </c>
      <c r="W1906" s="177">
        <f>_xll.qlCalendarAdvance(Calendar,W1905,V1906,"f",FALSE)</f>
        <v>52307</v>
      </c>
      <c r="X1906" s="181">
        <f>_xll.qlCalendarAdvance(Calendar,W1906,NDays&amp;"D")</f>
        <v>52309</v>
      </c>
      <c r="Y1906" s="178">
        <v>2.0497409807135301E-2</v>
      </c>
      <c r="Z1906" s="183">
        <v>2.0230014059450241E-2</v>
      </c>
    </row>
    <row r="1907" spans="22:26" x14ac:dyDescent="0.2">
      <c r="V1907" s="180" t="str">
        <f t="shared" si="37"/>
        <v>1w</v>
      </c>
      <c r="W1907" s="177">
        <f>_xll.qlCalendarAdvance(Calendar,W1906,V1907,"f",FALSE)</f>
        <v>52314</v>
      </c>
      <c r="X1907" s="181">
        <f>_xll.qlCalendarAdvance(Calendar,W1907,NDays&amp;"D")</f>
        <v>52316</v>
      </c>
      <c r="Y1907" s="178">
        <v>2.0500066438411138E-2</v>
      </c>
      <c r="Z1907" s="183">
        <v>2.0233964701999341E-2</v>
      </c>
    </row>
    <row r="1908" spans="22:26" x14ac:dyDescent="0.2">
      <c r="V1908" s="180" t="str">
        <f t="shared" si="37"/>
        <v>1w</v>
      </c>
      <c r="W1908" s="177">
        <f>_xll.qlCalendarAdvance(Calendar,W1907,V1908,"f",FALSE)</f>
        <v>52321</v>
      </c>
      <c r="X1908" s="181">
        <f>_xll.qlCalendarAdvance(Calendar,W1908,NDays&amp;"D")</f>
        <v>52323</v>
      </c>
      <c r="Y1908" s="178">
        <v>2.0502773946435224E-2</v>
      </c>
      <c r="Z1908" s="183">
        <v>2.0232655969820712E-2</v>
      </c>
    </row>
    <row r="1909" spans="22:26" x14ac:dyDescent="0.2">
      <c r="V1909" s="180" t="str">
        <f t="shared" si="37"/>
        <v>1w</v>
      </c>
      <c r="W1909" s="177">
        <f>_xll.qlCalendarAdvance(Calendar,W1908,V1909,"f",FALSE)</f>
        <v>52328</v>
      </c>
      <c r="X1909" s="181">
        <f>_xll.qlCalendarAdvance(Calendar,W1909,NDays&amp;"D")</f>
        <v>52330</v>
      </c>
      <c r="Y1909" s="178">
        <v>2.0505532331621137E-2</v>
      </c>
      <c r="Z1909" s="183">
        <v>2.0234051667218367E-2</v>
      </c>
    </row>
    <row r="1910" spans="22:26" x14ac:dyDescent="0.2">
      <c r="V1910" s="180" t="str">
        <f t="shared" si="37"/>
        <v>1w</v>
      </c>
      <c r="W1910" s="177">
        <f>_xll.qlCalendarAdvance(Calendar,W1909,V1910,"f",FALSE)</f>
        <v>52335</v>
      </c>
      <c r="X1910" s="181">
        <f>_xll.qlCalendarAdvance(Calendar,W1910,NDays&amp;"D")</f>
        <v>52337</v>
      </c>
      <c r="Y1910" s="178">
        <v>2.0509156223087577E-2</v>
      </c>
      <c r="Z1910" s="183">
        <v>2.0235497192997443E-2</v>
      </c>
    </row>
    <row r="1911" spans="22:26" x14ac:dyDescent="0.2">
      <c r="V1911" s="180" t="str">
        <f t="shared" si="37"/>
        <v>1w</v>
      </c>
      <c r="W1911" s="177">
        <f>_xll.qlCalendarAdvance(Calendar,W1910,V1911,"f",FALSE)</f>
        <v>52342</v>
      </c>
      <c r="X1911" s="181">
        <f>_xll.qlCalendarAdvance(Calendar,W1911,NDays&amp;"D")</f>
        <v>52344</v>
      </c>
      <c r="Y1911" s="178">
        <v>2.0511201735172544E-2</v>
      </c>
      <c r="Z1911" s="183">
        <v>2.0236992546838195E-2</v>
      </c>
    </row>
    <row r="1912" spans="22:26" x14ac:dyDescent="0.2">
      <c r="V1912" s="180" t="str">
        <f t="shared" si="37"/>
        <v>1w</v>
      </c>
      <c r="W1912" s="177">
        <f>_xll.qlCalendarAdvance(Calendar,W1911,V1912,"f",FALSE)</f>
        <v>52349</v>
      </c>
      <c r="X1912" s="181">
        <f>_xll.qlCalendarAdvance(Calendar,W1912,NDays&amp;"D")</f>
        <v>52351</v>
      </c>
      <c r="Y1912" s="178">
        <v>2.0511648456273793E-2</v>
      </c>
      <c r="Z1912" s="183">
        <v>2.0240582738901836E-2</v>
      </c>
    </row>
    <row r="1913" spans="22:26" x14ac:dyDescent="0.2">
      <c r="V1913" s="180" t="str">
        <f t="shared" si="37"/>
        <v>1w</v>
      </c>
      <c r="W1913" s="177">
        <f>_xll.qlCalendarAdvance(Calendar,W1912,V1913,"f",FALSE)</f>
        <v>52356</v>
      </c>
      <c r="X1913" s="181">
        <f>_xll.qlCalendarAdvance(Calendar,W1913,NDays&amp;"D")</f>
        <v>52358</v>
      </c>
      <c r="Y1913" s="178">
        <v>2.0517074652530842E-2</v>
      </c>
      <c r="Z1913" s="183">
        <v>2.0240132739424155E-2</v>
      </c>
    </row>
    <row r="1914" spans="22:26" x14ac:dyDescent="0.2">
      <c r="V1914" s="180" t="str">
        <f t="shared" si="37"/>
        <v>1w</v>
      </c>
      <c r="W1914" s="177">
        <f>_xll.qlCalendarAdvance(Calendar,W1913,V1914,"f",FALSE)</f>
        <v>52363</v>
      </c>
      <c r="X1914" s="181">
        <f>_xll.qlCalendarAdvance(Calendar,W1914,NDays&amp;"D")</f>
        <v>52365</v>
      </c>
      <c r="Y1914" s="178">
        <v>2.0520087430004864E-2</v>
      </c>
      <c r="Z1914" s="183">
        <v>2.0241777578089426E-2</v>
      </c>
    </row>
    <row r="1915" spans="22:26" x14ac:dyDescent="0.2">
      <c r="V1915" s="180" t="str">
        <f t="shared" si="37"/>
        <v>1w</v>
      </c>
      <c r="W1915" s="177">
        <f>_xll.qlCalendarAdvance(Calendar,W1914,V1915,"f",FALSE)</f>
        <v>52370</v>
      </c>
      <c r="X1915" s="181">
        <f>_xll.qlCalendarAdvance(Calendar,W1915,NDays&amp;"D")</f>
        <v>52372</v>
      </c>
      <c r="Y1915" s="178">
        <v>2.0523151087286206E-2</v>
      </c>
      <c r="Z1915" s="183">
        <v>2.0243472244976246E-2</v>
      </c>
    </row>
    <row r="1916" spans="22:26" x14ac:dyDescent="0.2">
      <c r="V1916" s="180" t="str">
        <f t="shared" si="37"/>
        <v>1w</v>
      </c>
      <c r="W1916" s="177">
        <f>_xll.qlCalendarAdvance(Calendar,W1915,V1916,"f",FALSE)</f>
        <v>52377</v>
      </c>
      <c r="X1916" s="181">
        <f>_xll.qlCalendarAdvance(Calendar,W1916,NDays&amp;"D")</f>
        <v>52379</v>
      </c>
      <c r="Y1916" s="178">
        <v>2.0526265624843412E-2</v>
      </c>
      <c r="Z1916" s="183">
        <v>2.0245216740004679E-2</v>
      </c>
    </row>
    <row r="1917" spans="22:26" x14ac:dyDescent="0.2">
      <c r="V1917" s="180" t="str">
        <f t="shared" si="37"/>
        <v>1w</v>
      </c>
      <c r="W1917" s="177">
        <f>_xll.qlCalendarAdvance(Calendar,W1916,V1917,"f",FALSE)</f>
        <v>52384</v>
      </c>
      <c r="X1917" s="181">
        <f>_xll.qlCalendarAdvance(Calendar,W1917,NDays&amp;"D")</f>
        <v>52386</v>
      </c>
      <c r="Y1917" s="178">
        <v>2.0529431043151969E-2</v>
      </c>
      <c r="Z1917" s="183">
        <v>2.0247011063414533E-2</v>
      </c>
    </row>
    <row r="1918" spans="22:26" x14ac:dyDescent="0.2">
      <c r="V1918" s="180" t="str">
        <f t="shared" si="37"/>
        <v>1w</v>
      </c>
      <c r="W1918" s="177">
        <f>_xll.qlCalendarAdvance(Calendar,W1917,V1918,"f",FALSE)</f>
        <v>52391</v>
      </c>
      <c r="X1918" s="181">
        <f>_xll.qlCalendarAdvance(Calendar,W1918,NDays&amp;"D")</f>
        <v>52393</v>
      </c>
      <c r="Y1918" s="178">
        <v>2.0532647342696275E-2</v>
      </c>
      <c r="Z1918" s="183">
        <v>2.0248855214886063E-2</v>
      </c>
    </row>
    <row r="1919" spans="22:26" x14ac:dyDescent="0.2">
      <c r="V1919" s="180" t="str">
        <f t="shared" si="37"/>
        <v>1w</v>
      </c>
      <c r="W1919" s="177">
        <f>_xll.qlCalendarAdvance(Calendar,W1918,V1919,"f",FALSE)</f>
        <v>52398</v>
      </c>
      <c r="X1919" s="181">
        <f>_xll.qlCalendarAdvance(Calendar,W1919,NDays&amp;"D")</f>
        <v>52400</v>
      </c>
      <c r="Y1919" s="178">
        <v>2.0535914523967455E-2</v>
      </c>
      <c r="Z1919" s="183">
        <v>2.0250749194659079E-2</v>
      </c>
    </row>
    <row r="1920" spans="22:26" x14ac:dyDescent="0.2">
      <c r="V1920" s="180" t="str">
        <f t="shared" si="37"/>
        <v>1w</v>
      </c>
      <c r="W1920" s="177">
        <f>_xll.qlCalendarAdvance(Calendar,W1919,V1920,"f",FALSE)</f>
        <v>52405</v>
      </c>
      <c r="X1920" s="181">
        <f>_xll.qlCalendarAdvance(Calendar,W1920,NDays&amp;"D")</f>
        <v>52407</v>
      </c>
      <c r="Y1920" s="178">
        <v>2.0539232587464457E-2</v>
      </c>
      <c r="Z1920" s="183">
        <v>2.0252693002733579E-2</v>
      </c>
    </row>
    <row r="1921" spans="22:26" x14ac:dyDescent="0.2">
      <c r="V1921" s="180" t="str">
        <f t="shared" si="37"/>
        <v>1w</v>
      </c>
      <c r="W1921" s="177">
        <f>_xll.qlCalendarAdvance(Calendar,W1920,V1921,"f",FALSE)</f>
        <v>52412</v>
      </c>
      <c r="X1921" s="181">
        <f>_xll.qlCalendarAdvance(Calendar,W1921,NDays&amp;"D")</f>
        <v>52414</v>
      </c>
      <c r="Y1921" s="178">
        <v>2.0542601533694704E-2</v>
      </c>
      <c r="Z1921" s="183">
        <v>2.0254686639029629E-2</v>
      </c>
    </row>
    <row r="1922" spans="22:26" x14ac:dyDescent="0.2">
      <c r="V1922" s="180" t="str">
        <f t="shared" si="37"/>
        <v>1w</v>
      </c>
      <c r="W1922" s="177">
        <f>_xll.qlCalendarAdvance(Calendar,W1921,V1922,"f",FALSE)</f>
        <v>52419</v>
      </c>
      <c r="X1922" s="181">
        <f>_xll.qlCalendarAdvance(Calendar,W1922,NDays&amp;"D")</f>
        <v>52421</v>
      </c>
      <c r="Y1922" s="178">
        <v>2.0546021363172566E-2</v>
      </c>
      <c r="Z1922" s="183">
        <v>2.0256730103467291E-2</v>
      </c>
    </row>
    <row r="1923" spans="22:26" x14ac:dyDescent="0.2">
      <c r="V1923" s="180" t="str">
        <f t="shared" si="37"/>
        <v>1w</v>
      </c>
      <c r="W1923" s="177">
        <f>_xll.qlCalendarAdvance(Calendar,W1922,V1923,"f",FALSE)</f>
        <v>52426</v>
      </c>
      <c r="X1923" s="181">
        <f>_xll.qlCalendarAdvance(Calendar,W1923,NDays&amp;"D")</f>
        <v>52428</v>
      </c>
      <c r="Y1923" s="178">
        <v>2.0549492076421323E-2</v>
      </c>
      <c r="Z1923" s="183">
        <v>2.0258823396206438E-2</v>
      </c>
    </row>
    <row r="1924" spans="22:26" x14ac:dyDescent="0.2">
      <c r="V1924" s="180" t="str">
        <f t="shared" si="37"/>
        <v>1w</v>
      </c>
      <c r="W1924" s="177">
        <f>_xll.qlCalendarAdvance(Calendar,W1923,V1924,"f",FALSE)</f>
        <v>52433</v>
      </c>
      <c r="X1924" s="181">
        <f>_xll.qlCalendarAdvance(Calendar,W1924,NDays&amp;"D")</f>
        <v>52435</v>
      </c>
      <c r="Y1924" s="178">
        <v>2.0553013673970982E-2</v>
      </c>
      <c r="Z1924" s="183">
        <v>2.0260966517167134E-2</v>
      </c>
    </row>
    <row r="1925" spans="22:26" x14ac:dyDescent="0.2">
      <c r="V1925" s="180" t="str">
        <f t="shared" si="37"/>
        <v>1w</v>
      </c>
      <c r="W1925" s="177">
        <f>_xll.qlCalendarAdvance(Calendar,W1924,V1925,"f",FALSE)</f>
        <v>52440</v>
      </c>
      <c r="X1925" s="181">
        <f>_xll.qlCalendarAdvance(Calendar,W1925,NDays&amp;"D")</f>
        <v>52442</v>
      </c>
      <c r="Y1925" s="178">
        <v>2.0553972943288541E-2</v>
      </c>
      <c r="Z1925" s="183">
        <v>2.0263159466509251E-2</v>
      </c>
    </row>
    <row r="1926" spans="22:26" x14ac:dyDescent="0.2">
      <c r="V1926" s="180" t="str">
        <f t="shared" si="37"/>
        <v>1w</v>
      </c>
      <c r="W1926" s="177">
        <f>_xll.qlCalendarAdvance(Calendar,W1925,V1926,"f",FALSE)</f>
        <v>52447</v>
      </c>
      <c r="X1926" s="181">
        <f>_xll.qlCalendarAdvance(Calendar,W1926,NDays&amp;"D")</f>
        <v>52449</v>
      </c>
      <c r="Y1926" s="178">
        <v>2.0560209524133236E-2</v>
      </c>
      <c r="Z1926" s="183">
        <v>2.0265402243913044E-2</v>
      </c>
    </row>
    <row r="1927" spans="22:26" x14ac:dyDescent="0.2">
      <c r="V1927" s="180" t="str">
        <f t="shared" si="37"/>
        <v>1w</v>
      </c>
      <c r="W1927" s="177">
        <f>_xll.qlCalendarAdvance(Calendar,W1926,V1927,"f",FALSE)</f>
        <v>52454</v>
      </c>
      <c r="X1927" s="181">
        <f>_xll.qlCalendarAdvance(Calendar,W1927,NDays&amp;"D")</f>
        <v>52456</v>
      </c>
      <c r="Y1927" s="178">
        <v>2.0563883777845172E-2</v>
      </c>
      <c r="Z1927" s="183">
        <v>2.0267694849618323E-2</v>
      </c>
    </row>
    <row r="1928" spans="22:26" x14ac:dyDescent="0.2">
      <c r="V1928" s="180" t="str">
        <f t="shared" si="37"/>
        <v>1w</v>
      </c>
      <c r="W1928" s="177">
        <f>_xll.qlCalendarAdvance(Calendar,W1927,V1928,"f",FALSE)</f>
        <v>52461</v>
      </c>
      <c r="X1928" s="181">
        <f>_xll.qlCalendarAdvance(Calendar,W1928,NDays&amp;"D")</f>
        <v>52463</v>
      </c>
      <c r="Y1928" s="178">
        <v>2.0567608918057555E-2</v>
      </c>
      <c r="Z1928" s="183">
        <v>2.027003728354515E-2</v>
      </c>
    </row>
    <row r="1929" spans="22:26" x14ac:dyDescent="0.2">
      <c r="V1929" s="180" t="str">
        <f t="shared" si="37"/>
        <v>1w</v>
      </c>
      <c r="W1929" s="177">
        <f>_xll.qlCalendarAdvance(Calendar,W1928,V1929,"f",FALSE)</f>
        <v>52468</v>
      </c>
      <c r="X1929" s="181">
        <f>_xll.qlCalendarAdvance(Calendar,W1929,NDays&amp;"D")</f>
        <v>52470</v>
      </c>
      <c r="Y1929" s="178">
        <v>2.0571384945339062E-2</v>
      </c>
      <c r="Z1929" s="183">
        <v>2.0272429545773463E-2</v>
      </c>
    </row>
    <row r="1930" spans="22:26" x14ac:dyDescent="0.2">
      <c r="V1930" s="180" t="str">
        <f t="shared" si="37"/>
        <v>1w</v>
      </c>
      <c r="W1930" s="177">
        <f>_xll.qlCalendarAdvance(Calendar,W1929,V1930,"f",FALSE)</f>
        <v>52475</v>
      </c>
      <c r="X1930" s="181">
        <f>_xll.qlCalendarAdvance(Calendar,W1930,NDays&amp;"D")</f>
        <v>52477</v>
      </c>
      <c r="Y1930" s="178">
        <v>2.057521186026684E-2</v>
      </c>
      <c r="Z1930" s="183">
        <v>2.0274871636223324E-2</v>
      </c>
    </row>
    <row r="1931" spans="22:26" x14ac:dyDescent="0.2">
      <c r="V1931" s="180" t="str">
        <f t="shared" si="37"/>
        <v>1w</v>
      </c>
      <c r="W1931" s="177">
        <f>_xll.qlCalendarAdvance(Calendar,W1930,V1931,"f",FALSE)</f>
        <v>52482</v>
      </c>
      <c r="X1931" s="181">
        <f>_xll.qlCalendarAdvance(Calendar,W1931,NDays&amp;"D")</f>
        <v>52484</v>
      </c>
      <c r="Y1931" s="178">
        <v>2.0579089663425854E-2</v>
      </c>
      <c r="Z1931" s="183">
        <v>2.0277363554814798E-2</v>
      </c>
    </row>
    <row r="1932" spans="22:26" x14ac:dyDescent="0.2">
      <c r="V1932" s="180" t="str">
        <f t="shared" si="37"/>
        <v>1w</v>
      </c>
      <c r="W1932" s="177">
        <f>_xll.qlCalendarAdvance(Calendar,W1931,V1932,"f",FALSE)</f>
        <v>52489</v>
      </c>
      <c r="X1932" s="181">
        <f>_xll.qlCalendarAdvance(Calendar,W1932,NDays&amp;"D")</f>
        <v>52491</v>
      </c>
      <c r="Y1932" s="178">
        <v>2.0583018355408676E-2</v>
      </c>
      <c r="Z1932" s="183">
        <v>2.0279905301787693E-2</v>
      </c>
    </row>
    <row r="1933" spans="22:26" x14ac:dyDescent="0.2">
      <c r="V1933" s="180" t="str">
        <f t="shared" si="37"/>
        <v>1w</v>
      </c>
      <c r="W1933" s="177">
        <f>_xll.qlCalendarAdvance(Calendar,W1932,V1933,"f",FALSE)</f>
        <v>52496</v>
      </c>
      <c r="X1933" s="181">
        <f>_xll.qlCalendarAdvance(Calendar,W1933,NDays&amp;"D")</f>
        <v>52498</v>
      </c>
      <c r="Y1933" s="178">
        <v>2.0586997936815479E-2</v>
      </c>
      <c r="Z1933" s="183">
        <v>2.0282496876982137E-2</v>
      </c>
    </row>
    <row r="1934" spans="22:26" x14ac:dyDescent="0.2">
      <c r="V1934" s="180" t="str">
        <f t="shared" si="37"/>
        <v>1w</v>
      </c>
      <c r="W1934" s="177">
        <f>_xll.qlCalendarAdvance(Calendar,W1933,V1934,"f",FALSE)</f>
        <v>52503</v>
      </c>
      <c r="X1934" s="181">
        <f>_xll.qlCalendarAdvance(Calendar,W1934,NDays&amp;"D")</f>
        <v>52505</v>
      </c>
      <c r="Y1934" s="178">
        <v>2.0591028408254903E-2</v>
      </c>
      <c r="Z1934" s="183">
        <v>2.0285138280398129E-2</v>
      </c>
    </row>
    <row r="1935" spans="22:26" x14ac:dyDescent="0.2">
      <c r="V1935" s="180" t="str">
        <f t="shared" si="37"/>
        <v>1w</v>
      </c>
      <c r="W1935" s="177">
        <f>_xll.qlCalendarAdvance(Calendar,W1934,V1935,"f",FALSE)</f>
        <v>52510</v>
      </c>
      <c r="X1935" s="181">
        <f>_xll.qlCalendarAdvance(Calendar,W1935,NDays&amp;"D")</f>
        <v>52512</v>
      </c>
      <c r="Y1935" s="178">
        <v>2.059510977034211E-2</v>
      </c>
      <c r="Z1935" s="183">
        <v>2.0287829512035671E-2</v>
      </c>
    </row>
    <row r="1936" spans="22:26" x14ac:dyDescent="0.2">
      <c r="V1936" s="180" t="str">
        <f t="shared" si="37"/>
        <v>1w</v>
      </c>
      <c r="W1936" s="177">
        <f>_xll.qlCalendarAdvance(Calendar,W1935,V1936,"f",FALSE)</f>
        <v>52517</v>
      </c>
      <c r="X1936" s="181">
        <f>_xll.qlCalendarAdvance(Calendar,W1936,NDays&amp;"D")</f>
        <v>52519</v>
      </c>
      <c r="Y1936" s="178">
        <v>2.0599242023701163E-2</v>
      </c>
      <c r="Z1936" s="183">
        <v>2.0290570571974698E-2</v>
      </c>
    </row>
    <row r="1937" spans="22:26" x14ac:dyDescent="0.2">
      <c r="V1937" s="180" t="str">
        <f t="shared" si="37"/>
        <v>1w</v>
      </c>
      <c r="W1937" s="177">
        <f>_xll.qlCalendarAdvance(Calendar,W1936,V1937,"f",FALSE)</f>
        <v>52524</v>
      </c>
      <c r="X1937" s="181">
        <f>_xll.qlCalendarAdvance(Calendar,W1937,NDays&amp;"D")</f>
        <v>52526</v>
      </c>
      <c r="Y1937" s="178">
        <v>2.0603425168963518E-2</v>
      </c>
      <c r="Z1937" s="183">
        <v>2.0293361460055337E-2</v>
      </c>
    </row>
    <row r="1938" spans="22:26" x14ac:dyDescent="0.2">
      <c r="V1938" s="180" t="str">
        <f t="shared" si="37"/>
        <v>1w</v>
      </c>
      <c r="W1938" s="177">
        <f>_xll.qlCalendarAdvance(Calendar,W1937,V1938,"f",FALSE)</f>
        <v>52531</v>
      </c>
      <c r="X1938" s="181">
        <f>_xll.qlCalendarAdvance(Calendar,W1938,NDays&amp;"D")</f>
        <v>52533</v>
      </c>
      <c r="Y1938" s="178">
        <v>2.0607659206768665E-2</v>
      </c>
      <c r="Z1938" s="183">
        <v>2.0296202176597333E-2</v>
      </c>
    </row>
    <row r="1939" spans="22:26" x14ac:dyDescent="0.2">
      <c r="V1939" s="180" t="str">
        <f t="shared" si="37"/>
        <v>1w</v>
      </c>
      <c r="W1939" s="177">
        <f>_xll.qlCalendarAdvance(Calendar,W1938,V1939,"f",FALSE)</f>
        <v>52538</v>
      </c>
      <c r="X1939" s="181">
        <f>_xll.qlCalendarAdvance(Calendar,W1939,NDays&amp;"D")</f>
        <v>52540</v>
      </c>
      <c r="Y1939" s="178">
        <v>2.0611944093617697E-2</v>
      </c>
      <c r="Z1939" s="183">
        <v>2.029909272112107E-2</v>
      </c>
    </row>
    <row r="1940" spans="22:26" x14ac:dyDescent="0.2">
      <c r="V1940" s="180" t="str">
        <f t="shared" si="37"/>
        <v>1w</v>
      </c>
      <c r="W1940" s="177">
        <f>_xll.qlCalendarAdvance(Calendar,W1939,V1940,"f",FALSE)</f>
        <v>52545</v>
      </c>
      <c r="X1940" s="181">
        <f>_xll.qlCalendarAdvance(Calendar,W1940,NDays&amp;"D")</f>
        <v>52547</v>
      </c>
      <c r="Y1940" s="178">
        <v>2.0616279044514203E-2</v>
      </c>
      <c r="Z1940" s="183">
        <v>2.03020330941861E-2</v>
      </c>
    </row>
    <row r="1941" spans="22:26" x14ac:dyDescent="0.2">
      <c r="V1941" s="180" t="str">
        <f t="shared" ref="V1941:V2004" si="38">V1940</f>
        <v>1w</v>
      </c>
      <c r="W1941" s="177">
        <f>_xll.qlCalendarAdvance(Calendar,W1940,V1941,"f",FALSE)</f>
        <v>52552</v>
      </c>
      <c r="X1941" s="181">
        <f>_xll.qlCalendarAdvance(Calendar,W1941,NDays&amp;"D")</f>
        <v>52554</v>
      </c>
      <c r="Y1941" s="178">
        <v>2.062066265917438E-2</v>
      </c>
      <c r="Z1941" s="183">
        <v>2.0305023295312807E-2</v>
      </c>
    </row>
    <row r="1942" spans="22:26" x14ac:dyDescent="0.2">
      <c r="V1942" s="180" t="str">
        <f t="shared" si="38"/>
        <v>1w</v>
      </c>
      <c r="W1942" s="177">
        <f>_xll.qlCalendarAdvance(Calendar,W1941,V1942,"f",FALSE)</f>
        <v>52559</v>
      </c>
      <c r="X1942" s="181">
        <f>_xll.qlCalendarAdvance(Calendar,W1942,NDays&amp;"D")</f>
        <v>52561</v>
      </c>
      <c r="Y1942" s="178">
        <v>2.0625093518673469E-2</v>
      </c>
      <c r="Z1942" s="183">
        <v>2.0308063324740999E-2</v>
      </c>
    </row>
    <row r="1943" spans="22:26" x14ac:dyDescent="0.2">
      <c r="V1943" s="180" t="str">
        <f t="shared" si="38"/>
        <v>1w</v>
      </c>
      <c r="W1943" s="177">
        <f>_xll.qlCalendarAdvance(Calendar,W1942,V1943,"f",FALSE)</f>
        <v>52566</v>
      </c>
      <c r="X1943" s="181">
        <f>_xll.qlCalendarAdvance(Calendar,W1943,NDays&amp;"D")</f>
        <v>52568</v>
      </c>
      <c r="Y1943" s="178">
        <v>2.0629570204069112E-2</v>
      </c>
      <c r="Z1943" s="183">
        <v>2.0311153182550612E-2</v>
      </c>
    </row>
    <row r="1944" spans="22:26" x14ac:dyDescent="0.2">
      <c r="V1944" s="180" t="str">
        <f t="shared" si="38"/>
        <v>1w</v>
      </c>
      <c r="W1944" s="177">
        <f>_xll.qlCalendarAdvance(Calendar,W1943,V1944,"f",FALSE)</f>
        <v>52573</v>
      </c>
      <c r="X1944" s="181">
        <f>_xll.qlCalendarAdvance(Calendar,W1944,NDays&amp;"D")</f>
        <v>52575</v>
      </c>
      <c r="Y1944" s="178">
        <v>2.0634091296398104E-2</v>
      </c>
      <c r="Z1944" s="183">
        <v>2.0314292868501838E-2</v>
      </c>
    </row>
    <row r="1945" spans="22:26" x14ac:dyDescent="0.2">
      <c r="V1945" s="180" t="str">
        <f t="shared" si="38"/>
        <v>1w</v>
      </c>
      <c r="W1945" s="177">
        <f>_xll.qlCalendarAdvance(Calendar,W1944,V1945,"f",FALSE)</f>
        <v>52580</v>
      </c>
      <c r="X1945" s="181">
        <f>_xll.qlCalendarAdvance(Calendar,W1945,NDays&amp;"D")</f>
        <v>52582</v>
      </c>
      <c r="Y1945" s="178">
        <v>2.0638655376679423E-2</v>
      </c>
      <c r="Z1945" s="183">
        <v>2.0317482382674612E-2</v>
      </c>
    </row>
    <row r="1946" spans="22:26" x14ac:dyDescent="0.2">
      <c r="V1946" s="180" t="str">
        <f t="shared" si="38"/>
        <v>1w</v>
      </c>
      <c r="W1946" s="177">
        <f>_xll.qlCalendarAdvance(Calendar,W1945,V1946,"f",FALSE)</f>
        <v>52587</v>
      </c>
      <c r="X1946" s="181">
        <f>_xll.qlCalendarAdvance(Calendar,W1946,NDays&amp;"D")</f>
        <v>52589</v>
      </c>
      <c r="Y1946" s="178">
        <v>2.0644208522344883E-2</v>
      </c>
      <c r="Z1946" s="183">
        <v>2.0323143720732961E-2</v>
      </c>
    </row>
    <row r="1947" spans="22:26" x14ac:dyDescent="0.2">
      <c r="V1947" s="180" t="str">
        <f t="shared" si="38"/>
        <v>1w</v>
      </c>
      <c r="W1947" s="177">
        <f>_xll.qlCalendarAdvance(Calendar,W1946,V1947,"f",FALSE)</f>
        <v>52594</v>
      </c>
      <c r="X1947" s="181">
        <f>_xll.qlCalendarAdvance(Calendar,W1947,NDays&amp;"D")</f>
        <v>52596</v>
      </c>
      <c r="Y1947" s="178">
        <v>2.0645058408371716E-2</v>
      </c>
      <c r="Z1947" s="183">
        <v>2.0326444127860555E-2</v>
      </c>
    </row>
    <row r="1948" spans="22:26" x14ac:dyDescent="0.2">
      <c r="V1948" s="180" t="str">
        <f t="shared" si="38"/>
        <v>1w</v>
      </c>
      <c r="W1948" s="177">
        <f>_xll.qlCalendarAdvance(Calendar,W1947,V1948,"f",FALSE)</f>
        <v>52601</v>
      </c>
      <c r="X1948" s="181">
        <f>_xll.qlCalendarAdvance(Calendar,W1948,NDays&amp;"D")</f>
        <v>52603</v>
      </c>
      <c r="Y1948" s="178">
        <v>2.0652591355111102E-2</v>
      </c>
      <c r="Z1948" s="183">
        <v>2.0327349895001845E-2</v>
      </c>
    </row>
    <row r="1949" spans="22:26" x14ac:dyDescent="0.2">
      <c r="V1949" s="180" t="str">
        <f t="shared" si="38"/>
        <v>1w</v>
      </c>
      <c r="W1949" s="177">
        <f>_xll.qlCalendarAdvance(Calendar,W1948,V1949,"f",FALSE)</f>
        <v>52608</v>
      </c>
      <c r="X1949" s="181">
        <f>_xll.qlCalendarAdvance(Calendar,W1949,NDays&amp;"D")</f>
        <v>52610</v>
      </c>
      <c r="Y1949" s="178">
        <v>2.0657313196969049E-2</v>
      </c>
      <c r="Z1949" s="183">
        <v>2.0330738722220687E-2</v>
      </c>
    </row>
    <row r="1950" spans="22:26" x14ac:dyDescent="0.2">
      <c r="V1950" s="180" t="str">
        <f t="shared" si="38"/>
        <v>1w</v>
      </c>
      <c r="W1950" s="177">
        <f>_xll.qlCalendarAdvance(Calendar,W1949,V1950,"f",FALSE)</f>
        <v>52615</v>
      </c>
      <c r="X1950" s="181">
        <f>_xll.qlCalendarAdvance(Calendar,W1950,NDays&amp;"D")</f>
        <v>52617</v>
      </c>
      <c r="Y1950" s="178">
        <v>2.0662070931554699E-2</v>
      </c>
      <c r="Z1950" s="183">
        <v>2.0334177377741014E-2</v>
      </c>
    </row>
    <row r="1951" spans="22:26" x14ac:dyDescent="0.2">
      <c r="V1951" s="180" t="str">
        <f t="shared" si="38"/>
        <v>1w</v>
      </c>
      <c r="W1951" s="177">
        <f>_xll.qlCalendarAdvance(Calendar,W1950,V1951,"f",FALSE)</f>
        <v>52622</v>
      </c>
      <c r="X1951" s="181">
        <f>_xll.qlCalendarAdvance(Calendar,W1951,NDays&amp;"D")</f>
        <v>52624</v>
      </c>
      <c r="Y1951" s="178">
        <v>2.0666863139756055E-2</v>
      </c>
      <c r="Z1951" s="183">
        <v>2.0337665861642762E-2</v>
      </c>
    </row>
    <row r="1952" spans="22:26" x14ac:dyDescent="0.2">
      <c r="V1952" s="180" t="str">
        <f t="shared" si="38"/>
        <v>1w</v>
      </c>
      <c r="W1952" s="177">
        <f>_xll.qlCalendarAdvance(Calendar,W1951,V1952,"f",FALSE)</f>
        <v>52629</v>
      </c>
      <c r="X1952" s="181">
        <f>_xll.qlCalendarAdvance(Calendar,W1952,NDays&amp;"D")</f>
        <v>52631</v>
      </c>
      <c r="Y1952" s="178">
        <v>2.0671688402437861E-2</v>
      </c>
      <c r="Z1952" s="183">
        <v>2.0341204173766059E-2</v>
      </c>
    </row>
    <row r="1953" spans="22:26" x14ac:dyDescent="0.2">
      <c r="V1953" s="180" t="str">
        <f t="shared" si="38"/>
        <v>1w</v>
      </c>
      <c r="W1953" s="177">
        <f>_xll.qlCalendarAdvance(Calendar,W1952,V1953,"f",FALSE)</f>
        <v>52636</v>
      </c>
      <c r="X1953" s="181">
        <f>_xll.qlCalendarAdvance(Calendar,W1953,NDays&amp;"D")</f>
        <v>52638</v>
      </c>
      <c r="Y1953" s="178">
        <v>2.0676545300439903E-2</v>
      </c>
      <c r="Z1953" s="183">
        <v>2.0344792314110904E-2</v>
      </c>
    </row>
    <row r="1954" spans="22:26" x14ac:dyDescent="0.2">
      <c r="V1954" s="180" t="str">
        <f t="shared" si="38"/>
        <v>1w</v>
      </c>
      <c r="W1954" s="177">
        <f>_xll.qlCalendarAdvance(Calendar,W1953,V1954,"f",FALSE)</f>
        <v>52643</v>
      </c>
      <c r="X1954" s="181">
        <f>_xll.qlCalendarAdvance(Calendar,W1954,NDays&amp;"D")</f>
        <v>52645</v>
      </c>
      <c r="Y1954" s="178">
        <v>2.0681432414578496E-2</v>
      </c>
      <c r="Z1954" s="183">
        <v>2.0348430282757235E-2</v>
      </c>
    </row>
    <row r="1955" spans="22:26" x14ac:dyDescent="0.2">
      <c r="V1955" s="180" t="str">
        <f t="shared" si="38"/>
        <v>1w</v>
      </c>
      <c r="W1955" s="177">
        <f>_xll.qlCalendarAdvance(Calendar,W1954,V1955,"f",FALSE)</f>
        <v>52650</v>
      </c>
      <c r="X1955" s="181">
        <f>_xll.qlCalendarAdvance(Calendar,W1955,NDays&amp;"D")</f>
        <v>52652</v>
      </c>
      <c r="Y1955" s="178">
        <v>2.0686348325644539E-2</v>
      </c>
      <c r="Z1955" s="183">
        <v>2.035211807970505E-2</v>
      </c>
    </row>
    <row r="1956" spans="22:26" x14ac:dyDescent="0.2">
      <c r="V1956" s="180" t="str">
        <f t="shared" si="38"/>
        <v>1w</v>
      </c>
      <c r="W1956" s="177">
        <f>_xll.qlCalendarAdvance(Calendar,W1955,V1956,"f",FALSE)</f>
        <v>52657</v>
      </c>
      <c r="X1956" s="181">
        <f>_xll.qlCalendarAdvance(Calendar,W1956,NDays&amp;"D")</f>
        <v>52659</v>
      </c>
      <c r="Y1956" s="178">
        <v>2.0688399294631125E-2</v>
      </c>
      <c r="Z1956" s="183">
        <v>2.0355855704954351E-2</v>
      </c>
    </row>
    <row r="1957" spans="22:26" x14ac:dyDescent="0.2">
      <c r="V1957" s="180" t="str">
        <f t="shared" si="38"/>
        <v>1w</v>
      </c>
      <c r="W1957" s="177">
        <f>_xll.qlCalendarAdvance(Calendar,W1956,V1957,"f",FALSE)</f>
        <v>52664</v>
      </c>
      <c r="X1957" s="181">
        <f>_xll.qlCalendarAdvance(Calendar,W1957,NDays&amp;"D")</f>
        <v>52666</v>
      </c>
      <c r="Y1957" s="178">
        <v>2.0693365834204811E-2</v>
      </c>
      <c r="Z1957" s="183">
        <v>2.03596431584252E-2</v>
      </c>
    </row>
    <row r="1958" spans="22:26" x14ac:dyDescent="0.2">
      <c r="V1958" s="180" t="str">
        <f t="shared" si="38"/>
        <v>1w</v>
      </c>
      <c r="W1958" s="177">
        <f>_xll.qlCalendarAdvance(Calendar,W1957,V1958,"f",FALSE)</f>
        <v>52671</v>
      </c>
      <c r="X1958" s="181">
        <f>_xll.qlCalendarAdvance(Calendar,W1958,NDays&amp;"D")</f>
        <v>52673</v>
      </c>
      <c r="Y1958" s="178">
        <v>2.0698357305151408E-2</v>
      </c>
      <c r="Z1958" s="183">
        <v>2.0363480440197534E-2</v>
      </c>
    </row>
    <row r="1959" spans="22:26" x14ac:dyDescent="0.2">
      <c r="V1959" s="180" t="str">
        <f t="shared" si="38"/>
        <v>1w</v>
      </c>
      <c r="W1959" s="177">
        <f>_xll.qlCalendarAdvance(Calendar,W1958,V1959,"f",FALSE)</f>
        <v>52678</v>
      </c>
      <c r="X1959" s="181">
        <f>_xll.qlCalendarAdvance(Calendar,W1959,NDays&amp;"D")</f>
        <v>52680</v>
      </c>
      <c r="Y1959" s="178">
        <v>2.0703372276738342E-2</v>
      </c>
      <c r="Z1959" s="183">
        <v>2.0367367550191418E-2</v>
      </c>
    </row>
    <row r="1960" spans="22:26" x14ac:dyDescent="0.2">
      <c r="V1960" s="180" t="str">
        <f t="shared" si="38"/>
        <v>1w</v>
      </c>
      <c r="W1960" s="177">
        <f>_xll.qlCalendarAdvance(Calendar,W1959,V1960,"f",FALSE)</f>
        <v>52685</v>
      </c>
      <c r="X1960" s="181">
        <f>_xll.qlCalendarAdvance(Calendar,W1960,NDays&amp;"D")</f>
        <v>52687</v>
      </c>
      <c r="Y1960" s="178">
        <v>2.0708409318206323E-2</v>
      </c>
      <c r="Z1960" s="183">
        <v>2.0371304488486786E-2</v>
      </c>
    </row>
    <row r="1961" spans="22:26" x14ac:dyDescent="0.2">
      <c r="V1961" s="180" t="str">
        <f t="shared" si="38"/>
        <v>1w</v>
      </c>
      <c r="W1961" s="177">
        <f>_xll.qlCalendarAdvance(Calendar,W1960,V1961,"f",FALSE)</f>
        <v>52692</v>
      </c>
      <c r="X1961" s="181">
        <f>_xll.qlCalendarAdvance(Calendar,W1961,NDays&amp;"D")</f>
        <v>52694</v>
      </c>
      <c r="Y1961" s="178">
        <v>2.0717336395861968E-2</v>
      </c>
      <c r="Z1961" s="183">
        <v>2.0375291255083638E-2</v>
      </c>
    </row>
    <row r="1962" spans="22:26" x14ac:dyDescent="0.2">
      <c r="V1962" s="180" t="str">
        <f t="shared" si="38"/>
        <v>1w</v>
      </c>
      <c r="W1962" s="177">
        <f>_xll.qlCalendarAdvance(Calendar,W1961,V1962,"f",FALSE)</f>
        <v>52699</v>
      </c>
      <c r="X1962" s="181">
        <f>_xll.qlCalendarAdvance(Calendar,W1962,NDays&amp;"D")</f>
        <v>52701</v>
      </c>
      <c r="Y1962" s="178">
        <v>2.0718543887609405E-2</v>
      </c>
      <c r="Z1962" s="183">
        <v>2.0382799042707234E-2</v>
      </c>
    </row>
    <row r="1963" spans="22:26" x14ac:dyDescent="0.2">
      <c r="V1963" s="180" t="str">
        <f t="shared" si="38"/>
        <v>1w</v>
      </c>
      <c r="W1963" s="177">
        <f>_xll.qlCalendarAdvance(Calendar,W1962,V1963,"f",FALSE)</f>
        <v>52706</v>
      </c>
      <c r="X1963" s="181">
        <f>_xll.qlCalendarAdvance(Calendar,W1963,NDays&amp;"D")</f>
        <v>52708</v>
      </c>
      <c r="Y1963" s="178">
        <v>2.0723638553889267E-2</v>
      </c>
      <c r="Z1963" s="183">
        <v>2.0383414273341671E-2</v>
      </c>
    </row>
    <row r="1964" spans="22:26" x14ac:dyDescent="0.2">
      <c r="V1964" s="180" t="str">
        <f t="shared" si="38"/>
        <v>1w</v>
      </c>
      <c r="W1964" s="177">
        <f>_xll.qlCalendarAdvance(Calendar,W1963,V1964,"f",FALSE)</f>
        <v>52713</v>
      </c>
      <c r="X1964" s="181">
        <f>_xll.qlCalendarAdvance(Calendar,W1964,NDays&amp;"D")</f>
        <v>52715</v>
      </c>
      <c r="Y1964" s="178">
        <v>2.0728749566737283E-2</v>
      </c>
      <c r="Z1964" s="183">
        <v>2.0387550524683107E-2</v>
      </c>
    </row>
    <row r="1965" spans="22:26" x14ac:dyDescent="0.2">
      <c r="V1965" s="180" t="str">
        <f t="shared" si="38"/>
        <v>1w</v>
      </c>
      <c r="W1965" s="177">
        <f>_xll.qlCalendarAdvance(Calendar,W1964,V1965,"f",FALSE)</f>
        <v>52720</v>
      </c>
      <c r="X1965" s="181">
        <f>_xll.qlCalendarAdvance(Calendar,W1965,NDays&amp;"D")</f>
        <v>52722</v>
      </c>
      <c r="Y1965" s="178">
        <v>2.073387549525597E-2</v>
      </c>
      <c r="Z1965" s="183">
        <v>2.0391736604485899E-2</v>
      </c>
    </row>
    <row r="1966" spans="22:26" x14ac:dyDescent="0.2">
      <c r="V1966" s="180" t="str">
        <f t="shared" si="38"/>
        <v>1w</v>
      </c>
      <c r="W1966" s="177">
        <f>_xll.qlCalendarAdvance(Calendar,W1965,V1966,"f",FALSE)</f>
        <v>52727</v>
      </c>
      <c r="X1966" s="181">
        <f>_xll.qlCalendarAdvance(Calendar,W1966,NDays&amp;"D")</f>
        <v>52729</v>
      </c>
      <c r="Y1966" s="178">
        <v>2.0739014908518719E-2</v>
      </c>
      <c r="Z1966" s="183">
        <v>2.0395972512590177E-2</v>
      </c>
    </row>
    <row r="1967" spans="22:26" x14ac:dyDescent="0.2">
      <c r="V1967" s="180" t="str">
        <f t="shared" si="38"/>
        <v>1w</v>
      </c>
      <c r="W1967" s="177">
        <f>_xll.qlCalendarAdvance(Calendar,W1966,V1967,"f",FALSE)</f>
        <v>52734</v>
      </c>
      <c r="X1967" s="181">
        <f>_xll.qlCalendarAdvance(Calendar,W1967,NDays&amp;"D")</f>
        <v>52736</v>
      </c>
      <c r="Y1967" s="178">
        <v>2.0744166375570448E-2</v>
      </c>
      <c r="Z1967" s="183">
        <v>2.0400258248916003E-2</v>
      </c>
    </row>
    <row r="1968" spans="22:26" x14ac:dyDescent="0.2">
      <c r="V1968" s="180" t="str">
        <f t="shared" si="38"/>
        <v>1w</v>
      </c>
      <c r="W1968" s="177">
        <f>_xll.qlCalendarAdvance(Calendar,W1967,V1968,"f",FALSE)</f>
        <v>52741</v>
      </c>
      <c r="X1968" s="181">
        <f>_xll.qlCalendarAdvance(Calendar,W1968,NDays&amp;"D")</f>
        <v>52743</v>
      </c>
      <c r="Y1968" s="178">
        <v>2.0749328465427385E-2</v>
      </c>
      <c r="Z1968" s="183">
        <v>2.0404593813623251E-2</v>
      </c>
    </row>
    <row r="1969" spans="22:26" x14ac:dyDescent="0.2">
      <c r="V1969" s="180" t="str">
        <f t="shared" si="38"/>
        <v>1w</v>
      </c>
      <c r="W1969" s="177">
        <f>_xll.qlCalendarAdvance(Calendar,W1968,V1969,"f",FALSE)</f>
        <v>52748</v>
      </c>
      <c r="X1969" s="181">
        <f>_xll.qlCalendarAdvance(Calendar,W1969,NDays&amp;"D")</f>
        <v>52750</v>
      </c>
      <c r="Y1969" s="178">
        <v>2.0754499747076421E-2</v>
      </c>
      <c r="Z1969" s="183">
        <v>2.0408979206472111E-2</v>
      </c>
    </row>
    <row r="1970" spans="22:26" x14ac:dyDescent="0.2">
      <c r="V1970" s="180" t="str">
        <f t="shared" si="38"/>
        <v>1w</v>
      </c>
      <c r="W1970" s="177">
        <f>_xll.qlCalendarAdvance(Calendar,W1969,V1970,"f",FALSE)</f>
        <v>52755</v>
      </c>
      <c r="X1970" s="181">
        <f>_xll.qlCalendarAdvance(Calendar,W1970,NDays&amp;"D")</f>
        <v>52757</v>
      </c>
      <c r="Y1970" s="178">
        <v>2.0759678789476179E-2</v>
      </c>
      <c r="Z1970" s="183">
        <v>2.0413414427782328E-2</v>
      </c>
    </row>
    <row r="1971" spans="22:26" x14ac:dyDescent="0.2">
      <c r="V1971" s="180" t="str">
        <f t="shared" si="38"/>
        <v>1w</v>
      </c>
      <c r="W1971" s="177">
        <f>_xll.qlCalendarAdvance(Calendar,W1970,V1971,"f",FALSE)</f>
        <v>52762</v>
      </c>
      <c r="X1971" s="181">
        <f>_xll.qlCalendarAdvance(Calendar,W1971,NDays&amp;"D")</f>
        <v>52764</v>
      </c>
      <c r="Y1971" s="178">
        <v>2.0764864161554857E-2</v>
      </c>
      <c r="Z1971" s="183">
        <v>2.0417899477314094E-2</v>
      </c>
    </row>
    <row r="1972" spans="22:26" x14ac:dyDescent="0.2">
      <c r="V1972" s="180" t="str">
        <f t="shared" si="38"/>
        <v>1w</v>
      </c>
      <c r="W1972" s="177">
        <f>_xll.qlCalendarAdvance(Calendar,W1971,V1972,"f",FALSE)</f>
        <v>52769</v>
      </c>
      <c r="X1972" s="181">
        <f>_xll.qlCalendarAdvance(Calendar,W1972,NDays&amp;"D")</f>
        <v>52771</v>
      </c>
      <c r="Y1972" s="178">
        <v>2.0770054432212394E-2</v>
      </c>
      <c r="Z1972" s="183">
        <v>2.0422434355227281E-2</v>
      </c>
    </row>
    <row r="1973" spans="22:26" x14ac:dyDescent="0.2">
      <c r="V1973" s="180" t="str">
        <f t="shared" si="38"/>
        <v>1w</v>
      </c>
      <c r="W1973" s="177">
        <f>_xll.qlCalendarAdvance(Calendar,W1972,V1973,"f",FALSE)</f>
        <v>52776</v>
      </c>
      <c r="X1973" s="181">
        <f>_xll.qlCalendarAdvance(Calendar,W1973,NDays&amp;"D")</f>
        <v>52778</v>
      </c>
      <c r="Y1973" s="178">
        <v>2.0775248170318946E-2</v>
      </c>
      <c r="Z1973" s="183">
        <v>2.0427019061362017E-2</v>
      </c>
    </row>
    <row r="1974" spans="22:26" x14ac:dyDescent="0.2">
      <c r="V1974" s="180" t="str">
        <f t="shared" si="38"/>
        <v>1w</v>
      </c>
      <c r="W1974" s="177">
        <f>_xll.qlCalendarAdvance(Calendar,W1973,V1974,"f",FALSE)</f>
        <v>52783</v>
      </c>
      <c r="X1974" s="181">
        <f>_xll.qlCalendarAdvance(Calendar,W1974,NDays&amp;"D")</f>
        <v>52785</v>
      </c>
      <c r="Y1974" s="178">
        <v>2.0780443944714438E-2</v>
      </c>
      <c r="Z1974" s="183">
        <v>2.0431653595878174E-2</v>
      </c>
    </row>
    <row r="1975" spans="22:26" x14ac:dyDescent="0.2">
      <c r="V1975" s="180" t="str">
        <f t="shared" si="38"/>
        <v>1w</v>
      </c>
      <c r="W1975" s="177">
        <f>_xll.qlCalendarAdvance(Calendar,W1974,V1975,"f",FALSE)</f>
        <v>52790</v>
      </c>
      <c r="X1975" s="181">
        <f>_xll.qlCalendarAdvance(Calendar,W1975,NDays&amp;"D")</f>
        <v>52792</v>
      </c>
      <c r="Y1975" s="178">
        <v>2.0785640324210781E-2</v>
      </c>
      <c r="Z1975" s="183">
        <v>2.043633795861588E-2</v>
      </c>
    </row>
    <row r="1976" spans="22:26" x14ac:dyDescent="0.2">
      <c r="V1976" s="180" t="str">
        <f t="shared" si="38"/>
        <v>1w</v>
      </c>
      <c r="W1976" s="177">
        <f>_xll.qlCalendarAdvance(Calendar,W1975,V1976,"f",FALSE)</f>
        <v>52797</v>
      </c>
      <c r="X1976" s="181">
        <f>_xll.qlCalendarAdvance(Calendar,W1976,NDays&amp;"D")</f>
        <v>52799</v>
      </c>
      <c r="Y1976" s="178">
        <v>2.0790835877588988E-2</v>
      </c>
      <c r="Z1976" s="183">
        <v>2.0441072149814943E-2</v>
      </c>
    </row>
    <row r="1977" spans="22:26" x14ac:dyDescent="0.2">
      <c r="V1977" s="180" t="str">
        <f t="shared" si="38"/>
        <v>1w</v>
      </c>
      <c r="W1977" s="177">
        <f>_xll.qlCalendarAdvance(Calendar,W1976,V1977,"f",FALSE)</f>
        <v>52804</v>
      </c>
      <c r="X1977" s="181">
        <f>_xll.qlCalendarAdvance(Calendar,W1977,NDays&amp;"D")</f>
        <v>52806</v>
      </c>
      <c r="Y1977" s="178">
        <v>2.0796029173601176E-2</v>
      </c>
      <c r="Z1977" s="183">
        <v>2.0445856169155618E-2</v>
      </c>
    </row>
    <row r="1978" spans="22:26" x14ac:dyDescent="0.2">
      <c r="V1978" s="180" t="str">
        <f t="shared" si="38"/>
        <v>1w</v>
      </c>
      <c r="W1978" s="177">
        <f>_xll.qlCalendarAdvance(Calendar,W1977,V1978,"f",FALSE)</f>
        <v>52811</v>
      </c>
      <c r="X1978" s="181">
        <f>_xll.qlCalendarAdvance(Calendar,W1978,NDays&amp;"D")</f>
        <v>52813</v>
      </c>
      <c r="Y1978" s="178">
        <v>2.0801218780969893E-2</v>
      </c>
      <c r="Z1978" s="183">
        <v>2.0450690016877715E-2</v>
      </c>
    </row>
    <row r="1979" spans="22:26" x14ac:dyDescent="0.2">
      <c r="V1979" s="180" t="str">
        <f t="shared" si="38"/>
        <v>1w</v>
      </c>
      <c r="W1979" s="177">
        <f>_xll.qlCalendarAdvance(Calendar,W1978,V1979,"f",FALSE)</f>
        <v>52818</v>
      </c>
      <c r="X1979" s="181">
        <f>_xll.qlCalendarAdvance(Calendar,W1979,NDays&amp;"D")</f>
        <v>52820</v>
      </c>
      <c r="Y1979" s="178">
        <v>2.0806403268388115E-2</v>
      </c>
      <c r="Z1979" s="183">
        <v>2.0455573692981233E-2</v>
      </c>
    </row>
    <row r="1980" spans="22:26" x14ac:dyDescent="0.2">
      <c r="V1980" s="180" t="str">
        <f t="shared" si="38"/>
        <v>1w</v>
      </c>
      <c r="W1980" s="177">
        <f>_xll.qlCalendarAdvance(Calendar,W1979,V1980,"f",FALSE)</f>
        <v>52825</v>
      </c>
      <c r="X1980" s="181">
        <f>_xll.qlCalendarAdvance(Calendar,W1980,NDays&amp;"D")</f>
        <v>52827</v>
      </c>
      <c r="Y1980" s="178">
        <v>2.0811581204519706E-2</v>
      </c>
      <c r="Z1980" s="183">
        <v>2.0460507197306299E-2</v>
      </c>
    </row>
    <row r="1981" spans="22:26" x14ac:dyDescent="0.2">
      <c r="V1981" s="180" t="str">
        <f t="shared" si="38"/>
        <v>1w</v>
      </c>
      <c r="W1981" s="177">
        <f>_xll.qlCalendarAdvance(Calendar,W1980,V1981,"f",FALSE)</f>
        <v>52832</v>
      </c>
      <c r="X1981" s="181">
        <f>_xll.qlCalendarAdvance(Calendar,W1981,NDays&amp;"D")</f>
        <v>52834</v>
      </c>
      <c r="Y1981" s="178">
        <v>2.0816751157998727E-2</v>
      </c>
      <c r="Z1981" s="183">
        <v>2.0465490530092723E-2</v>
      </c>
    </row>
    <row r="1982" spans="22:26" x14ac:dyDescent="0.2">
      <c r="V1982" s="180" t="str">
        <f t="shared" si="38"/>
        <v>1w</v>
      </c>
      <c r="W1982" s="177">
        <f>_xll.qlCalendarAdvance(Calendar,W1981,V1982,"f",FALSE)</f>
        <v>52839</v>
      </c>
      <c r="X1982" s="181">
        <f>_xll.qlCalendarAdvance(Calendar,W1982,NDays&amp;"D")</f>
        <v>52841</v>
      </c>
      <c r="Y1982" s="178">
        <v>2.0821911697430123E-2</v>
      </c>
      <c r="Z1982" s="183">
        <v>2.0470523691100695E-2</v>
      </c>
    </row>
    <row r="1983" spans="22:26" x14ac:dyDescent="0.2">
      <c r="V1983" s="180" t="str">
        <f t="shared" si="38"/>
        <v>1w</v>
      </c>
      <c r="W1983" s="177">
        <f>_xll.qlCalendarAdvance(Calendar,W1982,V1983,"f",FALSE)</f>
        <v>52846</v>
      </c>
      <c r="X1983" s="181">
        <f>_xll.qlCalendarAdvance(Calendar,W1983,NDays&amp;"D")</f>
        <v>52848</v>
      </c>
      <c r="Y1983" s="178">
        <v>2.082706139139015E-2</v>
      </c>
      <c r="Z1983" s="183">
        <v>2.0475606680410152E-2</v>
      </c>
    </row>
    <row r="1984" spans="22:26" x14ac:dyDescent="0.2">
      <c r="V1984" s="180" t="str">
        <f t="shared" si="38"/>
        <v>1w</v>
      </c>
      <c r="W1984" s="177">
        <f>_xll.qlCalendarAdvance(Calendar,W1983,V1984,"f",FALSE)</f>
        <v>52853</v>
      </c>
      <c r="X1984" s="181">
        <f>_xll.qlCalendarAdvance(Calendar,W1984,NDays&amp;"D")</f>
        <v>52855</v>
      </c>
      <c r="Y1984" s="178">
        <v>2.0832198808425496E-2</v>
      </c>
      <c r="Z1984" s="183">
        <v>2.048073949810103E-2</v>
      </c>
    </row>
    <row r="1985" spans="22:26" x14ac:dyDescent="0.2">
      <c r="V1985" s="180" t="str">
        <f t="shared" si="38"/>
        <v>1w</v>
      </c>
      <c r="W1985" s="177">
        <f>_xll.qlCalendarAdvance(Calendar,W1984,V1985,"f",FALSE)</f>
        <v>52860</v>
      </c>
      <c r="X1985" s="181">
        <f>_xll.qlCalendarAdvance(Calendar,W1985,NDays&amp;"D")</f>
        <v>52862</v>
      </c>
      <c r="Y1985" s="178">
        <v>2.0837322517055033E-2</v>
      </c>
      <c r="Z1985" s="183">
        <v>2.0485922144093394E-2</v>
      </c>
    </row>
    <row r="1986" spans="22:26" x14ac:dyDescent="0.2">
      <c r="V1986" s="180" t="str">
        <f t="shared" si="38"/>
        <v>1w</v>
      </c>
      <c r="W1986" s="177">
        <f>_xll.qlCalendarAdvance(Calendar,W1985,V1986,"f",FALSE)</f>
        <v>52867</v>
      </c>
      <c r="X1986" s="181">
        <f>_xll.qlCalendarAdvance(Calendar,W1986,NDays&amp;"D")</f>
        <v>52869</v>
      </c>
      <c r="Y1986" s="178">
        <v>2.0842431085768071E-2</v>
      </c>
      <c r="Z1986" s="183">
        <v>2.0491154618467178E-2</v>
      </c>
    </row>
    <row r="1987" spans="22:26" x14ac:dyDescent="0.2">
      <c r="V1987" s="180" t="str">
        <f t="shared" si="38"/>
        <v>1w</v>
      </c>
      <c r="W1987" s="177">
        <f>_xll.qlCalendarAdvance(Calendar,W1986,V1987,"f",FALSE)</f>
        <v>52874</v>
      </c>
      <c r="X1987" s="181">
        <f>_xll.qlCalendarAdvance(Calendar,W1987,NDays&amp;"D")</f>
        <v>52876</v>
      </c>
      <c r="Y1987" s="178">
        <v>2.0847523083025451E-2</v>
      </c>
      <c r="Z1987" s="183">
        <v>2.0496436921142447E-2</v>
      </c>
    </row>
    <row r="1988" spans="22:26" x14ac:dyDescent="0.2">
      <c r="V1988" s="180" t="str">
        <f t="shared" si="38"/>
        <v>1w</v>
      </c>
      <c r="W1988" s="177">
        <f>_xll.qlCalendarAdvance(Calendar,W1987,V1988,"f",FALSE)</f>
        <v>52881</v>
      </c>
      <c r="X1988" s="181">
        <f>_xll.qlCalendarAdvance(Calendar,W1988,NDays&amp;"D")</f>
        <v>52883</v>
      </c>
      <c r="Y1988" s="178">
        <v>2.0852597077260854E-2</v>
      </c>
      <c r="Z1988" s="183">
        <v>2.0501769052199137E-2</v>
      </c>
    </row>
    <row r="1989" spans="22:26" x14ac:dyDescent="0.2">
      <c r="V1989" s="180" t="str">
        <f t="shared" si="38"/>
        <v>1w</v>
      </c>
      <c r="W1989" s="177">
        <f>_xll.qlCalendarAdvance(Calendar,W1988,V1989,"f",FALSE)</f>
        <v>52888</v>
      </c>
      <c r="X1989" s="181">
        <f>_xll.qlCalendarAdvance(Calendar,W1989,NDays&amp;"D")</f>
        <v>52890</v>
      </c>
      <c r="Y1989" s="178">
        <v>2.0857651636879051E-2</v>
      </c>
      <c r="Z1989" s="183">
        <v>2.0507151011477376E-2</v>
      </c>
    </row>
    <row r="1990" spans="22:26" x14ac:dyDescent="0.2">
      <c r="V1990" s="180" t="str">
        <f t="shared" si="38"/>
        <v>1w</v>
      </c>
      <c r="W1990" s="177">
        <f>_xll.qlCalendarAdvance(Calendar,W1989,V1990,"f",FALSE)</f>
        <v>52895</v>
      </c>
      <c r="X1990" s="181">
        <f>_xll.qlCalendarAdvance(Calendar,W1990,NDays&amp;"D")</f>
        <v>52897</v>
      </c>
      <c r="Y1990" s="178">
        <v>2.0862685330257664E-2</v>
      </c>
      <c r="Z1990" s="183">
        <v>2.0512582799216972E-2</v>
      </c>
    </row>
    <row r="1991" spans="22:26" x14ac:dyDescent="0.2">
      <c r="V1991" s="180" t="str">
        <f t="shared" si="38"/>
        <v>1w</v>
      </c>
      <c r="W1991" s="177">
        <f>_xll.qlCalendarAdvance(Calendar,W1990,V1991,"f",FALSE)</f>
        <v>52902</v>
      </c>
      <c r="X1991" s="181">
        <f>_xll.qlCalendarAdvance(Calendar,W1991,NDays&amp;"D")</f>
        <v>52904</v>
      </c>
      <c r="Y1991" s="178">
        <v>2.0867696725746714E-2</v>
      </c>
      <c r="Z1991" s="183">
        <v>2.0518064166656913E-2</v>
      </c>
    </row>
    <row r="1992" spans="22:26" x14ac:dyDescent="0.2">
      <c r="V1992" s="180" t="str">
        <f t="shared" si="38"/>
        <v>1w</v>
      </c>
      <c r="W1992" s="177">
        <f>_xll.qlCalendarAdvance(Calendar,W1991,V1992,"f",FALSE)</f>
        <v>52909</v>
      </c>
      <c r="X1992" s="181">
        <f>_xll.qlCalendarAdvance(Calendar,W1992,NDays&amp;"D")</f>
        <v>52911</v>
      </c>
      <c r="Y1992" s="178">
        <v>2.0872684630226738E-2</v>
      </c>
      <c r="Z1992" s="183">
        <v>2.052355384424942E-2</v>
      </c>
    </row>
    <row r="1993" spans="22:26" x14ac:dyDescent="0.2">
      <c r="V1993" s="180" t="str">
        <f t="shared" si="38"/>
        <v>1w</v>
      </c>
      <c r="W1993" s="177">
        <f>_xll.qlCalendarAdvance(Calendar,W1992,V1993,"f",FALSE)</f>
        <v>52916</v>
      </c>
      <c r="X1993" s="181">
        <f>_xll.qlCalendarAdvance(Calendar,W1993,NDays&amp;"D")</f>
        <v>52918</v>
      </c>
      <c r="Y1993" s="178">
        <v>2.0877648804789661E-2</v>
      </c>
      <c r="Z1993" s="183">
        <v>2.0529020258450714E-2</v>
      </c>
    </row>
    <row r="1994" spans="22:26" x14ac:dyDescent="0.2">
      <c r="V1994" s="180" t="str">
        <f t="shared" si="38"/>
        <v>1w</v>
      </c>
      <c r="W1994" s="177">
        <f>_xll.qlCalendarAdvance(Calendar,W1993,V1994,"f",FALSE)</f>
        <v>52923</v>
      </c>
      <c r="X1994" s="181">
        <f>_xll.qlCalendarAdvance(Calendar,W1994,NDays&amp;"D")</f>
        <v>52925</v>
      </c>
      <c r="Y1994" s="178">
        <v>2.088258924908486E-2</v>
      </c>
      <c r="Z1994" s="183">
        <v>2.0534463409260795E-2</v>
      </c>
    </row>
    <row r="1995" spans="22:26" x14ac:dyDescent="0.2">
      <c r="V1995" s="180" t="str">
        <f t="shared" si="38"/>
        <v>1w</v>
      </c>
      <c r="W1995" s="177">
        <f>_xll.qlCalendarAdvance(Calendar,W1994,V1995,"f",FALSE)</f>
        <v>52930</v>
      </c>
      <c r="X1995" s="181">
        <f>_xll.qlCalendarAdvance(Calendar,W1995,NDays&amp;"D")</f>
        <v>52932</v>
      </c>
      <c r="Y1995" s="178">
        <v>2.0887505962762589E-2</v>
      </c>
      <c r="Z1995" s="183">
        <v>2.053988329651979E-2</v>
      </c>
    </row>
    <row r="1996" spans="22:26" x14ac:dyDescent="0.2">
      <c r="V1996" s="180" t="str">
        <f t="shared" si="38"/>
        <v>1w</v>
      </c>
      <c r="W1996" s="177">
        <f>_xll.qlCalendarAdvance(Calendar,W1995,V1996,"f",FALSE)</f>
        <v>52937</v>
      </c>
      <c r="X1996" s="181">
        <f>_xll.qlCalendarAdvance(Calendar,W1996,NDays&amp;"D")</f>
        <v>52939</v>
      </c>
      <c r="Y1996" s="178">
        <v>2.0892398945474632E-2</v>
      </c>
      <c r="Z1996" s="183">
        <v>2.0545279920227699E-2</v>
      </c>
    </row>
    <row r="1997" spans="22:26" x14ac:dyDescent="0.2">
      <c r="V1997" s="180" t="str">
        <f t="shared" si="38"/>
        <v>1w</v>
      </c>
      <c r="W1997" s="177">
        <f>_xll.qlCalendarAdvance(Calendar,W1996,V1997,"f",FALSE)</f>
        <v>52944</v>
      </c>
      <c r="X1997" s="181">
        <f>_xll.qlCalendarAdvance(Calendar,W1997,NDays&amp;"D")</f>
        <v>52946</v>
      </c>
      <c r="Y1997" s="178">
        <v>2.0897268196875839E-2</v>
      </c>
      <c r="Z1997" s="183">
        <v>2.0550653280624331E-2</v>
      </c>
    </row>
    <row r="1998" spans="22:26" x14ac:dyDescent="0.2">
      <c r="V1998" s="180" t="str">
        <f t="shared" si="38"/>
        <v>1w</v>
      </c>
      <c r="W1998" s="177">
        <f>_xll.qlCalendarAdvance(Calendar,W1997,V1998,"f",FALSE)</f>
        <v>52951</v>
      </c>
      <c r="X1998" s="181">
        <f>_xll.qlCalendarAdvance(Calendar,W1998,NDays&amp;"D")</f>
        <v>52953</v>
      </c>
      <c r="Y1998" s="178">
        <v>2.0902113716621065E-2</v>
      </c>
      <c r="Z1998" s="183">
        <v>2.0556003377469878E-2</v>
      </c>
    </row>
    <row r="1999" spans="22:26" x14ac:dyDescent="0.2">
      <c r="V1999" s="180" t="str">
        <f t="shared" si="38"/>
        <v>1w</v>
      </c>
      <c r="W1999" s="177">
        <f>_xll.qlCalendarAdvance(Calendar,W1998,V1999,"f",FALSE)</f>
        <v>52958</v>
      </c>
      <c r="X1999" s="181">
        <f>_xll.qlCalendarAdvance(Calendar,W1999,NDays&amp;"D")</f>
        <v>52960</v>
      </c>
      <c r="Y1999" s="178">
        <v>2.0906935504368007E-2</v>
      </c>
      <c r="Z1999" s="183">
        <v>2.0561330210924211E-2</v>
      </c>
    </row>
    <row r="2000" spans="22:26" x14ac:dyDescent="0.2">
      <c r="V2000" s="180" t="str">
        <f t="shared" si="38"/>
        <v>1w</v>
      </c>
      <c r="W2000" s="177">
        <f>_xll.qlCalendarAdvance(Calendar,W1999,V2000,"f",FALSE)</f>
        <v>52965</v>
      </c>
      <c r="X2000" s="181">
        <f>_xll.qlCalendarAdvance(Calendar,W2000,NDays&amp;"D")</f>
        <v>52967</v>
      </c>
      <c r="Y2000" s="178">
        <v>2.0911733559775238E-2</v>
      </c>
      <c r="Z2000" s="183">
        <v>2.0566633780907395E-2</v>
      </c>
    </row>
    <row r="2001" spans="22:26" x14ac:dyDescent="0.2">
      <c r="V2001" s="180" t="str">
        <f t="shared" si="38"/>
        <v>1w</v>
      </c>
      <c r="W2001" s="177">
        <f>_xll.qlCalendarAdvance(Calendar,W2000,V2001,"f",FALSE)</f>
        <v>52972</v>
      </c>
      <c r="X2001" s="181">
        <f>_xll.qlCalendarAdvance(Calendar,W2001,NDays&amp;"D")</f>
        <v>52974</v>
      </c>
      <c r="Y2001" s="178">
        <v>2.0916507882503522E-2</v>
      </c>
      <c r="Z2001" s="183">
        <v>2.057191408741943E-2</v>
      </c>
    </row>
    <row r="2002" spans="22:26" x14ac:dyDescent="0.2">
      <c r="V2002" s="180" t="str">
        <f t="shared" si="38"/>
        <v>1w</v>
      </c>
      <c r="W2002" s="177">
        <f>_xll.qlCalendarAdvance(Calendar,W2001,V2002,"f",FALSE)</f>
        <v>52979</v>
      </c>
      <c r="X2002" s="181">
        <f>_xll.qlCalendarAdvance(Calendar,W2002,NDays&amp;"D")</f>
        <v>52981</v>
      </c>
      <c r="Y2002" s="178">
        <v>2.092125847221538E-2</v>
      </c>
      <c r="Z2002" s="183">
        <v>2.0577171130380378E-2</v>
      </c>
    </row>
    <row r="2003" spans="22:26" x14ac:dyDescent="0.2">
      <c r="V2003" s="180" t="str">
        <f t="shared" si="38"/>
        <v>1w</v>
      </c>
      <c r="W2003" s="177">
        <f>_xll.qlCalendarAdvance(Calendar,W2002,V2003,"f",FALSE)</f>
        <v>52986</v>
      </c>
      <c r="X2003" s="181">
        <f>_xll.qlCalendarAdvance(Calendar,W2003,NDays&amp;"D")</f>
        <v>52988</v>
      </c>
      <c r="Y2003" s="178">
        <v>2.0925985328574419E-2</v>
      </c>
      <c r="Z2003" s="183">
        <v>2.058240491003005E-2</v>
      </c>
    </row>
    <row r="2004" spans="22:26" x14ac:dyDescent="0.2">
      <c r="V2004" s="180" t="str">
        <f t="shared" si="38"/>
        <v>1w</v>
      </c>
      <c r="W2004" s="177">
        <f>_xll.qlCalendarAdvance(Calendar,W2003,V2004,"f",FALSE)</f>
        <v>52993</v>
      </c>
      <c r="X2004" s="181">
        <f>_xll.qlCalendarAdvance(Calendar,W2004,NDays&amp;"D")</f>
        <v>52995</v>
      </c>
      <c r="Y2004" s="178">
        <v>2.0930688451246664E-2</v>
      </c>
      <c r="Z2004" s="183">
        <v>2.0587615426128636E-2</v>
      </c>
    </row>
    <row r="2005" spans="22:26" x14ac:dyDescent="0.2">
      <c r="V2005" s="180" t="str">
        <f t="shared" ref="V2005:V2068" si="39">V2004</f>
        <v>1w</v>
      </c>
      <c r="W2005" s="177">
        <f>_xll.qlCalendarAdvance(Calendar,W2004,V2005,"f",FALSE)</f>
        <v>53000</v>
      </c>
      <c r="X2005" s="181">
        <f>_xll.qlCalendarAdvance(Calendar,W2005,NDays&amp;"D")</f>
        <v>53002</v>
      </c>
      <c r="Y2005" s="178">
        <v>2.0935367839899004E-2</v>
      </c>
      <c r="Z2005" s="183">
        <v>2.0592802678756073E-2</v>
      </c>
    </row>
    <row r="2006" spans="22:26" x14ac:dyDescent="0.2">
      <c r="V2006" s="180" t="str">
        <f t="shared" si="39"/>
        <v>1w</v>
      </c>
      <c r="W2006" s="177">
        <f>_xll.qlCalendarAdvance(Calendar,W2005,V2006,"f",FALSE)</f>
        <v>53007</v>
      </c>
      <c r="X2006" s="181">
        <f>_xll.qlCalendarAdvance(Calendar,W2006,NDays&amp;"D")</f>
        <v>53009</v>
      </c>
      <c r="Y2006" s="178">
        <v>2.0940023494200755E-2</v>
      </c>
      <c r="Z2006" s="183">
        <v>2.059796666791236E-2</v>
      </c>
    </row>
    <row r="2007" spans="22:26" x14ac:dyDescent="0.2">
      <c r="V2007" s="180" t="str">
        <f t="shared" si="39"/>
        <v>1w</v>
      </c>
      <c r="W2007" s="177">
        <f>_xll.qlCalendarAdvance(Calendar,W2006,V2007,"f",FALSE)</f>
        <v>53014</v>
      </c>
      <c r="X2007" s="181">
        <f>_xll.qlCalendarAdvance(Calendar,W2007,NDays&amp;"D")</f>
        <v>53016</v>
      </c>
      <c r="Y2007" s="178">
        <v>2.0944655413822746E-2</v>
      </c>
      <c r="Z2007" s="183">
        <v>2.0603107393597497E-2</v>
      </c>
    </row>
    <row r="2008" spans="22:26" x14ac:dyDescent="0.2">
      <c r="V2008" s="180" t="str">
        <f t="shared" si="39"/>
        <v>1w</v>
      </c>
      <c r="W2008" s="177">
        <f>_xll.qlCalendarAdvance(Calendar,W2007,V2008,"f",FALSE)</f>
        <v>53021</v>
      </c>
      <c r="X2008" s="181">
        <f>_xll.qlCalendarAdvance(Calendar,W2008,NDays&amp;"D")</f>
        <v>53023</v>
      </c>
      <c r="Y2008" s="178">
        <v>2.0949263598436699E-2</v>
      </c>
      <c r="Z2008" s="183">
        <v>2.0608224855811486E-2</v>
      </c>
    </row>
    <row r="2009" spans="22:26" x14ac:dyDescent="0.2">
      <c r="V2009" s="180" t="str">
        <f t="shared" si="39"/>
        <v>1w</v>
      </c>
      <c r="W2009" s="177">
        <f>_xll.qlCalendarAdvance(Calendar,W2008,V2009,"f",FALSE)</f>
        <v>53028</v>
      </c>
      <c r="X2009" s="181">
        <f>_xll.qlCalendarAdvance(Calendar,W2009,NDays&amp;"D")</f>
        <v>53030</v>
      </c>
      <c r="Y2009" s="178">
        <v>2.095384804771739E-2</v>
      </c>
      <c r="Z2009" s="183">
        <v>2.0613319054554324E-2</v>
      </c>
    </row>
    <row r="2010" spans="22:26" x14ac:dyDescent="0.2">
      <c r="V2010" s="180" t="str">
        <f t="shared" si="39"/>
        <v>1w</v>
      </c>
      <c r="W2010" s="177">
        <f>_xll.qlCalendarAdvance(Calendar,W2009,V2010,"f",FALSE)</f>
        <v>53035</v>
      </c>
      <c r="X2010" s="181">
        <f>_xll.qlCalendarAdvance(Calendar,W2010,NDays&amp;"D")</f>
        <v>53037</v>
      </c>
      <c r="Y2010" s="178">
        <v>2.0958408761340037E-2</v>
      </c>
      <c r="Z2010" s="183">
        <v>2.0618389989826014E-2</v>
      </c>
    </row>
    <row r="2011" spans="22:26" x14ac:dyDescent="0.2">
      <c r="V2011" s="180" t="str">
        <f t="shared" si="39"/>
        <v>1w</v>
      </c>
      <c r="W2011" s="177">
        <f>_xll.qlCalendarAdvance(Calendar,W2010,V2011,"f",FALSE)</f>
        <v>53042</v>
      </c>
      <c r="X2011" s="181">
        <f>_xll.qlCalendarAdvance(Calendar,W2011,NDays&amp;"D")</f>
        <v>53044</v>
      </c>
      <c r="Y2011" s="178">
        <v>2.0966603065284421E-2</v>
      </c>
      <c r="Z2011" s="183">
        <v>2.0623437661626554E-2</v>
      </c>
    </row>
    <row r="2012" spans="22:26" x14ac:dyDescent="0.2">
      <c r="V2012" s="180" t="str">
        <f t="shared" si="39"/>
        <v>1w</v>
      </c>
      <c r="W2012" s="177">
        <f>_xll.qlCalendarAdvance(Calendar,W2011,V2012,"f",FALSE)</f>
        <v>53049</v>
      </c>
      <c r="X2012" s="181">
        <f>_xll.qlCalendarAdvance(Calendar,W2012,NDays&amp;"D")</f>
        <v>53051</v>
      </c>
      <c r="Y2012" s="178">
        <v>2.0967458980323258E-2</v>
      </c>
      <c r="Z2012" s="183">
        <v>2.0628462070115816E-2</v>
      </c>
    </row>
    <row r="2013" spans="22:26" x14ac:dyDescent="0.2">
      <c r="V2013" s="180" t="str">
        <f t="shared" si="39"/>
        <v>1w</v>
      </c>
      <c r="W2013" s="177">
        <f>_xll.qlCalendarAdvance(Calendar,W2012,V2013,"f",FALSE)</f>
        <v>53056</v>
      </c>
      <c r="X2013" s="181">
        <f>_xll.qlCalendarAdvance(Calendar,W2013,NDays&amp;"D")</f>
        <v>53058</v>
      </c>
      <c r="Y2013" s="178">
        <v>2.097194848504368E-2</v>
      </c>
      <c r="Z2013" s="183">
        <v>2.0637253048972681E-2</v>
      </c>
    </row>
    <row r="2014" spans="22:26" x14ac:dyDescent="0.2">
      <c r="V2014" s="180" t="str">
        <f t="shared" si="39"/>
        <v>1w</v>
      </c>
      <c r="W2014" s="177">
        <f>_xll.qlCalendarAdvance(Calendar,W2013,V2014,"f",FALSE)</f>
        <v>53063</v>
      </c>
      <c r="X2014" s="181">
        <f>_xll.qlCalendarAdvance(Calendar,W2014,NDays&amp;"D")</f>
        <v>53065</v>
      </c>
      <c r="Y2014" s="178">
        <v>2.0976414252825551E-2</v>
      </c>
      <c r="Z2014" s="183">
        <v>2.0638441096201277E-2</v>
      </c>
    </row>
    <row r="2015" spans="22:26" x14ac:dyDescent="0.2">
      <c r="V2015" s="180" t="str">
        <f t="shared" si="39"/>
        <v>1w</v>
      </c>
      <c r="W2015" s="177">
        <f>_xll.qlCalendarAdvance(Calendar,W2014,V2015,"f",FALSE)</f>
        <v>53070</v>
      </c>
      <c r="X2015" s="181">
        <f>_xll.qlCalendarAdvance(Calendar,W2015,NDays&amp;"D")</f>
        <v>53072</v>
      </c>
      <c r="Y2015" s="178">
        <v>2.0980856283353503E-2</v>
      </c>
      <c r="Z2015" s="183">
        <v>2.0643395714117219E-2</v>
      </c>
    </row>
    <row r="2016" spans="22:26" x14ac:dyDescent="0.2">
      <c r="V2016" s="180" t="str">
        <f t="shared" si="39"/>
        <v>1w</v>
      </c>
      <c r="W2016" s="177">
        <f>_xll.qlCalendarAdvance(Calendar,W2015,V2016,"f",FALSE)</f>
        <v>53077</v>
      </c>
      <c r="X2016" s="181">
        <f>_xll.qlCalendarAdvance(Calendar,W2016,NDays&amp;"D")</f>
        <v>53079</v>
      </c>
      <c r="Y2016" s="178">
        <v>2.0985274576313055E-2</v>
      </c>
      <c r="Z2016" s="183">
        <v>2.0648327068482075E-2</v>
      </c>
    </row>
    <row r="2017" spans="22:26" x14ac:dyDescent="0.2">
      <c r="V2017" s="180" t="str">
        <f t="shared" si="39"/>
        <v>1w</v>
      </c>
      <c r="W2017" s="177">
        <f>_xll.qlCalendarAdvance(Calendar,W2016,V2017,"f",FALSE)</f>
        <v>53084</v>
      </c>
      <c r="X2017" s="181">
        <f>_xll.qlCalendarAdvance(Calendar,W2017,NDays&amp;"D")</f>
        <v>53086</v>
      </c>
      <c r="Y2017" s="178">
        <v>2.0989669131391685E-2</v>
      </c>
      <c r="Z2017" s="183">
        <v>2.0653235159375782E-2</v>
      </c>
    </row>
    <row r="2018" spans="22:26" x14ac:dyDescent="0.2">
      <c r="V2018" s="180" t="str">
        <f t="shared" si="39"/>
        <v>1w</v>
      </c>
      <c r="W2018" s="177">
        <f>_xll.qlCalendarAdvance(Calendar,W2017,V2018,"f",FALSE)</f>
        <v>53091</v>
      </c>
      <c r="X2018" s="181">
        <f>_xll.qlCalendarAdvance(Calendar,W2018,NDays&amp;"D")</f>
        <v>53093</v>
      </c>
      <c r="Y2018" s="178">
        <v>2.0994039948279065E-2</v>
      </c>
      <c r="Z2018" s="183">
        <v>2.0658119986958212E-2</v>
      </c>
    </row>
    <row r="2019" spans="22:26" x14ac:dyDescent="0.2">
      <c r="V2019" s="180" t="str">
        <f t="shared" si="39"/>
        <v>1w</v>
      </c>
      <c r="W2019" s="177">
        <f>_xll.qlCalendarAdvance(Calendar,W2018,V2019,"f",FALSE)</f>
        <v>53098</v>
      </c>
      <c r="X2019" s="181">
        <f>_xll.qlCalendarAdvance(Calendar,W2019,NDays&amp;"D")</f>
        <v>53100</v>
      </c>
      <c r="Y2019" s="178">
        <v>2.0998387026665309E-2</v>
      </c>
      <c r="Z2019" s="183">
        <v>2.066298155090962E-2</v>
      </c>
    </row>
    <row r="2020" spans="22:26" x14ac:dyDescent="0.2">
      <c r="V2020" s="180" t="str">
        <f t="shared" si="39"/>
        <v>1w</v>
      </c>
      <c r="W2020" s="177">
        <f>_xll.qlCalendarAdvance(Calendar,W2019,V2020,"f",FALSE)</f>
        <v>53105</v>
      </c>
      <c r="X2020" s="181">
        <f>_xll.qlCalendarAdvance(Calendar,W2020,NDays&amp;"D")</f>
        <v>53107</v>
      </c>
      <c r="Y2020" s="178">
        <v>2.1002710366243155E-2</v>
      </c>
      <c r="Z2020" s="183">
        <v>2.0667819851389879E-2</v>
      </c>
    </row>
    <row r="2021" spans="22:26" x14ac:dyDescent="0.2">
      <c r="V2021" s="180" t="str">
        <f t="shared" si="39"/>
        <v>1w</v>
      </c>
      <c r="W2021" s="177">
        <f>_xll.qlCalendarAdvance(Calendar,W2020,V2021,"f",FALSE)</f>
        <v>53112</v>
      </c>
      <c r="X2021" s="181">
        <f>_xll.qlCalendarAdvance(Calendar,W2021,NDays&amp;"D")</f>
        <v>53114</v>
      </c>
      <c r="Y2021" s="178">
        <v>2.1007009966706656E-2</v>
      </c>
      <c r="Z2021" s="183">
        <v>2.0672634888398989E-2</v>
      </c>
    </row>
    <row r="2022" spans="22:26" x14ac:dyDescent="0.2">
      <c r="V2022" s="180" t="str">
        <f t="shared" si="39"/>
        <v>1w</v>
      </c>
      <c r="W2022" s="177">
        <f>_xll.qlCalendarAdvance(Calendar,W2021,V2022,"f",FALSE)</f>
        <v>53119</v>
      </c>
      <c r="X2022" s="181">
        <f>_xll.qlCalendarAdvance(Calendar,W2022,NDays&amp;"D")</f>
        <v>53121</v>
      </c>
      <c r="Y2022" s="178">
        <v>2.1011285827752271E-2</v>
      </c>
      <c r="Z2022" s="183">
        <v>2.0677426661936948E-2</v>
      </c>
    </row>
    <row r="2023" spans="22:26" x14ac:dyDescent="0.2">
      <c r="V2023" s="180" t="str">
        <f t="shared" si="39"/>
        <v>1w</v>
      </c>
      <c r="W2023" s="177">
        <f>_xll.qlCalendarAdvance(Calendar,W2022,V2023,"f",FALSE)</f>
        <v>53126</v>
      </c>
      <c r="X2023" s="181">
        <f>_xll.qlCalendarAdvance(Calendar,W2023,NDays&amp;"D")</f>
        <v>53128</v>
      </c>
      <c r="Y2023" s="178">
        <v>2.1015537949076468E-2</v>
      </c>
      <c r="Z2023" s="183">
        <v>2.0682195171923823E-2</v>
      </c>
    </row>
    <row r="2024" spans="22:26" x14ac:dyDescent="0.2">
      <c r="V2024" s="180" t="str">
        <f t="shared" si="39"/>
        <v>1w</v>
      </c>
      <c r="W2024" s="177">
        <f>_xll.qlCalendarAdvance(Calendar,W2023,V2024,"f",FALSE)</f>
        <v>53133</v>
      </c>
      <c r="X2024" s="181">
        <f>_xll.qlCalendarAdvance(Calendar,W2024,NDays&amp;"D")</f>
        <v>53135</v>
      </c>
      <c r="Y2024" s="178">
        <v>2.1019766330379205E-2</v>
      </c>
      <c r="Z2024" s="183">
        <v>2.0686940418439548E-2</v>
      </c>
    </row>
    <row r="2025" spans="22:26" x14ac:dyDescent="0.2">
      <c r="V2025" s="180" t="str">
        <f t="shared" si="39"/>
        <v>1w</v>
      </c>
      <c r="W2025" s="177">
        <f>_xll.qlCalendarAdvance(Calendar,W2024,V2025,"f",FALSE)</f>
        <v>53140</v>
      </c>
      <c r="X2025" s="181">
        <f>_xll.qlCalendarAdvance(Calendar,W2025,NDays&amp;"D")</f>
        <v>53142</v>
      </c>
      <c r="Y2025" s="178">
        <v>2.102397097136155E-2</v>
      </c>
      <c r="Z2025" s="183">
        <v>2.0691662401643995E-2</v>
      </c>
    </row>
    <row r="2026" spans="22:26" x14ac:dyDescent="0.2">
      <c r="V2026" s="180" t="str">
        <f t="shared" si="39"/>
        <v>1w</v>
      </c>
      <c r="W2026" s="177">
        <f>_xll.qlCalendarAdvance(Calendar,W2025,V2026,"f",FALSE)</f>
        <v>53147</v>
      </c>
      <c r="X2026" s="181">
        <f>_xll.qlCalendarAdvance(Calendar,W2026,NDays&amp;"D")</f>
        <v>53149</v>
      </c>
      <c r="Y2026" s="178">
        <v>2.1028151871725659E-2</v>
      </c>
      <c r="Z2026" s="183">
        <v>2.0696361121137485E-2</v>
      </c>
    </row>
    <row r="2027" spans="22:26" x14ac:dyDescent="0.2">
      <c r="V2027" s="180" t="str">
        <f t="shared" si="39"/>
        <v>1w</v>
      </c>
      <c r="W2027" s="177">
        <f>_xll.qlCalendarAdvance(Calendar,W2026,V2027,"f",FALSE)</f>
        <v>53154</v>
      </c>
      <c r="X2027" s="181">
        <f>_xll.qlCalendarAdvance(Calendar,W2027,NDays&amp;"D")</f>
        <v>53156</v>
      </c>
      <c r="Y2027" s="178">
        <v>2.1032309031175433E-2</v>
      </c>
      <c r="Z2027" s="183">
        <v>2.0701036577159826E-2</v>
      </c>
    </row>
    <row r="2028" spans="22:26" x14ac:dyDescent="0.2">
      <c r="V2028" s="180" t="str">
        <f t="shared" si="39"/>
        <v>1w</v>
      </c>
      <c r="W2028" s="177">
        <f>_xll.qlCalendarAdvance(Calendar,W2027,V2028,"f",FALSE)</f>
        <v>53161</v>
      </c>
      <c r="X2028" s="181">
        <f>_xll.qlCalendarAdvance(Calendar,W2028,NDays&amp;"D")</f>
        <v>53163</v>
      </c>
      <c r="Y2028" s="178">
        <v>2.1036442449417853E-2</v>
      </c>
      <c r="Z2028" s="183">
        <v>2.0705688769870889E-2</v>
      </c>
    </row>
    <row r="2029" spans="22:26" x14ac:dyDescent="0.2">
      <c r="V2029" s="180" t="str">
        <f t="shared" si="39"/>
        <v>1w</v>
      </c>
      <c r="W2029" s="177">
        <f>_xll.qlCalendarAdvance(Calendar,W2028,V2029,"f",FALSE)</f>
        <v>53168</v>
      </c>
      <c r="X2029" s="181">
        <f>_xll.qlCalendarAdvance(Calendar,W2029,NDays&amp;"D")</f>
        <v>53170</v>
      </c>
      <c r="Y2029" s="178">
        <v>2.1040552126159452E-2</v>
      </c>
      <c r="Z2029" s="183">
        <v>2.0710317698950931E-2</v>
      </c>
    </row>
    <row r="2030" spans="22:26" x14ac:dyDescent="0.2">
      <c r="V2030" s="180" t="str">
        <f t="shared" si="39"/>
        <v>1w</v>
      </c>
      <c r="W2030" s="177">
        <f>_xll.qlCalendarAdvance(Calendar,W2029,V2030,"f",FALSE)</f>
        <v>53175</v>
      </c>
      <c r="X2030" s="181">
        <f>_xll.qlCalendarAdvance(Calendar,W2030,NDays&amp;"D")</f>
        <v>53177</v>
      </c>
      <c r="Y2030" s="178">
        <v>2.1044638061110274E-2</v>
      </c>
      <c r="Z2030" s="183">
        <v>2.0714923364559823E-2</v>
      </c>
    </row>
    <row r="2031" spans="22:26" x14ac:dyDescent="0.2">
      <c r="V2031" s="180" t="str">
        <f t="shared" si="39"/>
        <v>1w</v>
      </c>
      <c r="W2031" s="177">
        <f>_xll.qlCalendarAdvance(Calendar,W2030,V2031,"f",FALSE)</f>
        <v>53182</v>
      </c>
      <c r="X2031" s="181">
        <f>_xll.qlCalendarAdvance(Calendar,W2031,NDays&amp;"D")</f>
        <v>53184</v>
      </c>
      <c r="Y2031" s="178">
        <v>2.104870025398101E-2</v>
      </c>
      <c r="Z2031" s="183">
        <v>2.0719505766537694E-2</v>
      </c>
    </row>
    <row r="2032" spans="22:26" x14ac:dyDescent="0.2">
      <c r="V2032" s="180" t="str">
        <f t="shared" si="39"/>
        <v>1w</v>
      </c>
      <c r="W2032" s="177">
        <f>_xll.qlCalendarAdvance(Calendar,W2031,V2032,"f",FALSE)</f>
        <v>53189</v>
      </c>
      <c r="X2032" s="181">
        <f>_xll.qlCalendarAdvance(Calendar,W2032,NDays&amp;"D")</f>
        <v>53191</v>
      </c>
      <c r="Y2032" s="178">
        <v>2.1052738704484333E-2</v>
      </c>
      <c r="Z2032" s="183">
        <v>2.0724064905284223E-2</v>
      </c>
    </row>
    <row r="2033" spans="22:26" x14ac:dyDescent="0.2">
      <c r="V2033" s="180" t="str">
        <f t="shared" si="39"/>
        <v>1w</v>
      </c>
      <c r="W2033" s="177">
        <f>_xll.qlCalendarAdvance(Calendar,W2032,V2033,"f",FALSE)</f>
        <v>53196</v>
      </c>
      <c r="X2033" s="181">
        <f>_xll.qlCalendarAdvance(Calendar,W2033,NDays&amp;"D")</f>
        <v>53198</v>
      </c>
      <c r="Y2033" s="178">
        <v>2.1056753412334005E-2</v>
      </c>
      <c r="Z2033" s="183">
        <v>2.0728600780399731E-2</v>
      </c>
    </row>
    <row r="2034" spans="22:26" x14ac:dyDescent="0.2">
      <c r="V2034" s="180" t="str">
        <f t="shared" si="39"/>
        <v>1w</v>
      </c>
      <c r="W2034" s="177">
        <f>_xll.qlCalendarAdvance(Calendar,W2033,V2034,"f",FALSE)</f>
        <v>53203</v>
      </c>
      <c r="X2034" s="181">
        <f>_xll.qlCalendarAdvance(Calendar,W2034,NDays&amp;"D")</f>
        <v>53205</v>
      </c>
      <c r="Y2034" s="178">
        <v>2.1060744377247073E-2</v>
      </c>
      <c r="Z2034" s="183">
        <v>2.0733113391964153E-2</v>
      </c>
    </row>
    <row r="2035" spans="22:26" x14ac:dyDescent="0.2">
      <c r="V2035" s="180" t="str">
        <f t="shared" si="39"/>
        <v>1w</v>
      </c>
      <c r="W2035" s="177">
        <f>_xll.qlCalendarAdvance(Calendar,W2034,V2035,"f",FALSE)</f>
        <v>53210</v>
      </c>
      <c r="X2035" s="181">
        <f>_xll.qlCalendarAdvance(Calendar,W2035,NDays&amp;"D")</f>
        <v>53212</v>
      </c>
      <c r="Y2035" s="178">
        <v>2.1064711598940366E-2</v>
      </c>
      <c r="Z2035" s="183">
        <v>2.0737602740137362E-2</v>
      </c>
    </row>
    <row r="2036" spans="22:26" x14ac:dyDescent="0.2">
      <c r="V2036" s="180" t="str">
        <f t="shared" si="39"/>
        <v>1w</v>
      </c>
      <c r="W2036" s="177">
        <f>_xll.qlCalendarAdvance(Calendar,W2035,V2036,"f",FALSE)</f>
        <v>53217</v>
      </c>
      <c r="X2036" s="181">
        <f>_xll.qlCalendarAdvance(Calendar,W2036,NDays&amp;"D")</f>
        <v>53219</v>
      </c>
      <c r="Y2036" s="178">
        <v>2.1068655077133781E-2</v>
      </c>
      <c r="Z2036" s="183">
        <v>2.0742068824839421E-2</v>
      </c>
    </row>
    <row r="2037" spans="22:26" x14ac:dyDescent="0.2">
      <c r="V2037" s="180" t="str">
        <f t="shared" si="39"/>
        <v>1w</v>
      </c>
      <c r="W2037" s="177">
        <f>_xll.qlCalendarAdvance(Calendar,W2036,V2037,"f",FALSE)</f>
        <v>53224</v>
      </c>
      <c r="X2037" s="181">
        <f>_xll.qlCalendarAdvance(Calendar,W2037,NDays&amp;"D")</f>
        <v>53226</v>
      </c>
      <c r="Y2037" s="178">
        <v>2.1072574811548089E-2</v>
      </c>
      <c r="Z2037" s="183">
        <v>2.0746511645910459E-2</v>
      </c>
    </row>
    <row r="2038" spans="22:26" x14ac:dyDescent="0.2">
      <c r="V2038" s="180" t="str">
        <f t="shared" si="39"/>
        <v>1w</v>
      </c>
      <c r="W2038" s="177">
        <f>_xll.qlCalendarAdvance(Calendar,W2037,V2038,"f",FALSE)</f>
        <v>53231</v>
      </c>
      <c r="X2038" s="181">
        <f>_xll.qlCalendarAdvance(Calendar,W2038,NDays&amp;"D")</f>
        <v>53233</v>
      </c>
      <c r="Y2038" s="178">
        <v>2.1076470801905816E-2</v>
      </c>
      <c r="Z2038" s="183">
        <v>2.0750931203590284E-2</v>
      </c>
    </row>
    <row r="2039" spans="22:26" x14ac:dyDescent="0.2">
      <c r="V2039" s="180" t="str">
        <f t="shared" si="39"/>
        <v>1w</v>
      </c>
      <c r="W2039" s="177">
        <f>_xll.qlCalendarAdvance(Calendar,W2038,V2039,"f",FALSE)</f>
        <v>53238</v>
      </c>
      <c r="X2039" s="181">
        <f>_xll.qlCalendarAdvance(Calendar,W2039,NDays&amp;"D")</f>
        <v>53240</v>
      </c>
      <c r="Y2039" s="178">
        <v>2.108034304793167E-2</v>
      </c>
      <c r="Z2039" s="183">
        <v>2.0755327497798959E-2</v>
      </c>
    </row>
    <row r="2040" spans="22:26" x14ac:dyDescent="0.2">
      <c r="V2040" s="180" t="str">
        <f t="shared" si="39"/>
        <v>1w</v>
      </c>
      <c r="W2040" s="177">
        <f>_xll.qlCalendarAdvance(Calendar,W2039,V2040,"f",FALSE)</f>
        <v>53245</v>
      </c>
      <c r="X2040" s="181">
        <f>_xll.qlCalendarAdvance(Calendar,W2040,NDays&amp;"D")</f>
        <v>53247</v>
      </c>
      <c r="Y2040" s="178">
        <v>2.1084191549351899E-2</v>
      </c>
      <c r="Z2040" s="183">
        <v>2.0759700528376612E-2</v>
      </c>
    </row>
    <row r="2041" spans="22:26" x14ac:dyDescent="0.2">
      <c r="V2041" s="180" t="str">
        <f t="shared" si="39"/>
        <v>1w</v>
      </c>
      <c r="W2041" s="177">
        <f>_xll.qlCalendarAdvance(Calendar,W2040,V2041,"f",FALSE)</f>
        <v>53252</v>
      </c>
      <c r="X2041" s="181">
        <f>_xll.qlCalendarAdvance(Calendar,W2041,NDays&amp;"D")</f>
        <v>53254</v>
      </c>
      <c r="Y2041" s="178">
        <v>2.1088016305893409E-2</v>
      </c>
      <c r="Z2041" s="183">
        <v>2.0764050295563052E-2</v>
      </c>
    </row>
    <row r="2042" spans="22:26" x14ac:dyDescent="0.2">
      <c r="V2042" s="180" t="str">
        <f t="shared" si="39"/>
        <v>1w</v>
      </c>
      <c r="W2042" s="177">
        <f>_xll.qlCalendarAdvance(Calendar,W2041,V2042,"f",FALSE)</f>
        <v>53259</v>
      </c>
      <c r="X2042" s="181">
        <f>_xll.qlCalendarAdvance(Calendar,W2042,NDays&amp;"D")</f>
        <v>53261</v>
      </c>
      <c r="Y2042" s="178">
        <v>2.1091817317286824E-2</v>
      </c>
      <c r="Z2042" s="183">
        <v>2.0768376799118471E-2</v>
      </c>
    </row>
    <row r="2043" spans="22:26" x14ac:dyDescent="0.2">
      <c r="V2043" s="180" t="str">
        <f t="shared" si="39"/>
        <v>1w</v>
      </c>
      <c r="W2043" s="177">
        <f>_xll.qlCalendarAdvance(Calendar,W2042,V2043,"f",FALSE)</f>
        <v>53266</v>
      </c>
      <c r="X2043" s="181">
        <f>_xll.qlCalendarAdvance(Calendar,W2043,NDays&amp;"D")</f>
        <v>53268</v>
      </c>
      <c r="Y2043" s="178">
        <v>2.1095594583262552E-2</v>
      </c>
      <c r="Z2043" s="183">
        <v>2.0772680039362612E-2</v>
      </c>
    </row>
    <row r="2044" spans="22:26" x14ac:dyDescent="0.2">
      <c r="V2044" s="180" t="str">
        <f t="shared" si="39"/>
        <v>1w</v>
      </c>
      <c r="W2044" s="177">
        <f>_xll.qlCalendarAdvance(Calendar,W2043,V2044,"f",FALSE)</f>
        <v>53273</v>
      </c>
      <c r="X2044" s="181">
        <f>_xll.qlCalendarAdvance(Calendar,W2044,NDays&amp;"D")</f>
        <v>53275</v>
      </c>
      <c r="Y2044" s="178">
        <v>2.1099348103552969E-2</v>
      </c>
      <c r="Z2044" s="183">
        <v>2.0776960015975732E-2</v>
      </c>
    </row>
    <row r="2045" spans="22:26" x14ac:dyDescent="0.2">
      <c r="V2045" s="180" t="str">
        <f t="shared" si="39"/>
        <v>1w</v>
      </c>
      <c r="W2045" s="177">
        <f>_xll.qlCalendarAdvance(Calendar,W2044,V2045,"f",FALSE)</f>
        <v>53280</v>
      </c>
      <c r="X2045" s="181">
        <f>_xll.qlCalendarAdvance(Calendar,W2045,NDays&amp;"D")</f>
        <v>53282</v>
      </c>
      <c r="Y2045" s="178">
        <v>2.1103077877893527E-2</v>
      </c>
      <c r="Z2045" s="183">
        <v>2.078121672895783E-2</v>
      </c>
    </row>
    <row r="2046" spans="22:26" x14ac:dyDescent="0.2">
      <c r="V2046" s="180" t="str">
        <f t="shared" si="39"/>
        <v>1w</v>
      </c>
      <c r="W2046" s="177">
        <f>_xll.qlCalendarAdvance(Calendar,W2045,V2046,"f",FALSE)</f>
        <v>53287</v>
      </c>
      <c r="X2046" s="181">
        <f>_xll.qlCalendarAdvance(Calendar,W2046,NDays&amp;"D")</f>
        <v>53289</v>
      </c>
      <c r="Y2046" s="178">
        <v>2.1106783906019881E-2</v>
      </c>
      <c r="Z2046" s="183">
        <v>2.0785450178708587E-2</v>
      </c>
    </row>
    <row r="2047" spans="22:26" x14ac:dyDescent="0.2">
      <c r="V2047" s="180" t="str">
        <f t="shared" si="39"/>
        <v>1w</v>
      </c>
      <c r="W2047" s="177">
        <f>_xll.qlCalendarAdvance(Calendar,W2046,V2047,"f",FALSE)</f>
        <v>53294</v>
      </c>
      <c r="X2047" s="181">
        <f>_xll.qlCalendarAdvance(Calendar,W2047,NDays&amp;"D")</f>
        <v>53296</v>
      </c>
      <c r="Y2047" s="178">
        <v>2.1110466187669451E-2</v>
      </c>
      <c r="Z2047" s="183">
        <v>2.0789660364828322E-2</v>
      </c>
    </row>
    <row r="2048" spans="22:26" x14ac:dyDescent="0.2">
      <c r="V2048" s="180" t="str">
        <f t="shared" si="39"/>
        <v>1w</v>
      </c>
      <c r="W2048" s="177">
        <f>_xll.qlCalendarAdvance(Calendar,W2047,V2048,"f",FALSE)</f>
        <v>53301</v>
      </c>
      <c r="X2048" s="181">
        <f>_xll.qlCalendarAdvance(Calendar,W2048,NDays&amp;"D")</f>
        <v>53303</v>
      </c>
      <c r="Y2048" s="178">
        <v>2.1114124722582499E-2</v>
      </c>
      <c r="Z2048" s="183">
        <v>2.0793847287396972E-2</v>
      </c>
    </row>
    <row r="2049" spans="22:26" x14ac:dyDescent="0.2">
      <c r="V2049" s="180" t="str">
        <f t="shared" si="39"/>
        <v>1w</v>
      </c>
      <c r="W2049" s="177">
        <f>_xll.qlCalendarAdvance(Calendar,W2048,V2049,"f",FALSE)</f>
        <v>53308</v>
      </c>
      <c r="X2049" s="181">
        <f>_xll.qlCalendarAdvance(Calendar,W2049,NDays&amp;"D")</f>
        <v>53310</v>
      </c>
      <c r="Y2049" s="178">
        <v>2.1117759510499944E-2</v>
      </c>
      <c r="Z2049" s="183">
        <v>2.0798010946494472E-2</v>
      </c>
    </row>
    <row r="2050" spans="22:26" x14ac:dyDescent="0.2">
      <c r="V2050" s="180" t="str">
        <f t="shared" si="39"/>
        <v>1w</v>
      </c>
      <c r="W2050" s="177">
        <f>_xll.qlCalendarAdvance(Calendar,W2049,V2050,"f",FALSE)</f>
        <v>53315</v>
      </c>
      <c r="X2050" s="181">
        <f>_xll.qlCalendarAdvance(Calendar,W2050,NDays&amp;"D")</f>
        <v>53317</v>
      </c>
      <c r="Y2050" s="178">
        <v>2.1121370551164236E-2</v>
      </c>
      <c r="Z2050" s="183">
        <v>2.0802151342040887E-2</v>
      </c>
    </row>
    <row r="2051" spans="22:26" x14ac:dyDescent="0.2">
      <c r="V2051" s="180" t="str">
        <f t="shared" si="39"/>
        <v>1w</v>
      </c>
      <c r="W2051" s="177">
        <f>_xll.qlCalendarAdvance(Calendar,W2050,V2051,"f",FALSE)</f>
        <v>53323</v>
      </c>
      <c r="X2051" s="181">
        <f>_xll.qlCalendarAdvance(Calendar,W2051,NDays&amp;"D")</f>
        <v>53325</v>
      </c>
      <c r="Y2051" s="178">
        <v>2.1127179871991475E-2</v>
      </c>
      <c r="Z2051" s="183">
        <v>2.0809537020669566E-2</v>
      </c>
    </row>
    <row r="2052" spans="22:26" x14ac:dyDescent="0.2">
      <c r="V2052" s="180" t="str">
        <f t="shared" si="39"/>
        <v>1w</v>
      </c>
      <c r="W2052" s="177">
        <f>_xll.qlCalendarAdvance(Calendar,W2051,V2052,"f",FALSE)</f>
        <v>53330</v>
      </c>
      <c r="X2052" s="181">
        <f>_xll.qlCalendarAdvance(Calendar,W2052,NDays&amp;"D")</f>
        <v>53332</v>
      </c>
      <c r="Y2052" s="178">
        <v>2.1130737045254561E-2</v>
      </c>
      <c r="Z2052" s="183">
        <v>2.0812730721679884E-2</v>
      </c>
    </row>
    <row r="2053" spans="22:26" x14ac:dyDescent="0.2">
      <c r="V2053" s="180" t="str">
        <f t="shared" si="39"/>
        <v>1w</v>
      </c>
      <c r="W2053" s="177">
        <f>_xll.qlCalendarAdvance(Calendar,W2052,V2053,"f",FALSE)</f>
        <v>53337</v>
      </c>
      <c r="X2053" s="181">
        <f>_xll.qlCalendarAdvance(Calendar,W2053,NDays&amp;"D")</f>
        <v>53339</v>
      </c>
      <c r="Y2053" s="178">
        <v>2.1134270467742348E-2</v>
      </c>
      <c r="Z2053" s="183">
        <v>2.0816795149940504E-2</v>
      </c>
    </row>
    <row r="2054" spans="22:26" x14ac:dyDescent="0.2">
      <c r="V2054" s="180" t="str">
        <f t="shared" si="39"/>
        <v>1w</v>
      </c>
      <c r="W2054" s="177">
        <f>_xll.qlCalendarAdvance(Calendar,W2053,V2054,"f",FALSE)</f>
        <v>53344</v>
      </c>
      <c r="X2054" s="181">
        <f>_xll.qlCalendarAdvance(Calendar,W2054,NDays&amp;"D")</f>
        <v>53346</v>
      </c>
      <c r="Y2054" s="178">
        <v>2.1137780139203706E-2</v>
      </c>
      <c r="Z2054" s="183">
        <v>2.0820836312092084E-2</v>
      </c>
    </row>
    <row r="2055" spans="22:26" x14ac:dyDescent="0.2">
      <c r="V2055" s="180" t="str">
        <f t="shared" si="39"/>
        <v>1w</v>
      </c>
      <c r="W2055" s="177">
        <f>_xll.qlCalendarAdvance(Calendar,W2054,V2055,"f",FALSE)</f>
        <v>53351</v>
      </c>
      <c r="X2055" s="181">
        <f>_xll.qlCalendarAdvance(Calendar,W2055,NDays&amp;"D")</f>
        <v>53353</v>
      </c>
      <c r="Y2055" s="178">
        <v>2.1141266059388805E-2</v>
      </c>
      <c r="Z2055" s="183">
        <v>2.0824854208134624E-2</v>
      </c>
    </row>
    <row r="2056" spans="22:26" x14ac:dyDescent="0.2">
      <c r="V2056" s="180" t="str">
        <f t="shared" si="39"/>
        <v>1w</v>
      </c>
      <c r="W2056" s="177">
        <f>_xll.qlCalendarAdvance(Calendar,W2055,V2056,"f",FALSE)</f>
        <v>53358</v>
      </c>
      <c r="X2056" s="181">
        <f>_xll.qlCalendarAdvance(Calendar,W2056,NDays&amp;"D")</f>
        <v>53360</v>
      </c>
      <c r="Y2056" s="178">
        <v>2.1144728228049994E-2</v>
      </c>
      <c r="Z2056" s="183">
        <v>2.0828848838068126E-2</v>
      </c>
    </row>
    <row r="2057" spans="22:26" x14ac:dyDescent="0.2">
      <c r="V2057" s="180" t="str">
        <f t="shared" si="39"/>
        <v>1w</v>
      </c>
      <c r="W2057" s="177">
        <f>_xll.qlCalendarAdvance(Calendar,W2056,V2057,"f",FALSE)</f>
        <v>53365</v>
      </c>
      <c r="X2057" s="181">
        <f>_xll.qlCalendarAdvance(Calendar,W2057,NDays&amp;"D")</f>
        <v>53367</v>
      </c>
      <c r="Y2057" s="178">
        <v>2.1148166644940496E-2</v>
      </c>
      <c r="Z2057" s="183">
        <v>2.0832820201865943E-2</v>
      </c>
    </row>
    <row r="2058" spans="22:26" x14ac:dyDescent="0.2">
      <c r="V2058" s="180" t="str">
        <f t="shared" si="39"/>
        <v>1w</v>
      </c>
      <c r="W2058" s="177">
        <f>_xll.qlCalendarAdvance(Calendar,W2057,V2058,"f",FALSE)</f>
        <v>53372</v>
      </c>
      <c r="X2058" s="181">
        <f>_xll.qlCalendarAdvance(Calendar,W2058,NDays&amp;"D")</f>
        <v>53374</v>
      </c>
      <c r="Y2058" s="178">
        <v>2.1151581309815929E-2</v>
      </c>
      <c r="Z2058" s="183">
        <v>2.0836768299581365E-2</v>
      </c>
    </row>
    <row r="2059" spans="22:26" x14ac:dyDescent="0.2">
      <c r="V2059" s="180" t="str">
        <f t="shared" si="39"/>
        <v>1w</v>
      </c>
      <c r="W2059" s="177">
        <f>_xll.qlCalendarAdvance(Calendar,W2058,V2059,"f",FALSE)</f>
        <v>53379</v>
      </c>
      <c r="X2059" s="181">
        <f>_xll.qlCalendarAdvance(Calendar,W2059,NDays&amp;"D")</f>
        <v>53381</v>
      </c>
      <c r="Y2059" s="178">
        <v>2.1154972222433656E-2</v>
      </c>
      <c r="Z2059" s="183">
        <v>2.0840693131134458E-2</v>
      </c>
    </row>
    <row r="2060" spans="22:26" x14ac:dyDescent="0.2">
      <c r="V2060" s="180" t="str">
        <f t="shared" si="39"/>
        <v>1w</v>
      </c>
      <c r="W2060" s="177">
        <f>_xll.qlCalendarAdvance(Calendar,W2059,V2060,"f",FALSE)</f>
        <v>53386</v>
      </c>
      <c r="X2060" s="181">
        <f>_xll.qlCalendarAdvance(Calendar,W2060,NDays&amp;"D")</f>
        <v>53388</v>
      </c>
      <c r="Y2060" s="178">
        <v>2.115833938255212E-2</v>
      </c>
      <c r="Z2060" s="183">
        <v>2.0844594696578511E-2</v>
      </c>
    </row>
    <row r="2061" spans="22:26" x14ac:dyDescent="0.2">
      <c r="V2061" s="180" t="str">
        <f t="shared" si="39"/>
        <v>1w</v>
      </c>
      <c r="W2061" s="177">
        <f>_xll.qlCalendarAdvance(Calendar,W2060,V2061,"f",FALSE)</f>
        <v>53393</v>
      </c>
      <c r="X2061" s="181">
        <f>_xll.qlCalendarAdvance(Calendar,W2061,NDays&amp;"D")</f>
        <v>53395</v>
      </c>
      <c r="Y2061" s="178">
        <v>2.1161682789931739E-2</v>
      </c>
      <c r="Z2061" s="183">
        <v>2.0848472995860234E-2</v>
      </c>
    </row>
    <row r="2062" spans="22:26" x14ac:dyDescent="0.2">
      <c r="V2062" s="180" t="str">
        <f t="shared" si="39"/>
        <v>1w</v>
      </c>
      <c r="W2062" s="177">
        <f>_xll.qlCalendarAdvance(Calendar,W2061,V2062,"f",FALSE)</f>
        <v>53400</v>
      </c>
      <c r="X2062" s="181">
        <f>_xll.qlCalendarAdvance(Calendar,W2062,NDays&amp;"D")</f>
        <v>53402</v>
      </c>
      <c r="Y2062" s="178">
        <v>2.116500244433531E-2</v>
      </c>
      <c r="Z2062" s="183">
        <v>2.0852328029059564E-2</v>
      </c>
    </row>
    <row r="2063" spans="22:26" x14ac:dyDescent="0.2">
      <c r="V2063" s="180" t="str">
        <f t="shared" si="39"/>
        <v>1w</v>
      </c>
      <c r="W2063" s="177">
        <f>_xll.qlCalendarAdvance(Calendar,W2062,V2063,"f",FALSE)</f>
        <v>53407</v>
      </c>
      <c r="X2063" s="181">
        <f>_xll.qlCalendarAdvance(Calendar,W2063,NDays&amp;"D")</f>
        <v>53413</v>
      </c>
      <c r="Y2063" s="178">
        <v>2.1168497213027444E-2</v>
      </c>
      <c r="Z2063" s="183">
        <v>2.0856586669086852E-2</v>
      </c>
    </row>
    <row r="2064" spans="22:26" x14ac:dyDescent="0.2">
      <c r="V2064" s="180" t="str">
        <f t="shared" si="39"/>
        <v>1w</v>
      </c>
      <c r="W2064" s="177">
        <f>_xll.qlCalendarAdvance(Calendar,W2063,V2064,"f",FALSE)</f>
        <v>53414</v>
      </c>
      <c r="X2064" s="181">
        <f>_xll.qlCalendarAdvance(Calendar,W2064,NDays&amp;"D")</f>
        <v>53416</v>
      </c>
      <c r="Y2064" s="178">
        <v>2.1169061502298105E-2</v>
      </c>
      <c r="Z2064" s="183">
        <v>2.0859968297051168E-2</v>
      </c>
    </row>
    <row r="2065" spans="22:26" x14ac:dyDescent="0.2">
      <c r="V2065" s="180" t="str">
        <f t="shared" si="39"/>
        <v>1w</v>
      </c>
      <c r="W2065" s="177">
        <f>_xll.qlCalendarAdvance(Calendar,W2064,V2065,"f",FALSE)</f>
        <v>53421</v>
      </c>
      <c r="X2065" s="181">
        <f>_xll.qlCalendarAdvance(Calendar,W2065,NDays&amp;"D")</f>
        <v>53423</v>
      </c>
      <c r="Y2065" s="178">
        <v>2.1174818887333725E-2</v>
      </c>
      <c r="Z2065" s="183">
        <v>2.0863753531790152E-2</v>
      </c>
    </row>
    <row r="2066" spans="22:26" x14ac:dyDescent="0.2">
      <c r="V2066" s="180" t="str">
        <f t="shared" si="39"/>
        <v>1w</v>
      </c>
      <c r="W2066" s="177">
        <f>_xll.qlCalendarAdvance(Calendar,W2065,V2066,"f",FALSE)</f>
        <v>53428</v>
      </c>
      <c r="X2066" s="181">
        <f>_xll.qlCalendarAdvance(Calendar,W2066,NDays&amp;"D")</f>
        <v>53430</v>
      </c>
      <c r="Y2066" s="178">
        <v>2.1178876616390209E-2</v>
      </c>
      <c r="Z2066" s="183">
        <v>2.0867515500446743E-2</v>
      </c>
    </row>
    <row r="2067" spans="22:26" x14ac:dyDescent="0.2">
      <c r="V2067" s="180" t="str">
        <f t="shared" si="39"/>
        <v>1w</v>
      </c>
      <c r="W2067" s="177">
        <f>_xll.qlCalendarAdvance(Calendar,W2066,V2067,"f",FALSE)</f>
        <v>53435</v>
      </c>
      <c r="X2067" s="181">
        <f>_xll.qlCalendarAdvance(Calendar,W2067,NDays&amp;"D")</f>
        <v>53437</v>
      </c>
      <c r="Y2067" s="178">
        <v>2.1181244413500017E-2</v>
      </c>
      <c r="Z2067" s="183">
        <v>2.0871254202914358E-2</v>
      </c>
    </row>
    <row r="2068" spans="22:26" x14ac:dyDescent="0.2">
      <c r="V2068" s="180" t="str">
        <f t="shared" si="39"/>
        <v>1w</v>
      </c>
      <c r="W2068" s="177">
        <f>_xll.qlCalendarAdvance(Calendar,W2067,V2068,"f",FALSE)</f>
        <v>53442</v>
      </c>
      <c r="X2068" s="181">
        <f>_xll.qlCalendarAdvance(Calendar,W2068,NDays&amp;"D")</f>
        <v>53444</v>
      </c>
      <c r="Y2068" s="178">
        <v>2.1184421545144872E-2</v>
      </c>
      <c r="Z2068" s="183">
        <v>2.0874969639299579E-2</v>
      </c>
    </row>
    <row r="2069" spans="22:26" x14ac:dyDescent="0.2">
      <c r="V2069" s="180" t="str">
        <f t="shared" ref="V2069:V2132" si="40">V2068</f>
        <v>1w</v>
      </c>
      <c r="W2069" s="177">
        <f>_xll.qlCalendarAdvance(Calendar,W2068,V2069,"f",FALSE)</f>
        <v>53449</v>
      </c>
      <c r="X2069" s="181">
        <f>_xll.qlCalendarAdvance(Calendar,W2069,NDays&amp;"D")</f>
        <v>53451</v>
      </c>
      <c r="Y2069" s="178">
        <v>2.1187574922196015E-2</v>
      </c>
      <c r="Z2069" s="183">
        <v>2.0878661809495824E-2</v>
      </c>
    </row>
    <row r="2070" spans="22:26" x14ac:dyDescent="0.2">
      <c r="V2070" s="180" t="str">
        <f t="shared" si="40"/>
        <v>1w</v>
      </c>
      <c r="W2070" s="177">
        <f>_xll.qlCalendarAdvance(Calendar,W2069,V2070,"f",FALSE)</f>
        <v>53456</v>
      </c>
      <c r="X2070" s="181">
        <f>_xll.qlCalendarAdvance(Calendar,W2070,NDays&amp;"D")</f>
        <v>53458</v>
      </c>
      <c r="Y2070" s="178">
        <v>2.1190704544428663E-2</v>
      </c>
      <c r="Z2070" s="183">
        <v>2.0882330713556385E-2</v>
      </c>
    </row>
    <row r="2071" spans="22:26" x14ac:dyDescent="0.2">
      <c r="V2071" s="180" t="str">
        <f t="shared" si="40"/>
        <v>1w</v>
      </c>
      <c r="W2071" s="177">
        <f>_xll.qlCalendarAdvance(Calendar,W2070,V2071,"f",FALSE)</f>
        <v>53463</v>
      </c>
      <c r="X2071" s="181">
        <f>_xll.qlCalendarAdvance(Calendar,W2071,NDays&amp;"D")</f>
        <v>53465</v>
      </c>
      <c r="Y2071" s="178">
        <v>2.119381041162087E-2</v>
      </c>
      <c r="Z2071" s="183">
        <v>2.0885976351454616E-2</v>
      </c>
    </row>
    <row r="2072" spans="22:26" x14ac:dyDescent="0.2">
      <c r="V2072" s="180" t="str">
        <f t="shared" si="40"/>
        <v>1w</v>
      </c>
      <c r="W2072" s="177">
        <f>_xll.qlCalendarAdvance(Calendar,W2071,V2072,"f",FALSE)</f>
        <v>53470</v>
      </c>
      <c r="X2072" s="181">
        <f>_xll.qlCalendarAdvance(Calendar,W2072,NDays&amp;"D")</f>
        <v>53472</v>
      </c>
      <c r="Y2072" s="178">
        <v>2.1196892523550902E-2</v>
      </c>
      <c r="Z2072" s="183">
        <v>2.0889598723217162E-2</v>
      </c>
    </row>
    <row r="2073" spans="22:26" x14ac:dyDescent="0.2">
      <c r="V2073" s="180" t="str">
        <f t="shared" si="40"/>
        <v>1w</v>
      </c>
      <c r="W2073" s="177">
        <f>_xll.qlCalendarAdvance(Calendar,W2072,V2073,"f",FALSE)</f>
        <v>53477</v>
      </c>
      <c r="X2073" s="181">
        <f>_xll.qlCalendarAdvance(Calendar,W2073,NDays&amp;"D")</f>
        <v>53479</v>
      </c>
      <c r="Y2073" s="178">
        <v>2.1199950879999867E-2</v>
      </c>
      <c r="Z2073" s="183">
        <v>2.0893197828817378E-2</v>
      </c>
    </row>
    <row r="2074" spans="22:26" x14ac:dyDescent="0.2">
      <c r="V2074" s="180" t="str">
        <f t="shared" si="40"/>
        <v>1w</v>
      </c>
      <c r="W2074" s="177">
        <f>_xll.qlCalendarAdvance(Calendar,W2073,V2074,"f",FALSE)</f>
        <v>53484</v>
      </c>
      <c r="X2074" s="181">
        <f>_xll.qlCalendarAdvance(Calendar,W2074,NDays&amp;"D")</f>
        <v>53486</v>
      </c>
      <c r="Y2074" s="178">
        <v>2.1202985480750607E-2</v>
      </c>
      <c r="Z2074" s="183">
        <v>2.0896773668255264E-2</v>
      </c>
    </row>
    <row r="2075" spans="22:26" x14ac:dyDescent="0.2">
      <c r="V2075" s="180" t="str">
        <f t="shared" si="40"/>
        <v>1w</v>
      </c>
      <c r="W2075" s="177">
        <f>_xll.qlCalendarAdvance(Calendar,W2074,V2075,"f",FALSE)</f>
        <v>53491</v>
      </c>
      <c r="X2075" s="181">
        <f>_xll.qlCalendarAdvance(Calendar,W2075,NDays&amp;"D")</f>
        <v>53493</v>
      </c>
      <c r="Y2075" s="178">
        <v>2.1205996325586833E-2</v>
      </c>
      <c r="Z2075" s="183">
        <v>2.0900326241584111E-2</v>
      </c>
    </row>
    <row r="2076" spans="22:26" x14ac:dyDescent="0.2">
      <c r="V2076" s="180" t="str">
        <f t="shared" si="40"/>
        <v>1w</v>
      </c>
      <c r="W2076" s="177">
        <f>_xll.qlCalendarAdvance(Calendar,W2075,V2076,"f",FALSE)</f>
        <v>53498</v>
      </c>
      <c r="X2076" s="181">
        <f>_xll.qlCalendarAdvance(Calendar,W2076,NDays&amp;"D")</f>
        <v>53500</v>
      </c>
      <c r="Y2076" s="178">
        <v>2.120898341429401E-2</v>
      </c>
      <c r="Z2076" s="183">
        <v>2.0903855548670691E-2</v>
      </c>
    </row>
    <row r="2077" spans="22:26" x14ac:dyDescent="0.2">
      <c r="V2077" s="180" t="str">
        <f t="shared" si="40"/>
        <v>1w</v>
      </c>
      <c r="W2077" s="177">
        <f>_xll.qlCalendarAdvance(Calendar,W2076,V2077,"f",FALSE)</f>
        <v>53505</v>
      </c>
      <c r="X2077" s="181">
        <f>_xll.qlCalendarAdvance(Calendar,W2077,NDays&amp;"D")</f>
        <v>53507</v>
      </c>
      <c r="Y2077" s="178">
        <v>2.120949686726829E-2</v>
      </c>
      <c r="Z2077" s="183">
        <v>2.0907361589674878E-2</v>
      </c>
    </row>
    <row r="2078" spans="22:26" x14ac:dyDescent="0.2">
      <c r="V2078" s="180" t="str">
        <f t="shared" si="40"/>
        <v>1w</v>
      </c>
      <c r="W2078" s="177">
        <f>_xll.qlCalendarAdvance(Calendar,W2077,V2078,"f",FALSE)</f>
        <v>53512</v>
      </c>
      <c r="X2078" s="181">
        <f>_xll.qlCalendarAdvance(Calendar,W2078,NDays&amp;"D")</f>
        <v>53514</v>
      </c>
      <c r="Y2078" s="178">
        <v>2.1214886322474792E-2</v>
      </c>
      <c r="Z2078" s="183">
        <v>2.0910844364463443E-2</v>
      </c>
    </row>
    <row r="2079" spans="22:26" x14ac:dyDescent="0.2">
      <c r="V2079" s="180" t="str">
        <f t="shared" si="40"/>
        <v>1w</v>
      </c>
      <c r="W2079" s="177">
        <f>_xll.qlCalendarAdvance(Calendar,W2078,V2079,"f",FALSE)</f>
        <v>53519</v>
      </c>
      <c r="X2079" s="181">
        <f>_xll.qlCalendarAdvance(Calendar,W2079,NDays&amp;"D")</f>
        <v>53521</v>
      </c>
      <c r="Y2079" s="178">
        <v>2.1217802141528467E-2</v>
      </c>
      <c r="Z2079" s="183">
        <v>2.0914303873089679E-2</v>
      </c>
    </row>
    <row r="2080" spans="22:26" x14ac:dyDescent="0.2">
      <c r="V2080" s="180" t="str">
        <f t="shared" si="40"/>
        <v>1w</v>
      </c>
      <c r="W2080" s="177">
        <f>_xll.qlCalendarAdvance(Calendar,W2079,V2080,"f",FALSE)</f>
        <v>53526</v>
      </c>
      <c r="X2080" s="181">
        <f>_xll.qlCalendarAdvance(Calendar,W2080,NDays&amp;"D")</f>
        <v>53528</v>
      </c>
      <c r="Y2080" s="178">
        <v>2.1220694203613211E-2</v>
      </c>
      <c r="Z2080" s="183">
        <v>2.0917740115553585E-2</v>
      </c>
    </row>
    <row r="2081" spans="22:26" x14ac:dyDescent="0.2">
      <c r="V2081" s="180" t="str">
        <f t="shared" si="40"/>
        <v>1w</v>
      </c>
      <c r="W2081" s="177">
        <f>_xll.qlCalendarAdvance(Calendar,W2080,V2081,"f",FALSE)</f>
        <v>53533</v>
      </c>
      <c r="X2081" s="181">
        <f>_xll.qlCalendarAdvance(Calendar,W2081,NDays&amp;"D")</f>
        <v>53535</v>
      </c>
      <c r="Y2081" s="178">
        <v>2.122356250852429E-2</v>
      </c>
      <c r="Z2081" s="183">
        <v>2.0921153091881806E-2</v>
      </c>
    </row>
    <row r="2082" spans="22:26" x14ac:dyDescent="0.2">
      <c r="V2082" s="180" t="str">
        <f t="shared" si="40"/>
        <v>1w</v>
      </c>
      <c r="W2082" s="177">
        <f>_xll.qlCalendarAdvance(Calendar,W2081,V2082,"f",FALSE)</f>
        <v>53540</v>
      </c>
      <c r="X2082" s="181">
        <f>_xll.qlCalendarAdvance(Calendar,W2082,NDays&amp;"D")</f>
        <v>53542</v>
      </c>
      <c r="Y2082" s="178">
        <v>2.1226407056056527E-2</v>
      </c>
      <c r="Z2082" s="183">
        <v>2.0924542801994406E-2</v>
      </c>
    </row>
    <row r="2083" spans="22:26" x14ac:dyDescent="0.2">
      <c r="V2083" s="180" t="str">
        <f t="shared" si="40"/>
        <v>1w</v>
      </c>
      <c r="W2083" s="177">
        <f>_xll.qlCalendarAdvance(Calendar,W2082,V2083,"f",FALSE)</f>
        <v>53547</v>
      </c>
      <c r="X2083" s="181">
        <f>_xll.qlCalendarAdvance(Calendar,W2083,NDays&amp;"D")</f>
        <v>53549</v>
      </c>
      <c r="Y2083" s="178">
        <v>2.1229227846008662E-2</v>
      </c>
      <c r="Z2083" s="183">
        <v>2.0927909245944676E-2</v>
      </c>
    </row>
    <row r="2084" spans="22:26" x14ac:dyDescent="0.2">
      <c r="V2084" s="180" t="str">
        <f t="shared" si="40"/>
        <v>1w</v>
      </c>
      <c r="W2084" s="177">
        <f>_xll.qlCalendarAdvance(Calendar,W2083,V2084,"f",FALSE)</f>
        <v>53554</v>
      </c>
      <c r="X2084" s="181">
        <f>_xll.qlCalendarAdvance(Calendar,W2084,NDays&amp;"D")</f>
        <v>53556</v>
      </c>
      <c r="Y2084" s="178">
        <v>2.1232024878179441E-2</v>
      </c>
      <c r="Z2084" s="183">
        <v>2.0931252423705971E-2</v>
      </c>
    </row>
    <row r="2085" spans="22:26" x14ac:dyDescent="0.2">
      <c r="V2085" s="180" t="str">
        <f t="shared" si="40"/>
        <v>1w</v>
      </c>
      <c r="W2085" s="177">
        <f>_xll.qlCalendarAdvance(Calendar,W2084,V2085,"f",FALSE)</f>
        <v>53561</v>
      </c>
      <c r="X2085" s="181">
        <f>_xll.qlCalendarAdvance(Calendar,W2085,NDays&amp;"D")</f>
        <v>53563</v>
      </c>
      <c r="Y2085" s="178">
        <v>2.1234798152370442E-2</v>
      </c>
      <c r="Z2085" s="183">
        <v>2.093457233533158E-2</v>
      </c>
    </row>
    <row r="2086" spans="22:26" x14ac:dyDescent="0.2">
      <c r="V2086" s="180" t="str">
        <f t="shared" si="40"/>
        <v>1w</v>
      </c>
      <c r="W2086" s="177">
        <f>_xll.qlCalendarAdvance(Calendar,W2085,V2086,"f",FALSE)</f>
        <v>53568</v>
      </c>
      <c r="X2086" s="181">
        <f>_xll.qlCalendarAdvance(Calendar,W2086,NDays&amp;"D")</f>
        <v>53570</v>
      </c>
      <c r="Y2086" s="178">
        <v>2.1235139120746215E-2</v>
      </c>
      <c r="Z2086" s="183">
        <v>2.093786898074157E-2</v>
      </c>
    </row>
    <row r="2087" spans="22:26" x14ac:dyDescent="0.2">
      <c r="V2087" s="180" t="str">
        <f t="shared" si="40"/>
        <v>1w</v>
      </c>
      <c r="W2087" s="177">
        <f>_xll.qlCalendarAdvance(Calendar,W2086,V2087,"f",FALSE)</f>
        <v>53575</v>
      </c>
      <c r="X2087" s="181">
        <f>_xll.qlCalendarAdvance(Calendar,W2087,NDays&amp;"D")</f>
        <v>53577</v>
      </c>
      <c r="Y2087" s="178">
        <v>2.1240273426023765E-2</v>
      </c>
      <c r="Z2087" s="183">
        <v>2.0941142359989229E-2</v>
      </c>
    </row>
    <row r="2088" spans="22:26" x14ac:dyDescent="0.2">
      <c r="V2088" s="180" t="str">
        <f t="shared" si="40"/>
        <v>1w</v>
      </c>
      <c r="W2088" s="177">
        <f>_xll.qlCalendarAdvance(Calendar,W2087,V2088,"f",FALSE)</f>
        <v>53582</v>
      </c>
      <c r="X2088" s="181">
        <f>_xll.qlCalendarAdvance(Calendar,W2088,NDays&amp;"D")</f>
        <v>53584</v>
      </c>
      <c r="Y2088" s="178">
        <v>2.1242975425096858E-2</v>
      </c>
      <c r="Z2088" s="183">
        <v>2.0944392473021267E-2</v>
      </c>
    </row>
    <row r="2089" spans="22:26" x14ac:dyDescent="0.2">
      <c r="V2089" s="180" t="str">
        <f t="shared" si="40"/>
        <v>1w</v>
      </c>
      <c r="W2089" s="177">
        <f>_xll.qlCalendarAdvance(Calendar,W2088,V2089,"f",FALSE)</f>
        <v>53589</v>
      </c>
      <c r="X2089" s="181">
        <f>_xll.qlCalendarAdvance(Calendar,W2089,NDays&amp;"D")</f>
        <v>53591</v>
      </c>
      <c r="Y2089" s="178">
        <v>2.1245653665410851E-2</v>
      </c>
      <c r="Z2089" s="183">
        <v>2.0947619319890975E-2</v>
      </c>
    </row>
    <row r="2090" spans="22:26" x14ac:dyDescent="0.2">
      <c r="V2090" s="180" t="str">
        <f t="shared" si="40"/>
        <v>1w</v>
      </c>
      <c r="W2090" s="177">
        <f>_xll.qlCalendarAdvance(Calendar,W2089,V2090,"f",FALSE)</f>
        <v>53596</v>
      </c>
      <c r="X2090" s="181">
        <f>_xll.qlCalendarAdvance(Calendar,W2090,NDays&amp;"D")</f>
        <v>53598</v>
      </c>
      <c r="Y2090" s="178">
        <v>2.1248308146775162E-2</v>
      </c>
      <c r="Z2090" s="183">
        <v>2.0950822900545063E-2</v>
      </c>
    </row>
    <row r="2091" spans="22:26" x14ac:dyDescent="0.2">
      <c r="V2091" s="180" t="str">
        <f t="shared" si="40"/>
        <v>1w</v>
      </c>
      <c r="W2091" s="177">
        <f>_xll.qlCalendarAdvance(Calendar,W2090,V2091,"f",FALSE)</f>
        <v>53603</v>
      </c>
      <c r="X2091" s="181">
        <f>_xll.qlCalendarAdvance(Calendar,W2091,NDays&amp;"D")</f>
        <v>53605</v>
      </c>
      <c r="Y2091" s="178">
        <v>2.125093886900116E-2</v>
      </c>
      <c r="Z2091" s="183">
        <v>2.0954003215063466E-2</v>
      </c>
    </row>
    <row r="2092" spans="22:26" x14ac:dyDescent="0.2">
      <c r="V2092" s="180" t="str">
        <f t="shared" si="40"/>
        <v>1w</v>
      </c>
      <c r="W2092" s="177">
        <f>_xll.qlCalendarAdvance(Calendar,W2091,V2092,"f",FALSE)</f>
        <v>53610</v>
      </c>
      <c r="X2092" s="181">
        <f>_xll.qlCalendarAdvance(Calendar,W2092,NDays&amp;"D")</f>
        <v>53612</v>
      </c>
      <c r="Y2092" s="178">
        <v>2.1253545831901321E-2</v>
      </c>
      <c r="Z2092" s="183">
        <v>2.0957160263339603E-2</v>
      </c>
    </row>
    <row r="2093" spans="22:26" x14ac:dyDescent="0.2">
      <c r="V2093" s="180" t="str">
        <f t="shared" si="40"/>
        <v>1w</v>
      </c>
      <c r="W2093" s="177">
        <f>_xll.qlCalendarAdvance(Calendar,W2092,V2093,"f",FALSE)</f>
        <v>53617</v>
      </c>
      <c r="X2093" s="181">
        <f>_xll.qlCalendarAdvance(Calendar,W2093,NDays&amp;"D")</f>
        <v>53619</v>
      </c>
      <c r="Y2093" s="178">
        <v>2.1256129035290717E-2</v>
      </c>
      <c r="Z2093" s="183">
        <v>2.0960294045480055E-2</v>
      </c>
    </row>
    <row r="2094" spans="22:26" x14ac:dyDescent="0.2">
      <c r="V2094" s="180" t="str">
        <f t="shared" si="40"/>
        <v>1w</v>
      </c>
      <c r="W2094" s="177">
        <f>_xll.qlCalendarAdvance(Calendar,W2093,V2094,"f",FALSE)</f>
        <v>53624</v>
      </c>
      <c r="X2094" s="181">
        <f>_xll.qlCalendarAdvance(Calendar,W2094,NDays&amp;"D")</f>
        <v>53626</v>
      </c>
      <c r="Y2094" s="178">
        <v>2.1258688478984648E-2</v>
      </c>
      <c r="Z2094" s="183">
        <v>2.0963404561351595E-2</v>
      </c>
    </row>
    <row r="2095" spans="22:26" x14ac:dyDescent="0.2">
      <c r="V2095" s="180" t="str">
        <f t="shared" si="40"/>
        <v>1w</v>
      </c>
      <c r="W2095" s="177">
        <f>_xll.qlCalendarAdvance(Calendar,W2094,V2095,"f",FALSE)</f>
        <v>53631</v>
      </c>
      <c r="X2095" s="181">
        <f>_xll.qlCalendarAdvance(Calendar,W2095,NDays&amp;"D")</f>
        <v>53633</v>
      </c>
      <c r="Y2095" s="178">
        <v>2.1261224162801896E-2</v>
      </c>
      <c r="Z2095" s="183">
        <v>2.0966491811060806E-2</v>
      </c>
    </row>
    <row r="2096" spans="22:26" x14ac:dyDescent="0.2">
      <c r="V2096" s="180" t="str">
        <f t="shared" si="40"/>
        <v>1w</v>
      </c>
      <c r="W2096" s="177">
        <f>_xll.qlCalendarAdvance(Calendar,W2095,V2096,"f",FALSE)</f>
        <v>53638</v>
      </c>
      <c r="X2096" s="181">
        <f>_xll.qlCalendarAdvance(Calendar,W2096,NDays&amp;"D")</f>
        <v>53640</v>
      </c>
      <c r="Y2096" s="178">
        <v>2.126373608656212E-2</v>
      </c>
      <c r="Z2096" s="183">
        <v>2.0969555794581041E-2</v>
      </c>
    </row>
    <row r="2097" spans="22:26" x14ac:dyDescent="0.2">
      <c r="V2097" s="180" t="str">
        <f t="shared" si="40"/>
        <v>1w</v>
      </c>
      <c r="W2097" s="177">
        <f>_xll.qlCalendarAdvance(Calendar,W2096,V2097,"f",FALSE)</f>
        <v>53645</v>
      </c>
      <c r="X2097" s="181">
        <f>_xll.qlCalendarAdvance(Calendar,W2097,NDays&amp;"D")</f>
        <v>53647</v>
      </c>
      <c r="Y2097" s="178">
        <v>2.1266224250085838E-2</v>
      </c>
      <c r="Z2097" s="183">
        <v>2.0972596511885655E-2</v>
      </c>
    </row>
    <row r="2098" spans="22:26" x14ac:dyDescent="0.2">
      <c r="V2098" s="180" t="str">
        <f t="shared" si="40"/>
        <v>1w</v>
      </c>
      <c r="W2098" s="177">
        <f>_xll.qlCalendarAdvance(Calendar,W2097,V2098,"f",FALSE)</f>
        <v>53652</v>
      </c>
      <c r="X2098" s="181">
        <f>_xll.qlCalendarAdvance(Calendar,W2098,NDays&amp;"D")</f>
        <v>53654</v>
      </c>
      <c r="Y2098" s="178">
        <v>2.1268688653196845E-2</v>
      </c>
      <c r="Z2098" s="183">
        <v>2.0975613963001294E-2</v>
      </c>
    </row>
    <row r="2099" spans="22:26" x14ac:dyDescent="0.2">
      <c r="V2099" s="180" t="str">
        <f t="shared" si="40"/>
        <v>1w</v>
      </c>
      <c r="W2099" s="177">
        <f>_xll.qlCalendarAdvance(Calendar,W2098,V2099,"f",FALSE)</f>
        <v>53659</v>
      </c>
      <c r="X2099" s="181">
        <f>_xll.qlCalendarAdvance(Calendar,W2099,NDays&amp;"D")</f>
        <v>53661</v>
      </c>
      <c r="Y2099" s="178">
        <v>2.1268781041570053E-2</v>
      </c>
      <c r="Z2099" s="183">
        <v>2.0978608147927957E-2</v>
      </c>
    </row>
    <row r="2100" spans="22:26" x14ac:dyDescent="0.2">
      <c r="V2100" s="180" t="str">
        <f t="shared" si="40"/>
        <v>1w</v>
      </c>
      <c r="W2100" s="177">
        <f>_xll.qlCalendarAdvance(Calendar,W2099,V2100,"f",FALSE)</f>
        <v>53666</v>
      </c>
      <c r="X2100" s="181">
        <f>_xll.qlCalendarAdvance(Calendar,W2100,NDays&amp;"D")</f>
        <v>53668</v>
      </c>
      <c r="Y2100" s="178">
        <v>2.1273546177480472E-2</v>
      </c>
      <c r="Z2100" s="183">
        <v>2.0981579066612355E-2</v>
      </c>
    </row>
    <row r="2101" spans="22:26" x14ac:dyDescent="0.2">
      <c r="V2101" s="180" t="str">
        <f t="shared" si="40"/>
        <v>1w</v>
      </c>
      <c r="W2101" s="177">
        <f>_xll.qlCalendarAdvance(Calendar,W2100,V2101,"f",FALSE)</f>
        <v>53673</v>
      </c>
      <c r="X2101" s="181">
        <f>_xll.qlCalendarAdvance(Calendar,W2101,NDays&amp;"D")</f>
        <v>53675</v>
      </c>
      <c r="Y2101" s="178">
        <v>2.1275939298307206E-2</v>
      </c>
      <c r="Z2101" s="183">
        <v>2.0984526719107777E-2</v>
      </c>
    </row>
    <row r="2102" spans="22:26" x14ac:dyDescent="0.2">
      <c r="V2102" s="180" t="str">
        <f t="shared" si="40"/>
        <v>1w</v>
      </c>
      <c r="W2102" s="177">
        <f>_xll.qlCalendarAdvance(Calendar,W2101,V2102,"f",FALSE)</f>
        <v>53680</v>
      </c>
      <c r="X2102" s="181">
        <f>_xll.qlCalendarAdvance(Calendar,W2102,NDays&amp;"D")</f>
        <v>53682</v>
      </c>
      <c r="Y2102" s="178">
        <v>2.1278308658030123E-2</v>
      </c>
      <c r="Z2102" s="183">
        <v>2.0987451105414223E-2</v>
      </c>
    </row>
    <row r="2103" spans="22:26" x14ac:dyDescent="0.2">
      <c r="V2103" s="180" t="str">
        <f t="shared" si="40"/>
        <v>1w</v>
      </c>
      <c r="W2103" s="177">
        <f>_xll.qlCalendarAdvance(Calendar,W2102,V2103,"f",FALSE)</f>
        <v>53688</v>
      </c>
      <c r="X2103" s="181">
        <f>_xll.qlCalendarAdvance(Calendar,W2103,NDays&amp;"D")</f>
        <v>53692</v>
      </c>
      <c r="Y2103" s="178">
        <v>2.1280100655652046E-2</v>
      </c>
      <c r="Z2103" s="183">
        <v>2.0990770850373153E-2</v>
      </c>
    </row>
    <row r="2104" spans="22:26" x14ac:dyDescent="0.2">
      <c r="V2104" s="180" t="str">
        <f t="shared" si="40"/>
        <v>1w</v>
      </c>
      <c r="W2104" s="177">
        <f>_xll.qlCalendarAdvance(Calendar,W2103,V2104,"f",FALSE)</f>
        <v>53695</v>
      </c>
      <c r="X2104" s="181">
        <f>_xll.qlCalendarAdvance(Calendar,W2104,NDays&amp;"D")</f>
        <v>53699</v>
      </c>
      <c r="Y2104" s="178">
        <v>2.12824154329385E-2</v>
      </c>
      <c r="Z2104" s="183">
        <v>2.099282402144631E-2</v>
      </c>
    </row>
    <row r="2105" spans="22:26" x14ac:dyDescent="0.2">
      <c r="V2105" s="180" t="str">
        <f t="shared" si="40"/>
        <v>1w</v>
      </c>
      <c r="W2105" s="177">
        <f>_xll.qlCalendarAdvance(Calendar,W2104,V2105,"f",FALSE)</f>
        <v>53702</v>
      </c>
      <c r="X2105" s="181">
        <f>_xll.qlCalendarAdvance(Calendar,W2105,NDays&amp;"D")</f>
        <v>53706</v>
      </c>
      <c r="Y2105" s="178">
        <v>2.1284706451323257E-2</v>
      </c>
      <c r="Z2105" s="183">
        <v>2.0995671629435719E-2</v>
      </c>
    </row>
    <row r="2106" spans="22:26" x14ac:dyDescent="0.2">
      <c r="V2106" s="180" t="str">
        <f t="shared" si="40"/>
        <v>1w</v>
      </c>
      <c r="W2106" s="177">
        <f>_xll.qlCalendarAdvance(Calendar,W2105,V2106,"f",FALSE)</f>
        <v>53709</v>
      </c>
      <c r="X2106" s="181">
        <f>_xll.qlCalendarAdvance(Calendar,W2106,NDays&amp;"D")</f>
        <v>53713</v>
      </c>
      <c r="Y2106" s="178">
        <v>2.1286973710644037E-2</v>
      </c>
      <c r="Z2106" s="183">
        <v>2.0998495973953979E-2</v>
      </c>
    </row>
    <row r="2107" spans="22:26" x14ac:dyDescent="0.2">
      <c r="V2107" s="180" t="str">
        <f t="shared" si="40"/>
        <v>1w</v>
      </c>
      <c r="W2107" s="177">
        <f>_xll.qlCalendarAdvance(Calendar,W2106,V2107,"f",FALSE)</f>
        <v>53716</v>
      </c>
      <c r="X2107" s="181">
        <f>_xll.qlCalendarAdvance(Calendar,W2107,NDays&amp;"D")</f>
        <v>53720</v>
      </c>
      <c r="Y2107" s="178">
        <v>2.128921721074075E-2</v>
      </c>
      <c r="Z2107" s="183">
        <v>2.1001297054841217E-2</v>
      </c>
    </row>
    <row r="2108" spans="22:26" x14ac:dyDescent="0.2">
      <c r="V2108" s="180" t="str">
        <f t="shared" si="40"/>
        <v>1w</v>
      </c>
      <c r="W2108" s="177">
        <f>_xll.qlCalendarAdvance(Calendar,W2107,V2108,"f",FALSE)</f>
        <v>53723</v>
      </c>
      <c r="X2108" s="181">
        <f>_xll.qlCalendarAdvance(Calendar,W2108,NDays&amp;"D")</f>
        <v>53727</v>
      </c>
      <c r="Y2108" s="178">
        <v>2.1291436951454398E-2</v>
      </c>
      <c r="Z2108" s="183">
        <v>2.100407487217737E-2</v>
      </c>
    </row>
    <row r="2109" spans="22:26" x14ac:dyDescent="0.2">
      <c r="V2109" s="180" t="str">
        <f t="shared" si="40"/>
        <v>1w</v>
      </c>
      <c r="W2109" s="177">
        <f>_xll.qlCalendarAdvance(Calendar,W2108,V2109,"f",FALSE)</f>
        <v>53730</v>
      </c>
      <c r="X2109" s="181">
        <f>_xll.qlCalendarAdvance(Calendar,W2109,NDays&amp;"D")</f>
        <v>53734</v>
      </c>
      <c r="Y2109" s="178">
        <v>2.1293632932628179E-2</v>
      </c>
      <c r="Z2109" s="183">
        <v>2.1006829426042373E-2</v>
      </c>
    </row>
    <row r="2110" spans="22:26" x14ac:dyDescent="0.2">
      <c r="V2110" s="180" t="str">
        <f t="shared" si="40"/>
        <v>1w</v>
      </c>
      <c r="W2110" s="177">
        <f>_xll.qlCalendarAdvance(Calendar,W2109,V2110,"f",FALSE)</f>
        <v>53737</v>
      </c>
      <c r="X2110" s="181">
        <f>_xll.qlCalendarAdvance(Calendar,W2110,NDays&amp;"D")</f>
        <v>53741</v>
      </c>
      <c r="Y2110" s="178">
        <v>2.1295805154106815E-2</v>
      </c>
      <c r="Z2110" s="183">
        <v>2.100956071635629E-2</v>
      </c>
    </row>
    <row r="2111" spans="22:26" x14ac:dyDescent="0.2">
      <c r="V2111" s="180" t="str">
        <f t="shared" si="40"/>
        <v>1w</v>
      </c>
      <c r="W2111" s="177">
        <f>_xll.qlCalendarAdvance(Calendar,W2110,V2111,"f",FALSE)</f>
        <v>53744</v>
      </c>
      <c r="X2111" s="181">
        <f>_xll.qlCalendarAdvance(Calendar,W2111,NDays&amp;"D")</f>
        <v>53748</v>
      </c>
      <c r="Y2111" s="178">
        <v>2.1297953615735912E-2</v>
      </c>
      <c r="Z2111" s="183">
        <v>2.1012268743039186E-2</v>
      </c>
    </row>
    <row r="2112" spans="22:26" x14ac:dyDescent="0.2">
      <c r="V2112" s="180" t="str">
        <f t="shared" si="40"/>
        <v>1w</v>
      </c>
      <c r="W2112" s="177">
        <f>_xll.qlCalendarAdvance(Calendar,W2111,V2112,"f",FALSE)</f>
        <v>53751</v>
      </c>
      <c r="X2112" s="181">
        <f>_xll.qlCalendarAdvance(Calendar,W2112,NDays&amp;"D")</f>
        <v>53755</v>
      </c>
      <c r="Y2112" s="178">
        <v>2.1300840062654175E-2</v>
      </c>
      <c r="Z2112" s="183">
        <v>2.1014953506170997E-2</v>
      </c>
    </row>
    <row r="2113" spans="22:26" x14ac:dyDescent="0.2">
      <c r="V2113" s="180" t="str">
        <f t="shared" si="40"/>
        <v>1w</v>
      </c>
      <c r="W2113" s="177">
        <f>_xll.qlCalendarAdvance(Calendar,W2112,V2113,"f",FALSE)</f>
        <v>53758</v>
      </c>
      <c r="X2113" s="181">
        <f>_xll.qlCalendarAdvance(Calendar,W2113,NDays&amp;"D")</f>
        <v>53762</v>
      </c>
      <c r="Y2113" s="178">
        <v>2.1302939429835036E-2</v>
      </c>
      <c r="Z2113" s="183">
        <v>2.1017615005831658E-2</v>
      </c>
    </row>
    <row r="2114" spans="22:26" x14ac:dyDescent="0.2">
      <c r="V2114" s="180" t="str">
        <f t="shared" si="40"/>
        <v>1w</v>
      </c>
      <c r="W2114" s="177">
        <f>_xll.qlCalendarAdvance(Calendar,W2113,V2114,"f",FALSE)</f>
        <v>53765</v>
      </c>
      <c r="X2114" s="181">
        <f>_xll.qlCalendarAdvance(Calendar,W2114,NDays&amp;"D")</f>
        <v>53769</v>
      </c>
      <c r="Y2114" s="178">
        <v>2.130501503532645E-2</v>
      </c>
      <c r="Z2114" s="183">
        <v>2.1020253241861298E-2</v>
      </c>
    </row>
    <row r="2115" spans="22:26" x14ac:dyDescent="0.2">
      <c r="V2115" s="180" t="str">
        <f t="shared" si="40"/>
        <v>1w</v>
      </c>
      <c r="W2115" s="177">
        <f>_xll.qlCalendarAdvance(Calendar,W2114,V2115,"f",FALSE)</f>
        <v>53772</v>
      </c>
      <c r="X2115" s="181">
        <f>_xll.qlCalendarAdvance(Calendar,W2115,NDays&amp;"D")</f>
        <v>53776</v>
      </c>
      <c r="Y2115" s="178">
        <v>2.1307066878981214E-2</v>
      </c>
      <c r="Z2115" s="183">
        <v>2.1022868214419788E-2</v>
      </c>
    </row>
    <row r="2116" spans="22:26" x14ac:dyDescent="0.2">
      <c r="V2116" s="180" t="str">
        <f t="shared" si="40"/>
        <v>1w</v>
      </c>
      <c r="W2116" s="177">
        <f>_xll.qlCalendarAdvance(Calendar,W2115,V2116,"f",FALSE)</f>
        <v>53779</v>
      </c>
      <c r="X2116" s="181">
        <f>_xll.qlCalendarAdvance(Calendar,W2116,NDays&amp;"D")</f>
        <v>53783</v>
      </c>
      <c r="Y2116" s="178">
        <v>2.1309094960653651E-2</v>
      </c>
      <c r="Z2116" s="183">
        <v>2.1025459923427192E-2</v>
      </c>
    </row>
    <row r="2117" spans="22:26" x14ac:dyDescent="0.2">
      <c r="V2117" s="180" t="str">
        <f t="shared" si="40"/>
        <v>1w</v>
      </c>
      <c r="W2117" s="177">
        <f>_xll.qlCalendarAdvance(Calendar,W2116,V2117,"f",FALSE)</f>
        <v>53786</v>
      </c>
      <c r="X2117" s="181">
        <f>_xll.qlCalendarAdvance(Calendar,W2117,NDays&amp;"D")</f>
        <v>53790</v>
      </c>
      <c r="Y2117" s="178">
        <v>2.1311099280200051E-2</v>
      </c>
      <c r="Z2117" s="183">
        <v>2.1028028368803575E-2</v>
      </c>
    </row>
    <row r="2118" spans="22:26" x14ac:dyDescent="0.2">
      <c r="V2118" s="180" t="str">
        <f t="shared" si="40"/>
        <v>1w</v>
      </c>
      <c r="W2118" s="177">
        <f>_xll.qlCalendarAdvance(Calendar,W2117,V2118,"f",FALSE)</f>
        <v>53793</v>
      </c>
      <c r="X2118" s="181">
        <f>_xll.qlCalendarAdvance(Calendar,W2118,NDays&amp;"D")</f>
        <v>53799</v>
      </c>
      <c r="Y2118" s="178">
        <v>2.1313641346468137E-2</v>
      </c>
      <c r="Z2118" s="183">
        <v>2.1031296472511229E-2</v>
      </c>
    </row>
    <row r="2119" spans="22:26" x14ac:dyDescent="0.2">
      <c r="V2119" s="180" t="str">
        <f t="shared" si="40"/>
        <v>1w</v>
      </c>
      <c r="W2119" s="177">
        <f>_xll.qlCalendarAdvance(Calendar,W2118,V2119,"f",FALSE)</f>
        <v>53800</v>
      </c>
      <c r="X2119" s="181">
        <f>_xll.qlCalendarAdvance(Calendar,W2119,NDays&amp;"D")</f>
        <v>53804</v>
      </c>
      <c r="Y2119" s="178">
        <v>2.1315036632347104E-2</v>
      </c>
      <c r="Z2119" s="183">
        <v>2.1033095468903085E-2</v>
      </c>
    </row>
    <row r="2120" spans="22:26" x14ac:dyDescent="0.2">
      <c r="V2120" s="180" t="str">
        <f t="shared" si="40"/>
        <v>1w</v>
      </c>
      <c r="W2120" s="177">
        <f>_xll.qlCalendarAdvance(Calendar,W2119,V2120,"f",FALSE)</f>
        <v>53807</v>
      </c>
      <c r="X2120" s="181">
        <f>_xll.qlCalendarAdvance(Calendar,W2120,NDays&amp;"D")</f>
        <v>53811</v>
      </c>
      <c r="Y2120" s="178">
        <v>2.1316969664668856E-2</v>
      </c>
      <c r="Z2120" s="183">
        <v>2.1035594123786083E-2</v>
      </c>
    </row>
    <row r="2121" spans="22:26" x14ac:dyDescent="0.2">
      <c r="V2121" s="180" t="str">
        <f t="shared" si="40"/>
        <v>1w</v>
      </c>
      <c r="W2121" s="177">
        <f>_xll.qlCalendarAdvance(Calendar,W2120,V2121,"f",FALSE)</f>
        <v>53814</v>
      </c>
      <c r="X2121" s="181">
        <f>_xll.qlCalendarAdvance(Calendar,W2121,NDays&amp;"D")</f>
        <v>53818</v>
      </c>
      <c r="Y2121" s="178">
        <v>2.1318878934305674E-2</v>
      </c>
      <c r="Z2121" s="183">
        <v>2.1038069514958124E-2</v>
      </c>
    </row>
    <row r="2122" spans="22:26" x14ac:dyDescent="0.2">
      <c r="V2122" s="180" t="str">
        <f t="shared" si="40"/>
        <v>1w</v>
      </c>
      <c r="W2122" s="177">
        <f>_xll.qlCalendarAdvance(Calendar,W2121,V2122,"f",FALSE)</f>
        <v>53821</v>
      </c>
      <c r="X2122" s="181">
        <f>_xll.qlCalendarAdvance(Calendar,W2122,NDays&amp;"D")</f>
        <v>53825</v>
      </c>
      <c r="Y2122" s="178">
        <v>2.1320764441122145E-2</v>
      </c>
      <c r="Z2122" s="183">
        <v>2.1040521642499144E-2</v>
      </c>
    </row>
    <row r="2123" spans="22:26" x14ac:dyDescent="0.2">
      <c r="V2123" s="180" t="str">
        <f t="shared" si="40"/>
        <v>1w</v>
      </c>
      <c r="W2123" s="177">
        <f>_xll.qlCalendarAdvance(Calendar,W2122,V2123,"f",FALSE)</f>
        <v>53828</v>
      </c>
      <c r="X2123" s="181">
        <f>_xll.qlCalendarAdvance(Calendar,W2123,NDays&amp;"D")</f>
        <v>53832</v>
      </c>
      <c r="Y2123" s="178">
        <v>2.1322626184984608E-2</v>
      </c>
      <c r="Z2123" s="183">
        <v>2.1042950506569014E-2</v>
      </c>
    </row>
    <row r="2124" spans="22:26" x14ac:dyDescent="0.2">
      <c r="V2124" s="180" t="str">
        <f t="shared" si="40"/>
        <v>1w</v>
      </c>
      <c r="W2124" s="177">
        <f>_xll.qlCalendarAdvance(Calendar,W2123,V2124,"f",FALSE)</f>
        <v>53835</v>
      </c>
      <c r="X2124" s="181">
        <f>_xll.qlCalendarAdvance(Calendar,W2124,NDays&amp;"D")</f>
        <v>53839</v>
      </c>
      <c r="Y2124" s="178">
        <v>2.1324464165761142E-2</v>
      </c>
      <c r="Z2124" s="183">
        <v>2.1045356107167734E-2</v>
      </c>
    </row>
    <row r="2125" spans="22:26" x14ac:dyDescent="0.2">
      <c r="V2125" s="180" t="str">
        <f t="shared" si="40"/>
        <v>1w</v>
      </c>
      <c r="W2125" s="177">
        <f>_xll.qlCalendarAdvance(Calendar,W2124,V2125,"f",FALSE)</f>
        <v>53842</v>
      </c>
      <c r="X2125" s="181">
        <f>_xll.qlCalendarAdvance(Calendar,W2125,NDays&amp;"D")</f>
        <v>53846</v>
      </c>
      <c r="Y2125" s="178">
        <v>2.132627838332115E-2</v>
      </c>
      <c r="Z2125" s="183">
        <v>2.1047738444135433E-2</v>
      </c>
    </row>
    <row r="2126" spans="22:26" x14ac:dyDescent="0.2">
      <c r="V2126" s="180" t="str">
        <f t="shared" si="40"/>
        <v>1w</v>
      </c>
      <c r="W2126" s="177">
        <f>_xll.qlCalendarAdvance(Calendar,W2125,V2126,"f",FALSE)</f>
        <v>53849</v>
      </c>
      <c r="X2126" s="181">
        <f>_xll.qlCalendarAdvance(Calendar,W2126,NDays&amp;"D")</f>
        <v>53853</v>
      </c>
      <c r="Y2126" s="178">
        <v>2.1328068837535546E-2</v>
      </c>
      <c r="Z2126" s="183">
        <v>2.1050097517472111E-2</v>
      </c>
    </row>
    <row r="2127" spans="22:26" x14ac:dyDescent="0.2">
      <c r="V2127" s="180" t="str">
        <f t="shared" si="40"/>
        <v>1w</v>
      </c>
      <c r="W2127" s="177">
        <f>_xll.qlCalendarAdvance(Calendar,W2126,V2127,"f",FALSE)</f>
        <v>53856</v>
      </c>
      <c r="X2127" s="181">
        <f>_xll.qlCalendarAdvance(Calendar,W2127,NDays&amp;"D")</f>
        <v>53860</v>
      </c>
      <c r="Y2127" s="178">
        <v>2.13298355282781E-2</v>
      </c>
      <c r="Z2127" s="183">
        <v>2.1052433327417575E-2</v>
      </c>
    </row>
    <row r="2128" spans="22:26" x14ac:dyDescent="0.2">
      <c r="V2128" s="180" t="str">
        <f t="shared" si="40"/>
        <v>1w</v>
      </c>
      <c r="W2128" s="177">
        <f>_xll.qlCalendarAdvance(Calendar,W2127,V2128,"f",FALSE)</f>
        <v>53863</v>
      </c>
      <c r="X2128" s="181">
        <f>_xll.qlCalendarAdvance(Calendar,W2128,NDays&amp;"D")</f>
        <v>53867</v>
      </c>
      <c r="Y2128" s="178">
        <v>2.1331578455423224E-2</v>
      </c>
      <c r="Z2128" s="183">
        <v>2.1054745873652081E-2</v>
      </c>
    </row>
    <row r="2129" spans="22:26" x14ac:dyDescent="0.2">
      <c r="V2129" s="180" t="str">
        <f t="shared" si="40"/>
        <v>1w</v>
      </c>
      <c r="W2129" s="177">
        <f>_xll.qlCalendarAdvance(Calendar,W2128,V2129,"f",FALSE)</f>
        <v>53870</v>
      </c>
      <c r="X2129" s="181">
        <f>_xll.qlCalendarAdvance(Calendar,W2129,NDays&amp;"D")</f>
        <v>53874</v>
      </c>
      <c r="Y2129" s="178">
        <v>2.1333297618846645E-2</v>
      </c>
      <c r="Z2129" s="183">
        <v>2.1057035156335502E-2</v>
      </c>
    </row>
    <row r="2130" spans="22:26" x14ac:dyDescent="0.2">
      <c r="V2130" s="180" t="str">
        <f t="shared" si="40"/>
        <v>1w</v>
      </c>
      <c r="W2130" s="177">
        <f>_xll.qlCalendarAdvance(Calendar,W2129,V2130,"f",FALSE)</f>
        <v>53877</v>
      </c>
      <c r="X2130" s="181">
        <f>_xll.qlCalendarAdvance(Calendar,W2130,NDays&amp;"D")</f>
        <v>53881</v>
      </c>
      <c r="Y2130" s="178">
        <v>2.1334993018427152E-2</v>
      </c>
      <c r="Z2130" s="183">
        <v>2.1059301175627709E-2</v>
      </c>
    </row>
    <row r="2131" spans="22:26" x14ac:dyDescent="0.2">
      <c r="V2131" s="180" t="str">
        <f t="shared" si="40"/>
        <v>1w</v>
      </c>
      <c r="W2131" s="177">
        <f>_xll.qlCalendarAdvance(Calendar,W2130,V2131,"f",FALSE)</f>
        <v>53884</v>
      </c>
      <c r="X2131" s="181">
        <f>_xll.qlCalendarAdvance(Calendar,W2131,NDays&amp;"D")</f>
        <v>53888</v>
      </c>
      <c r="Y2131" s="178">
        <v>2.1336664654044185E-2</v>
      </c>
      <c r="Z2131" s="183">
        <v>2.1061543931129023E-2</v>
      </c>
    </row>
    <row r="2132" spans="22:26" x14ac:dyDescent="0.2">
      <c r="V2132" s="180" t="str">
        <f t="shared" si="40"/>
        <v>1w</v>
      </c>
      <c r="W2132" s="177">
        <f>_xll.qlCalendarAdvance(Calendar,W2131,V2132,"f",FALSE)</f>
        <v>53891</v>
      </c>
      <c r="X2132" s="181">
        <f>_xll.qlCalendarAdvance(Calendar,W2132,NDays&amp;"D")</f>
        <v>53895</v>
      </c>
      <c r="Y2132" s="178">
        <v>2.1338312525578933E-2</v>
      </c>
      <c r="Z2132" s="183">
        <v>2.1063763423239124E-2</v>
      </c>
    </row>
    <row r="2133" spans="22:26" x14ac:dyDescent="0.2">
      <c r="V2133" s="180" t="str">
        <f t="shared" ref="V2133:V2196" si="41">V2132</f>
        <v>1w</v>
      </c>
      <c r="W2133" s="177">
        <f>_xll.qlCalendarAdvance(Calendar,W2132,V2133,"f",FALSE)</f>
        <v>53898</v>
      </c>
      <c r="X2133" s="181">
        <f>_xll.qlCalendarAdvance(Calendar,W2133,NDays&amp;"D")</f>
        <v>53902</v>
      </c>
      <c r="Y2133" s="178">
        <v>2.1339936632914981E-2</v>
      </c>
      <c r="Z2133" s="183">
        <v>2.1065959651718202E-2</v>
      </c>
    </row>
    <row r="2134" spans="22:26" x14ac:dyDescent="0.2">
      <c r="V2134" s="180" t="str">
        <f t="shared" si="41"/>
        <v>1w</v>
      </c>
      <c r="W2134" s="177">
        <f>_xll.qlCalendarAdvance(Calendar,W2133,V2134,"f",FALSE)</f>
        <v>53905</v>
      </c>
      <c r="X2134" s="181">
        <f>_xll.qlCalendarAdvance(Calendar,W2134,NDays&amp;"D")</f>
        <v>53909</v>
      </c>
      <c r="Y2134" s="178">
        <v>2.1341536975936798E-2</v>
      </c>
      <c r="Z2134" s="183">
        <v>2.1068132616806068E-2</v>
      </c>
    </row>
    <row r="2135" spans="22:26" x14ac:dyDescent="0.2">
      <c r="V2135" s="180" t="str">
        <f t="shared" si="41"/>
        <v>1w</v>
      </c>
      <c r="W2135" s="177">
        <f>_xll.qlCalendarAdvance(Calendar,W2134,V2135,"f",FALSE)</f>
        <v>53912</v>
      </c>
      <c r="X2135" s="181">
        <f>_xll.qlCalendarAdvance(Calendar,W2135,NDays&amp;"D")</f>
        <v>53916</v>
      </c>
      <c r="Y2135" s="178">
        <v>2.1343113554530377E-2</v>
      </c>
      <c r="Z2135" s="183">
        <v>2.107028231810304E-2</v>
      </c>
    </row>
    <row r="2136" spans="22:26" x14ac:dyDescent="0.2">
      <c r="V2136" s="180" t="str">
        <f t="shared" si="41"/>
        <v>1w</v>
      </c>
      <c r="W2136" s="177">
        <f>_xll.qlCalendarAdvance(Calendar,W2135,V2136,"f",FALSE)</f>
        <v>53919</v>
      </c>
      <c r="X2136" s="181">
        <f>_xll.qlCalendarAdvance(Calendar,W2136,NDays&amp;"D")</f>
        <v>53923</v>
      </c>
      <c r="Y2136" s="178">
        <v>2.1344666368584547E-2</v>
      </c>
      <c r="Z2136" s="183">
        <v>2.1072408755848926E-2</v>
      </c>
    </row>
    <row r="2137" spans="22:26" x14ac:dyDescent="0.2">
      <c r="V2137" s="180" t="str">
        <f t="shared" si="41"/>
        <v>1w</v>
      </c>
      <c r="W2137" s="177">
        <f>_xll.qlCalendarAdvance(Calendar,W2136,V2137,"f",FALSE)</f>
        <v>53926</v>
      </c>
      <c r="X2137" s="181">
        <f>_xll.qlCalendarAdvance(Calendar,W2137,NDays&amp;"D")</f>
        <v>53930</v>
      </c>
      <c r="Y2137" s="178">
        <v>2.1346195417989235E-2</v>
      </c>
      <c r="Z2137" s="183">
        <v>2.1074511930123663E-2</v>
      </c>
    </row>
    <row r="2138" spans="22:26" x14ac:dyDescent="0.2">
      <c r="V2138" s="180" t="str">
        <f t="shared" si="41"/>
        <v>1w</v>
      </c>
      <c r="W2138" s="177">
        <f>_xll.qlCalendarAdvance(Calendar,W2137,V2138,"f",FALSE)</f>
        <v>53933</v>
      </c>
      <c r="X2138" s="181">
        <f>_xll.qlCalendarAdvance(Calendar,W2138,NDays&amp;"D")</f>
        <v>53937</v>
      </c>
      <c r="Y2138" s="178">
        <v>2.1347700702635673E-2</v>
      </c>
      <c r="Z2138" s="183">
        <v>2.107659184092725E-2</v>
      </c>
    </row>
    <row r="2139" spans="22:26" x14ac:dyDescent="0.2">
      <c r="V2139" s="180" t="str">
        <f t="shared" si="41"/>
        <v>1w</v>
      </c>
      <c r="W2139" s="177">
        <f>_xll.qlCalendarAdvance(Calendar,W2138,V2139,"f",FALSE)</f>
        <v>53940</v>
      </c>
      <c r="X2139" s="181">
        <f>_xll.qlCalendarAdvance(Calendar,W2139,NDays&amp;"D")</f>
        <v>53944</v>
      </c>
      <c r="Y2139" s="178">
        <v>2.1349182222416406E-2</v>
      </c>
      <c r="Z2139" s="183">
        <v>2.1078648487939944E-2</v>
      </c>
    </row>
    <row r="2140" spans="22:26" x14ac:dyDescent="0.2">
      <c r="V2140" s="180" t="str">
        <f t="shared" si="41"/>
        <v>1w</v>
      </c>
      <c r="W2140" s="177">
        <f>_xll.qlCalendarAdvance(Calendar,W2139,V2140,"f",FALSE)</f>
        <v>53947</v>
      </c>
      <c r="X2140" s="181">
        <f>_xll.qlCalendarAdvance(Calendar,W2140,NDays&amp;"D")</f>
        <v>53951</v>
      </c>
      <c r="Y2140" s="178">
        <v>2.1350639977227477E-2</v>
      </c>
      <c r="Z2140" s="183">
        <v>2.1080681871401552E-2</v>
      </c>
    </row>
    <row r="2141" spans="22:26" x14ac:dyDescent="0.2">
      <c r="V2141" s="180" t="str">
        <f t="shared" si="41"/>
        <v>1w</v>
      </c>
      <c r="W2141" s="177">
        <f>_xll.qlCalendarAdvance(Calendar,W2140,V2141,"f",FALSE)</f>
        <v>53954</v>
      </c>
      <c r="X2141" s="181">
        <f>_xll.qlCalendarAdvance(Calendar,W2141,NDays&amp;"D")</f>
        <v>53958</v>
      </c>
      <c r="Y2141" s="178">
        <v>2.1352073966964924E-2</v>
      </c>
      <c r="Z2141" s="183">
        <v>2.1082691991471947E-2</v>
      </c>
    </row>
    <row r="2142" spans="22:26" x14ac:dyDescent="0.2">
      <c r="V2142" s="180" t="str">
        <f t="shared" si="41"/>
        <v>1w</v>
      </c>
      <c r="W2142" s="177">
        <f>_xll.qlCalendarAdvance(Calendar,W2141,V2142,"f",FALSE)</f>
        <v>53961</v>
      </c>
      <c r="X2142" s="181">
        <f>_xll.qlCalendarAdvance(Calendar,W2142,NDays&amp;"D")</f>
        <v>53965</v>
      </c>
      <c r="Y2142" s="178">
        <v>2.1353484191527185E-2</v>
      </c>
      <c r="Z2142" s="183">
        <v>2.108467884791132E-2</v>
      </c>
    </row>
    <row r="2143" spans="22:26" x14ac:dyDescent="0.2">
      <c r="V2143" s="180" t="str">
        <f t="shared" si="41"/>
        <v>1w</v>
      </c>
      <c r="W2143" s="177">
        <f>_xll.qlCalendarAdvance(Calendar,W2142,V2143,"f",FALSE)</f>
        <v>53968</v>
      </c>
      <c r="X2143" s="181">
        <f>_xll.qlCalendarAdvance(Calendar,W2143,NDays&amp;"D")</f>
        <v>53972</v>
      </c>
      <c r="Y2143" s="178">
        <v>2.13548706508138E-2</v>
      </c>
      <c r="Z2143" s="183">
        <v>2.1086642440719672E-2</v>
      </c>
    </row>
    <row r="2144" spans="22:26" x14ac:dyDescent="0.2">
      <c r="V2144" s="180" t="str">
        <f t="shared" si="41"/>
        <v>1w</v>
      </c>
      <c r="W2144" s="177">
        <f>_xll.qlCalendarAdvance(Calendar,W2143,V2144,"f",FALSE)</f>
        <v>53975</v>
      </c>
      <c r="X2144" s="181">
        <f>_xll.qlCalendarAdvance(Calendar,W2144,NDays&amp;"D")</f>
        <v>53979</v>
      </c>
      <c r="Y2144" s="178">
        <v>2.1356233344726701E-2</v>
      </c>
      <c r="Z2144" s="183">
        <v>2.108858277013681E-2</v>
      </c>
    </row>
    <row r="2145" spans="22:26" x14ac:dyDescent="0.2">
      <c r="V2145" s="180" t="str">
        <f t="shared" si="41"/>
        <v>1w</v>
      </c>
      <c r="W2145" s="177">
        <f>_xll.qlCalendarAdvance(Calendar,W2144,V2145,"f",FALSE)</f>
        <v>53982</v>
      </c>
      <c r="X2145" s="181">
        <f>_xll.qlCalendarAdvance(Calendar,W2145,NDays&amp;"D")</f>
        <v>53986</v>
      </c>
      <c r="Y2145" s="178">
        <v>2.1357572273169353E-2</v>
      </c>
      <c r="Z2145" s="183">
        <v>2.1090499835842991E-2</v>
      </c>
    </row>
    <row r="2146" spans="22:26" x14ac:dyDescent="0.2">
      <c r="V2146" s="180" t="str">
        <f t="shared" si="41"/>
        <v>1w</v>
      </c>
      <c r="W2146" s="177">
        <f>_xll.qlCalendarAdvance(Calendar,W2145,V2146,"f",FALSE)</f>
        <v>53989</v>
      </c>
      <c r="X2146" s="181">
        <f>_xll.qlCalendarAdvance(Calendar,W2146,NDays&amp;"D")</f>
        <v>53993</v>
      </c>
      <c r="Y2146" s="178">
        <v>2.1358887436046317E-2</v>
      </c>
      <c r="Z2146" s="183">
        <v>2.1092393637998086E-2</v>
      </c>
    </row>
    <row r="2147" spans="22:26" x14ac:dyDescent="0.2">
      <c r="V2147" s="180" t="str">
        <f t="shared" si="41"/>
        <v>1w</v>
      </c>
      <c r="W2147" s="177">
        <f>_xll.qlCalendarAdvance(Calendar,W2146,V2147,"f",FALSE)</f>
        <v>53996</v>
      </c>
      <c r="X2147" s="181">
        <f>_xll.qlCalendarAdvance(Calendar,W2147,NDays&amp;"D")</f>
        <v>54000</v>
      </c>
      <c r="Y2147" s="178">
        <v>2.1360178833264548E-2</v>
      </c>
      <c r="Z2147" s="183">
        <v>2.1094264176522159E-2</v>
      </c>
    </row>
    <row r="2148" spans="22:26" x14ac:dyDescent="0.2">
      <c r="V2148" s="180" t="str">
        <f t="shared" si="41"/>
        <v>1w</v>
      </c>
      <c r="W2148" s="177">
        <f>_xll.qlCalendarAdvance(Calendar,W2147,V2148,"f",FALSE)</f>
        <v>54003</v>
      </c>
      <c r="X2148" s="181">
        <f>_xll.qlCalendarAdvance(Calendar,W2148,NDays&amp;"D")</f>
        <v>54007</v>
      </c>
      <c r="Y2148" s="178">
        <v>2.1361446464732321E-2</v>
      </c>
      <c r="Z2148" s="183">
        <v>2.1096111451575084E-2</v>
      </c>
    </row>
    <row r="2149" spans="22:26" x14ac:dyDescent="0.2">
      <c r="V2149" s="180" t="str">
        <f t="shared" si="41"/>
        <v>1w</v>
      </c>
      <c r="W2149" s="177">
        <f>_xll.qlCalendarAdvance(Calendar,W2148,V2149,"f",FALSE)</f>
        <v>54010</v>
      </c>
      <c r="X2149" s="181">
        <f>_xll.qlCalendarAdvance(Calendar,W2149,NDays&amp;"D")</f>
        <v>54014</v>
      </c>
      <c r="Y2149" s="178">
        <v>2.1362690330360087E-2</v>
      </c>
      <c r="Z2149" s="183">
        <v>2.1097935463156858E-2</v>
      </c>
    </row>
    <row r="2150" spans="22:26" x14ac:dyDescent="0.2">
      <c r="V2150" s="180" t="str">
        <f t="shared" si="41"/>
        <v>1w</v>
      </c>
      <c r="W2150" s="177">
        <f>_xll.qlCalendarAdvance(Calendar,W2149,V2150,"f",FALSE)</f>
        <v>54017</v>
      </c>
      <c r="X2150" s="181">
        <f>_xll.qlCalendarAdvance(Calendar,W2150,NDays&amp;"D")</f>
        <v>54021</v>
      </c>
      <c r="Y2150" s="178">
        <v>2.1363910430059394E-2</v>
      </c>
      <c r="Z2150" s="183">
        <v>2.1099736211027675E-2</v>
      </c>
    </row>
    <row r="2151" spans="22:26" x14ac:dyDescent="0.2">
      <c r="V2151" s="180" t="str">
        <f t="shared" si="41"/>
        <v>1w</v>
      </c>
      <c r="W2151" s="177">
        <f>_xll.qlCalendarAdvance(Calendar,W2150,V2151,"f",FALSE)</f>
        <v>54024</v>
      </c>
      <c r="X2151" s="181">
        <f>_xll.qlCalendarAdvance(Calendar,W2151,NDays&amp;"D")</f>
        <v>54028</v>
      </c>
      <c r="Y2151" s="178">
        <v>2.1365106763743095E-2</v>
      </c>
      <c r="Z2151" s="183">
        <v>2.1101513695267471E-2</v>
      </c>
    </row>
    <row r="2152" spans="22:26" x14ac:dyDescent="0.2">
      <c r="V2152" s="180" t="str">
        <f t="shared" si="41"/>
        <v>1w</v>
      </c>
      <c r="W2152" s="177">
        <f>_xll.qlCalendarAdvance(Calendar,W2151,V2152,"f",FALSE)</f>
        <v>54031</v>
      </c>
      <c r="X2152" s="181">
        <f>_xll.qlCalendarAdvance(Calendar,W2152,NDays&amp;"D")</f>
        <v>54035</v>
      </c>
      <c r="Y2152" s="178">
        <v>2.1366279331327325E-2</v>
      </c>
      <c r="Z2152" s="183">
        <v>2.1103267916116053E-2</v>
      </c>
    </row>
    <row r="2153" spans="22:26" x14ac:dyDescent="0.2">
      <c r="V2153" s="180" t="str">
        <f t="shared" si="41"/>
        <v>1w</v>
      </c>
      <c r="W2153" s="177">
        <f>_xll.qlCalendarAdvance(Calendar,W2152,V2153,"f",FALSE)</f>
        <v>54038</v>
      </c>
      <c r="X2153" s="181">
        <f>_xll.qlCalendarAdvance(Calendar,W2153,NDays&amp;"D")</f>
        <v>54042</v>
      </c>
      <c r="Y2153" s="178">
        <v>2.1367428132728218E-2</v>
      </c>
      <c r="Z2153" s="183">
        <v>2.1104998873333614E-2</v>
      </c>
    </row>
    <row r="2154" spans="22:26" x14ac:dyDescent="0.2">
      <c r="V2154" s="180" t="str">
        <f t="shared" si="41"/>
        <v>1w</v>
      </c>
      <c r="W2154" s="177">
        <f>_xll.qlCalendarAdvance(Calendar,W2153,V2154,"f",FALSE)</f>
        <v>54045</v>
      </c>
      <c r="X2154" s="181">
        <f>_xll.qlCalendarAdvance(Calendar,W2154,NDays&amp;"D")</f>
        <v>54049</v>
      </c>
      <c r="Y2154" s="178">
        <v>2.1368553167864308E-2</v>
      </c>
      <c r="Z2154" s="183">
        <v>2.1106706566920153E-2</v>
      </c>
    </row>
    <row r="2155" spans="22:26" x14ac:dyDescent="0.2">
      <c r="V2155" s="180" t="str">
        <f t="shared" si="41"/>
        <v>1w</v>
      </c>
      <c r="W2155" s="177">
        <f>_xll.qlCalendarAdvance(Calendar,W2154,V2155,"f",FALSE)</f>
        <v>54053</v>
      </c>
      <c r="X2155" s="181">
        <f>_xll.qlCalendarAdvance(Calendar,W2155,NDays&amp;"D")</f>
        <v>54057</v>
      </c>
      <c r="Y2155" s="178">
        <v>2.1369809820654877E-2</v>
      </c>
      <c r="Z2155" s="183">
        <v>2.1109367720457684E-2</v>
      </c>
    </row>
    <row r="2156" spans="22:26" x14ac:dyDescent="0.2">
      <c r="V2156" s="180" t="str">
        <f t="shared" si="41"/>
        <v>1w</v>
      </c>
      <c r="W2156" s="177">
        <f>_xll.qlCalendarAdvance(Calendar,W2155,V2156,"f",FALSE)</f>
        <v>54060</v>
      </c>
      <c r="X2156" s="181">
        <f>_xll.qlCalendarAdvance(Calendar,W2156,NDays&amp;"D")</f>
        <v>54064</v>
      </c>
      <c r="Y2156" s="178">
        <v>2.1370883927814159E-2</v>
      </c>
      <c r="Z2156" s="183">
        <v>2.1110287573851139E-2</v>
      </c>
    </row>
    <row r="2157" spans="22:26" x14ac:dyDescent="0.2">
      <c r="V2157" s="180" t="str">
        <f t="shared" si="41"/>
        <v>1w</v>
      </c>
      <c r="W2157" s="177">
        <f>_xll.qlCalendarAdvance(Calendar,W2156,V2157,"f",FALSE)</f>
        <v>54067</v>
      </c>
      <c r="X2157" s="181">
        <f>_xll.qlCalendarAdvance(Calendar,W2157,NDays&amp;"D")</f>
        <v>54071</v>
      </c>
      <c r="Y2157" s="178">
        <v>2.1371934268464024E-2</v>
      </c>
      <c r="Z2157" s="183">
        <v>2.1111922153442819E-2</v>
      </c>
    </row>
    <row r="2158" spans="22:26" x14ac:dyDescent="0.2">
      <c r="V2158" s="180" t="str">
        <f t="shared" si="41"/>
        <v>1w</v>
      </c>
      <c r="W2158" s="177">
        <f>_xll.qlCalendarAdvance(Calendar,W2157,V2158,"f",FALSE)</f>
        <v>54074</v>
      </c>
      <c r="X2158" s="181">
        <f>_xll.qlCalendarAdvance(Calendar,W2158,NDays&amp;"D")</f>
        <v>54078</v>
      </c>
      <c r="Y2158" s="178">
        <v>2.1372960842529341E-2</v>
      </c>
      <c r="Z2158" s="183">
        <v>2.1113533469483414E-2</v>
      </c>
    </row>
    <row r="2159" spans="22:26" x14ac:dyDescent="0.2">
      <c r="V2159" s="180" t="str">
        <f t="shared" si="41"/>
        <v>1w</v>
      </c>
      <c r="W2159" s="177">
        <f>_xll.qlCalendarAdvance(Calendar,W2158,V2159,"f",FALSE)</f>
        <v>54081</v>
      </c>
      <c r="X2159" s="181">
        <f>_xll.qlCalendarAdvance(Calendar,W2159,NDays&amp;"D")</f>
        <v>54085</v>
      </c>
      <c r="Y2159" s="178">
        <v>2.1373963649936947E-2</v>
      </c>
      <c r="Z2159" s="183">
        <v>2.1115121521892988E-2</v>
      </c>
    </row>
    <row r="2160" spans="22:26" x14ac:dyDescent="0.2">
      <c r="V2160" s="180" t="str">
        <f t="shared" si="41"/>
        <v>1w</v>
      </c>
      <c r="W2160" s="177">
        <f>_xll.qlCalendarAdvance(Calendar,W2159,V2160,"f",FALSE)</f>
        <v>54088</v>
      </c>
      <c r="X2160" s="181">
        <f>_xll.qlCalendarAdvance(Calendar,W2160,NDays&amp;"D")</f>
        <v>54092</v>
      </c>
      <c r="Y2160" s="178">
        <v>2.1374942690616731E-2</v>
      </c>
      <c r="Z2160" s="183">
        <v>2.111668631067154E-2</v>
      </c>
    </row>
    <row r="2161" spans="22:26" x14ac:dyDescent="0.2">
      <c r="V2161" s="180" t="str">
        <f t="shared" si="41"/>
        <v>1w</v>
      </c>
      <c r="W2161" s="177">
        <f>_xll.qlCalendarAdvance(Calendar,W2160,V2161,"f",FALSE)</f>
        <v>54095</v>
      </c>
      <c r="X2161" s="181">
        <f>_xll.qlCalendarAdvance(Calendar,W2161,NDays&amp;"D")</f>
        <v>54099</v>
      </c>
      <c r="Y2161" s="178">
        <v>2.1375897964498587E-2</v>
      </c>
      <c r="Z2161" s="183">
        <v>2.1118227835978942E-2</v>
      </c>
    </row>
    <row r="2162" spans="22:26" x14ac:dyDescent="0.2">
      <c r="V2162" s="180" t="str">
        <f t="shared" si="41"/>
        <v>1w</v>
      </c>
      <c r="W2162" s="177">
        <f>_xll.qlCalendarAdvance(Calendar,W2161,V2162,"f",FALSE)</f>
        <v>54102</v>
      </c>
      <c r="X2162" s="181">
        <f>_xll.qlCalendarAdvance(Calendar,W2162,NDays&amp;"D")</f>
        <v>54106</v>
      </c>
      <c r="Y2162" s="178">
        <v>2.1376829471514591E-2</v>
      </c>
      <c r="Z2162" s="183">
        <v>2.1119746097655323E-2</v>
      </c>
    </row>
    <row r="2163" spans="22:26" x14ac:dyDescent="0.2">
      <c r="V2163" s="180" t="str">
        <f t="shared" si="41"/>
        <v>1w</v>
      </c>
      <c r="W2163" s="177">
        <f>_xll.qlCalendarAdvance(Calendar,W2162,V2163,"f",FALSE)</f>
        <v>54109</v>
      </c>
      <c r="X2163" s="181">
        <f>_xll.qlCalendarAdvance(Calendar,W2163,NDays&amp;"D")</f>
        <v>54113</v>
      </c>
      <c r="Y2163" s="178">
        <v>2.1377737211599218E-2</v>
      </c>
      <c r="Z2163" s="183">
        <v>2.1121241095780618E-2</v>
      </c>
    </row>
    <row r="2164" spans="22:26" x14ac:dyDescent="0.2">
      <c r="V2164" s="180" t="str">
        <f t="shared" si="41"/>
        <v>1w</v>
      </c>
      <c r="W2164" s="177">
        <f>_xll.qlCalendarAdvance(Calendar,W2163,V2164,"f",FALSE)</f>
        <v>54116</v>
      </c>
      <c r="X2164" s="181">
        <f>_xll.qlCalendarAdvance(Calendar,W2164,NDays&amp;"D")</f>
        <v>54120</v>
      </c>
      <c r="Y2164" s="178">
        <v>2.1377943385475086E-2</v>
      </c>
      <c r="Z2164" s="183">
        <v>2.1122712830354828E-2</v>
      </c>
    </row>
    <row r="2165" spans="22:26" x14ac:dyDescent="0.2">
      <c r="V2165" s="180" t="str">
        <f t="shared" si="41"/>
        <v>1w</v>
      </c>
      <c r="W2165" s="177">
        <f>_xll.qlCalendarAdvance(Calendar,W2164,V2165,"f",FALSE)</f>
        <v>54123</v>
      </c>
      <c r="X2165" s="181">
        <f>_xll.qlCalendarAdvance(Calendar,W2165,NDays&amp;"D")</f>
        <v>54127</v>
      </c>
      <c r="Y2165" s="178">
        <v>2.1378805238531078E-2</v>
      </c>
      <c r="Z2165" s="183">
        <v>2.1124161301377953E-2</v>
      </c>
    </row>
    <row r="2166" spans="22:26" x14ac:dyDescent="0.2">
      <c r="V2166" s="180" t="str">
        <f t="shared" si="41"/>
        <v>1w</v>
      </c>
      <c r="W2166" s="177">
        <f>_xll.qlCalendarAdvance(Calendar,W2165,V2166,"f",FALSE)</f>
        <v>54130</v>
      </c>
      <c r="X2166" s="181">
        <f>_xll.qlCalendarAdvance(Calendar,W2166,NDays&amp;"D")</f>
        <v>54134</v>
      </c>
      <c r="Y2166" s="178">
        <v>2.1379643325865842E-2</v>
      </c>
      <c r="Z2166" s="183">
        <v>2.1125586508849992E-2</v>
      </c>
    </row>
    <row r="2167" spans="22:26" x14ac:dyDescent="0.2">
      <c r="V2167" s="180" t="str">
        <f t="shared" si="41"/>
        <v>1w</v>
      </c>
      <c r="W2167" s="177">
        <f>_xll.qlCalendarAdvance(Calendar,W2166,V2167,"f",FALSE)</f>
        <v>54137</v>
      </c>
      <c r="X2167" s="181">
        <f>_xll.qlCalendarAdvance(Calendar,W2167,NDays&amp;"D")</f>
        <v>54141</v>
      </c>
      <c r="Y2167" s="178">
        <v>2.138045764741937E-2</v>
      </c>
      <c r="Z2167" s="183">
        <v>2.1126988452611073E-2</v>
      </c>
    </row>
    <row r="2168" spans="22:26" x14ac:dyDescent="0.2">
      <c r="V2168" s="180" t="str">
        <f t="shared" si="41"/>
        <v>1w</v>
      </c>
      <c r="W2168" s="177">
        <f>_xll.qlCalendarAdvance(Calendar,W2167,V2168,"f",FALSE)</f>
        <v>54144</v>
      </c>
      <c r="X2168" s="181">
        <f>_xll.qlCalendarAdvance(Calendar,W2168,NDays&amp;"D")</f>
        <v>54148</v>
      </c>
      <c r="Y2168" s="178">
        <v>2.1381248203134508E-2</v>
      </c>
      <c r="Z2168" s="183">
        <v>2.1128367132901005E-2</v>
      </c>
    </row>
    <row r="2169" spans="22:26" x14ac:dyDescent="0.2">
      <c r="V2169" s="180" t="str">
        <f t="shared" si="41"/>
        <v>1w</v>
      </c>
      <c r="W2169" s="177">
        <f>_xll.qlCalendarAdvance(Calendar,W2168,V2169,"f",FALSE)</f>
        <v>54155</v>
      </c>
      <c r="X2169" s="181">
        <f>_xll.qlCalendarAdvance(Calendar,W2169,NDays&amp;"D")</f>
        <v>54157</v>
      </c>
      <c r="Y2169" s="178">
        <v>2.1382229710589326E-2</v>
      </c>
      <c r="Z2169" s="183">
        <v>2.1130105538640365E-2</v>
      </c>
    </row>
    <row r="2170" spans="22:26" x14ac:dyDescent="0.2">
      <c r="V2170" s="180" t="str">
        <f t="shared" si="41"/>
        <v>1w</v>
      </c>
      <c r="W2170" s="177">
        <f>_xll.qlCalendarAdvance(Calendar,W2169,V2170,"f",FALSE)</f>
        <v>54162</v>
      </c>
      <c r="X2170" s="181">
        <f>_xll.qlCalendarAdvance(Calendar,W2170,NDays&amp;"D")</f>
        <v>54164</v>
      </c>
      <c r="Y2170" s="178">
        <v>2.1385634841380764E-2</v>
      </c>
      <c r="Z2170" s="183">
        <v>2.113143104498505E-2</v>
      </c>
    </row>
    <row r="2171" spans="22:26" x14ac:dyDescent="0.2">
      <c r="V2171" s="180" t="str">
        <f t="shared" si="41"/>
        <v>1w</v>
      </c>
      <c r="W2171" s="177">
        <f>_xll.qlCalendarAdvance(Calendar,W2170,V2171,"f",FALSE)</f>
        <v>54169</v>
      </c>
      <c r="X2171" s="181">
        <f>_xll.qlCalendarAdvance(Calendar,W2171,NDays&amp;"D")</f>
        <v>54171</v>
      </c>
      <c r="Y2171" s="178">
        <v>2.1383678411756028E-2</v>
      </c>
      <c r="Z2171" s="183">
        <v>2.1132733287778649E-2</v>
      </c>
    </row>
    <row r="2172" spans="22:26" x14ac:dyDescent="0.2">
      <c r="V2172" s="180" t="str">
        <f t="shared" si="41"/>
        <v>1w</v>
      </c>
      <c r="W2172" s="177">
        <f>_xll.qlCalendarAdvance(Calendar,W2171,V2172,"f",FALSE)</f>
        <v>54176</v>
      </c>
      <c r="X2172" s="181">
        <f>_xll.qlCalendarAdvance(Calendar,W2172,NDays&amp;"D")</f>
        <v>54178</v>
      </c>
      <c r="Y2172" s="178">
        <v>2.1384367113264999E-2</v>
      </c>
      <c r="Z2172" s="183">
        <v>2.1136144158144798E-2</v>
      </c>
    </row>
    <row r="2173" spans="22:26" x14ac:dyDescent="0.2">
      <c r="V2173" s="180" t="str">
        <f t="shared" si="41"/>
        <v>1w</v>
      </c>
      <c r="W2173" s="177">
        <f>_xll.qlCalendarAdvance(Calendar,W2172,V2173,"f",FALSE)</f>
        <v>54183</v>
      </c>
      <c r="X2173" s="181">
        <f>_xll.qlCalendarAdvance(Calendar,W2173,NDays&amp;"D")</f>
        <v>54185</v>
      </c>
      <c r="Y2173" s="178">
        <v>2.1385032048658978E-2</v>
      </c>
      <c r="Z2173" s="183">
        <v>2.1135267982712591E-2</v>
      </c>
    </row>
    <row r="2174" spans="22:26" x14ac:dyDescent="0.2">
      <c r="V2174" s="180" t="str">
        <f t="shared" si="41"/>
        <v>1w</v>
      </c>
      <c r="W2174" s="177">
        <f>_xll.qlCalendarAdvance(Calendar,W2173,V2174,"f",FALSE)</f>
        <v>54190</v>
      </c>
      <c r="X2174" s="181">
        <f>_xll.qlCalendarAdvance(Calendar,W2174,NDays&amp;"D")</f>
        <v>54192</v>
      </c>
      <c r="Y2174" s="178">
        <v>2.1385673217890876E-2</v>
      </c>
      <c r="Z2174" s="183">
        <v>2.1136500434852934E-2</v>
      </c>
    </row>
    <row r="2175" spans="22:26" x14ac:dyDescent="0.2">
      <c r="V2175" s="180" t="str">
        <f t="shared" si="41"/>
        <v>1w</v>
      </c>
      <c r="W2175" s="177">
        <f>_xll.qlCalendarAdvance(Calendar,W2174,V2175,"f",FALSE)</f>
        <v>54197</v>
      </c>
      <c r="X2175" s="181">
        <f>_xll.qlCalendarAdvance(Calendar,W2175,NDays&amp;"D")</f>
        <v>54199</v>
      </c>
      <c r="Y2175" s="178">
        <v>2.1386290620915144E-2</v>
      </c>
      <c r="Z2175" s="183">
        <v>2.1137709623362255E-2</v>
      </c>
    </row>
    <row r="2176" spans="22:26" x14ac:dyDescent="0.2">
      <c r="V2176" s="180" t="str">
        <f t="shared" si="41"/>
        <v>1w</v>
      </c>
      <c r="W2176" s="177">
        <f>_xll.qlCalendarAdvance(Calendar,W2175,V2176,"f",FALSE)</f>
        <v>54204</v>
      </c>
      <c r="X2176" s="181">
        <f>_xll.qlCalendarAdvance(Calendar,W2176,NDays&amp;"D")</f>
        <v>54206</v>
      </c>
      <c r="Y2176" s="178">
        <v>2.1386884257688418E-2</v>
      </c>
      <c r="Z2176" s="183">
        <v>2.1138895548240555E-2</v>
      </c>
    </row>
    <row r="2177" spans="22:26" x14ac:dyDescent="0.2">
      <c r="V2177" s="180" t="str">
        <f t="shared" si="41"/>
        <v>1w</v>
      </c>
      <c r="W2177" s="177">
        <f>_xll.qlCalendarAdvance(Calendar,W2176,V2177,"f",FALSE)</f>
        <v>54211</v>
      </c>
      <c r="X2177" s="181">
        <f>_xll.qlCalendarAdvance(Calendar,W2177,NDays&amp;"D")</f>
        <v>54213</v>
      </c>
      <c r="Y2177" s="178">
        <v>2.1387454128168209E-2</v>
      </c>
      <c r="Z2177" s="183">
        <v>2.1140058209567769E-2</v>
      </c>
    </row>
    <row r="2178" spans="22:26" x14ac:dyDescent="0.2">
      <c r="V2178" s="180" t="str">
        <f t="shared" si="41"/>
        <v>1w</v>
      </c>
      <c r="W2178" s="177">
        <f>_xll.qlCalendarAdvance(Calendar,W2177,V2178,"f",FALSE)</f>
        <v>54218</v>
      </c>
      <c r="X2178" s="181">
        <f>_xll.qlCalendarAdvance(Calendar,W2178,NDays&amp;"D")</f>
        <v>54220</v>
      </c>
      <c r="Y2178" s="178">
        <v>2.1388000232314661E-2</v>
      </c>
      <c r="Z2178" s="183">
        <v>2.114119760750377E-2</v>
      </c>
    </row>
    <row r="2179" spans="22:26" x14ac:dyDescent="0.2">
      <c r="V2179" s="180" t="str">
        <f t="shared" si="41"/>
        <v>1w</v>
      </c>
      <c r="W2179" s="177">
        <f>_xll.qlCalendarAdvance(Calendar,W2178,V2179,"f",FALSE)</f>
        <v>54225</v>
      </c>
      <c r="X2179" s="181">
        <f>_xll.qlCalendarAdvance(Calendar,W2179,NDays&amp;"D")</f>
        <v>54227</v>
      </c>
      <c r="Y2179" s="178">
        <v>2.1388522570089011E-2</v>
      </c>
      <c r="Z2179" s="183">
        <v>2.1142313741648877E-2</v>
      </c>
    </row>
    <row r="2180" spans="22:26" x14ac:dyDescent="0.2">
      <c r="V2180" s="180" t="str">
        <f t="shared" si="41"/>
        <v>1w</v>
      </c>
      <c r="W2180" s="177">
        <f>_xll.qlCalendarAdvance(Calendar,W2179,V2180,"f",FALSE)</f>
        <v>54232</v>
      </c>
      <c r="X2180" s="181">
        <f>_xll.qlCalendarAdvance(Calendar,W2180,NDays&amp;"D")</f>
        <v>54234</v>
      </c>
      <c r="Y2180" s="178">
        <v>2.1389021141454023E-2</v>
      </c>
      <c r="Z2180" s="183">
        <v>2.1143406612242899E-2</v>
      </c>
    </row>
    <row r="2181" spans="22:26" x14ac:dyDescent="0.2">
      <c r="V2181" s="180" t="str">
        <f t="shared" si="41"/>
        <v>1w</v>
      </c>
      <c r="W2181" s="177">
        <f>_xll.qlCalendarAdvance(Calendar,W2180,V2181,"f",FALSE)</f>
        <v>54239</v>
      </c>
      <c r="X2181" s="181">
        <f>_xll.qlCalendarAdvance(Calendar,W2181,NDays&amp;"D")</f>
        <v>54241</v>
      </c>
      <c r="Y2181" s="178">
        <v>2.1389495946375105E-2</v>
      </c>
      <c r="Z2181" s="183">
        <v>2.1144476219285835E-2</v>
      </c>
    </row>
    <row r="2182" spans="22:26" x14ac:dyDescent="0.2">
      <c r="V2182" s="180" t="str">
        <f t="shared" si="41"/>
        <v>1w</v>
      </c>
      <c r="W2182" s="177">
        <f>_xll.qlCalendarAdvance(Calendar,W2181,V2182,"f",FALSE)</f>
        <v>54246</v>
      </c>
      <c r="X2182" s="181">
        <f>_xll.qlCalendarAdvance(Calendar,W2182,NDays&amp;"D")</f>
        <v>54248</v>
      </c>
      <c r="Y2182" s="178">
        <v>2.1389946984817863E-2</v>
      </c>
      <c r="Z2182" s="183">
        <v>2.1145522562857622E-2</v>
      </c>
    </row>
    <row r="2183" spans="22:26" x14ac:dyDescent="0.2">
      <c r="V2183" s="180" t="str">
        <f t="shared" si="41"/>
        <v>1w</v>
      </c>
      <c r="W2183" s="177">
        <f>_xll.qlCalendarAdvance(Calendar,W2182,V2183,"f",FALSE)</f>
        <v>54253</v>
      </c>
      <c r="X2183" s="181">
        <f>_xll.qlCalendarAdvance(Calendar,W2183,NDays&amp;"D")</f>
        <v>54255</v>
      </c>
      <c r="Y2183" s="178">
        <v>2.1390374256750545E-2</v>
      </c>
      <c r="Z2183" s="183">
        <v>2.1146545642718451E-2</v>
      </c>
    </row>
    <row r="2184" spans="22:26" x14ac:dyDescent="0.2">
      <c r="V2184" s="180" t="str">
        <f t="shared" si="41"/>
        <v>1w</v>
      </c>
      <c r="W2184" s="177">
        <f>_xll.qlCalendarAdvance(Calendar,W2183,V2184,"f",FALSE)</f>
        <v>54260</v>
      </c>
      <c r="X2184" s="181">
        <f>_xll.qlCalendarAdvance(Calendar,W2184,NDays&amp;"D")</f>
        <v>54262</v>
      </c>
      <c r="Y2184" s="178">
        <v>2.1390777762143372E-2</v>
      </c>
      <c r="Z2184" s="183">
        <v>2.1147545458948258E-2</v>
      </c>
    </row>
    <row r="2185" spans="22:26" x14ac:dyDescent="0.2">
      <c r="V2185" s="180" t="str">
        <f t="shared" si="41"/>
        <v>1w</v>
      </c>
      <c r="W2185" s="177">
        <f>_xll.qlCalendarAdvance(Calendar,W2184,V2185,"f",FALSE)</f>
        <v>54267</v>
      </c>
      <c r="X2185" s="181">
        <f>_xll.qlCalendarAdvance(Calendar,W2185,NDays&amp;"D")</f>
        <v>54269</v>
      </c>
      <c r="Y2185" s="178">
        <v>2.1391157500967428E-2</v>
      </c>
      <c r="Z2185" s="183">
        <v>2.1148522011706916E-2</v>
      </c>
    </row>
    <row r="2186" spans="22:26" x14ac:dyDescent="0.2">
      <c r="V2186" s="180" t="str">
        <f t="shared" si="41"/>
        <v>1w</v>
      </c>
      <c r="W2186" s="177">
        <f>_xll.qlCalendarAdvance(Calendar,W2185,V2186,"f",FALSE)</f>
        <v>54274</v>
      </c>
      <c r="X2186" s="181">
        <f>_xll.qlCalendarAdvance(Calendar,W2186,NDays&amp;"D")</f>
        <v>54276</v>
      </c>
      <c r="Y2186" s="178">
        <v>2.1391513473195779E-2</v>
      </c>
      <c r="Z2186" s="183">
        <v>2.1149475300994425E-2</v>
      </c>
    </row>
    <row r="2187" spans="22:26" x14ac:dyDescent="0.2">
      <c r="V2187" s="180" t="str">
        <f t="shared" si="41"/>
        <v>1w</v>
      </c>
      <c r="W2187" s="177">
        <f>_xll.qlCalendarAdvance(Calendar,W2186,V2187,"f",FALSE)</f>
        <v>54281</v>
      </c>
      <c r="X2187" s="181">
        <f>_xll.qlCalendarAdvance(Calendar,W2187,NDays&amp;"D")</f>
        <v>54283</v>
      </c>
      <c r="Y2187" s="178">
        <v>2.1391845678803898E-2</v>
      </c>
      <c r="Z2187" s="183">
        <v>2.1150405326650912E-2</v>
      </c>
    </row>
    <row r="2188" spans="22:26" x14ac:dyDescent="0.2">
      <c r="V2188" s="180" t="str">
        <f t="shared" si="41"/>
        <v>1w</v>
      </c>
      <c r="W2188" s="177">
        <f>_xll.qlCalendarAdvance(Calendar,W2187,V2188,"f",FALSE)</f>
        <v>54288</v>
      </c>
      <c r="X2188" s="181">
        <f>_xll.qlCalendarAdvance(Calendar,W2188,NDays&amp;"D")</f>
        <v>54290</v>
      </c>
      <c r="Y2188" s="178">
        <v>2.1392154117767473E-2</v>
      </c>
      <c r="Z2188" s="183">
        <v>2.1151312088516505E-2</v>
      </c>
    </row>
    <row r="2189" spans="22:26" x14ac:dyDescent="0.2">
      <c r="V2189" s="180" t="str">
        <f t="shared" si="41"/>
        <v>1w</v>
      </c>
      <c r="W2189" s="177">
        <f>_xll.qlCalendarAdvance(Calendar,W2188,V2189,"f",FALSE)</f>
        <v>54295</v>
      </c>
      <c r="X2189" s="181">
        <f>_xll.qlCalendarAdvance(Calendar,W2189,NDays&amp;"D")</f>
        <v>54297</v>
      </c>
      <c r="Y2189" s="178">
        <v>2.1392438790064826E-2</v>
      </c>
      <c r="Z2189" s="183">
        <v>2.1152195587070821E-2</v>
      </c>
    </row>
    <row r="2190" spans="22:26" x14ac:dyDescent="0.2">
      <c r="V2190" s="180" t="str">
        <f t="shared" si="41"/>
        <v>1w</v>
      </c>
      <c r="W2190" s="177">
        <f>_xll.qlCalendarAdvance(Calendar,W2189,V2190,"f",FALSE)</f>
        <v>54302</v>
      </c>
      <c r="X2190" s="181">
        <f>_xll.qlCalendarAdvance(Calendar,W2190,NDays&amp;"D")</f>
        <v>54304</v>
      </c>
      <c r="Y2190" s="178">
        <v>2.139269969567624E-2</v>
      </c>
      <c r="Z2190" s="183">
        <v>2.115305582191418E-2</v>
      </c>
    </row>
    <row r="2191" spans="22:26" x14ac:dyDescent="0.2">
      <c r="V2191" s="180" t="str">
        <f t="shared" si="41"/>
        <v>1w</v>
      </c>
      <c r="W2191" s="177">
        <f>_xll.qlCalendarAdvance(Calendar,W2190,V2191,"f",FALSE)</f>
        <v>54309</v>
      </c>
      <c r="X2191" s="181">
        <f>_xll.qlCalendarAdvance(Calendar,W2191,NDays&amp;"D")</f>
        <v>54311</v>
      </c>
      <c r="Y2191" s="178">
        <v>2.139293683458289E-2</v>
      </c>
      <c r="Z2191" s="183">
        <v>2.1153892793206452E-2</v>
      </c>
    </row>
    <row r="2192" spans="22:26" x14ac:dyDescent="0.2">
      <c r="V2192" s="180" t="str">
        <f t="shared" si="41"/>
        <v>1w</v>
      </c>
      <c r="W2192" s="177">
        <f>_xll.qlCalendarAdvance(Calendar,W2191,V2192,"f",FALSE)</f>
        <v>54316</v>
      </c>
      <c r="X2192" s="181">
        <f>_xll.qlCalendarAdvance(Calendar,W2192,NDays&amp;"D")</f>
        <v>54318</v>
      </c>
      <c r="Y2192" s="178">
        <v>2.1393150206768127E-2</v>
      </c>
      <c r="Z2192" s="183">
        <v>2.115470650094764E-2</v>
      </c>
    </row>
    <row r="2193" spans="22:26" x14ac:dyDescent="0.2">
      <c r="V2193" s="180" t="str">
        <f t="shared" si="41"/>
        <v>1w</v>
      </c>
      <c r="W2193" s="177">
        <f>_xll.qlCalendarAdvance(Calendar,W2192,V2193,"f",FALSE)</f>
        <v>54323</v>
      </c>
      <c r="X2193" s="181">
        <f>_xll.qlCalendarAdvance(Calendar,W2193,NDays&amp;"D")</f>
        <v>54325</v>
      </c>
      <c r="Y2193" s="178">
        <v>2.1393339812216836E-2</v>
      </c>
      <c r="Z2193" s="183">
        <v>2.1155496945057806E-2</v>
      </c>
    </row>
    <row r="2194" spans="22:26" x14ac:dyDescent="0.2">
      <c r="V2194" s="180" t="str">
        <f t="shared" si="41"/>
        <v>1w</v>
      </c>
      <c r="W2194" s="177">
        <f>_xll.qlCalendarAdvance(Calendar,W2193,V2194,"f",FALSE)</f>
        <v>54330</v>
      </c>
      <c r="X2194" s="181">
        <f>_xll.qlCalendarAdvance(Calendar,W2194,NDays&amp;"D")</f>
        <v>54332</v>
      </c>
      <c r="Y2194" s="178">
        <v>2.1393505650915447E-2</v>
      </c>
      <c r="Z2194" s="183">
        <v>2.1156264125616886E-2</v>
      </c>
    </row>
    <row r="2195" spans="22:26" x14ac:dyDescent="0.2">
      <c r="V2195" s="180" t="str">
        <f t="shared" si="41"/>
        <v>1w</v>
      </c>
      <c r="W2195" s="177">
        <f>_xll.qlCalendarAdvance(Calendar,W2194,V2195,"f",FALSE)</f>
        <v>54337</v>
      </c>
      <c r="X2195" s="181">
        <f>_xll.qlCalendarAdvance(Calendar,W2195,NDays&amp;"D")</f>
        <v>54339</v>
      </c>
      <c r="Y2195" s="178">
        <v>2.1393647722852564E-2</v>
      </c>
      <c r="Z2195" s="183">
        <v>2.1157008042544945E-2</v>
      </c>
    </row>
    <row r="2196" spans="22:26" x14ac:dyDescent="0.2">
      <c r="V2196" s="180" t="str">
        <f t="shared" si="41"/>
        <v>1w</v>
      </c>
      <c r="W2196" s="177">
        <f>_xll.qlCalendarAdvance(Calendar,W2195,V2196,"f",FALSE)</f>
        <v>54344</v>
      </c>
      <c r="X2196" s="181">
        <f>_xll.qlCalendarAdvance(Calendar,W2196,NDays&amp;"D")</f>
        <v>54346</v>
      </c>
      <c r="Y2196" s="178">
        <v>2.1393766028017899E-2</v>
      </c>
      <c r="Z2196" s="183">
        <v>2.1157728696001854E-2</v>
      </c>
    </row>
    <row r="2197" spans="22:26" x14ac:dyDescent="0.2">
      <c r="V2197" s="180" t="str">
        <f t="shared" ref="V2197:V2260" si="42">V2196</f>
        <v>1w</v>
      </c>
      <c r="W2197" s="177">
        <f>_xll.qlCalendarAdvance(Calendar,W2196,V2197,"f",FALSE)</f>
        <v>54351</v>
      </c>
      <c r="X2197" s="181">
        <f>_xll.qlCalendarAdvance(Calendar,W2197,NDays&amp;"D")</f>
        <v>54353</v>
      </c>
      <c r="Y2197" s="178">
        <v>2.1393860566402911E-2</v>
      </c>
      <c r="Z2197" s="183">
        <v>2.1158426085907678E-2</v>
      </c>
    </row>
    <row r="2198" spans="22:26" x14ac:dyDescent="0.2">
      <c r="V2198" s="180" t="str">
        <f t="shared" si="42"/>
        <v>1w</v>
      </c>
      <c r="W2198" s="177">
        <f>_xll.qlCalendarAdvance(Calendar,W2197,V2198,"f",FALSE)</f>
        <v>54358</v>
      </c>
      <c r="X2198" s="181">
        <f>_xll.qlCalendarAdvance(Calendar,W2198,NDays&amp;"D")</f>
        <v>54360</v>
      </c>
      <c r="Y2198" s="178">
        <v>2.1393931338001246E-2</v>
      </c>
      <c r="Z2198" s="183">
        <v>2.1159100212022608E-2</v>
      </c>
    </row>
    <row r="2199" spans="22:26" x14ac:dyDescent="0.2">
      <c r="V2199" s="180" t="str">
        <f t="shared" si="42"/>
        <v>1w</v>
      </c>
      <c r="W2199" s="177">
        <f>_xll.qlCalendarAdvance(Calendar,W2198,V2199,"f",FALSE)</f>
        <v>54365</v>
      </c>
      <c r="X2199" s="181">
        <f>_xll.qlCalendarAdvance(Calendar,W2199,NDays&amp;"D")</f>
        <v>54367</v>
      </c>
      <c r="Y2199" s="178">
        <v>2.1393978342808088E-2</v>
      </c>
      <c r="Z2199" s="183">
        <v>2.1159751074666389E-2</v>
      </c>
    </row>
    <row r="2200" spans="22:26" x14ac:dyDescent="0.2">
      <c r="V2200" s="180" t="str">
        <f t="shared" si="42"/>
        <v>1w</v>
      </c>
      <c r="W2200" s="177">
        <f>_xll.qlCalendarAdvance(Calendar,W2199,V2200,"f",FALSE)</f>
        <v>54372</v>
      </c>
      <c r="X2200" s="181">
        <f>_xll.qlCalendarAdvance(Calendar,W2200,NDays&amp;"D")</f>
        <v>54374</v>
      </c>
      <c r="Y2200" s="178">
        <v>2.1394001580819274E-2</v>
      </c>
      <c r="Z2200" s="183">
        <v>2.116037867383902E-2</v>
      </c>
    </row>
    <row r="2201" spans="22:26" x14ac:dyDescent="0.2">
      <c r="V2201" s="180" t="str">
        <f t="shared" si="42"/>
        <v>1w</v>
      </c>
      <c r="W2201" s="177">
        <f>_xll.qlCalendarAdvance(Calendar,W2200,V2201,"f",FALSE)</f>
        <v>54379</v>
      </c>
      <c r="X2201" s="181">
        <f>_xll.qlCalendarAdvance(Calendar,W2201,NDays&amp;"D")</f>
        <v>54381</v>
      </c>
      <c r="Y2201" s="178">
        <v>2.139400105203371E-2</v>
      </c>
      <c r="Z2201" s="183">
        <v>2.1160983009300693E-2</v>
      </c>
    </row>
    <row r="2202" spans="22:26" x14ac:dyDescent="0.2">
      <c r="V2202" s="180" t="str">
        <f t="shared" si="42"/>
        <v>1w</v>
      </c>
      <c r="W2202" s="177">
        <f>_xll.qlCalendarAdvance(Calendar,W2201,V2202,"f",FALSE)</f>
        <v>54386</v>
      </c>
      <c r="X2202" s="181">
        <f>_xll.qlCalendarAdvance(Calendar,W2202,NDays&amp;"D")</f>
        <v>54388</v>
      </c>
      <c r="Y2202" s="178">
        <v>2.1393976756451834E-2</v>
      </c>
      <c r="Z2202" s="183">
        <v>2.1161564081211282E-2</v>
      </c>
    </row>
    <row r="2203" spans="22:26" x14ac:dyDescent="0.2">
      <c r="V2203" s="180" t="str">
        <f t="shared" si="42"/>
        <v>1w</v>
      </c>
      <c r="W2203" s="177">
        <f>_xll.qlCalendarAdvance(Calendar,W2202,V2203,"f",FALSE)</f>
        <v>54393</v>
      </c>
      <c r="X2203" s="181">
        <f>_xll.qlCalendarAdvance(Calendar,W2203,NDays&amp;"D")</f>
        <v>54395</v>
      </c>
      <c r="Y2203" s="178">
        <v>2.1393928694074745E-2</v>
      </c>
      <c r="Z2203" s="183">
        <v>2.1162121889570784E-2</v>
      </c>
    </row>
    <row r="2204" spans="22:26" x14ac:dyDescent="0.2">
      <c r="V2204" s="180" t="str">
        <f t="shared" si="42"/>
        <v>1w</v>
      </c>
      <c r="W2204" s="177">
        <f>_xll.qlCalendarAdvance(Calendar,W2203,V2204,"f",FALSE)</f>
        <v>54400</v>
      </c>
      <c r="X2204" s="181">
        <f>_xll.qlCalendarAdvance(Calendar,W2204,NDays&amp;"D")</f>
        <v>54402</v>
      </c>
      <c r="Y2204" s="178">
        <v>2.1393856864906156E-2</v>
      </c>
      <c r="Z2204" s="183">
        <v>2.1162656434379201E-2</v>
      </c>
    </row>
    <row r="2205" spans="22:26" x14ac:dyDescent="0.2">
      <c r="V2205" s="180" t="str">
        <f t="shared" si="42"/>
        <v>1w</v>
      </c>
      <c r="W2205" s="177">
        <f>_xll.qlCalendarAdvance(Calendar,W2204,V2205,"f",FALSE)</f>
        <v>54407</v>
      </c>
      <c r="X2205" s="181">
        <f>_xll.qlCalendarAdvance(Calendar,W2205,NDays&amp;"D")</f>
        <v>54409</v>
      </c>
      <c r="Y2205" s="178">
        <v>2.1393761268950678E-2</v>
      </c>
      <c r="Z2205" s="183">
        <v>2.1163167715476661E-2</v>
      </c>
    </row>
    <row r="2206" spans="22:26" x14ac:dyDescent="0.2">
      <c r="V2206" s="180" t="str">
        <f t="shared" si="42"/>
        <v>1w</v>
      </c>
      <c r="W2206" s="177">
        <f>_xll.qlCalendarAdvance(Calendar,W2205,V2206,"f",FALSE)</f>
        <v>54414</v>
      </c>
      <c r="X2206" s="181">
        <f>_xll.qlCalendarAdvance(Calendar,W2206,NDays&amp;"D")</f>
        <v>54416</v>
      </c>
      <c r="Y2206" s="178">
        <v>2.1393641906215531E-2</v>
      </c>
      <c r="Z2206" s="183">
        <v>2.116562332729055E-2</v>
      </c>
    </row>
    <row r="2207" spans="22:26" x14ac:dyDescent="0.2">
      <c r="V2207" s="180" t="str">
        <f t="shared" si="42"/>
        <v>1w</v>
      </c>
      <c r="W2207" s="177">
        <f>_xll.qlCalendarAdvance(Calendar,W2206,V2207,"f",FALSE)</f>
        <v>54421</v>
      </c>
      <c r="X2207" s="181">
        <f>_xll.qlCalendarAdvance(Calendar,W2207,NDays&amp;"D")</f>
        <v>54423</v>
      </c>
      <c r="Y2207" s="178">
        <v>2.1393498776709038E-2</v>
      </c>
      <c r="Z2207" s="183">
        <v>2.1166083177348582E-2</v>
      </c>
    </row>
    <row r="2208" spans="22:26" x14ac:dyDescent="0.2">
      <c r="V2208" s="180" t="str">
        <f t="shared" si="42"/>
        <v>1w</v>
      </c>
      <c r="W2208" s="177">
        <f>_xll.qlCalendarAdvance(Calendar,W2207,V2208,"f",FALSE)</f>
        <v>54428</v>
      </c>
      <c r="X2208" s="181">
        <f>_xll.qlCalendarAdvance(Calendar,W2208,NDays&amp;"D")</f>
        <v>54430</v>
      </c>
      <c r="Y2208" s="178">
        <v>2.1393331880441492E-2</v>
      </c>
      <c r="Z2208" s="183">
        <v>2.1164561977622398E-2</v>
      </c>
    </row>
    <row r="2209" spans="22:26" x14ac:dyDescent="0.2">
      <c r="V2209" s="180" t="str">
        <f t="shared" si="42"/>
        <v>1w</v>
      </c>
      <c r="W2209" s="177">
        <f>_xll.qlCalendarAdvance(Calendar,W2208,V2209,"f",FALSE)</f>
        <v>54435</v>
      </c>
      <c r="X2209" s="181">
        <f>_xll.qlCalendarAdvance(Calendar,W2209,NDays&amp;"D")</f>
        <v>54437</v>
      </c>
      <c r="Y2209" s="178">
        <v>2.1393141217424281E-2</v>
      </c>
      <c r="Z2209" s="183">
        <v>2.1164980204435579E-2</v>
      </c>
    </row>
    <row r="2210" spans="22:26" x14ac:dyDescent="0.2">
      <c r="V2210" s="180" t="str">
        <f t="shared" si="42"/>
        <v>1w</v>
      </c>
      <c r="W2210" s="177">
        <f>_xll.qlCalendarAdvance(Calendar,W2209,V2210,"f",FALSE)</f>
        <v>54442</v>
      </c>
      <c r="X2210" s="181">
        <f>_xll.qlCalendarAdvance(Calendar,W2210,NDays&amp;"D")</f>
        <v>54444</v>
      </c>
      <c r="Y2210" s="178">
        <v>2.1392926787671421E-2</v>
      </c>
      <c r="Z2210" s="183">
        <v>2.1165375167617739E-2</v>
      </c>
    </row>
    <row r="2211" spans="22:26" x14ac:dyDescent="0.2">
      <c r="V2211" s="180" t="str">
        <f t="shared" si="42"/>
        <v>1w</v>
      </c>
      <c r="W2211" s="177">
        <f>_xll.qlCalendarAdvance(Calendar,W2210,V2211,"f",FALSE)</f>
        <v>54449</v>
      </c>
      <c r="X2211" s="181">
        <f>_xll.qlCalendarAdvance(Calendar,W2211,NDays&amp;"D")</f>
        <v>54451</v>
      </c>
      <c r="Y2211" s="178">
        <v>2.1392688591198028E-2</v>
      </c>
      <c r="Z2211" s="183">
        <v>2.1165746867488622E-2</v>
      </c>
    </row>
    <row r="2212" spans="22:26" x14ac:dyDescent="0.2">
      <c r="V2212" s="180" t="str">
        <f t="shared" si="42"/>
        <v>1w</v>
      </c>
      <c r="W2212" s="177">
        <f>_xll.qlCalendarAdvance(Calendar,W2211,V2212,"f",FALSE)</f>
        <v>54456</v>
      </c>
      <c r="X2212" s="181">
        <f>_xll.qlCalendarAdvance(Calendar,W2212,NDays&amp;"D")</f>
        <v>54458</v>
      </c>
      <c r="Y2212" s="178">
        <v>2.1392426628020302E-2</v>
      </c>
      <c r="Z2212" s="183">
        <v>2.1166095303488675E-2</v>
      </c>
    </row>
    <row r="2213" spans="22:26" x14ac:dyDescent="0.2">
      <c r="V2213" s="180" t="str">
        <f t="shared" si="42"/>
        <v>1w</v>
      </c>
      <c r="W2213" s="177">
        <f>_xll.qlCalendarAdvance(Calendar,W2212,V2213,"f",FALSE)</f>
        <v>54463</v>
      </c>
      <c r="X2213" s="181">
        <f>_xll.qlCalendarAdvance(Calendar,W2213,NDays&amp;"D")</f>
        <v>54465</v>
      </c>
      <c r="Y2213" s="178">
        <v>2.1392140898157736E-2</v>
      </c>
      <c r="Z2213" s="183">
        <v>2.1166420476097514E-2</v>
      </c>
    </row>
    <row r="2214" spans="22:26" x14ac:dyDescent="0.2">
      <c r="V2214" s="180" t="str">
        <f t="shared" si="42"/>
        <v>1w</v>
      </c>
      <c r="W2214" s="177">
        <f>_xll.qlCalendarAdvance(Calendar,W2213,V2214,"f",FALSE)</f>
        <v>54470</v>
      </c>
      <c r="X2214" s="181">
        <f>_xll.qlCalendarAdvance(Calendar,W2214,NDays&amp;"D")</f>
        <v>54472</v>
      </c>
      <c r="Y2214" s="178">
        <v>2.1391831401629605E-2</v>
      </c>
      <c r="Z2214" s="183">
        <v>2.1166722385075332E-2</v>
      </c>
    </row>
    <row r="2215" spans="22:26" x14ac:dyDescent="0.2">
      <c r="V2215" s="180" t="str">
        <f t="shared" si="42"/>
        <v>1w</v>
      </c>
      <c r="W2215" s="177">
        <f>_xll.qlCalendarAdvance(Calendar,W2214,V2215,"f",FALSE)</f>
        <v>54477</v>
      </c>
      <c r="X2215" s="181">
        <f>_xll.qlCalendarAdvance(Calendar,W2215,NDays&amp;"D")</f>
        <v>54479</v>
      </c>
      <c r="Y2215" s="178">
        <v>2.1391498138458465E-2</v>
      </c>
      <c r="Z2215" s="183">
        <v>2.1167001030422128E-2</v>
      </c>
    </row>
    <row r="2216" spans="22:26" x14ac:dyDescent="0.2">
      <c r="V2216" s="180" t="str">
        <f t="shared" si="42"/>
        <v>1w</v>
      </c>
      <c r="W2216" s="177">
        <f>_xll.qlCalendarAdvance(Calendar,W2215,V2216,"f",FALSE)</f>
        <v>54484</v>
      </c>
      <c r="X2216" s="181">
        <f>_xll.qlCalendarAdvance(Calendar,W2216,NDays&amp;"D")</f>
        <v>54486</v>
      </c>
      <c r="Y2216" s="178">
        <v>2.1391141108667307E-2</v>
      </c>
      <c r="Z2216" s="183">
        <v>2.1167256412217839E-2</v>
      </c>
    </row>
    <row r="2217" spans="22:26" x14ac:dyDescent="0.2">
      <c r="V2217" s="180" t="str">
        <f t="shared" si="42"/>
        <v>1w</v>
      </c>
      <c r="W2217" s="177">
        <f>_xll.qlCalendarAdvance(Calendar,W2216,V2217,"f",FALSE)</f>
        <v>54491</v>
      </c>
      <c r="X2217" s="181">
        <f>_xll.qlCalendarAdvance(Calendar,W2217,NDays&amp;"D")</f>
        <v>54493</v>
      </c>
      <c r="Y2217" s="178">
        <v>2.1390760312282417E-2</v>
      </c>
      <c r="Z2217" s="183">
        <v>2.1167488530462464E-2</v>
      </c>
    </row>
    <row r="2218" spans="22:26" x14ac:dyDescent="0.2">
      <c r="V2218" s="180" t="str">
        <f t="shared" si="42"/>
        <v>1w</v>
      </c>
      <c r="W2218" s="177">
        <f>_xll.qlCalendarAdvance(Calendar,W2217,V2218,"f",FALSE)</f>
        <v>54498</v>
      </c>
      <c r="X2218" s="181">
        <f>_xll.qlCalendarAdvance(Calendar,W2218,NDays&amp;"D")</f>
        <v>54500</v>
      </c>
      <c r="Y2218" s="178">
        <v>2.1390355749329636E-2</v>
      </c>
      <c r="Z2218" s="183">
        <v>2.1167697385076067E-2</v>
      </c>
    </row>
    <row r="2219" spans="22:26" x14ac:dyDescent="0.2">
      <c r="V2219" s="180" t="str">
        <f t="shared" si="42"/>
        <v>1w</v>
      </c>
      <c r="W2219" s="177">
        <f>_xll.qlCalendarAdvance(Calendar,W2218,V2219,"f",FALSE)</f>
        <v>54505</v>
      </c>
      <c r="X2219" s="181">
        <f>_xll.qlCalendarAdvance(Calendar,W2219,NDays&amp;"D")</f>
        <v>54507</v>
      </c>
      <c r="Y2219" s="178">
        <v>2.1389927419837869E-2</v>
      </c>
      <c r="Z2219" s="183">
        <v>2.1167882976138586E-2</v>
      </c>
    </row>
    <row r="2220" spans="22:26" x14ac:dyDescent="0.2">
      <c r="V2220" s="180" t="str">
        <f t="shared" si="42"/>
        <v>1w</v>
      </c>
      <c r="W2220" s="177">
        <f>_xll.qlCalendarAdvance(Calendar,W2219,V2220,"f",FALSE)</f>
        <v>54512</v>
      </c>
      <c r="X2220" s="181">
        <f>_xll.qlCalendarAdvance(Calendar,W2220,NDays&amp;"D")</f>
        <v>54514</v>
      </c>
      <c r="Y2220" s="178">
        <v>2.1389475323838E-2</v>
      </c>
      <c r="Z2220" s="183">
        <v>2.1168045303570082E-2</v>
      </c>
    </row>
    <row r="2221" spans="22:26" x14ac:dyDescent="0.2">
      <c r="V2221" s="180" t="str">
        <f t="shared" si="42"/>
        <v>1w</v>
      </c>
      <c r="W2221" s="177">
        <f>_xll.qlCalendarAdvance(Calendar,W2220,V2221,"f",FALSE)</f>
        <v>54519</v>
      </c>
      <c r="X2221" s="181">
        <f>_xll.qlCalendarAdvance(Calendar,W2221,NDays&amp;"D")</f>
        <v>54521</v>
      </c>
      <c r="Y2221" s="178">
        <v>2.1391323382099779E-2</v>
      </c>
      <c r="Z2221" s="183">
        <v>2.1168184367450493E-2</v>
      </c>
    </row>
    <row r="2222" spans="22:26" x14ac:dyDescent="0.2">
      <c r="V2222" s="180" t="str">
        <f t="shared" si="42"/>
        <v>1w</v>
      </c>
      <c r="W2222" s="177">
        <f>_xll.qlCalendarAdvance(Calendar,W2221,V2222,"f",FALSE)</f>
        <v>54526</v>
      </c>
      <c r="X2222" s="181">
        <f>_xll.qlCalendarAdvance(Calendar,W2222,NDays&amp;"D")</f>
        <v>54528</v>
      </c>
      <c r="Y2222" s="178">
        <v>2.1388499832441846E-2</v>
      </c>
      <c r="Z2222" s="183">
        <v>2.1170818086421406E-2</v>
      </c>
    </row>
    <row r="2223" spans="22:26" x14ac:dyDescent="0.2">
      <c r="V2223" s="180" t="str">
        <f t="shared" si="42"/>
        <v>1w</v>
      </c>
      <c r="W2223" s="177">
        <f>_xll.qlCalendarAdvance(Calendar,W2222,V2223,"f",FALSE)</f>
        <v>54533</v>
      </c>
      <c r="X2223" s="181">
        <f>_xll.qlCalendarAdvance(Calendar,W2223,NDays&amp;"D")</f>
        <v>54535</v>
      </c>
      <c r="Y2223" s="178">
        <v>2.1387976437115205E-2</v>
      </c>
      <c r="Z2223" s="183">
        <v>2.1168392704637995E-2</v>
      </c>
    </row>
    <row r="2224" spans="22:26" x14ac:dyDescent="0.2">
      <c r="V2224" s="180" t="str">
        <f t="shared" si="42"/>
        <v>1w</v>
      </c>
      <c r="W2224" s="177">
        <f>_xll.qlCalendarAdvance(Calendar,W2223,V2224,"f",FALSE)</f>
        <v>54540</v>
      </c>
      <c r="X2224" s="181">
        <f>_xll.qlCalendarAdvance(Calendar,W2224,NDays&amp;"D")</f>
        <v>54542</v>
      </c>
      <c r="Y2224" s="178">
        <v>2.1387429275417775E-2</v>
      </c>
      <c r="Z2224" s="183">
        <v>2.1168461977705277E-2</v>
      </c>
    </row>
    <row r="2225" spans="22:26" x14ac:dyDescent="0.2">
      <c r="V2225" s="180" t="str">
        <f t="shared" si="42"/>
        <v>1w</v>
      </c>
      <c r="W2225" s="177">
        <f>_xll.qlCalendarAdvance(Calendar,W2224,V2225,"f",FALSE)</f>
        <v>54547</v>
      </c>
      <c r="X2225" s="181">
        <f>_xll.qlCalendarAdvance(Calendar,W2225,NDays&amp;"D")</f>
        <v>54549</v>
      </c>
      <c r="Y2225" s="178">
        <v>2.138685834738854E-2</v>
      </c>
      <c r="Z2225" s="183">
        <v>2.116850798730141E-2</v>
      </c>
    </row>
    <row r="2226" spans="22:26" x14ac:dyDescent="0.2">
      <c r="V2226" s="180" t="str">
        <f t="shared" si="42"/>
        <v>1w</v>
      </c>
      <c r="W2226" s="177">
        <f>_xll.qlCalendarAdvance(Calendar,W2225,V2226,"f",FALSE)</f>
        <v>54554</v>
      </c>
      <c r="X2226" s="181">
        <f>_xll.qlCalendarAdvance(Calendar,W2226,NDays&amp;"D")</f>
        <v>54556</v>
      </c>
      <c r="Y2226" s="178">
        <v>2.1386263653068231E-2</v>
      </c>
      <c r="Z2226" s="183">
        <v>2.1168530733346458E-2</v>
      </c>
    </row>
    <row r="2227" spans="22:26" x14ac:dyDescent="0.2">
      <c r="V2227" s="180" t="str">
        <f t="shared" si="42"/>
        <v>1w</v>
      </c>
      <c r="W2227" s="177">
        <f>_xll.qlCalendarAdvance(Calendar,W2226,V2227,"f",FALSE)</f>
        <v>54561</v>
      </c>
      <c r="X2227" s="181">
        <f>_xll.qlCalendarAdvance(Calendar,W2227,NDays&amp;"D")</f>
        <v>54563</v>
      </c>
      <c r="Y2227" s="178">
        <v>2.138564519249846E-2</v>
      </c>
      <c r="Z2227" s="183">
        <v>2.1168530215680548E-2</v>
      </c>
    </row>
    <row r="2228" spans="22:26" x14ac:dyDescent="0.2">
      <c r="V2228" s="180" t="str">
        <f t="shared" si="42"/>
        <v>1w</v>
      </c>
      <c r="W2228" s="177">
        <f>_xll.qlCalendarAdvance(Calendar,W2227,V2228,"f",FALSE)</f>
        <v>54568</v>
      </c>
      <c r="X2228" s="181">
        <f>_xll.qlCalendarAdvance(Calendar,W2228,NDays&amp;"D")</f>
        <v>54570</v>
      </c>
      <c r="Y2228" s="178">
        <v>2.1385002965723248E-2</v>
      </c>
      <c r="Z2228" s="183">
        <v>2.1168506434463552E-2</v>
      </c>
    </row>
    <row r="2229" spans="22:26" x14ac:dyDescent="0.2">
      <c r="V2229" s="180" t="str">
        <f t="shared" si="42"/>
        <v>1w</v>
      </c>
      <c r="W2229" s="177">
        <f>_xll.qlCalendarAdvance(Calendar,W2228,V2229,"f",FALSE)</f>
        <v>54575</v>
      </c>
      <c r="X2229" s="181">
        <f>_xll.qlCalendarAdvance(Calendar,W2229,NDays&amp;"D")</f>
        <v>54577</v>
      </c>
      <c r="Y2229" s="178">
        <v>2.1384336972787708E-2</v>
      </c>
      <c r="Z2229" s="183">
        <v>2.1168459389775407E-2</v>
      </c>
    </row>
    <row r="2230" spans="22:26" x14ac:dyDescent="0.2">
      <c r="V2230" s="180" t="str">
        <f t="shared" si="42"/>
        <v>1w</v>
      </c>
      <c r="W2230" s="177">
        <f>_xll.qlCalendarAdvance(Calendar,W2229,V2230,"f",FALSE)</f>
        <v>54582</v>
      </c>
      <c r="X2230" s="181">
        <f>_xll.qlCalendarAdvance(Calendar,W2230,NDays&amp;"D")</f>
        <v>54584</v>
      </c>
      <c r="Y2230" s="178">
        <v>2.1383647213739584E-2</v>
      </c>
      <c r="Z2230" s="183">
        <v>2.116838908145624E-2</v>
      </c>
    </row>
    <row r="2231" spans="22:26" x14ac:dyDescent="0.2">
      <c r="V2231" s="180" t="str">
        <f t="shared" si="42"/>
        <v>1w</v>
      </c>
      <c r="W2231" s="177">
        <f>_xll.qlCalendarAdvance(Calendar,W2230,V2231,"f",FALSE)</f>
        <v>54589</v>
      </c>
      <c r="X2231" s="181">
        <f>_xll.qlCalendarAdvance(Calendar,W2231,NDays&amp;"D")</f>
        <v>54591</v>
      </c>
      <c r="Y2231" s="178">
        <v>2.1382933688627054E-2</v>
      </c>
      <c r="Z2231" s="183">
        <v>2.1168295509506052E-2</v>
      </c>
    </row>
    <row r="2232" spans="22:26" x14ac:dyDescent="0.2">
      <c r="V2232" s="180" t="str">
        <f t="shared" si="42"/>
        <v>1w</v>
      </c>
      <c r="W2232" s="177">
        <f>_xll.qlCalendarAdvance(Calendar,W2231,V2232,"f",FALSE)</f>
        <v>54596</v>
      </c>
      <c r="X2232" s="181">
        <f>_xll.qlCalendarAdvance(Calendar,W2232,NDays&amp;"D")</f>
        <v>54598</v>
      </c>
      <c r="Y2232" s="178">
        <v>2.1382196397500931E-2</v>
      </c>
      <c r="Z2232" s="183">
        <v>2.1168178674004778E-2</v>
      </c>
    </row>
    <row r="2233" spans="22:26" x14ac:dyDescent="0.2">
      <c r="V2233" s="180" t="str">
        <f t="shared" si="42"/>
        <v>1w</v>
      </c>
      <c r="W2233" s="177">
        <f>_xll.qlCalendarAdvance(Calendar,W2232,V2233,"f",FALSE)</f>
        <v>54603</v>
      </c>
      <c r="X2233" s="181">
        <f>_xll.qlCalendarAdvance(Calendar,W2233,NDays&amp;"D")</f>
        <v>54605</v>
      </c>
      <c r="Y2233" s="178">
        <v>2.1381435340413334E-2</v>
      </c>
      <c r="Z2233" s="183">
        <v>2.1168038575032355E-2</v>
      </c>
    </row>
    <row r="2234" spans="22:26" x14ac:dyDescent="0.2">
      <c r="V2234" s="180" t="str">
        <f t="shared" si="42"/>
        <v>1w</v>
      </c>
      <c r="W2234" s="177">
        <f>_xll.qlCalendarAdvance(Calendar,W2233,V2234,"f",FALSE)</f>
        <v>54610</v>
      </c>
      <c r="X2234" s="181">
        <f>_xll.qlCalendarAdvance(Calendar,W2234,NDays&amp;"D")</f>
        <v>54612</v>
      </c>
      <c r="Y2234" s="178">
        <v>2.1380650517417919E-2</v>
      </c>
      <c r="Z2234" s="183">
        <v>2.1167875212348974E-2</v>
      </c>
    </row>
    <row r="2235" spans="22:26" x14ac:dyDescent="0.2">
      <c r="V2235" s="180" t="str">
        <f t="shared" si="42"/>
        <v>1w</v>
      </c>
      <c r="W2235" s="177">
        <f>_xll.qlCalendarAdvance(Calendar,W2234,V2235,"f",FALSE)</f>
        <v>54617</v>
      </c>
      <c r="X2235" s="181">
        <f>_xll.qlCalendarAdvance(Calendar,W2235,NDays&amp;"D")</f>
        <v>54619</v>
      </c>
      <c r="Y2235" s="178">
        <v>2.1379841928570752E-2</v>
      </c>
      <c r="Z2235" s="183">
        <v>2.1167688586034572E-2</v>
      </c>
    </row>
    <row r="2236" spans="22:26" x14ac:dyDescent="0.2">
      <c r="V2236" s="180" t="str">
        <f t="shared" si="42"/>
        <v>1w</v>
      </c>
      <c r="W2236" s="177">
        <f>_xll.qlCalendarAdvance(Calendar,W2235,V2236,"f",FALSE)</f>
        <v>54624</v>
      </c>
      <c r="X2236" s="181">
        <f>_xll.qlCalendarAdvance(Calendar,W2236,NDays&amp;"D")</f>
        <v>54626</v>
      </c>
      <c r="Y2236" s="178">
        <v>2.1379009573928555E-2</v>
      </c>
      <c r="Z2236" s="183">
        <v>2.1167478696328956E-2</v>
      </c>
    </row>
    <row r="2237" spans="22:26" x14ac:dyDescent="0.2">
      <c r="V2237" s="180" t="str">
        <f t="shared" si="42"/>
        <v>1w</v>
      </c>
      <c r="W2237" s="177">
        <f>_xll.qlCalendarAdvance(Calendar,W2236,V2237,"f",FALSE)</f>
        <v>54631</v>
      </c>
      <c r="X2237" s="181">
        <f>_xll.qlCalendarAdvance(Calendar,W2237,NDays&amp;"D")</f>
        <v>54633</v>
      </c>
      <c r="Y2237" s="178">
        <v>2.1378153453550021E-2</v>
      </c>
      <c r="Z2237" s="183">
        <v>2.1167245542832447E-2</v>
      </c>
    </row>
    <row r="2238" spans="22:26" x14ac:dyDescent="0.2">
      <c r="V2238" s="180" t="str">
        <f t="shared" si="42"/>
        <v>1w</v>
      </c>
      <c r="W2238" s="177">
        <f>_xll.qlCalendarAdvance(Calendar,W2237,V2238,"f",FALSE)</f>
        <v>54638</v>
      </c>
      <c r="X2238" s="181">
        <f>_xll.qlCalendarAdvance(Calendar,W2238,NDays&amp;"D")</f>
        <v>54640</v>
      </c>
      <c r="Y2238" s="178">
        <v>2.1377273567496469E-2</v>
      </c>
      <c r="Z2238" s="183">
        <v>2.1166989125864788E-2</v>
      </c>
    </row>
    <row r="2239" spans="22:26" x14ac:dyDescent="0.2">
      <c r="V2239" s="180" t="str">
        <f t="shared" si="42"/>
        <v>1w</v>
      </c>
      <c r="W2239" s="177">
        <f>_xll.qlCalendarAdvance(Calendar,W2238,V2239,"f",FALSE)</f>
        <v>54645</v>
      </c>
      <c r="X2239" s="181">
        <f>_xll.qlCalendarAdvance(Calendar,W2239,NDays&amp;"D")</f>
        <v>54647</v>
      </c>
      <c r="Y2239" s="178">
        <v>2.1376369915829439E-2</v>
      </c>
      <c r="Z2239" s="183">
        <v>2.1166709445346044E-2</v>
      </c>
    </row>
    <row r="2240" spans="22:26" x14ac:dyDescent="0.2">
      <c r="V2240" s="180" t="str">
        <f t="shared" si="42"/>
        <v>1w</v>
      </c>
      <c r="W2240" s="177">
        <f>_xll.qlCalendarAdvance(Calendar,W2239,V2240,"f",FALSE)</f>
        <v>54652</v>
      </c>
      <c r="X2240" s="181">
        <f>_xll.qlCalendarAdvance(Calendar,W2240,NDays&amp;"D")</f>
        <v>54654</v>
      </c>
      <c r="Y2240" s="178">
        <v>2.1375442498613322E-2</v>
      </c>
      <c r="Z2240" s="183">
        <v>2.1166406501196278E-2</v>
      </c>
    </row>
    <row r="2241" spans="22:26" x14ac:dyDescent="0.2">
      <c r="V2241" s="180" t="str">
        <f t="shared" si="42"/>
        <v>1w</v>
      </c>
      <c r="W2241" s="177">
        <f>_xll.qlCalendarAdvance(Calendar,W2240,V2241,"f",FALSE)</f>
        <v>54659</v>
      </c>
      <c r="X2241" s="181">
        <f>_xll.qlCalendarAdvance(Calendar,W2241,NDays&amp;"D")</f>
        <v>54661</v>
      </c>
      <c r="Y2241" s="178">
        <v>2.1374491315913374E-2</v>
      </c>
      <c r="Z2241" s="183">
        <v>2.116608029341549E-2</v>
      </c>
    </row>
    <row r="2242" spans="22:26" x14ac:dyDescent="0.2">
      <c r="V2242" s="180" t="str">
        <f t="shared" si="42"/>
        <v>1w</v>
      </c>
      <c r="W2242" s="177">
        <f>_xll.qlCalendarAdvance(Calendar,W2241,V2242,"f",FALSE)</f>
        <v>54666</v>
      </c>
      <c r="X2242" s="181">
        <f>_xll.qlCalendarAdvance(Calendar,W2242,NDays&amp;"D")</f>
        <v>54668</v>
      </c>
      <c r="Y2242" s="178">
        <v>2.137351636779727E-2</v>
      </c>
      <c r="Z2242" s="183">
        <v>2.1165730822163553E-2</v>
      </c>
    </row>
    <row r="2243" spans="22:26" x14ac:dyDescent="0.2">
      <c r="V2243" s="180" t="str">
        <f t="shared" si="42"/>
        <v>1w</v>
      </c>
      <c r="W2243" s="177">
        <f>_xll.qlCalendarAdvance(Calendar,W2242,V2243,"f",FALSE)</f>
        <v>54673</v>
      </c>
      <c r="X2243" s="181">
        <f>_xll.qlCalendarAdvance(Calendar,W2243,NDays&amp;"D")</f>
        <v>54675</v>
      </c>
      <c r="Y2243" s="178">
        <v>2.1372517654333782E-2</v>
      </c>
      <c r="Z2243" s="183">
        <v>2.1165358087280595E-2</v>
      </c>
    </row>
    <row r="2244" spans="22:26" x14ac:dyDescent="0.2">
      <c r="V2244" s="180" t="str">
        <f t="shared" si="42"/>
        <v>1w</v>
      </c>
      <c r="W2244" s="177">
        <f>_xll.qlCalendarAdvance(Calendar,W2243,V2244,"f",FALSE)</f>
        <v>54680</v>
      </c>
      <c r="X2244" s="181">
        <f>_xll.qlCalendarAdvance(Calendar,W2244,NDays&amp;"D")</f>
        <v>54682</v>
      </c>
      <c r="Y2244" s="178">
        <v>2.137149517559386E-2</v>
      </c>
      <c r="Z2244" s="183">
        <v>2.1164962088846551E-2</v>
      </c>
    </row>
    <row r="2245" spans="22:26" x14ac:dyDescent="0.2">
      <c r="V2245" s="180" t="str">
        <f t="shared" si="42"/>
        <v>1w</v>
      </c>
      <c r="W2245" s="177">
        <f>_xll.qlCalendarAdvance(Calendar,W2244,V2245,"f",FALSE)</f>
        <v>54687</v>
      </c>
      <c r="X2245" s="181">
        <f>_xll.qlCalendarAdvance(Calendar,W2245,NDays&amp;"D")</f>
        <v>54689</v>
      </c>
      <c r="Y2245" s="178">
        <v>2.1370448931649338E-2</v>
      </c>
      <c r="Z2245" s="183">
        <v>2.1164542826781485E-2</v>
      </c>
    </row>
    <row r="2246" spans="22:26" x14ac:dyDescent="0.2">
      <c r="V2246" s="180" t="str">
        <f t="shared" si="42"/>
        <v>1w</v>
      </c>
      <c r="W2246" s="177">
        <f>_xll.qlCalendarAdvance(Calendar,W2245,V2246,"f",FALSE)</f>
        <v>54694</v>
      </c>
      <c r="X2246" s="181">
        <f>_xll.qlCalendarAdvance(Calendar,W2246,NDays&amp;"D")</f>
        <v>54696</v>
      </c>
      <c r="Y2246" s="178">
        <v>2.1369378922574678E-2</v>
      </c>
      <c r="Z2246" s="183">
        <v>2.1164100301085398E-2</v>
      </c>
    </row>
    <row r="2247" spans="22:26" x14ac:dyDescent="0.2">
      <c r="V2247" s="180" t="str">
        <f t="shared" si="42"/>
        <v>1w</v>
      </c>
      <c r="W2247" s="177">
        <f>_xll.qlCalendarAdvance(Calendar,W2246,V2247,"f",FALSE)</f>
        <v>54701</v>
      </c>
      <c r="X2247" s="181">
        <f>_xll.qlCalendarAdvance(Calendar,W2247,NDays&amp;"D")</f>
        <v>54703</v>
      </c>
      <c r="Y2247" s="178">
        <v>2.1368285148445219E-2</v>
      </c>
      <c r="Z2247" s="183">
        <v>2.1163634511918161E-2</v>
      </c>
    </row>
    <row r="2248" spans="22:26" x14ac:dyDescent="0.2">
      <c r="V2248" s="180" t="str">
        <f t="shared" si="42"/>
        <v>1w</v>
      </c>
      <c r="W2248" s="177">
        <f>_xll.qlCalendarAdvance(Calendar,W2247,V2248,"f",FALSE)</f>
        <v>54708</v>
      </c>
      <c r="X2248" s="181">
        <f>_xll.qlCalendarAdvance(Calendar,W2248,NDays&amp;"D")</f>
        <v>54710</v>
      </c>
      <c r="Y2248" s="178">
        <v>2.1367167609338485E-2</v>
      </c>
      <c r="Z2248" s="183">
        <v>2.1163145459199839E-2</v>
      </c>
    </row>
    <row r="2249" spans="22:26" x14ac:dyDescent="0.2">
      <c r="V2249" s="180" t="str">
        <f t="shared" si="42"/>
        <v>1w</v>
      </c>
      <c r="W2249" s="177">
        <f>_xll.qlCalendarAdvance(Calendar,W2248,V2249,"f",FALSE)</f>
        <v>54715</v>
      </c>
      <c r="X2249" s="181">
        <f>_xll.qlCalendarAdvance(Calendar,W2249,NDays&amp;"D")</f>
        <v>54717</v>
      </c>
      <c r="Y2249" s="178">
        <v>2.1366026305333977E-2</v>
      </c>
      <c r="Z2249" s="183">
        <v>2.1162633142770559E-2</v>
      </c>
    </row>
    <row r="2250" spans="22:26" x14ac:dyDescent="0.2">
      <c r="V2250" s="180" t="str">
        <f t="shared" si="42"/>
        <v>1w</v>
      </c>
      <c r="W2250" s="177">
        <f>_xll.qlCalendarAdvance(Calendar,W2249,V2250,"f",FALSE)</f>
        <v>54722</v>
      </c>
      <c r="X2250" s="181">
        <f>_xll.qlCalendarAdvance(Calendar,W2250,NDays&amp;"D")</f>
        <v>54724</v>
      </c>
      <c r="Y2250" s="178">
        <v>2.1364861236511844E-2</v>
      </c>
      <c r="Z2250" s="183">
        <v>2.1162097562790194E-2</v>
      </c>
    </row>
    <row r="2251" spans="22:26" x14ac:dyDescent="0.2">
      <c r="V2251" s="180" t="str">
        <f t="shared" si="42"/>
        <v>1w</v>
      </c>
      <c r="W2251" s="177">
        <f>_xll.qlCalendarAdvance(Calendar,W2250,V2251,"f",FALSE)</f>
        <v>54729</v>
      </c>
      <c r="X2251" s="181">
        <f>_xll.qlCalendarAdvance(Calendar,W2251,NDays&amp;"D")</f>
        <v>54731</v>
      </c>
      <c r="Y2251" s="178">
        <v>2.1363672402954659E-2</v>
      </c>
      <c r="Z2251" s="183">
        <v>2.1161538719418616E-2</v>
      </c>
    </row>
    <row r="2252" spans="22:26" x14ac:dyDescent="0.2">
      <c r="V2252" s="180" t="str">
        <f t="shared" si="42"/>
        <v>1w</v>
      </c>
      <c r="W2252" s="177">
        <f>_xll.qlCalendarAdvance(Calendar,W2251,V2252,"f",FALSE)</f>
        <v>54736</v>
      </c>
      <c r="X2252" s="181">
        <f>_xll.qlCalendarAdvance(Calendar,W2252,NDays&amp;"D")</f>
        <v>54738</v>
      </c>
      <c r="Y2252" s="178">
        <v>2.136245980474695E-2</v>
      </c>
      <c r="Z2252" s="183">
        <v>2.1160956612256143E-2</v>
      </c>
    </row>
    <row r="2253" spans="22:26" x14ac:dyDescent="0.2">
      <c r="V2253" s="180" t="str">
        <f t="shared" si="42"/>
        <v>1w</v>
      </c>
      <c r="W2253" s="177">
        <f>_xll.qlCalendarAdvance(Calendar,W2252,V2253,"f",FALSE)</f>
        <v>54743</v>
      </c>
      <c r="X2253" s="181">
        <f>_xll.qlCalendarAdvance(Calendar,W2253,NDays&amp;"D")</f>
        <v>54745</v>
      </c>
      <c r="Y2253" s="178">
        <v>2.1361223441973914E-2</v>
      </c>
      <c r="Z2253" s="183">
        <v>2.1160351241462649E-2</v>
      </c>
    </row>
    <row r="2254" spans="22:26" x14ac:dyDescent="0.2">
      <c r="V2254" s="180" t="str">
        <f t="shared" si="42"/>
        <v>1w</v>
      </c>
      <c r="W2254" s="177">
        <f>_xll.qlCalendarAdvance(Calendar,W2253,V2254,"f",FALSE)</f>
        <v>54750</v>
      </c>
      <c r="X2254" s="181">
        <f>_xll.qlCalendarAdvance(Calendar,W2254,NDays&amp;"D")</f>
        <v>54752</v>
      </c>
      <c r="Y2254" s="178">
        <v>2.1359963314723587E-2</v>
      </c>
      <c r="Z2254" s="183">
        <v>2.1159722607277942E-2</v>
      </c>
    </row>
    <row r="2255" spans="22:26" x14ac:dyDescent="0.2">
      <c r="V2255" s="180" t="str">
        <f t="shared" si="42"/>
        <v>1w</v>
      </c>
      <c r="W2255" s="177">
        <f>_xll.qlCalendarAdvance(Calendar,W2254,V2255,"f",FALSE)</f>
        <v>54757</v>
      </c>
      <c r="X2255" s="181">
        <f>_xll.qlCalendarAdvance(Calendar,W2255,NDays&amp;"D")</f>
        <v>54759</v>
      </c>
      <c r="Y2255" s="178">
        <v>2.1358679423084666E-2</v>
      </c>
      <c r="Z2255" s="183">
        <v>2.1159070709462213E-2</v>
      </c>
    </row>
    <row r="2256" spans="22:26" x14ac:dyDescent="0.2">
      <c r="V2256" s="180" t="str">
        <f t="shared" si="42"/>
        <v>1w</v>
      </c>
      <c r="W2256" s="177">
        <f>_xll.qlCalendarAdvance(Calendar,W2255,V2256,"f",FALSE)</f>
        <v>54764</v>
      </c>
      <c r="X2256" s="181">
        <f>_xll.qlCalendarAdvance(Calendar,W2256,NDays&amp;"D")</f>
        <v>54766</v>
      </c>
      <c r="Y2256" s="178">
        <v>2.1357371767148255E-2</v>
      </c>
      <c r="Z2256" s="183">
        <v>2.1158395548095399E-2</v>
      </c>
    </row>
    <row r="2257" spans="22:26" x14ac:dyDescent="0.2">
      <c r="V2257" s="180" t="str">
        <f t="shared" si="42"/>
        <v>1w</v>
      </c>
      <c r="W2257" s="177">
        <f>_xll.qlCalendarAdvance(Calendar,W2256,V2257,"f",FALSE)</f>
        <v>54771</v>
      </c>
      <c r="X2257" s="181">
        <f>_xll.qlCalendarAdvance(Calendar,W2257,NDays&amp;"D")</f>
        <v>54773</v>
      </c>
      <c r="Y2257" s="178">
        <v>2.1356040347006774E-2</v>
      </c>
      <c r="Z2257" s="183">
        <v>2.1157697123017627E-2</v>
      </c>
    </row>
    <row r="2258" spans="22:26" x14ac:dyDescent="0.2">
      <c r="V2258" s="180" t="str">
        <f t="shared" si="42"/>
        <v>1w</v>
      </c>
      <c r="W2258" s="177">
        <f>_xll.qlCalendarAdvance(Calendar,W2257,V2258,"f",FALSE)</f>
        <v>54778</v>
      </c>
      <c r="X2258" s="181">
        <f>_xll.qlCalendarAdvance(Calendar,W2258,NDays&amp;"D")</f>
        <v>54780</v>
      </c>
      <c r="Y2258" s="178">
        <v>2.1354685162754398E-2</v>
      </c>
      <c r="Z2258" s="183">
        <v>2.1156975434468706E-2</v>
      </c>
    </row>
    <row r="2259" spans="22:26" x14ac:dyDescent="0.2">
      <c r="V2259" s="180" t="str">
        <f t="shared" si="42"/>
        <v>1w</v>
      </c>
      <c r="W2259" s="177">
        <f>_xll.qlCalendarAdvance(Calendar,W2258,V2259,"f",FALSE)</f>
        <v>54785</v>
      </c>
      <c r="X2259" s="181">
        <f>_xll.qlCalendarAdvance(Calendar,W2259,NDays&amp;"D")</f>
        <v>54787</v>
      </c>
      <c r="Y2259" s="178">
        <v>2.1353306214487045E-2</v>
      </c>
      <c r="Z2259" s="183">
        <v>2.1156230482288763E-2</v>
      </c>
    </row>
    <row r="2260" spans="22:26" x14ac:dyDescent="0.2">
      <c r="V2260" s="180" t="str">
        <f t="shared" si="42"/>
        <v>1w</v>
      </c>
      <c r="W2260" s="177">
        <f>_xll.qlCalendarAdvance(Calendar,W2259,V2260,"f",FALSE)</f>
        <v>54792</v>
      </c>
      <c r="X2260" s="181">
        <f>_xll.qlCalendarAdvance(Calendar,W2260,NDays&amp;"D")</f>
        <v>54794</v>
      </c>
      <c r="Y2260" s="178">
        <v>2.1351903502302611E-2</v>
      </c>
      <c r="Z2260" s="183">
        <v>2.1155462266477798E-2</v>
      </c>
    </row>
    <row r="2261" spans="22:26" x14ac:dyDescent="0.2">
      <c r="V2261" s="180" t="str">
        <f t="shared" ref="V2261:V2324" si="43">V2260</f>
        <v>1w</v>
      </c>
      <c r="W2261" s="177">
        <f>_xll.qlCalendarAdvance(Calendar,W2260,V2261,"f",FALSE)</f>
        <v>54799</v>
      </c>
      <c r="X2261" s="181">
        <f>_xll.qlCalendarAdvance(Calendar,W2261,NDays&amp;"D")</f>
        <v>54801</v>
      </c>
      <c r="Y2261" s="178">
        <v>2.1350477026299646E-2</v>
      </c>
      <c r="Z2261" s="183">
        <v>2.1154670787195684E-2</v>
      </c>
    </row>
    <row r="2262" spans="22:26" x14ac:dyDescent="0.2">
      <c r="V2262" s="180" t="str">
        <f t="shared" si="43"/>
        <v>1w</v>
      </c>
      <c r="W2262" s="177">
        <f>_xll.qlCalendarAdvance(Calendar,W2261,V2262,"f",FALSE)</f>
        <v>54806</v>
      </c>
      <c r="X2262" s="181">
        <f>_xll.qlCalendarAdvance(Calendar,W2262,NDays&amp;"D")</f>
        <v>54808</v>
      </c>
      <c r="Y2262" s="178">
        <v>2.1349026786579992E-2</v>
      </c>
      <c r="Z2262" s="183">
        <v>2.1153856044362485E-2</v>
      </c>
    </row>
    <row r="2263" spans="22:26" x14ac:dyDescent="0.2">
      <c r="V2263" s="180" t="str">
        <f t="shared" si="43"/>
        <v>1w</v>
      </c>
      <c r="W2263" s="177">
        <f>_xll.qlCalendarAdvance(Calendar,W2262,V2263,"f",FALSE)</f>
        <v>54813</v>
      </c>
      <c r="X2263" s="181">
        <f>_xll.qlCalendarAdvance(Calendar,W2263,NDays&amp;"D")</f>
        <v>54815</v>
      </c>
      <c r="Y2263" s="178">
        <v>2.1347552783245478E-2</v>
      </c>
      <c r="Z2263" s="183">
        <v>2.1153018037898264E-2</v>
      </c>
    </row>
    <row r="2264" spans="22:26" x14ac:dyDescent="0.2">
      <c r="V2264" s="180" t="str">
        <f t="shared" si="43"/>
        <v>1w</v>
      </c>
      <c r="W2264" s="177">
        <f>_xll.qlCalendarAdvance(Calendar,W2263,V2264,"f",FALSE)</f>
        <v>54820</v>
      </c>
      <c r="X2264" s="181">
        <f>_xll.qlCalendarAdvance(Calendar,W2264,NDays&amp;"D")</f>
        <v>54822</v>
      </c>
      <c r="Y2264" s="178">
        <v>2.1346055016400356E-2</v>
      </c>
      <c r="Z2264" s="183">
        <v>2.1152156767803021E-2</v>
      </c>
    </row>
    <row r="2265" spans="22:26" x14ac:dyDescent="0.2">
      <c r="V2265" s="180" t="str">
        <f t="shared" si="43"/>
        <v>1w</v>
      </c>
      <c r="W2265" s="177">
        <f>_xll.qlCalendarAdvance(Calendar,W2264,V2265,"f",FALSE)</f>
        <v>54827</v>
      </c>
      <c r="X2265" s="181">
        <f>_xll.qlCalendarAdvance(Calendar,W2265,NDays&amp;"D")</f>
        <v>54829</v>
      </c>
      <c r="Y2265" s="178">
        <v>2.1344533486151274E-2</v>
      </c>
      <c r="Z2265" s="183">
        <v>2.1151272234316565E-2</v>
      </c>
    </row>
    <row r="2266" spans="22:26" x14ac:dyDescent="0.2">
      <c r="V2266" s="180" t="str">
        <f t="shared" si="43"/>
        <v>1w</v>
      </c>
      <c r="W2266" s="177">
        <f>_xll.qlCalendarAdvance(Calendar,W2265,V2266,"f",FALSE)</f>
        <v>54834</v>
      </c>
      <c r="X2266" s="181">
        <f>_xll.qlCalendarAdvance(Calendar,W2266,NDays&amp;"D")</f>
        <v>54836</v>
      </c>
      <c r="Y2266" s="178">
        <v>2.1342988192605328E-2</v>
      </c>
      <c r="Z2266" s="183">
        <v>2.1150364437039215E-2</v>
      </c>
    </row>
    <row r="2267" spans="22:26" x14ac:dyDescent="0.2">
      <c r="V2267" s="180" t="str">
        <f t="shared" si="43"/>
        <v>1w</v>
      </c>
      <c r="W2267" s="177">
        <f>_xll.qlCalendarAdvance(Calendar,W2266,V2267,"f",FALSE)</f>
        <v>54841</v>
      </c>
      <c r="X2267" s="181">
        <f>_xll.qlCalendarAdvance(Calendar,W2267,NDays&amp;"D")</f>
        <v>54843</v>
      </c>
      <c r="Y2267" s="178">
        <v>2.1341419135872019E-2</v>
      </c>
      <c r="Z2267" s="183">
        <v>2.114943337621078E-2</v>
      </c>
    </row>
    <row r="2268" spans="22:26" x14ac:dyDescent="0.2">
      <c r="V2268" s="180" t="str">
        <f t="shared" si="43"/>
        <v>1w</v>
      </c>
      <c r="W2268" s="177">
        <f>_xll.qlCalendarAdvance(Calendar,W2267,V2268,"f",FALSE)</f>
        <v>54848</v>
      </c>
      <c r="X2268" s="181">
        <f>_xll.qlCalendarAdvance(Calendar,W2268,NDays&amp;"D")</f>
        <v>54850</v>
      </c>
      <c r="Y2268" s="178">
        <v>2.1339826316062384E-2</v>
      </c>
      <c r="Z2268" s="183">
        <v>2.1148479051831259E-2</v>
      </c>
    </row>
    <row r="2269" spans="22:26" x14ac:dyDescent="0.2">
      <c r="V2269" s="180" t="str">
        <f t="shared" si="43"/>
        <v>1w</v>
      </c>
      <c r="W2269" s="177">
        <f>_xll.qlCalendarAdvance(Calendar,W2268,V2269,"f",FALSE)</f>
        <v>54855</v>
      </c>
      <c r="X2269" s="181">
        <f>_xll.qlCalendarAdvance(Calendar,W2269,NDays&amp;"D")</f>
        <v>54857</v>
      </c>
      <c r="Y2269" s="178">
        <v>2.1338209733289423E-2</v>
      </c>
      <c r="Z2269" s="183">
        <v>2.1147501463980589E-2</v>
      </c>
    </row>
    <row r="2270" spans="22:26" x14ac:dyDescent="0.2">
      <c r="V2270" s="180" t="str">
        <f t="shared" si="43"/>
        <v>1w</v>
      </c>
      <c r="W2270" s="177">
        <f>_xll.qlCalendarAdvance(Calendar,W2269,V2270,"f",FALSE)</f>
        <v>54862</v>
      </c>
      <c r="X2270" s="181">
        <f>_xll.qlCalendarAdvance(Calendar,W2270,NDays&amp;"D")</f>
        <v>54864</v>
      </c>
      <c r="Y2270" s="178">
        <v>2.133656938766702E-2</v>
      </c>
      <c r="Z2270" s="183">
        <v>2.1146500612498897E-2</v>
      </c>
    </row>
    <row r="2271" spans="22:26" x14ac:dyDescent="0.2">
      <c r="V2271" s="180" t="str">
        <f t="shared" si="43"/>
        <v>1w</v>
      </c>
      <c r="W2271" s="177">
        <f>_xll.qlCalendarAdvance(Calendar,W2270,V2271,"f",FALSE)</f>
        <v>54869</v>
      </c>
      <c r="X2271" s="181">
        <f>_xll.qlCalendarAdvance(Calendar,W2271,NDays&amp;"D")</f>
        <v>54871</v>
      </c>
      <c r="Y2271" s="178">
        <v>2.1334905279311249E-2</v>
      </c>
      <c r="Z2271" s="183">
        <v>2.1145476497306248E-2</v>
      </c>
    </row>
    <row r="2272" spans="22:26" x14ac:dyDescent="0.2">
      <c r="V2272" s="180" t="str">
        <f t="shared" si="43"/>
        <v>1w</v>
      </c>
      <c r="W2272" s="177">
        <f>_xll.qlCalendarAdvance(Calendar,W2271,V2272,"f",FALSE)</f>
        <v>54876</v>
      </c>
      <c r="X2272" s="181">
        <f>_xll.qlCalendarAdvance(Calendar,W2272,NDays&amp;"D")</f>
        <v>54878</v>
      </c>
      <c r="Y2272" s="178">
        <v>2.1332725911734692E-2</v>
      </c>
      <c r="Z2272" s="183">
        <v>2.1144429118722385E-2</v>
      </c>
    </row>
    <row r="2273" spans="22:26" x14ac:dyDescent="0.2">
      <c r="V2273" s="180" t="str">
        <f t="shared" si="43"/>
        <v>1w</v>
      </c>
      <c r="W2273" s="177">
        <f>_xll.qlCalendarAdvance(Calendar,W2272,V2273,"f",FALSE)</f>
        <v>54883</v>
      </c>
      <c r="X2273" s="181">
        <f>_xll.qlCalendarAdvance(Calendar,W2273,NDays&amp;"D")</f>
        <v>54885</v>
      </c>
      <c r="Y2273" s="178">
        <v>2.133150577487308E-2</v>
      </c>
      <c r="Z2273" s="183">
        <v>2.1145531468357959E-2</v>
      </c>
    </row>
    <row r="2274" spans="22:26" x14ac:dyDescent="0.2">
      <c r="V2274" s="180" t="str">
        <f t="shared" si="43"/>
        <v>1w</v>
      </c>
      <c r="W2274" s="177">
        <f>_xll.qlCalendarAdvance(Calendar,W2273,V2274,"f",FALSE)</f>
        <v>54890</v>
      </c>
      <c r="X2274" s="181">
        <f>_xll.qlCalendarAdvance(Calendar,W2274,NDays&amp;"D")</f>
        <v>54892</v>
      </c>
      <c r="Y2274" s="178">
        <v>2.1329770379031145E-2</v>
      </c>
      <c r="Z2274" s="183">
        <v>2.1142264570581659E-2</v>
      </c>
    </row>
    <row r="2275" spans="22:26" x14ac:dyDescent="0.2">
      <c r="V2275" s="180" t="str">
        <f t="shared" si="43"/>
        <v>1w</v>
      </c>
      <c r="W2275" s="177">
        <f>_xll.qlCalendarAdvance(Calendar,W2274,V2275,"f",FALSE)</f>
        <v>54897</v>
      </c>
      <c r="X2275" s="181">
        <f>_xll.qlCalendarAdvance(Calendar,W2275,NDays&amp;"D")</f>
        <v>54899</v>
      </c>
      <c r="Y2275" s="178">
        <v>2.1328011220936992E-2</v>
      </c>
      <c r="Z2275" s="183">
        <v>2.1141147401184668E-2</v>
      </c>
    </row>
    <row r="2276" spans="22:26" x14ac:dyDescent="0.2">
      <c r="V2276" s="180" t="str">
        <f t="shared" si="43"/>
        <v>1w</v>
      </c>
      <c r="W2276" s="177">
        <f>_xll.qlCalendarAdvance(Calendar,W2275,V2276,"f",FALSE)</f>
        <v>54904</v>
      </c>
      <c r="X2276" s="181">
        <f>_xll.qlCalendarAdvance(Calendar,W2276,NDays&amp;"D")</f>
        <v>54906</v>
      </c>
      <c r="Y2276" s="178">
        <v>2.1326228300715011E-2</v>
      </c>
      <c r="Z2276" s="183">
        <v>2.1140006968236591E-2</v>
      </c>
    </row>
    <row r="2277" spans="22:26" x14ac:dyDescent="0.2">
      <c r="V2277" s="180" t="str">
        <f t="shared" si="43"/>
        <v>1w</v>
      </c>
      <c r="W2277" s="177">
        <f>_xll.qlCalendarAdvance(Calendar,W2276,V2277,"f",FALSE)</f>
        <v>54911</v>
      </c>
      <c r="X2277" s="181">
        <f>_xll.qlCalendarAdvance(Calendar,W2277,NDays&amp;"D")</f>
        <v>54913</v>
      </c>
      <c r="Y2277" s="178">
        <v>2.132442161849157E-2</v>
      </c>
      <c r="Z2277" s="183">
        <v>2.1138843271737429E-2</v>
      </c>
    </row>
    <row r="2278" spans="22:26" x14ac:dyDescent="0.2">
      <c r="V2278" s="180" t="str">
        <f t="shared" si="43"/>
        <v>1w</v>
      </c>
      <c r="W2278" s="177">
        <f>_xll.qlCalendarAdvance(Calendar,W2277,V2278,"f",FALSE)</f>
        <v>54918</v>
      </c>
      <c r="X2278" s="181">
        <f>_xll.qlCalendarAdvance(Calendar,W2278,NDays&amp;"D")</f>
        <v>54920</v>
      </c>
      <c r="Y2278" s="178">
        <v>2.132259117439456E-2</v>
      </c>
      <c r="Z2278" s="183">
        <v>2.1137656311527309E-2</v>
      </c>
    </row>
    <row r="2279" spans="22:26" x14ac:dyDescent="0.2">
      <c r="V2279" s="180" t="str">
        <f t="shared" si="43"/>
        <v>1w</v>
      </c>
      <c r="W2279" s="177">
        <f>_xll.qlCalendarAdvance(Calendar,W2278,V2279,"f",FALSE)</f>
        <v>54925</v>
      </c>
      <c r="X2279" s="181">
        <f>_xll.qlCalendarAdvance(Calendar,W2279,NDays&amp;"D")</f>
        <v>54927</v>
      </c>
      <c r="Y2279" s="178">
        <v>2.1320736968553199E-2</v>
      </c>
      <c r="Z2279" s="183">
        <v>2.1136446087846039E-2</v>
      </c>
    </row>
    <row r="2280" spans="22:26" x14ac:dyDescent="0.2">
      <c r="V2280" s="180" t="str">
        <f t="shared" si="43"/>
        <v>1w</v>
      </c>
      <c r="W2280" s="177">
        <f>_xll.qlCalendarAdvance(Calendar,W2279,V2280,"f",FALSE)</f>
        <v>54932</v>
      </c>
      <c r="X2280" s="181">
        <f>_xll.qlCalendarAdvance(Calendar,W2280,NDays&amp;"D")</f>
        <v>54934</v>
      </c>
      <c r="Y2280" s="178">
        <v>2.1318859001098887E-2</v>
      </c>
      <c r="Z2280" s="183">
        <v>2.113521260069362E-2</v>
      </c>
    </row>
    <row r="2281" spans="22:26" x14ac:dyDescent="0.2">
      <c r="V2281" s="180" t="str">
        <f t="shared" si="43"/>
        <v>1w</v>
      </c>
      <c r="W2281" s="177">
        <f>_xll.qlCalendarAdvance(Calendar,W2280,V2281,"f",FALSE)</f>
        <v>54939</v>
      </c>
      <c r="X2281" s="181">
        <f>_xll.qlCalendarAdvance(Calendar,W2281,NDays&amp;"D")</f>
        <v>54941</v>
      </c>
      <c r="Y2281" s="178">
        <v>2.1316957272164559E-2</v>
      </c>
      <c r="Z2281" s="183">
        <v>2.1133955849830244E-2</v>
      </c>
    </row>
    <row r="2282" spans="22:26" x14ac:dyDescent="0.2">
      <c r="V2282" s="180" t="str">
        <f t="shared" si="43"/>
        <v>1w</v>
      </c>
      <c r="W2282" s="177">
        <f>_xll.qlCalendarAdvance(Calendar,W2281,V2282,"f",FALSE)</f>
        <v>54946</v>
      </c>
      <c r="X2282" s="181">
        <f>_xll.qlCalendarAdvance(Calendar,W2282,NDays&amp;"D")</f>
        <v>54948</v>
      </c>
      <c r="Y2282" s="178">
        <v>2.1315031781884684E-2</v>
      </c>
      <c r="Z2282" s="183">
        <v>2.1132675835335846E-2</v>
      </c>
    </row>
    <row r="2283" spans="22:26" x14ac:dyDescent="0.2">
      <c r="V2283" s="180" t="str">
        <f t="shared" si="43"/>
        <v>1w</v>
      </c>
      <c r="W2283" s="177">
        <f>_xll.qlCalendarAdvance(Calendar,W2282,V2283,"f",FALSE)</f>
        <v>54953</v>
      </c>
      <c r="X2283" s="181">
        <f>_xll.qlCalendarAdvance(Calendar,W2283,NDays&amp;"D")</f>
        <v>54955</v>
      </c>
      <c r="Y2283" s="178">
        <v>2.131308253039526E-2</v>
      </c>
      <c r="Z2283" s="183">
        <v>2.1131372557450234E-2</v>
      </c>
    </row>
    <row r="2284" spans="22:26" x14ac:dyDescent="0.2">
      <c r="V2284" s="180" t="str">
        <f t="shared" si="43"/>
        <v>1w</v>
      </c>
      <c r="W2284" s="177">
        <f>_xll.qlCalendarAdvance(Calendar,W2283,V2284,"f",FALSE)</f>
        <v>54960</v>
      </c>
      <c r="X2284" s="181">
        <f>_xll.qlCalendarAdvance(Calendar,W2284,NDays&amp;"D")</f>
        <v>54962</v>
      </c>
      <c r="Y2284" s="178">
        <v>2.1311109517834478E-2</v>
      </c>
      <c r="Z2284" s="183">
        <v>2.1130046015853665E-2</v>
      </c>
    </row>
    <row r="2285" spans="22:26" x14ac:dyDescent="0.2">
      <c r="V2285" s="180" t="str">
        <f t="shared" si="43"/>
        <v>1w</v>
      </c>
      <c r="W2285" s="177">
        <f>_xll.qlCalendarAdvance(Calendar,W2284,V2285,"f",FALSE)</f>
        <v>54967</v>
      </c>
      <c r="X2285" s="181">
        <f>_xll.qlCalendarAdvance(Calendar,W2285,NDays&amp;"D")</f>
        <v>54969</v>
      </c>
      <c r="Y2285" s="178">
        <v>2.1309112744341843E-2</v>
      </c>
      <c r="Z2285" s="183">
        <v>2.1128696210626075E-2</v>
      </c>
    </row>
    <row r="2286" spans="22:26" x14ac:dyDescent="0.2">
      <c r="V2286" s="180" t="str">
        <f t="shared" si="43"/>
        <v>1w</v>
      </c>
      <c r="W2286" s="177">
        <f>_xll.qlCalendarAdvance(Calendar,W2285,V2286,"f",FALSE)</f>
        <v>54974</v>
      </c>
      <c r="X2286" s="181">
        <f>_xll.qlCalendarAdvance(Calendar,W2286,NDays&amp;"D")</f>
        <v>54976</v>
      </c>
      <c r="Y2286" s="178">
        <v>2.1307092210058835E-2</v>
      </c>
      <c r="Z2286" s="183">
        <v>2.1127323141927334E-2</v>
      </c>
    </row>
    <row r="2287" spans="22:26" x14ac:dyDescent="0.2">
      <c r="V2287" s="180" t="str">
        <f t="shared" si="43"/>
        <v>1w</v>
      </c>
      <c r="W2287" s="177">
        <f>_xll.qlCalendarAdvance(Calendar,W2286,V2287,"f",FALSE)</f>
        <v>54981</v>
      </c>
      <c r="X2287" s="181">
        <f>_xll.qlCalendarAdvance(Calendar,W2287,NDays&amp;"D")</f>
        <v>54983</v>
      </c>
      <c r="Y2287" s="178">
        <v>2.1305047915127797E-2</v>
      </c>
      <c r="Z2287" s="183">
        <v>2.1125926809757445E-2</v>
      </c>
    </row>
    <row r="2288" spans="22:26" x14ac:dyDescent="0.2">
      <c r="V2288" s="180" t="str">
        <f t="shared" si="43"/>
        <v>1w</v>
      </c>
      <c r="W2288" s="177">
        <f>_xll.qlCalendarAdvance(Calendar,W2287,V2288,"f",FALSE)</f>
        <v>54988</v>
      </c>
      <c r="X2288" s="181">
        <f>_xll.qlCalendarAdvance(Calendar,W2288,NDays&amp;"D")</f>
        <v>54990</v>
      </c>
      <c r="Y2288" s="178">
        <v>2.1302979859694156E-2</v>
      </c>
      <c r="Z2288" s="183">
        <v>2.1124507213876598E-2</v>
      </c>
    </row>
    <row r="2289" spans="22:26" x14ac:dyDescent="0.2">
      <c r="V2289" s="180" t="str">
        <f t="shared" si="43"/>
        <v>1w</v>
      </c>
      <c r="W2289" s="177">
        <f>_xll.qlCalendarAdvance(Calendar,W2288,V2289,"f",FALSE)</f>
        <v>54995</v>
      </c>
      <c r="X2289" s="181">
        <f>_xll.qlCalendarAdvance(Calendar,W2289,NDays&amp;"D")</f>
        <v>54997</v>
      </c>
      <c r="Y2289" s="178">
        <v>2.1300888043903766E-2</v>
      </c>
      <c r="Z2289" s="183">
        <v>2.1123064354364729E-2</v>
      </c>
    </row>
    <row r="2290" spans="22:26" x14ac:dyDescent="0.2">
      <c r="V2290" s="180" t="str">
        <f t="shared" si="43"/>
        <v>1w</v>
      </c>
      <c r="W2290" s="177">
        <f>_xll.qlCalendarAdvance(Calendar,W2289,V2290,"f",FALSE)</f>
        <v>55002</v>
      </c>
      <c r="X2290" s="181">
        <f>_xll.qlCalendarAdvance(Calendar,W2290,NDays&amp;"D")</f>
        <v>55004</v>
      </c>
      <c r="Y2290" s="178">
        <v>2.1298772467904667E-2</v>
      </c>
      <c r="Z2290" s="183">
        <v>2.1121598231381711E-2</v>
      </c>
    </row>
    <row r="2291" spans="22:26" x14ac:dyDescent="0.2">
      <c r="V2291" s="180" t="str">
        <f t="shared" si="43"/>
        <v>1w</v>
      </c>
      <c r="W2291" s="177">
        <f>_xll.qlCalendarAdvance(Calendar,W2290,V2291,"f",FALSE)</f>
        <v>55009</v>
      </c>
      <c r="X2291" s="181">
        <f>_xll.qlCalendarAdvance(Calendar,W2291,NDays&amp;"D")</f>
        <v>55011</v>
      </c>
      <c r="Y2291" s="178">
        <v>2.1296633131846883E-2</v>
      </c>
      <c r="Z2291" s="183">
        <v>2.1120108844847607E-2</v>
      </c>
    </row>
    <row r="2292" spans="22:26" x14ac:dyDescent="0.2">
      <c r="V2292" s="180" t="str">
        <f t="shared" si="43"/>
        <v>1w</v>
      </c>
      <c r="W2292" s="177">
        <f>_xll.qlCalendarAdvance(Calendar,W2291,V2292,"f",FALSE)</f>
        <v>55016</v>
      </c>
      <c r="X2292" s="181">
        <f>_xll.qlCalendarAdvance(Calendar,W2292,NDays&amp;"D")</f>
        <v>55018</v>
      </c>
      <c r="Y2292" s="178">
        <v>2.1294470035881086E-2</v>
      </c>
      <c r="Z2292" s="183">
        <v>2.1118596194682482E-2</v>
      </c>
    </row>
    <row r="2293" spans="22:26" x14ac:dyDescent="0.2">
      <c r="V2293" s="180" t="str">
        <f t="shared" si="43"/>
        <v>1w</v>
      </c>
      <c r="W2293" s="177">
        <f>_xll.qlCalendarAdvance(Calendar,W2292,V2293,"f",FALSE)</f>
        <v>55023</v>
      </c>
      <c r="X2293" s="181">
        <f>_xll.qlCalendarAdvance(Calendar,W2293,NDays&amp;"D")</f>
        <v>55025</v>
      </c>
      <c r="Y2293" s="178">
        <v>2.1292283180160795E-2</v>
      </c>
      <c r="Z2293" s="183">
        <v>2.1117060280886335E-2</v>
      </c>
    </row>
    <row r="2294" spans="22:26" x14ac:dyDescent="0.2">
      <c r="V2294" s="180" t="str">
        <f t="shared" si="43"/>
        <v>1w</v>
      </c>
      <c r="W2294" s="177">
        <f>_xll.qlCalendarAdvance(Calendar,W2293,V2294,"f",FALSE)</f>
        <v>55030</v>
      </c>
      <c r="X2294" s="181">
        <f>_xll.qlCalendarAdvance(Calendar,W2294,NDays&amp;"D")</f>
        <v>55032</v>
      </c>
      <c r="Y2294" s="178">
        <v>2.1290072564840848E-2</v>
      </c>
      <c r="Z2294" s="183">
        <v>2.1115501103698975E-2</v>
      </c>
    </row>
    <row r="2295" spans="22:26" x14ac:dyDescent="0.2">
      <c r="V2295" s="180" t="str">
        <f t="shared" si="43"/>
        <v>1w</v>
      </c>
      <c r="W2295" s="177">
        <f>_xll.qlCalendarAdvance(Calendar,W2294,V2295,"f",FALSE)</f>
        <v>55037</v>
      </c>
      <c r="X2295" s="181">
        <f>_xll.qlCalendarAdvance(Calendar,W2295,NDays&amp;"D")</f>
        <v>55039</v>
      </c>
      <c r="Y2295" s="178">
        <v>2.1287838190077391E-2</v>
      </c>
      <c r="Z2295" s="183">
        <v>2.1113918662880593E-2</v>
      </c>
    </row>
    <row r="2296" spans="22:26" x14ac:dyDescent="0.2">
      <c r="V2296" s="180" t="str">
        <f t="shared" si="43"/>
        <v>1w</v>
      </c>
      <c r="W2296" s="177">
        <f>_xll.qlCalendarAdvance(Calendar,W2295,V2296,"f",FALSE)</f>
        <v>55044</v>
      </c>
      <c r="X2296" s="181">
        <f>_xll.qlCalendarAdvance(Calendar,W2296,NDays&amp;"D")</f>
        <v>55046</v>
      </c>
      <c r="Y2296" s="178">
        <v>2.1285580056028545E-2</v>
      </c>
      <c r="Z2296" s="183">
        <v>2.1112312958351254E-2</v>
      </c>
    </row>
    <row r="2297" spans="22:26" x14ac:dyDescent="0.2">
      <c r="V2297" s="180" t="str">
        <f t="shared" si="43"/>
        <v>1w</v>
      </c>
      <c r="W2297" s="177">
        <f>_xll.qlCalendarAdvance(Calendar,W2296,V2297,"f",FALSE)</f>
        <v>55051</v>
      </c>
      <c r="X2297" s="181">
        <f>_xll.qlCalendarAdvance(Calendar,W2297,NDays&amp;"D")</f>
        <v>55053</v>
      </c>
      <c r="Y2297" s="178">
        <v>2.1283298162854184E-2</v>
      </c>
      <c r="Z2297" s="183">
        <v>2.1110683990350765E-2</v>
      </c>
    </row>
    <row r="2298" spans="22:26" x14ac:dyDescent="0.2">
      <c r="V2298" s="180" t="str">
        <f t="shared" si="43"/>
        <v>1w</v>
      </c>
      <c r="W2298" s="177">
        <f>_xll.qlCalendarAdvance(Calendar,W2297,V2298,"f",FALSE)</f>
        <v>55058</v>
      </c>
      <c r="X2298" s="181">
        <f>_xll.qlCalendarAdvance(Calendar,W2298,NDays&amp;"D")</f>
        <v>55060</v>
      </c>
      <c r="Y2298" s="178">
        <v>2.1280992510715493E-2</v>
      </c>
      <c r="Z2298" s="183">
        <v>2.1109031758879127E-2</v>
      </c>
    </row>
    <row r="2299" spans="22:26" x14ac:dyDescent="0.2">
      <c r="V2299" s="180" t="str">
        <f t="shared" si="43"/>
        <v>1w</v>
      </c>
      <c r="W2299" s="177">
        <f>_xll.qlCalendarAdvance(Calendar,W2298,V2299,"f",FALSE)</f>
        <v>55065</v>
      </c>
      <c r="X2299" s="181">
        <f>_xll.qlCalendarAdvance(Calendar,W2299,NDays&amp;"D")</f>
        <v>55067</v>
      </c>
      <c r="Y2299" s="178">
        <v>2.1278663099776066E-2</v>
      </c>
      <c r="Z2299" s="183">
        <v>2.1107356263696531E-2</v>
      </c>
    </row>
    <row r="2300" spans="22:26" x14ac:dyDescent="0.2">
      <c r="V2300" s="180" t="str">
        <f t="shared" si="43"/>
        <v>1w</v>
      </c>
      <c r="W2300" s="177">
        <f>_xll.qlCalendarAdvance(Calendar,W2299,V2300,"f",FALSE)</f>
        <v>55072</v>
      </c>
      <c r="X2300" s="181">
        <f>_xll.qlCalendarAdvance(Calendar,W2300,NDays&amp;"D")</f>
        <v>55074</v>
      </c>
      <c r="Y2300" s="178">
        <v>2.1276309930199938E-2</v>
      </c>
      <c r="Z2300" s="183">
        <v>2.1105657504962849E-2</v>
      </c>
    </row>
    <row r="2301" spans="22:26" x14ac:dyDescent="0.2">
      <c r="V2301" s="180" t="str">
        <f t="shared" si="43"/>
        <v>1w</v>
      </c>
      <c r="W2301" s="177">
        <f>_xll.qlCalendarAdvance(Calendar,W2300,V2301,"f",FALSE)</f>
        <v>55079</v>
      </c>
      <c r="X2301" s="181">
        <f>_xll.qlCalendarAdvance(Calendar,W2301,NDays&amp;"D")</f>
        <v>55081</v>
      </c>
      <c r="Y2301" s="178">
        <v>2.1273933002154424E-2</v>
      </c>
      <c r="Z2301" s="183">
        <v>2.1103935482678082E-2</v>
      </c>
    </row>
    <row r="2302" spans="22:26" x14ac:dyDescent="0.2">
      <c r="V2302" s="180" t="str">
        <f t="shared" si="43"/>
        <v>1w</v>
      </c>
      <c r="W2302" s="177">
        <f>_xll.qlCalendarAdvance(Calendar,W2301,V2302,"f",FALSE)</f>
        <v>55086</v>
      </c>
      <c r="X2302" s="181">
        <f>_xll.qlCalendarAdvance(Calendar,W2302,NDays&amp;"D")</f>
        <v>55088</v>
      </c>
      <c r="Y2302" s="178">
        <v>2.1271532315807286E-2</v>
      </c>
      <c r="Z2302" s="183">
        <v>2.110219019684223E-2</v>
      </c>
    </row>
    <row r="2303" spans="22:26" x14ac:dyDescent="0.2">
      <c r="V2303" s="180" t="str">
        <f t="shared" si="43"/>
        <v>1w</v>
      </c>
      <c r="W2303" s="177">
        <f>_xll.qlCalendarAdvance(Calendar,W2302,V2303,"f",FALSE)</f>
        <v>55093</v>
      </c>
      <c r="X2303" s="181">
        <f>_xll.qlCalendarAdvance(Calendar,W2303,NDays&amp;"D")</f>
        <v>55095</v>
      </c>
      <c r="Y2303" s="178">
        <v>2.1269107871328685E-2</v>
      </c>
      <c r="Z2303" s="183">
        <v>2.1100421647455292E-2</v>
      </c>
    </row>
    <row r="2304" spans="22:26" x14ac:dyDescent="0.2">
      <c r="V2304" s="180" t="str">
        <f t="shared" si="43"/>
        <v>1w</v>
      </c>
      <c r="W2304" s="177">
        <f>_xll.qlCalendarAdvance(Calendar,W2303,V2304,"f",FALSE)</f>
        <v>55100</v>
      </c>
      <c r="X2304" s="181">
        <f>_xll.qlCalendarAdvance(Calendar,W2304,NDays&amp;"D")</f>
        <v>55102</v>
      </c>
      <c r="Y2304" s="178">
        <v>2.1266659668889663E-2</v>
      </c>
      <c r="Z2304" s="183">
        <v>2.1098629834437332E-2</v>
      </c>
    </row>
    <row r="2305" spans="22:26" x14ac:dyDescent="0.2">
      <c r="V2305" s="180" t="str">
        <f t="shared" si="43"/>
        <v>1w</v>
      </c>
      <c r="W2305" s="177">
        <f>_xll.qlCalendarAdvance(Calendar,W2304,V2305,"f",FALSE)</f>
        <v>55107</v>
      </c>
      <c r="X2305" s="181">
        <f>_xll.qlCalendarAdvance(Calendar,W2305,NDays&amp;"D")</f>
        <v>55109</v>
      </c>
      <c r="Y2305" s="178">
        <v>2.126418770866367E-2</v>
      </c>
      <c r="Z2305" s="183">
        <v>2.1096814757948223E-2</v>
      </c>
    </row>
    <row r="2306" spans="22:26" x14ac:dyDescent="0.2">
      <c r="V2306" s="180" t="str">
        <f t="shared" si="43"/>
        <v>1w</v>
      </c>
      <c r="W2306" s="177">
        <f>_xll.qlCalendarAdvance(Calendar,W2305,V2306,"f",FALSE)</f>
        <v>55114</v>
      </c>
      <c r="X2306" s="181">
        <f>_xll.qlCalendarAdvance(Calendar,W2306,NDays&amp;"D")</f>
        <v>55116</v>
      </c>
      <c r="Y2306" s="178">
        <v>2.1261691990825688E-2</v>
      </c>
      <c r="Z2306" s="183">
        <v>2.1094976417828093E-2</v>
      </c>
    </row>
    <row r="2307" spans="22:26" x14ac:dyDescent="0.2">
      <c r="V2307" s="180" t="str">
        <f t="shared" si="43"/>
        <v>1w</v>
      </c>
      <c r="W2307" s="177">
        <f>_xll.qlCalendarAdvance(Calendar,W2306,V2307,"f",FALSE)</f>
        <v>55121</v>
      </c>
      <c r="X2307" s="181">
        <f>_xll.qlCalendarAdvance(Calendar,W2307,NDays&amp;"D")</f>
        <v>55123</v>
      </c>
      <c r="Y2307" s="178">
        <v>2.1259172515552018E-2</v>
      </c>
      <c r="Z2307" s="183">
        <v>2.1093114814076941E-2</v>
      </c>
    </row>
    <row r="2308" spans="22:26" x14ac:dyDescent="0.2">
      <c r="V2308" s="180" t="str">
        <f t="shared" si="43"/>
        <v>1w</v>
      </c>
      <c r="W2308" s="177">
        <f>_xll.qlCalendarAdvance(Calendar,W2307,V2308,"f",FALSE)</f>
        <v>55128</v>
      </c>
      <c r="X2308" s="181">
        <f>_xll.qlCalendarAdvance(Calendar,W2308,NDays&amp;"D")</f>
        <v>55130</v>
      </c>
      <c r="Y2308" s="178">
        <v>2.1256629283021144E-2</v>
      </c>
      <c r="Z2308" s="183">
        <v>2.1091229946854639E-2</v>
      </c>
    </row>
    <row r="2309" spans="22:26" x14ac:dyDescent="0.2">
      <c r="V2309" s="180" t="str">
        <f t="shared" si="43"/>
        <v>1w</v>
      </c>
      <c r="W2309" s="177">
        <f>_xll.qlCalendarAdvance(Calendar,W2308,V2309,"f",FALSE)</f>
        <v>55135</v>
      </c>
      <c r="X2309" s="181">
        <f>_xll.qlCalendarAdvance(Calendar,W2309,NDays&amp;"D")</f>
        <v>55137</v>
      </c>
      <c r="Y2309" s="178">
        <v>2.125406229341309E-2</v>
      </c>
      <c r="Z2309" s="183">
        <v>2.1089321816081252E-2</v>
      </c>
    </row>
    <row r="2310" spans="22:26" x14ac:dyDescent="0.2">
      <c r="V2310" s="180" t="str">
        <f t="shared" si="43"/>
        <v>1w</v>
      </c>
      <c r="W2310" s="177">
        <f>_xll.qlCalendarAdvance(Calendar,W2309,V2310,"f",FALSE)</f>
        <v>55142</v>
      </c>
      <c r="X2310" s="181">
        <f>_xll.qlCalendarAdvance(Calendar,W2310,NDays&amp;"D")</f>
        <v>55144</v>
      </c>
      <c r="Y2310" s="178">
        <v>2.1251471546909404E-2</v>
      </c>
      <c r="Z2310" s="183">
        <v>2.1087390421676844E-2</v>
      </c>
    </row>
    <row r="2311" spans="22:26" x14ac:dyDescent="0.2">
      <c r="V2311" s="180" t="str">
        <f t="shared" si="43"/>
        <v>1w</v>
      </c>
      <c r="W2311" s="177">
        <f>_xll.qlCalendarAdvance(Calendar,W2310,V2311,"f",FALSE)</f>
        <v>55149</v>
      </c>
      <c r="X2311" s="181">
        <f>_xll.qlCalendarAdvance(Calendar,W2311,NDays&amp;"D")</f>
        <v>55151</v>
      </c>
      <c r="Y2311" s="178">
        <v>2.1248857043692958E-2</v>
      </c>
      <c r="Z2311" s="183">
        <v>2.1085435763641414E-2</v>
      </c>
    </row>
    <row r="2312" spans="22:26" x14ac:dyDescent="0.2">
      <c r="V2312" s="180" t="str">
        <f t="shared" si="43"/>
        <v>1w</v>
      </c>
      <c r="W2312" s="177">
        <f>_xll.qlCalendarAdvance(Calendar,W2311,V2312,"f",FALSE)</f>
        <v>55156</v>
      </c>
      <c r="X2312" s="181">
        <f>_xll.qlCalendarAdvance(Calendar,W2312,NDays&amp;"D")</f>
        <v>55158</v>
      </c>
      <c r="Y2312" s="178">
        <v>2.124621878394925E-2</v>
      </c>
      <c r="Z2312" s="183">
        <v>2.108345784221477E-2</v>
      </c>
    </row>
    <row r="2313" spans="22:26" x14ac:dyDescent="0.2">
      <c r="V2313" s="180" t="str">
        <f t="shared" si="43"/>
        <v>1w</v>
      </c>
      <c r="W2313" s="177">
        <f>_xll.qlCalendarAdvance(Calendar,W2312,V2313,"f",FALSE)</f>
        <v>55163</v>
      </c>
      <c r="X2313" s="181">
        <f>_xll.qlCalendarAdvance(Calendar,W2313,NDays&amp;"D")</f>
        <v>55165</v>
      </c>
      <c r="Y2313" s="178">
        <v>2.1243556767864644E-2</v>
      </c>
      <c r="Z2313" s="183">
        <v>2.1081456657157105E-2</v>
      </c>
    </row>
    <row r="2314" spans="22:26" x14ac:dyDescent="0.2">
      <c r="V2314" s="180" t="str">
        <f t="shared" si="43"/>
        <v>1w</v>
      </c>
      <c r="W2314" s="177">
        <f>_xll.qlCalendarAdvance(Calendar,W2313,V2314,"f",FALSE)</f>
        <v>55170</v>
      </c>
      <c r="X2314" s="181">
        <f>_xll.qlCalendarAdvance(Calendar,W2314,NDays&amp;"D")</f>
        <v>55172</v>
      </c>
      <c r="Y2314" s="178">
        <v>2.1240870995627922E-2</v>
      </c>
      <c r="Z2314" s="183">
        <v>2.1079432208468418E-2</v>
      </c>
    </row>
    <row r="2315" spans="22:26" x14ac:dyDescent="0.2">
      <c r="V2315" s="180" t="str">
        <f t="shared" si="43"/>
        <v>1w</v>
      </c>
      <c r="W2315" s="177">
        <f>_xll.qlCalendarAdvance(Calendar,W2314,V2315,"f",FALSE)</f>
        <v>55177</v>
      </c>
      <c r="X2315" s="181">
        <f>_xll.qlCalendarAdvance(Calendar,W2315,NDays&amp;"D")</f>
        <v>55179</v>
      </c>
      <c r="Y2315" s="178">
        <v>2.1238161467428306E-2</v>
      </c>
      <c r="Z2315" s="183">
        <v>2.1077384496228646E-2</v>
      </c>
    </row>
    <row r="2316" spans="22:26" x14ac:dyDescent="0.2">
      <c r="V2316" s="180" t="str">
        <f t="shared" si="43"/>
        <v>1w</v>
      </c>
      <c r="W2316" s="177">
        <f>_xll.qlCalendarAdvance(Calendar,W2315,V2316,"f",FALSE)</f>
        <v>55184</v>
      </c>
      <c r="X2316" s="181">
        <f>_xll.qlCalendarAdvance(Calendar,W2316,NDays&amp;"D")</f>
        <v>55186</v>
      </c>
      <c r="Y2316" s="178">
        <v>2.1235428183458301E-2</v>
      </c>
      <c r="Z2316" s="183">
        <v>2.107531352059766E-2</v>
      </c>
    </row>
    <row r="2317" spans="22:26" x14ac:dyDescent="0.2">
      <c r="V2317" s="180" t="str">
        <f t="shared" si="43"/>
        <v>1w</v>
      </c>
      <c r="W2317" s="177">
        <f>_xll.qlCalendarAdvance(Calendar,W2316,V2317,"f",FALSE)</f>
        <v>55191</v>
      </c>
      <c r="X2317" s="181">
        <f>_xll.qlCalendarAdvance(Calendar,W2317,NDays&amp;"D")</f>
        <v>55193</v>
      </c>
      <c r="Y2317" s="178">
        <v>2.1232671143910843E-2</v>
      </c>
      <c r="Z2317" s="183">
        <v>2.1073219281255717E-2</v>
      </c>
    </row>
    <row r="2318" spans="22:26" x14ac:dyDescent="0.2">
      <c r="V2318" s="180" t="str">
        <f t="shared" si="43"/>
        <v>1w</v>
      </c>
      <c r="W2318" s="177">
        <f>_xll.qlCalendarAdvance(Calendar,W2317,V2318,"f",FALSE)</f>
        <v>55198</v>
      </c>
      <c r="X2318" s="181">
        <f>_xll.qlCalendarAdvance(Calendar,W2318,NDays&amp;"D")</f>
        <v>55200</v>
      </c>
      <c r="Y2318" s="178">
        <v>2.1229890348981286E-2</v>
      </c>
      <c r="Z2318" s="183">
        <v>2.1071101778282753E-2</v>
      </c>
    </row>
    <row r="2319" spans="22:26" x14ac:dyDescent="0.2">
      <c r="V2319" s="180" t="str">
        <f t="shared" si="43"/>
        <v>1w</v>
      </c>
      <c r="W2319" s="177">
        <f>_xll.qlCalendarAdvance(Calendar,W2318,V2319,"f",FALSE)</f>
        <v>55205</v>
      </c>
      <c r="X2319" s="181">
        <f>_xll.qlCalendarAdvance(Calendar,W2319,NDays&amp;"D")</f>
        <v>55207</v>
      </c>
      <c r="Y2319" s="178">
        <v>2.1227085798865637E-2</v>
      </c>
      <c r="Z2319" s="183">
        <v>2.1068961011918574E-2</v>
      </c>
    </row>
    <row r="2320" spans="22:26" x14ac:dyDescent="0.2">
      <c r="V2320" s="180" t="str">
        <f t="shared" si="43"/>
        <v>1w</v>
      </c>
      <c r="W2320" s="177">
        <f>_xll.qlCalendarAdvance(Calendar,W2319,V2320,"f",FALSE)</f>
        <v>55212</v>
      </c>
      <c r="X2320" s="181">
        <f>_xll.qlCalendarAdvance(Calendar,W2320,NDays&amp;"D")</f>
        <v>55214</v>
      </c>
      <c r="Y2320" s="178">
        <v>2.1225467532587895E-2</v>
      </c>
      <c r="Z2320" s="183">
        <v>2.1066796981843439E-2</v>
      </c>
    </row>
    <row r="2321" spans="22:26" x14ac:dyDescent="0.2">
      <c r="V2321" s="180" t="str">
        <f t="shared" si="43"/>
        <v>1w</v>
      </c>
      <c r="W2321" s="177">
        <f>_xll.qlCalendarAdvance(Calendar,W2320,V2321,"f",FALSE)</f>
        <v>55219</v>
      </c>
      <c r="X2321" s="181">
        <f>_xll.qlCalendarAdvance(Calendar,W2321,NDays&amp;"D")</f>
        <v>55221</v>
      </c>
      <c r="Y2321" s="178">
        <v>2.1222609882563671E-2</v>
      </c>
      <c r="Z2321" s="183">
        <v>2.1064609688297153E-2</v>
      </c>
    </row>
    <row r="2322" spans="22:26" x14ac:dyDescent="0.2">
      <c r="V2322" s="180" t="str">
        <f t="shared" si="43"/>
        <v>1w</v>
      </c>
      <c r="W2322" s="177">
        <f>_xll.qlCalendarAdvance(Calendar,W2321,V2322,"f",FALSE)</f>
        <v>55226</v>
      </c>
      <c r="X2322" s="181">
        <f>_xll.qlCalendarAdvance(Calendar,W2322,NDays&amp;"D")</f>
        <v>55228</v>
      </c>
      <c r="Y2322" s="178">
        <v>2.1219728473909169E-2</v>
      </c>
      <c r="Z2322" s="183">
        <v>2.1062399131119847E-2</v>
      </c>
    </row>
    <row r="2323" spans="22:26" x14ac:dyDescent="0.2">
      <c r="V2323" s="180" t="str">
        <f t="shared" si="43"/>
        <v>1w</v>
      </c>
      <c r="W2323" s="177">
        <f>_xll.qlCalendarAdvance(Calendar,W2322,V2323,"f",FALSE)</f>
        <v>55233</v>
      </c>
      <c r="X2323" s="181">
        <f>_xll.qlCalendarAdvance(Calendar,W2323,NDays&amp;"D")</f>
        <v>55235</v>
      </c>
      <c r="Y2323" s="178">
        <v>2.1216823306829877E-2</v>
      </c>
      <c r="Z2323" s="183">
        <v>2.106016531047139E-2</v>
      </c>
    </row>
    <row r="2324" spans="22:26" x14ac:dyDescent="0.2">
      <c r="V2324" s="180" t="str">
        <f t="shared" si="43"/>
        <v>1w</v>
      </c>
      <c r="W2324" s="177">
        <f>_xll.qlCalendarAdvance(Calendar,W2323,V2324,"f",FALSE)</f>
        <v>55240</v>
      </c>
      <c r="X2324" s="181">
        <f>_xll.qlCalendarAdvance(Calendar,W2324,NDays&amp;"D")</f>
        <v>55242</v>
      </c>
      <c r="Y2324" s="178">
        <v>2.1212706727508697E-2</v>
      </c>
      <c r="Z2324" s="183">
        <v>2.1059722119947111E-2</v>
      </c>
    </row>
    <row r="2325" spans="22:26" x14ac:dyDescent="0.2">
      <c r="V2325" s="180" t="str">
        <f t="shared" ref="V2325:V2388" si="44">V2324</f>
        <v>1w</v>
      </c>
      <c r="W2325" s="177">
        <f>_xll.qlCalendarAdvance(Calendar,W2324,V2325,"f",FALSE)</f>
        <v>55247</v>
      </c>
      <c r="X2325" s="181">
        <f>_xll.qlCalendarAdvance(Calendar,W2325,NDays&amp;"D")</f>
        <v>55249</v>
      </c>
      <c r="Y2325" s="178">
        <v>2.1210941698227983E-2</v>
      </c>
      <c r="Z2325" s="183">
        <v>2.1055627878361349E-2</v>
      </c>
    </row>
    <row r="2326" spans="22:26" x14ac:dyDescent="0.2">
      <c r="V2326" s="180" t="str">
        <f t="shared" si="44"/>
        <v>1w</v>
      </c>
      <c r="W2326" s="177">
        <f>_xll.qlCalendarAdvance(Calendar,W2325,V2326,"f",FALSE)</f>
        <v>55254</v>
      </c>
      <c r="X2326" s="181">
        <f>_xll.qlCalendarAdvance(Calendar,W2326,NDays&amp;"D")</f>
        <v>55256</v>
      </c>
      <c r="Y2326" s="178">
        <v>2.1207965257125049E-2</v>
      </c>
      <c r="Z2326" s="183">
        <v>2.10533242669797E-2</v>
      </c>
    </row>
    <row r="2327" spans="22:26" x14ac:dyDescent="0.2">
      <c r="V2327" s="180" t="str">
        <f t="shared" si="44"/>
        <v>1w</v>
      </c>
      <c r="W2327" s="177">
        <f>_xll.qlCalendarAdvance(Calendar,W2326,V2327,"f",FALSE)</f>
        <v>55261</v>
      </c>
      <c r="X2327" s="181">
        <f>_xll.qlCalendarAdvance(Calendar,W2327,NDays&amp;"D")</f>
        <v>55263</v>
      </c>
      <c r="Y2327" s="178">
        <v>2.1205355004210929E-2</v>
      </c>
      <c r="Z2327" s="183">
        <v>2.1050997392046966E-2</v>
      </c>
    </row>
    <row r="2328" spans="22:26" x14ac:dyDescent="0.2">
      <c r="V2328" s="180" t="str">
        <f t="shared" si="44"/>
        <v>1w</v>
      </c>
      <c r="W2328" s="177">
        <f>_xll.qlCalendarAdvance(Calendar,W2327,V2328,"f",FALSE)</f>
        <v>55268</v>
      </c>
      <c r="X2328" s="181">
        <f>_xll.qlCalendarAdvance(Calendar,W2328,NDays&amp;"D")</f>
        <v>55270</v>
      </c>
      <c r="Y2328" s="178">
        <v>2.1201941102376311E-2</v>
      </c>
      <c r="Z2328" s="183">
        <v>2.1048647253563146E-2</v>
      </c>
    </row>
    <row r="2329" spans="22:26" x14ac:dyDescent="0.2">
      <c r="V2329" s="180" t="str">
        <f t="shared" si="44"/>
        <v>1w</v>
      </c>
      <c r="W2329" s="177">
        <f>_xll.qlCalendarAdvance(Calendar,W2328,V2329,"f",FALSE)</f>
        <v>55275</v>
      </c>
      <c r="X2329" s="181">
        <f>_xll.qlCalendarAdvance(Calendar,W2329,NDays&amp;"D")</f>
        <v>55277</v>
      </c>
      <c r="Y2329" s="178">
        <v>2.1198893389160166E-2</v>
      </c>
      <c r="Z2329" s="183">
        <v>2.1046273851448305E-2</v>
      </c>
    </row>
    <row r="2330" spans="22:26" x14ac:dyDescent="0.2">
      <c r="V2330" s="180" t="str">
        <f t="shared" si="44"/>
        <v>1w</v>
      </c>
      <c r="W2330" s="177">
        <f>_xll.qlCalendarAdvance(Calendar,W2329,V2330,"f",FALSE)</f>
        <v>55282</v>
      </c>
      <c r="X2330" s="181">
        <f>_xll.qlCalendarAdvance(Calendar,W2330,NDays&amp;"D")</f>
        <v>55284</v>
      </c>
      <c r="Y2330" s="178">
        <v>2.1195821919005865E-2</v>
      </c>
      <c r="Z2330" s="183">
        <v>2.104387718594225E-2</v>
      </c>
    </row>
    <row r="2331" spans="22:26" x14ac:dyDescent="0.2">
      <c r="V2331" s="180" t="str">
        <f t="shared" si="44"/>
        <v>1w</v>
      </c>
      <c r="W2331" s="177">
        <f>_xll.qlCalendarAdvance(Calendar,W2330,V2331,"f",FALSE)</f>
        <v>55289</v>
      </c>
      <c r="X2331" s="181">
        <f>_xll.qlCalendarAdvance(Calendar,W2331,NDays&amp;"D")</f>
        <v>55291</v>
      </c>
      <c r="Y2331" s="178">
        <v>2.1192726692131712E-2</v>
      </c>
      <c r="Z2331" s="183">
        <v>2.1041457256805174E-2</v>
      </c>
    </row>
    <row r="2332" spans="22:26" x14ac:dyDescent="0.2">
      <c r="V2332" s="180" t="str">
        <f t="shared" si="44"/>
        <v>1w</v>
      </c>
      <c r="W2332" s="177">
        <f>_xll.qlCalendarAdvance(Calendar,W2331,V2332,"f",FALSE)</f>
        <v>55296</v>
      </c>
      <c r="X2332" s="181">
        <f>_xll.qlCalendarAdvance(Calendar,W2332,NDays&amp;"D")</f>
        <v>55298</v>
      </c>
      <c r="Y2332" s="178">
        <v>2.1189607708758832E-2</v>
      </c>
      <c r="Z2332" s="183">
        <v>2.103901406395714E-2</v>
      </c>
    </row>
    <row r="2333" spans="22:26" x14ac:dyDescent="0.2">
      <c r="V2333" s="180" t="str">
        <f t="shared" si="44"/>
        <v>1w</v>
      </c>
      <c r="W2333" s="177">
        <f>_xll.qlCalendarAdvance(Calendar,W2332,V2333,"f",FALSE)</f>
        <v>55303</v>
      </c>
      <c r="X2333" s="181">
        <f>_xll.qlCalendarAdvance(Calendar,W2333,NDays&amp;"D")</f>
        <v>55305</v>
      </c>
      <c r="Y2333" s="178">
        <v>2.1186464969110311E-2</v>
      </c>
      <c r="Z2333" s="183">
        <v>2.1036547607717893E-2</v>
      </c>
    </row>
    <row r="2334" spans="22:26" x14ac:dyDescent="0.2">
      <c r="V2334" s="180" t="str">
        <f t="shared" si="44"/>
        <v>1w</v>
      </c>
      <c r="W2334" s="177">
        <f>_xll.qlCalendarAdvance(Calendar,W2333,V2334,"f",FALSE)</f>
        <v>55310</v>
      </c>
      <c r="X2334" s="181">
        <f>_xll.qlCalendarAdvance(Calendar,W2334,NDays&amp;"D")</f>
        <v>55312</v>
      </c>
      <c r="Y2334" s="178">
        <v>2.118329847340945E-2</v>
      </c>
      <c r="Z2334" s="183">
        <v>2.103405788792756E-2</v>
      </c>
    </row>
    <row r="2335" spans="22:26" x14ac:dyDescent="0.2">
      <c r="V2335" s="180" t="str">
        <f t="shared" si="44"/>
        <v>1w</v>
      </c>
      <c r="W2335" s="177">
        <f>_xll.qlCalendarAdvance(Calendar,W2334,V2335,"f",FALSE)</f>
        <v>55317</v>
      </c>
      <c r="X2335" s="181">
        <f>_xll.qlCalendarAdvance(Calendar,W2335,NDays&amp;"D")</f>
        <v>55319</v>
      </c>
      <c r="Y2335" s="178">
        <v>2.1180108221882366E-2</v>
      </c>
      <c r="Z2335" s="183">
        <v>2.1031544904506205E-2</v>
      </c>
    </row>
    <row r="2336" spans="22:26" x14ac:dyDescent="0.2">
      <c r="V2336" s="180" t="str">
        <f t="shared" si="44"/>
        <v>1w</v>
      </c>
      <c r="W2336" s="177">
        <f>_xll.qlCalendarAdvance(Calendar,W2335,V2336,"f",FALSE)</f>
        <v>55324</v>
      </c>
      <c r="X2336" s="181">
        <f>_xll.qlCalendarAdvance(Calendar,W2336,NDays&amp;"D")</f>
        <v>55326</v>
      </c>
      <c r="Y2336" s="178">
        <v>2.1176894214756707E-2</v>
      </c>
      <c r="Z2336" s="183">
        <v>2.1029008657533765E-2</v>
      </c>
    </row>
    <row r="2337" spans="22:26" x14ac:dyDescent="0.2">
      <c r="V2337" s="180" t="str">
        <f t="shared" si="44"/>
        <v>1w</v>
      </c>
      <c r="W2337" s="177">
        <f>_xll.qlCalendarAdvance(Calendar,W2336,V2337,"f",FALSE)</f>
        <v>55331</v>
      </c>
      <c r="X2337" s="181">
        <f>_xll.qlCalendarAdvance(Calendar,W2337,NDays&amp;"D")</f>
        <v>55333</v>
      </c>
      <c r="Y2337" s="178">
        <v>2.1172541994391426E-2</v>
      </c>
      <c r="Z2337" s="183">
        <v>2.1026449147170112E-2</v>
      </c>
    </row>
    <row r="2338" spans="22:26" x14ac:dyDescent="0.2">
      <c r="V2338" s="180" t="str">
        <f t="shared" si="44"/>
        <v>1w</v>
      </c>
      <c r="W2338" s="177">
        <f>_xll.qlCalendarAdvance(Calendar,W2337,V2338,"f",FALSE)</f>
        <v>55338</v>
      </c>
      <c r="X2338" s="181">
        <f>_xll.qlCalendarAdvance(Calendar,W2338,NDays&amp;"D")</f>
        <v>55340</v>
      </c>
      <c r="Y2338" s="178">
        <v>2.1170394934628498E-2</v>
      </c>
      <c r="Z2338" s="183">
        <v>2.1023866373095501E-2</v>
      </c>
    </row>
    <row r="2339" spans="22:26" x14ac:dyDescent="0.2">
      <c r="V2339" s="180" t="str">
        <f t="shared" si="44"/>
        <v>1w</v>
      </c>
      <c r="W2339" s="177">
        <f>_xll.qlCalendarAdvance(Calendar,W2338,V2339,"f",FALSE)</f>
        <v>55345</v>
      </c>
      <c r="X2339" s="181">
        <f>_xll.qlCalendarAdvance(Calendar,W2339,NDays&amp;"D")</f>
        <v>55347</v>
      </c>
      <c r="Y2339" s="178">
        <v>2.1167109662089487E-2</v>
      </c>
      <c r="Z2339" s="183">
        <v>2.1021260335469805E-2</v>
      </c>
    </row>
    <row r="2340" spans="22:26" x14ac:dyDescent="0.2">
      <c r="V2340" s="180" t="str">
        <f t="shared" si="44"/>
        <v>1w</v>
      </c>
      <c r="W2340" s="177">
        <f>_xll.qlCalendarAdvance(Calendar,W2339,V2340,"f",FALSE)</f>
        <v>55352</v>
      </c>
      <c r="X2340" s="181">
        <f>_xll.qlCalendarAdvance(Calendar,W2340,NDays&amp;"D")</f>
        <v>55354</v>
      </c>
      <c r="Y2340" s="178">
        <v>2.1163800634878768E-2</v>
      </c>
      <c r="Z2340" s="183">
        <v>2.1018631034293023E-2</v>
      </c>
    </row>
    <row r="2341" spans="22:26" x14ac:dyDescent="0.2">
      <c r="V2341" s="180" t="str">
        <f t="shared" si="44"/>
        <v>1w</v>
      </c>
      <c r="W2341" s="177">
        <f>_xll.qlCalendarAdvance(Calendar,W2340,V2341,"f",FALSE)</f>
        <v>55359</v>
      </c>
      <c r="X2341" s="181">
        <f>_xll.qlCalendarAdvance(Calendar,W2341,NDays&amp;"D")</f>
        <v>55361</v>
      </c>
      <c r="Y2341" s="178">
        <v>2.1160467853232889E-2</v>
      </c>
      <c r="Z2341" s="183">
        <v>2.1015978469645091E-2</v>
      </c>
    </row>
    <row r="2342" spans="22:26" x14ac:dyDescent="0.2">
      <c r="V2342" s="180" t="str">
        <f t="shared" si="44"/>
        <v>1w</v>
      </c>
      <c r="W2342" s="177">
        <f>_xll.qlCalendarAdvance(Calendar,W2341,V2342,"f",FALSE)</f>
        <v>55366</v>
      </c>
      <c r="X2342" s="181">
        <f>_xll.qlCalendarAdvance(Calendar,W2342,NDays&amp;"D")</f>
        <v>55368</v>
      </c>
      <c r="Y2342" s="178">
        <v>2.1157111317389059E-2</v>
      </c>
      <c r="Z2342" s="183">
        <v>2.1013302641366138E-2</v>
      </c>
    </row>
    <row r="2343" spans="22:26" x14ac:dyDescent="0.2">
      <c r="V2343" s="180" t="str">
        <f t="shared" si="44"/>
        <v>1w</v>
      </c>
      <c r="W2343" s="177">
        <f>_xll.qlCalendarAdvance(Calendar,W2342,V2343,"f",FALSE)</f>
        <v>55373</v>
      </c>
      <c r="X2343" s="181">
        <f>_xll.qlCalendarAdvance(Calendar,W2343,NDays&amp;"D")</f>
        <v>55375</v>
      </c>
      <c r="Y2343" s="178">
        <v>2.1153731027586858E-2</v>
      </c>
      <c r="Z2343" s="183">
        <v>2.10106035495361E-2</v>
      </c>
    </row>
    <row r="2344" spans="22:26" x14ac:dyDescent="0.2">
      <c r="V2344" s="180" t="str">
        <f t="shared" si="44"/>
        <v>1w</v>
      </c>
      <c r="W2344" s="177">
        <f>_xll.qlCalendarAdvance(Calendar,W2343,V2344,"f",FALSE)</f>
        <v>55380</v>
      </c>
      <c r="X2344" s="181">
        <f>_xll.qlCalendarAdvance(Calendar,W2344,NDays&amp;"D")</f>
        <v>55382</v>
      </c>
      <c r="Y2344" s="178">
        <v>2.1150326984067623E-2</v>
      </c>
      <c r="Z2344" s="183">
        <v>2.1007881194154976E-2</v>
      </c>
    </row>
    <row r="2345" spans="22:26" x14ac:dyDescent="0.2">
      <c r="V2345" s="180" t="str">
        <f t="shared" si="44"/>
        <v>1w</v>
      </c>
      <c r="W2345" s="177">
        <f>_xll.qlCalendarAdvance(Calendar,W2344,V2345,"f",FALSE)</f>
        <v>55387</v>
      </c>
      <c r="X2345" s="181">
        <f>_xll.qlCalendarAdvance(Calendar,W2345,NDays&amp;"D")</f>
        <v>55389</v>
      </c>
      <c r="Y2345" s="178">
        <v>2.1146899187073982E-2</v>
      </c>
      <c r="Z2345" s="183">
        <v>2.1005135575302702E-2</v>
      </c>
    </row>
    <row r="2346" spans="22:26" x14ac:dyDescent="0.2">
      <c r="V2346" s="180" t="str">
        <f t="shared" si="44"/>
        <v>1w</v>
      </c>
      <c r="W2346" s="177">
        <f>_xll.qlCalendarAdvance(Calendar,W2345,V2346,"f",FALSE)</f>
        <v>55394</v>
      </c>
      <c r="X2346" s="181">
        <f>_xll.qlCalendarAdvance(Calendar,W2346,NDays&amp;"D")</f>
        <v>55396</v>
      </c>
      <c r="Y2346" s="178">
        <v>2.1142384250523234E-2</v>
      </c>
      <c r="Z2346" s="183">
        <v>2.1002366692819407E-2</v>
      </c>
    </row>
    <row r="2347" spans="22:26" x14ac:dyDescent="0.2">
      <c r="V2347" s="180" t="str">
        <f t="shared" si="44"/>
        <v>1w</v>
      </c>
      <c r="W2347" s="177">
        <f>_xll.qlCalendarAdvance(Calendar,W2346,V2347,"f",FALSE)</f>
        <v>55401</v>
      </c>
      <c r="X2347" s="181">
        <f>_xll.qlCalendarAdvance(Calendar,W2347,NDays&amp;"D")</f>
        <v>55403</v>
      </c>
      <c r="Y2347" s="178">
        <v>2.1139972333643137E-2</v>
      </c>
      <c r="Z2347" s="183">
        <v>2.0999574546785027E-2</v>
      </c>
    </row>
    <row r="2348" spans="22:26" x14ac:dyDescent="0.2">
      <c r="V2348" s="180" t="str">
        <f t="shared" si="44"/>
        <v>1w</v>
      </c>
      <c r="W2348" s="177">
        <f>_xll.qlCalendarAdvance(Calendar,W2347,V2348,"f",FALSE)</f>
        <v>55408</v>
      </c>
      <c r="X2348" s="181">
        <f>_xll.qlCalendarAdvance(Calendar,W2348,NDays&amp;"D")</f>
        <v>55410</v>
      </c>
      <c r="Y2348" s="178">
        <v>2.1136473277699887E-2</v>
      </c>
      <c r="Z2348" s="183">
        <v>2.0996759137279497E-2</v>
      </c>
    </row>
    <row r="2349" spans="22:26" x14ac:dyDescent="0.2">
      <c r="V2349" s="180" t="str">
        <f t="shared" si="44"/>
        <v>1w</v>
      </c>
      <c r="W2349" s="177">
        <f>_xll.qlCalendarAdvance(Calendar,W2348,V2349,"f",FALSE)</f>
        <v>55415</v>
      </c>
      <c r="X2349" s="181">
        <f>_xll.qlCalendarAdvance(Calendar,W2349,NDays&amp;"D")</f>
        <v>55417</v>
      </c>
      <c r="Y2349" s="178">
        <v>2.1132950469270138E-2</v>
      </c>
      <c r="Z2349" s="183">
        <v>2.0993920464142946E-2</v>
      </c>
    </row>
    <row r="2350" spans="22:26" x14ac:dyDescent="0.2">
      <c r="V2350" s="180" t="str">
        <f t="shared" si="44"/>
        <v>1w</v>
      </c>
      <c r="W2350" s="177">
        <f>_xll.qlCalendarAdvance(Calendar,W2349,V2350,"f",FALSE)</f>
        <v>55422</v>
      </c>
      <c r="X2350" s="181">
        <f>_xll.qlCalendarAdvance(Calendar,W2350,NDays&amp;"D")</f>
        <v>55424</v>
      </c>
      <c r="Y2350" s="178">
        <v>2.1129403908605644E-2</v>
      </c>
      <c r="Z2350" s="183">
        <v>2.0991058527455309E-2</v>
      </c>
    </row>
    <row r="2351" spans="22:26" x14ac:dyDescent="0.2">
      <c r="V2351" s="180" t="str">
        <f t="shared" si="44"/>
        <v>1w</v>
      </c>
      <c r="W2351" s="177">
        <f>_xll.qlCalendarAdvance(Calendar,W2350,V2351,"f",FALSE)</f>
        <v>55429</v>
      </c>
      <c r="X2351" s="181">
        <f>_xll.qlCalendarAdvance(Calendar,W2351,NDays&amp;"D")</f>
        <v>55431</v>
      </c>
      <c r="Y2351" s="178">
        <v>2.1125833595959244E-2</v>
      </c>
      <c r="Z2351" s="183">
        <v>2.0988173327296522E-2</v>
      </c>
    </row>
    <row r="2352" spans="22:26" x14ac:dyDescent="0.2">
      <c r="V2352" s="180" t="str">
        <f t="shared" si="44"/>
        <v>1w</v>
      </c>
      <c r="W2352" s="177">
        <f>_xll.qlCalendarAdvance(Calendar,W2351,V2352,"f",FALSE)</f>
        <v>55436</v>
      </c>
      <c r="X2352" s="181">
        <f>_xll.qlCalendarAdvance(Calendar,W2352,NDays&amp;"D")</f>
        <v>55438</v>
      </c>
      <c r="Y2352" s="178">
        <v>2.1122239531585089E-2</v>
      </c>
      <c r="Z2352" s="183">
        <v>2.098526486358665E-2</v>
      </c>
    </row>
    <row r="2353" spans="22:26" x14ac:dyDescent="0.2">
      <c r="V2353" s="180" t="str">
        <f t="shared" si="44"/>
        <v>1w</v>
      </c>
      <c r="W2353" s="177">
        <f>_xll.qlCalendarAdvance(Calendar,W2352,V2353,"f",FALSE)</f>
        <v>55443</v>
      </c>
      <c r="X2353" s="181">
        <f>_xll.qlCalendarAdvance(Calendar,W2353,NDays&amp;"D")</f>
        <v>55445</v>
      </c>
      <c r="Y2353" s="178">
        <v>2.1118621715740141E-2</v>
      </c>
      <c r="Z2353" s="183">
        <v>2.0982333136245757E-2</v>
      </c>
    </row>
    <row r="2354" spans="22:26" x14ac:dyDescent="0.2">
      <c r="V2354" s="180" t="str">
        <f t="shared" si="44"/>
        <v>1w</v>
      </c>
      <c r="W2354" s="177">
        <f>_xll.qlCalendarAdvance(Calendar,W2353,V2354,"f",FALSE)</f>
        <v>55450</v>
      </c>
      <c r="X2354" s="181">
        <f>_xll.qlCalendarAdvance(Calendar,W2354,NDays&amp;"D")</f>
        <v>55452</v>
      </c>
      <c r="Y2354" s="178">
        <v>2.1114980148681808E-2</v>
      </c>
      <c r="Z2354" s="183">
        <v>2.0979378145433714E-2</v>
      </c>
    </row>
    <row r="2355" spans="22:26" x14ac:dyDescent="0.2">
      <c r="V2355" s="180" t="str">
        <f t="shared" si="44"/>
        <v>1w</v>
      </c>
      <c r="W2355" s="177">
        <f>_xll.qlCalendarAdvance(Calendar,W2354,V2355,"f",FALSE)</f>
        <v>55457</v>
      </c>
      <c r="X2355" s="181">
        <f>_xll.qlCalendarAdvance(Calendar,W2355,NDays&amp;"D")</f>
        <v>55459</v>
      </c>
      <c r="Y2355" s="178">
        <v>2.1111314830670747E-2</v>
      </c>
      <c r="Z2355" s="183">
        <v>2.0976399891070585E-2</v>
      </c>
    </row>
    <row r="2356" spans="22:26" x14ac:dyDescent="0.2">
      <c r="V2356" s="180" t="str">
        <f t="shared" si="44"/>
        <v>1w</v>
      </c>
      <c r="W2356" s="177">
        <f>_xll.qlCalendarAdvance(Calendar,W2355,V2356,"f",FALSE)</f>
        <v>55464</v>
      </c>
      <c r="X2356" s="181">
        <f>_xll.qlCalendarAdvance(Calendar,W2356,NDays&amp;"D")</f>
        <v>55466</v>
      </c>
      <c r="Y2356" s="178">
        <v>2.1107625761967189E-2</v>
      </c>
      <c r="Z2356" s="183">
        <v>2.0973398373156371E-2</v>
      </c>
    </row>
    <row r="2357" spans="22:26" x14ac:dyDescent="0.2">
      <c r="V2357" s="180" t="str">
        <f t="shared" si="44"/>
        <v>1w</v>
      </c>
      <c r="W2357" s="177">
        <f>_xll.qlCalendarAdvance(Calendar,W2356,V2357,"f",FALSE)</f>
        <v>55471</v>
      </c>
      <c r="X2357" s="181">
        <f>_xll.qlCalendarAdvance(Calendar,W2357,NDays&amp;"D")</f>
        <v>55473</v>
      </c>
      <c r="Y2357" s="178">
        <v>2.1103912942835482E-2</v>
      </c>
      <c r="Z2357" s="183">
        <v>2.0970373591771008E-2</v>
      </c>
    </row>
    <row r="2358" spans="22:26" x14ac:dyDescent="0.2">
      <c r="V2358" s="180" t="str">
        <f t="shared" si="44"/>
        <v>1w</v>
      </c>
      <c r="W2358" s="177">
        <f>_xll.qlCalendarAdvance(Calendar,W2357,V2358,"f",FALSE)</f>
        <v>55478</v>
      </c>
      <c r="X2358" s="181">
        <f>_xll.qlCalendarAdvance(Calendar,W2358,NDays&amp;"D")</f>
        <v>55480</v>
      </c>
      <c r="Y2358" s="178">
        <v>2.1100176373539333E-2</v>
      </c>
      <c r="Z2358" s="183">
        <v>2.0967325546674687E-2</v>
      </c>
    </row>
    <row r="2359" spans="22:26" x14ac:dyDescent="0.2">
      <c r="V2359" s="180" t="str">
        <f t="shared" si="44"/>
        <v>1w</v>
      </c>
      <c r="W2359" s="177">
        <f>_xll.qlCalendarAdvance(Calendar,W2358,V2359,"f",FALSE)</f>
        <v>55485</v>
      </c>
      <c r="X2359" s="181">
        <f>_xll.qlCalendarAdvance(Calendar,W2359,NDays&amp;"D")</f>
        <v>55487</v>
      </c>
      <c r="Y2359" s="178">
        <v>2.1095427007953745E-2</v>
      </c>
      <c r="Z2359" s="183">
        <v>2.0964254238187152E-2</v>
      </c>
    </row>
    <row r="2360" spans="22:26" x14ac:dyDescent="0.2">
      <c r="V2360" s="180" t="str">
        <f t="shared" si="44"/>
        <v>1w</v>
      </c>
      <c r="W2360" s="177">
        <f>_xll.qlCalendarAdvance(Calendar,W2359,V2360,"f",FALSE)</f>
        <v>55492</v>
      </c>
      <c r="X2360" s="181">
        <f>_xll.qlCalendarAdvance(Calendar,W2360,NDays&amp;"D")</f>
        <v>55494</v>
      </c>
      <c r="Y2360" s="178">
        <v>2.1092631985523282E-2</v>
      </c>
      <c r="Z2360" s="183">
        <v>2.0961159666068596E-2</v>
      </c>
    </row>
    <row r="2361" spans="22:26" x14ac:dyDescent="0.2">
      <c r="V2361" s="180" t="str">
        <f t="shared" si="44"/>
        <v>1w</v>
      </c>
      <c r="W2361" s="177">
        <f>_xll.qlCalendarAdvance(Calendar,W2360,V2361,"f",FALSE)</f>
        <v>55499</v>
      </c>
      <c r="X2361" s="181">
        <f>_xll.qlCalendarAdvance(Calendar,W2361,NDays&amp;"D")</f>
        <v>55501</v>
      </c>
      <c r="Y2361" s="178">
        <v>2.1088824167340994E-2</v>
      </c>
      <c r="Z2361" s="183">
        <v>2.0958041830398955E-2</v>
      </c>
    </row>
    <row r="2362" spans="22:26" x14ac:dyDescent="0.2">
      <c r="V2362" s="180" t="str">
        <f t="shared" si="44"/>
        <v>1w</v>
      </c>
      <c r="W2362" s="177">
        <f>_xll.qlCalendarAdvance(Calendar,W2361,V2362,"f",FALSE)</f>
        <v>55506</v>
      </c>
      <c r="X2362" s="181">
        <f>_xll.qlCalendarAdvance(Calendar,W2362,NDays&amp;"D")</f>
        <v>55508</v>
      </c>
      <c r="Y2362" s="178">
        <v>2.1084992600071444E-2</v>
      </c>
      <c r="Z2362" s="183">
        <v>2.0954900731258164E-2</v>
      </c>
    </row>
    <row r="2363" spans="22:26" x14ac:dyDescent="0.2">
      <c r="V2363" s="180" t="str">
        <f t="shared" si="44"/>
        <v>1w</v>
      </c>
      <c r="W2363" s="177">
        <f>_xll.qlCalendarAdvance(Calendar,W2362,V2363,"f",FALSE)</f>
        <v>55514</v>
      </c>
      <c r="X2363" s="181">
        <f>_xll.qlCalendarAdvance(Calendar,W2363,NDays&amp;"D")</f>
        <v>55516</v>
      </c>
      <c r="Y2363" s="178">
        <v>2.108058458588365E-2</v>
      </c>
      <c r="Z2363" s="183">
        <v>2.0952429240566062E-2</v>
      </c>
    </row>
    <row r="2364" spans="22:26" x14ac:dyDescent="0.2">
      <c r="V2364" s="180" t="str">
        <f t="shared" si="44"/>
        <v>1w</v>
      </c>
      <c r="W2364" s="177">
        <f>_xll.qlCalendarAdvance(Calendar,W2363,V2364,"f",FALSE)</f>
        <v>55521</v>
      </c>
      <c r="X2364" s="181">
        <f>_xll.qlCalendarAdvance(Calendar,W2364,NDays&amp;"D")</f>
        <v>55523</v>
      </c>
      <c r="Y2364" s="178">
        <v>2.1076382482980469E-2</v>
      </c>
      <c r="Z2364" s="183">
        <v>2.0948852482609581E-2</v>
      </c>
    </row>
    <row r="2365" spans="22:26" x14ac:dyDescent="0.2">
      <c r="V2365" s="180" t="str">
        <f t="shared" si="44"/>
        <v>1w</v>
      </c>
      <c r="W2365" s="177">
        <f>_xll.qlCalendarAdvance(Calendar,W2364,V2365,"f",FALSE)</f>
        <v>55528</v>
      </c>
      <c r="X2365" s="181">
        <f>_xll.qlCalendarAdvance(Calendar,W2365,NDays&amp;"D")</f>
        <v>55530</v>
      </c>
      <c r="Y2365" s="178">
        <v>2.1072478199885062E-2</v>
      </c>
      <c r="Z2365" s="183">
        <v>2.094563457168519E-2</v>
      </c>
    </row>
    <row r="2366" spans="22:26" x14ac:dyDescent="0.2">
      <c r="V2366" s="180" t="str">
        <f t="shared" si="44"/>
        <v>1w</v>
      </c>
      <c r="W2366" s="177">
        <f>_xll.qlCalendarAdvance(Calendar,W2365,V2366,"f",FALSE)</f>
        <v>55535</v>
      </c>
      <c r="X2366" s="181">
        <f>_xll.qlCalendarAdvance(Calendar,W2366,NDays&amp;"D")</f>
        <v>55537</v>
      </c>
      <c r="Y2366" s="178">
        <v>2.1068550170157962E-2</v>
      </c>
      <c r="Z2366" s="183">
        <v>2.0942393394545178E-2</v>
      </c>
    </row>
    <row r="2367" spans="22:26" x14ac:dyDescent="0.2">
      <c r="V2367" s="180" t="str">
        <f t="shared" si="44"/>
        <v>1w</v>
      </c>
      <c r="W2367" s="177">
        <f>_xll.qlCalendarAdvance(Calendar,W2366,V2367,"f",FALSE)</f>
        <v>55542</v>
      </c>
      <c r="X2367" s="181">
        <f>_xll.qlCalendarAdvance(Calendar,W2367,NDays&amp;"D")</f>
        <v>55544</v>
      </c>
      <c r="Y2367" s="178">
        <v>2.1064598394079495E-2</v>
      </c>
      <c r="Z2367" s="183">
        <v>2.0939128951242836E-2</v>
      </c>
    </row>
    <row r="2368" spans="22:26" x14ac:dyDescent="0.2">
      <c r="V2368" s="180" t="str">
        <f t="shared" si="44"/>
        <v>1w</v>
      </c>
      <c r="W2368" s="177">
        <f>_xll.qlCalendarAdvance(Calendar,W2367,V2368,"f",FALSE)</f>
        <v>55549</v>
      </c>
      <c r="X2368" s="181">
        <f>_xll.qlCalendarAdvance(Calendar,W2368,NDays&amp;"D")</f>
        <v>55551</v>
      </c>
      <c r="Y2368" s="178">
        <v>2.1060622871929977E-2</v>
      </c>
      <c r="Z2368" s="183">
        <v>2.0935841241751518E-2</v>
      </c>
    </row>
    <row r="2369" spans="22:26" x14ac:dyDescent="0.2">
      <c r="V2369" s="180" t="str">
        <f t="shared" si="44"/>
        <v>1w</v>
      </c>
      <c r="W2369" s="177">
        <f>_xll.qlCalendarAdvance(Calendar,W2368,V2369,"f",FALSE)</f>
        <v>55556</v>
      </c>
      <c r="X2369" s="181">
        <f>_xll.qlCalendarAdvance(Calendar,W2369,NDays&amp;"D")</f>
        <v>55558</v>
      </c>
      <c r="Y2369" s="178">
        <v>2.1056623603992346E-2</v>
      </c>
      <c r="Z2369" s="183">
        <v>2.0932530266071225E-2</v>
      </c>
    </row>
    <row r="2370" spans="22:26" x14ac:dyDescent="0.2">
      <c r="V2370" s="180" t="str">
        <f t="shared" si="44"/>
        <v>1w</v>
      </c>
      <c r="W2370" s="177">
        <f>_xll.qlCalendarAdvance(Calendar,W2369,V2370,"f",FALSE)</f>
        <v>55563</v>
      </c>
      <c r="X2370" s="181">
        <f>_xll.qlCalendarAdvance(Calendar,W2370,NDays&amp;"D")</f>
        <v>55565</v>
      </c>
      <c r="Y2370" s="178">
        <v>2.1052600590551272E-2</v>
      </c>
      <c r="Z2370" s="183">
        <v>2.0929196024201957E-2</v>
      </c>
    </row>
    <row r="2371" spans="22:26" x14ac:dyDescent="0.2">
      <c r="V2371" s="180" t="str">
        <f t="shared" si="44"/>
        <v>1w</v>
      </c>
      <c r="W2371" s="177">
        <f>_xll.qlCalendarAdvance(Calendar,W2370,V2371,"f",FALSE)</f>
        <v>55570</v>
      </c>
      <c r="X2371" s="181">
        <f>_xll.qlCalendarAdvance(Calendar,W2371,NDays&amp;"D")</f>
        <v>55572</v>
      </c>
      <c r="Y2371" s="178">
        <v>2.1048553831892532E-2</v>
      </c>
      <c r="Z2371" s="183">
        <v>2.0925838516197004E-2</v>
      </c>
    </row>
    <row r="2372" spans="22:26" x14ac:dyDescent="0.2">
      <c r="V2372" s="180" t="str">
        <f t="shared" si="44"/>
        <v>1w</v>
      </c>
      <c r="W2372" s="177">
        <f>_xll.qlCalendarAdvance(Calendar,W2371,V2372,"f",FALSE)</f>
        <v>55577</v>
      </c>
      <c r="X2372" s="181">
        <f>_xll.qlCalendarAdvance(Calendar,W2372,NDays&amp;"D")</f>
        <v>55579</v>
      </c>
      <c r="Y2372" s="178">
        <v>2.1044483328304494E-2</v>
      </c>
      <c r="Z2372" s="183">
        <v>2.092245774197643E-2</v>
      </c>
    </row>
    <row r="2373" spans="22:26" x14ac:dyDescent="0.2">
      <c r="V2373" s="180" t="str">
        <f t="shared" si="44"/>
        <v>1w</v>
      </c>
      <c r="W2373" s="177">
        <f>_xll.qlCalendarAdvance(Calendar,W2372,V2373,"f",FALSE)</f>
        <v>55584</v>
      </c>
      <c r="X2373" s="181">
        <f>_xll.qlCalendarAdvance(Calendar,W2373,NDays&amp;"D")</f>
        <v>55586</v>
      </c>
      <c r="Y2373" s="178">
        <v>2.1040389080076636E-2</v>
      </c>
      <c r="Z2373" s="183">
        <v>2.0919053701620172E-2</v>
      </c>
    </row>
    <row r="2374" spans="22:26" x14ac:dyDescent="0.2">
      <c r="V2374" s="180" t="str">
        <f t="shared" si="44"/>
        <v>1w</v>
      </c>
      <c r="W2374" s="177">
        <f>_xll.qlCalendarAdvance(Calendar,W2373,V2374,"f",FALSE)</f>
        <v>55591</v>
      </c>
      <c r="X2374" s="181">
        <f>_xll.qlCalendarAdvance(Calendar,W2374,NDays&amp;"D")</f>
        <v>55593</v>
      </c>
      <c r="Y2374" s="178">
        <v>2.1036271087499073E-2</v>
      </c>
      <c r="Z2374" s="183">
        <v>2.0915626395074938E-2</v>
      </c>
    </row>
    <row r="2375" spans="22:26" x14ac:dyDescent="0.2">
      <c r="V2375" s="180" t="str">
        <f t="shared" si="44"/>
        <v>1w</v>
      </c>
      <c r="W2375" s="177">
        <f>_xll.qlCalendarAdvance(Calendar,W2374,V2375,"f",FALSE)</f>
        <v>55598</v>
      </c>
      <c r="X2375" s="181">
        <f>_xll.qlCalendarAdvance(Calendar,W2375,NDays&amp;"D")</f>
        <v>55600</v>
      </c>
      <c r="Y2375" s="178">
        <v>2.1032129350866069E-2</v>
      </c>
      <c r="Z2375" s="183">
        <v>2.0912175822367374E-2</v>
      </c>
    </row>
    <row r="2376" spans="22:26" x14ac:dyDescent="0.2">
      <c r="V2376" s="180" t="str">
        <f t="shared" si="44"/>
        <v>1w</v>
      </c>
      <c r="W2376" s="177">
        <f>_xll.qlCalendarAdvance(Calendar,W2375,V2376,"f",FALSE)</f>
        <v>55605</v>
      </c>
      <c r="X2376" s="181">
        <f>_xll.qlCalendarAdvance(Calendar,W2376,NDays&amp;"D")</f>
        <v>55607</v>
      </c>
      <c r="Y2376" s="178">
        <v>2.1027963870471671E-2</v>
      </c>
      <c r="Z2376" s="183">
        <v>2.0908701983470834E-2</v>
      </c>
    </row>
    <row r="2377" spans="22:26" x14ac:dyDescent="0.2">
      <c r="V2377" s="180" t="str">
        <f t="shared" si="44"/>
        <v>1w</v>
      </c>
      <c r="W2377" s="177">
        <f>_xll.qlCalendarAdvance(Calendar,W2376,V2377,"f",FALSE)</f>
        <v>55612</v>
      </c>
      <c r="X2377" s="181">
        <f>_xll.qlCalendarAdvance(Calendar,W2377,NDays&amp;"D")</f>
        <v>55614</v>
      </c>
      <c r="Y2377" s="178">
        <v>2.1024069199181428E-2</v>
      </c>
      <c r="Z2377" s="183">
        <v>2.0905204878411965E-2</v>
      </c>
    </row>
    <row r="2378" spans="22:26" x14ac:dyDescent="0.2">
      <c r="V2378" s="180" t="str">
        <f t="shared" si="44"/>
        <v>1w</v>
      </c>
      <c r="W2378" s="177">
        <f>_xll.qlCalendarAdvance(Calendar,W2377,V2378,"f",FALSE)</f>
        <v>55619</v>
      </c>
      <c r="X2378" s="181">
        <f>_xll.qlCalendarAdvance(Calendar,W2378,NDays&amp;"D")</f>
        <v>55621</v>
      </c>
      <c r="Y2378" s="178">
        <v>2.1019561679585515E-2</v>
      </c>
      <c r="Z2378" s="183">
        <v>2.0901684507217411E-2</v>
      </c>
    </row>
    <row r="2379" spans="22:26" x14ac:dyDescent="0.2">
      <c r="V2379" s="180" t="str">
        <f t="shared" si="44"/>
        <v>1w</v>
      </c>
      <c r="W2379" s="177">
        <f>_xll.qlCalendarAdvance(Calendar,W2378,V2379,"f",FALSE)</f>
        <v>55626</v>
      </c>
      <c r="X2379" s="181">
        <f>_xll.qlCalendarAdvance(Calendar,W2379,NDays&amp;"D")</f>
        <v>55632</v>
      </c>
      <c r="Y2379" s="178">
        <v>2.1012313681981181E-2</v>
      </c>
      <c r="Z2379" s="183">
        <v>2.0895402353273695E-2</v>
      </c>
    </row>
    <row r="2380" spans="22:26" x14ac:dyDescent="0.2">
      <c r="V2380" s="180" t="str">
        <f t="shared" si="44"/>
        <v>1w</v>
      </c>
      <c r="W2380" s="177">
        <f>_xll.qlCalendarAdvance(Calendar,W2379,V2380,"f",FALSE)</f>
        <v>55633</v>
      </c>
      <c r="X2380" s="181">
        <f>_xll.qlCalendarAdvance(Calendar,W2380,NDays&amp;"D")</f>
        <v>55635</v>
      </c>
      <c r="Y2380" s="178">
        <v>2.101106451723107E-2</v>
      </c>
      <c r="Z2380" s="183">
        <v>2.0894573966314667E-2</v>
      </c>
    </row>
    <row r="2381" spans="22:26" x14ac:dyDescent="0.2">
      <c r="V2381" s="180" t="str">
        <f t="shared" si="44"/>
        <v>1w</v>
      </c>
      <c r="W2381" s="177">
        <f>_xll.qlCalendarAdvance(Calendar,W2380,V2381,"f",FALSE)</f>
        <v>55641</v>
      </c>
      <c r="X2381" s="181">
        <f>_xll.qlCalendarAdvance(Calendar,W2381,NDays&amp;"D")</f>
        <v>55645</v>
      </c>
      <c r="Y2381" s="178">
        <v>2.1004364537186938E-2</v>
      </c>
      <c r="Z2381" s="183">
        <v>2.0888741840972003E-2</v>
      </c>
    </row>
    <row r="2382" spans="22:26" x14ac:dyDescent="0.2">
      <c r="V2382" s="180" t="str">
        <f t="shared" si="44"/>
        <v>1w</v>
      </c>
      <c r="W2382" s="177">
        <f>_xll.qlCalendarAdvance(Calendar,W2381,V2382,"f",FALSE)</f>
        <v>55648</v>
      </c>
      <c r="X2382" s="181">
        <f>_xll.qlCalendarAdvance(Calendar,W2382,NDays&amp;"D")</f>
        <v>55652</v>
      </c>
      <c r="Y2382" s="178">
        <v>2.1000050315139934E-2</v>
      </c>
      <c r="Z2382" s="183">
        <v>2.0885122177682902E-2</v>
      </c>
    </row>
    <row r="2383" spans="22:26" x14ac:dyDescent="0.2">
      <c r="V2383" s="180" t="str">
        <f t="shared" si="44"/>
        <v>1w</v>
      </c>
      <c r="W2383" s="177">
        <f>_xll.qlCalendarAdvance(Calendar,W2382,V2383,"f",FALSE)</f>
        <v>55655</v>
      </c>
      <c r="X2383" s="181">
        <f>_xll.qlCalendarAdvance(Calendar,W2383,NDays&amp;"D")</f>
        <v>55659</v>
      </c>
      <c r="Y2383" s="178">
        <v>2.0995712354167362E-2</v>
      </c>
      <c r="Z2383" s="183">
        <v>2.0881479250922652E-2</v>
      </c>
    </row>
    <row r="2384" spans="22:26" x14ac:dyDescent="0.2">
      <c r="V2384" s="180" t="str">
        <f t="shared" si="44"/>
        <v>1w</v>
      </c>
      <c r="W2384" s="177">
        <f>_xll.qlCalendarAdvance(Calendar,W2383,V2384,"f",FALSE)</f>
        <v>55662</v>
      </c>
      <c r="X2384" s="181">
        <f>_xll.qlCalendarAdvance(Calendar,W2384,NDays&amp;"D")</f>
        <v>55666</v>
      </c>
      <c r="Y2384" s="178">
        <v>2.0991350654575174E-2</v>
      </c>
      <c r="Z2384" s="183">
        <v>2.0877813060611317E-2</v>
      </c>
    </row>
    <row r="2385" spans="22:26" x14ac:dyDescent="0.2">
      <c r="V2385" s="180" t="str">
        <f t="shared" si="44"/>
        <v>1w</v>
      </c>
      <c r="W2385" s="177">
        <f>_xll.qlCalendarAdvance(Calendar,W2384,V2385,"f",FALSE)</f>
        <v>55669</v>
      </c>
      <c r="X2385" s="181">
        <f>_xll.qlCalendarAdvance(Calendar,W2385,NDays&amp;"D")</f>
        <v>55673</v>
      </c>
      <c r="Y2385" s="178">
        <v>2.09869652166726E-2</v>
      </c>
      <c r="Z2385" s="183">
        <v>2.0874123606748896E-2</v>
      </c>
    </row>
    <row r="2386" spans="22:26" x14ac:dyDescent="0.2">
      <c r="V2386" s="180" t="str">
        <f t="shared" si="44"/>
        <v>1w</v>
      </c>
      <c r="W2386" s="177">
        <f>_xll.qlCalendarAdvance(Calendar,W2385,V2386,"f",FALSE)</f>
        <v>55676</v>
      </c>
      <c r="X2386" s="181">
        <f>_xll.qlCalendarAdvance(Calendar,W2386,NDays&amp;"D")</f>
        <v>55680</v>
      </c>
      <c r="Y2386" s="178">
        <v>2.098255604076953E-2</v>
      </c>
      <c r="Z2386" s="183">
        <v>2.0870410889335389E-2</v>
      </c>
    </row>
    <row r="2387" spans="22:26" x14ac:dyDescent="0.2">
      <c r="V2387" s="180" t="str">
        <f t="shared" si="44"/>
        <v>1w</v>
      </c>
      <c r="W2387" s="177">
        <f>_xll.qlCalendarAdvance(Calendar,W2386,V2387,"f",FALSE)</f>
        <v>55683</v>
      </c>
      <c r="X2387" s="181">
        <f>_xll.qlCalendarAdvance(Calendar,W2387,NDays&amp;"D")</f>
        <v>55687</v>
      </c>
      <c r="Y2387" s="178">
        <v>2.097812312717804E-2</v>
      </c>
      <c r="Z2387" s="183">
        <v>2.0866674908450733E-2</v>
      </c>
    </row>
    <row r="2388" spans="22:26" x14ac:dyDescent="0.2">
      <c r="V2388" s="180" t="str">
        <f t="shared" si="44"/>
        <v>1w</v>
      </c>
      <c r="W2388" s="177">
        <f>_xll.qlCalendarAdvance(Calendar,W2387,V2388,"f",FALSE)</f>
        <v>55690</v>
      </c>
      <c r="X2388" s="181">
        <f>_xll.qlCalendarAdvance(Calendar,W2388,NDays&amp;"D")</f>
        <v>55694</v>
      </c>
      <c r="Y2388" s="178">
        <v>2.0973666476211527E-2</v>
      </c>
      <c r="Z2388" s="183">
        <v>2.0862915664094928E-2</v>
      </c>
    </row>
    <row r="2389" spans="22:26" x14ac:dyDescent="0.2">
      <c r="V2389" s="180" t="str">
        <f t="shared" ref="V2389:V2452" si="45">V2388</f>
        <v>1w</v>
      </c>
      <c r="W2389" s="177">
        <f>_xll.qlCalendarAdvance(Calendar,W2388,V2389,"f",FALSE)</f>
        <v>55697</v>
      </c>
      <c r="X2389" s="181">
        <f>_xll.qlCalendarAdvance(Calendar,W2389,NDays&amp;"D")</f>
        <v>55701</v>
      </c>
      <c r="Y2389" s="178">
        <v>2.0969186088185134E-2</v>
      </c>
      <c r="Z2389" s="183">
        <v>2.0859133156028165E-2</v>
      </c>
    </row>
    <row r="2390" spans="22:26" x14ac:dyDescent="0.2">
      <c r="V2390" s="180" t="str">
        <f t="shared" si="45"/>
        <v>1w</v>
      </c>
      <c r="W2390" s="177">
        <f>_xll.qlCalendarAdvance(Calendar,W2389,V2390,"f",FALSE)</f>
        <v>55704</v>
      </c>
      <c r="X2390" s="181">
        <f>_xll.qlCalendarAdvance(Calendar,W2390,NDays&amp;"D")</f>
        <v>55708</v>
      </c>
      <c r="Y2390" s="178">
        <v>2.0964681963416196E-2</v>
      </c>
      <c r="Z2390" s="183">
        <v>2.0855327384650124E-2</v>
      </c>
    </row>
    <row r="2391" spans="22:26" x14ac:dyDescent="0.2">
      <c r="V2391" s="180" t="str">
        <f t="shared" si="45"/>
        <v>1w</v>
      </c>
      <c r="W2391" s="177">
        <f>_xll.qlCalendarAdvance(Calendar,W2390,V2391,"f",FALSE)</f>
        <v>55711</v>
      </c>
      <c r="X2391" s="181">
        <f>_xll.qlCalendarAdvance(Calendar,W2391,NDays&amp;"D")</f>
        <v>55715</v>
      </c>
      <c r="Y2391" s="178">
        <v>2.0960154102222926E-2</v>
      </c>
      <c r="Z2391" s="183">
        <v>2.0851498349641062E-2</v>
      </c>
    </row>
    <row r="2392" spans="22:26" x14ac:dyDescent="0.2">
      <c r="V2392" s="180" t="str">
        <f t="shared" si="45"/>
        <v>1w</v>
      </c>
      <c r="W2392" s="177">
        <f>_xll.qlCalendarAdvance(Calendar,W2391,V2392,"f",FALSE)</f>
        <v>55718</v>
      </c>
      <c r="X2392" s="181">
        <f>_xll.qlCalendarAdvance(Calendar,W2392,NDays&amp;"D")</f>
        <v>55722</v>
      </c>
      <c r="Y2392" s="178">
        <v>2.0955602504925726E-2</v>
      </c>
      <c r="Z2392" s="183">
        <v>2.0847646051080915E-2</v>
      </c>
    </row>
    <row r="2393" spans="22:26" x14ac:dyDescent="0.2">
      <c r="V2393" s="180" t="str">
        <f t="shared" si="45"/>
        <v>1w</v>
      </c>
      <c r="W2393" s="177">
        <f>_xll.qlCalendarAdvance(Calendar,W2392,V2393,"f",FALSE)</f>
        <v>55725</v>
      </c>
      <c r="X2393" s="181">
        <f>_xll.qlCalendarAdvance(Calendar,W2393,NDays&amp;"D")</f>
        <v>55729</v>
      </c>
      <c r="Y2393" s="178">
        <v>2.0951027171846527E-2</v>
      </c>
      <c r="Z2393" s="183">
        <v>2.0843770489049618E-2</v>
      </c>
    </row>
    <row r="2394" spans="22:26" x14ac:dyDescent="0.2">
      <c r="V2394" s="180" t="str">
        <f t="shared" si="45"/>
        <v>1w</v>
      </c>
      <c r="W2394" s="177">
        <f>_xll.qlCalendarAdvance(Calendar,W2393,V2394,"f",FALSE)</f>
        <v>55732</v>
      </c>
      <c r="X2394" s="181">
        <f>_xll.qlCalendarAdvance(Calendar,W2394,NDays&amp;"D")</f>
        <v>55736</v>
      </c>
      <c r="Y2394" s="178">
        <v>2.0946428103309017E-2</v>
      </c>
      <c r="Z2394" s="183">
        <v>2.0839871663547171E-2</v>
      </c>
    </row>
    <row r="2395" spans="22:26" x14ac:dyDescent="0.2">
      <c r="V2395" s="180" t="str">
        <f t="shared" si="45"/>
        <v>1w</v>
      </c>
      <c r="W2395" s="177">
        <f>_xll.qlCalendarAdvance(Calendar,W2394,V2395,"f",FALSE)</f>
        <v>55739</v>
      </c>
      <c r="X2395" s="181">
        <f>_xll.qlCalendarAdvance(Calendar,W2395,NDays&amp;"D")</f>
        <v>55743</v>
      </c>
      <c r="Y2395" s="178">
        <v>2.0941805299638634E-2</v>
      </c>
      <c r="Z2395" s="183">
        <v>2.083594957449364E-2</v>
      </c>
    </row>
    <row r="2396" spans="22:26" x14ac:dyDescent="0.2">
      <c r="V2396" s="180" t="str">
        <f t="shared" si="45"/>
        <v>1w</v>
      </c>
      <c r="W2396" s="177">
        <f>_xll.qlCalendarAdvance(Calendar,W2395,V2396,"f",FALSE)</f>
        <v>55746</v>
      </c>
      <c r="X2396" s="181">
        <f>_xll.qlCalendarAdvance(Calendar,W2396,NDays&amp;"D")</f>
        <v>55750</v>
      </c>
      <c r="Y2396" s="178">
        <v>2.0937158761161912E-2</v>
      </c>
      <c r="Z2396" s="183">
        <v>2.0832004221889022E-2</v>
      </c>
    </row>
    <row r="2397" spans="22:26" x14ac:dyDescent="0.2">
      <c r="V2397" s="180" t="str">
        <f t="shared" si="45"/>
        <v>1w</v>
      </c>
      <c r="W2397" s="177">
        <f>_xll.qlCalendarAdvance(Calendar,W2396,V2397,"f",FALSE)</f>
        <v>55753</v>
      </c>
      <c r="X2397" s="181">
        <f>_xll.qlCalendarAdvance(Calendar,W2397,NDays&amp;"D")</f>
        <v>55757</v>
      </c>
      <c r="Y2397" s="178">
        <v>2.093248848820823E-2</v>
      </c>
      <c r="Z2397" s="183">
        <v>2.0828035605813255E-2</v>
      </c>
    </row>
    <row r="2398" spans="22:26" x14ac:dyDescent="0.2">
      <c r="V2398" s="180" t="str">
        <f t="shared" si="45"/>
        <v>1w</v>
      </c>
      <c r="W2398" s="177">
        <f>_xll.qlCalendarAdvance(Calendar,W2397,V2398,"f",FALSE)</f>
        <v>55760</v>
      </c>
      <c r="X2398" s="181">
        <f>_xll.qlCalendarAdvance(Calendar,W2398,NDays&amp;"D")</f>
        <v>55764</v>
      </c>
      <c r="Y2398" s="178">
        <v>2.0927794481107188E-2</v>
      </c>
      <c r="Z2398" s="183">
        <v>2.0824043726106467E-2</v>
      </c>
    </row>
    <row r="2399" spans="22:26" x14ac:dyDescent="0.2">
      <c r="V2399" s="180" t="str">
        <f t="shared" si="45"/>
        <v>1w</v>
      </c>
      <c r="W2399" s="177">
        <f>_xll.qlCalendarAdvance(Calendar,W2398,V2399,"f",FALSE)</f>
        <v>55767</v>
      </c>
      <c r="X2399" s="181">
        <f>_xll.qlCalendarAdvance(Calendar,W2399,NDays&amp;"D")</f>
        <v>55771</v>
      </c>
      <c r="Y2399" s="178">
        <v>2.0923076740191456E-2</v>
      </c>
      <c r="Z2399" s="183">
        <v>2.0820028583008465E-2</v>
      </c>
    </row>
    <row r="2400" spans="22:26" x14ac:dyDescent="0.2">
      <c r="V2400" s="180" t="str">
        <f t="shared" si="45"/>
        <v>1w</v>
      </c>
      <c r="W2400" s="177">
        <f>_xll.qlCalendarAdvance(Calendar,W2399,V2400,"f",FALSE)</f>
        <v>55774</v>
      </c>
      <c r="X2400" s="181">
        <f>_xll.qlCalendarAdvance(Calendar,W2400,NDays&amp;"D")</f>
        <v>55778</v>
      </c>
      <c r="Y2400" s="178">
        <v>2.0918335265794348E-2</v>
      </c>
      <c r="Z2400" s="183">
        <v>2.0815990176359378E-2</v>
      </c>
    </row>
    <row r="2401" spans="22:26" x14ac:dyDescent="0.2">
      <c r="V2401" s="180" t="str">
        <f t="shared" si="45"/>
        <v>1w</v>
      </c>
      <c r="W2401" s="177">
        <f>_xll.qlCalendarAdvance(Calendar,W2400,V2401,"f",FALSE)</f>
        <v>55781</v>
      </c>
      <c r="X2401" s="181">
        <f>_xll.qlCalendarAdvance(Calendar,W2401,NDays&amp;"D")</f>
        <v>55785</v>
      </c>
      <c r="Y2401" s="178">
        <v>2.0913570058251379E-2</v>
      </c>
      <c r="Z2401" s="183">
        <v>2.0811928506239141E-2</v>
      </c>
    </row>
    <row r="2402" spans="22:26" x14ac:dyDescent="0.2">
      <c r="V2402" s="180" t="str">
        <f t="shared" si="45"/>
        <v>1w</v>
      </c>
      <c r="W2402" s="177">
        <f>_xll.qlCalendarAdvance(Calendar,W2401,V2402,"f",FALSE)</f>
        <v>55788</v>
      </c>
      <c r="X2402" s="181">
        <f>_xll.qlCalendarAdvance(Calendar,W2402,NDays&amp;"D")</f>
        <v>55792</v>
      </c>
      <c r="Y2402" s="178">
        <v>2.0908781117899598E-2</v>
      </c>
      <c r="Z2402" s="183">
        <v>2.0807843572567819E-2</v>
      </c>
    </row>
    <row r="2403" spans="22:26" x14ac:dyDescent="0.2">
      <c r="V2403" s="180" t="str">
        <f t="shared" si="45"/>
        <v>1w</v>
      </c>
      <c r="W2403" s="177">
        <f>_xll.qlCalendarAdvance(Calendar,W2402,V2403,"f",FALSE)</f>
        <v>55795</v>
      </c>
      <c r="X2403" s="181">
        <f>_xll.qlCalendarAdvance(Calendar,W2403,NDays&amp;"D")</f>
        <v>55799</v>
      </c>
      <c r="Y2403" s="178">
        <v>2.0903968445078022E-2</v>
      </c>
      <c r="Z2403" s="183">
        <v>2.0803735375425347E-2</v>
      </c>
    </row>
    <row r="2404" spans="22:26" x14ac:dyDescent="0.2">
      <c r="V2404" s="180" t="str">
        <f t="shared" si="45"/>
        <v>1w</v>
      </c>
      <c r="W2404" s="177">
        <f>_xll.qlCalendarAdvance(Calendar,W2403,V2404,"f",FALSE)</f>
        <v>55802</v>
      </c>
      <c r="X2404" s="181">
        <f>_xll.qlCalendarAdvance(Calendar,W2404,NDays&amp;"D")</f>
        <v>55806</v>
      </c>
      <c r="Y2404" s="178">
        <v>2.0899132040126535E-2</v>
      </c>
      <c r="Z2404" s="183">
        <v>2.0799603914811726E-2</v>
      </c>
    </row>
    <row r="2405" spans="22:26" x14ac:dyDescent="0.2">
      <c r="V2405" s="180" t="str">
        <f t="shared" si="45"/>
        <v>1w</v>
      </c>
      <c r="W2405" s="177">
        <f>_xll.qlCalendarAdvance(Calendar,W2404,V2405,"f",FALSE)</f>
        <v>55809</v>
      </c>
      <c r="X2405" s="181">
        <f>_xll.qlCalendarAdvance(Calendar,W2405,NDays&amp;"D")</f>
        <v>55813</v>
      </c>
      <c r="Y2405" s="178">
        <v>2.0894271903387229E-2</v>
      </c>
      <c r="Z2405" s="183">
        <v>2.0795449190567084E-2</v>
      </c>
    </row>
    <row r="2406" spans="22:26" x14ac:dyDescent="0.2">
      <c r="V2406" s="180" t="str">
        <f t="shared" si="45"/>
        <v>1w</v>
      </c>
      <c r="W2406" s="177">
        <f>_xll.qlCalendarAdvance(Calendar,W2405,V2406,"f",FALSE)</f>
        <v>55816</v>
      </c>
      <c r="X2406" s="181">
        <f>_xll.qlCalendarAdvance(Calendar,W2406,NDays&amp;"D")</f>
        <v>55820</v>
      </c>
      <c r="Y2406" s="178">
        <v>2.0889388035204154E-2</v>
      </c>
      <c r="Z2406" s="183">
        <v>2.0791271202851291E-2</v>
      </c>
    </row>
    <row r="2407" spans="22:26" x14ac:dyDescent="0.2">
      <c r="V2407" s="180" t="str">
        <f t="shared" si="45"/>
        <v>1w</v>
      </c>
      <c r="W2407" s="177">
        <f>_xll.qlCalendarAdvance(Calendar,W2406,V2407,"f",FALSE)</f>
        <v>55823</v>
      </c>
      <c r="X2407" s="181">
        <f>_xll.qlCalendarAdvance(Calendar,W2407,NDays&amp;"D")</f>
        <v>55827</v>
      </c>
      <c r="Y2407" s="178">
        <v>2.0884480435922895E-2</v>
      </c>
      <c r="Z2407" s="183">
        <v>2.0787069951584414E-2</v>
      </c>
    </row>
    <row r="2408" spans="22:26" x14ac:dyDescent="0.2">
      <c r="V2408" s="180" t="str">
        <f t="shared" si="45"/>
        <v>1w</v>
      </c>
      <c r="W2408" s="177">
        <f>_xll.qlCalendarAdvance(Calendar,W2407,V2408,"f",FALSE)</f>
        <v>55830</v>
      </c>
      <c r="X2408" s="181">
        <f>_xll.qlCalendarAdvance(Calendar,W2408,NDays&amp;"D")</f>
        <v>55834</v>
      </c>
      <c r="Y2408" s="178">
        <v>2.0879549105890575E-2</v>
      </c>
      <c r="Z2408" s="183">
        <v>2.0782845436926323E-2</v>
      </c>
    </row>
    <row r="2409" spans="22:26" x14ac:dyDescent="0.2">
      <c r="V2409" s="180" t="str">
        <f t="shared" si="45"/>
        <v>1w</v>
      </c>
      <c r="W2409" s="177">
        <f>_xll.qlCalendarAdvance(Calendar,W2408,V2409,"f",FALSE)</f>
        <v>55837</v>
      </c>
      <c r="X2409" s="181">
        <f>_xll.qlCalendarAdvance(Calendar,W2409,NDays&amp;"D")</f>
        <v>55841</v>
      </c>
      <c r="Y2409" s="178">
        <v>2.0874594045455625E-2</v>
      </c>
      <c r="Z2409" s="183">
        <v>2.0778597658717146E-2</v>
      </c>
    </row>
    <row r="2410" spans="22:26" x14ac:dyDescent="0.2">
      <c r="V2410" s="180" t="str">
        <f t="shared" si="45"/>
        <v>1w</v>
      </c>
      <c r="W2410" s="177">
        <f>_xll.qlCalendarAdvance(Calendar,W2409,V2410,"f",FALSE)</f>
        <v>55844</v>
      </c>
      <c r="X2410" s="181">
        <f>_xll.qlCalendarAdvance(Calendar,W2410,NDays&amp;"D")</f>
        <v>55848</v>
      </c>
      <c r="Y2410" s="178">
        <v>2.0869615254968672E-2</v>
      </c>
      <c r="Z2410" s="183">
        <v>2.0774326616876948E-2</v>
      </c>
    </row>
    <row r="2411" spans="22:26" x14ac:dyDescent="0.2">
      <c r="V2411" s="180" t="str">
        <f t="shared" si="45"/>
        <v>1w</v>
      </c>
      <c r="W2411" s="177">
        <f>_xll.qlCalendarAdvance(Calendar,W2410,V2411,"f",FALSE)</f>
        <v>55851</v>
      </c>
      <c r="X2411" s="181">
        <f>_xll.qlCalendarAdvance(Calendar,W2411,NDays&amp;"D")</f>
        <v>55855</v>
      </c>
      <c r="Y2411" s="178">
        <v>2.0864612734782087E-2</v>
      </c>
      <c r="Z2411" s="183">
        <v>2.0770032311725473E-2</v>
      </c>
    </row>
    <row r="2412" spans="22:26" x14ac:dyDescent="0.2">
      <c r="V2412" s="180" t="str">
        <f t="shared" si="45"/>
        <v>1w</v>
      </c>
      <c r="W2412" s="177">
        <f>_xll.qlCalendarAdvance(Calendar,W2411,V2412,"f",FALSE)</f>
        <v>55858</v>
      </c>
      <c r="X2412" s="181">
        <f>_xll.qlCalendarAdvance(Calendar,W2412,NDays&amp;"D")</f>
        <v>55862</v>
      </c>
      <c r="Y2412" s="178">
        <v>2.085958648524934E-2</v>
      </c>
      <c r="Z2412" s="183">
        <v>2.0765714742942976E-2</v>
      </c>
    </row>
    <row r="2413" spans="22:26" x14ac:dyDescent="0.2">
      <c r="V2413" s="180" t="str">
        <f t="shared" si="45"/>
        <v>1w</v>
      </c>
      <c r="W2413" s="177">
        <f>_xll.qlCalendarAdvance(Calendar,W2412,V2413,"f",FALSE)</f>
        <v>55865</v>
      </c>
      <c r="X2413" s="181">
        <f>_xll.qlCalendarAdvance(Calendar,W2413,NDays&amp;"D")</f>
        <v>55869</v>
      </c>
      <c r="Y2413" s="178">
        <v>2.0854536506726317E-2</v>
      </c>
      <c r="Z2413" s="183">
        <v>2.0761373910769265E-2</v>
      </c>
    </row>
    <row r="2414" spans="22:26" x14ac:dyDescent="0.2">
      <c r="V2414" s="180" t="str">
        <f t="shared" si="45"/>
        <v>1w</v>
      </c>
      <c r="W2414" s="177">
        <f>_xll.qlCalendarAdvance(Calendar,W2413,V2414,"f",FALSE)</f>
        <v>55872</v>
      </c>
      <c r="X2414" s="181">
        <f>_xll.qlCalendarAdvance(Calendar,W2414,NDays&amp;"D")</f>
        <v>55876</v>
      </c>
      <c r="Y2414" s="178">
        <v>2.0849462799569989E-2</v>
      </c>
      <c r="Z2414" s="183">
        <v>2.0757009814884597E-2</v>
      </c>
    </row>
    <row r="2415" spans="22:26" x14ac:dyDescent="0.2">
      <c r="V2415" s="180" t="str">
        <f t="shared" si="45"/>
        <v>1w</v>
      </c>
      <c r="W2415" s="177">
        <f>_xll.qlCalendarAdvance(Calendar,W2414,V2415,"f",FALSE)</f>
        <v>55880</v>
      </c>
      <c r="X2415" s="181">
        <f>_xll.qlCalendarAdvance(Calendar,W2415,NDays&amp;"D")</f>
        <v>55884</v>
      </c>
      <c r="Y2415" s="178">
        <v>2.0843635222096913E-2</v>
      </c>
      <c r="Z2415" s="183">
        <v>2.0752277321607338E-2</v>
      </c>
    </row>
    <row r="2416" spans="22:26" x14ac:dyDescent="0.2">
      <c r="V2416" s="180" t="str">
        <f t="shared" si="45"/>
        <v>1w</v>
      </c>
      <c r="W2416" s="177">
        <f>_xll.qlCalendarAdvance(Calendar,W2415,V2416,"f",FALSE)</f>
        <v>55887</v>
      </c>
      <c r="X2416" s="181">
        <f>_xll.qlCalendarAdvance(Calendar,W2416,NDays&amp;"D")</f>
        <v>55891</v>
      </c>
      <c r="Y2416" s="178">
        <v>2.08385106690798E-2</v>
      </c>
      <c r="Z2416" s="183">
        <v>2.0747579844879738E-2</v>
      </c>
    </row>
    <row r="2417" spans="22:26" x14ac:dyDescent="0.2">
      <c r="V2417" s="180" t="str">
        <f t="shared" si="45"/>
        <v>1w</v>
      </c>
      <c r="W2417" s="177">
        <f>_xll.qlCalendarAdvance(Calendar,W2416,V2417,"f",FALSE)</f>
        <v>55894</v>
      </c>
      <c r="X2417" s="181">
        <f>_xll.qlCalendarAdvance(Calendar,W2417,NDays&amp;"D")</f>
        <v>55898</v>
      </c>
      <c r="Y2417" s="178">
        <v>2.0833362388562943E-2</v>
      </c>
      <c r="Z2417" s="183">
        <v>2.0743142635399892E-2</v>
      </c>
    </row>
    <row r="2418" spans="22:26" x14ac:dyDescent="0.2">
      <c r="V2418" s="180" t="str">
        <f t="shared" si="45"/>
        <v>1w</v>
      </c>
      <c r="W2418" s="177">
        <f>_xll.qlCalendarAdvance(Calendar,W2417,V2418,"f",FALSE)</f>
        <v>55901</v>
      </c>
      <c r="X2418" s="181">
        <f>_xll.qlCalendarAdvance(Calendar,W2418,NDays&amp;"D")</f>
        <v>55905</v>
      </c>
      <c r="Y2418" s="178">
        <v>2.0828190380910543E-2</v>
      </c>
      <c r="Z2418" s="183">
        <v>2.0738682162289024E-2</v>
      </c>
    </row>
    <row r="2419" spans="22:26" x14ac:dyDescent="0.2">
      <c r="V2419" s="180" t="str">
        <f t="shared" si="45"/>
        <v>1w</v>
      </c>
      <c r="W2419" s="177">
        <f>_xll.qlCalendarAdvance(Calendar,W2418,V2419,"f",FALSE)</f>
        <v>55908</v>
      </c>
      <c r="X2419" s="181">
        <f>_xll.qlCalendarAdvance(Calendar,W2419,NDays&amp;"D")</f>
        <v>55912</v>
      </c>
      <c r="Y2419" s="178">
        <v>2.0822994646488551E-2</v>
      </c>
      <c r="Z2419" s="183">
        <v>2.0734198425627071E-2</v>
      </c>
    </row>
    <row r="2420" spans="22:26" x14ac:dyDescent="0.2">
      <c r="V2420" s="180" t="str">
        <f t="shared" si="45"/>
        <v>1w</v>
      </c>
      <c r="W2420" s="177">
        <f>_xll.qlCalendarAdvance(Calendar,W2419,V2420,"f",FALSE)</f>
        <v>55915</v>
      </c>
      <c r="X2420" s="181">
        <f>_xll.qlCalendarAdvance(Calendar,W2420,NDays&amp;"D")</f>
        <v>55919</v>
      </c>
      <c r="Y2420" s="178">
        <v>2.0817775185664019E-2</v>
      </c>
      <c r="Z2420" s="183">
        <v>2.072969142565384E-2</v>
      </c>
    </row>
    <row r="2421" spans="22:26" x14ac:dyDescent="0.2">
      <c r="V2421" s="180" t="str">
        <f t="shared" si="45"/>
        <v>1w</v>
      </c>
      <c r="W2421" s="177">
        <f>_xll.qlCalendarAdvance(Calendar,W2420,V2421,"f",FALSE)</f>
        <v>55922</v>
      </c>
      <c r="X2421" s="181">
        <f>_xll.qlCalendarAdvance(Calendar,W2421,NDays&amp;"D")</f>
        <v>55926</v>
      </c>
      <c r="Y2421" s="178">
        <v>2.0812531998806404E-2</v>
      </c>
      <c r="Z2421" s="183">
        <v>2.0725161162049588E-2</v>
      </c>
    </row>
    <row r="2422" spans="22:26" x14ac:dyDescent="0.2">
      <c r="V2422" s="180" t="str">
        <f t="shared" si="45"/>
        <v>1w</v>
      </c>
      <c r="W2422" s="177">
        <f>_xll.qlCalendarAdvance(Calendar,W2421,V2422,"f",FALSE)</f>
        <v>55929</v>
      </c>
      <c r="X2422" s="181">
        <f>_xll.qlCalendarAdvance(Calendar,W2422,NDays&amp;"D")</f>
        <v>55933</v>
      </c>
      <c r="Y2422" s="178">
        <v>2.0807265086286258E-2</v>
      </c>
      <c r="Z2422" s="183">
        <v>2.072060763489425E-2</v>
      </c>
    </row>
    <row r="2423" spans="22:26" x14ac:dyDescent="0.2">
      <c r="V2423" s="180" t="str">
        <f t="shared" si="45"/>
        <v>1w</v>
      </c>
      <c r="W2423" s="177">
        <f>_xll.qlCalendarAdvance(Calendar,W2422,V2423,"f",FALSE)</f>
        <v>55936</v>
      </c>
      <c r="X2423" s="181">
        <f>_xll.qlCalendarAdvance(Calendar,W2423,NDays&amp;"D")</f>
        <v>55940</v>
      </c>
      <c r="Y2423" s="178">
        <v>2.0801974448476764E-2</v>
      </c>
      <c r="Z2423" s="183">
        <v>2.0716030844267763E-2</v>
      </c>
    </row>
    <row r="2424" spans="22:26" x14ac:dyDescent="0.2">
      <c r="V2424" s="180" t="str">
        <f t="shared" si="45"/>
        <v>1w</v>
      </c>
      <c r="W2424" s="177">
        <f>_xll.qlCalendarAdvance(Calendar,W2423,V2424,"f",FALSE)</f>
        <v>55943</v>
      </c>
      <c r="X2424" s="181">
        <f>_xll.qlCalendarAdvance(Calendar,W2424,NDays&amp;"D")</f>
        <v>55947</v>
      </c>
      <c r="Y2424" s="178">
        <v>2.0796660085751317E-2</v>
      </c>
      <c r="Z2424" s="183">
        <v>2.0711430790329999E-2</v>
      </c>
    </row>
    <row r="2425" spans="22:26" x14ac:dyDescent="0.2">
      <c r="V2425" s="180" t="str">
        <f t="shared" si="45"/>
        <v>1w</v>
      </c>
      <c r="W2425" s="177">
        <f>_xll.qlCalendarAdvance(Calendar,W2424,V2425,"f",FALSE)</f>
        <v>55950</v>
      </c>
      <c r="X2425" s="181">
        <f>_xll.qlCalendarAdvance(Calendar,W2425,NDays&amp;"D")</f>
        <v>55954</v>
      </c>
      <c r="Y2425" s="178">
        <v>2.0791321998486389E-2</v>
      </c>
      <c r="Z2425" s="183">
        <v>2.0706807472761213E-2</v>
      </c>
    </row>
    <row r="2426" spans="22:26" x14ac:dyDescent="0.2">
      <c r="V2426" s="180" t="str">
        <f t="shared" si="45"/>
        <v>1w</v>
      </c>
      <c r="W2426" s="177">
        <f>_xll.qlCalendarAdvance(Calendar,W2425,V2426,"f",FALSE)</f>
        <v>55957</v>
      </c>
      <c r="X2426" s="181">
        <f>_xll.qlCalendarAdvance(Calendar,W2426,NDays&amp;"D")</f>
        <v>55961</v>
      </c>
      <c r="Y2426" s="178">
        <v>2.0785960187059537E-2</v>
      </c>
      <c r="Z2426" s="183">
        <v>2.0702160891641341E-2</v>
      </c>
    </row>
    <row r="2427" spans="22:26" x14ac:dyDescent="0.2">
      <c r="V2427" s="180" t="str">
        <f t="shared" si="45"/>
        <v>1w</v>
      </c>
      <c r="W2427" s="177">
        <f>_xll.qlCalendarAdvance(Calendar,W2426,V2427,"f",FALSE)</f>
        <v>55964</v>
      </c>
      <c r="X2427" s="181">
        <f>_xll.qlCalendarAdvance(Calendar,W2427,NDays&amp;"D")</f>
        <v>55968</v>
      </c>
      <c r="Y2427" s="178">
        <v>2.0780574651849418E-2</v>
      </c>
      <c r="Z2427" s="183">
        <v>2.069749104705032E-2</v>
      </c>
    </row>
    <row r="2428" spans="22:26" x14ac:dyDescent="0.2">
      <c r="V2428" s="180" t="str">
        <f t="shared" si="45"/>
        <v>1w</v>
      </c>
      <c r="W2428" s="177">
        <f>_xll.qlCalendarAdvance(Calendar,W2427,V2428,"f",FALSE)</f>
        <v>55971</v>
      </c>
      <c r="X2428" s="181">
        <f>_xll.qlCalendarAdvance(Calendar,W2428,NDays&amp;"D")</f>
        <v>55975</v>
      </c>
      <c r="Y2428" s="178">
        <v>2.0775165393237316E-2</v>
      </c>
      <c r="Z2428" s="183">
        <v>2.0692797939068086E-2</v>
      </c>
    </row>
    <row r="2429" spans="22:26" x14ac:dyDescent="0.2">
      <c r="V2429" s="180" t="str">
        <f t="shared" si="45"/>
        <v>1w</v>
      </c>
      <c r="W2429" s="177">
        <f>_xll.qlCalendarAdvance(Calendar,W2428,V2429,"f",FALSE)</f>
        <v>55982</v>
      </c>
      <c r="X2429" s="181">
        <f>_xll.qlCalendarAdvance(Calendar,W2429,NDays&amp;"D")</f>
        <v>55984</v>
      </c>
      <c r="Y2429" s="178">
        <v>2.0768175773904243E-2</v>
      </c>
      <c r="Z2429" s="183">
        <v>2.0686729759908928E-2</v>
      </c>
    </row>
    <row r="2430" spans="22:26" x14ac:dyDescent="0.2">
      <c r="V2430" s="180" t="str">
        <f t="shared" si="45"/>
        <v>1w</v>
      </c>
      <c r="W2430" s="177">
        <f>_xll.qlCalendarAdvance(Calendar,W2429,V2430,"f",FALSE)</f>
        <v>55989</v>
      </c>
      <c r="X2430" s="181">
        <f>_xll.qlCalendarAdvance(Calendar,W2430,NDays&amp;"D")</f>
        <v>55991</v>
      </c>
      <c r="Y2430" s="178">
        <v>2.0762712291812518E-2</v>
      </c>
      <c r="Z2430" s="183">
        <v>2.0681983478221255E-2</v>
      </c>
    </row>
    <row r="2431" spans="22:26" x14ac:dyDescent="0.2">
      <c r="V2431" s="180" t="str">
        <f t="shared" si="45"/>
        <v>1w</v>
      </c>
      <c r="W2431" s="177">
        <f>_xll.qlCalendarAdvance(Calendar,W2430,V2431,"f",FALSE)</f>
        <v>55996</v>
      </c>
      <c r="X2431" s="181">
        <f>_xll.qlCalendarAdvance(Calendar,W2431,NDays&amp;"D")</f>
        <v>55998</v>
      </c>
      <c r="Y2431" s="178">
        <v>2.0757225087582019E-2</v>
      </c>
      <c r="Z2431" s="183">
        <v>2.0677213933062433E-2</v>
      </c>
    </row>
    <row r="2432" spans="22:26" x14ac:dyDescent="0.2">
      <c r="V2432" s="180" t="str">
        <f t="shared" si="45"/>
        <v>1w</v>
      </c>
      <c r="W2432" s="177">
        <f>_xll.qlCalendarAdvance(Calendar,W2431,V2432,"f",FALSE)</f>
        <v>56003</v>
      </c>
      <c r="X2432" s="181">
        <f>_xll.qlCalendarAdvance(Calendar,W2432,NDays&amp;"D")</f>
        <v>56006</v>
      </c>
      <c r="Y2432" s="178">
        <v>2.0751293450087062E-2</v>
      </c>
      <c r="Z2432" s="183">
        <v>2.0672234264731415E-2</v>
      </c>
    </row>
    <row r="2433" spans="22:26" x14ac:dyDescent="0.2">
      <c r="V2433" s="180" t="str">
        <f t="shared" si="45"/>
        <v>1w</v>
      </c>
      <c r="W2433" s="177">
        <f>_xll.qlCalendarAdvance(Calendar,W2432,V2433,"f",FALSE)</f>
        <v>56010</v>
      </c>
      <c r="X2433" s="181">
        <f>_xll.qlCalendarAdvance(Calendar,W2433,NDays&amp;"D")</f>
        <v>56012</v>
      </c>
      <c r="Y2433" s="178">
        <v>2.0746179514259621E-2</v>
      </c>
      <c r="Z2433" s="183">
        <v>2.0667605052091531E-2</v>
      </c>
    </row>
    <row r="2434" spans="22:26" x14ac:dyDescent="0.2">
      <c r="V2434" s="180" t="str">
        <f t="shared" si="45"/>
        <v>1w</v>
      </c>
      <c r="W2434" s="177">
        <f>_xll.qlCalendarAdvance(Calendar,W2433,V2434,"f",FALSE)</f>
        <v>56017</v>
      </c>
      <c r="X2434" s="181">
        <f>_xll.qlCalendarAdvance(Calendar,W2434,NDays&amp;"D")</f>
        <v>56019</v>
      </c>
      <c r="Y2434" s="178">
        <v>2.0740621145948684E-2</v>
      </c>
      <c r="Z2434" s="183">
        <v>2.0662765716439324E-2</v>
      </c>
    </row>
    <row r="2435" spans="22:26" x14ac:dyDescent="0.2">
      <c r="V2435" s="180" t="str">
        <f t="shared" si="45"/>
        <v>1w</v>
      </c>
      <c r="W2435" s="177">
        <f>_xll.qlCalendarAdvance(Calendar,W2434,V2435,"f",FALSE)</f>
        <v>56024</v>
      </c>
      <c r="X2435" s="181">
        <f>_xll.qlCalendarAdvance(Calendar,W2435,NDays&amp;"D")</f>
        <v>56026</v>
      </c>
      <c r="Y2435" s="178">
        <v>2.0735039057061561E-2</v>
      </c>
      <c r="Z2435" s="183">
        <v>2.0657903117395904E-2</v>
      </c>
    </row>
    <row r="2436" spans="22:26" x14ac:dyDescent="0.2">
      <c r="V2436" s="180" t="str">
        <f t="shared" si="45"/>
        <v>1w</v>
      </c>
      <c r="W2436" s="177">
        <f>_xll.qlCalendarAdvance(Calendar,W2435,V2436,"f",FALSE)</f>
        <v>56031</v>
      </c>
      <c r="X2436" s="181">
        <f>_xll.qlCalendarAdvance(Calendar,W2436,NDays&amp;"D")</f>
        <v>56033</v>
      </c>
      <c r="Y2436" s="178">
        <v>2.0729433247992674E-2</v>
      </c>
      <c r="Z2436" s="183">
        <v>2.0653017254641526E-2</v>
      </c>
    </row>
    <row r="2437" spans="22:26" x14ac:dyDescent="0.2">
      <c r="V2437" s="180" t="str">
        <f t="shared" si="45"/>
        <v>1w</v>
      </c>
      <c r="W2437" s="177">
        <f>_xll.qlCalendarAdvance(Calendar,W2436,V2437,"f",FALSE)</f>
        <v>56038</v>
      </c>
      <c r="X2437" s="181">
        <f>_xll.qlCalendarAdvance(Calendar,W2437,NDays&amp;"D")</f>
        <v>56040</v>
      </c>
      <c r="Y2437" s="178">
        <v>2.0723803719138855E-2</v>
      </c>
      <c r="Z2437" s="183">
        <v>2.0648108128495934E-2</v>
      </c>
    </row>
    <row r="2438" spans="22:26" x14ac:dyDescent="0.2">
      <c r="V2438" s="180" t="str">
        <f t="shared" si="45"/>
        <v>1w</v>
      </c>
      <c r="W2438" s="177">
        <f>_xll.qlCalendarAdvance(Calendar,W2437,V2438,"f",FALSE)</f>
        <v>56045</v>
      </c>
      <c r="X2438" s="181">
        <f>_xll.qlCalendarAdvance(Calendar,W2438,NDays&amp;"D")</f>
        <v>56047</v>
      </c>
      <c r="Y2438" s="178">
        <v>2.0718150470898252E-2</v>
      </c>
      <c r="Z2438" s="183">
        <v>2.0643175739039066E-2</v>
      </c>
    </row>
    <row r="2439" spans="22:26" x14ac:dyDescent="0.2">
      <c r="V2439" s="180" t="str">
        <f t="shared" si="45"/>
        <v>1w</v>
      </c>
      <c r="W2439" s="177">
        <f>_xll.qlCalendarAdvance(Calendar,W2438,V2439,"f",FALSE)</f>
        <v>56052</v>
      </c>
      <c r="X2439" s="181">
        <f>_xll.qlCalendarAdvance(Calendar,W2439,NDays&amp;"D")</f>
        <v>56054</v>
      </c>
      <c r="Y2439" s="178">
        <v>2.0712473503670548E-2</v>
      </c>
      <c r="Z2439" s="183">
        <v>2.0638220085951176E-2</v>
      </c>
    </row>
    <row r="2440" spans="22:26" x14ac:dyDescent="0.2">
      <c r="V2440" s="180" t="str">
        <f t="shared" si="45"/>
        <v>1w</v>
      </c>
      <c r="W2440" s="177">
        <f>_xll.qlCalendarAdvance(Calendar,W2439,V2440,"f",FALSE)</f>
        <v>56059</v>
      </c>
      <c r="X2440" s="181">
        <f>_xll.qlCalendarAdvance(Calendar,W2440,NDays&amp;"D")</f>
        <v>56061</v>
      </c>
      <c r="Y2440" s="178">
        <v>2.0706772817857391E-2</v>
      </c>
      <c r="Z2440" s="183">
        <v>2.06332411693122E-2</v>
      </c>
    </row>
    <row r="2441" spans="22:26" x14ac:dyDescent="0.2">
      <c r="V2441" s="180" t="str">
        <f t="shared" si="45"/>
        <v>1w</v>
      </c>
      <c r="W2441" s="177">
        <f>_xll.qlCalendarAdvance(Calendar,W2440,V2441,"f",FALSE)</f>
        <v>56066</v>
      </c>
      <c r="X2441" s="181">
        <f>_xll.qlCalendarAdvance(Calendar,W2441,NDays&amp;"D")</f>
        <v>56068</v>
      </c>
      <c r="Y2441" s="178">
        <v>2.0701048413861965E-2</v>
      </c>
      <c r="Z2441" s="183">
        <v>2.0628238989361947E-2</v>
      </c>
    </row>
    <row r="2442" spans="22:26" x14ac:dyDescent="0.2">
      <c r="V2442" s="180" t="str">
        <f t="shared" si="45"/>
        <v>1w</v>
      </c>
      <c r="W2442" s="177">
        <f>_xll.qlCalendarAdvance(Calendar,W2441,V2442,"f",FALSE)</f>
        <v>56073</v>
      </c>
      <c r="X2442" s="181">
        <f>_xll.qlCalendarAdvance(Calendar,W2442,NDays&amp;"D")</f>
        <v>56075</v>
      </c>
      <c r="Y2442" s="178">
        <v>2.0695300292088992E-2</v>
      </c>
      <c r="Z2442" s="183">
        <v>2.0623213545860608E-2</v>
      </c>
    </row>
    <row r="2443" spans="22:26" x14ac:dyDescent="0.2">
      <c r="V2443" s="180" t="str">
        <f t="shared" si="45"/>
        <v>1w</v>
      </c>
      <c r="W2443" s="177">
        <f>_xll.qlCalendarAdvance(Calendar,W2442,V2443,"f",FALSE)</f>
        <v>56080</v>
      </c>
      <c r="X2443" s="181">
        <f>_xll.qlCalendarAdvance(Calendar,W2443,NDays&amp;"D")</f>
        <v>56082</v>
      </c>
      <c r="Y2443" s="178">
        <v>2.0689528452944937E-2</v>
      </c>
      <c r="Z2443" s="183">
        <v>2.0618164838808184E-2</v>
      </c>
    </row>
    <row r="2444" spans="22:26" x14ac:dyDescent="0.2">
      <c r="V2444" s="180" t="str">
        <f t="shared" si="45"/>
        <v>1w</v>
      </c>
      <c r="W2444" s="177">
        <f>_xll.qlCalendarAdvance(Calendar,W2443,V2444,"f",FALSE)</f>
        <v>56087</v>
      </c>
      <c r="X2444" s="181">
        <f>_xll.qlCalendarAdvance(Calendar,W2444,NDays&amp;"D")</f>
        <v>56089</v>
      </c>
      <c r="Y2444" s="178">
        <v>2.0683732896838239E-2</v>
      </c>
      <c r="Z2444" s="183">
        <v>2.0613092868364546E-2</v>
      </c>
    </row>
    <row r="2445" spans="22:26" x14ac:dyDescent="0.2">
      <c r="V2445" s="180" t="str">
        <f t="shared" si="45"/>
        <v>1w</v>
      </c>
      <c r="W2445" s="177">
        <f>_xll.qlCalendarAdvance(Calendar,W2444,V2445,"f",FALSE)</f>
        <v>56094</v>
      </c>
      <c r="X2445" s="181">
        <f>_xll.qlCalendarAdvance(Calendar,W2445,NDays&amp;"D")</f>
        <v>56096</v>
      </c>
      <c r="Y2445" s="178">
        <v>2.0677913624178437E-2</v>
      </c>
      <c r="Z2445" s="183">
        <v>2.060799763444976E-2</v>
      </c>
    </row>
    <row r="2446" spans="22:26" x14ac:dyDescent="0.2">
      <c r="V2446" s="180" t="str">
        <f t="shared" si="45"/>
        <v>1w</v>
      </c>
      <c r="W2446" s="177">
        <f>_xll.qlCalendarAdvance(Calendar,W2445,V2446,"f",FALSE)</f>
        <v>56101</v>
      </c>
      <c r="X2446" s="181">
        <f>_xll.qlCalendarAdvance(Calendar,W2446,NDays&amp;"D")</f>
        <v>56103</v>
      </c>
      <c r="Y2446" s="178">
        <v>2.0672070635377696E-2</v>
      </c>
      <c r="Z2446" s="183">
        <v>2.0602879137063823E-2</v>
      </c>
    </row>
    <row r="2447" spans="22:26" x14ac:dyDescent="0.2">
      <c r="V2447" s="180" t="str">
        <f t="shared" si="45"/>
        <v>1w</v>
      </c>
      <c r="W2447" s="177">
        <f>_xll.qlCalendarAdvance(Calendar,W2446,V2447,"f",FALSE)</f>
        <v>56108</v>
      </c>
      <c r="X2447" s="181">
        <f>_xll.qlCalendarAdvance(Calendar,W2447,NDays&amp;"D")</f>
        <v>56110</v>
      </c>
      <c r="Y2447" s="178">
        <v>2.0666203930848615E-2</v>
      </c>
      <c r="Z2447" s="183">
        <v>2.0597737376206737E-2</v>
      </c>
    </row>
    <row r="2448" spans="22:26" x14ac:dyDescent="0.2">
      <c r="V2448" s="180" t="str">
        <f t="shared" si="45"/>
        <v>1w</v>
      </c>
      <c r="W2448" s="177">
        <f>_xll.qlCalendarAdvance(Calendar,W2447,V2448,"f",FALSE)</f>
        <v>56115</v>
      </c>
      <c r="X2448" s="181">
        <f>_xll.qlCalendarAdvance(Calendar,W2448,NDays&amp;"D")</f>
        <v>56117</v>
      </c>
      <c r="Y2448" s="178">
        <v>2.0660313511006202E-2</v>
      </c>
      <c r="Z2448" s="183">
        <v>2.0592572351878502E-2</v>
      </c>
    </row>
    <row r="2449" spans="22:26" x14ac:dyDescent="0.2">
      <c r="V2449" s="180" t="str">
        <f t="shared" si="45"/>
        <v>1w</v>
      </c>
      <c r="W2449" s="177">
        <f>_xll.qlCalendarAdvance(Calendar,W2448,V2449,"f",FALSE)</f>
        <v>56122</v>
      </c>
      <c r="X2449" s="181">
        <f>_xll.qlCalendarAdvance(Calendar,W2449,NDays&amp;"D")</f>
        <v>56124</v>
      </c>
      <c r="Y2449" s="178">
        <v>2.0654399376267441E-2</v>
      </c>
      <c r="Z2449" s="183">
        <v>2.0587384064079117E-2</v>
      </c>
    </row>
    <row r="2450" spans="22:26" x14ac:dyDescent="0.2">
      <c r="V2450" s="180" t="str">
        <f t="shared" si="45"/>
        <v>1w</v>
      </c>
      <c r="W2450" s="177">
        <f>_xll.qlCalendarAdvance(Calendar,W2449,V2450,"f",FALSE)</f>
        <v>56129</v>
      </c>
      <c r="X2450" s="181">
        <f>_xll.qlCalendarAdvance(Calendar,W2450,NDays&amp;"D")</f>
        <v>56131</v>
      </c>
      <c r="Y2450" s="178">
        <v>2.0648461527049973E-2</v>
      </c>
      <c r="Z2450" s="183">
        <v>2.0582172512808583E-2</v>
      </c>
    </row>
    <row r="2451" spans="22:26" x14ac:dyDescent="0.2">
      <c r="V2451" s="180" t="str">
        <f t="shared" si="45"/>
        <v>1w</v>
      </c>
      <c r="W2451" s="177">
        <f>_xll.qlCalendarAdvance(Calendar,W2450,V2451,"f",FALSE)</f>
        <v>56136</v>
      </c>
      <c r="X2451" s="181">
        <f>_xll.qlCalendarAdvance(Calendar,W2451,NDays&amp;"D")</f>
        <v>56138</v>
      </c>
      <c r="Y2451" s="178">
        <v>2.0642499963774277E-2</v>
      </c>
      <c r="Z2451" s="183">
        <v>2.0576937697986963E-2</v>
      </c>
    </row>
    <row r="2452" spans="22:26" x14ac:dyDescent="0.2">
      <c r="V2452" s="180" t="str">
        <f t="shared" si="45"/>
        <v>1w</v>
      </c>
      <c r="W2452" s="177">
        <f>_xll.qlCalendarAdvance(Calendar,W2451,V2452,"f",FALSE)</f>
        <v>56143</v>
      </c>
      <c r="X2452" s="181">
        <f>_xll.qlCalendarAdvance(Calendar,W2452,NDays&amp;"D")</f>
        <v>56145</v>
      </c>
      <c r="Y2452" s="178">
        <v>2.0636514686861722E-2</v>
      </c>
      <c r="Z2452" s="183">
        <v>2.0571679619854066E-2</v>
      </c>
    </row>
    <row r="2453" spans="22:26" x14ac:dyDescent="0.2">
      <c r="V2453" s="180" t="str">
        <f t="shared" ref="V2453:V2516" si="46">V2452</f>
        <v>1w</v>
      </c>
      <c r="W2453" s="177">
        <f>_xll.qlCalendarAdvance(Calendar,W2452,V2453,"f",FALSE)</f>
        <v>56150</v>
      </c>
      <c r="X2453" s="181">
        <f>_xll.qlCalendarAdvance(Calendar,W2453,NDays&amp;"D")</f>
        <v>56152</v>
      </c>
      <c r="Y2453" s="178">
        <v>2.0630505696735638E-2</v>
      </c>
      <c r="Z2453" s="183">
        <v>2.0566398278170084E-2</v>
      </c>
    </row>
    <row r="2454" spans="22:26" x14ac:dyDescent="0.2">
      <c r="V2454" s="180" t="str">
        <f t="shared" si="46"/>
        <v>1w</v>
      </c>
      <c r="W2454" s="177">
        <f>_xll.qlCalendarAdvance(Calendar,W2453,V2454,"f",FALSE)</f>
        <v>56157</v>
      </c>
      <c r="X2454" s="181">
        <f>_xll.qlCalendarAdvance(Calendar,W2454,NDays&amp;"D")</f>
        <v>56159</v>
      </c>
      <c r="Y2454" s="178">
        <v>2.0624472993820888E-2</v>
      </c>
      <c r="Z2454" s="183">
        <v>2.0561093672935016E-2</v>
      </c>
    </row>
    <row r="2455" spans="22:26" x14ac:dyDescent="0.2">
      <c r="V2455" s="180" t="str">
        <f t="shared" si="46"/>
        <v>1w</v>
      </c>
      <c r="W2455" s="177">
        <f>_xll.qlCalendarAdvance(Calendar,W2454,V2455,"f",FALSE)</f>
        <v>56164</v>
      </c>
      <c r="X2455" s="181">
        <f>_xll.qlCalendarAdvance(Calendar,W2455,NDays&amp;"D")</f>
        <v>56166</v>
      </c>
      <c r="Y2455" s="178">
        <v>2.061841657854431E-2</v>
      </c>
      <c r="Z2455" s="183">
        <v>2.055576580438867E-2</v>
      </c>
    </row>
    <row r="2456" spans="22:26" x14ac:dyDescent="0.2">
      <c r="V2456" s="180" t="str">
        <f t="shared" si="46"/>
        <v>1w</v>
      </c>
      <c r="W2456" s="177">
        <f>_xll.qlCalendarAdvance(Calendar,W2455,V2456,"f",FALSE)</f>
        <v>56171</v>
      </c>
      <c r="X2456" s="181">
        <f>_xll.qlCalendarAdvance(Calendar,W2456,NDays&amp;"D")</f>
        <v>56173</v>
      </c>
      <c r="Y2456" s="178">
        <v>2.0612336451334055E-2</v>
      </c>
      <c r="Z2456" s="183">
        <v>2.055041467229124E-2</v>
      </c>
    </row>
    <row r="2457" spans="22:26" x14ac:dyDescent="0.2">
      <c r="V2457" s="180" t="str">
        <f t="shared" si="46"/>
        <v>1w</v>
      </c>
      <c r="W2457" s="177">
        <f>_xll.qlCalendarAdvance(Calendar,W2456,V2457,"f",FALSE)</f>
        <v>56178</v>
      </c>
      <c r="X2457" s="181">
        <f>_xll.qlCalendarAdvance(Calendar,W2457,NDays&amp;"D")</f>
        <v>56180</v>
      </c>
      <c r="Y2457" s="178">
        <v>2.0606232612620026E-2</v>
      </c>
      <c r="Z2457" s="183">
        <v>2.0545040276882531E-2</v>
      </c>
    </row>
    <row r="2458" spans="22:26" x14ac:dyDescent="0.2">
      <c r="V2458" s="180" t="str">
        <f t="shared" si="46"/>
        <v>1w</v>
      </c>
      <c r="W2458" s="177">
        <f>_xll.qlCalendarAdvance(Calendar,W2457,V2458,"f",FALSE)</f>
        <v>56185</v>
      </c>
      <c r="X2458" s="181">
        <f>_xll.qlCalendarAdvance(Calendar,W2458,NDays&amp;"D")</f>
        <v>56187</v>
      </c>
      <c r="Y2458" s="178">
        <v>2.06001050628341E-2</v>
      </c>
      <c r="Z2458" s="183">
        <v>2.0539642617842802E-2</v>
      </c>
    </row>
    <row r="2459" spans="22:26" x14ac:dyDescent="0.2">
      <c r="V2459" s="180" t="str">
        <f t="shared" si="46"/>
        <v>1w</v>
      </c>
      <c r="W2459" s="177">
        <f>_xll.qlCalendarAdvance(Calendar,W2458,V2459,"f",FALSE)</f>
        <v>56192</v>
      </c>
      <c r="X2459" s="181">
        <f>_xll.qlCalendarAdvance(Calendar,W2459,NDays&amp;"D")</f>
        <v>56194</v>
      </c>
      <c r="Y2459" s="178">
        <v>2.0593953813332445E-2</v>
      </c>
      <c r="Z2459" s="183">
        <v>2.0534221695411858E-2</v>
      </c>
    </row>
    <row r="2460" spans="22:26" x14ac:dyDescent="0.2">
      <c r="V2460" s="180" t="str">
        <f t="shared" si="46"/>
        <v>1w</v>
      </c>
      <c r="W2460" s="177">
        <f>_xll.qlCalendarAdvance(Calendar,W2459,V2460,"f",FALSE)</f>
        <v>56199</v>
      </c>
      <c r="X2460" s="181">
        <f>_xll.qlCalendarAdvance(Calendar,W2460,NDays&amp;"D")</f>
        <v>56201</v>
      </c>
      <c r="Y2460" s="178">
        <v>2.0587779236333051E-2</v>
      </c>
      <c r="Z2460" s="183">
        <v>2.0528777509509766E-2</v>
      </c>
    </row>
    <row r="2461" spans="22:26" x14ac:dyDescent="0.2">
      <c r="V2461" s="180" t="str">
        <f t="shared" si="46"/>
        <v>1w</v>
      </c>
      <c r="W2461" s="177">
        <f>_xll.qlCalendarAdvance(Calendar,W2460,V2461,"f",FALSE)</f>
        <v>56206</v>
      </c>
      <c r="X2461" s="181">
        <f>_xll.qlCalendarAdvance(Calendar,W2461,NDays&amp;"D")</f>
        <v>56208</v>
      </c>
      <c r="Y2461" s="178">
        <v>2.0581582138936055E-2</v>
      </c>
      <c r="Z2461" s="183">
        <v>2.0523310060136524E-2</v>
      </c>
    </row>
    <row r="2462" spans="22:26" x14ac:dyDescent="0.2">
      <c r="V2462" s="180" t="str">
        <f t="shared" si="46"/>
        <v>1w</v>
      </c>
      <c r="W2462" s="177">
        <f>_xll.qlCalendarAdvance(Calendar,W2461,V2462,"f",FALSE)</f>
        <v>56213</v>
      </c>
      <c r="X2462" s="181">
        <f>_xll.qlCalendarAdvance(Calendar,W2462,NDays&amp;"D")</f>
        <v>56215</v>
      </c>
      <c r="Y2462" s="178">
        <v>2.0575363354115913E-2</v>
      </c>
      <c r="Z2462" s="183">
        <v>2.0517819347292132E-2</v>
      </c>
    </row>
    <row r="2463" spans="22:26" x14ac:dyDescent="0.2">
      <c r="V2463" s="180" t="str">
        <f t="shared" si="46"/>
        <v>1w</v>
      </c>
      <c r="W2463" s="177">
        <f>_xll.qlCalendarAdvance(Calendar,W2462,V2463,"f",FALSE)</f>
        <v>56220</v>
      </c>
      <c r="X2463" s="181">
        <f>_xll.qlCalendarAdvance(Calendar,W2463,NDays&amp;"D")</f>
        <v>56222</v>
      </c>
      <c r="Y2463" s="178">
        <v>2.056912371482628E-2</v>
      </c>
      <c r="Z2463" s="183">
        <v>2.0512305371056527E-2</v>
      </c>
    </row>
    <row r="2464" spans="22:26" x14ac:dyDescent="0.2">
      <c r="V2464" s="180" t="str">
        <f t="shared" si="46"/>
        <v>1w</v>
      </c>
      <c r="W2464" s="177">
        <f>_xll.qlCalendarAdvance(Calendar,W2463,V2464,"f",FALSE)</f>
        <v>56227</v>
      </c>
      <c r="X2464" s="181">
        <f>_xll.qlCalendarAdvance(Calendar,W2464,NDays&amp;"D")</f>
        <v>56229</v>
      </c>
      <c r="Y2464" s="178">
        <v>2.0562864054002625E-2</v>
      </c>
      <c r="Z2464" s="183">
        <v>2.0506768131349773E-2</v>
      </c>
    </row>
    <row r="2465" spans="22:26" x14ac:dyDescent="0.2">
      <c r="V2465" s="180" t="str">
        <f t="shared" si="46"/>
        <v>1w</v>
      </c>
      <c r="W2465" s="177">
        <f>_xll.qlCalendarAdvance(Calendar,W2464,V2465,"f",FALSE)</f>
        <v>56234</v>
      </c>
      <c r="X2465" s="181">
        <f>_xll.qlCalendarAdvance(Calendar,W2465,NDays&amp;"D")</f>
        <v>56236</v>
      </c>
      <c r="Y2465" s="178">
        <v>2.0556585204559837E-2</v>
      </c>
      <c r="Z2465" s="183">
        <v>2.0501207628091933E-2</v>
      </c>
    </row>
    <row r="2466" spans="22:26" x14ac:dyDescent="0.2">
      <c r="V2466" s="180" t="str">
        <f t="shared" si="46"/>
        <v>1w</v>
      </c>
      <c r="W2466" s="177">
        <f>_xll.qlCalendarAdvance(Calendar,W2465,V2466,"f",FALSE)</f>
        <v>56241</v>
      </c>
      <c r="X2466" s="181">
        <f>_xll.qlCalendarAdvance(Calendar,W2466,NDays&amp;"D")</f>
        <v>56247</v>
      </c>
      <c r="Y2466" s="178">
        <v>2.0546681675622638E-2</v>
      </c>
      <c r="Z2466" s="183">
        <v>2.0492422692912626E-2</v>
      </c>
    </row>
    <row r="2467" spans="22:26" x14ac:dyDescent="0.2">
      <c r="V2467" s="180" t="str">
        <f t="shared" si="46"/>
        <v>1w</v>
      </c>
      <c r="W2467" s="177">
        <f>_xll.qlCalendarAdvance(Calendar,W2466,V2467,"f",FALSE)</f>
        <v>56248</v>
      </c>
      <c r="X2467" s="181">
        <f>_xll.qlCalendarAdvance(Calendar,W2467,NDays&amp;"D")</f>
        <v>56251</v>
      </c>
      <c r="Y2467" s="178">
        <v>2.0543304619301494E-2</v>
      </c>
      <c r="Z2467" s="183">
        <v>2.0489576455400282E-2</v>
      </c>
    </row>
    <row r="2468" spans="22:26" x14ac:dyDescent="0.2">
      <c r="V2468" s="180" t="str">
        <f t="shared" si="46"/>
        <v>1w</v>
      </c>
      <c r="W2468" s="177">
        <f>_xll.qlCalendarAdvance(Calendar,W2467,V2468,"f",FALSE)</f>
        <v>56255</v>
      </c>
      <c r="X2468" s="181">
        <f>_xll.qlCalendarAdvance(Calendar,W2468,NDays&amp;"D")</f>
        <v>56257</v>
      </c>
      <c r="Y2468" s="178">
        <v>2.0537641853379984E-2</v>
      </c>
      <c r="Z2468" s="183">
        <v>2.0484386537971133E-2</v>
      </c>
    </row>
    <row r="2469" spans="22:26" x14ac:dyDescent="0.2">
      <c r="V2469" s="180" t="str">
        <f t="shared" si="46"/>
        <v>1w</v>
      </c>
      <c r="W2469" s="177">
        <f>_xll.qlCalendarAdvance(Calendar,W2468,V2469,"f",FALSE)</f>
        <v>56262</v>
      </c>
      <c r="X2469" s="181">
        <f>_xll.qlCalendarAdvance(Calendar,W2469,NDays&amp;"D")</f>
        <v>56264</v>
      </c>
      <c r="Y2469" s="178">
        <v>2.0531294578223006E-2</v>
      </c>
      <c r="Z2469" s="183">
        <v>2.0478732980908632E-2</v>
      </c>
    </row>
    <row r="2470" spans="22:26" x14ac:dyDescent="0.2">
      <c r="V2470" s="180" t="str">
        <f t="shared" si="46"/>
        <v>1w</v>
      </c>
      <c r="W2470" s="177">
        <f>_xll.qlCalendarAdvance(Calendar,W2469,V2470,"f",FALSE)</f>
        <v>56269</v>
      </c>
      <c r="X2470" s="181">
        <f>_xll.qlCalendarAdvance(Calendar,W2470,NDays&amp;"D")</f>
        <v>56271</v>
      </c>
      <c r="Y2470" s="178">
        <v>2.0524932278727655E-2</v>
      </c>
      <c r="Z2470" s="183">
        <v>2.0473056160454917E-2</v>
      </c>
    </row>
    <row r="2471" spans="22:26" x14ac:dyDescent="0.2">
      <c r="V2471" s="180" t="str">
        <f t="shared" si="46"/>
        <v>1w</v>
      </c>
      <c r="W2471" s="177">
        <f>_xll.qlCalendarAdvance(Calendar,W2470,V2471,"f",FALSE)</f>
        <v>56276</v>
      </c>
      <c r="X2471" s="181">
        <f>_xll.qlCalendarAdvance(Calendar,W2471,NDays&amp;"D")</f>
        <v>56278</v>
      </c>
      <c r="Y2471" s="178">
        <v>2.0518555787689016E-2</v>
      </c>
      <c r="Z2471" s="183">
        <v>2.0467356076609988E-2</v>
      </c>
    </row>
    <row r="2472" spans="22:26" x14ac:dyDescent="0.2">
      <c r="V2472" s="180" t="str">
        <f t="shared" si="46"/>
        <v>1w</v>
      </c>
      <c r="W2472" s="177">
        <f>_xll.qlCalendarAdvance(Calendar,W2471,V2472,"f",FALSE)</f>
        <v>56283</v>
      </c>
      <c r="X2472" s="181">
        <f>_xll.qlCalendarAdvance(Calendar,W2472,NDays&amp;"D")</f>
        <v>56285</v>
      </c>
      <c r="Y2472" s="178">
        <v>2.0512165937882701E-2</v>
      </c>
      <c r="Z2472" s="183">
        <v>2.0461632729373846E-2</v>
      </c>
    </row>
    <row r="2473" spans="22:26" x14ac:dyDescent="0.2">
      <c r="V2473" s="180" t="str">
        <f t="shared" si="46"/>
        <v>1w</v>
      </c>
      <c r="W2473" s="177">
        <f>_xll.qlCalendarAdvance(Calendar,W2472,V2473,"f",FALSE)</f>
        <v>56290</v>
      </c>
      <c r="X2473" s="181">
        <f>_xll.qlCalendarAdvance(Calendar,W2473,NDays&amp;"D")</f>
        <v>56292</v>
      </c>
      <c r="Y2473" s="178">
        <v>2.050576356206284E-2</v>
      </c>
      <c r="Z2473" s="183">
        <v>2.0455886118506683E-2</v>
      </c>
    </row>
    <row r="2474" spans="22:26" x14ac:dyDescent="0.2">
      <c r="V2474" s="180" t="str">
        <f t="shared" si="46"/>
        <v>1w</v>
      </c>
      <c r="W2474" s="177">
        <f>_xll.qlCalendarAdvance(Calendar,W2473,V2474,"f",FALSE)</f>
        <v>56297</v>
      </c>
      <c r="X2474" s="181">
        <f>_xll.qlCalendarAdvance(Calendar,W2474,NDays&amp;"D")</f>
        <v>56299</v>
      </c>
      <c r="Y2474" s="178">
        <v>2.0499349492963212E-2</v>
      </c>
      <c r="Z2474" s="183">
        <v>2.0450116244408179E-2</v>
      </c>
    </row>
    <row r="2475" spans="22:26" x14ac:dyDescent="0.2">
      <c r="V2475" s="180" t="str">
        <f t="shared" si="46"/>
        <v>1w</v>
      </c>
      <c r="W2475" s="177">
        <f>_xll.qlCalendarAdvance(Calendar,W2474,V2475,"f",FALSE)</f>
        <v>56304</v>
      </c>
      <c r="X2475" s="181">
        <f>_xll.qlCalendarAdvance(Calendar,W2475,NDays&amp;"D")</f>
        <v>56306</v>
      </c>
      <c r="Y2475" s="178">
        <v>2.0492924563297221E-2</v>
      </c>
      <c r="Z2475" s="183">
        <v>2.0444323106758588E-2</v>
      </c>
    </row>
    <row r="2476" spans="22:26" x14ac:dyDescent="0.2">
      <c r="V2476" s="180" t="str">
        <f t="shared" si="46"/>
        <v>1w</v>
      </c>
      <c r="W2476" s="177">
        <f>_xll.qlCalendarAdvance(Calendar,W2475,V2476,"f",FALSE)</f>
        <v>56311</v>
      </c>
      <c r="X2476" s="181">
        <f>_xll.qlCalendarAdvance(Calendar,W2476,NDays&amp;"D")</f>
        <v>56313</v>
      </c>
      <c r="Y2476" s="178">
        <v>2.0486489605756369E-2</v>
      </c>
      <c r="Z2476" s="183">
        <v>2.0438506705557913E-2</v>
      </c>
    </row>
    <row r="2477" spans="22:26" x14ac:dyDescent="0.2">
      <c r="V2477" s="180" t="str">
        <f t="shared" si="46"/>
        <v>1w</v>
      </c>
      <c r="W2477" s="177">
        <f>_xll.qlCalendarAdvance(Calendar,W2476,V2477,"f",FALSE)</f>
        <v>56318</v>
      </c>
      <c r="X2477" s="181">
        <f>_xll.qlCalendarAdvance(Calendar,W2477,NDays&amp;"D")</f>
        <v>56320</v>
      </c>
      <c r="Y2477" s="178">
        <v>2.0480045453012453E-2</v>
      </c>
      <c r="Z2477" s="183">
        <v>2.0432667041125896E-2</v>
      </c>
    </row>
    <row r="2478" spans="22:26" x14ac:dyDescent="0.2">
      <c r="V2478" s="180" t="str">
        <f t="shared" si="46"/>
        <v>1w</v>
      </c>
      <c r="W2478" s="177">
        <f>_xll.qlCalendarAdvance(Calendar,W2477,V2478,"f",FALSE)</f>
        <v>56325</v>
      </c>
      <c r="X2478" s="181">
        <f>_xll.qlCalendarAdvance(Calendar,W2478,NDays&amp;"D")</f>
        <v>56327</v>
      </c>
      <c r="Y2478" s="178">
        <v>2.0473592937715366E-2</v>
      </c>
      <c r="Z2478" s="183">
        <v>2.0426804113142794E-2</v>
      </c>
    </row>
    <row r="2479" spans="22:26" x14ac:dyDescent="0.2">
      <c r="V2479" s="180" t="str">
        <f t="shared" si="46"/>
        <v>1w</v>
      </c>
      <c r="W2479" s="177">
        <f>_xll.qlCalendarAdvance(Calendar,W2478,V2479,"f",FALSE)</f>
        <v>56332</v>
      </c>
      <c r="X2479" s="181">
        <f>_xll.qlCalendarAdvance(Calendar,W2479,NDays&amp;"D")</f>
        <v>56334</v>
      </c>
      <c r="Y2479" s="178">
        <v>2.046713289249398E-2</v>
      </c>
      <c r="Z2479" s="183">
        <v>2.0421547897695902E-2</v>
      </c>
    </row>
    <row r="2480" spans="22:26" x14ac:dyDescent="0.2">
      <c r="V2480" s="180" t="str">
        <f t="shared" si="46"/>
        <v>1w</v>
      </c>
      <c r="W2480" s="177">
        <f>_xll.qlCalendarAdvance(Calendar,W2479,V2480,"f",FALSE)</f>
        <v>56339</v>
      </c>
      <c r="X2480" s="181">
        <f>_xll.qlCalendarAdvance(Calendar,W2480,NDays&amp;"D")</f>
        <v>56341</v>
      </c>
      <c r="Y2480" s="178">
        <v>2.0460666149956137E-2</v>
      </c>
      <c r="Z2480" s="183">
        <v>2.0415008466843076E-2</v>
      </c>
    </row>
    <row r="2481" spans="22:26" x14ac:dyDescent="0.2">
      <c r="V2481" s="180" t="str">
        <f t="shared" si="46"/>
        <v>1w</v>
      </c>
      <c r="W2481" s="177">
        <f>_xll.qlCalendarAdvance(Calendar,W2480,V2481,"f",FALSE)</f>
        <v>56346</v>
      </c>
      <c r="X2481" s="181">
        <f>_xll.qlCalendarAdvance(Calendar,W2481,NDays&amp;"D")</f>
        <v>56348</v>
      </c>
      <c r="Y2481" s="178">
        <v>2.0454193542688442E-2</v>
      </c>
      <c r="Z2481" s="183">
        <v>2.0409075748606398E-2</v>
      </c>
    </row>
    <row r="2482" spans="22:26" x14ac:dyDescent="0.2">
      <c r="V2482" s="180" t="str">
        <f t="shared" si="46"/>
        <v>1w</v>
      </c>
      <c r="W2482" s="177">
        <f>_xll.qlCalendarAdvance(Calendar,W2481,V2482,"f",FALSE)</f>
        <v>56353</v>
      </c>
      <c r="X2482" s="181">
        <f>_xll.qlCalendarAdvance(Calendar,W2482,NDays&amp;"D")</f>
        <v>56355</v>
      </c>
      <c r="Y2482" s="178">
        <v>2.0448158651203245E-2</v>
      </c>
      <c r="Z2482" s="183">
        <v>2.0403119766978506E-2</v>
      </c>
    </row>
    <row r="2483" spans="22:26" x14ac:dyDescent="0.2">
      <c r="V2483" s="180" t="str">
        <f t="shared" si="46"/>
        <v>1w</v>
      </c>
      <c r="W2483" s="177">
        <f>_xll.qlCalendarAdvance(Calendar,W2482,V2483,"f",FALSE)</f>
        <v>56360</v>
      </c>
      <c r="X2483" s="181">
        <f>_xll.qlCalendarAdvance(Calendar,W2483,NDays&amp;"D")</f>
        <v>56362</v>
      </c>
      <c r="Y2483" s="178">
        <v>2.044123406420369E-2</v>
      </c>
      <c r="Z2483" s="183">
        <v>2.0397140521719592E-2</v>
      </c>
    </row>
    <row r="2484" spans="22:26" x14ac:dyDescent="0.2">
      <c r="V2484" s="180" t="str">
        <f t="shared" si="46"/>
        <v>1w</v>
      </c>
      <c r="W2484" s="177">
        <f>_xll.qlCalendarAdvance(Calendar,W2483,V2484,"f",FALSE)</f>
        <v>56367</v>
      </c>
      <c r="X2484" s="181">
        <f>_xll.qlCalendarAdvance(Calendar,W2484,NDays&amp;"D")</f>
        <v>56369</v>
      </c>
      <c r="Y2484" s="178">
        <v>2.0434748858052961E-2</v>
      </c>
      <c r="Z2484" s="183">
        <v>2.0391580778094109E-2</v>
      </c>
    </row>
    <row r="2485" spans="22:26" x14ac:dyDescent="0.2">
      <c r="V2485" s="180" t="str">
        <f t="shared" si="46"/>
        <v>1w</v>
      </c>
      <c r="W2485" s="177">
        <f>_xll.qlCalendarAdvance(Calendar,W2484,V2485,"f",FALSE)</f>
        <v>56374</v>
      </c>
      <c r="X2485" s="181">
        <f>_xll.qlCalendarAdvance(Calendar,W2485,NDays&amp;"D")</f>
        <v>56376</v>
      </c>
      <c r="Y2485" s="178">
        <v>2.0428261117305484E-2</v>
      </c>
      <c r="Z2485" s="183">
        <v>2.0385112241267933E-2</v>
      </c>
    </row>
    <row r="2486" spans="22:26" x14ac:dyDescent="0.2">
      <c r="V2486" s="180" t="str">
        <f t="shared" si="46"/>
        <v>1w</v>
      </c>
      <c r="W2486" s="177">
        <f>_xll.qlCalendarAdvance(Calendar,W2485,V2486,"f",FALSE)</f>
        <v>56381</v>
      </c>
      <c r="X2486" s="181">
        <f>_xll.qlCalendarAdvance(Calendar,W2486,NDays&amp;"D")</f>
        <v>56383</v>
      </c>
      <c r="Y2486" s="178">
        <v>2.0421771674440543E-2</v>
      </c>
      <c r="Z2486" s="183">
        <v>2.0379063205835379E-2</v>
      </c>
    </row>
    <row r="2487" spans="22:26" x14ac:dyDescent="0.2">
      <c r="V2487" s="180" t="str">
        <f t="shared" si="46"/>
        <v>1w</v>
      </c>
      <c r="W2487" s="177">
        <f>_xll.qlCalendarAdvance(Calendar,W2486,V2487,"f",FALSE)</f>
        <v>56388</v>
      </c>
      <c r="X2487" s="181">
        <f>_xll.qlCalendarAdvance(Calendar,W2487,NDays&amp;"D")</f>
        <v>56390</v>
      </c>
      <c r="Y2487" s="178">
        <v>2.0415281361916629E-2</v>
      </c>
      <c r="Z2487" s="183">
        <v>2.0372990906931676E-2</v>
      </c>
    </row>
    <row r="2488" spans="22:26" x14ac:dyDescent="0.2">
      <c r="V2488" s="180" t="str">
        <f t="shared" si="46"/>
        <v>1w</v>
      </c>
      <c r="W2488" s="177">
        <f>_xll.qlCalendarAdvance(Calendar,W2487,V2488,"f",FALSE)</f>
        <v>56395</v>
      </c>
      <c r="X2488" s="181">
        <f>_xll.qlCalendarAdvance(Calendar,W2488,NDays&amp;"D")</f>
        <v>56397</v>
      </c>
      <c r="Y2488" s="178">
        <v>2.0408791012170982E-2</v>
      </c>
      <c r="Z2488" s="183">
        <v>2.0366895344716696E-2</v>
      </c>
    </row>
    <row r="2489" spans="22:26" x14ac:dyDescent="0.2">
      <c r="V2489" s="180" t="str">
        <f t="shared" si="46"/>
        <v>1w</v>
      </c>
      <c r="W2489" s="177">
        <f>_xll.qlCalendarAdvance(Calendar,W2488,V2489,"f",FALSE)</f>
        <v>56402</v>
      </c>
      <c r="X2489" s="181">
        <f>_xll.qlCalendarAdvance(Calendar,W2489,NDays&amp;"D")</f>
        <v>56404</v>
      </c>
      <c r="Y2489" s="178">
        <v>2.0402301457618507E-2</v>
      </c>
      <c r="Z2489" s="183">
        <v>2.036077651895063E-2</v>
      </c>
    </row>
    <row r="2490" spans="22:26" x14ac:dyDescent="0.2">
      <c r="V2490" s="180" t="str">
        <f t="shared" si="46"/>
        <v>1w</v>
      </c>
      <c r="W2490" s="177">
        <f>_xll.qlCalendarAdvance(Calendar,W2489,V2490,"f",FALSE)</f>
        <v>56409</v>
      </c>
      <c r="X2490" s="181">
        <f>_xll.qlCalendarAdvance(Calendar,W2490,NDays&amp;"D")</f>
        <v>56411</v>
      </c>
      <c r="Y2490" s="178">
        <v>2.0395813530652864E-2</v>
      </c>
      <c r="Z2490" s="183">
        <v>2.035463442979335E-2</v>
      </c>
    </row>
    <row r="2491" spans="22:26" x14ac:dyDescent="0.2">
      <c r="V2491" s="180" t="str">
        <f t="shared" si="46"/>
        <v>1w</v>
      </c>
      <c r="W2491" s="177">
        <f>_xll.qlCalendarAdvance(Calendar,W2490,V2491,"f",FALSE)</f>
        <v>56416</v>
      </c>
      <c r="X2491" s="181">
        <f>_xll.qlCalendarAdvance(Calendar,W2491,NDays&amp;"D")</f>
        <v>56418</v>
      </c>
      <c r="Y2491" s="178">
        <v>2.0389328063646909E-2</v>
      </c>
      <c r="Z2491" s="183">
        <v>2.0348469077164921E-2</v>
      </c>
    </row>
    <row r="2492" spans="22:26" x14ac:dyDescent="0.2">
      <c r="V2492" s="180" t="str">
        <f t="shared" si="46"/>
        <v>1w</v>
      </c>
      <c r="W2492" s="177">
        <f>_xll.qlCalendarAdvance(Calendar,W2491,V2492,"f",FALSE)</f>
        <v>56423</v>
      </c>
      <c r="X2492" s="181">
        <f>_xll.qlCalendarAdvance(Calendar,W2492,NDays&amp;"D")</f>
        <v>56425</v>
      </c>
      <c r="Y2492" s="178">
        <v>2.0382845888951596E-2</v>
      </c>
      <c r="Z2492" s="183">
        <v>2.0342280461305151E-2</v>
      </c>
    </row>
    <row r="2493" spans="22:26" x14ac:dyDescent="0.2">
      <c r="V2493" s="180" t="str">
        <f t="shared" si="46"/>
        <v>1w</v>
      </c>
      <c r="W2493" s="177">
        <f>_xll.qlCalendarAdvance(Calendar,W2492,V2493,"f",FALSE)</f>
        <v>56430</v>
      </c>
      <c r="X2493" s="181">
        <f>_xll.qlCalendarAdvance(Calendar,W2493,NDays&amp;"D")</f>
        <v>56432</v>
      </c>
      <c r="Y2493" s="178">
        <v>2.0376367838896202E-2</v>
      </c>
      <c r="Z2493" s="183">
        <v>2.0336068581894295E-2</v>
      </c>
    </row>
    <row r="2494" spans="22:26" x14ac:dyDescent="0.2">
      <c r="V2494" s="180" t="str">
        <f t="shared" si="46"/>
        <v>1w</v>
      </c>
      <c r="W2494" s="177">
        <f>_xll.qlCalendarAdvance(Calendar,W2493,V2494,"f",FALSE)</f>
        <v>56437</v>
      </c>
      <c r="X2494" s="181">
        <f>_xll.qlCalendarAdvance(Calendar,W2494,NDays&amp;"D")</f>
        <v>56439</v>
      </c>
      <c r="Y2494" s="178">
        <v>2.0369894745789412E-2</v>
      </c>
      <c r="Z2494" s="183">
        <v>2.032983343901229E-2</v>
      </c>
    </row>
    <row r="2495" spans="22:26" x14ac:dyDescent="0.2">
      <c r="V2495" s="180" t="str">
        <f t="shared" si="46"/>
        <v>1w</v>
      </c>
      <c r="W2495" s="177">
        <f>_xll.qlCalendarAdvance(Calendar,W2494,V2495,"f",FALSE)</f>
        <v>56444</v>
      </c>
      <c r="X2495" s="181">
        <f>_xll.qlCalendarAdvance(Calendar,W2495,NDays&amp;"D")</f>
        <v>56446</v>
      </c>
      <c r="Y2495" s="178">
        <v>2.036342744191736E-2</v>
      </c>
      <c r="Z2495" s="183">
        <v>2.0323575032898944E-2</v>
      </c>
    </row>
    <row r="2496" spans="22:26" x14ac:dyDescent="0.2">
      <c r="V2496" s="180" t="str">
        <f t="shared" si="46"/>
        <v>1w</v>
      </c>
      <c r="W2496" s="177">
        <f>_xll.qlCalendarAdvance(Calendar,W2495,V2496,"f",FALSE)</f>
        <v>56451</v>
      </c>
      <c r="X2496" s="181">
        <f>_xll.qlCalendarAdvance(Calendar,W2496,NDays&amp;"D")</f>
        <v>56453</v>
      </c>
      <c r="Y2496" s="178">
        <v>2.0356966759546024E-2</v>
      </c>
      <c r="Z2496" s="183">
        <v>2.0317293363234512E-2</v>
      </c>
    </row>
    <row r="2497" spans="22:26" x14ac:dyDescent="0.2">
      <c r="V2497" s="180" t="str">
        <f t="shared" si="46"/>
        <v>1w</v>
      </c>
      <c r="W2497" s="177">
        <f>_xll.qlCalendarAdvance(Calendar,W2496,V2497,"f",FALSE)</f>
        <v>56458</v>
      </c>
      <c r="X2497" s="181">
        <f>_xll.qlCalendarAdvance(Calendar,W2497,NDays&amp;"D")</f>
        <v>56460</v>
      </c>
      <c r="Y2497" s="178">
        <v>2.0350513530919923E-2</v>
      </c>
      <c r="Z2497" s="183">
        <v>2.0310988430178867E-2</v>
      </c>
    </row>
    <row r="2498" spans="22:26" x14ac:dyDescent="0.2">
      <c r="V2498" s="180" t="str">
        <f t="shared" si="46"/>
        <v>1w</v>
      </c>
      <c r="W2498" s="177">
        <f>_xll.qlCalendarAdvance(Calendar,W2497,V2498,"f",FALSE)</f>
        <v>56465</v>
      </c>
      <c r="X2498" s="181">
        <f>_xll.qlCalendarAdvance(Calendar,W2498,NDays&amp;"D")</f>
        <v>56467</v>
      </c>
      <c r="Y2498" s="178">
        <v>2.0344068588261682E-2</v>
      </c>
      <c r="Z2498" s="183">
        <v>2.0304660233652072E-2</v>
      </c>
    </row>
    <row r="2499" spans="22:26" x14ac:dyDescent="0.2">
      <c r="V2499" s="180" t="str">
        <f t="shared" si="46"/>
        <v>1w</v>
      </c>
      <c r="W2499" s="177">
        <f>_xll.qlCalendarAdvance(Calendar,W2498,V2499,"f",FALSE)</f>
        <v>56472</v>
      </c>
      <c r="X2499" s="181">
        <f>_xll.qlCalendarAdvance(Calendar,W2499,NDays&amp;"D")</f>
        <v>56474</v>
      </c>
      <c r="Y2499" s="178">
        <v>2.0337632763773768E-2</v>
      </c>
      <c r="Z2499" s="183">
        <v>2.0298308773734064E-2</v>
      </c>
    </row>
    <row r="2500" spans="22:26" x14ac:dyDescent="0.2">
      <c r="V2500" s="180" t="str">
        <f t="shared" si="46"/>
        <v>1w</v>
      </c>
      <c r="W2500" s="177">
        <f>_xll.qlCalendarAdvance(Calendar,W2499,V2500,"f",FALSE)</f>
        <v>56479</v>
      </c>
      <c r="X2500" s="181">
        <f>_xll.qlCalendarAdvance(Calendar,W2500,NDays&amp;"D")</f>
        <v>56481</v>
      </c>
      <c r="Y2500" s="178">
        <v>2.0331206889636536E-2</v>
      </c>
      <c r="Z2500" s="183">
        <v>2.0291934050424842E-2</v>
      </c>
    </row>
    <row r="2501" spans="22:26" x14ac:dyDescent="0.2">
      <c r="V2501" s="180" t="str">
        <f t="shared" si="46"/>
        <v>1w</v>
      </c>
      <c r="W2501" s="177">
        <f>_xll.qlCalendarAdvance(Calendar,W2500,V2501,"f",FALSE)</f>
        <v>56486</v>
      </c>
      <c r="X2501" s="181">
        <f>_xll.qlCalendarAdvance(Calendar,W2501,NDays&amp;"D")</f>
        <v>56488</v>
      </c>
      <c r="Y2501" s="178">
        <v>2.0324791798010406E-2</v>
      </c>
      <c r="Z2501" s="183">
        <v>2.0285536063644471E-2</v>
      </c>
    </row>
    <row r="2502" spans="22:26" x14ac:dyDescent="0.2">
      <c r="V2502" s="180" t="str">
        <f t="shared" si="46"/>
        <v>1w</v>
      </c>
      <c r="W2502" s="177">
        <f>_xll.qlCalendarAdvance(Calendar,W2501,V2502,"f",FALSE)</f>
        <v>56493</v>
      </c>
      <c r="X2502" s="181">
        <f>_xll.qlCalendarAdvance(Calendar,W2502,NDays&amp;"D")</f>
        <v>56495</v>
      </c>
      <c r="Y2502" s="178">
        <v>2.0318388321034341E-2</v>
      </c>
      <c r="Z2502" s="183">
        <v>2.0279114813552823E-2</v>
      </c>
    </row>
    <row r="2503" spans="22:26" x14ac:dyDescent="0.2">
      <c r="V2503" s="180" t="str">
        <f t="shared" si="46"/>
        <v>1w</v>
      </c>
      <c r="W2503" s="177">
        <f>_xll.qlCalendarAdvance(Calendar,W2502,V2503,"f",FALSE)</f>
        <v>56500</v>
      </c>
      <c r="X2503" s="181">
        <f>_xll.qlCalendarAdvance(Calendar,W2503,NDays&amp;"D")</f>
        <v>56502</v>
      </c>
      <c r="Y2503" s="178">
        <v>2.0311997290826493E-2</v>
      </c>
      <c r="Z2503" s="183">
        <v>2.0272670300069962E-2</v>
      </c>
    </row>
    <row r="2504" spans="22:26" x14ac:dyDescent="0.2">
      <c r="V2504" s="180" t="str">
        <f t="shared" si="46"/>
        <v>1w</v>
      </c>
      <c r="W2504" s="177">
        <f>_xll.qlCalendarAdvance(Calendar,W2503,V2504,"f",FALSE)</f>
        <v>56507</v>
      </c>
      <c r="X2504" s="181">
        <f>_xll.qlCalendarAdvance(Calendar,W2504,NDays&amp;"D")</f>
        <v>56509</v>
      </c>
      <c r="Y2504" s="178">
        <v>2.0305619539484652E-2</v>
      </c>
      <c r="Z2504" s="183">
        <v>2.026620252311595E-2</v>
      </c>
    </row>
    <row r="2505" spans="22:26" x14ac:dyDescent="0.2">
      <c r="V2505" s="180" t="str">
        <f t="shared" si="46"/>
        <v>1w</v>
      </c>
      <c r="W2505" s="177">
        <f>_xll.qlCalendarAdvance(Calendar,W2504,V2505,"f",FALSE)</f>
        <v>56514</v>
      </c>
      <c r="X2505" s="181">
        <f>_xll.qlCalendarAdvance(Calendar,W2505,NDays&amp;"D")</f>
        <v>56516</v>
      </c>
      <c r="Y2505" s="178">
        <v>2.0299255899085364E-2</v>
      </c>
      <c r="Z2505" s="183">
        <v>2.025971148269079E-2</v>
      </c>
    </row>
    <row r="2506" spans="22:26" x14ac:dyDescent="0.2">
      <c r="V2506" s="180" t="str">
        <f t="shared" si="46"/>
        <v>1w</v>
      </c>
      <c r="W2506" s="177">
        <f>_xll.qlCalendarAdvance(Calendar,W2505,V2506,"f",FALSE)</f>
        <v>56521</v>
      </c>
      <c r="X2506" s="181">
        <f>_xll.qlCalendarAdvance(Calendar,W2506,NDays&amp;"D")</f>
        <v>56523</v>
      </c>
      <c r="Y2506" s="178">
        <v>2.0292907201685896E-2</v>
      </c>
      <c r="Z2506" s="183">
        <v>2.0253197178954352E-2</v>
      </c>
    </row>
    <row r="2507" spans="22:26" x14ac:dyDescent="0.2">
      <c r="V2507" s="180" t="str">
        <f t="shared" si="46"/>
        <v>1w</v>
      </c>
      <c r="W2507" s="177">
        <f>_xll.qlCalendarAdvance(Calendar,W2506,V2507,"f",FALSE)</f>
        <v>56528</v>
      </c>
      <c r="X2507" s="181">
        <f>_xll.qlCalendarAdvance(Calendar,W2507,NDays&amp;"D")</f>
        <v>56530</v>
      </c>
      <c r="Y2507" s="178">
        <v>2.0286574279321849E-2</v>
      </c>
      <c r="Z2507" s="183">
        <v>2.0246659611826701E-2</v>
      </c>
    </row>
    <row r="2508" spans="22:26" x14ac:dyDescent="0.2">
      <c r="V2508" s="180" t="str">
        <f t="shared" si="46"/>
        <v>1w</v>
      </c>
      <c r="W2508" s="177">
        <f>_xll.qlCalendarAdvance(Calendar,W2507,V2508,"f",FALSE)</f>
        <v>56535</v>
      </c>
      <c r="X2508" s="181">
        <f>_xll.qlCalendarAdvance(Calendar,W2508,NDays&amp;"D")</f>
        <v>56537</v>
      </c>
      <c r="Y2508" s="178">
        <v>2.0280257964009091E-2</v>
      </c>
      <c r="Z2508" s="183">
        <v>2.02400987812279E-2</v>
      </c>
    </row>
    <row r="2509" spans="22:26" x14ac:dyDescent="0.2">
      <c r="V2509" s="180" t="str">
        <f t="shared" si="46"/>
        <v>1w</v>
      </c>
      <c r="W2509" s="177">
        <f>_xll.qlCalendarAdvance(Calendar,W2508,V2509,"f",FALSE)</f>
        <v>56542</v>
      </c>
      <c r="X2509" s="181">
        <f>_xll.qlCalendarAdvance(Calendar,W2509,NDays&amp;"D")</f>
        <v>56544</v>
      </c>
      <c r="Y2509" s="178">
        <v>2.0273959087743803E-2</v>
      </c>
      <c r="Z2509" s="183">
        <v>2.0233514687237886E-2</v>
      </c>
    </row>
    <row r="2510" spans="22:26" x14ac:dyDescent="0.2">
      <c r="V2510" s="180" t="str">
        <f t="shared" si="46"/>
        <v>1w</v>
      </c>
      <c r="W2510" s="177">
        <f>_xll.qlCalendarAdvance(Calendar,W2509,V2510,"f",FALSE)</f>
        <v>56549</v>
      </c>
      <c r="X2510" s="181">
        <f>_xll.qlCalendarAdvance(Calendar,W2510,NDays&amp;"D")</f>
        <v>56551</v>
      </c>
      <c r="Y2510" s="178">
        <v>2.0267678482501567E-2</v>
      </c>
      <c r="Z2510" s="183">
        <v>2.0226907329936594E-2</v>
      </c>
    </row>
    <row r="2511" spans="22:26" x14ac:dyDescent="0.2">
      <c r="V2511" s="180" t="str">
        <f t="shared" si="46"/>
        <v>1w</v>
      </c>
      <c r="W2511" s="177">
        <f>_xll.qlCalendarAdvance(Calendar,W2510,V2511,"f",FALSE)</f>
        <v>56556</v>
      </c>
      <c r="X2511" s="181">
        <f>_xll.qlCalendarAdvance(Calendar,W2511,NDays&amp;"D")</f>
        <v>56558</v>
      </c>
      <c r="Y2511" s="178">
        <v>2.0261416977003142E-2</v>
      </c>
      <c r="Z2511" s="183">
        <v>2.0220279457525692E-2</v>
      </c>
    </row>
    <row r="2512" spans="22:26" x14ac:dyDescent="0.2">
      <c r="V2512" s="180" t="str">
        <f t="shared" si="46"/>
        <v>1w</v>
      </c>
      <c r="W2512" s="177">
        <f>_xll.qlCalendarAdvance(Calendar,W2511,V2512,"f",FALSE)</f>
        <v>56563</v>
      </c>
      <c r="X2512" s="181">
        <f>_xll.qlCalendarAdvance(Calendar,W2512,NDays&amp;"D")</f>
        <v>56565</v>
      </c>
      <c r="Y2512" s="178">
        <v>2.0255175118070297E-2</v>
      </c>
      <c r="Z2512" s="183">
        <v>2.0213662025243551E-2</v>
      </c>
    </row>
    <row r="2513" spans="22:26" x14ac:dyDescent="0.2">
      <c r="V2513" s="180" t="str">
        <f t="shared" si="46"/>
        <v>1w</v>
      </c>
      <c r="W2513" s="177">
        <f>_xll.qlCalendarAdvance(Calendar,W2512,V2513,"f",FALSE)</f>
        <v>56570</v>
      </c>
      <c r="X2513" s="181">
        <f>_xll.qlCalendarAdvance(Calendar,W2513,NDays&amp;"D")</f>
        <v>56572</v>
      </c>
      <c r="Y2513" s="178">
        <v>2.0248952955889958E-2</v>
      </c>
      <c r="Z2513" s="183">
        <v>2.0207063856672036E-2</v>
      </c>
    </row>
    <row r="2514" spans="22:26" x14ac:dyDescent="0.2">
      <c r="V2514" s="180" t="str">
        <f t="shared" si="46"/>
        <v>1w</v>
      </c>
      <c r="W2514" s="177">
        <f>_xll.qlCalendarAdvance(Calendar,W2513,V2514,"f",FALSE)</f>
        <v>56577</v>
      </c>
      <c r="X2514" s="181">
        <f>_xll.qlCalendarAdvance(Calendar,W2514,NDays&amp;"D")</f>
        <v>56579</v>
      </c>
      <c r="Y2514" s="178">
        <v>2.0242750490097699E-2</v>
      </c>
      <c r="Z2514" s="183">
        <v>2.0200484952050957E-2</v>
      </c>
    </row>
    <row r="2515" spans="22:26" x14ac:dyDescent="0.2">
      <c r="V2515" s="180" t="str">
        <f t="shared" si="46"/>
        <v>1w</v>
      </c>
      <c r="W2515" s="177">
        <f>_xll.qlCalendarAdvance(Calendar,W2514,V2515,"f",FALSE)</f>
        <v>56584</v>
      </c>
      <c r="X2515" s="181">
        <f>_xll.qlCalendarAdvance(Calendar,W2515,NDays&amp;"D")</f>
        <v>56586</v>
      </c>
      <c r="Y2515" s="178">
        <v>2.0236567720329321E-2</v>
      </c>
      <c r="Z2515" s="183">
        <v>2.0193925311060568E-2</v>
      </c>
    </row>
    <row r="2516" spans="22:26" x14ac:dyDescent="0.2">
      <c r="V2516" s="180" t="str">
        <f t="shared" si="46"/>
        <v>1w</v>
      </c>
      <c r="W2516" s="177">
        <f>_xll.qlCalendarAdvance(Calendar,W2515,V2516,"f",FALSE)</f>
        <v>56591</v>
      </c>
      <c r="X2516" s="181">
        <f>_xll.qlCalendarAdvance(Calendar,W2516,NDays&amp;"D")</f>
        <v>56593</v>
      </c>
      <c r="Y2516" s="178">
        <v>2.0230404646222371E-2</v>
      </c>
      <c r="Z2516" s="183">
        <v>2.0187384933860741E-2</v>
      </c>
    </row>
    <row r="2517" spans="22:26" x14ac:dyDescent="0.2">
      <c r="V2517" s="180" t="str">
        <f t="shared" ref="V2517:V2580" si="47">V2516</f>
        <v>1w</v>
      </c>
      <c r="W2517" s="177">
        <f>_xll.qlCalendarAdvance(Calendar,W2516,V2517,"f",FALSE)</f>
        <v>56598</v>
      </c>
      <c r="X2517" s="181">
        <f>_xll.qlCalendarAdvance(Calendar,W2517,NDays&amp;"D")</f>
        <v>56600</v>
      </c>
      <c r="Y2517" s="178">
        <v>2.0224261267415718E-2</v>
      </c>
      <c r="Z2517" s="183">
        <v>2.0180863820531414E-2</v>
      </c>
    </row>
    <row r="2518" spans="22:26" x14ac:dyDescent="0.2">
      <c r="V2518" s="180" t="str">
        <f t="shared" si="47"/>
        <v>1w</v>
      </c>
      <c r="W2518" s="177">
        <f>_xll.qlCalendarAdvance(Calendar,W2517,V2518,"f",FALSE)</f>
        <v>56605</v>
      </c>
      <c r="X2518" s="181">
        <f>_xll.qlCalendarAdvance(Calendar,W2518,NDays&amp;"D")</f>
        <v>56607</v>
      </c>
      <c r="Y2518" s="178">
        <v>2.0218137583549321E-2</v>
      </c>
      <c r="Z2518" s="183">
        <v>2.017466715269256E-2</v>
      </c>
    </row>
    <row r="2519" spans="22:26" x14ac:dyDescent="0.2">
      <c r="V2519" s="180" t="str">
        <f t="shared" si="47"/>
        <v>1w</v>
      </c>
      <c r="W2519" s="177">
        <f>_xll.qlCalendarAdvance(Calendar,W2518,V2519,"f",FALSE)</f>
        <v>56612</v>
      </c>
      <c r="X2519" s="181">
        <f>_xll.qlCalendarAdvance(Calendar,W2519,NDays&amp;"D")</f>
        <v>56614</v>
      </c>
      <c r="Y2519" s="178">
        <v>2.021203359426401E-2</v>
      </c>
      <c r="Z2519" s="183">
        <v>2.0168187605833499E-2</v>
      </c>
    </row>
    <row r="2520" spans="22:26" x14ac:dyDescent="0.2">
      <c r="V2520" s="180" t="str">
        <f t="shared" si="47"/>
        <v>1w</v>
      </c>
      <c r="W2520" s="177">
        <f>_xll.qlCalendarAdvance(Calendar,W2519,V2520,"f",FALSE)</f>
        <v>56619</v>
      </c>
      <c r="X2520" s="181">
        <f>_xll.qlCalendarAdvance(Calendar,W2520,NDays&amp;"D")</f>
        <v>56621</v>
      </c>
      <c r="Y2520" s="178">
        <v>2.020594929920172E-2</v>
      </c>
      <c r="Z2520" s="183">
        <v>2.0161416063047E-2</v>
      </c>
    </row>
    <row r="2521" spans="22:26" x14ac:dyDescent="0.2">
      <c r="V2521" s="180" t="str">
        <f t="shared" si="47"/>
        <v>1w</v>
      </c>
      <c r="W2521" s="177">
        <f>_xll.qlCalendarAdvance(Calendar,W2520,V2521,"f",FALSE)</f>
        <v>56626</v>
      </c>
      <c r="X2521" s="181">
        <f>_xll.qlCalendarAdvance(Calendar,W2521,NDays&amp;"D")</f>
        <v>56628</v>
      </c>
      <c r="Y2521" s="178">
        <v>2.0199884698006133E-2</v>
      </c>
      <c r="Z2521" s="183">
        <v>2.0154972004879923E-2</v>
      </c>
    </row>
    <row r="2522" spans="22:26" x14ac:dyDescent="0.2">
      <c r="V2522" s="180" t="str">
        <f t="shared" si="47"/>
        <v>1w</v>
      </c>
      <c r="W2522" s="177">
        <f>_xll.qlCalendarAdvance(Calendar,W2521,V2522,"f",FALSE)</f>
        <v>56633</v>
      </c>
      <c r="X2522" s="181">
        <f>_xll.qlCalendarAdvance(Calendar,W2522,NDays&amp;"D")</f>
        <v>56635</v>
      </c>
      <c r="Y2522" s="178">
        <v>2.0193839790321366E-2</v>
      </c>
      <c r="Z2522" s="183">
        <v>2.0148547210343537E-2</v>
      </c>
    </row>
    <row r="2523" spans="22:26" x14ac:dyDescent="0.2">
      <c r="V2523" s="180" t="str">
        <f t="shared" si="47"/>
        <v>1w</v>
      </c>
      <c r="W2523" s="177">
        <f>_xll.qlCalendarAdvance(Calendar,W2522,V2523,"f",FALSE)</f>
        <v>56640</v>
      </c>
      <c r="X2523" s="181">
        <f>_xll.qlCalendarAdvance(Calendar,W2523,NDays&amp;"D")</f>
        <v>56642</v>
      </c>
      <c r="Y2523" s="178">
        <v>2.0187814575793075E-2</v>
      </c>
      <c r="Z2523" s="183">
        <v>2.0142141679597714E-2</v>
      </c>
    </row>
    <row r="2524" spans="22:26" x14ac:dyDescent="0.2">
      <c r="V2524" s="180" t="str">
        <f t="shared" si="47"/>
        <v>1w</v>
      </c>
      <c r="W2524" s="177">
        <f>_xll.qlCalendarAdvance(Calendar,W2523,V2524,"f",FALSE)</f>
        <v>56647</v>
      </c>
      <c r="X2524" s="181">
        <f>_xll.qlCalendarAdvance(Calendar,W2524,NDays&amp;"D")</f>
        <v>56649</v>
      </c>
      <c r="Y2524" s="178">
        <v>2.0181809054068446E-2</v>
      </c>
      <c r="Z2524" s="183">
        <v>2.0135755412642453E-2</v>
      </c>
    </row>
    <row r="2525" spans="22:26" x14ac:dyDescent="0.2">
      <c r="V2525" s="180" t="str">
        <f t="shared" si="47"/>
        <v>1w</v>
      </c>
      <c r="W2525" s="177">
        <f>_xll.qlCalendarAdvance(Calendar,W2524,V2525,"f",FALSE)</f>
        <v>56654</v>
      </c>
      <c r="X2525" s="181">
        <f>_xll.qlCalendarAdvance(Calendar,W2525,NDays&amp;"D")</f>
        <v>56656</v>
      </c>
      <c r="Y2525" s="178">
        <v>2.0175823224794883E-2</v>
      </c>
      <c r="Z2525" s="183">
        <v>2.0129388409477755E-2</v>
      </c>
    </row>
    <row r="2526" spans="22:26" x14ac:dyDescent="0.2">
      <c r="V2526" s="180" t="str">
        <f t="shared" si="47"/>
        <v>1w</v>
      </c>
      <c r="W2526" s="177">
        <f>_xll.qlCalendarAdvance(Calendar,W2525,V2526,"f",FALSE)</f>
        <v>56661</v>
      </c>
      <c r="X2526" s="181">
        <f>_xll.qlCalendarAdvance(Calendar,W2526,NDays&amp;"D")</f>
        <v>56663</v>
      </c>
      <c r="Y2526" s="178">
        <v>2.0169857087621985E-2</v>
      </c>
      <c r="Z2526" s="183">
        <v>2.012304067010362E-2</v>
      </c>
    </row>
    <row r="2527" spans="22:26" x14ac:dyDescent="0.2">
      <c r="V2527" s="180" t="str">
        <f t="shared" si="47"/>
        <v>1w</v>
      </c>
      <c r="W2527" s="177">
        <f>_xll.qlCalendarAdvance(Calendar,W2526,V2527,"f",FALSE)</f>
        <v>56668</v>
      </c>
      <c r="X2527" s="181">
        <f>_xll.qlCalendarAdvance(Calendar,W2527,NDays&amp;"D")</f>
        <v>56670</v>
      </c>
      <c r="Y2527" s="178">
        <v>2.0163910642199342E-2</v>
      </c>
      <c r="Z2527" s="183">
        <v>2.0116712194440112E-2</v>
      </c>
    </row>
    <row r="2528" spans="22:26" x14ac:dyDescent="0.2">
      <c r="V2528" s="180" t="str">
        <f t="shared" si="47"/>
        <v>1w</v>
      </c>
      <c r="W2528" s="177">
        <f>_xll.qlCalendarAdvance(Calendar,W2527,V2528,"f",FALSE)</f>
        <v>56675</v>
      </c>
      <c r="X2528" s="181">
        <f>_xll.qlCalendarAdvance(Calendar,W2528,NDays&amp;"D")</f>
        <v>56677</v>
      </c>
      <c r="Y2528" s="178">
        <v>2.0158434758447939E-2</v>
      </c>
      <c r="Z2528" s="183">
        <v>2.0110402982567166E-2</v>
      </c>
    </row>
    <row r="2529" spans="22:26" x14ac:dyDescent="0.2">
      <c r="V2529" s="180" t="str">
        <f t="shared" si="47"/>
        <v>1w</v>
      </c>
      <c r="W2529" s="177">
        <f>_xll.qlCalendarAdvance(Calendar,W2528,V2529,"f",FALSE)</f>
        <v>56682</v>
      </c>
      <c r="X2529" s="181">
        <f>_xll.qlCalendarAdvance(Calendar,W2529,NDays&amp;"D")</f>
        <v>56684</v>
      </c>
      <c r="Y2529" s="178">
        <v>2.015253093327116E-2</v>
      </c>
      <c r="Z2529" s="183">
        <v>2.0104113034484783E-2</v>
      </c>
    </row>
    <row r="2530" spans="22:26" x14ac:dyDescent="0.2">
      <c r="V2530" s="180" t="str">
        <f t="shared" si="47"/>
        <v>1w</v>
      </c>
      <c r="W2530" s="177">
        <f>_xll.qlCalendarAdvance(Calendar,W2529,V2530,"f",FALSE)</f>
        <v>56689</v>
      </c>
      <c r="X2530" s="181">
        <f>_xll.qlCalendarAdvance(Calendar,W2530,NDays&amp;"D")</f>
        <v>56691</v>
      </c>
      <c r="Y2530" s="178">
        <v>2.0146646802286314E-2</v>
      </c>
      <c r="Z2530" s="183">
        <v>2.0097842350113027E-2</v>
      </c>
    </row>
    <row r="2531" spans="22:26" x14ac:dyDescent="0.2">
      <c r="V2531" s="180" t="str">
        <f t="shared" si="47"/>
        <v>1w</v>
      </c>
      <c r="W2531" s="177">
        <f>_xll.qlCalendarAdvance(Calendar,W2530,V2531,"f",FALSE)</f>
        <v>56696</v>
      </c>
      <c r="X2531" s="181">
        <f>_xll.qlCalendarAdvance(Calendar,W2531,NDays&amp;"D")</f>
        <v>56698</v>
      </c>
      <c r="Y2531" s="178">
        <v>2.0140782365146066E-2</v>
      </c>
      <c r="Z2531" s="183">
        <v>2.0091590929611769E-2</v>
      </c>
    </row>
    <row r="2532" spans="22:26" x14ac:dyDescent="0.2">
      <c r="V2532" s="180" t="str">
        <f t="shared" si="47"/>
        <v>1w</v>
      </c>
      <c r="W2532" s="177">
        <f>_xll.qlCalendarAdvance(Calendar,W2531,V2532,"f",FALSE)</f>
        <v>56703</v>
      </c>
      <c r="X2532" s="181">
        <f>_xll.qlCalendarAdvance(Calendar,W2532,NDays&amp;"D")</f>
        <v>56705</v>
      </c>
      <c r="Y2532" s="178">
        <v>2.0135092455161239E-2</v>
      </c>
      <c r="Z2532" s="183">
        <v>2.0085358772741202E-2</v>
      </c>
    </row>
    <row r="2533" spans="22:26" x14ac:dyDescent="0.2">
      <c r="V2533" s="180" t="str">
        <f t="shared" si="47"/>
        <v>1w</v>
      </c>
      <c r="W2533" s="177">
        <f>_xll.qlCalendarAdvance(Calendar,W2532,V2533,"f",FALSE)</f>
        <v>56710</v>
      </c>
      <c r="X2533" s="181">
        <f>_xll.qlCalendarAdvance(Calendar,W2533,NDays&amp;"D")</f>
        <v>56712</v>
      </c>
      <c r="Y2533" s="178">
        <v>2.0129112571012211E-2</v>
      </c>
      <c r="Z2533" s="183">
        <v>2.007914587982107E-2</v>
      </c>
    </row>
    <row r="2534" spans="22:26" x14ac:dyDescent="0.2">
      <c r="V2534" s="180" t="str">
        <f t="shared" si="47"/>
        <v>1w</v>
      </c>
      <c r="W2534" s="177">
        <f>_xll.qlCalendarAdvance(Calendar,W2533,V2534,"f",FALSE)</f>
        <v>56717</v>
      </c>
      <c r="X2534" s="181">
        <f>_xll.qlCalendarAdvance(Calendar,W2534,NDays&amp;"D")</f>
        <v>56719</v>
      </c>
      <c r="Y2534" s="178">
        <v>2.0123307213329156E-2</v>
      </c>
      <c r="Z2534" s="183">
        <v>2.0073424767884873E-2</v>
      </c>
    </row>
    <row r="2535" spans="22:26" x14ac:dyDescent="0.2">
      <c r="V2535" s="180" t="str">
        <f t="shared" si="47"/>
        <v>1w</v>
      </c>
      <c r="W2535" s="177">
        <f>_xll.qlCalendarAdvance(Calendar,W2534,V2535,"f",FALSE)</f>
        <v>56724</v>
      </c>
      <c r="X2535" s="181">
        <f>_xll.qlCalendarAdvance(Calendar,W2535,NDays&amp;"D")</f>
        <v>56726</v>
      </c>
      <c r="Y2535" s="178">
        <v>2.0117521548110934E-2</v>
      </c>
      <c r="Z2535" s="183">
        <v>2.0066777884952813E-2</v>
      </c>
    </row>
    <row r="2536" spans="22:26" x14ac:dyDescent="0.2">
      <c r="V2536" s="180" t="str">
        <f t="shared" si="47"/>
        <v>1w</v>
      </c>
      <c r="W2536" s="177">
        <f>_xll.qlCalendarAdvance(Calendar,W2535,V2536,"f",FALSE)</f>
        <v>56731</v>
      </c>
      <c r="X2536" s="181">
        <f>_xll.qlCalendarAdvance(Calendar,W2536,NDays&amp;"D")</f>
        <v>56733</v>
      </c>
      <c r="Y2536" s="178">
        <v>2.011127870503223E-2</v>
      </c>
      <c r="Z2536" s="183">
        <v>2.0060622783244497E-2</v>
      </c>
    </row>
    <row r="2537" spans="22:26" x14ac:dyDescent="0.2">
      <c r="V2537" s="180" t="str">
        <f t="shared" si="47"/>
        <v>1w</v>
      </c>
      <c r="W2537" s="177">
        <f>_xll.qlCalendarAdvance(Calendar,W2536,V2537,"f",FALSE)</f>
        <v>56738</v>
      </c>
      <c r="X2537" s="181">
        <f>_xll.qlCalendarAdvance(Calendar,W2537,NDays&amp;"D")</f>
        <v>56740</v>
      </c>
      <c r="Y2537" s="178">
        <v>2.0106009293701391E-2</v>
      </c>
      <c r="Z2537" s="183">
        <v>2.0054486945246808E-2</v>
      </c>
    </row>
    <row r="2538" spans="22:26" x14ac:dyDescent="0.2">
      <c r="V2538" s="180" t="str">
        <f t="shared" si="47"/>
        <v>1w</v>
      </c>
      <c r="W2538" s="177">
        <f>_xll.qlCalendarAdvance(Calendar,W2537,V2538,"f",FALSE)</f>
        <v>56745</v>
      </c>
      <c r="X2538" s="181">
        <f>_xll.qlCalendarAdvance(Calendar,W2538,NDays&amp;"D")</f>
        <v>56747</v>
      </c>
      <c r="Y2538" s="178">
        <v>2.0100282703830175E-2</v>
      </c>
      <c r="Z2538" s="183">
        <v>2.0048370370959745E-2</v>
      </c>
    </row>
    <row r="2539" spans="22:26" x14ac:dyDescent="0.2">
      <c r="V2539" s="180" t="str">
        <f t="shared" si="47"/>
        <v>1w</v>
      </c>
      <c r="W2539" s="177">
        <f>_xll.qlCalendarAdvance(Calendar,W2538,V2539,"f",FALSE)</f>
        <v>56752</v>
      </c>
      <c r="X2539" s="181">
        <f>_xll.qlCalendarAdvance(Calendar,W2539,NDays&amp;"D")</f>
        <v>56754</v>
      </c>
      <c r="Y2539" s="178">
        <v>2.0094575805062489E-2</v>
      </c>
      <c r="Z2539" s="183">
        <v>2.0042273060543181E-2</v>
      </c>
    </row>
    <row r="2540" spans="22:26" x14ac:dyDescent="0.2">
      <c r="V2540" s="180" t="str">
        <f t="shared" si="47"/>
        <v>1w</v>
      </c>
      <c r="W2540" s="177">
        <f>_xll.qlCalendarAdvance(Calendar,W2539,V2540,"f",FALSE)</f>
        <v>56759</v>
      </c>
      <c r="X2540" s="181">
        <f>_xll.qlCalendarAdvance(Calendar,W2540,NDays&amp;"D")</f>
        <v>56761</v>
      </c>
      <c r="Y2540" s="178">
        <v>2.0088888597061649E-2</v>
      </c>
      <c r="Z2540" s="183">
        <v>2.0036195013837244E-2</v>
      </c>
    </row>
    <row r="2541" spans="22:26" x14ac:dyDescent="0.2">
      <c r="V2541" s="180" t="str">
        <f t="shared" si="47"/>
        <v>1w</v>
      </c>
      <c r="W2541" s="177">
        <f>_xll.qlCalendarAdvance(Calendar,W2540,V2541,"f",FALSE)</f>
        <v>56766</v>
      </c>
      <c r="X2541" s="181">
        <f>_xll.qlCalendarAdvance(Calendar,W2541,NDays&amp;"D")</f>
        <v>56768</v>
      </c>
      <c r="Y2541" s="178">
        <v>2.0083221079490746E-2</v>
      </c>
      <c r="Z2541" s="183">
        <v>2.0030136230841933E-2</v>
      </c>
    </row>
    <row r="2542" spans="22:26" x14ac:dyDescent="0.2">
      <c r="V2542" s="180" t="str">
        <f t="shared" si="47"/>
        <v>1w</v>
      </c>
      <c r="W2542" s="177">
        <f>_xll.qlCalendarAdvance(Calendar,W2541,V2542,"f",FALSE)</f>
        <v>56773</v>
      </c>
      <c r="X2542" s="181">
        <f>_xll.qlCalendarAdvance(Calendar,W2542,NDays&amp;"D")</f>
        <v>56775</v>
      </c>
      <c r="Y2542" s="178">
        <v>2.0077573252015483E-2</v>
      </c>
      <c r="Z2542" s="183">
        <v>2.0024096711637185E-2</v>
      </c>
    </row>
    <row r="2543" spans="22:26" x14ac:dyDescent="0.2">
      <c r="V2543" s="180" t="str">
        <f t="shared" si="47"/>
        <v>1w</v>
      </c>
      <c r="W2543" s="177">
        <f>_xll.qlCalendarAdvance(Calendar,W2542,V2543,"f",FALSE)</f>
        <v>56780</v>
      </c>
      <c r="X2543" s="181">
        <f>_xll.qlCalendarAdvance(Calendar,W2543,NDays&amp;"D")</f>
        <v>56782</v>
      </c>
      <c r="Y2543" s="178">
        <v>2.0071945114301781E-2</v>
      </c>
      <c r="Z2543" s="183">
        <v>2.0018076456223E-2</v>
      </c>
    </row>
    <row r="2544" spans="22:26" x14ac:dyDescent="0.2">
      <c r="V2544" s="180" t="str">
        <f t="shared" si="47"/>
        <v>1w</v>
      </c>
      <c r="W2544" s="177">
        <f>_xll.qlCalendarAdvance(Calendar,W2543,V2544,"f",FALSE)</f>
        <v>56787</v>
      </c>
      <c r="X2544" s="181">
        <f>_xll.qlCalendarAdvance(Calendar,W2544,NDays&amp;"D")</f>
        <v>56789</v>
      </c>
      <c r="Y2544" s="178">
        <v>2.0066336666017079E-2</v>
      </c>
      <c r="Z2544" s="183">
        <v>2.0012075464519441E-2</v>
      </c>
    </row>
    <row r="2545" spans="22:26" x14ac:dyDescent="0.2">
      <c r="V2545" s="180" t="str">
        <f t="shared" si="47"/>
        <v>1w</v>
      </c>
      <c r="W2545" s="177">
        <f>_xll.qlCalendarAdvance(Calendar,W2544,V2545,"f",FALSE)</f>
        <v>56794</v>
      </c>
      <c r="X2545" s="181">
        <f>_xll.qlCalendarAdvance(Calendar,W2545,NDays&amp;"D")</f>
        <v>56796</v>
      </c>
      <c r="Y2545" s="178">
        <v>2.0060747906829903E-2</v>
      </c>
      <c r="Z2545" s="183">
        <v>2.0006093736526509E-2</v>
      </c>
    </row>
    <row r="2546" spans="22:26" x14ac:dyDescent="0.2">
      <c r="V2546" s="180" t="str">
        <f t="shared" si="47"/>
        <v>1w</v>
      </c>
      <c r="W2546" s="177">
        <f>_xll.qlCalendarAdvance(Calendar,W2545,V2546,"f",FALSE)</f>
        <v>56801</v>
      </c>
      <c r="X2546" s="181">
        <f>_xll.qlCalendarAdvance(Calendar,W2546,NDays&amp;"D")</f>
        <v>56803</v>
      </c>
      <c r="Y2546" s="178">
        <v>2.005517883640965E-2</v>
      </c>
      <c r="Z2546" s="183">
        <v>2.0000131272404076E-2</v>
      </c>
    </row>
    <row r="2547" spans="22:26" x14ac:dyDescent="0.2">
      <c r="V2547" s="180" t="str">
        <f t="shared" si="47"/>
        <v>1w</v>
      </c>
      <c r="W2547" s="177">
        <f>_xll.qlCalendarAdvance(Calendar,W2546,V2547,"f",FALSE)</f>
        <v>56808</v>
      </c>
      <c r="X2547" s="181">
        <f>_xll.qlCalendarAdvance(Calendar,W2547,NDays&amp;"D")</f>
        <v>56810</v>
      </c>
      <c r="Y2547" s="178">
        <v>2.004962945442745E-2</v>
      </c>
      <c r="Z2547" s="183">
        <v>1.9994188071912333E-2</v>
      </c>
    </row>
    <row r="2548" spans="22:26" x14ac:dyDescent="0.2">
      <c r="V2548" s="180" t="str">
        <f t="shared" si="47"/>
        <v>1w</v>
      </c>
      <c r="W2548" s="177">
        <f>_xll.qlCalendarAdvance(Calendar,W2547,V2548,"f",FALSE)</f>
        <v>56815</v>
      </c>
      <c r="X2548" s="181">
        <f>_xll.qlCalendarAdvance(Calendar,W2548,NDays&amp;"D")</f>
        <v>56817</v>
      </c>
      <c r="Y2548" s="178">
        <v>2.0044099760555305E-2</v>
      </c>
      <c r="Z2548" s="183">
        <v>1.9988264135131217E-2</v>
      </c>
    </row>
    <row r="2549" spans="22:26" x14ac:dyDescent="0.2">
      <c r="V2549" s="180" t="str">
        <f t="shared" si="47"/>
        <v>1w</v>
      </c>
      <c r="W2549" s="177">
        <f>_xll.qlCalendarAdvance(Calendar,W2548,V2549,"f",FALSE)</f>
        <v>56822</v>
      </c>
      <c r="X2549" s="181">
        <f>_xll.qlCalendarAdvance(Calendar,W2549,NDays&amp;"D")</f>
        <v>56824</v>
      </c>
      <c r="Y2549" s="178">
        <v>2.003858975446652E-2</v>
      </c>
      <c r="Z2549" s="183">
        <v>1.99823594622206E-2</v>
      </c>
    </row>
    <row r="2550" spans="22:26" x14ac:dyDescent="0.2">
      <c r="V2550" s="180" t="str">
        <f t="shared" si="47"/>
        <v>1w</v>
      </c>
      <c r="W2550" s="177">
        <f>_xll.qlCalendarAdvance(Calendar,W2549,V2550,"f",FALSE)</f>
        <v>56829</v>
      </c>
      <c r="X2550" s="181">
        <f>_xll.qlCalendarAdvance(Calendar,W2550,NDays&amp;"D")</f>
        <v>56831</v>
      </c>
      <c r="Y2550" s="178">
        <v>2.0033099435835269E-2</v>
      </c>
      <c r="Z2550" s="183">
        <v>1.997647405302061E-2</v>
      </c>
    </row>
    <row r="2551" spans="22:26" x14ac:dyDescent="0.2">
      <c r="V2551" s="180" t="str">
        <f t="shared" si="47"/>
        <v>1w</v>
      </c>
      <c r="W2551" s="177">
        <f>_xll.qlCalendarAdvance(Calendar,W2550,V2551,"f",FALSE)</f>
        <v>56836</v>
      </c>
      <c r="X2551" s="181">
        <f>_xll.qlCalendarAdvance(Calendar,W2551,NDays&amp;"D")</f>
        <v>56838</v>
      </c>
      <c r="Y2551" s="178">
        <v>2.002762880433703E-2</v>
      </c>
      <c r="Z2551" s="183">
        <v>1.9970607907611182E-2</v>
      </c>
    </row>
    <row r="2552" spans="22:26" x14ac:dyDescent="0.2">
      <c r="V2552" s="180" t="str">
        <f t="shared" si="47"/>
        <v>1w</v>
      </c>
      <c r="W2552" s="177">
        <f>_xll.qlCalendarAdvance(Calendar,W2551,V2552,"f",FALSE)</f>
        <v>56843</v>
      </c>
      <c r="X2552" s="181">
        <f>_xll.qlCalendarAdvance(Calendar,W2552,NDays&amp;"D")</f>
        <v>56845</v>
      </c>
      <c r="Y2552" s="178">
        <v>2.002217785964858E-2</v>
      </c>
      <c r="Z2552" s="183">
        <v>1.9964761025832445E-2</v>
      </c>
    </row>
    <row r="2553" spans="22:26" x14ac:dyDescent="0.2">
      <c r="V2553" s="180" t="str">
        <f t="shared" si="47"/>
        <v>1w</v>
      </c>
      <c r="W2553" s="177">
        <f>_xll.qlCalendarAdvance(Calendar,W2552,V2553,"f",FALSE)</f>
        <v>56850</v>
      </c>
      <c r="X2553" s="181">
        <f>_xll.qlCalendarAdvance(Calendar,W2553,NDays&amp;"D")</f>
        <v>56852</v>
      </c>
      <c r="Y2553" s="178">
        <v>2.0016746601447571E-2</v>
      </c>
      <c r="Z2553" s="183">
        <v>1.9958933407924206E-2</v>
      </c>
    </row>
    <row r="2554" spans="22:26" x14ac:dyDescent="0.2">
      <c r="V2554" s="180" t="str">
        <f t="shared" si="47"/>
        <v>1w</v>
      </c>
      <c r="W2554" s="177">
        <f>_xll.qlCalendarAdvance(Calendar,W2553,V2554,"f",FALSE)</f>
        <v>56857</v>
      </c>
      <c r="X2554" s="181">
        <f>_xll.qlCalendarAdvance(Calendar,W2554,NDays&amp;"D")</f>
        <v>56859</v>
      </c>
      <c r="Y2554" s="178">
        <v>2.0011335029413171E-2</v>
      </c>
      <c r="Z2554" s="183">
        <v>1.9953125053726595E-2</v>
      </c>
    </row>
    <row r="2555" spans="22:26" x14ac:dyDescent="0.2">
      <c r="V2555" s="180" t="str">
        <f t="shared" si="47"/>
        <v>1w</v>
      </c>
      <c r="W2555" s="177">
        <f>_xll.qlCalendarAdvance(Calendar,W2554,V2555,"f",FALSE)</f>
        <v>56864</v>
      </c>
      <c r="X2555" s="181">
        <f>_xll.qlCalendarAdvance(Calendar,W2555,NDays&amp;"D")</f>
        <v>56866</v>
      </c>
      <c r="Y2555" s="178">
        <v>2.0005943143225638E-2</v>
      </c>
      <c r="Z2555" s="183">
        <v>1.9947335963159674E-2</v>
      </c>
    </row>
    <row r="2556" spans="22:26" x14ac:dyDescent="0.2">
      <c r="V2556" s="180" t="str">
        <f t="shared" si="47"/>
        <v>1w</v>
      </c>
      <c r="W2556" s="177">
        <f>_xll.qlCalendarAdvance(Calendar,W2555,V2556,"f",FALSE)</f>
        <v>56871</v>
      </c>
      <c r="X2556" s="181">
        <f>_xll.qlCalendarAdvance(Calendar,W2556,NDays&amp;"D")</f>
        <v>56873</v>
      </c>
      <c r="Y2556" s="178">
        <v>2.0000570942566093E-2</v>
      </c>
      <c r="Z2556" s="183">
        <v>1.9941566136463251E-2</v>
      </c>
    </row>
    <row r="2557" spans="22:26" x14ac:dyDescent="0.2">
      <c r="V2557" s="180" t="str">
        <f t="shared" si="47"/>
        <v>1w</v>
      </c>
      <c r="W2557" s="177">
        <f>_xll.qlCalendarAdvance(Calendar,W2556,V2557,"f",FALSE)</f>
        <v>56878</v>
      </c>
      <c r="X2557" s="181">
        <f>_xll.qlCalendarAdvance(Calendar,W2557,NDays&amp;"D")</f>
        <v>56880</v>
      </c>
      <c r="Y2557" s="178">
        <v>1.9995218427117187E-2</v>
      </c>
      <c r="Z2557" s="183">
        <v>1.9935815573477456E-2</v>
      </c>
    </row>
    <row r="2558" spans="22:26" x14ac:dyDescent="0.2">
      <c r="V2558" s="180" t="str">
        <f t="shared" si="47"/>
        <v>1w</v>
      </c>
      <c r="W2558" s="177">
        <f>_xll.qlCalendarAdvance(Calendar,W2557,V2558,"f",FALSE)</f>
        <v>56885</v>
      </c>
      <c r="X2558" s="181">
        <f>_xll.qlCalendarAdvance(Calendar,W2558,NDays&amp;"D")</f>
        <v>56887</v>
      </c>
      <c r="Y2558" s="178">
        <v>1.9989336087643726E-2</v>
      </c>
      <c r="Z2558" s="183">
        <v>1.9930084274202287E-2</v>
      </c>
    </row>
    <row r="2559" spans="22:26" x14ac:dyDescent="0.2">
      <c r="V2559" s="180" t="str">
        <f t="shared" si="47"/>
        <v>1w</v>
      </c>
      <c r="W2559" s="177">
        <f>_xll.qlCalendarAdvance(Calendar,W2558,V2559,"f",FALSE)</f>
        <v>56892</v>
      </c>
      <c r="X2559" s="181">
        <f>_xll.qlCalendarAdvance(Calendar,W2559,NDays&amp;"D")</f>
        <v>56894</v>
      </c>
      <c r="Y2559" s="178">
        <v>1.9984572450586637E-2</v>
      </c>
      <c r="Z2559" s="183">
        <v>1.9924372238637744E-2</v>
      </c>
    </row>
    <row r="2560" spans="22:26" x14ac:dyDescent="0.2">
      <c r="V2560" s="180" t="str">
        <f t="shared" si="47"/>
        <v>1w</v>
      </c>
      <c r="W2560" s="177">
        <f>_xll.qlCalendarAdvance(Calendar,W2559,V2560,"f",FALSE)</f>
        <v>56899</v>
      </c>
      <c r="X2560" s="181">
        <f>_xll.qlCalendarAdvance(Calendar,W2560,NDays&amp;"D")</f>
        <v>56901</v>
      </c>
      <c r="Y2560" s="178">
        <v>1.9979278988876151E-2</v>
      </c>
      <c r="Z2560" s="183">
        <v>1.9918679466943701E-2</v>
      </c>
    </row>
    <row r="2561" spans="22:26" x14ac:dyDescent="0.2">
      <c r="V2561" s="180" t="str">
        <f t="shared" si="47"/>
        <v>1w</v>
      </c>
      <c r="W2561" s="177">
        <f>_xll.qlCalendarAdvance(Calendar,W2560,V2561,"f",FALSE)</f>
        <v>56906</v>
      </c>
      <c r="X2561" s="181">
        <f>_xll.qlCalendarAdvance(Calendar,W2561,NDays&amp;"D")</f>
        <v>56908</v>
      </c>
      <c r="Y2561" s="178">
        <v>1.9974005211117741E-2</v>
      </c>
      <c r="Z2561" s="183">
        <v>1.9913005958880348E-2</v>
      </c>
    </row>
    <row r="2562" spans="22:26" x14ac:dyDescent="0.2">
      <c r="V2562" s="180" t="str">
        <f t="shared" si="47"/>
        <v>1w</v>
      </c>
      <c r="W2562" s="177">
        <f>_xll.qlCalendarAdvance(Calendar,W2561,V2562,"f",FALSE)</f>
        <v>56913</v>
      </c>
      <c r="X2562" s="181">
        <f>_xll.qlCalendarAdvance(Calendar,W2562,NDays&amp;"D")</f>
        <v>56915</v>
      </c>
      <c r="Y2562" s="178">
        <v>1.9968751117000135E-2</v>
      </c>
      <c r="Z2562" s="183">
        <v>1.9907351714607557E-2</v>
      </c>
    </row>
    <row r="2563" spans="22:26" x14ac:dyDescent="0.2">
      <c r="V2563" s="180" t="str">
        <f t="shared" si="47"/>
        <v>1w</v>
      </c>
      <c r="W2563" s="177">
        <f>_xll.qlCalendarAdvance(Calendar,W2562,V2563,"f",FALSE)</f>
        <v>56920</v>
      </c>
      <c r="X2563" s="181">
        <f>_xll.qlCalendarAdvance(Calendar,W2563,NDays&amp;"D")</f>
        <v>56922</v>
      </c>
      <c r="Y2563" s="178">
        <v>1.996351670621228E-2</v>
      </c>
      <c r="Z2563" s="183">
        <v>1.9901716733885522E-2</v>
      </c>
    </row>
    <row r="2564" spans="22:26" x14ac:dyDescent="0.2">
      <c r="V2564" s="180" t="str">
        <f t="shared" si="47"/>
        <v>1w</v>
      </c>
      <c r="W2564" s="177">
        <f>_xll.qlCalendarAdvance(Calendar,W2563,V2564,"f",FALSE)</f>
        <v>56927</v>
      </c>
      <c r="X2564" s="181">
        <f>_xll.qlCalendarAdvance(Calendar,W2564,NDays&amp;"D")</f>
        <v>56929</v>
      </c>
      <c r="Y2564" s="178">
        <v>1.9958301978445069E-2</v>
      </c>
      <c r="Z2564" s="183">
        <v>1.9896101017193857E-2</v>
      </c>
    </row>
    <row r="2565" spans="22:26" x14ac:dyDescent="0.2">
      <c r="V2565" s="180" t="str">
        <f t="shared" si="47"/>
        <v>1w</v>
      </c>
      <c r="W2565" s="177">
        <f>_xll.qlCalendarAdvance(Calendar,W2564,V2565,"f",FALSE)</f>
        <v>56934</v>
      </c>
      <c r="X2565" s="181">
        <f>_xll.qlCalendarAdvance(Calendar,W2565,NDays&amp;"D")</f>
        <v>56936</v>
      </c>
      <c r="Y2565" s="178">
        <v>1.9953106933390495E-2</v>
      </c>
      <c r="Z2565" s="183">
        <v>1.9890504564052947E-2</v>
      </c>
    </row>
    <row r="2566" spans="22:26" x14ac:dyDescent="0.2">
      <c r="V2566" s="180" t="str">
        <f t="shared" si="47"/>
        <v>1w</v>
      </c>
      <c r="W2566" s="177">
        <f>_xll.qlCalendarAdvance(Calendar,W2565,V2566,"f",FALSE)</f>
        <v>56941</v>
      </c>
      <c r="X2566" s="181">
        <f>_xll.qlCalendarAdvance(Calendar,W2566,NDays&amp;"D")</f>
        <v>56943</v>
      </c>
      <c r="Y2566" s="178">
        <v>1.9947931570741408E-2</v>
      </c>
      <c r="Z2566" s="183">
        <v>1.9884927374702599E-2</v>
      </c>
    </row>
    <row r="2567" spans="22:26" x14ac:dyDescent="0.2">
      <c r="V2567" s="180" t="str">
        <f t="shared" si="47"/>
        <v>1w</v>
      </c>
      <c r="W2567" s="177">
        <f>_xll.qlCalendarAdvance(Calendar,W2566,V2567,"f",FALSE)</f>
        <v>56948</v>
      </c>
      <c r="X2567" s="181">
        <f>_xll.qlCalendarAdvance(Calendar,W2567,NDays&amp;"D")</f>
        <v>56950</v>
      </c>
      <c r="Y2567" s="178">
        <v>1.9942775890191968E-2</v>
      </c>
      <c r="Z2567" s="183">
        <v>1.9879369449062878E-2</v>
      </c>
    </row>
    <row r="2568" spans="22:26" x14ac:dyDescent="0.2">
      <c r="V2568" s="180" t="str">
        <f t="shared" si="47"/>
        <v>1w</v>
      </c>
      <c r="W2568" s="177">
        <f>_xll.qlCalendarAdvance(Calendar,W2567,V2568,"f",FALSE)</f>
        <v>56955</v>
      </c>
      <c r="X2568" s="181">
        <f>_xll.qlCalendarAdvance(Calendar,W2568,NDays&amp;"D")</f>
        <v>56957</v>
      </c>
      <c r="Y2568" s="178">
        <v>1.9937639891437198E-2</v>
      </c>
      <c r="Z2568" s="183">
        <v>1.9873830787133784E-2</v>
      </c>
    </row>
    <row r="2569" spans="22:26" x14ac:dyDescent="0.2">
      <c r="V2569" s="180" t="str">
        <f t="shared" si="47"/>
        <v>1w</v>
      </c>
      <c r="W2569" s="177">
        <f>_xll.qlCalendarAdvance(Calendar,W2568,V2569,"f",FALSE)</f>
        <v>56962</v>
      </c>
      <c r="X2569" s="181">
        <f>_xll.qlCalendarAdvance(Calendar,W2569,NDays&amp;"D")</f>
        <v>56964</v>
      </c>
      <c r="Y2569" s="178">
        <v>1.9932523574173865E-2</v>
      </c>
      <c r="Z2569" s="183">
        <v>1.9868311388995252E-2</v>
      </c>
    </row>
    <row r="2570" spans="22:26" x14ac:dyDescent="0.2">
      <c r="V2570" s="180" t="str">
        <f t="shared" si="47"/>
        <v>1w</v>
      </c>
      <c r="W2570" s="177">
        <f>_xll.qlCalendarAdvance(Calendar,W2569,V2570,"f",FALSE)</f>
        <v>56969</v>
      </c>
      <c r="X2570" s="181">
        <f>_xll.qlCalendarAdvance(Calendar,W2570,NDays&amp;"D")</f>
        <v>56971</v>
      </c>
      <c r="Y2570" s="178">
        <v>1.9927820733533656E-2</v>
      </c>
      <c r="Z2570" s="183">
        <v>1.9862811254487411E-2</v>
      </c>
    </row>
    <row r="2571" spans="22:26" x14ac:dyDescent="0.2">
      <c r="V2571" s="180" t="str">
        <f t="shared" si="47"/>
        <v>1w</v>
      </c>
      <c r="W2571" s="177">
        <f>_xll.qlCalendarAdvance(Calendar,W2570,V2571,"f",FALSE)</f>
        <v>56976</v>
      </c>
      <c r="X2571" s="181">
        <f>_xll.qlCalendarAdvance(Calendar,W2571,NDays&amp;"D")</f>
        <v>56978</v>
      </c>
      <c r="Y2571" s="178">
        <v>1.9921756773305214E-2</v>
      </c>
      <c r="Z2571" s="183">
        <v>1.9857330383770133E-2</v>
      </c>
    </row>
    <row r="2572" spans="22:26" x14ac:dyDescent="0.2">
      <c r="V2572" s="180" t="str">
        <f t="shared" si="47"/>
        <v>1w</v>
      </c>
      <c r="W2572" s="177">
        <f>_xll.qlCalendarAdvance(Calendar,W2571,V2572,"f",FALSE)</f>
        <v>56983</v>
      </c>
      <c r="X2572" s="181">
        <f>_xll.qlCalendarAdvance(Calendar,W2572,NDays&amp;"D")</f>
        <v>56985</v>
      </c>
      <c r="Y2572" s="178">
        <v>1.9917292708314684E-2</v>
      </c>
      <c r="Z2572" s="183">
        <v>1.9851868776763482E-2</v>
      </c>
    </row>
    <row r="2573" spans="22:26" x14ac:dyDescent="0.2">
      <c r="V2573" s="180" t="str">
        <f t="shared" si="47"/>
        <v>1w</v>
      </c>
      <c r="W2573" s="177">
        <f>_xll.qlCalendarAdvance(Calendar,W2572,V2573,"f",FALSE)</f>
        <v>56990</v>
      </c>
      <c r="X2573" s="181">
        <f>_xll.qlCalendarAdvance(Calendar,W2573,NDays&amp;"D")</f>
        <v>56992</v>
      </c>
      <c r="Y2573" s="178">
        <v>1.991225511400516E-2</v>
      </c>
      <c r="Z2573" s="183">
        <v>1.9846426433627329E-2</v>
      </c>
    </row>
    <row r="2574" spans="22:26" x14ac:dyDescent="0.2">
      <c r="V2574" s="180" t="str">
        <f t="shared" si="47"/>
        <v>1w</v>
      </c>
      <c r="W2574" s="177">
        <f>_xll.qlCalendarAdvance(Calendar,W2573,V2574,"f",FALSE)</f>
        <v>56997</v>
      </c>
      <c r="X2574" s="181">
        <f>_xll.qlCalendarAdvance(Calendar,W2574,NDays&amp;"D")</f>
        <v>56999</v>
      </c>
      <c r="Y2574" s="178">
        <v>1.9907237199686536E-2</v>
      </c>
      <c r="Z2574" s="183">
        <v>1.9841003353882058E-2</v>
      </c>
    </row>
    <row r="2575" spans="22:26" x14ac:dyDescent="0.2">
      <c r="V2575" s="180" t="str">
        <f t="shared" si="47"/>
        <v>1w</v>
      </c>
      <c r="W2575" s="177">
        <f>_xll.qlCalendarAdvance(Calendar,W2574,V2575,"f",FALSE)</f>
        <v>57004</v>
      </c>
      <c r="X2575" s="181">
        <f>_xll.qlCalendarAdvance(Calendar,W2575,NDays&amp;"D")</f>
        <v>57006</v>
      </c>
      <c r="Y2575" s="178">
        <v>1.9902238965062737E-2</v>
      </c>
      <c r="Z2575" s="183">
        <v>1.9835599538167159E-2</v>
      </c>
    </row>
    <row r="2576" spans="22:26" x14ac:dyDescent="0.2">
      <c r="V2576" s="180" t="str">
        <f t="shared" si="47"/>
        <v>1w</v>
      </c>
      <c r="W2576" s="177">
        <f>_xll.qlCalendarAdvance(Calendar,W2575,V2576,"f",FALSE)</f>
        <v>57011</v>
      </c>
      <c r="X2576" s="181">
        <f>_xll.qlCalendarAdvance(Calendar,W2576,NDays&amp;"D")</f>
        <v>57013</v>
      </c>
      <c r="Y2576" s="178">
        <v>1.9897260409838139E-2</v>
      </c>
      <c r="Z2576" s="183">
        <v>1.983021498608295E-2</v>
      </c>
    </row>
    <row r="2577" spans="22:26" x14ac:dyDescent="0.2">
      <c r="V2577" s="180" t="str">
        <f t="shared" si="47"/>
        <v>1w</v>
      </c>
      <c r="W2577" s="177">
        <f>_xll.qlCalendarAdvance(Calendar,W2576,V2577,"f",FALSE)</f>
        <v>57018</v>
      </c>
      <c r="X2577" s="181">
        <f>_xll.qlCalendarAdvance(Calendar,W2577,NDays&amp;"D")</f>
        <v>57020</v>
      </c>
      <c r="Y2577" s="178">
        <v>1.9892301533718407E-2</v>
      </c>
      <c r="Z2577" s="183">
        <v>1.9824849697629432E-2</v>
      </c>
    </row>
    <row r="2578" spans="22:26" x14ac:dyDescent="0.2">
      <c r="V2578" s="180" t="str">
        <f t="shared" si="47"/>
        <v>1w</v>
      </c>
      <c r="W2578" s="177">
        <f>_xll.qlCalendarAdvance(Calendar,W2577,V2578,"f",FALSE)</f>
        <v>57025</v>
      </c>
      <c r="X2578" s="181">
        <f>_xll.qlCalendarAdvance(Calendar,W2578,NDays&amp;"D")</f>
        <v>57027</v>
      </c>
      <c r="Y2578" s="178">
        <v>1.9887362336411168E-2</v>
      </c>
      <c r="Z2578" s="183">
        <v>1.9819503673046412E-2</v>
      </c>
    </row>
    <row r="2579" spans="22:26" x14ac:dyDescent="0.2">
      <c r="V2579" s="180" t="str">
        <f t="shared" si="47"/>
        <v>1w</v>
      </c>
      <c r="W2579" s="177">
        <f>_xll.qlCalendarAdvance(Calendar,W2578,V2579,"f",FALSE)</f>
        <v>57032</v>
      </c>
      <c r="X2579" s="181">
        <f>_xll.qlCalendarAdvance(Calendar,W2579,NDays&amp;"D")</f>
        <v>57034</v>
      </c>
      <c r="Y2579" s="178">
        <v>1.988244281762383E-2</v>
      </c>
      <c r="Z2579" s="183">
        <v>1.9814176912094084E-2</v>
      </c>
    </row>
    <row r="2580" spans="22:26" x14ac:dyDescent="0.2">
      <c r="V2580" s="180" t="str">
        <f t="shared" si="47"/>
        <v>1w</v>
      </c>
      <c r="W2580" s="177">
        <f>_xll.qlCalendarAdvance(Calendar,W2579,V2580,"f",FALSE)</f>
        <v>57039</v>
      </c>
      <c r="X2580" s="181">
        <f>_xll.qlCalendarAdvance(Calendar,W2580,NDays&amp;"D")</f>
        <v>57041</v>
      </c>
      <c r="Y2580" s="178">
        <v>1.987691917810951E-2</v>
      </c>
      <c r="Z2580" s="183">
        <v>1.9808869414932317E-2</v>
      </c>
    </row>
    <row r="2581" spans="22:26" x14ac:dyDescent="0.2">
      <c r="V2581" s="180" t="str">
        <f t="shared" ref="V2581:V2644" si="48">V2580</f>
        <v>1w</v>
      </c>
      <c r="W2581" s="177">
        <f>_xll.qlCalendarAdvance(Calendar,W2580,V2581,"f",FALSE)</f>
        <v>57046</v>
      </c>
      <c r="X2581" s="181">
        <f>_xll.qlCalendarAdvance(Calendar,W2581,NDays&amp;"D")</f>
        <v>57048</v>
      </c>
      <c r="Y2581" s="178">
        <v>1.9872035599840063E-2</v>
      </c>
      <c r="Z2581" s="183">
        <v>1.9803581181321306E-2</v>
      </c>
    </row>
    <row r="2582" spans="22:26" x14ac:dyDescent="0.2">
      <c r="V2582" s="180" t="str">
        <f t="shared" si="48"/>
        <v>1w</v>
      </c>
      <c r="W2582" s="177">
        <f>_xll.qlCalendarAdvance(Calendar,W2581,V2582,"f",FALSE)</f>
        <v>57053</v>
      </c>
      <c r="X2582" s="181">
        <f>_xll.qlCalendarAdvance(Calendar,W2582,NDays&amp;"D")</f>
        <v>57055</v>
      </c>
      <c r="Y2582" s="178">
        <v>1.9867171695862836E-2</v>
      </c>
      <c r="Z2582" s="183">
        <v>1.9798312211660729E-2</v>
      </c>
    </row>
    <row r="2583" spans="22:26" x14ac:dyDescent="0.2">
      <c r="V2583" s="180" t="str">
        <f t="shared" si="48"/>
        <v>1w</v>
      </c>
      <c r="W2583" s="177">
        <f>_xll.qlCalendarAdvance(Calendar,W2582,V2583,"f",FALSE)</f>
        <v>57060</v>
      </c>
      <c r="X2583" s="181">
        <f>_xll.qlCalendarAdvance(Calendar,W2583,NDays&amp;"D")</f>
        <v>57062</v>
      </c>
      <c r="Y2583" s="178">
        <v>1.9862327465892914E-2</v>
      </c>
      <c r="Z2583" s="183">
        <v>1.9793062505630843E-2</v>
      </c>
    </row>
    <row r="2584" spans="22:26" x14ac:dyDescent="0.2">
      <c r="V2584" s="180" t="str">
        <f t="shared" si="48"/>
        <v>1w</v>
      </c>
      <c r="W2584" s="177">
        <f>_xll.qlCalendarAdvance(Calendar,W2583,V2584,"f",FALSE)</f>
        <v>57067</v>
      </c>
      <c r="X2584" s="181">
        <f>_xll.qlCalendarAdvance(Calendar,W2584,NDays&amp;"D")</f>
        <v>57069</v>
      </c>
      <c r="Y2584" s="178">
        <v>1.9857502909646458E-2</v>
      </c>
      <c r="Z2584" s="183">
        <v>1.9788516698236336E-2</v>
      </c>
    </row>
    <row r="2585" spans="22:26" x14ac:dyDescent="0.2">
      <c r="V2585" s="180" t="str">
        <f t="shared" si="48"/>
        <v>1w</v>
      </c>
      <c r="W2585" s="177">
        <f>_xll.qlCalendarAdvance(Calendar,W2584,V2585,"f",FALSE)</f>
        <v>57074</v>
      </c>
      <c r="X2585" s="181">
        <f>_xll.qlCalendarAdvance(Calendar,W2585,NDays&amp;"D")</f>
        <v>57076</v>
      </c>
      <c r="Y2585" s="178">
        <v>1.9852698026840306E-2</v>
      </c>
      <c r="Z2585" s="183">
        <v>1.9782620884543078E-2</v>
      </c>
    </row>
    <row r="2586" spans="22:26" x14ac:dyDescent="0.2">
      <c r="V2586" s="180" t="str">
        <f t="shared" si="48"/>
        <v>1w</v>
      </c>
      <c r="W2586" s="177">
        <f>_xll.qlCalendarAdvance(Calendar,W2585,V2586,"f",FALSE)</f>
        <v>57081</v>
      </c>
      <c r="X2586" s="181">
        <f>_xll.qlCalendarAdvance(Calendar,W2586,NDays&amp;"D")</f>
        <v>57083</v>
      </c>
      <c r="Y2586" s="178">
        <v>1.9847912817193478E-2</v>
      </c>
      <c r="Z2586" s="183">
        <v>1.9777428969725008E-2</v>
      </c>
    </row>
    <row r="2587" spans="22:26" x14ac:dyDescent="0.2">
      <c r="V2587" s="180" t="str">
        <f t="shared" si="48"/>
        <v>1w</v>
      </c>
      <c r="W2587" s="177">
        <f>_xll.qlCalendarAdvance(Calendar,W2586,V2587,"f",FALSE)</f>
        <v>57088</v>
      </c>
      <c r="X2587" s="181">
        <f>_xll.qlCalendarAdvance(Calendar,W2587,NDays&amp;"D")</f>
        <v>57090</v>
      </c>
      <c r="Y2587" s="178">
        <v>1.9844011221495792E-2</v>
      </c>
      <c r="Z2587" s="183">
        <v>1.9772256318537629E-2</v>
      </c>
    </row>
    <row r="2588" spans="22:26" x14ac:dyDescent="0.2">
      <c r="V2588" s="180" t="str">
        <f t="shared" si="48"/>
        <v>1w</v>
      </c>
      <c r="W2588" s="177">
        <f>_xll.qlCalendarAdvance(Calendar,W2587,V2588,"f",FALSE)</f>
        <v>57095</v>
      </c>
      <c r="X2588" s="181">
        <f>_xll.qlCalendarAdvance(Calendar,W2588,NDays&amp;"D")</f>
        <v>57097</v>
      </c>
      <c r="Y2588" s="178">
        <v>1.9838401416255827E-2</v>
      </c>
      <c r="Z2588" s="183">
        <v>1.9767102931060876E-2</v>
      </c>
    </row>
    <row r="2589" spans="22:26" x14ac:dyDescent="0.2">
      <c r="V2589" s="180" t="str">
        <f t="shared" si="48"/>
        <v>1w</v>
      </c>
      <c r="W2589" s="177">
        <f>_xll.qlCalendarAdvance(Calendar,W2588,V2589,"f",FALSE)</f>
        <v>57102</v>
      </c>
      <c r="X2589" s="181">
        <f>_xll.qlCalendarAdvance(Calendar,W2589,NDays&amp;"D")</f>
        <v>57104</v>
      </c>
      <c r="Y2589" s="178">
        <v>1.9833675224407425E-2</v>
      </c>
      <c r="Z2589" s="183">
        <v>1.976196880729475E-2</v>
      </c>
    </row>
    <row r="2590" spans="22:26" x14ac:dyDescent="0.2">
      <c r="V2590" s="180" t="str">
        <f t="shared" si="48"/>
        <v>1w</v>
      </c>
      <c r="W2590" s="177">
        <f>_xll.qlCalendarAdvance(Calendar,W2589,V2590,"f",FALSE)</f>
        <v>57109</v>
      </c>
      <c r="X2590" s="181">
        <f>_xll.qlCalendarAdvance(Calendar,W2590,NDays&amp;"D")</f>
        <v>57111</v>
      </c>
      <c r="Y2590" s="178">
        <v>1.9828968704602962E-2</v>
      </c>
      <c r="Z2590" s="183">
        <v>1.975685394723925E-2</v>
      </c>
    </row>
    <row r="2591" spans="22:26" x14ac:dyDescent="0.2">
      <c r="V2591" s="180" t="str">
        <f t="shared" si="48"/>
        <v>1w</v>
      </c>
      <c r="W2591" s="177">
        <f>_xll.qlCalendarAdvance(Calendar,W2590,V2591,"f",FALSE)</f>
        <v>57116</v>
      </c>
      <c r="X2591" s="181">
        <f>_xll.qlCalendarAdvance(Calendar,W2591,NDays&amp;"D")</f>
        <v>57118</v>
      </c>
      <c r="Y2591" s="178">
        <v>1.9824281856566713E-2</v>
      </c>
      <c r="Z2591" s="183">
        <v>1.9751758350894377E-2</v>
      </c>
    </row>
    <row r="2592" spans="22:26" x14ac:dyDescent="0.2">
      <c r="V2592" s="180" t="str">
        <f t="shared" si="48"/>
        <v>1w</v>
      </c>
      <c r="W2592" s="177">
        <f>_xll.qlCalendarAdvance(Calendar,W2591,V2592,"f",FALSE)</f>
        <v>57123</v>
      </c>
      <c r="X2592" s="181">
        <f>_xll.qlCalendarAdvance(Calendar,W2592,NDays&amp;"D")</f>
        <v>57125</v>
      </c>
      <c r="Y2592" s="178">
        <v>1.9819614680023832E-2</v>
      </c>
      <c r="Z2592" s="183">
        <v>1.9746682018180195E-2</v>
      </c>
    </row>
    <row r="2593" spans="22:26" x14ac:dyDescent="0.2">
      <c r="V2593" s="180" t="str">
        <f t="shared" si="48"/>
        <v>1w</v>
      </c>
      <c r="W2593" s="177">
        <f>_xll.qlCalendarAdvance(Calendar,W2592,V2593,"f",FALSE)</f>
        <v>57130</v>
      </c>
      <c r="X2593" s="181">
        <f>_xll.qlCalendarAdvance(Calendar,W2593,NDays&amp;"D")</f>
        <v>57132</v>
      </c>
      <c r="Y2593" s="178">
        <v>1.9814967174700781E-2</v>
      </c>
      <c r="Z2593" s="183">
        <v>1.9741624949336511E-2</v>
      </c>
    </row>
    <row r="2594" spans="22:26" x14ac:dyDescent="0.2">
      <c r="V2594" s="180" t="str">
        <f t="shared" si="48"/>
        <v>1w</v>
      </c>
      <c r="W2594" s="177">
        <f>_xll.qlCalendarAdvance(Calendar,W2593,V2594,"f",FALSE)</f>
        <v>57137</v>
      </c>
      <c r="X2594" s="181">
        <f>_xll.qlCalendarAdvance(Calendar,W2594,NDays&amp;"D")</f>
        <v>57139</v>
      </c>
      <c r="Y2594" s="178">
        <v>1.9810339340325559E-2</v>
      </c>
      <c r="Z2594" s="183">
        <v>1.9736587144123519E-2</v>
      </c>
    </row>
    <row r="2595" spans="22:26" x14ac:dyDescent="0.2">
      <c r="V2595" s="180" t="str">
        <f t="shared" si="48"/>
        <v>1w</v>
      </c>
      <c r="W2595" s="177">
        <f>_xll.qlCalendarAdvance(Calendar,W2594,V2595,"f",FALSE)</f>
        <v>57144</v>
      </c>
      <c r="X2595" s="181">
        <f>_xll.qlCalendarAdvance(Calendar,W2595,NDays&amp;"D")</f>
        <v>57146</v>
      </c>
      <c r="Y2595" s="178">
        <v>1.9805731176625947E-2</v>
      </c>
      <c r="Z2595" s="183">
        <v>1.9731568602541216E-2</v>
      </c>
    </row>
    <row r="2596" spans="22:26" x14ac:dyDescent="0.2">
      <c r="V2596" s="180" t="str">
        <f t="shared" si="48"/>
        <v>1w</v>
      </c>
      <c r="W2596" s="177">
        <f>_xll.qlCalendarAdvance(Calendar,W2595,V2596,"f",FALSE)</f>
        <v>57151</v>
      </c>
      <c r="X2596" s="181">
        <f>_xll.qlCalendarAdvance(Calendar,W2596,NDays&amp;"D")</f>
        <v>57153</v>
      </c>
      <c r="Y2596" s="178">
        <v>1.9801142683333006E-2</v>
      </c>
      <c r="Z2596" s="183">
        <v>1.9726569324749477E-2</v>
      </c>
    </row>
    <row r="2597" spans="22:26" x14ac:dyDescent="0.2">
      <c r="V2597" s="180" t="str">
        <f t="shared" si="48"/>
        <v>1w</v>
      </c>
      <c r="W2597" s="177">
        <f>_xll.qlCalendarAdvance(Calendar,W2596,V2597,"f",FALSE)</f>
        <v>57158</v>
      </c>
      <c r="X2597" s="181">
        <f>_xll.qlCalendarAdvance(Calendar,W2597,NDays&amp;"D")</f>
        <v>57160</v>
      </c>
      <c r="Y2597" s="178">
        <v>1.979657386017715E-2</v>
      </c>
      <c r="Z2597" s="183">
        <v>1.97215893107483E-2</v>
      </c>
    </row>
    <row r="2598" spans="22:26" x14ac:dyDescent="0.2">
      <c r="V2598" s="180" t="str">
        <f t="shared" si="48"/>
        <v>1w</v>
      </c>
      <c r="W2598" s="177">
        <f>_xll.qlCalendarAdvance(Calendar,W2597,V2598,"f",FALSE)</f>
        <v>57165</v>
      </c>
      <c r="X2598" s="181">
        <f>_xll.qlCalendarAdvance(Calendar,W2598,NDays&amp;"D")</f>
        <v>57167</v>
      </c>
      <c r="Y2598" s="178">
        <v>1.9792024706890531E-2</v>
      </c>
      <c r="Z2598" s="183">
        <v>1.9716628560297877E-2</v>
      </c>
    </row>
    <row r="2599" spans="22:26" x14ac:dyDescent="0.2">
      <c r="V2599" s="180" t="str">
        <f t="shared" si="48"/>
        <v>1w</v>
      </c>
      <c r="W2599" s="177">
        <f>_xll.qlCalendarAdvance(Calendar,W2598,V2599,"f",FALSE)</f>
        <v>57172</v>
      </c>
      <c r="X2599" s="181">
        <f>_xll.qlCalendarAdvance(Calendar,W2599,NDays&amp;"D")</f>
        <v>57174</v>
      </c>
      <c r="Y2599" s="178">
        <v>1.9787495223206625E-2</v>
      </c>
      <c r="Z2599" s="183">
        <v>1.9711687073558082E-2</v>
      </c>
    </row>
    <row r="2600" spans="22:26" x14ac:dyDescent="0.2">
      <c r="V2600" s="180" t="str">
        <f t="shared" si="48"/>
        <v>1w</v>
      </c>
      <c r="W2600" s="177">
        <f>_xll.qlCalendarAdvance(Calendar,W2599,V2600,"f",FALSE)</f>
        <v>57179</v>
      </c>
      <c r="X2600" s="181">
        <f>_xll.qlCalendarAdvance(Calendar,W2600,NDays&amp;"D")</f>
        <v>57181</v>
      </c>
      <c r="Y2600" s="178">
        <v>1.9782985408860223E-2</v>
      </c>
      <c r="Z2600" s="183">
        <v>1.9706764850608849E-2</v>
      </c>
    </row>
    <row r="2601" spans="22:26" x14ac:dyDescent="0.2">
      <c r="V2601" s="180" t="str">
        <f t="shared" si="48"/>
        <v>1w</v>
      </c>
      <c r="W2601" s="177">
        <f>_xll.qlCalendarAdvance(Calendar,W2600,V2601,"f",FALSE)</f>
        <v>57186</v>
      </c>
      <c r="X2601" s="181">
        <f>_xll.qlCalendarAdvance(Calendar,W2601,NDays&amp;"D")</f>
        <v>57188</v>
      </c>
      <c r="Y2601" s="178">
        <v>1.9778495263586764E-2</v>
      </c>
      <c r="Z2601" s="183">
        <v>1.9701861891370243E-2</v>
      </c>
    </row>
    <row r="2602" spans="22:26" x14ac:dyDescent="0.2">
      <c r="V2602" s="180" t="str">
        <f t="shared" si="48"/>
        <v>1w</v>
      </c>
      <c r="W2602" s="177">
        <f>_xll.qlCalendarAdvance(Calendar,W2601,V2602,"f",FALSE)</f>
        <v>57193</v>
      </c>
      <c r="X2602" s="181">
        <f>_xll.qlCalendarAdvance(Calendar,W2602,NDays&amp;"D")</f>
        <v>57195</v>
      </c>
      <c r="Y2602" s="178">
        <v>1.977402478712301E-2</v>
      </c>
      <c r="Z2602" s="183">
        <v>1.9696978195762327E-2</v>
      </c>
    </row>
    <row r="2603" spans="22:26" x14ac:dyDescent="0.2">
      <c r="V2603" s="180" t="str">
        <f t="shared" si="48"/>
        <v>1w</v>
      </c>
      <c r="W2603" s="177">
        <f>_xll.qlCalendarAdvance(Calendar,W2602,V2603,"f",FALSE)</f>
        <v>57200</v>
      </c>
      <c r="X2603" s="181">
        <f>_xll.qlCalendarAdvance(Calendar,W2603,NDays&amp;"D")</f>
        <v>57202</v>
      </c>
      <c r="Y2603" s="178">
        <v>1.9769573979207252E-2</v>
      </c>
      <c r="Z2603" s="183">
        <v>1.9692113763944974E-2</v>
      </c>
    </row>
    <row r="2604" spans="22:26" x14ac:dyDescent="0.2">
      <c r="V2604" s="180" t="str">
        <f t="shared" si="48"/>
        <v>1w</v>
      </c>
      <c r="W2604" s="177">
        <f>_xll.qlCalendarAdvance(Calendar,W2603,V2604,"f",FALSE)</f>
        <v>57207</v>
      </c>
      <c r="X2604" s="181">
        <f>_xll.qlCalendarAdvance(Calendar,W2604,NDays&amp;"D")</f>
        <v>57209</v>
      </c>
      <c r="Y2604" s="178">
        <v>1.9765142839578219E-2</v>
      </c>
      <c r="Z2604" s="183">
        <v>1.9687268595758312E-2</v>
      </c>
    </row>
    <row r="2605" spans="22:26" x14ac:dyDescent="0.2">
      <c r="V2605" s="180" t="str">
        <f t="shared" si="48"/>
        <v>1w</v>
      </c>
      <c r="W2605" s="177">
        <f>_xll.qlCalendarAdvance(Calendar,W2604,V2605,"f",FALSE)</f>
        <v>57214</v>
      </c>
      <c r="X2605" s="181">
        <f>_xll.qlCalendarAdvance(Calendar,W2605,NDays&amp;"D")</f>
        <v>57216</v>
      </c>
      <c r="Y2605" s="178">
        <v>1.9760731367976396E-2</v>
      </c>
      <c r="Z2605" s="183">
        <v>1.9682442691282276E-2</v>
      </c>
    </row>
    <row r="2606" spans="22:26" x14ac:dyDescent="0.2">
      <c r="V2606" s="180" t="str">
        <f t="shared" si="48"/>
        <v>1w</v>
      </c>
      <c r="W2606" s="177">
        <f>_xll.qlCalendarAdvance(Calendar,W2605,V2606,"f",FALSE)</f>
        <v>57221</v>
      </c>
      <c r="X2606" s="181">
        <f>_xll.qlCalendarAdvance(Calendar,W2606,NDays&amp;"D")</f>
        <v>57223</v>
      </c>
      <c r="Y2606" s="178">
        <v>1.9756339564143573E-2</v>
      </c>
      <c r="Z2606" s="183">
        <v>1.9677636050436931E-2</v>
      </c>
    </row>
    <row r="2607" spans="22:26" x14ac:dyDescent="0.2">
      <c r="V2607" s="180" t="str">
        <f t="shared" si="48"/>
        <v>1w</v>
      </c>
      <c r="W2607" s="177">
        <f>_xll.qlCalendarAdvance(Calendar,W2606,V2607,"f",FALSE)</f>
        <v>57228</v>
      </c>
      <c r="X2607" s="181">
        <f>_xll.qlCalendarAdvance(Calendar,W2607,NDays&amp;"D")</f>
        <v>57230</v>
      </c>
      <c r="Y2607" s="178">
        <v>1.9751967427821766E-2</v>
      </c>
      <c r="Z2607" s="183">
        <v>1.9672848673462084E-2</v>
      </c>
    </row>
    <row r="2608" spans="22:26" x14ac:dyDescent="0.2">
      <c r="V2608" s="180" t="str">
        <f t="shared" si="48"/>
        <v>1w</v>
      </c>
      <c r="W2608" s="177">
        <f>_xll.qlCalendarAdvance(Calendar,W2607,V2608,"f",FALSE)</f>
        <v>57235</v>
      </c>
      <c r="X2608" s="181">
        <f>_xll.qlCalendarAdvance(Calendar,W2608,NDays&amp;"D")</f>
        <v>57237</v>
      </c>
      <c r="Y2608" s="178">
        <v>1.9747614958754961E-2</v>
      </c>
      <c r="Z2608" s="183">
        <v>1.9668080560037993E-2</v>
      </c>
    </row>
    <row r="2609" spans="22:26" x14ac:dyDescent="0.2">
      <c r="V2609" s="180" t="str">
        <f t="shared" si="48"/>
        <v>1w</v>
      </c>
      <c r="W2609" s="177">
        <f>_xll.qlCalendarAdvance(Calendar,W2608,V2609,"f",FALSE)</f>
        <v>57242</v>
      </c>
      <c r="X2609" s="181">
        <f>_xll.qlCalendarAdvance(Calendar,W2609,NDays&amp;"D")</f>
        <v>57244</v>
      </c>
      <c r="Y2609" s="178">
        <v>1.9743282156688243E-2</v>
      </c>
      <c r="Z2609" s="183">
        <v>1.9663331710324528E-2</v>
      </c>
    </row>
    <row r="2610" spans="22:26" x14ac:dyDescent="0.2">
      <c r="V2610" s="180" t="str">
        <f t="shared" si="48"/>
        <v>1w</v>
      </c>
      <c r="W2610" s="177">
        <f>_xll.qlCalendarAdvance(Calendar,W2609,V2610,"f",FALSE)</f>
        <v>57249</v>
      </c>
      <c r="X2610" s="181">
        <f>_xll.qlCalendarAdvance(Calendar,W2610,NDays&amp;"D")</f>
        <v>57251</v>
      </c>
      <c r="Y2610" s="178">
        <v>1.9738969021367344E-2</v>
      </c>
      <c r="Z2610" s="183">
        <v>1.9658602124321689E-2</v>
      </c>
    </row>
    <row r="2611" spans="22:26" x14ac:dyDescent="0.2">
      <c r="V2611" s="180" t="str">
        <f t="shared" si="48"/>
        <v>1w</v>
      </c>
      <c r="W2611" s="177">
        <f>_xll.qlCalendarAdvance(Calendar,W2610,V2611,"f",FALSE)</f>
        <v>57256</v>
      </c>
      <c r="X2611" s="181">
        <f>_xll.qlCalendarAdvance(Calendar,W2611,NDays&amp;"D")</f>
        <v>57258</v>
      </c>
      <c r="Y2611" s="178">
        <v>1.9734675552539754E-2</v>
      </c>
      <c r="Z2611" s="183">
        <v>1.9653891802109413E-2</v>
      </c>
    </row>
    <row r="2612" spans="22:26" x14ac:dyDescent="0.2">
      <c r="V2612" s="180" t="str">
        <f t="shared" si="48"/>
        <v>1w</v>
      </c>
      <c r="W2612" s="177">
        <f>_xll.qlCalendarAdvance(Calendar,W2611,V2612,"f",FALSE)</f>
        <v>57263</v>
      </c>
      <c r="X2612" s="181">
        <f>_xll.qlCalendarAdvance(Calendar,W2612,NDays&amp;"D")</f>
        <v>57265</v>
      </c>
      <c r="Y2612" s="178">
        <v>1.9730401749953844E-2</v>
      </c>
      <c r="Z2612" s="183">
        <v>1.9649200743527828E-2</v>
      </c>
    </row>
    <row r="2613" spans="22:26" x14ac:dyDescent="0.2">
      <c r="V2613" s="180" t="str">
        <f t="shared" si="48"/>
        <v>1w</v>
      </c>
      <c r="W2613" s="177">
        <f>_xll.qlCalendarAdvance(Calendar,W2612,V2613,"f",FALSE)</f>
        <v>57270</v>
      </c>
      <c r="X2613" s="181">
        <f>_xll.qlCalendarAdvance(Calendar,W2613,NDays&amp;"D")</f>
        <v>57272</v>
      </c>
      <c r="Y2613" s="178">
        <v>1.9726147613358627E-2</v>
      </c>
      <c r="Z2613" s="183">
        <v>1.9644528948496998E-2</v>
      </c>
    </row>
    <row r="2614" spans="22:26" x14ac:dyDescent="0.2">
      <c r="V2614" s="180" t="str">
        <f t="shared" si="48"/>
        <v>1w</v>
      </c>
      <c r="W2614" s="177">
        <f>_xll.qlCalendarAdvance(Calendar,W2613,V2614,"f",FALSE)</f>
        <v>57277</v>
      </c>
      <c r="X2614" s="181">
        <f>_xll.qlCalendarAdvance(Calendar,W2614,NDays&amp;"D")</f>
        <v>57279</v>
      </c>
      <c r="Y2614" s="178">
        <v>1.9721913142505328E-2</v>
      </c>
      <c r="Z2614" s="183">
        <v>1.9639876417336666E-2</v>
      </c>
    </row>
    <row r="2615" spans="22:26" x14ac:dyDescent="0.2">
      <c r="V2615" s="180" t="str">
        <f t="shared" si="48"/>
        <v>1w</v>
      </c>
      <c r="W2615" s="177">
        <f>_xll.qlCalendarAdvance(Calendar,W2614,V2615,"f",FALSE)</f>
        <v>57284</v>
      </c>
      <c r="X2615" s="181">
        <f>_xll.qlCalendarAdvance(Calendar,W2615,NDays&amp;"D")</f>
        <v>57286</v>
      </c>
      <c r="Y2615" s="178">
        <v>1.9717698337146025E-2</v>
      </c>
      <c r="Z2615" s="183">
        <v>1.9635243149886961E-2</v>
      </c>
    </row>
    <row r="2616" spans="22:26" x14ac:dyDescent="0.2">
      <c r="V2616" s="180" t="str">
        <f t="shared" si="48"/>
        <v>1w</v>
      </c>
      <c r="W2616" s="177">
        <f>_xll.qlCalendarAdvance(Calendar,W2615,V2616,"f",FALSE)</f>
        <v>57291</v>
      </c>
      <c r="X2616" s="181">
        <f>_xll.qlCalendarAdvance(Calendar,W2616,NDays&amp;"D")</f>
        <v>57293</v>
      </c>
      <c r="Y2616" s="178">
        <v>1.9713503197032814E-2</v>
      </c>
      <c r="Z2616" s="183">
        <v>1.9630629146067946E-2</v>
      </c>
    </row>
    <row r="2617" spans="22:26" x14ac:dyDescent="0.2">
      <c r="V2617" s="180" t="str">
        <f t="shared" si="48"/>
        <v>1w</v>
      </c>
      <c r="W2617" s="177">
        <f>_xll.qlCalendarAdvance(Calendar,W2616,V2617,"f",FALSE)</f>
        <v>57298</v>
      </c>
      <c r="X2617" s="181">
        <f>_xll.qlCalendarAdvance(Calendar,W2617,NDays&amp;"D")</f>
        <v>57300</v>
      </c>
      <c r="Y2617" s="178">
        <v>1.9709327721920626E-2</v>
      </c>
      <c r="Z2617" s="183">
        <v>1.9626034405879622E-2</v>
      </c>
    </row>
    <row r="2618" spans="22:26" x14ac:dyDescent="0.2">
      <c r="V2618" s="180" t="str">
        <f t="shared" si="48"/>
        <v>1w</v>
      </c>
      <c r="W2618" s="177">
        <f>_xll.qlCalendarAdvance(Calendar,W2617,V2618,"f",FALSE)</f>
        <v>57305</v>
      </c>
      <c r="X2618" s="181">
        <f>_xll.qlCalendarAdvance(Calendar,W2618,NDays&amp;"D")</f>
        <v>57307</v>
      </c>
      <c r="Y2618" s="178">
        <v>1.9705171911564179E-2</v>
      </c>
      <c r="Z2618" s="183">
        <v>1.9621458929481861E-2</v>
      </c>
    </row>
    <row r="2619" spans="22:26" x14ac:dyDescent="0.2">
      <c r="V2619" s="180" t="str">
        <f t="shared" si="48"/>
        <v>1w</v>
      </c>
      <c r="W2619" s="177">
        <f>_xll.qlCalendarAdvance(Calendar,W2618,V2619,"f",FALSE)</f>
        <v>57312</v>
      </c>
      <c r="X2619" s="181">
        <f>_xll.qlCalendarAdvance(Calendar,W2619,NDays&amp;"D")</f>
        <v>57314</v>
      </c>
      <c r="Y2619" s="178">
        <v>1.9701035765720163E-2</v>
      </c>
      <c r="Z2619" s="183">
        <v>1.961690271671479E-2</v>
      </c>
    </row>
    <row r="2620" spans="22:26" x14ac:dyDescent="0.2">
      <c r="V2620" s="180" t="str">
        <f t="shared" si="48"/>
        <v>1w</v>
      </c>
      <c r="W2620" s="177">
        <f>_xll.qlCalendarAdvance(Calendar,W2619,V2620,"f",FALSE)</f>
        <v>57319</v>
      </c>
      <c r="X2620" s="181">
        <f>_xll.qlCalendarAdvance(Calendar,W2620,NDays&amp;"D")</f>
        <v>57321</v>
      </c>
      <c r="Y2620" s="178">
        <v>1.9696919284146141E-2</v>
      </c>
      <c r="Z2620" s="183">
        <v>1.961236576757841E-2</v>
      </c>
    </row>
    <row r="2621" spans="22:26" x14ac:dyDescent="0.2">
      <c r="V2621" s="180" t="str">
        <f t="shared" si="48"/>
        <v>1w</v>
      </c>
      <c r="W2621" s="177">
        <f>_xll.qlCalendarAdvance(Calendar,W2620,V2621,"f",FALSE)</f>
        <v>57326</v>
      </c>
      <c r="X2621" s="181">
        <f>_xll.qlCalendarAdvance(Calendar,W2621,NDays&amp;"D")</f>
        <v>57328</v>
      </c>
      <c r="Y2621" s="178">
        <v>1.9692822466601208E-2</v>
      </c>
      <c r="Z2621" s="183">
        <v>1.9607848082232593E-2</v>
      </c>
    </row>
    <row r="2622" spans="22:26" x14ac:dyDescent="0.2">
      <c r="V2622" s="180" t="str">
        <f t="shared" si="48"/>
        <v>1w</v>
      </c>
      <c r="W2622" s="177">
        <f>_xll.qlCalendarAdvance(Calendar,W2621,V2622,"f",FALSE)</f>
        <v>57333</v>
      </c>
      <c r="X2622" s="181">
        <f>_xll.qlCalendarAdvance(Calendar,W2622,NDays&amp;"D")</f>
        <v>57335</v>
      </c>
      <c r="Y2622" s="178">
        <v>1.9688745312844678E-2</v>
      </c>
      <c r="Z2622" s="183">
        <v>1.9603349660597402E-2</v>
      </c>
    </row>
    <row r="2623" spans="22:26" x14ac:dyDescent="0.2">
      <c r="V2623" s="180" t="str">
        <f t="shared" si="48"/>
        <v>1w</v>
      </c>
      <c r="W2623" s="177">
        <f>_xll.qlCalendarAdvance(Calendar,W2622,V2623,"f",FALSE)</f>
        <v>57341</v>
      </c>
      <c r="X2623" s="181">
        <f>_xll.qlCalendarAdvance(Calendar,W2623,NDays&amp;"D")</f>
        <v>57343</v>
      </c>
      <c r="Y2623" s="178">
        <v>1.9684625788602417E-2</v>
      </c>
      <c r="Z2623" s="183">
        <v>1.9598875997277609E-2</v>
      </c>
    </row>
    <row r="2624" spans="22:26" x14ac:dyDescent="0.2">
      <c r="V2624" s="180" t="str">
        <f t="shared" si="48"/>
        <v>1w</v>
      </c>
      <c r="W2624" s="177">
        <f>_xll.qlCalendarAdvance(Calendar,W2623,V2624,"f",FALSE)</f>
        <v>57348</v>
      </c>
      <c r="X2624" s="181">
        <f>_xll.qlCalendarAdvance(Calendar,W2624,NDays&amp;"D")</f>
        <v>57350</v>
      </c>
      <c r="Y2624" s="178">
        <v>1.9680593143083323E-2</v>
      </c>
      <c r="Z2624" s="183">
        <v>1.9594206405617598E-2</v>
      </c>
    </row>
    <row r="2625" spans="22:26" x14ac:dyDescent="0.2">
      <c r="V2625" s="180" t="str">
        <f t="shared" si="48"/>
        <v>1w</v>
      </c>
      <c r="W2625" s="177">
        <f>_xll.qlCalendarAdvance(Calendar,W2624,V2625,"f",FALSE)</f>
        <v>57355</v>
      </c>
      <c r="X2625" s="181">
        <f>_xll.qlCalendarAdvance(Calendar,W2625,NDays&amp;"D")</f>
        <v>57357</v>
      </c>
      <c r="Y2625" s="178">
        <v>1.9676580162789753E-2</v>
      </c>
      <c r="Z2625" s="183">
        <v>1.958977079616453E-2</v>
      </c>
    </row>
    <row r="2626" spans="22:26" x14ac:dyDescent="0.2">
      <c r="V2626" s="180" t="str">
        <f t="shared" si="48"/>
        <v>1w</v>
      </c>
      <c r="W2626" s="177">
        <f>_xll.qlCalendarAdvance(Calendar,W2625,V2626,"f",FALSE)</f>
        <v>57362</v>
      </c>
      <c r="X2626" s="181">
        <f>_xll.qlCalendarAdvance(Calendar,W2626,NDays&amp;"D")</f>
        <v>57364</v>
      </c>
      <c r="Y2626" s="178">
        <v>1.9672586847484293E-2</v>
      </c>
      <c r="Z2626" s="183">
        <v>1.9585354452580361E-2</v>
      </c>
    </row>
    <row r="2627" spans="22:26" x14ac:dyDescent="0.2">
      <c r="V2627" s="180" t="str">
        <f t="shared" si="48"/>
        <v>1w</v>
      </c>
      <c r="W2627" s="177">
        <f>_xll.qlCalendarAdvance(Calendar,W2626,V2627,"f",FALSE)</f>
        <v>57369</v>
      </c>
      <c r="X2627" s="181">
        <f>_xll.qlCalendarAdvance(Calendar,W2627,NDays&amp;"D")</f>
        <v>57371</v>
      </c>
      <c r="Y2627" s="178">
        <v>1.9668613196932801E-2</v>
      </c>
      <c r="Z2627" s="183">
        <v>1.9580957374918384E-2</v>
      </c>
    </row>
    <row r="2628" spans="22:26" x14ac:dyDescent="0.2">
      <c r="V2628" s="180" t="str">
        <f t="shared" si="48"/>
        <v>1w</v>
      </c>
      <c r="W2628" s="177">
        <f>_xll.qlCalendarAdvance(Calendar,W2627,V2628,"f",FALSE)</f>
        <v>57376</v>
      </c>
      <c r="X2628" s="181">
        <f>_xll.qlCalendarAdvance(Calendar,W2628,NDays&amp;"D")</f>
        <v>57378</v>
      </c>
      <c r="Y2628" s="178">
        <v>1.9664659210900479E-2</v>
      </c>
      <c r="Z2628" s="183">
        <v>1.9576579563125307E-2</v>
      </c>
    </row>
    <row r="2629" spans="22:26" x14ac:dyDescent="0.2">
      <c r="V2629" s="180" t="str">
        <f t="shared" si="48"/>
        <v>1w</v>
      </c>
      <c r="W2629" s="177">
        <f>_xll.qlCalendarAdvance(Calendar,W2628,V2629,"f",FALSE)</f>
        <v>57383</v>
      </c>
      <c r="X2629" s="181">
        <f>_xll.qlCalendarAdvance(Calendar,W2629,NDays&amp;"D")</f>
        <v>57385</v>
      </c>
      <c r="Y2629" s="178">
        <v>1.9660724889154269E-2</v>
      </c>
      <c r="Z2629" s="183">
        <v>1.9572221017227776E-2</v>
      </c>
    </row>
    <row r="2630" spans="22:26" x14ac:dyDescent="0.2">
      <c r="V2630" s="180" t="str">
        <f t="shared" si="48"/>
        <v>1w</v>
      </c>
      <c r="W2630" s="177">
        <f>_xll.qlCalendarAdvance(Calendar,W2629,V2630,"f",FALSE)</f>
        <v>57390</v>
      </c>
      <c r="X2630" s="181">
        <f>_xll.qlCalendarAdvance(Calendar,W2630,NDays&amp;"D")</f>
        <v>57392</v>
      </c>
      <c r="Y2630" s="178">
        <v>1.9656810231462419E-2</v>
      </c>
      <c r="Z2630" s="183">
        <v>1.9567881737199144E-2</v>
      </c>
    </row>
    <row r="2631" spans="22:26" x14ac:dyDescent="0.2">
      <c r="V2631" s="180" t="str">
        <f t="shared" si="48"/>
        <v>1w</v>
      </c>
      <c r="W2631" s="177">
        <f>_xll.qlCalendarAdvance(Calendar,W2630,V2631,"f",FALSE)</f>
        <v>57397</v>
      </c>
      <c r="X2631" s="181">
        <f>_xll.qlCalendarAdvance(Calendar,W2631,NDays&amp;"D")</f>
        <v>57399</v>
      </c>
      <c r="Y2631" s="178">
        <v>1.9652915237594493E-2</v>
      </c>
      <c r="Z2631" s="183">
        <v>1.9563561723066059E-2</v>
      </c>
    </row>
    <row r="2632" spans="22:26" x14ac:dyDescent="0.2">
      <c r="V2632" s="180" t="str">
        <f t="shared" si="48"/>
        <v>1w</v>
      </c>
      <c r="W2632" s="177">
        <f>_xll.qlCalendarAdvance(Calendar,W2631,V2632,"f",FALSE)</f>
        <v>57404</v>
      </c>
      <c r="X2632" s="181">
        <f>_xll.qlCalendarAdvance(Calendar,W2632,NDays&amp;"D")</f>
        <v>57406</v>
      </c>
      <c r="Y2632" s="178">
        <v>1.9649039907320916E-2</v>
      </c>
      <c r="Z2632" s="183">
        <v>1.9559260974775228E-2</v>
      </c>
    </row>
    <row r="2633" spans="22:26" x14ac:dyDescent="0.2">
      <c r="V2633" s="180" t="str">
        <f t="shared" si="48"/>
        <v>1w</v>
      </c>
      <c r="W2633" s="177">
        <f>_xll.qlCalendarAdvance(Calendar,W2632,V2633,"f",FALSE)</f>
        <v>57411</v>
      </c>
      <c r="X2633" s="181">
        <f>_xll.qlCalendarAdvance(Calendar,W2633,NDays&amp;"D")</f>
        <v>57413</v>
      </c>
      <c r="Y2633" s="178">
        <v>1.9645184240412769E-2</v>
      </c>
      <c r="Z2633" s="183">
        <v>1.9554979492406588E-2</v>
      </c>
    </row>
    <row r="2634" spans="22:26" x14ac:dyDescent="0.2">
      <c r="V2634" s="180" t="str">
        <f t="shared" si="48"/>
        <v>1w</v>
      </c>
      <c r="W2634" s="177">
        <f>_xll.qlCalendarAdvance(Calendar,W2633,V2634,"f",FALSE)</f>
        <v>57418</v>
      </c>
      <c r="X2634" s="181">
        <f>_xll.qlCalendarAdvance(Calendar,W2634,NDays&amp;"D")</f>
        <v>57420</v>
      </c>
      <c r="Y2634" s="178">
        <v>1.9641348236643534E-2</v>
      </c>
      <c r="Z2634" s="183">
        <v>1.9550717275880203E-2</v>
      </c>
    </row>
    <row r="2635" spans="22:26" x14ac:dyDescent="0.2">
      <c r="V2635" s="180" t="str">
        <f t="shared" si="48"/>
        <v>1w</v>
      </c>
      <c r="W2635" s="177">
        <f>_xll.qlCalendarAdvance(Calendar,W2634,V2635,"f",FALSE)</f>
        <v>57425</v>
      </c>
      <c r="X2635" s="181">
        <f>_xll.qlCalendarAdvance(Calendar,W2635,NDays&amp;"D")</f>
        <v>57427</v>
      </c>
      <c r="Y2635" s="178">
        <v>1.9637531895787121E-2</v>
      </c>
      <c r="Z2635" s="183">
        <v>1.9546474325222718E-2</v>
      </c>
    </row>
    <row r="2636" spans="22:26" x14ac:dyDescent="0.2">
      <c r="V2636" s="180" t="str">
        <f t="shared" si="48"/>
        <v>1w</v>
      </c>
      <c r="W2636" s="177">
        <f>_xll.qlCalendarAdvance(Calendar,W2635,V2636,"f",FALSE)</f>
        <v>57432</v>
      </c>
      <c r="X2636" s="181">
        <f>_xll.qlCalendarAdvance(Calendar,W2636,NDays&amp;"D")</f>
        <v>57434</v>
      </c>
      <c r="Y2636" s="178">
        <v>1.9632914885881196E-2</v>
      </c>
      <c r="Z2636" s="183">
        <v>1.9542250640407488E-2</v>
      </c>
    </row>
    <row r="2637" spans="22:26" x14ac:dyDescent="0.2">
      <c r="V2637" s="180" t="str">
        <f t="shared" si="48"/>
        <v>1w</v>
      </c>
      <c r="W2637" s="177">
        <f>_xll.qlCalendarAdvance(Calendar,W2636,V2637,"f",FALSE)</f>
        <v>57439</v>
      </c>
      <c r="X2637" s="181">
        <f>_xll.qlCalendarAdvance(Calendar,W2637,NDays&amp;"D")</f>
        <v>57441</v>
      </c>
      <c r="Y2637" s="178">
        <v>1.9629958201913433E-2</v>
      </c>
      <c r="Z2637" s="183">
        <v>1.9538046221541094E-2</v>
      </c>
    </row>
    <row r="2638" spans="22:26" x14ac:dyDescent="0.2">
      <c r="V2638" s="180" t="str">
        <f t="shared" si="48"/>
        <v>1w</v>
      </c>
      <c r="W2638" s="177">
        <f>_xll.qlCalendarAdvance(Calendar,W2637,V2638,"f",FALSE)</f>
        <v>57446</v>
      </c>
      <c r="X2638" s="181">
        <f>_xll.qlCalendarAdvance(Calendar,W2638,NDays&amp;"D")</f>
        <v>57448</v>
      </c>
      <c r="Y2638" s="178">
        <v>1.9626476944538819E-2</v>
      </c>
      <c r="Z2638" s="183">
        <v>1.9533861068463665E-2</v>
      </c>
    </row>
    <row r="2639" spans="22:26" x14ac:dyDescent="0.2">
      <c r="V2639" s="180" t="str">
        <f t="shared" si="48"/>
        <v>1w</v>
      </c>
      <c r="W2639" s="177">
        <f>_xll.qlCalendarAdvance(Calendar,W2638,V2639,"f",FALSE)</f>
        <v>57453</v>
      </c>
      <c r="X2639" s="181">
        <f>_xll.qlCalendarAdvance(Calendar,W2639,NDays&amp;"D")</f>
        <v>57459</v>
      </c>
      <c r="Y2639" s="178">
        <v>1.9619780564569169E-2</v>
      </c>
      <c r="Z2639" s="183">
        <v>1.9526856387122038E-2</v>
      </c>
    </row>
    <row r="2640" spans="22:26" x14ac:dyDescent="0.2">
      <c r="V2640" s="180" t="str">
        <f t="shared" si="48"/>
        <v>1w</v>
      </c>
      <c r="W2640" s="177">
        <f>_xll.qlCalendarAdvance(Calendar,W2639,V2640,"f",FALSE)</f>
        <v>57460</v>
      </c>
      <c r="X2640" s="181">
        <f>_xll.qlCalendarAdvance(Calendar,W2640,NDays&amp;"D")</f>
        <v>57462</v>
      </c>
      <c r="Y2640" s="178">
        <v>1.9618745127363033E-2</v>
      </c>
      <c r="Z2640" s="183">
        <v>1.9525548559942152E-2</v>
      </c>
    </row>
    <row r="2641" spans="22:26" x14ac:dyDescent="0.2">
      <c r="V2641" s="180" t="str">
        <f t="shared" si="48"/>
        <v>1w</v>
      </c>
      <c r="W2641" s="177">
        <f>_xll.qlCalendarAdvance(Calendar,W2640,V2641,"f",FALSE)</f>
        <v>57467</v>
      </c>
      <c r="X2641" s="181">
        <f>_xll.qlCalendarAdvance(Calendar,W2641,NDays&amp;"D")</f>
        <v>57469</v>
      </c>
      <c r="Y2641" s="178">
        <v>1.9615046759300443E-2</v>
      </c>
      <c r="Z2641" s="183">
        <v>1.9521421204471423E-2</v>
      </c>
    </row>
    <row r="2642" spans="22:26" x14ac:dyDescent="0.2">
      <c r="V2642" s="180" t="str">
        <f t="shared" si="48"/>
        <v>1w</v>
      </c>
      <c r="W2642" s="177">
        <f>_xll.qlCalendarAdvance(Calendar,W2641,V2642,"f",FALSE)</f>
        <v>57474</v>
      </c>
      <c r="X2642" s="181">
        <f>_xll.qlCalendarAdvance(Calendar,W2642,NDays&amp;"D")</f>
        <v>57476</v>
      </c>
      <c r="Y2642" s="178">
        <v>1.9611368052600529E-2</v>
      </c>
      <c r="Z2642" s="183">
        <v>1.9517313114869594E-2</v>
      </c>
    </row>
    <row r="2643" spans="22:26" x14ac:dyDescent="0.2">
      <c r="V2643" s="180" t="str">
        <f t="shared" si="48"/>
        <v>1w</v>
      </c>
      <c r="W2643" s="177">
        <f>_xll.qlCalendarAdvance(Calendar,W2642,V2643,"f",FALSE)</f>
        <v>57481</v>
      </c>
      <c r="X2643" s="181">
        <f>_xll.qlCalendarAdvance(Calendar,W2643,NDays&amp;"D")</f>
        <v>57483</v>
      </c>
      <c r="Y2643" s="178">
        <v>1.9607709007046566E-2</v>
      </c>
      <c r="Z2643" s="183">
        <v>1.9513224291110021E-2</v>
      </c>
    </row>
    <row r="2644" spans="22:26" x14ac:dyDescent="0.2">
      <c r="V2644" s="180" t="str">
        <f t="shared" si="48"/>
        <v>1w</v>
      </c>
      <c r="W2644" s="177">
        <f>_xll.qlCalendarAdvance(Calendar,W2643,V2644,"f",FALSE)</f>
        <v>57488</v>
      </c>
      <c r="X2644" s="181">
        <f>_xll.qlCalendarAdvance(Calendar,W2644,NDays&amp;"D")</f>
        <v>57490</v>
      </c>
      <c r="Y2644" s="178">
        <v>1.9604069622423146E-2</v>
      </c>
      <c r="Z2644" s="183">
        <v>1.9509154733192702E-2</v>
      </c>
    </row>
    <row r="2645" spans="22:26" x14ac:dyDescent="0.2">
      <c r="V2645" s="180" t="str">
        <f t="shared" ref="V2645:V2708" si="49">V2644</f>
        <v>1w</v>
      </c>
      <c r="W2645" s="177">
        <f>_xll.qlCalendarAdvance(Calendar,W2644,V2645,"f",FALSE)</f>
        <v>57495</v>
      </c>
      <c r="X2645" s="181">
        <f>_xll.qlCalendarAdvance(Calendar,W2645,NDays&amp;"D")</f>
        <v>57497</v>
      </c>
      <c r="Y2645" s="178">
        <v>1.9600449898515504E-2</v>
      </c>
      <c r="Z2645" s="183">
        <v>1.9505104441144283E-2</v>
      </c>
    </row>
    <row r="2646" spans="22:26" x14ac:dyDescent="0.2">
      <c r="V2646" s="180" t="str">
        <f t="shared" si="49"/>
        <v>1w</v>
      </c>
      <c r="W2646" s="177">
        <f>_xll.qlCalendarAdvance(Calendar,W2645,V2646,"f",FALSE)</f>
        <v>57502</v>
      </c>
      <c r="X2646" s="181">
        <f>_xll.qlCalendarAdvance(Calendar,W2646,NDays&amp;"D")</f>
        <v>57504</v>
      </c>
      <c r="Y2646" s="178">
        <v>1.9596849835110845E-2</v>
      </c>
      <c r="Z2646" s="183">
        <v>1.9501073414911474E-2</v>
      </c>
    </row>
    <row r="2647" spans="22:26" x14ac:dyDescent="0.2">
      <c r="V2647" s="180" t="str">
        <f t="shared" si="49"/>
        <v>1w</v>
      </c>
      <c r="W2647" s="177">
        <f>_xll.qlCalendarAdvance(Calendar,W2646,V2647,"f",FALSE)</f>
        <v>57509</v>
      </c>
      <c r="X2647" s="181">
        <f>_xll.qlCalendarAdvance(Calendar,W2647,NDays&amp;"D")</f>
        <v>57511</v>
      </c>
      <c r="Y2647" s="178">
        <v>1.9593269431996366E-2</v>
      </c>
      <c r="Z2647" s="183">
        <v>1.949706165457421E-2</v>
      </c>
    </row>
    <row r="2648" spans="22:26" x14ac:dyDescent="0.2">
      <c r="V2648" s="180" t="str">
        <f t="shared" si="49"/>
        <v>1w</v>
      </c>
      <c r="W2648" s="177">
        <f>_xll.qlCalendarAdvance(Calendar,W2647,V2648,"f",FALSE)</f>
        <v>57516</v>
      </c>
      <c r="X2648" s="181">
        <f>_xll.qlCalendarAdvance(Calendar,W2648,NDays&amp;"D")</f>
        <v>57518</v>
      </c>
      <c r="Y2648" s="178">
        <v>1.9589708688961444E-2</v>
      </c>
      <c r="Z2648" s="183">
        <v>1.9493069160052556E-2</v>
      </c>
    </row>
    <row r="2649" spans="22:26" x14ac:dyDescent="0.2">
      <c r="V2649" s="180" t="str">
        <f t="shared" si="49"/>
        <v>1w</v>
      </c>
      <c r="W2649" s="177">
        <f>_xll.qlCalendarAdvance(Calendar,W2648,V2649,"f",FALSE)</f>
        <v>57523</v>
      </c>
      <c r="X2649" s="181">
        <f>_xll.qlCalendarAdvance(Calendar,W2649,NDays&amp;"D")</f>
        <v>57525</v>
      </c>
      <c r="Y2649" s="178">
        <v>1.9585300210854015E-2</v>
      </c>
      <c r="Z2649" s="183">
        <v>1.9489095931373157E-2</v>
      </c>
    </row>
    <row r="2650" spans="22:26" x14ac:dyDescent="0.2">
      <c r="V2650" s="180" t="str">
        <f t="shared" si="49"/>
        <v>1w</v>
      </c>
      <c r="W2650" s="177">
        <f>_xll.qlCalendarAdvance(Calendar,W2649,V2650,"f",FALSE)</f>
        <v>57530</v>
      </c>
      <c r="X2650" s="181">
        <f>_xll.qlCalendarAdvance(Calendar,W2650,NDays&amp;"D")</f>
        <v>57532</v>
      </c>
      <c r="Y2650" s="178">
        <v>1.958264618229302E-2</v>
      </c>
      <c r="Z2650" s="183">
        <v>1.9485141968536013E-2</v>
      </c>
    </row>
    <row r="2651" spans="22:26" x14ac:dyDescent="0.2">
      <c r="V2651" s="180" t="str">
        <f t="shared" si="49"/>
        <v>1w</v>
      </c>
      <c r="W2651" s="177">
        <f>_xll.qlCalendarAdvance(Calendar,W2650,V2651,"f",FALSE)</f>
        <v>57537</v>
      </c>
      <c r="X2651" s="181">
        <f>_xll.qlCalendarAdvance(Calendar,W2651,NDays&amp;"D")</f>
        <v>57539</v>
      </c>
      <c r="Y2651" s="178">
        <v>1.9579144418242628E-2</v>
      </c>
      <c r="Z2651" s="183">
        <v>1.9481207271567769E-2</v>
      </c>
    </row>
    <row r="2652" spans="22:26" x14ac:dyDescent="0.2">
      <c r="V2652" s="180" t="str">
        <f t="shared" si="49"/>
        <v>1w</v>
      </c>
      <c r="W2652" s="177">
        <f>_xll.qlCalendarAdvance(Calendar,W2651,V2652,"f",FALSE)</f>
        <v>57544</v>
      </c>
      <c r="X2652" s="181">
        <f>_xll.qlCalendarAdvance(Calendar,W2652,NDays&amp;"D")</f>
        <v>57546</v>
      </c>
      <c r="Y2652" s="178">
        <v>1.9575662313439549E-2</v>
      </c>
      <c r="Z2652" s="183">
        <v>1.9477291840388489E-2</v>
      </c>
    </row>
    <row r="2653" spans="22:26" x14ac:dyDescent="0.2">
      <c r="V2653" s="180" t="str">
        <f t="shared" si="49"/>
        <v>1w</v>
      </c>
      <c r="W2653" s="177">
        <f>_xll.qlCalendarAdvance(Calendar,W2652,V2653,"f",FALSE)</f>
        <v>57551</v>
      </c>
      <c r="X2653" s="181">
        <f>_xll.qlCalendarAdvance(Calendar,W2653,NDays&amp;"D")</f>
        <v>57553</v>
      </c>
      <c r="Y2653" s="178">
        <v>1.9572199867678816E-2</v>
      </c>
      <c r="Z2653" s="183">
        <v>1.9473395675051464E-2</v>
      </c>
    </row>
    <row r="2654" spans="22:26" x14ac:dyDescent="0.2">
      <c r="V2654" s="180" t="str">
        <f t="shared" si="49"/>
        <v>1w</v>
      </c>
      <c r="W2654" s="177">
        <f>_xll.qlCalendarAdvance(Calendar,W2653,V2654,"f",FALSE)</f>
        <v>57558</v>
      </c>
      <c r="X2654" s="181">
        <f>_xll.qlCalendarAdvance(Calendar,W2654,NDays&amp;"D")</f>
        <v>57560</v>
      </c>
      <c r="Y2654" s="178">
        <v>1.9568757080756349E-2</v>
      </c>
      <c r="Z2654" s="183">
        <v>1.9469518775556693E-2</v>
      </c>
    </row>
    <row r="2655" spans="22:26" x14ac:dyDescent="0.2">
      <c r="V2655" s="180" t="str">
        <f t="shared" si="49"/>
        <v>1w</v>
      </c>
      <c r="W2655" s="177">
        <f>_xll.qlCalendarAdvance(Calendar,W2654,V2655,"f",FALSE)</f>
        <v>57565</v>
      </c>
      <c r="X2655" s="181">
        <f>_xll.qlCalendarAdvance(Calendar,W2655,NDays&amp;"D")</f>
        <v>57567</v>
      </c>
      <c r="Y2655" s="178">
        <v>1.9565333952468709E-2</v>
      </c>
      <c r="Z2655" s="183">
        <v>1.9465661141904178E-2</v>
      </c>
    </row>
    <row r="2656" spans="22:26" x14ac:dyDescent="0.2">
      <c r="V2656" s="180" t="str">
        <f t="shared" si="49"/>
        <v>1w</v>
      </c>
      <c r="W2656" s="177">
        <f>_xll.qlCalendarAdvance(Calendar,W2655,V2656,"f",FALSE)</f>
        <v>57572</v>
      </c>
      <c r="X2656" s="181">
        <f>_xll.qlCalendarAdvance(Calendar,W2656,NDays&amp;"D")</f>
        <v>57574</v>
      </c>
      <c r="Y2656" s="178">
        <v>1.9561930482614641E-2</v>
      </c>
      <c r="Z2656" s="183">
        <v>1.9461822774067272E-2</v>
      </c>
    </row>
    <row r="2657" spans="22:26" x14ac:dyDescent="0.2">
      <c r="V2657" s="180" t="str">
        <f t="shared" si="49"/>
        <v>1w</v>
      </c>
      <c r="W2657" s="177">
        <f>_xll.qlCalendarAdvance(Calendar,W2656,V2657,"f",FALSE)</f>
        <v>57579</v>
      </c>
      <c r="X2657" s="181">
        <f>_xll.qlCalendarAdvance(Calendar,W2657,NDays&amp;"D")</f>
        <v>57581</v>
      </c>
      <c r="Y2657" s="178">
        <v>1.9558546670993764E-2</v>
      </c>
      <c r="Z2657" s="183">
        <v>1.9458003672072621E-2</v>
      </c>
    </row>
    <row r="2658" spans="22:26" x14ac:dyDescent="0.2">
      <c r="V2658" s="180" t="str">
        <f t="shared" si="49"/>
        <v>1w</v>
      </c>
      <c r="W2658" s="177">
        <f>_xll.qlCalendarAdvance(Calendar,W2657,V2658,"f",FALSE)</f>
        <v>57586</v>
      </c>
      <c r="X2658" s="181">
        <f>_xll.qlCalendarAdvance(Calendar,W2658,NDays&amp;"D")</f>
        <v>57588</v>
      </c>
      <c r="Y2658" s="178">
        <v>1.9554282219744343E-2</v>
      </c>
      <c r="Z2658" s="183">
        <v>1.9454203835866934E-2</v>
      </c>
    </row>
    <row r="2659" spans="22:26" x14ac:dyDescent="0.2">
      <c r="V2659" s="180" t="str">
        <f t="shared" si="49"/>
        <v>1w</v>
      </c>
      <c r="W2659" s="177">
        <f>_xll.qlCalendarAdvance(Calendar,W2658,V2659,"f",FALSE)</f>
        <v>57593</v>
      </c>
      <c r="X2659" s="181">
        <f>_xll.qlCalendarAdvance(Calendar,W2659,NDays&amp;"D")</f>
        <v>57595</v>
      </c>
      <c r="Y2659" s="178">
        <v>1.9551838021654173E-2</v>
      </c>
      <c r="Z2659" s="183">
        <v>1.9450423265556793E-2</v>
      </c>
    </row>
    <row r="2660" spans="22:26" x14ac:dyDescent="0.2">
      <c r="V2660" s="180" t="str">
        <f t="shared" si="49"/>
        <v>1w</v>
      </c>
      <c r="W2660" s="177">
        <f>_xll.qlCalendarAdvance(Calendar,W2659,V2660,"f",FALSE)</f>
        <v>57600</v>
      </c>
      <c r="X2660" s="181">
        <f>_xll.qlCalendarAdvance(Calendar,W2660,NDays&amp;"D")</f>
        <v>57602</v>
      </c>
      <c r="Y2660" s="178">
        <v>1.9548513183540353E-2</v>
      </c>
      <c r="Z2660" s="183">
        <v>1.9446661961035616E-2</v>
      </c>
    </row>
    <row r="2661" spans="22:26" x14ac:dyDescent="0.2">
      <c r="V2661" s="180" t="str">
        <f t="shared" si="49"/>
        <v>1w</v>
      </c>
      <c r="W2661" s="177">
        <f>_xll.qlCalendarAdvance(Calendar,W2660,V2661,"f",FALSE)</f>
        <v>57607</v>
      </c>
      <c r="X2661" s="181">
        <f>_xll.qlCalendarAdvance(Calendar,W2661,NDays&amp;"D")</f>
        <v>57609</v>
      </c>
      <c r="Y2661" s="178">
        <v>1.9545208002869074E-2</v>
      </c>
      <c r="Z2661" s="183">
        <v>1.9442919922330049E-2</v>
      </c>
    </row>
    <row r="2662" spans="22:26" x14ac:dyDescent="0.2">
      <c r="V2662" s="180" t="str">
        <f t="shared" si="49"/>
        <v>1w</v>
      </c>
      <c r="W2662" s="177">
        <f>_xll.qlCalendarAdvance(Calendar,W2661,V2662,"f",FALSE)</f>
        <v>57614</v>
      </c>
      <c r="X2662" s="181">
        <f>_xll.qlCalendarAdvance(Calendar,W2662,NDays&amp;"D")</f>
        <v>57616</v>
      </c>
      <c r="Y2662" s="178">
        <v>1.9541922479445396E-2</v>
      </c>
      <c r="Z2662" s="183">
        <v>1.9439197149440091E-2</v>
      </c>
    </row>
    <row r="2663" spans="22:26" x14ac:dyDescent="0.2">
      <c r="V2663" s="180" t="str">
        <f t="shared" si="49"/>
        <v>1w</v>
      </c>
      <c r="W2663" s="177">
        <f>_xll.qlCalendarAdvance(Calendar,W2662,V2663,"f",FALSE)</f>
        <v>57621</v>
      </c>
      <c r="X2663" s="181">
        <f>_xll.qlCalendarAdvance(Calendar,W2663,NDays&amp;"D")</f>
        <v>57623</v>
      </c>
      <c r="Y2663" s="178">
        <v>1.953865661307547E-2</v>
      </c>
      <c r="Z2663" s="183">
        <v>1.9435493642339097E-2</v>
      </c>
    </row>
    <row r="2664" spans="22:26" x14ac:dyDescent="0.2">
      <c r="V2664" s="180" t="str">
        <f t="shared" si="49"/>
        <v>1w</v>
      </c>
      <c r="W2664" s="177">
        <f>_xll.qlCalendarAdvance(Calendar,W2663,V2664,"f",FALSE)</f>
        <v>57628</v>
      </c>
      <c r="X2664" s="181">
        <f>_xll.qlCalendarAdvance(Calendar,W2664,NDays&amp;"D")</f>
        <v>57630</v>
      </c>
      <c r="Y2664" s="178">
        <v>1.953541040356762E-2</v>
      </c>
      <c r="Z2664" s="183">
        <v>1.9431809401107003E-2</v>
      </c>
    </row>
    <row r="2665" spans="22:26" x14ac:dyDescent="0.2">
      <c r="V2665" s="180" t="str">
        <f t="shared" si="49"/>
        <v>1w</v>
      </c>
      <c r="W2665" s="177">
        <f>_xll.qlCalendarAdvance(Calendar,W2664,V2665,"f",FALSE)</f>
        <v>57635</v>
      </c>
      <c r="X2665" s="181">
        <f>_xll.qlCalendarAdvance(Calendar,W2665,NDays&amp;"D")</f>
        <v>57637</v>
      </c>
      <c r="Y2665" s="178">
        <v>1.9532183850730175E-2</v>
      </c>
      <c r="Z2665" s="183">
        <v>1.9428144425637228E-2</v>
      </c>
    </row>
    <row r="2666" spans="22:26" x14ac:dyDescent="0.2">
      <c r="V2666" s="180" t="str">
        <f t="shared" si="49"/>
        <v>1w</v>
      </c>
      <c r="W2666" s="177">
        <f>_xll.qlCalendarAdvance(Calendar,W2665,V2666,"f",FALSE)</f>
        <v>57642</v>
      </c>
      <c r="X2666" s="181">
        <f>_xll.qlCalendarAdvance(Calendar,W2666,NDays&amp;"D")</f>
        <v>57644</v>
      </c>
      <c r="Y2666" s="178">
        <v>1.9528976954372772E-2</v>
      </c>
      <c r="Z2666" s="183">
        <v>1.9424498716036354E-2</v>
      </c>
    </row>
    <row r="2667" spans="22:26" x14ac:dyDescent="0.2">
      <c r="V2667" s="180" t="str">
        <f t="shared" si="49"/>
        <v>1w</v>
      </c>
      <c r="W2667" s="177">
        <f>_xll.qlCalendarAdvance(Calendar,W2666,V2667,"f",FALSE)</f>
        <v>57649</v>
      </c>
      <c r="X2667" s="181">
        <f>_xll.qlCalendarAdvance(Calendar,W2667,NDays&amp;"D")</f>
        <v>57651</v>
      </c>
      <c r="Y2667" s="178">
        <v>1.9525789714306352E-2</v>
      </c>
      <c r="Z2667" s="183">
        <v>1.9420872272171152E-2</v>
      </c>
    </row>
    <row r="2668" spans="22:26" x14ac:dyDescent="0.2">
      <c r="V2668" s="180" t="str">
        <f t="shared" si="49"/>
        <v>1w</v>
      </c>
      <c r="W2668" s="177">
        <f>_xll.qlCalendarAdvance(Calendar,W2667,V2668,"f",FALSE)</f>
        <v>57656</v>
      </c>
      <c r="X2668" s="181">
        <f>_xll.qlCalendarAdvance(Calendar,W2668,NDays&amp;"D")</f>
        <v>57658</v>
      </c>
      <c r="Y2668" s="178">
        <v>1.9522622130344031E-2</v>
      </c>
      <c r="Z2668" s="183">
        <v>1.9417265094174851E-2</v>
      </c>
    </row>
    <row r="2669" spans="22:26" x14ac:dyDescent="0.2">
      <c r="V2669" s="180" t="str">
        <f t="shared" si="49"/>
        <v>1w</v>
      </c>
      <c r="W2669" s="177">
        <f>_xll.qlCalendarAdvance(Calendar,W2668,V2669,"f",FALSE)</f>
        <v>57663</v>
      </c>
      <c r="X2669" s="181">
        <f>_xll.qlCalendarAdvance(Calendar,W2669,NDays&amp;"D")</f>
        <v>57665</v>
      </c>
      <c r="Y2669" s="178">
        <v>1.9519474202298059E-2</v>
      </c>
      <c r="Z2669" s="183">
        <v>1.9413677181940869E-2</v>
      </c>
    </row>
    <row r="2670" spans="22:26" x14ac:dyDescent="0.2">
      <c r="V2670" s="180" t="str">
        <f t="shared" si="49"/>
        <v>1w</v>
      </c>
      <c r="W2670" s="177">
        <f>_xll.qlCalendarAdvance(Calendar,W2669,V2670,"f",FALSE)</f>
        <v>57670</v>
      </c>
      <c r="X2670" s="181">
        <f>_xll.qlCalendarAdvance(Calendar,W2670,NDays&amp;"D")</f>
        <v>57672</v>
      </c>
      <c r="Y2670" s="178">
        <v>1.9516345929983518E-2</v>
      </c>
      <c r="Z2670" s="183">
        <v>1.9410108535575787E-2</v>
      </c>
    </row>
    <row r="2671" spans="22:26" x14ac:dyDescent="0.2">
      <c r="V2671" s="180" t="str">
        <f t="shared" si="49"/>
        <v>1w</v>
      </c>
      <c r="W2671" s="177">
        <f>_xll.qlCalendarAdvance(Calendar,W2670,V2671,"f",FALSE)</f>
        <v>57677</v>
      </c>
      <c r="X2671" s="181">
        <f>_xll.qlCalendarAdvance(Calendar,W2671,NDays&amp;"D")</f>
        <v>57679</v>
      </c>
      <c r="Y2671" s="178">
        <v>1.9512289028872035E-2</v>
      </c>
      <c r="Z2671" s="183">
        <v>1.9406559154973024E-2</v>
      </c>
    </row>
    <row r="2672" spans="22:26" x14ac:dyDescent="0.2">
      <c r="V2672" s="180" t="str">
        <f t="shared" si="49"/>
        <v>1w</v>
      </c>
      <c r="W2672" s="177">
        <f>_xll.qlCalendarAdvance(Calendar,W2671,V2672,"f",FALSE)</f>
        <v>57684</v>
      </c>
      <c r="X2672" s="181">
        <f>_xll.qlCalendarAdvance(Calendar,W2672,NDays&amp;"D")</f>
        <v>57686</v>
      </c>
      <c r="Y2672" s="178">
        <v>1.9510148351812747E-2</v>
      </c>
      <c r="Z2672" s="183">
        <v>1.9403029040159225E-2</v>
      </c>
    </row>
    <row r="2673" spans="22:26" x14ac:dyDescent="0.2">
      <c r="V2673" s="180" t="str">
        <f t="shared" si="49"/>
        <v>1w</v>
      </c>
      <c r="W2673" s="177">
        <f>_xll.qlCalendarAdvance(Calendar,W2672,V2673,"f",FALSE)</f>
        <v>57691</v>
      </c>
      <c r="X2673" s="181">
        <f>_xll.qlCalendarAdvance(Calendar,W2673,NDays&amp;"D")</f>
        <v>57693</v>
      </c>
      <c r="Y2673" s="178">
        <v>1.9507079045591031E-2</v>
      </c>
      <c r="Z2673" s="183">
        <v>1.9399518191134391E-2</v>
      </c>
    </row>
    <row r="2674" spans="22:26" x14ac:dyDescent="0.2">
      <c r="V2674" s="180" t="str">
        <f t="shared" si="49"/>
        <v>1w</v>
      </c>
      <c r="W2674" s="177">
        <f>_xll.qlCalendarAdvance(Calendar,W2673,V2674,"f",FALSE)</f>
        <v>57698</v>
      </c>
      <c r="X2674" s="181">
        <f>_xll.qlCalendarAdvance(Calendar,W2674,NDays&amp;"D")</f>
        <v>57700</v>
      </c>
      <c r="Y2674" s="178">
        <v>1.9504029394370431E-2</v>
      </c>
      <c r="Z2674" s="183">
        <v>1.9396026607951811E-2</v>
      </c>
    </row>
    <row r="2675" spans="22:26" x14ac:dyDescent="0.2">
      <c r="V2675" s="180" t="str">
        <f t="shared" si="49"/>
        <v>1w</v>
      </c>
      <c r="W2675" s="177">
        <f>_xll.qlCalendarAdvance(Calendar,W2674,V2675,"f",FALSE)</f>
        <v>57706</v>
      </c>
      <c r="X2675" s="181">
        <f>_xll.qlCalendarAdvance(Calendar,W2675,NDays&amp;"D")</f>
        <v>57710</v>
      </c>
      <c r="Y2675" s="178">
        <v>1.9499063543956731E-2</v>
      </c>
      <c r="Z2675" s="183">
        <v>1.9390796547247291E-2</v>
      </c>
    </row>
    <row r="2676" spans="22:26" x14ac:dyDescent="0.2">
      <c r="V2676" s="180" t="str">
        <f t="shared" si="49"/>
        <v>1w</v>
      </c>
      <c r="W2676" s="177">
        <f>_xll.qlCalendarAdvance(Calendar,W2675,V2676,"f",FALSE)</f>
        <v>57713</v>
      </c>
      <c r="X2676" s="181">
        <f>_xll.qlCalendarAdvance(Calendar,W2676,NDays&amp;"D")</f>
        <v>57717</v>
      </c>
      <c r="Y2676" s="178">
        <v>1.9496059140132267E-2</v>
      </c>
      <c r="Z2676" s="183">
        <v>1.9387073989864945E-2</v>
      </c>
    </row>
    <row r="2677" spans="22:26" x14ac:dyDescent="0.2">
      <c r="V2677" s="180" t="str">
        <f t="shared" si="49"/>
        <v>1w</v>
      </c>
      <c r="W2677" s="177">
        <f>_xll.qlCalendarAdvance(Calendar,W2676,V2677,"f",FALSE)</f>
        <v>57720</v>
      </c>
      <c r="X2677" s="181">
        <f>_xll.qlCalendarAdvance(Calendar,W2677,NDays&amp;"D")</f>
        <v>57724</v>
      </c>
      <c r="Y2677" s="178">
        <v>1.9493074388565266E-2</v>
      </c>
      <c r="Z2677" s="183">
        <v>1.9383646077670846E-2</v>
      </c>
    </row>
    <row r="2678" spans="22:26" x14ac:dyDescent="0.2">
      <c r="V2678" s="180" t="str">
        <f t="shared" si="49"/>
        <v>1w</v>
      </c>
      <c r="W2678" s="177">
        <f>_xll.qlCalendarAdvance(Calendar,W2677,V2678,"f",FALSE)</f>
        <v>57727</v>
      </c>
      <c r="X2678" s="181">
        <f>_xll.qlCalendarAdvance(Calendar,W2678,NDays&amp;"D")</f>
        <v>57731</v>
      </c>
      <c r="Y2678" s="178">
        <v>1.9490109289081188E-2</v>
      </c>
      <c r="Z2678" s="183">
        <v>1.9380237429187375E-2</v>
      </c>
    </row>
    <row r="2679" spans="22:26" x14ac:dyDescent="0.2">
      <c r="V2679" s="180" t="str">
        <f t="shared" si="49"/>
        <v>1w</v>
      </c>
      <c r="W2679" s="177">
        <f>_xll.qlCalendarAdvance(Calendar,W2678,V2679,"f",FALSE)</f>
        <v>57734</v>
      </c>
      <c r="X2679" s="181">
        <f>_xll.qlCalendarAdvance(Calendar,W2679,NDays&amp;"D")</f>
        <v>57738</v>
      </c>
      <c r="Y2679" s="178">
        <v>1.9487163841506141E-2</v>
      </c>
      <c r="Z2679" s="183">
        <v>1.9376848044334594E-2</v>
      </c>
    </row>
    <row r="2680" spans="22:26" x14ac:dyDescent="0.2">
      <c r="V2680" s="180" t="str">
        <f t="shared" si="49"/>
        <v>1w</v>
      </c>
      <c r="W2680" s="177">
        <f>_xll.qlCalendarAdvance(Calendar,W2679,V2680,"f",FALSE)</f>
        <v>57741</v>
      </c>
      <c r="X2680" s="181">
        <f>_xll.qlCalendarAdvance(Calendar,W2680,NDays&amp;"D")</f>
        <v>57745</v>
      </c>
      <c r="Y2680" s="178">
        <v>1.9484238045667551E-2</v>
      </c>
      <c r="Z2680" s="183">
        <v>1.9373477923192439E-2</v>
      </c>
    </row>
    <row r="2681" spans="22:26" x14ac:dyDescent="0.2">
      <c r="V2681" s="180" t="str">
        <f t="shared" si="49"/>
        <v>1w</v>
      </c>
      <c r="W2681" s="177">
        <f>_xll.qlCalendarAdvance(Calendar,W2680,V2681,"f",FALSE)</f>
        <v>57748</v>
      </c>
      <c r="X2681" s="181">
        <f>_xll.qlCalendarAdvance(Calendar,W2681,NDays&amp;"D")</f>
        <v>57752</v>
      </c>
      <c r="Y2681" s="178">
        <v>1.9481331901394155E-2</v>
      </c>
      <c r="Z2681" s="183">
        <v>1.9370127065601039E-2</v>
      </c>
    </row>
    <row r="2682" spans="22:26" x14ac:dyDescent="0.2">
      <c r="V2682" s="180" t="str">
        <f t="shared" si="49"/>
        <v>1w</v>
      </c>
      <c r="W2682" s="177">
        <f>_xll.qlCalendarAdvance(Calendar,W2681,V2682,"f",FALSE)</f>
        <v>57755</v>
      </c>
      <c r="X2682" s="181">
        <f>_xll.qlCalendarAdvance(Calendar,W2682,NDays&amp;"D")</f>
        <v>57759</v>
      </c>
      <c r="Y2682" s="178">
        <v>1.9478445408515357E-2</v>
      </c>
      <c r="Z2682" s="183">
        <v>1.9366795471800202E-2</v>
      </c>
    </row>
    <row r="2683" spans="22:26" x14ac:dyDescent="0.2">
      <c r="V2683" s="180" t="str">
        <f t="shared" si="49"/>
        <v>1w</v>
      </c>
      <c r="W2683" s="177">
        <f>_xll.qlCalendarAdvance(Calendar,W2682,V2683,"f",FALSE)</f>
        <v>57762</v>
      </c>
      <c r="X2683" s="181">
        <f>_xll.qlCalendarAdvance(Calendar,W2683,NDays&amp;"D")</f>
        <v>57766</v>
      </c>
      <c r="Y2683" s="178">
        <v>1.94755785668623E-2</v>
      </c>
      <c r="Z2683" s="183">
        <v>1.936348314155012E-2</v>
      </c>
    </row>
    <row r="2684" spans="22:26" x14ac:dyDescent="0.2">
      <c r="V2684" s="180" t="str">
        <f t="shared" si="49"/>
        <v>1w</v>
      </c>
      <c r="W2684" s="177">
        <f>_xll.qlCalendarAdvance(Calendar,W2683,V2684,"f",FALSE)</f>
        <v>57769</v>
      </c>
      <c r="X2684" s="181">
        <f>_xll.qlCalendarAdvance(Calendar,W2684,NDays&amp;"D")</f>
        <v>57773</v>
      </c>
      <c r="Y2684" s="178">
        <v>1.947273137626657E-2</v>
      </c>
      <c r="Z2684" s="183">
        <v>1.9360190074930728E-2</v>
      </c>
    </row>
    <row r="2685" spans="22:26" x14ac:dyDescent="0.2">
      <c r="V2685" s="180" t="str">
        <f t="shared" si="49"/>
        <v>1w</v>
      </c>
      <c r="W2685" s="177">
        <f>_xll.qlCalendarAdvance(Calendar,W2684,V2685,"f",FALSE)</f>
        <v>57776</v>
      </c>
      <c r="X2685" s="181">
        <f>_xll.qlCalendarAdvance(Calendar,W2685,NDays&amp;"D")</f>
        <v>57780</v>
      </c>
      <c r="Y2685" s="178">
        <v>1.946990383656173E-2</v>
      </c>
      <c r="Z2685" s="183">
        <v>1.9356916272021962E-2</v>
      </c>
    </row>
    <row r="2686" spans="22:26" x14ac:dyDescent="0.2">
      <c r="V2686" s="180" t="str">
        <f t="shared" si="49"/>
        <v>1w</v>
      </c>
      <c r="W2686" s="177">
        <f>_xll.qlCalendarAdvance(Calendar,W2685,V2686,"f",FALSE)</f>
        <v>57783</v>
      </c>
      <c r="X2686" s="181">
        <f>_xll.qlCalendarAdvance(Calendar,W2686,NDays&amp;"D")</f>
        <v>57787</v>
      </c>
      <c r="Y2686" s="178">
        <v>1.9467095947581992E-2</v>
      </c>
      <c r="Z2686" s="183">
        <v>1.9353661732743888E-2</v>
      </c>
    </row>
    <row r="2687" spans="22:26" x14ac:dyDescent="0.2">
      <c r="V2687" s="180" t="str">
        <f t="shared" si="49"/>
        <v>1w</v>
      </c>
      <c r="W2687" s="177">
        <f>_xll.qlCalendarAdvance(Calendar,W2686,V2687,"f",FALSE)</f>
        <v>57790</v>
      </c>
      <c r="X2687" s="181">
        <f>_xll.qlCalendarAdvance(Calendar,W2687,NDays&amp;"D")</f>
        <v>57794</v>
      </c>
      <c r="Y2687" s="178">
        <v>1.9464307709162663E-2</v>
      </c>
      <c r="Z2687" s="183">
        <v>1.9350426457176439E-2</v>
      </c>
    </row>
    <row r="2688" spans="22:26" x14ac:dyDescent="0.2">
      <c r="V2688" s="180" t="str">
        <f t="shared" si="49"/>
        <v>1w</v>
      </c>
      <c r="W2688" s="177">
        <f>_xll.qlCalendarAdvance(Calendar,W2687,V2688,"f",FALSE)</f>
        <v>57797</v>
      </c>
      <c r="X2688" s="181">
        <f>_xll.qlCalendarAdvance(Calendar,W2688,NDays&amp;"D")</f>
        <v>57801</v>
      </c>
      <c r="Y2688" s="178">
        <v>1.9461539121140591E-2</v>
      </c>
      <c r="Z2688" s="183">
        <v>1.934721044507981E-2</v>
      </c>
    </row>
    <row r="2689" spans="22:26" x14ac:dyDescent="0.2">
      <c r="V2689" s="180" t="str">
        <f t="shared" si="49"/>
        <v>1w</v>
      </c>
      <c r="W2689" s="177">
        <f>_xll.qlCalendarAdvance(Calendar,W2688,V2689,"f",FALSE)</f>
        <v>57804</v>
      </c>
      <c r="X2689" s="181">
        <f>_xll.qlCalendarAdvance(Calendar,W2689,NDays&amp;"D")</f>
        <v>57808</v>
      </c>
      <c r="Y2689" s="178">
        <v>1.9458790183353492E-2</v>
      </c>
      <c r="Z2689" s="183">
        <v>1.9344013696773743E-2</v>
      </c>
    </row>
    <row r="2690" spans="22:26" x14ac:dyDescent="0.2">
      <c r="V2690" s="180" t="str">
        <f t="shared" si="49"/>
        <v>1w</v>
      </c>
      <c r="W2690" s="177">
        <f>_xll.qlCalendarAdvance(Calendar,W2689,V2690,"f",FALSE)</f>
        <v>57811</v>
      </c>
      <c r="X2690" s="181">
        <f>_xll.qlCalendarAdvance(Calendar,W2690,NDays&amp;"D")</f>
        <v>57817</v>
      </c>
      <c r="Y2690" s="178">
        <v>1.9455284708325429E-2</v>
      </c>
      <c r="Z2690" s="183">
        <v>1.9339931897475182E-2</v>
      </c>
    </row>
    <row r="2691" spans="22:26" x14ac:dyDescent="0.2">
      <c r="V2691" s="180" t="str">
        <f t="shared" si="49"/>
        <v>1w</v>
      </c>
      <c r="W2691" s="177">
        <f>_xll.qlCalendarAdvance(Calendar,W2690,V2691,"f",FALSE)</f>
        <v>57818</v>
      </c>
      <c r="X2691" s="181">
        <f>_xll.qlCalendarAdvance(Calendar,W2691,NDays&amp;"D")</f>
        <v>57822</v>
      </c>
      <c r="Y2691" s="178">
        <v>1.9453351257840566E-2</v>
      </c>
      <c r="Z2691" s="183">
        <v>1.9337677990973745E-2</v>
      </c>
    </row>
    <row r="2692" spans="22:26" x14ac:dyDescent="0.2">
      <c r="V2692" s="180" t="str">
        <f t="shared" si="49"/>
        <v>1w</v>
      </c>
      <c r="W2692" s="177">
        <f>_xll.qlCalendarAdvance(Calendar,W2691,V2692,"f",FALSE)</f>
        <v>57825</v>
      </c>
      <c r="X2692" s="181">
        <f>_xll.qlCalendarAdvance(Calendar,W2692,NDays&amp;"D")</f>
        <v>57829</v>
      </c>
      <c r="Y2692" s="178">
        <v>1.9450661269796308E-2</v>
      </c>
      <c r="Z2692" s="183">
        <v>1.933453903355975E-2</v>
      </c>
    </row>
    <row r="2693" spans="22:26" x14ac:dyDescent="0.2">
      <c r="V2693" s="180" t="str">
        <f t="shared" si="49"/>
        <v>1w</v>
      </c>
      <c r="W2693" s="177">
        <f>_xll.qlCalendarAdvance(Calendar,W2692,V2693,"f",FALSE)</f>
        <v>57832</v>
      </c>
      <c r="X2693" s="181">
        <f>_xll.qlCalendarAdvance(Calendar,W2693,NDays&amp;"D")</f>
        <v>57836</v>
      </c>
      <c r="Y2693" s="178">
        <v>1.9447990931349506E-2</v>
      </c>
      <c r="Z2693" s="183">
        <v>1.9331419339856382E-2</v>
      </c>
    </row>
    <row r="2694" spans="22:26" x14ac:dyDescent="0.2">
      <c r="V2694" s="180" t="str">
        <f t="shared" si="49"/>
        <v>1w</v>
      </c>
      <c r="W2694" s="177">
        <f>_xll.qlCalendarAdvance(Calendar,W2693,V2694,"f",FALSE)</f>
        <v>57839</v>
      </c>
      <c r="X2694" s="181">
        <f>_xll.qlCalendarAdvance(Calendar,W2694,NDays&amp;"D")</f>
        <v>57843</v>
      </c>
      <c r="Y2694" s="178">
        <v>1.9445340242343352E-2</v>
      </c>
      <c r="Z2694" s="183">
        <v>1.9328318909703768E-2</v>
      </c>
    </row>
    <row r="2695" spans="22:26" x14ac:dyDescent="0.2">
      <c r="V2695" s="180" t="str">
        <f t="shared" si="49"/>
        <v>1w</v>
      </c>
      <c r="W2695" s="177">
        <f>_xll.qlCalendarAdvance(Calendar,W2694,V2695,"f",FALSE)</f>
        <v>57846</v>
      </c>
      <c r="X2695" s="181">
        <f>_xll.qlCalendarAdvance(Calendar,W2695,NDays&amp;"D")</f>
        <v>57850</v>
      </c>
      <c r="Y2695" s="178">
        <v>1.9442709202623452E-2</v>
      </c>
      <c r="Z2695" s="183">
        <v>1.9325237743261781E-2</v>
      </c>
    </row>
    <row r="2696" spans="22:26" x14ac:dyDescent="0.2">
      <c r="V2696" s="180" t="str">
        <f t="shared" si="49"/>
        <v>1w</v>
      </c>
      <c r="W2696" s="177">
        <f>_xll.qlCalendarAdvance(Calendar,W2695,V2696,"f",FALSE)</f>
        <v>57853</v>
      </c>
      <c r="X2696" s="181">
        <f>_xll.qlCalendarAdvance(Calendar,W2696,NDays&amp;"D")</f>
        <v>57857</v>
      </c>
      <c r="Y2696" s="178">
        <v>1.9440097812034533E-2</v>
      </c>
      <c r="Z2696" s="183">
        <v>1.9322175840450484E-2</v>
      </c>
    </row>
    <row r="2697" spans="22:26" x14ac:dyDescent="0.2">
      <c r="V2697" s="180" t="str">
        <f t="shared" si="49"/>
        <v>1w</v>
      </c>
      <c r="W2697" s="177">
        <f>_xll.qlCalendarAdvance(Calendar,W2696,V2697,"f",FALSE)</f>
        <v>57860</v>
      </c>
      <c r="X2697" s="181">
        <f>_xll.qlCalendarAdvance(Calendar,W2697,NDays&amp;"D")</f>
        <v>57864</v>
      </c>
      <c r="Y2697" s="178">
        <v>1.9437506070424385E-2</v>
      </c>
      <c r="Z2697" s="183">
        <v>1.9319133201189942E-2</v>
      </c>
    </row>
    <row r="2698" spans="22:26" x14ac:dyDescent="0.2">
      <c r="V2698" s="180" t="str">
        <f t="shared" si="49"/>
        <v>1w</v>
      </c>
      <c r="W2698" s="177">
        <f>_xll.qlCalendarAdvance(Calendar,W2697,V2698,"f",FALSE)</f>
        <v>57867</v>
      </c>
      <c r="X2698" s="181">
        <f>_xll.qlCalendarAdvance(Calendar,W2698,NDays&amp;"D")</f>
        <v>57871</v>
      </c>
      <c r="Y2698" s="178">
        <v>1.9434933977640803E-2</v>
      </c>
      <c r="Z2698" s="183">
        <v>1.931610982556009E-2</v>
      </c>
    </row>
    <row r="2699" spans="22:26" x14ac:dyDescent="0.2">
      <c r="V2699" s="180" t="str">
        <f t="shared" si="49"/>
        <v>1w</v>
      </c>
      <c r="W2699" s="177">
        <f>_xll.qlCalendarAdvance(Calendar,W2698,V2699,"f",FALSE)</f>
        <v>57874</v>
      </c>
      <c r="X2699" s="181">
        <f>_xll.qlCalendarAdvance(Calendar,W2699,NDays&amp;"D")</f>
        <v>57878</v>
      </c>
      <c r="Y2699" s="178">
        <v>1.9432381533533334E-2</v>
      </c>
      <c r="Z2699" s="183">
        <v>1.9313105713640866E-2</v>
      </c>
    </row>
    <row r="2700" spans="22:26" x14ac:dyDescent="0.2">
      <c r="V2700" s="180" t="str">
        <f t="shared" si="49"/>
        <v>1w</v>
      </c>
      <c r="W2700" s="177">
        <f>_xll.qlCalendarAdvance(Calendar,W2699,V2700,"f",FALSE)</f>
        <v>57881</v>
      </c>
      <c r="X2700" s="181">
        <f>_xll.qlCalendarAdvance(Calendar,W2700,NDays&amp;"D")</f>
        <v>57885</v>
      </c>
      <c r="Y2700" s="178">
        <v>1.9429848737952178E-2</v>
      </c>
      <c r="Z2700" s="183">
        <v>1.9310120865432268E-2</v>
      </c>
    </row>
    <row r="2701" spans="22:26" x14ac:dyDescent="0.2">
      <c r="V2701" s="180" t="str">
        <f t="shared" si="49"/>
        <v>1w</v>
      </c>
      <c r="W2701" s="177">
        <f>_xll.qlCalendarAdvance(Calendar,W2700,V2701,"f",FALSE)</f>
        <v>57888</v>
      </c>
      <c r="X2701" s="181">
        <f>_xll.qlCalendarAdvance(Calendar,W2701,NDays&amp;"D")</f>
        <v>57892</v>
      </c>
      <c r="Y2701" s="178">
        <v>1.9427335590748628E-2</v>
      </c>
      <c r="Z2701" s="183">
        <v>1.9307155280774424E-2</v>
      </c>
    </row>
    <row r="2702" spans="22:26" x14ac:dyDescent="0.2">
      <c r="V2702" s="180" t="str">
        <f t="shared" si="49"/>
        <v>1w</v>
      </c>
      <c r="W2702" s="177">
        <f>_xll.qlCalendarAdvance(Calendar,W2701,V2702,"f",FALSE)</f>
        <v>57895</v>
      </c>
      <c r="X2702" s="181">
        <f>_xll.qlCalendarAdvance(Calendar,W2702,NDays&amp;"D")</f>
        <v>57899</v>
      </c>
      <c r="Y2702" s="178">
        <v>1.942484209177596E-2</v>
      </c>
      <c r="Z2702" s="183">
        <v>1.9304208959747271E-2</v>
      </c>
    </row>
    <row r="2703" spans="22:26" x14ac:dyDescent="0.2">
      <c r="V2703" s="180" t="str">
        <f t="shared" si="49"/>
        <v>1w</v>
      </c>
      <c r="W2703" s="177">
        <f>_xll.qlCalendarAdvance(Calendar,W2702,V2703,"f",FALSE)</f>
        <v>57902</v>
      </c>
      <c r="X2703" s="181">
        <f>_xll.qlCalendarAdvance(Calendar,W2703,NDays&amp;"D")</f>
        <v>57906</v>
      </c>
      <c r="Y2703" s="178">
        <v>1.9422368240887875E-2</v>
      </c>
      <c r="Z2703" s="183">
        <v>1.9301281902430745E-2</v>
      </c>
    </row>
    <row r="2704" spans="22:26" x14ac:dyDescent="0.2">
      <c r="V2704" s="180" t="str">
        <f t="shared" si="49"/>
        <v>1w</v>
      </c>
      <c r="W2704" s="177">
        <f>_xll.qlCalendarAdvance(Calendar,W2703,V2704,"f",FALSE)</f>
        <v>57909</v>
      </c>
      <c r="X2704" s="181">
        <f>_xll.qlCalendarAdvance(Calendar,W2704,NDays&amp;"D")</f>
        <v>57913</v>
      </c>
      <c r="Y2704" s="178">
        <v>1.9419914037939391E-2</v>
      </c>
      <c r="Z2704" s="183">
        <v>1.9298374108664973E-2</v>
      </c>
    </row>
    <row r="2705" spans="22:26" x14ac:dyDescent="0.2">
      <c r="V2705" s="180" t="str">
        <f t="shared" si="49"/>
        <v>1w</v>
      </c>
      <c r="W2705" s="177">
        <f>_xll.qlCalendarAdvance(Calendar,W2704,V2705,"f",FALSE)</f>
        <v>57916</v>
      </c>
      <c r="X2705" s="181">
        <f>_xll.qlCalendarAdvance(Calendar,W2705,NDays&amp;"D")</f>
        <v>57920</v>
      </c>
      <c r="Y2705" s="178">
        <v>1.9417479482786628E-2</v>
      </c>
      <c r="Z2705" s="183">
        <v>1.9295485578609828E-2</v>
      </c>
    </row>
    <row r="2706" spans="22:26" x14ac:dyDescent="0.2">
      <c r="V2706" s="180" t="str">
        <f t="shared" si="49"/>
        <v>1w</v>
      </c>
      <c r="W2706" s="177">
        <f>_xll.qlCalendarAdvance(Calendar,W2705,V2706,"f",FALSE)</f>
        <v>57923</v>
      </c>
      <c r="X2706" s="181">
        <f>_xll.qlCalendarAdvance(Calendar,W2706,NDays&amp;"D")</f>
        <v>57927</v>
      </c>
      <c r="Y2706" s="178">
        <v>1.9415064575287015E-2</v>
      </c>
      <c r="Z2706" s="183">
        <v>1.9292616312105437E-2</v>
      </c>
    </row>
    <row r="2707" spans="22:26" x14ac:dyDescent="0.2">
      <c r="V2707" s="180" t="str">
        <f t="shared" si="49"/>
        <v>1w</v>
      </c>
      <c r="W2707" s="177">
        <f>_xll.qlCalendarAdvance(Calendar,W2706,V2707,"f",FALSE)</f>
        <v>57930</v>
      </c>
      <c r="X2707" s="181">
        <f>_xll.qlCalendarAdvance(Calendar,W2707,NDays&amp;"D")</f>
        <v>57934</v>
      </c>
      <c r="Y2707" s="178">
        <v>1.9412669315299072E-2</v>
      </c>
      <c r="Z2707" s="183">
        <v>1.9289766309311673E-2</v>
      </c>
    </row>
    <row r="2708" spans="22:26" x14ac:dyDescent="0.2">
      <c r="V2708" s="180" t="str">
        <f t="shared" si="49"/>
        <v>1w</v>
      </c>
      <c r="W2708" s="177">
        <f>_xll.qlCalendarAdvance(Calendar,W2707,V2708,"f",FALSE)</f>
        <v>57937</v>
      </c>
      <c r="X2708" s="181">
        <f>_xll.qlCalendarAdvance(Calendar,W2708,NDays&amp;"D")</f>
        <v>57941</v>
      </c>
      <c r="Y2708" s="178">
        <v>1.941029370268264E-2</v>
      </c>
      <c r="Z2708" s="183">
        <v>1.92869355701486E-2</v>
      </c>
    </row>
    <row r="2709" spans="22:26" x14ac:dyDescent="0.2">
      <c r="V2709" s="180" t="str">
        <f t="shared" ref="V2709:V2772" si="50">V2708</f>
        <v>1w</v>
      </c>
      <c r="W2709" s="177">
        <f>_xll.qlCalendarAdvance(Calendar,W2708,V2709,"f",FALSE)</f>
        <v>57944</v>
      </c>
      <c r="X2709" s="181">
        <f>_xll.qlCalendarAdvance(Calendar,W2709,NDays&amp;"D")</f>
        <v>57948</v>
      </c>
      <c r="Y2709" s="178">
        <v>1.9407937737297997E-2</v>
      </c>
      <c r="Z2709" s="183">
        <v>1.9284124094536281E-2</v>
      </c>
    </row>
    <row r="2710" spans="22:26" x14ac:dyDescent="0.2">
      <c r="V2710" s="180" t="str">
        <f t="shared" si="50"/>
        <v>1w</v>
      </c>
      <c r="W2710" s="177">
        <f>_xll.qlCalendarAdvance(Calendar,W2709,V2710,"f",FALSE)</f>
        <v>57951</v>
      </c>
      <c r="X2710" s="181">
        <f>_xll.qlCalendarAdvance(Calendar,W2710,NDays&amp;"D")</f>
        <v>57955</v>
      </c>
      <c r="Y2710" s="178">
        <v>1.9405601419007386E-2</v>
      </c>
      <c r="Z2710" s="183">
        <v>1.9281331882634589E-2</v>
      </c>
    </row>
    <row r="2711" spans="22:26" x14ac:dyDescent="0.2">
      <c r="V2711" s="180" t="str">
        <f t="shared" si="50"/>
        <v>1w</v>
      </c>
      <c r="W2711" s="177">
        <f>_xll.qlCalendarAdvance(Calendar,W2710,V2711,"f",FALSE)</f>
        <v>57958</v>
      </c>
      <c r="X2711" s="181">
        <f>_xll.qlCalendarAdvance(Calendar,W2711,NDays&amp;"D")</f>
        <v>57962</v>
      </c>
      <c r="Y2711" s="178">
        <v>1.9403284747674152E-2</v>
      </c>
      <c r="Z2711" s="183">
        <v>1.9278558934443524E-2</v>
      </c>
    </row>
    <row r="2712" spans="22:26" x14ac:dyDescent="0.2">
      <c r="V2712" s="180" t="str">
        <f t="shared" si="50"/>
        <v>1w</v>
      </c>
      <c r="W2712" s="177">
        <f>_xll.qlCalendarAdvance(Calendar,W2711,V2712,"f",FALSE)</f>
        <v>57965</v>
      </c>
      <c r="X2712" s="181">
        <f>_xll.qlCalendarAdvance(Calendar,W2712,NDays&amp;"D")</f>
        <v>57969</v>
      </c>
      <c r="Y2712" s="178">
        <v>1.9400987723162073E-2</v>
      </c>
      <c r="Z2712" s="183">
        <v>1.9275805249723277E-2</v>
      </c>
    </row>
    <row r="2713" spans="22:26" x14ac:dyDescent="0.2">
      <c r="V2713" s="180" t="str">
        <f t="shared" si="50"/>
        <v>1w</v>
      </c>
      <c r="W2713" s="177">
        <f>_xll.qlCalendarAdvance(Calendar,W2712,V2713,"f",FALSE)</f>
        <v>57972</v>
      </c>
      <c r="X2713" s="181">
        <f>_xll.qlCalendarAdvance(Calendar,W2713,NDays&amp;"D")</f>
        <v>57976</v>
      </c>
      <c r="Y2713" s="178">
        <v>1.9398710345336901E-2</v>
      </c>
      <c r="Z2713" s="183">
        <v>1.9273070828713657E-2</v>
      </c>
    </row>
    <row r="2714" spans="22:26" x14ac:dyDescent="0.2">
      <c r="V2714" s="180" t="str">
        <f t="shared" si="50"/>
        <v>1w</v>
      </c>
      <c r="W2714" s="177">
        <f>_xll.qlCalendarAdvance(Calendar,W2713,V2714,"f",FALSE)</f>
        <v>57979</v>
      </c>
      <c r="X2714" s="181">
        <f>_xll.qlCalendarAdvance(Calendar,W2714,NDays&amp;"D")</f>
        <v>57983</v>
      </c>
      <c r="Y2714" s="178">
        <v>1.9396452614065047E-2</v>
      </c>
      <c r="Z2714" s="183">
        <v>1.9270355671414663E-2</v>
      </c>
    </row>
    <row r="2715" spans="22:26" x14ac:dyDescent="0.2">
      <c r="V2715" s="180" t="str">
        <f t="shared" si="50"/>
        <v>1w</v>
      </c>
      <c r="W2715" s="177">
        <f>_xll.qlCalendarAdvance(Calendar,W2714,V2715,"f",FALSE)</f>
        <v>57986</v>
      </c>
      <c r="X2715" s="181">
        <f>_xll.qlCalendarAdvance(Calendar,W2715,NDays&amp;"D")</f>
        <v>57990</v>
      </c>
      <c r="Y2715" s="178">
        <v>1.9394214529214446E-2</v>
      </c>
      <c r="Z2715" s="183">
        <v>1.9267659777666424E-2</v>
      </c>
    </row>
    <row r="2716" spans="22:26" x14ac:dyDescent="0.2">
      <c r="V2716" s="180" t="str">
        <f t="shared" si="50"/>
        <v>1w</v>
      </c>
      <c r="W2716" s="177">
        <f>_xll.qlCalendarAdvance(Calendar,W2715,V2716,"f",FALSE)</f>
        <v>57993</v>
      </c>
      <c r="X2716" s="181">
        <f>_xll.qlCalendarAdvance(Calendar,W2716,NDays&amp;"D")</f>
        <v>57997</v>
      </c>
      <c r="Y2716" s="178">
        <v>1.9391996090653486E-2</v>
      </c>
      <c r="Z2716" s="183">
        <v>1.9264983147468939E-2</v>
      </c>
    </row>
    <row r="2717" spans="22:26" x14ac:dyDescent="0.2">
      <c r="V2717" s="180" t="str">
        <f t="shared" si="50"/>
        <v>1w</v>
      </c>
      <c r="W2717" s="177">
        <f>_xll.qlCalendarAdvance(Calendar,W2716,V2717,"f",FALSE)</f>
        <v>58000</v>
      </c>
      <c r="X2717" s="181">
        <f>_xll.qlCalendarAdvance(Calendar,W2717,NDays&amp;"D")</f>
        <v>58004</v>
      </c>
      <c r="Y2717" s="178">
        <v>1.9389797298252291E-2</v>
      </c>
      <c r="Z2717" s="183">
        <v>1.9262325780982081E-2</v>
      </c>
    </row>
    <row r="2718" spans="22:26" x14ac:dyDescent="0.2">
      <c r="V2718" s="180" t="str">
        <f t="shared" si="50"/>
        <v>1w</v>
      </c>
      <c r="W2718" s="177">
        <f>_xll.qlCalendarAdvance(Calendar,W2717,V2718,"f",FALSE)</f>
        <v>58007</v>
      </c>
      <c r="X2718" s="181">
        <f>_xll.qlCalendarAdvance(Calendar,W2718,NDays&amp;"D")</f>
        <v>58011</v>
      </c>
      <c r="Y2718" s="178">
        <v>1.938761815188253E-2</v>
      </c>
      <c r="Z2718" s="183">
        <v>1.925968767820585E-2</v>
      </c>
    </row>
    <row r="2719" spans="22:26" x14ac:dyDescent="0.2">
      <c r="V2719" s="180" t="str">
        <f t="shared" si="50"/>
        <v>1w</v>
      </c>
      <c r="W2719" s="177">
        <f>_xll.qlCalendarAdvance(Calendar,W2718,V2719,"f",FALSE)</f>
        <v>58014</v>
      </c>
      <c r="X2719" s="181">
        <f>_xll.qlCalendarAdvance(Calendar,W2719,NDays&amp;"D")</f>
        <v>58018</v>
      </c>
      <c r="Y2719" s="178">
        <v>1.9385458651416082E-2</v>
      </c>
      <c r="Z2719" s="183">
        <v>1.925706883906031E-2</v>
      </c>
    </row>
    <row r="2720" spans="22:26" x14ac:dyDescent="0.2">
      <c r="V2720" s="180" t="str">
        <f t="shared" si="50"/>
        <v>1w</v>
      </c>
      <c r="W2720" s="177">
        <f>_xll.qlCalendarAdvance(Calendar,W2719,V2720,"f",FALSE)</f>
        <v>58021</v>
      </c>
      <c r="X2720" s="181">
        <f>_xll.qlCalendarAdvance(Calendar,W2720,NDays&amp;"D")</f>
        <v>58025</v>
      </c>
      <c r="Y2720" s="178">
        <v>1.9383318796726584E-2</v>
      </c>
      <c r="Z2720" s="183">
        <v>1.9254469263385587E-2</v>
      </c>
    </row>
    <row r="2721" spans="22:26" x14ac:dyDescent="0.2">
      <c r="V2721" s="180" t="str">
        <f t="shared" si="50"/>
        <v>1w</v>
      </c>
      <c r="W2721" s="177">
        <f>_xll.qlCalendarAdvance(Calendar,W2720,V2721,"f",FALSE)</f>
        <v>58028</v>
      </c>
      <c r="X2721" s="181">
        <f>_xll.qlCalendarAdvance(Calendar,W2721,NDays&amp;"D")</f>
        <v>58032</v>
      </c>
      <c r="Y2721" s="178">
        <v>1.9381198587688331E-2</v>
      </c>
      <c r="Z2721" s="183">
        <v>1.9251888951421492E-2</v>
      </c>
    </row>
    <row r="2722" spans="22:26" x14ac:dyDescent="0.2">
      <c r="V2722" s="180" t="str">
        <f t="shared" si="50"/>
        <v>1w</v>
      </c>
      <c r="W2722" s="177">
        <f>_xll.qlCalendarAdvance(Calendar,W2721,V2722,"f",FALSE)</f>
        <v>58035</v>
      </c>
      <c r="X2722" s="181">
        <f>_xll.qlCalendarAdvance(Calendar,W2722,NDays&amp;"D")</f>
        <v>58039</v>
      </c>
      <c r="Y2722" s="178">
        <v>1.9379098024177362E-2</v>
      </c>
      <c r="Z2722" s="183">
        <v>1.9249327903088087E-2</v>
      </c>
    </row>
    <row r="2723" spans="22:26" x14ac:dyDescent="0.2">
      <c r="V2723" s="180" t="str">
        <f t="shared" si="50"/>
        <v>1w</v>
      </c>
      <c r="W2723" s="177">
        <f>_xll.qlCalendarAdvance(Calendar,W2722,V2723,"f",FALSE)</f>
        <v>58042</v>
      </c>
      <c r="X2723" s="181">
        <f>_xll.qlCalendarAdvance(Calendar,W2723,NDays&amp;"D")</f>
        <v>58046</v>
      </c>
      <c r="Y2723" s="178">
        <v>1.9377017106070822E-2</v>
      </c>
      <c r="Z2723" s="183">
        <v>1.9246786118465309E-2</v>
      </c>
    </row>
    <row r="2724" spans="22:26" x14ac:dyDescent="0.2">
      <c r="V2724" s="180" t="str">
        <f t="shared" si="50"/>
        <v>1w</v>
      </c>
      <c r="W2724" s="177">
        <f>_xll.qlCalendarAdvance(Calendar,W2723,V2724,"f",FALSE)</f>
        <v>58049</v>
      </c>
      <c r="X2724" s="181">
        <f>_xll.qlCalendarAdvance(Calendar,W2724,NDays&amp;"D")</f>
        <v>58053</v>
      </c>
      <c r="Y2724" s="178">
        <v>1.9374955833246284E-2</v>
      </c>
      <c r="Z2724" s="183">
        <v>1.9244263597313349E-2</v>
      </c>
    </row>
    <row r="2725" spans="22:26" x14ac:dyDescent="0.2">
      <c r="V2725" s="180" t="str">
        <f t="shared" si="50"/>
        <v>1w</v>
      </c>
      <c r="W2725" s="177">
        <f>_xll.qlCalendarAdvance(Calendar,W2724,V2725,"f",FALSE)</f>
        <v>58056</v>
      </c>
      <c r="X2725" s="181">
        <f>_xll.qlCalendarAdvance(Calendar,W2725,NDays&amp;"D")</f>
        <v>58060</v>
      </c>
      <c r="Y2725" s="178">
        <v>1.937291420558308E-2</v>
      </c>
      <c r="Z2725" s="183">
        <v>1.9241760339951952E-2</v>
      </c>
    </row>
    <row r="2726" spans="22:26" x14ac:dyDescent="0.2">
      <c r="V2726" s="180" t="str">
        <f t="shared" si="50"/>
        <v>1w</v>
      </c>
      <c r="W2726" s="177">
        <f>_xll.qlCalendarAdvance(Calendar,W2725,V2726,"f",FALSE)</f>
        <v>58063</v>
      </c>
      <c r="X2726" s="181">
        <f>_xll.qlCalendarAdvance(Calendar,W2726,NDays&amp;"D")</f>
        <v>58067</v>
      </c>
      <c r="Y2726" s="178">
        <v>1.9370892222962073E-2</v>
      </c>
      <c r="Z2726" s="183">
        <v>1.923927634614131E-2</v>
      </c>
    </row>
    <row r="2727" spans="22:26" x14ac:dyDescent="0.2">
      <c r="V2727" s="180" t="str">
        <f t="shared" si="50"/>
        <v>1w</v>
      </c>
      <c r="W2727" s="177">
        <f>_xll.qlCalendarAdvance(Calendar,W2726,V2727,"f",FALSE)</f>
        <v>58071</v>
      </c>
      <c r="X2727" s="181">
        <f>_xll.qlCalendarAdvance(Calendar,W2727,NDays&amp;"D")</f>
        <v>58075</v>
      </c>
      <c r="Y2727" s="178">
        <v>1.9368605440682043E-2</v>
      </c>
      <c r="Z2727" s="183">
        <v>1.9236799951931616E-2</v>
      </c>
    </row>
    <row r="2728" spans="22:26" x14ac:dyDescent="0.2">
      <c r="V2728" s="180" t="str">
        <f t="shared" si="50"/>
        <v>1w</v>
      </c>
      <c r="W2728" s="177">
        <f>_xll.qlCalendarAdvance(Calendar,W2727,V2728,"f",FALSE)</f>
        <v>58078</v>
      </c>
      <c r="X2728" s="181">
        <f>_xll.qlCalendarAdvance(Calendar,W2728,NDays&amp;"D")</f>
        <v>58082</v>
      </c>
      <c r="Y2728" s="178">
        <v>1.936662555418138E-2</v>
      </c>
      <c r="Z2728" s="183">
        <v>1.9234018369607142E-2</v>
      </c>
    </row>
    <row r="2729" spans="22:26" x14ac:dyDescent="0.2">
      <c r="V2729" s="180" t="str">
        <f t="shared" si="50"/>
        <v>1w</v>
      </c>
      <c r="W2729" s="177">
        <f>_xll.qlCalendarAdvance(Calendar,W2728,V2729,"f",FALSE)</f>
        <v>58085</v>
      </c>
      <c r="X2729" s="181">
        <f>_xll.qlCalendarAdvance(Calendar,W2729,NDays&amp;"D")</f>
        <v>58089</v>
      </c>
      <c r="Y2729" s="178">
        <v>1.9364665312354326E-2</v>
      </c>
      <c r="Z2729" s="183">
        <v>1.923159491848736E-2</v>
      </c>
    </row>
    <row r="2730" spans="22:26" x14ac:dyDescent="0.2">
      <c r="V2730" s="180" t="str">
        <f t="shared" si="50"/>
        <v>1w</v>
      </c>
      <c r="W2730" s="177">
        <f>_xll.qlCalendarAdvance(Calendar,W2729,V2730,"f",FALSE)</f>
        <v>58092</v>
      </c>
      <c r="X2730" s="181">
        <f>_xll.qlCalendarAdvance(Calendar,W2730,NDays&amp;"D")</f>
        <v>58096</v>
      </c>
      <c r="Y2730" s="178">
        <v>1.9362724715085693E-2</v>
      </c>
      <c r="Z2730" s="183">
        <v>1.9229190731238077E-2</v>
      </c>
    </row>
    <row r="2731" spans="22:26" x14ac:dyDescent="0.2">
      <c r="V2731" s="180" t="str">
        <f t="shared" si="50"/>
        <v>1w</v>
      </c>
      <c r="W2731" s="177">
        <f>_xll.qlCalendarAdvance(Calendar,W2730,V2731,"f",FALSE)</f>
        <v>58099</v>
      </c>
      <c r="X2731" s="181">
        <f>_xll.qlCalendarAdvance(Calendar,W2731,NDays&amp;"D")</f>
        <v>58103</v>
      </c>
      <c r="Y2731" s="178">
        <v>1.9360803762261819E-2</v>
      </c>
      <c r="Z2731" s="183">
        <v>1.9226805807539549E-2</v>
      </c>
    </row>
    <row r="2732" spans="22:26" x14ac:dyDescent="0.2">
      <c r="V2732" s="180" t="str">
        <f t="shared" si="50"/>
        <v>1w</v>
      </c>
      <c r="W2732" s="177">
        <f>_xll.qlCalendarAdvance(Calendar,W2731,V2732,"f",FALSE)</f>
        <v>58106</v>
      </c>
      <c r="X2732" s="181">
        <f>_xll.qlCalendarAdvance(Calendar,W2732,NDays&amp;"D")</f>
        <v>58110</v>
      </c>
      <c r="Y2732" s="178">
        <v>1.9358902453770348E-2</v>
      </c>
      <c r="Z2732" s="183">
        <v>1.9224440147391775E-2</v>
      </c>
    </row>
    <row r="2733" spans="22:26" x14ac:dyDescent="0.2">
      <c r="V2733" s="180" t="str">
        <f t="shared" si="50"/>
        <v>1w</v>
      </c>
      <c r="W2733" s="177">
        <f>_xll.qlCalendarAdvance(Calendar,W2732,V2733,"f",FALSE)</f>
        <v>58113</v>
      </c>
      <c r="X2733" s="181">
        <f>_xll.qlCalendarAdvance(Calendar,W2733,NDays&amp;"D")</f>
        <v>58117</v>
      </c>
      <c r="Y2733" s="178">
        <v>1.9357020789499375E-2</v>
      </c>
      <c r="Z2733" s="183">
        <v>1.9222093750874691E-2</v>
      </c>
    </row>
    <row r="2734" spans="22:26" x14ac:dyDescent="0.2">
      <c r="V2734" s="180" t="str">
        <f t="shared" si="50"/>
        <v>1w</v>
      </c>
      <c r="W2734" s="177">
        <f>_xll.qlCalendarAdvance(Calendar,W2733,V2734,"f",FALSE)</f>
        <v>58120</v>
      </c>
      <c r="X2734" s="181">
        <f>_xll.qlCalendarAdvance(Calendar,W2734,NDays&amp;"D")</f>
        <v>58124</v>
      </c>
      <c r="Y2734" s="178">
        <v>1.935515876933918E-2</v>
      </c>
      <c r="Z2734" s="183">
        <v>1.9219766618068235E-2</v>
      </c>
    </row>
    <row r="2735" spans="22:26" x14ac:dyDescent="0.2">
      <c r="V2735" s="180" t="str">
        <f t="shared" si="50"/>
        <v>1w</v>
      </c>
      <c r="W2735" s="177">
        <f>_xll.qlCalendarAdvance(Calendar,W2734,V2735,"f",FALSE)</f>
        <v>58127</v>
      </c>
      <c r="X2735" s="181">
        <f>_xll.qlCalendarAdvance(Calendar,W2735,NDays&amp;"D")</f>
        <v>58131</v>
      </c>
      <c r="Y2735" s="178">
        <v>1.9353316393180258E-2</v>
      </c>
      <c r="Z2735" s="183">
        <v>1.9217458748892469E-2</v>
      </c>
    </row>
    <row r="2736" spans="22:26" x14ac:dyDescent="0.2">
      <c r="V2736" s="180" t="str">
        <f t="shared" si="50"/>
        <v>1w</v>
      </c>
      <c r="W2736" s="177">
        <f>_xll.qlCalendarAdvance(Calendar,W2735,V2736,"f",FALSE)</f>
        <v>58134</v>
      </c>
      <c r="X2736" s="181">
        <f>_xll.qlCalendarAdvance(Calendar,W2736,NDays&amp;"D")</f>
        <v>58138</v>
      </c>
      <c r="Y2736" s="178">
        <v>1.9351893171835458E-2</v>
      </c>
      <c r="Z2736" s="183">
        <v>1.9215170143267457E-2</v>
      </c>
    </row>
    <row r="2737" spans="22:26" x14ac:dyDescent="0.2">
      <c r="V2737" s="180" t="str">
        <f t="shared" si="50"/>
        <v>1w</v>
      </c>
      <c r="W2737" s="177">
        <f>_xll.qlCalendarAdvance(Calendar,W2736,V2737,"f",FALSE)</f>
        <v>58141</v>
      </c>
      <c r="X2737" s="181">
        <f>_xll.qlCalendarAdvance(Calendar,W2737,NDays&amp;"D")</f>
        <v>58145</v>
      </c>
      <c r="Y2737" s="178">
        <v>1.9350091390551067E-2</v>
      </c>
      <c r="Z2737" s="183">
        <v>1.9212900801353072E-2</v>
      </c>
    </row>
    <row r="2738" spans="22:26" x14ac:dyDescent="0.2">
      <c r="V2738" s="180" t="str">
        <f t="shared" si="50"/>
        <v>1w</v>
      </c>
      <c r="W2738" s="177">
        <f>_xll.qlCalendarAdvance(Calendar,W2737,V2738,"f",FALSE)</f>
        <v>58148</v>
      </c>
      <c r="X2738" s="181">
        <f>_xll.qlCalendarAdvance(Calendar,W2738,NDays&amp;"D")</f>
        <v>58152</v>
      </c>
      <c r="Y2738" s="178">
        <v>1.9348309253994705E-2</v>
      </c>
      <c r="Z2738" s="183">
        <v>1.9210650722989442E-2</v>
      </c>
    </row>
    <row r="2739" spans="22:26" x14ac:dyDescent="0.2">
      <c r="V2739" s="180" t="str">
        <f t="shared" si="50"/>
        <v>1w</v>
      </c>
      <c r="W2739" s="177">
        <f>_xll.qlCalendarAdvance(Calendar,W2738,V2739,"f",FALSE)</f>
        <v>58155</v>
      </c>
      <c r="X2739" s="181">
        <f>_xll.qlCalendarAdvance(Calendar,W2739,NDays&amp;"D")</f>
        <v>58159</v>
      </c>
      <c r="Y2739" s="178">
        <v>1.9346546762061542E-2</v>
      </c>
      <c r="Z2739" s="183">
        <v>1.9208419908176566E-2</v>
      </c>
    </row>
    <row r="2740" spans="22:26" x14ac:dyDescent="0.2">
      <c r="V2740" s="180" t="str">
        <f t="shared" si="50"/>
        <v>1w</v>
      </c>
      <c r="W2740" s="177">
        <f>_xll.qlCalendarAdvance(Calendar,W2739,V2740,"f",FALSE)</f>
        <v>58166</v>
      </c>
      <c r="X2740" s="181">
        <f>_xll.qlCalendarAdvance(Calendar,W2740,NDays&amp;"D")</f>
        <v>58168</v>
      </c>
      <c r="Y2740" s="178">
        <v>1.9345120227964984E-2</v>
      </c>
      <c r="Z2740" s="183">
        <v>1.9205580023609059E-2</v>
      </c>
    </row>
    <row r="2741" spans="22:26" x14ac:dyDescent="0.2">
      <c r="V2741" s="180" t="str">
        <f t="shared" si="50"/>
        <v>1w</v>
      </c>
      <c r="W2741" s="177">
        <f>_xll.qlCalendarAdvance(Calendar,W2740,V2741,"f",FALSE)</f>
        <v>58173</v>
      </c>
      <c r="X2741" s="181">
        <f>_xll.qlCalendarAdvance(Calendar,W2741,NDays&amp;"D")</f>
        <v>58175</v>
      </c>
      <c r="Y2741" s="178">
        <v>1.9343405261436415E-2</v>
      </c>
      <c r="Z2741" s="183">
        <v>1.9203393239974886E-2</v>
      </c>
    </row>
    <row r="2742" spans="22:26" x14ac:dyDescent="0.2">
      <c r="V2742" s="180" t="str">
        <f t="shared" si="50"/>
        <v>1w</v>
      </c>
      <c r="W2742" s="177">
        <f>_xll.qlCalendarAdvance(Calendar,W2741,V2742,"f",FALSE)</f>
        <v>58180</v>
      </c>
      <c r="X2742" s="181">
        <f>_xll.qlCalendarAdvance(Calendar,W2742,NDays&amp;"D")</f>
        <v>58182</v>
      </c>
      <c r="Y2742" s="178">
        <v>1.9342118107612549E-2</v>
      </c>
      <c r="Z2742" s="183">
        <v>1.920122572005134E-2</v>
      </c>
    </row>
    <row r="2743" spans="22:26" x14ac:dyDescent="0.2">
      <c r="V2743" s="180" t="str">
        <f t="shared" si="50"/>
        <v>1w</v>
      </c>
      <c r="W2743" s="177">
        <f>_xll.qlCalendarAdvance(Calendar,W2742,V2743,"f",FALSE)</f>
        <v>58187</v>
      </c>
      <c r="X2743" s="181">
        <f>_xll.qlCalendarAdvance(Calendar,W2743,NDays&amp;"D")</f>
        <v>58189</v>
      </c>
      <c r="Y2743" s="178">
        <v>1.934003426741988E-2</v>
      </c>
      <c r="Z2743" s="183">
        <v>1.9199077463678549E-2</v>
      </c>
    </row>
    <row r="2744" spans="22:26" x14ac:dyDescent="0.2">
      <c r="V2744" s="180" t="str">
        <f t="shared" si="50"/>
        <v>1w</v>
      </c>
      <c r="W2744" s="177">
        <f>_xll.qlCalendarAdvance(Calendar,W2743,V2744,"f",FALSE)</f>
        <v>58194</v>
      </c>
      <c r="X2744" s="181">
        <f>_xll.qlCalendarAdvance(Calendar,W2744,NDays&amp;"D")</f>
        <v>58197</v>
      </c>
      <c r="Y2744" s="178">
        <v>1.9337732425135774E-2</v>
      </c>
      <c r="Z2744" s="183">
        <v>1.9197367484800054E-2</v>
      </c>
    </row>
    <row r="2745" spans="22:26" x14ac:dyDescent="0.2">
      <c r="V2745" s="180" t="str">
        <f t="shared" si="50"/>
        <v>1w</v>
      </c>
      <c r="W2745" s="177">
        <f>_xll.qlCalendarAdvance(Calendar,W2744,V2745,"f",FALSE)</f>
        <v>58201</v>
      </c>
      <c r="X2745" s="181">
        <f>_xll.qlCalendarAdvance(Calendar,W2745,NDays&amp;"D")</f>
        <v>58203</v>
      </c>
      <c r="Y2745" s="178">
        <v>1.9336741858127941E-2</v>
      </c>
      <c r="Z2745" s="183">
        <v>1.9194838741904974E-2</v>
      </c>
    </row>
    <row r="2746" spans="22:26" x14ac:dyDescent="0.2">
      <c r="V2746" s="180" t="str">
        <f t="shared" si="50"/>
        <v>1w</v>
      </c>
      <c r="W2746" s="177">
        <f>_xll.qlCalendarAdvance(Calendar,W2745,V2746,"f",FALSE)</f>
        <v>58208</v>
      </c>
      <c r="X2746" s="181">
        <f>_xll.qlCalendarAdvance(Calendar,W2746,NDays&amp;"D")</f>
        <v>58210</v>
      </c>
      <c r="Y2746" s="178">
        <v>1.9335125122509948E-2</v>
      </c>
      <c r="Z2746" s="183">
        <v>1.9192748276344318E-2</v>
      </c>
    </row>
    <row r="2747" spans="22:26" x14ac:dyDescent="0.2">
      <c r="V2747" s="180" t="str">
        <f t="shared" si="50"/>
        <v>1w</v>
      </c>
      <c r="W2747" s="177">
        <f>_xll.qlCalendarAdvance(Calendar,W2746,V2747,"f",FALSE)</f>
        <v>58215</v>
      </c>
      <c r="X2747" s="181">
        <f>_xll.qlCalendarAdvance(Calendar,W2747,NDays&amp;"D")</f>
        <v>58217</v>
      </c>
      <c r="Y2747" s="178">
        <v>1.9333528032783178E-2</v>
      </c>
      <c r="Z2747" s="183">
        <v>1.9190677074494289E-2</v>
      </c>
    </row>
    <row r="2748" spans="22:26" x14ac:dyDescent="0.2">
      <c r="V2748" s="180" t="str">
        <f t="shared" si="50"/>
        <v>1w</v>
      </c>
      <c r="W2748" s="177">
        <f>_xll.qlCalendarAdvance(Calendar,W2747,V2748,"f",FALSE)</f>
        <v>58222</v>
      </c>
      <c r="X2748" s="181">
        <f>_xll.qlCalendarAdvance(Calendar,W2748,NDays&amp;"D")</f>
        <v>58224</v>
      </c>
      <c r="Y2748" s="178">
        <v>1.9331950588852915E-2</v>
      </c>
      <c r="Z2748" s="183">
        <v>1.9188625136354887E-2</v>
      </c>
    </row>
    <row r="2749" spans="22:26" x14ac:dyDescent="0.2">
      <c r="V2749" s="180" t="str">
        <f t="shared" si="50"/>
        <v>1w</v>
      </c>
      <c r="W2749" s="177">
        <f>_xll.qlCalendarAdvance(Calendar,W2748,V2749,"f",FALSE)</f>
        <v>58229</v>
      </c>
      <c r="X2749" s="181">
        <f>_xll.qlCalendarAdvance(Calendar,W2749,NDays&amp;"D")</f>
        <v>58231</v>
      </c>
      <c r="Y2749" s="178">
        <v>1.9330392790626198E-2</v>
      </c>
      <c r="Z2749" s="183">
        <v>1.9186592461686303E-2</v>
      </c>
    </row>
    <row r="2750" spans="22:26" x14ac:dyDescent="0.2">
      <c r="V2750" s="180" t="str">
        <f t="shared" si="50"/>
        <v>1w</v>
      </c>
      <c r="W2750" s="177">
        <f>_xll.qlCalendarAdvance(Calendar,W2749,V2750,"f",FALSE)</f>
        <v>58236</v>
      </c>
      <c r="X2750" s="181">
        <f>_xll.qlCalendarAdvance(Calendar,W2750,NDays&amp;"D")</f>
        <v>58238</v>
      </c>
      <c r="Y2750" s="178">
        <v>1.9328854638010703E-2</v>
      </c>
      <c r="Z2750" s="183">
        <v>1.9184579050568473E-2</v>
      </c>
    </row>
    <row r="2751" spans="22:26" x14ac:dyDescent="0.2">
      <c r="V2751" s="180" t="str">
        <f t="shared" si="50"/>
        <v>1w</v>
      </c>
      <c r="W2751" s="177">
        <f>_xll.qlCalendarAdvance(Calendar,W2750,V2751,"f",FALSE)</f>
        <v>58243</v>
      </c>
      <c r="X2751" s="181">
        <f>_xll.qlCalendarAdvance(Calendar,W2751,NDays&amp;"D")</f>
        <v>58245</v>
      </c>
      <c r="Y2751" s="178">
        <v>1.9327336130915418E-2</v>
      </c>
      <c r="Z2751" s="183">
        <v>1.9182584903241207E-2</v>
      </c>
    </row>
    <row r="2752" spans="22:26" x14ac:dyDescent="0.2">
      <c r="V2752" s="180" t="str">
        <f t="shared" si="50"/>
        <v>1w</v>
      </c>
      <c r="W2752" s="177">
        <f>_xll.qlCalendarAdvance(Calendar,W2751,V2752,"f",FALSE)</f>
        <v>58250</v>
      </c>
      <c r="X2752" s="181">
        <f>_xll.qlCalendarAdvance(Calendar,W2752,NDays&amp;"D")</f>
        <v>58252</v>
      </c>
      <c r="Y2752" s="178">
        <v>1.9325837269251505E-2</v>
      </c>
      <c r="Z2752" s="183">
        <v>1.9180610019464694E-2</v>
      </c>
    </row>
    <row r="2753" spans="22:26" x14ac:dyDescent="0.2">
      <c r="V2753" s="180" t="str">
        <f t="shared" si="50"/>
        <v>1w</v>
      </c>
      <c r="W2753" s="177">
        <f>_xll.qlCalendarAdvance(Calendar,W2752,V2753,"f",FALSE)</f>
        <v>58257</v>
      </c>
      <c r="X2753" s="181">
        <f>_xll.qlCalendarAdvance(Calendar,W2753,NDays&amp;"D")</f>
        <v>58259</v>
      </c>
      <c r="Y2753" s="178">
        <v>1.9324358052929466E-2</v>
      </c>
      <c r="Z2753" s="183">
        <v>1.9178654399318873E-2</v>
      </c>
    </row>
    <row r="2754" spans="22:26" x14ac:dyDescent="0.2">
      <c r="V2754" s="180" t="str">
        <f t="shared" si="50"/>
        <v>1w</v>
      </c>
      <c r="W2754" s="177">
        <f>_xll.qlCalendarAdvance(Calendar,W2753,V2754,"f",FALSE)</f>
        <v>58264</v>
      </c>
      <c r="X2754" s="181">
        <f>_xll.qlCalendarAdvance(Calendar,W2754,NDays&amp;"D")</f>
        <v>58266</v>
      </c>
      <c r="Y2754" s="178">
        <v>1.9322898481862846E-2</v>
      </c>
      <c r="Z2754" s="183">
        <v>1.9176718042803742E-2</v>
      </c>
    </row>
    <row r="2755" spans="22:26" x14ac:dyDescent="0.2">
      <c r="V2755" s="180" t="str">
        <f t="shared" si="50"/>
        <v>1w</v>
      </c>
      <c r="W2755" s="177">
        <f>_xll.qlCalendarAdvance(Calendar,W2754,V2755,"f",FALSE)</f>
        <v>58271</v>
      </c>
      <c r="X2755" s="181">
        <f>_xll.qlCalendarAdvance(Calendar,W2755,NDays&amp;"D")</f>
        <v>58273</v>
      </c>
      <c r="Y2755" s="178">
        <v>1.9321458555964548E-2</v>
      </c>
      <c r="Z2755" s="183">
        <v>1.9174800949919302E-2</v>
      </c>
    </row>
    <row r="2756" spans="22:26" x14ac:dyDescent="0.2">
      <c r="V2756" s="180" t="str">
        <f t="shared" si="50"/>
        <v>1w</v>
      </c>
      <c r="W2756" s="177">
        <f>_xll.qlCalendarAdvance(Calendar,W2755,V2756,"f",FALSE)</f>
        <v>58278</v>
      </c>
      <c r="X2756" s="181">
        <f>_xll.qlCalendarAdvance(Calendar,W2756,NDays&amp;"D")</f>
        <v>58280</v>
      </c>
      <c r="Y2756" s="178">
        <v>1.9320038275150071E-2</v>
      </c>
      <c r="Z2756" s="183">
        <v>1.9172903120665552E-2</v>
      </c>
    </row>
    <row r="2757" spans="22:26" x14ac:dyDescent="0.2">
      <c r="V2757" s="180" t="str">
        <f t="shared" si="50"/>
        <v>1w</v>
      </c>
      <c r="W2757" s="177">
        <f>_xll.qlCalendarAdvance(Calendar,W2756,V2757,"f",FALSE)</f>
        <v>58285</v>
      </c>
      <c r="X2757" s="181">
        <f>_xll.qlCalendarAdvance(Calendar,W2757,NDays&amp;"D")</f>
        <v>58287</v>
      </c>
      <c r="Y2757" s="178">
        <v>1.9317354527648777E-2</v>
      </c>
      <c r="Z2757" s="183">
        <v>1.9171024554962557E-2</v>
      </c>
    </row>
    <row r="2758" spans="22:26" x14ac:dyDescent="0.2">
      <c r="V2758" s="180" t="str">
        <f t="shared" si="50"/>
        <v>1w</v>
      </c>
      <c r="W2758" s="177">
        <f>_xll.qlCalendarAdvance(Calendar,W2757,V2758,"f",FALSE)</f>
        <v>58292</v>
      </c>
      <c r="X2758" s="181">
        <f>_xll.qlCalendarAdvance(Calendar,W2758,NDays&amp;"D")</f>
        <v>58294</v>
      </c>
      <c r="Y2758" s="178">
        <v>1.9317256648436972E-2</v>
      </c>
      <c r="Z2758" s="183">
        <v>1.9169165252890252E-2</v>
      </c>
    </row>
    <row r="2759" spans="22:26" x14ac:dyDescent="0.2">
      <c r="V2759" s="180" t="str">
        <f t="shared" si="50"/>
        <v>1w</v>
      </c>
      <c r="W2759" s="177">
        <f>_xll.qlCalendarAdvance(Calendar,W2758,V2759,"f",FALSE)</f>
        <v>58299</v>
      </c>
      <c r="X2759" s="181">
        <f>_xll.qlCalendarAdvance(Calendar,W2759,NDays&amp;"D")</f>
        <v>58301</v>
      </c>
      <c r="Y2759" s="178">
        <v>1.9315895302374573E-2</v>
      </c>
      <c r="Z2759" s="183">
        <v>1.9167325214448638E-2</v>
      </c>
    </row>
    <row r="2760" spans="22:26" x14ac:dyDescent="0.2">
      <c r="V2760" s="180" t="str">
        <f t="shared" si="50"/>
        <v>1w</v>
      </c>
      <c r="W2760" s="177">
        <f>_xll.qlCalendarAdvance(Calendar,W2759,V2760,"f",FALSE)</f>
        <v>58306</v>
      </c>
      <c r="X2760" s="181">
        <f>_xll.qlCalendarAdvance(Calendar,W2760,NDays&amp;"D")</f>
        <v>58308</v>
      </c>
      <c r="Y2760" s="178">
        <v>1.9314553601066691E-2</v>
      </c>
      <c r="Z2760" s="183">
        <v>1.9165504439557779E-2</v>
      </c>
    </row>
    <row r="2761" spans="22:26" x14ac:dyDescent="0.2">
      <c r="V2761" s="180" t="str">
        <f t="shared" si="50"/>
        <v>1w</v>
      </c>
      <c r="W2761" s="177">
        <f>_xll.qlCalendarAdvance(Calendar,W2760,V2761,"f",FALSE)</f>
        <v>58313</v>
      </c>
      <c r="X2761" s="181">
        <f>_xll.qlCalendarAdvance(Calendar,W2761,NDays&amp;"D")</f>
        <v>58315</v>
      </c>
      <c r="Y2761" s="178">
        <v>1.9313231544435129E-2</v>
      </c>
      <c r="Z2761" s="183">
        <v>1.9163702928377546E-2</v>
      </c>
    </row>
    <row r="2762" spans="22:26" x14ac:dyDescent="0.2">
      <c r="V2762" s="180" t="str">
        <f t="shared" si="50"/>
        <v>1w</v>
      </c>
      <c r="W2762" s="177">
        <f>_xll.qlCalendarAdvance(Calendar,W2761,V2762,"f",FALSE)</f>
        <v>58320</v>
      </c>
      <c r="X2762" s="181">
        <f>_xll.qlCalendarAdvance(Calendar,W2762,NDays&amp;"D")</f>
        <v>58322</v>
      </c>
      <c r="Y2762" s="178">
        <v>1.9311929132400821E-2</v>
      </c>
      <c r="Z2762" s="183">
        <v>1.9161920680828004E-2</v>
      </c>
    </row>
    <row r="2763" spans="22:26" x14ac:dyDescent="0.2">
      <c r="V2763" s="180" t="str">
        <f t="shared" si="50"/>
        <v>1w</v>
      </c>
      <c r="W2763" s="177">
        <f>_xll.qlCalendarAdvance(Calendar,W2762,V2763,"f",FALSE)</f>
        <v>58327</v>
      </c>
      <c r="X2763" s="181">
        <f>_xll.qlCalendarAdvance(Calendar,W2763,NDays&amp;"D")</f>
        <v>58329</v>
      </c>
      <c r="Y2763" s="178">
        <v>1.931064636488709E-2</v>
      </c>
      <c r="Z2763" s="183">
        <v>1.9160157696909152E-2</v>
      </c>
    </row>
    <row r="2764" spans="22:26" x14ac:dyDescent="0.2">
      <c r="V2764" s="180" t="str">
        <f t="shared" si="50"/>
        <v>1w</v>
      </c>
      <c r="W2764" s="177">
        <f>_xll.qlCalendarAdvance(Calendar,W2763,V2764,"f",FALSE)</f>
        <v>58334</v>
      </c>
      <c r="X2764" s="181">
        <f>_xll.qlCalendarAdvance(Calendar,W2764,NDays&amp;"D")</f>
        <v>58336</v>
      </c>
      <c r="Y2764" s="178">
        <v>1.9309383241818343E-2</v>
      </c>
      <c r="Z2764" s="183">
        <v>1.9158413976381183E-2</v>
      </c>
    </row>
    <row r="2765" spans="22:26" x14ac:dyDescent="0.2">
      <c r="V2765" s="180" t="str">
        <f t="shared" si="50"/>
        <v>1w</v>
      </c>
      <c r="W2765" s="177">
        <f>_xll.qlCalendarAdvance(Calendar,W2764,V2765,"f",FALSE)</f>
        <v>58341</v>
      </c>
      <c r="X2765" s="181">
        <f>_xll.qlCalendarAdvance(Calendar,W2765,NDays&amp;"D")</f>
        <v>58343</v>
      </c>
      <c r="Y2765" s="178">
        <v>1.9308139763120069E-2</v>
      </c>
      <c r="Z2765" s="183">
        <v>1.9156689519723713E-2</v>
      </c>
    </row>
    <row r="2766" spans="22:26" x14ac:dyDescent="0.2">
      <c r="V2766" s="180" t="str">
        <f t="shared" si="50"/>
        <v>1w</v>
      </c>
      <c r="W2766" s="177">
        <f>_xll.qlCalendarAdvance(Calendar,W2765,V2766,"f",FALSE)</f>
        <v>58348</v>
      </c>
      <c r="X2766" s="181">
        <f>_xll.qlCalendarAdvance(Calendar,W2766,NDays&amp;"D")</f>
        <v>58350</v>
      </c>
      <c r="Y2766" s="178">
        <v>1.9306915928718426E-2</v>
      </c>
      <c r="Z2766" s="183">
        <v>1.9154984326537061E-2</v>
      </c>
    </row>
    <row r="2767" spans="22:26" x14ac:dyDescent="0.2">
      <c r="V2767" s="180" t="str">
        <f t="shared" si="50"/>
        <v>1w</v>
      </c>
      <c r="W2767" s="177">
        <f>_xll.qlCalendarAdvance(Calendar,W2766,V2767,"f",FALSE)</f>
        <v>58355</v>
      </c>
      <c r="X2767" s="181">
        <f>_xll.qlCalendarAdvance(Calendar,W2767,NDays&amp;"D")</f>
        <v>58357</v>
      </c>
      <c r="Y2767" s="178">
        <v>1.9305711738541287E-2</v>
      </c>
      <c r="Z2767" s="183">
        <v>1.9153298397061036E-2</v>
      </c>
    </row>
    <row r="2768" spans="22:26" x14ac:dyDescent="0.2">
      <c r="V2768" s="180" t="str">
        <f t="shared" si="50"/>
        <v>1w</v>
      </c>
      <c r="W2768" s="177">
        <f>_xll.qlCalendarAdvance(Calendar,W2767,V2768,"f",FALSE)</f>
        <v>58362</v>
      </c>
      <c r="X2768" s="181">
        <f>_xll.qlCalendarAdvance(Calendar,W2768,NDays&amp;"D")</f>
        <v>58364</v>
      </c>
      <c r="Y2768" s="178">
        <v>1.9304527192517844E-2</v>
      </c>
      <c r="Z2768" s="183">
        <v>1.9151631731135765E-2</v>
      </c>
    </row>
    <row r="2769" spans="22:26" x14ac:dyDescent="0.2">
      <c r="V2769" s="180" t="str">
        <f t="shared" si="50"/>
        <v>1w</v>
      </c>
      <c r="W2769" s="177">
        <f>_xll.qlCalendarAdvance(Calendar,W2768,V2769,"f",FALSE)</f>
        <v>58369</v>
      </c>
      <c r="X2769" s="181">
        <f>_xll.qlCalendarAdvance(Calendar,W2769,NDays&amp;"D")</f>
        <v>58371</v>
      </c>
      <c r="Y2769" s="178">
        <v>1.9303362290577497E-2</v>
      </c>
      <c r="Z2769" s="183">
        <v>1.9149984328921121E-2</v>
      </c>
    </row>
    <row r="2770" spans="22:26" x14ac:dyDescent="0.2">
      <c r="V2770" s="180" t="str">
        <f t="shared" si="50"/>
        <v>1w</v>
      </c>
      <c r="W2770" s="177">
        <f>_xll.qlCalendarAdvance(Calendar,W2769,V2770,"f",FALSE)</f>
        <v>58376</v>
      </c>
      <c r="X2770" s="181">
        <f>_xll.qlCalendarAdvance(Calendar,W2770,NDays&amp;"D")</f>
        <v>58378</v>
      </c>
      <c r="Y2770" s="178">
        <v>1.9300881823029685E-2</v>
      </c>
      <c r="Z2770" s="183">
        <v>1.9148356190177296E-2</v>
      </c>
    </row>
    <row r="2771" spans="22:26" x14ac:dyDescent="0.2">
      <c r="V2771" s="180" t="str">
        <f t="shared" si="50"/>
        <v>1w</v>
      </c>
      <c r="W2771" s="177">
        <f>_xll.qlCalendarAdvance(Calendar,W2770,V2771,"f",FALSE)</f>
        <v>58383</v>
      </c>
      <c r="X2771" s="181">
        <f>_xll.qlCalendarAdvance(Calendar,W2771,NDays&amp;"D")</f>
        <v>58385</v>
      </c>
      <c r="Y2771" s="178">
        <v>1.9301091418673064E-2</v>
      </c>
      <c r="Z2771" s="183">
        <v>1.9146747315064161E-2</v>
      </c>
    </row>
    <row r="2772" spans="22:26" x14ac:dyDescent="0.2">
      <c r="V2772" s="180" t="str">
        <f t="shared" si="50"/>
        <v>1w</v>
      </c>
      <c r="W2772" s="177">
        <f>_xll.qlCalendarAdvance(Calendar,W2771,V2772,"f",FALSE)</f>
        <v>58390</v>
      </c>
      <c r="X2772" s="181">
        <f>_xll.qlCalendarAdvance(Calendar,W2772,NDays&amp;"D")</f>
        <v>58392</v>
      </c>
      <c r="Y2772" s="178">
        <v>1.9299985448574739E-2</v>
      </c>
      <c r="Z2772" s="183">
        <v>1.9145157703581717E-2</v>
      </c>
    </row>
    <row r="2773" spans="22:26" x14ac:dyDescent="0.2">
      <c r="V2773" s="180" t="str">
        <f t="shared" ref="V2773:V2836" si="51">V2772</f>
        <v>1w</v>
      </c>
      <c r="W2773" s="177">
        <f>_xll.qlCalendarAdvance(Calendar,W2772,V2773,"f",FALSE)</f>
        <v>58397</v>
      </c>
      <c r="X2773" s="181">
        <f>_xll.qlCalendarAdvance(Calendar,W2773,NDays&amp;"D")</f>
        <v>58399</v>
      </c>
      <c r="Y2773" s="178">
        <v>1.9298899122291897E-2</v>
      </c>
      <c r="Z2773" s="183">
        <v>1.9143587355889835E-2</v>
      </c>
    </row>
    <row r="2774" spans="22:26" x14ac:dyDescent="0.2">
      <c r="V2774" s="180" t="str">
        <f t="shared" si="51"/>
        <v>1w</v>
      </c>
      <c r="W2774" s="177">
        <f>_xll.qlCalendarAdvance(Calendar,W2773,V2774,"f",FALSE)</f>
        <v>58404</v>
      </c>
      <c r="X2774" s="181">
        <f>_xll.qlCalendarAdvance(Calendar,W2774,NDays&amp;"D")</f>
        <v>58406</v>
      </c>
      <c r="Y2774" s="178">
        <v>1.9297832439759594E-2</v>
      </c>
      <c r="Z2774" s="183">
        <v>1.9142036271668772E-2</v>
      </c>
    </row>
    <row r="2775" spans="22:26" x14ac:dyDescent="0.2">
      <c r="V2775" s="180" t="str">
        <f t="shared" si="51"/>
        <v>1w</v>
      </c>
      <c r="W2775" s="177">
        <f>_xll.qlCalendarAdvance(Calendar,W2774,V2775,"f",FALSE)</f>
        <v>58411</v>
      </c>
      <c r="X2775" s="181">
        <f>_xll.qlCalendarAdvance(Calendar,W2775,NDays&amp;"D")</f>
        <v>58413</v>
      </c>
      <c r="Y2775" s="178">
        <v>1.929678540091527E-2</v>
      </c>
      <c r="Z2775" s="183">
        <v>1.9140504450998463E-2</v>
      </c>
    </row>
    <row r="2776" spans="22:26" x14ac:dyDescent="0.2">
      <c r="V2776" s="180" t="str">
        <f t="shared" si="51"/>
        <v>1w</v>
      </c>
      <c r="W2776" s="177">
        <f>_xll.qlCalendarAdvance(Calendar,W2775,V2776,"f",FALSE)</f>
        <v>58418</v>
      </c>
      <c r="X2776" s="181">
        <f>_xll.qlCalendarAdvance(Calendar,W2776,NDays&amp;"D")</f>
        <v>58420</v>
      </c>
      <c r="Y2776" s="178">
        <v>1.9295758005697241E-2</v>
      </c>
      <c r="Z2776" s="183">
        <v>1.9138991894038782E-2</v>
      </c>
    </row>
    <row r="2777" spans="22:26" x14ac:dyDescent="0.2">
      <c r="V2777" s="180" t="str">
        <f t="shared" si="51"/>
        <v>1w</v>
      </c>
      <c r="W2777" s="177">
        <f>_xll.qlCalendarAdvance(Calendar,W2776,V2777,"f",FALSE)</f>
        <v>58425</v>
      </c>
      <c r="X2777" s="181">
        <f>_xll.qlCalendarAdvance(Calendar,W2777,NDays&amp;"D")</f>
        <v>58427</v>
      </c>
      <c r="Y2777" s="178">
        <v>1.9294750254044462E-2</v>
      </c>
      <c r="Z2777" s="183">
        <v>1.913749860070979E-2</v>
      </c>
    </row>
    <row r="2778" spans="22:26" x14ac:dyDescent="0.2">
      <c r="V2778" s="180" t="str">
        <f t="shared" si="51"/>
        <v>1w</v>
      </c>
      <c r="W2778" s="177">
        <f>_xll.qlCalendarAdvance(Calendar,W2777,V2778,"f",FALSE)</f>
        <v>58432</v>
      </c>
      <c r="X2778" s="181">
        <f>_xll.qlCalendarAdvance(Calendar,W2778,NDays&amp;"D")</f>
        <v>58438</v>
      </c>
      <c r="Y2778" s="178">
        <v>1.9292292953796565E-2</v>
      </c>
      <c r="Z2778" s="183">
        <v>1.9135190917065614E-2</v>
      </c>
    </row>
    <row r="2779" spans="22:26" x14ac:dyDescent="0.2">
      <c r="V2779" s="180" t="str">
        <f t="shared" si="51"/>
        <v>1w</v>
      </c>
      <c r="W2779" s="177">
        <f>_xll.qlCalendarAdvance(Calendar,W2778,V2779,"f",FALSE)</f>
        <v>58439</v>
      </c>
      <c r="X2779" s="181">
        <f>_xll.qlCalendarAdvance(Calendar,W2779,NDays&amp;"D")</f>
        <v>58442</v>
      </c>
      <c r="Y2779" s="178">
        <v>1.9292199397993703E-2</v>
      </c>
      <c r="Z2779" s="183">
        <v>1.9135174833371238E-2</v>
      </c>
    </row>
    <row r="2780" spans="22:26" x14ac:dyDescent="0.2">
      <c r="V2780" s="180" t="str">
        <f t="shared" si="51"/>
        <v>1w</v>
      </c>
      <c r="W2780" s="177">
        <f>_xll.qlCalendarAdvance(Calendar,W2779,V2780,"f",FALSE)</f>
        <v>58446</v>
      </c>
      <c r="X2780" s="181">
        <f>_xll.qlCalendarAdvance(Calendar,W2780,NDays&amp;"D")</f>
        <v>58448</v>
      </c>
      <c r="Y2780" s="178">
        <v>1.9291844859888982E-2</v>
      </c>
      <c r="Z2780" s="183">
        <v>1.913313430210728E-2</v>
      </c>
    </row>
    <row r="2781" spans="22:26" x14ac:dyDescent="0.2">
      <c r="V2781" s="180" t="str">
        <f t="shared" si="51"/>
        <v>1w</v>
      </c>
      <c r="W2781" s="177">
        <f>_xll.qlCalendarAdvance(Calendar,W2780,V2781,"f",FALSE)</f>
        <v>58453</v>
      </c>
      <c r="X2781" s="181">
        <f>_xll.qlCalendarAdvance(Calendar,W2781,NDays&amp;"D")</f>
        <v>58455</v>
      </c>
      <c r="Y2781" s="178">
        <v>1.9290915681914204E-2</v>
      </c>
      <c r="Z2781" s="183">
        <v>1.9131718063141179E-2</v>
      </c>
    </row>
    <row r="2782" spans="22:26" x14ac:dyDescent="0.2">
      <c r="V2782" s="180" t="str">
        <f t="shared" si="51"/>
        <v>1w</v>
      </c>
      <c r="W2782" s="177">
        <f>_xll.qlCalendarAdvance(Calendar,W2781,V2782,"f",FALSE)</f>
        <v>58460</v>
      </c>
      <c r="X2782" s="181">
        <f>_xll.qlCalendarAdvance(Calendar,W2782,NDays&amp;"D")</f>
        <v>58462</v>
      </c>
      <c r="Y2782" s="178">
        <v>1.92900061472186E-2</v>
      </c>
      <c r="Z2782" s="183">
        <v>1.9130321087805768E-2</v>
      </c>
    </row>
    <row r="2783" spans="22:26" x14ac:dyDescent="0.2">
      <c r="V2783" s="180" t="str">
        <f t="shared" si="51"/>
        <v>1w</v>
      </c>
      <c r="W2783" s="177">
        <f>_xll.qlCalendarAdvance(Calendar,W2782,V2783,"f",FALSE)</f>
        <v>58467</v>
      </c>
      <c r="X2783" s="181">
        <f>_xll.qlCalendarAdvance(Calendar,W2783,NDays&amp;"D")</f>
        <v>58469</v>
      </c>
      <c r="Y2783" s="178">
        <v>1.9289116255748522E-2</v>
      </c>
      <c r="Z2783" s="183">
        <v>1.9128943376101049E-2</v>
      </c>
    </row>
    <row r="2784" spans="22:26" x14ac:dyDescent="0.2">
      <c r="V2784" s="180" t="str">
        <f t="shared" si="51"/>
        <v>1w</v>
      </c>
      <c r="W2784" s="177">
        <f>_xll.qlCalendarAdvance(Calendar,W2783,V2784,"f",FALSE)</f>
        <v>58474</v>
      </c>
      <c r="X2784" s="181">
        <f>_xll.qlCalendarAdvance(Calendar,W2784,NDays&amp;"D")</f>
        <v>58476</v>
      </c>
      <c r="Y2784" s="178">
        <v>1.9288246007451836E-2</v>
      </c>
      <c r="Z2784" s="183">
        <v>1.9127584928027019E-2</v>
      </c>
    </row>
    <row r="2785" spans="22:26" x14ac:dyDescent="0.2">
      <c r="V2785" s="180" t="str">
        <f t="shared" si="51"/>
        <v>1w</v>
      </c>
      <c r="W2785" s="177">
        <f>_xll.qlCalendarAdvance(Calendar,W2784,V2785,"f",FALSE)</f>
        <v>58481</v>
      </c>
      <c r="X2785" s="181">
        <f>_xll.qlCalendarAdvance(Calendar,W2785,NDays&amp;"D")</f>
        <v>58483</v>
      </c>
      <c r="Y2785" s="178">
        <v>1.9287395402276628E-2</v>
      </c>
      <c r="Z2785" s="183">
        <v>1.9126245743583681E-2</v>
      </c>
    </row>
    <row r="2786" spans="22:26" x14ac:dyDescent="0.2">
      <c r="V2786" s="180" t="str">
        <f t="shared" si="51"/>
        <v>1w</v>
      </c>
      <c r="W2786" s="177">
        <f>_xll.qlCalendarAdvance(Calendar,W2785,V2786,"f",FALSE)</f>
        <v>58488</v>
      </c>
      <c r="X2786" s="181">
        <f>_xll.qlCalendarAdvance(Calendar,W2786,NDays&amp;"D")</f>
        <v>58490</v>
      </c>
      <c r="Y2786" s="178">
        <v>1.928656444017272E-2</v>
      </c>
      <c r="Z2786" s="183">
        <v>1.9124925822611161E-2</v>
      </c>
    </row>
    <row r="2787" spans="22:26" x14ac:dyDescent="0.2">
      <c r="V2787" s="180" t="str">
        <f t="shared" si="51"/>
        <v>1w</v>
      </c>
      <c r="W2787" s="177">
        <f>_xll.qlCalendarAdvance(Calendar,W2786,V2787,"f",FALSE)</f>
        <v>58495</v>
      </c>
      <c r="X2787" s="181">
        <f>_xll.qlCalendarAdvance(Calendar,W2787,NDays&amp;"D")</f>
        <v>58497</v>
      </c>
      <c r="Y2787" s="178">
        <v>1.9285753121091237E-2</v>
      </c>
      <c r="Z2787" s="183">
        <v>1.9123625165349267E-2</v>
      </c>
    </row>
    <row r="2788" spans="22:26" x14ac:dyDescent="0.2">
      <c r="V2788" s="180" t="str">
        <f t="shared" si="51"/>
        <v>1w</v>
      </c>
      <c r="W2788" s="177">
        <f>_xll.qlCalendarAdvance(Calendar,W2787,V2788,"f",FALSE)</f>
        <v>58502</v>
      </c>
      <c r="X2788" s="181">
        <f>_xll.qlCalendarAdvance(Calendar,W2788,NDays&amp;"D")</f>
        <v>58504</v>
      </c>
      <c r="Y2788" s="178">
        <v>1.9283553227769382E-2</v>
      </c>
      <c r="Z2788" s="183">
        <v>1.9122343771638128E-2</v>
      </c>
    </row>
    <row r="2789" spans="22:26" x14ac:dyDescent="0.2">
      <c r="V2789" s="180" t="str">
        <f t="shared" si="51"/>
        <v>1w</v>
      </c>
      <c r="W2789" s="177">
        <f>_xll.qlCalendarAdvance(Calendar,W2788,V2789,"f",FALSE)</f>
        <v>58509</v>
      </c>
      <c r="X2789" s="181">
        <f>_xll.qlCalendarAdvance(Calendar,W2789,NDays&amp;"D")</f>
        <v>58511</v>
      </c>
      <c r="Y2789" s="178">
        <v>1.9282777108946693E-2</v>
      </c>
      <c r="Z2789" s="183">
        <v>1.912108164155768E-2</v>
      </c>
    </row>
    <row r="2790" spans="22:26" x14ac:dyDescent="0.2">
      <c r="V2790" s="180" t="str">
        <f t="shared" si="51"/>
        <v>1w</v>
      </c>
      <c r="W2790" s="177">
        <f>_xll.qlCalendarAdvance(Calendar,W2789,V2790,"f",FALSE)</f>
        <v>58516</v>
      </c>
      <c r="X2790" s="181">
        <f>_xll.qlCalendarAdvance(Calendar,W2790,NDays&amp;"D")</f>
        <v>58518</v>
      </c>
      <c r="Y2790" s="178">
        <v>1.928202062988451E-2</v>
      </c>
      <c r="Z2790" s="183">
        <v>1.9119838775107922E-2</v>
      </c>
    </row>
    <row r="2791" spans="22:26" x14ac:dyDescent="0.2">
      <c r="V2791" s="180" t="str">
        <f t="shared" si="51"/>
        <v>1w</v>
      </c>
      <c r="W2791" s="177">
        <f>_xll.qlCalendarAdvance(Calendar,W2790,V2791,"f",FALSE)</f>
        <v>58523</v>
      </c>
      <c r="X2791" s="181">
        <f>_xll.qlCalendarAdvance(Calendar,W2791,NDays&amp;"D")</f>
        <v>58525</v>
      </c>
      <c r="Y2791" s="178">
        <v>1.9281283790538367E-2</v>
      </c>
      <c r="Z2791" s="183">
        <v>1.9118615172288855E-2</v>
      </c>
    </row>
    <row r="2792" spans="22:26" x14ac:dyDescent="0.2">
      <c r="V2792" s="180" t="str">
        <f t="shared" si="51"/>
        <v>1w</v>
      </c>
      <c r="W2792" s="177">
        <f>_xll.qlCalendarAdvance(Calendar,W2791,V2792,"f",FALSE)</f>
        <v>58530</v>
      </c>
      <c r="X2792" s="181">
        <f>_xll.qlCalendarAdvance(Calendar,W2792,NDays&amp;"D")</f>
        <v>58532</v>
      </c>
      <c r="Y2792" s="178">
        <v>1.9280566590865127E-2</v>
      </c>
      <c r="Z2792" s="183">
        <v>1.9117410833100479E-2</v>
      </c>
    </row>
    <row r="2793" spans="22:26" x14ac:dyDescent="0.2">
      <c r="V2793" s="180" t="str">
        <f t="shared" si="51"/>
        <v>1w</v>
      </c>
      <c r="W2793" s="177">
        <f>_xll.qlCalendarAdvance(Calendar,W2792,V2793,"f",FALSE)</f>
        <v>58537</v>
      </c>
      <c r="X2793" s="181">
        <f>_xll.qlCalendarAdvance(Calendar,W2793,NDays&amp;"D")</f>
        <v>58539</v>
      </c>
      <c r="Y2793" s="178">
        <v>1.9281774228815305E-2</v>
      </c>
      <c r="Z2793" s="183">
        <v>1.9116225757382921E-2</v>
      </c>
    </row>
    <row r="2794" spans="22:26" x14ac:dyDescent="0.2">
      <c r="V2794" s="180" t="str">
        <f t="shared" si="51"/>
        <v>1w</v>
      </c>
      <c r="W2794" s="177">
        <f>_xll.qlCalendarAdvance(Calendar,W2793,V2794,"f",FALSE)</f>
        <v>58544</v>
      </c>
      <c r="X2794" s="181">
        <f>_xll.qlCalendarAdvance(Calendar,W2794,NDays&amp;"D")</f>
        <v>58546</v>
      </c>
      <c r="Y2794" s="178">
        <v>1.9279191110370911E-2</v>
      </c>
      <c r="Z2794" s="183">
        <v>1.9116760745021111E-2</v>
      </c>
    </row>
    <row r="2795" spans="22:26" x14ac:dyDescent="0.2">
      <c r="V2795" s="180" t="str">
        <f t="shared" si="51"/>
        <v>1w</v>
      </c>
      <c r="W2795" s="177">
        <f>_xll.qlCalendarAdvance(Calendar,W2794,V2795,"f",FALSE)</f>
        <v>58551</v>
      </c>
      <c r="X2795" s="181">
        <f>_xll.qlCalendarAdvance(Calendar,W2795,NDays&amp;"D")</f>
        <v>58553</v>
      </c>
      <c r="Y2795" s="178">
        <v>1.9278532829469123E-2</v>
      </c>
      <c r="Z2795" s="183">
        <v>1.9113913396999749E-2</v>
      </c>
    </row>
    <row r="2796" spans="22:26" x14ac:dyDescent="0.2">
      <c r="V2796" s="180" t="str">
        <f t="shared" si="51"/>
        <v>1w</v>
      </c>
      <c r="W2796" s="177">
        <f>_xll.qlCalendarAdvance(Calendar,W2795,V2796,"f",FALSE)</f>
        <v>58558</v>
      </c>
      <c r="X2796" s="181">
        <f>_xll.qlCalendarAdvance(Calendar,W2796,NDays&amp;"D")</f>
        <v>58560</v>
      </c>
      <c r="Y2796" s="178">
        <v>1.927789418807949E-2</v>
      </c>
      <c r="Z2796" s="183">
        <v>1.9112786112254199E-2</v>
      </c>
    </row>
    <row r="2797" spans="22:26" x14ac:dyDescent="0.2">
      <c r="V2797" s="180" t="str">
        <f t="shared" si="51"/>
        <v>1w</v>
      </c>
      <c r="W2797" s="177">
        <f>_xll.qlCalendarAdvance(Calendar,W2796,V2797,"f",FALSE)</f>
        <v>58565</v>
      </c>
      <c r="X2797" s="181">
        <f>_xll.qlCalendarAdvance(Calendar,W2797,NDays&amp;"D")</f>
        <v>58567</v>
      </c>
      <c r="Y2797" s="178">
        <v>1.9277275186163682E-2</v>
      </c>
      <c r="Z2797" s="183">
        <v>1.9111678090979467E-2</v>
      </c>
    </row>
    <row r="2798" spans="22:26" x14ac:dyDescent="0.2">
      <c r="V2798" s="180" t="str">
        <f t="shared" si="51"/>
        <v>1w</v>
      </c>
      <c r="W2798" s="177">
        <f>_xll.qlCalendarAdvance(Calendar,W2797,V2798,"f",FALSE)</f>
        <v>58572</v>
      </c>
      <c r="X2798" s="181">
        <f>_xll.qlCalendarAdvance(Calendar,W2798,NDays&amp;"D")</f>
        <v>58574</v>
      </c>
      <c r="Y2798" s="178">
        <v>1.9276675823686005E-2</v>
      </c>
      <c r="Z2798" s="183">
        <v>1.9110589333415362E-2</v>
      </c>
    </row>
    <row r="2799" spans="22:26" x14ac:dyDescent="0.2">
      <c r="V2799" s="180" t="str">
        <f t="shared" si="51"/>
        <v>1w</v>
      </c>
      <c r="W2799" s="177">
        <f>_xll.qlCalendarAdvance(Calendar,W2798,V2799,"f",FALSE)</f>
        <v>58579</v>
      </c>
      <c r="X2799" s="181">
        <f>_xll.qlCalendarAdvance(Calendar,W2799,NDays&amp;"D")</f>
        <v>58581</v>
      </c>
      <c r="Y2799" s="178">
        <v>1.9276096100611637E-2</v>
      </c>
      <c r="Z2799" s="183">
        <v>1.9109519839481948E-2</v>
      </c>
    </row>
    <row r="2800" spans="22:26" x14ac:dyDescent="0.2">
      <c r="V2800" s="180" t="str">
        <f t="shared" si="51"/>
        <v>1w</v>
      </c>
      <c r="W2800" s="177">
        <f>_xll.qlCalendarAdvance(Calendar,W2799,V2800,"f",FALSE)</f>
        <v>58586</v>
      </c>
      <c r="X2800" s="181">
        <f>_xll.qlCalendarAdvance(Calendar,W2800,NDays&amp;"D")</f>
        <v>58588</v>
      </c>
      <c r="Y2800" s="178">
        <v>1.9275536016905757E-2</v>
      </c>
      <c r="Z2800" s="183">
        <v>1.9108469609019352E-2</v>
      </c>
    </row>
    <row r="2801" spans="22:26" x14ac:dyDescent="0.2">
      <c r="V2801" s="180" t="str">
        <f t="shared" si="51"/>
        <v>1w</v>
      </c>
      <c r="W2801" s="177">
        <f>_xll.qlCalendarAdvance(Calendar,W2800,V2801,"f",FALSE)</f>
        <v>58593</v>
      </c>
      <c r="X2801" s="181">
        <f>_xll.qlCalendarAdvance(Calendar,W2801,NDays&amp;"D")</f>
        <v>58595</v>
      </c>
      <c r="Y2801" s="178">
        <v>1.9274995572536393E-2</v>
      </c>
      <c r="Z2801" s="183">
        <v>1.9107438642267383E-2</v>
      </c>
    </row>
    <row r="2802" spans="22:26" x14ac:dyDescent="0.2">
      <c r="V2802" s="180" t="str">
        <f t="shared" si="51"/>
        <v>1w</v>
      </c>
      <c r="W2802" s="177">
        <f>_xll.qlCalendarAdvance(Calendar,W2801,V2802,"f",FALSE)</f>
        <v>58600</v>
      </c>
      <c r="X2802" s="181">
        <f>_xll.qlCalendarAdvance(Calendar,W2802,NDays&amp;"D")</f>
        <v>58602</v>
      </c>
      <c r="Y2802" s="178">
        <v>1.9274474767471565E-2</v>
      </c>
      <c r="Z2802" s="183">
        <v>1.9106426939146104E-2</v>
      </c>
    </row>
    <row r="2803" spans="22:26" x14ac:dyDescent="0.2">
      <c r="V2803" s="180" t="str">
        <f t="shared" si="51"/>
        <v>1w</v>
      </c>
      <c r="W2803" s="177">
        <f>_xll.qlCalendarAdvance(Calendar,W2802,V2803,"f",FALSE)</f>
        <v>58607</v>
      </c>
      <c r="X2803" s="181">
        <f>_xll.qlCalendarAdvance(Calendar,W2803,NDays&amp;"D")</f>
        <v>58609</v>
      </c>
      <c r="Y2803" s="178">
        <v>1.9273973601680833E-2</v>
      </c>
      <c r="Z2803" s="183">
        <v>1.910543449957558E-2</v>
      </c>
    </row>
    <row r="2804" spans="22:26" x14ac:dyDescent="0.2">
      <c r="V2804" s="180" t="str">
        <f t="shared" si="51"/>
        <v>1w</v>
      </c>
      <c r="W2804" s="177">
        <f>_xll.qlCalendarAdvance(Calendar,W2803,V2804,"f",FALSE)</f>
        <v>58614</v>
      </c>
      <c r="X2804" s="181">
        <f>_xll.qlCalendarAdvance(Calendar,W2804,NDays&amp;"D")</f>
        <v>58616</v>
      </c>
      <c r="Y2804" s="178">
        <v>1.9273492075134634E-2</v>
      </c>
      <c r="Z2804" s="183">
        <v>1.910446132355581E-2</v>
      </c>
    </row>
    <row r="2805" spans="22:26" x14ac:dyDescent="0.2">
      <c r="V2805" s="180" t="str">
        <f t="shared" si="51"/>
        <v>1w</v>
      </c>
      <c r="W2805" s="177">
        <f>_xll.qlCalendarAdvance(Calendar,W2804,V2805,"f",FALSE)</f>
        <v>58621</v>
      </c>
      <c r="X2805" s="181">
        <f>_xll.qlCalendarAdvance(Calendar,W2805,NDays&amp;"D")</f>
        <v>58623</v>
      </c>
      <c r="Y2805" s="178">
        <v>1.9273030187804716E-2</v>
      </c>
      <c r="Z2805" s="183">
        <v>1.9103507411246667E-2</v>
      </c>
    </row>
    <row r="2806" spans="22:26" x14ac:dyDescent="0.2">
      <c r="V2806" s="180" t="str">
        <f t="shared" si="51"/>
        <v>1w</v>
      </c>
      <c r="W2806" s="177">
        <f>_xll.qlCalendarAdvance(Calendar,W2805,V2806,"f",FALSE)</f>
        <v>58628</v>
      </c>
      <c r="X2806" s="181">
        <f>_xll.qlCalendarAdvance(Calendar,W2806,NDays&amp;"D")</f>
        <v>58630</v>
      </c>
      <c r="Y2806" s="178">
        <v>1.9272587939664583E-2</v>
      </c>
      <c r="Z2806" s="183">
        <v>1.9102572762568215E-2</v>
      </c>
    </row>
    <row r="2807" spans="22:26" x14ac:dyDescent="0.2">
      <c r="V2807" s="180" t="str">
        <f t="shared" si="51"/>
        <v>1w</v>
      </c>
      <c r="W2807" s="177">
        <f>_xll.qlCalendarAdvance(Calendar,W2806,V2807,"f",FALSE)</f>
        <v>58635</v>
      </c>
      <c r="X2807" s="181">
        <f>_xll.qlCalendarAdvance(Calendar,W2807,NDays&amp;"D")</f>
        <v>58637</v>
      </c>
      <c r="Y2807" s="178">
        <v>1.9272165330687509E-2</v>
      </c>
      <c r="Z2807" s="183">
        <v>1.9101657377360581E-2</v>
      </c>
    </row>
    <row r="2808" spans="22:26" x14ac:dyDescent="0.2">
      <c r="V2808" s="180" t="str">
        <f t="shared" si="51"/>
        <v>1w</v>
      </c>
      <c r="W2808" s="177">
        <f>_xll.qlCalendarAdvance(Calendar,W2807,V2808,"f",FALSE)</f>
        <v>58642</v>
      </c>
      <c r="X2808" s="181">
        <f>_xll.qlCalendarAdvance(Calendar,W2808,NDays&amp;"D")</f>
        <v>58644</v>
      </c>
      <c r="Y2808" s="178">
        <v>1.9271762360849407E-2</v>
      </c>
      <c r="Z2808" s="183">
        <v>1.9100761255863574E-2</v>
      </c>
    </row>
    <row r="2809" spans="22:26" x14ac:dyDescent="0.2">
      <c r="V2809" s="180" t="str">
        <f t="shared" si="51"/>
        <v>1w</v>
      </c>
      <c r="W2809" s="177">
        <f>_xll.qlCalendarAdvance(Calendar,W2808,V2809,"f",FALSE)</f>
        <v>58649</v>
      </c>
      <c r="X2809" s="181">
        <f>_xll.qlCalendarAdvance(Calendar,W2809,NDays&amp;"D")</f>
        <v>58651</v>
      </c>
      <c r="Y2809" s="178">
        <v>1.9271379030126188E-2</v>
      </c>
      <c r="Z2809" s="183">
        <v>1.9099884397917322E-2</v>
      </c>
    </row>
    <row r="2810" spans="22:26" x14ac:dyDescent="0.2">
      <c r="V2810" s="180" t="str">
        <f t="shared" si="51"/>
        <v>1w</v>
      </c>
      <c r="W2810" s="177">
        <f>_xll.qlCalendarAdvance(Calendar,W2809,V2810,"f",FALSE)</f>
        <v>58656</v>
      </c>
      <c r="X2810" s="181">
        <f>_xll.qlCalendarAdvance(Calendar,W2810,NDays&amp;"D")</f>
        <v>58658</v>
      </c>
      <c r="Y2810" s="178">
        <v>1.9271015338495515E-2</v>
      </c>
      <c r="Z2810" s="183">
        <v>1.909902680360176E-2</v>
      </c>
    </row>
    <row r="2811" spans="22:26" x14ac:dyDescent="0.2">
      <c r="V2811" s="180" t="str">
        <f t="shared" si="51"/>
        <v>1w</v>
      </c>
      <c r="W2811" s="177">
        <f>_xll.qlCalendarAdvance(Calendar,W2810,V2811,"f",FALSE)</f>
        <v>58663</v>
      </c>
      <c r="X2811" s="181">
        <f>_xll.qlCalendarAdvance(Calendar,W2811,NDays&amp;"D")</f>
        <v>58665</v>
      </c>
      <c r="Y2811" s="178">
        <v>1.927067128593658E-2</v>
      </c>
      <c r="Z2811" s="183">
        <v>1.9098188472916888E-2</v>
      </c>
    </row>
    <row r="2812" spans="22:26" x14ac:dyDescent="0.2">
      <c r="V2812" s="180" t="str">
        <f t="shared" si="51"/>
        <v>1w</v>
      </c>
      <c r="W2812" s="177">
        <f>_xll.qlCalendarAdvance(Calendar,W2811,V2812,"f",FALSE)</f>
        <v>58670</v>
      </c>
      <c r="X2812" s="181">
        <f>_xll.qlCalendarAdvance(Calendar,W2812,NDays&amp;"D")</f>
        <v>58672</v>
      </c>
      <c r="Y2812" s="178">
        <v>1.9270346872428356E-2</v>
      </c>
      <c r="Z2812" s="183">
        <v>1.9097369405862707E-2</v>
      </c>
    </row>
    <row r="2813" spans="22:26" x14ac:dyDescent="0.2">
      <c r="V2813" s="180" t="str">
        <f t="shared" si="51"/>
        <v>1w</v>
      </c>
      <c r="W2813" s="177">
        <f>_xll.qlCalendarAdvance(Calendar,W2812,V2813,"f",FALSE)</f>
        <v>58677</v>
      </c>
      <c r="X2813" s="181">
        <f>_xll.qlCalendarAdvance(Calendar,W2813,NDays&amp;"D")</f>
        <v>58679</v>
      </c>
      <c r="Y2813" s="178">
        <v>1.9270042097952453E-2</v>
      </c>
      <c r="Z2813" s="183">
        <v>1.9096569602279345E-2</v>
      </c>
    </row>
    <row r="2814" spans="22:26" x14ac:dyDescent="0.2">
      <c r="V2814" s="180" t="str">
        <f t="shared" si="51"/>
        <v>1w</v>
      </c>
      <c r="W2814" s="177">
        <f>_xll.qlCalendarAdvance(Calendar,W2813,V2814,"f",FALSE)</f>
        <v>58684</v>
      </c>
      <c r="X2814" s="181">
        <f>_xll.qlCalendarAdvance(Calendar,W2814,NDays&amp;"D")</f>
        <v>58686</v>
      </c>
      <c r="Y2814" s="178">
        <v>1.9269756962490912E-2</v>
      </c>
      <c r="Z2814" s="183">
        <v>1.9095789062486546E-2</v>
      </c>
    </row>
    <row r="2815" spans="22:26" x14ac:dyDescent="0.2">
      <c r="V2815" s="180" t="str">
        <f t="shared" si="51"/>
        <v>1w</v>
      </c>
      <c r="W2815" s="177">
        <f>_xll.qlCalendarAdvance(Calendar,W2814,V2815,"f",FALSE)</f>
        <v>58691</v>
      </c>
      <c r="X2815" s="181">
        <f>_xll.qlCalendarAdvance(Calendar,W2815,NDays&amp;"D")</f>
        <v>58693</v>
      </c>
      <c r="Y2815" s="178">
        <v>1.9269491466027085E-2</v>
      </c>
      <c r="Z2815" s="183">
        <v>1.9095027786084628E-2</v>
      </c>
    </row>
    <row r="2816" spans="22:26" x14ac:dyDescent="0.2">
      <c r="V2816" s="180" t="str">
        <f t="shared" si="51"/>
        <v>1w</v>
      </c>
      <c r="W2816" s="177">
        <f>_xll.qlCalendarAdvance(Calendar,W2815,V2816,"f",FALSE)</f>
        <v>58698</v>
      </c>
      <c r="X2816" s="181">
        <f>_xll.qlCalendarAdvance(Calendar,W2816,NDays&amp;"D")</f>
        <v>58700</v>
      </c>
      <c r="Y2816" s="178">
        <v>1.9269245608544983E-2</v>
      </c>
      <c r="Z2816" s="183">
        <v>1.9094285773473274E-2</v>
      </c>
    </row>
    <row r="2817" spans="22:26" x14ac:dyDescent="0.2">
      <c r="V2817" s="180" t="str">
        <f t="shared" si="51"/>
        <v>1w</v>
      </c>
      <c r="W2817" s="177">
        <f>_xll.qlCalendarAdvance(Calendar,W2816,V2817,"f",FALSE)</f>
        <v>58705</v>
      </c>
      <c r="X2817" s="181">
        <f>_xll.qlCalendarAdvance(Calendar,W2817,NDays&amp;"D")</f>
        <v>58707</v>
      </c>
      <c r="Y2817" s="178">
        <v>1.9269019390030596E-2</v>
      </c>
      <c r="Z2817" s="183">
        <v>1.9093563024412674E-2</v>
      </c>
    </row>
    <row r="2818" spans="22:26" x14ac:dyDescent="0.2">
      <c r="V2818" s="180" t="str">
        <f t="shared" si="51"/>
        <v>1w</v>
      </c>
      <c r="W2818" s="177">
        <f>_xll.qlCalendarAdvance(Calendar,W2817,V2818,"f",FALSE)</f>
        <v>58712</v>
      </c>
      <c r="X2818" s="181">
        <f>_xll.qlCalendarAdvance(Calendar,W2818,NDays&amp;"D")</f>
        <v>58714</v>
      </c>
      <c r="Y2818" s="178">
        <v>1.9268812810470784E-2</v>
      </c>
      <c r="Z2818" s="183">
        <v>1.9092859538822893E-2</v>
      </c>
    </row>
    <row r="2819" spans="22:26" x14ac:dyDescent="0.2">
      <c r="V2819" s="180" t="str">
        <f t="shared" si="51"/>
        <v>1w</v>
      </c>
      <c r="W2819" s="177">
        <f>_xll.qlCalendarAdvance(Calendar,W2818,V2819,"f",FALSE)</f>
        <v>58719</v>
      </c>
      <c r="X2819" s="181">
        <f>_xll.qlCalendarAdvance(Calendar,W2819,NDays&amp;"D")</f>
        <v>58721</v>
      </c>
      <c r="Y2819" s="178">
        <v>1.9268625869853059E-2</v>
      </c>
      <c r="Z2819" s="183">
        <v>1.9092175317023674E-2</v>
      </c>
    </row>
    <row r="2820" spans="22:26" x14ac:dyDescent="0.2">
      <c r="V2820" s="180" t="str">
        <f t="shared" si="51"/>
        <v>1w</v>
      </c>
      <c r="W2820" s="177">
        <f>_xll.qlCalendarAdvance(Calendar,W2819,V2820,"f",FALSE)</f>
        <v>58726</v>
      </c>
      <c r="X2820" s="181">
        <f>_xll.qlCalendarAdvance(Calendar,W2820,NDays&amp;"D")</f>
        <v>58728</v>
      </c>
      <c r="Y2820" s="178">
        <v>1.9268458568166908E-2</v>
      </c>
      <c r="Z2820" s="183">
        <v>1.9091510358855146E-2</v>
      </c>
    </row>
    <row r="2821" spans="22:26" x14ac:dyDescent="0.2">
      <c r="V2821" s="180" t="str">
        <f t="shared" si="51"/>
        <v>1w</v>
      </c>
      <c r="W2821" s="177">
        <f>_xll.qlCalendarAdvance(Calendar,W2820,V2821,"f",FALSE)</f>
        <v>58733</v>
      </c>
      <c r="X2821" s="181">
        <f>_xll.qlCalendarAdvance(Calendar,W2821,NDays&amp;"D")</f>
        <v>58735</v>
      </c>
      <c r="Y2821" s="178">
        <v>1.9268310905402045E-2</v>
      </c>
      <c r="Z2821" s="183">
        <v>1.9090864664157436E-2</v>
      </c>
    </row>
    <row r="2822" spans="22:26" x14ac:dyDescent="0.2">
      <c r="V2822" s="180" t="str">
        <f t="shared" si="51"/>
        <v>1w</v>
      </c>
      <c r="W2822" s="177">
        <f>_xll.qlCalendarAdvance(Calendar,W2821,V2822,"f",FALSE)</f>
        <v>58740</v>
      </c>
      <c r="X2822" s="181">
        <f>_xll.qlCalendarAdvance(Calendar,W2822,NDays&amp;"D")</f>
        <v>58742</v>
      </c>
      <c r="Y2822" s="178">
        <v>1.9268182881549922E-2</v>
      </c>
      <c r="Z2822" s="183">
        <v>1.9090238233090417E-2</v>
      </c>
    </row>
    <row r="2823" spans="22:26" x14ac:dyDescent="0.2">
      <c r="V2823" s="180" t="str">
        <f t="shared" si="51"/>
        <v>1w</v>
      </c>
      <c r="W2823" s="177">
        <f>_xll.qlCalendarAdvance(Calendar,W2822,V2823,"f",FALSE)</f>
        <v>58747</v>
      </c>
      <c r="X2823" s="181">
        <f>_xll.qlCalendarAdvance(Calendar,W2823,NDays&amp;"D")</f>
        <v>58749</v>
      </c>
      <c r="Y2823" s="178">
        <v>1.9268074496603536E-2</v>
      </c>
      <c r="Z2823" s="183">
        <v>1.9089631065654089E-2</v>
      </c>
    </row>
    <row r="2824" spans="22:26" x14ac:dyDescent="0.2">
      <c r="V2824" s="180" t="str">
        <f t="shared" si="51"/>
        <v>1w</v>
      </c>
      <c r="W2824" s="177">
        <f>_xll.qlCalendarAdvance(Calendar,W2823,V2824,"f",FALSE)</f>
        <v>58754</v>
      </c>
      <c r="X2824" s="181">
        <f>_xll.qlCalendarAdvance(Calendar,W2824,NDays&amp;"D")</f>
        <v>58756</v>
      </c>
      <c r="Y2824" s="178">
        <v>1.9267985750555654E-2</v>
      </c>
      <c r="Z2824" s="183">
        <v>1.9089043161768515E-2</v>
      </c>
    </row>
    <row r="2825" spans="22:26" x14ac:dyDescent="0.2">
      <c r="V2825" s="180" t="str">
        <f t="shared" si="51"/>
        <v>1w</v>
      </c>
      <c r="W2825" s="177">
        <f>_xll.qlCalendarAdvance(Calendar,W2824,V2825,"f",FALSE)</f>
        <v>58761</v>
      </c>
      <c r="X2825" s="181">
        <f>_xll.qlCalendarAdvance(Calendar,W2825,NDays&amp;"D")</f>
        <v>58763</v>
      </c>
      <c r="Y2825" s="178">
        <v>1.9267916643402119E-2</v>
      </c>
      <c r="Z2825" s="183">
        <v>1.9088474521513632E-2</v>
      </c>
    </row>
    <row r="2826" spans="22:26" x14ac:dyDescent="0.2">
      <c r="V2826" s="180" t="str">
        <f t="shared" si="51"/>
        <v>1w</v>
      </c>
      <c r="W2826" s="177">
        <f>_xll.qlCalendarAdvance(Calendar,W2825,V2826,"f",FALSE)</f>
        <v>58768</v>
      </c>
      <c r="X2826" s="181">
        <f>_xll.qlCalendarAdvance(Calendar,W2826,NDays&amp;"D")</f>
        <v>58770</v>
      </c>
      <c r="Y2826" s="178">
        <v>1.9267867175138113E-2</v>
      </c>
      <c r="Z2826" s="183">
        <v>1.9087925144889439E-2</v>
      </c>
    </row>
    <row r="2827" spans="22:26" x14ac:dyDescent="0.2">
      <c r="V2827" s="180" t="str">
        <f t="shared" si="51"/>
        <v>1w</v>
      </c>
      <c r="W2827" s="177">
        <f>_xll.qlCalendarAdvance(Calendar,W2826,V2827,"f",FALSE)</f>
        <v>58775</v>
      </c>
      <c r="X2827" s="181">
        <f>_xll.qlCalendarAdvance(Calendar,W2827,NDays&amp;"D")</f>
        <v>58777</v>
      </c>
      <c r="Y2827" s="178">
        <v>1.926783734576101E-2</v>
      </c>
      <c r="Z2827" s="183">
        <v>1.9087395031895937E-2</v>
      </c>
    </row>
    <row r="2828" spans="22:26" x14ac:dyDescent="0.2">
      <c r="V2828" s="180" t="str">
        <f t="shared" si="51"/>
        <v>1w</v>
      </c>
      <c r="W2828" s="177">
        <f>_xll.qlCalendarAdvance(Calendar,W2827,V2828,"f",FALSE)</f>
        <v>58782</v>
      </c>
      <c r="X2828" s="181">
        <f>_xll.qlCalendarAdvance(Calendar,W2828,NDays&amp;"D")</f>
        <v>58784</v>
      </c>
      <c r="Y2828" s="178">
        <v>1.9267827155268834E-2</v>
      </c>
      <c r="Z2828" s="183">
        <v>1.908688418245319E-2</v>
      </c>
    </row>
    <row r="2829" spans="22:26" x14ac:dyDescent="0.2">
      <c r="V2829" s="180" t="str">
        <f t="shared" si="51"/>
        <v>1w</v>
      </c>
      <c r="W2829" s="177">
        <f>_xll.qlCalendarAdvance(Calendar,W2828,V2829,"f",FALSE)</f>
        <v>58789</v>
      </c>
      <c r="X2829" s="181">
        <f>_xll.qlCalendarAdvance(Calendar,W2829,NDays&amp;"D")</f>
        <v>58791</v>
      </c>
      <c r="Y2829" s="178">
        <v>1.9267836603661586E-2</v>
      </c>
      <c r="Z2829" s="183">
        <v>1.9086392596561197E-2</v>
      </c>
    </row>
    <row r="2830" spans="22:26" x14ac:dyDescent="0.2">
      <c r="V2830" s="180" t="str">
        <f t="shared" si="51"/>
        <v>1w</v>
      </c>
      <c r="W2830" s="177">
        <f>_xll.qlCalendarAdvance(Calendar,W2829,V2830,"f",FALSE)</f>
        <v>58796</v>
      </c>
      <c r="X2830" s="181">
        <f>_xll.qlCalendarAdvance(Calendar,W2830,NDays&amp;"D")</f>
        <v>58798</v>
      </c>
      <c r="Y2830" s="178">
        <v>1.9267865690939051E-2</v>
      </c>
      <c r="Z2830" s="183">
        <v>1.9085920274299895E-2</v>
      </c>
    </row>
    <row r="2831" spans="22:26" x14ac:dyDescent="0.2">
      <c r="V2831" s="180" t="str">
        <f t="shared" si="51"/>
        <v>1w</v>
      </c>
      <c r="W2831" s="177">
        <f>_xll.qlCalendarAdvance(Calendar,W2830,V2831,"f",FALSE)</f>
        <v>58803</v>
      </c>
      <c r="X2831" s="181">
        <f>_xll.qlCalendarAdvance(Calendar,W2831,NDays&amp;"D")</f>
        <v>58805</v>
      </c>
      <c r="Y2831" s="178">
        <v>1.9267914417103411E-2</v>
      </c>
      <c r="Z2831" s="183">
        <v>1.9085467215749219E-2</v>
      </c>
    </row>
    <row r="2832" spans="22:26" x14ac:dyDescent="0.2">
      <c r="V2832" s="180" t="str">
        <f t="shared" si="51"/>
        <v>1w</v>
      </c>
      <c r="W2832" s="177">
        <f>_xll.qlCalendarAdvance(Calendar,W2831,V2832,"f",FALSE)</f>
        <v>58810</v>
      </c>
      <c r="X2832" s="181">
        <f>_xll.qlCalendarAdvance(Calendar,W2832,NDays&amp;"D")</f>
        <v>58812</v>
      </c>
      <c r="Y2832" s="178">
        <v>1.9267982782157522E-2</v>
      </c>
      <c r="Z2832" s="183">
        <v>1.9085033420749298E-2</v>
      </c>
    </row>
    <row r="2833" spans="22:26" x14ac:dyDescent="0.2">
      <c r="V2833" s="180" t="str">
        <f t="shared" si="51"/>
        <v>1w</v>
      </c>
      <c r="W2833" s="177">
        <f>_xll.qlCalendarAdvance(Calendar,W2832,V2833,"f",FALSE)</f>
        <v>58817</v>
      </c>
      <c r="X2833" s="181">
        <f>_xll.qlCalendarAdvance(Calendar,W2833,NDays&amp;"D")</f>
        <v>58819</v>
      </c>
      <c r="Y2833" s="178">
        <v>1.9268070786105106E-2</v>
      </c>
      <c r="Z2833" s="183">
        <v>1.9084618889220195E-2</v>
      </c>
    </row>
    <row r="2834" spans="22:26" x14ac:dyDescent="0.2">
      <c r="V2834" s="180" t="str">
        <f t="shared" si="51"/>
        <v>1w</v>
      </c>
      <c r="W2834" s="177">
        <f>_xll.qlCalendarAdvance(Calendar,W2833,V2834,"f",FALSE)</f>
        <v>58824</v>
      </c>
      <c r="X2834" s="181">
        <f>_xll.qlCalendarAdvance(Calendar,W2834,NDays&amp;"D")</f>
        <v>58826</v>
      </c>
      <c r="Y2834" s="178">
        <v>1.9268178428951632E-2</v>
      </c>
      <c r="Z2834" s="183">
        <v>1.9084223621481655E-2</v>
      </c>
    </row>
    <row r="2835" spans="22:26" x14ac:dyDescent="0.2">
      <c r="V2835" s="180" t="str">
        <f t="shared" si="51"/>
        <v>1w</v>
      </c>
      <c r="W2835" s="177">
        <f>_xll.qlCalendarAdvance(Calendar,W2834,V2835,"f",FALSE)</f>
        <v>58831</v>
      </c>
      <c r="X2835" s="181">
        <f>_xll.qlCalendarAdvance(Calendar,W2835,NDays&amp;"D")</f>
        <v>58833</v>
      </c>
      <c r="Y2835" s="178">
        <v>1.9268305710703235E-2</v>
      </c>
      <c r="Z2835" s="183">
        <v>1.908384761729387E-2</v>
      </c>
    </row>
    <row r="2836" spans="22:26" x14ac:dyDescent="0.2">
      <c r="V2836" s="180" t="str">
        <f t="shared" si="51"/>
        <v>1w</v>
      </c>
      <c r="W2836" s="177">
        <f>_xll.qlCalendarAdvance(Calendar,W2835,V2836,"f",FALSE)</f>
        <v>58838</v>
      </c>
      <c r="X2836" s="181">
        <f>_xll.qlCalendarAdvance(Calendar,W2836,NDays&amp;"D")</f>
        <v>58840</v>
      </c>
      <c r="Y2836" s="178">
        <v>1.9268452631367363E-2</v>
      </c>
      <c r="Z2836" s="183">
        <v>1.9083490876656839E-2</v>
      </c>
    </row>
    <row r="2837" spans="22:26" x14ac:dyDescent="0.2">
      <c r="V2837" s="180" t="str">
        <f t="shared" ref="V2837:V2900" si="52">V2836</f>
        <v>1w</v>
      </c>
      <c r="W2837" s="177">
        <f>_xll.qlCalendarAdvance(Calendar,W2836,V2837,"f",FALSE)</f>
        <v>58845</v>
      </c>
      <c r="X2837" s="181">
        <f>_xll.qlCalendarAdvance(Calendar,W2837,NDays&amp;"D")</f>
        <v>58847</v>
      </c>
      <c r="Y2837" s="178">
        <v>1.9268619190952775E-2</v>
      </c>
      <c r="Z2837" s="183">
        <v>1.9083153399730435E-2</v>
      </c>
    </row>
    <row r="2838" spans="22:26" x14ac:dyDescent="0.2">
      <c r="V2838" s="180" t="str">
        <f t="shared" si="52"/>
        <v>1w</v>
      </c>
      <c r="W2838" s="177">
        <f>_xll.qlCalendarAdvance(Calendar,W2837,V2838,"f",FALSE)</f>
        <v>58852</v>
      </c>
      <c r="X2838" s="181">
        <f>_xll.qlCalendarAdvance(Calendar,W2838,NDays&amp;"D")</f>
        <v>58854</v>
      </c>
      <c r="Y2838" s="178">
        <v>1.9268805389468888E-2</v>
      </c>
      <c r="Z2838" s="183">
        <v>1.9082835186354785E-2</v>
      </c>
    </row>
    <row r="2839" spans="22:26" x14ac:dyDescent="0.2">
      <c r="V2839" s="180" t="str">
        <f t="shared" si="52"/>
        <v>1w</v>
      </c>
      <c r="W2839" s="177">
        <f>_xll.qlCalendarAdvance(Calendar,W2838,V2839,"f",FALSE)</f>
        <v>58859</v>
      </c>
      <c r="X2839" s="181">
        <f>_xll.qlCalendarAdvance(Calendar,W2839,NDays&amp;"D")</f>
        <v>58861</v>
      </c>
      <c r="Y2839" s="178">
        <v>1.9269011226926869E-2</v>
      </c>
      <c r="Z2839" s="183">
        <v>1.9082536236449954E-2</v>
      </c>
    </row>
    <row r="2840" spans="22:26" x14ac:dyDescent="0.2">
      <c r="V2840" s="180" t="str">
        <f t="shared" si="52"/>
        <v>1w</v>
      </c>
      <c r="W2840" s="177">
        <f>_xll.qlCalendarAdvance(Calendar,W2839,V2840,"f",FALSE)</f>
        <v>58866</v>
      </c>
      <c r="X2840" s="181">
        <f>_xll.qlCalendarAdvance(Calendar,W2840,NDays&amp;"D")</f>
        <v>58868</v>
      </c>
      <c r="Y2840" s="178">
        <v>1.9269236703338768E-2</v>
      </c>
      <c r="Z2840" s="183">
        <v>1.9082256550175813E-2</v>
      </c>
    </row>
    <row r="2841" spans="22:26" x14ac:dyDescent="0.2">
      <c r="V2841" s="180" t="str">
        <f t="shared" si="52"/>
        <v>1w</v>
      </c>
      <c r="W2841" s="177">
        <f>_xll.qlCalendarAdvance(Calendar,W2840,V2841,"f",FALSE)</f>
        <v>58873</v>
      </c>
      <c r="X2841" s="181">
        <f>_xll.qlCalendarAdvance(Calendar,W2841,NDays&amp;"D")</f>
        <v>58875</v>
      </c>
      <c r="Y2841" s="178">
        <v>1.9269481818717939E-2</v>
      </c>
      <c r="Z2841" s="183">
        <v>1.90819961276123E-2</v>
      </c>
    </row>
    <row r="2842" spans="22:26" x14ac:dyDescent="0.2">
      <c r="V2842" s="180" t="str">
        <f t="shared" si="52"/>
        <v>1w</v>
      </c>
      <c r="W2842" s="177">
        <f>_xll.qlCalendarAdvance(Calendar,W2841,V2842,"f",FALSE)</f>
        <v>58880</v>
      </c>
      <c r="X2842" s="181">
        <f>_xll.qlCalendarAdvance(Calendar,W2842,NDays&amp;"D")</f>
        <v>58882</v>
      </c>
      <c r="Y2842" s="178">
        <v>1.926974657307862E-2</v>
      </c>
      <c r="Z2842" s="183">
        <v>1.9081754968759412E-2</v>
      </c>
    </row>
    <row r="2843" spans="22:26" x14ac:dyDescent="0.2">
      <c r="V2843" s="180" t="str">
        <f t="shared" si="52"/>
        <v>1w</v>
      </c>
      <c r="W2843" s="177">
        <f>_xll.qlCalendarAdvance(Calendar,W2842,V2843,"f",FALSE)</f>
        <v>58887</v>
      </c>
      <c r="X2843" s="181">
        <f>_xll.qlCalendarAdvance(Calendar,W2843,NDays&amp;"D")</f>
        <v>58889</v>
      </c>
      <c r="Y2843" s="178">
        <v>1.9272214694603711E-2</v>
      </c>
      <c r="Z2843" s="183">
        <v>1.9081533073297408E-2</v>
      </c>
    </row>
    <row r="2844" spans="22:26" x14ac:dyDescent="0.2">
      <c r="V2844" s="180" t="str">
        <f t="shared" si="52"/>
        <v>1w</v>
      </c>
      <c r="W2844" s="177">
        <f>_xll.qlCalendarAdvance(Calendar,W2843,V2844,"f",FALSE)</f>
        <v>58894</v>
      </c>
      <c r="X2844" s="181">
        <f>_xll.qlCalendarAdvance(Calendar,W2844,NDays&amp;"D")</f>
        <v>58896</v>
      </c>
      <c r="Y2844" s="178">
        <v>1.927033499880693E-2</v>
      </c>
      <c r="Z2844" s="183">
        <v>1.9081330441386157E-2</v>
      </c>
    </row>
    <row r="2845" spans="22:26" x14ac:dyDescent="0.2">
      <c r="V2845" s="180" t="str">
        <f t="shared" si="52"/>
        <v>1w</v>
      </c>
      <c r="W2845" s="177">
        <f>_xll.qlCalendarAdvance(Calendar,W2844,V2845,"f",FALSE)</f>
        <v>58901</v>
      </c>
      <c r="X2845" s="181">
        <f>_xll.qlCalendarAdvance(Calendar,W2845,NDays&amp;"D")</f>
        <v>58903</v>
      </c>
      <c r="Y2845" s="178">
        <v>1.9270658670209814E-2</v>
      </c>
      <c r="Z2845" s="183">
        <v>1.9083121433892458E-2</v>
      </c>
    </row>
    <row r="2846" spans="22:26" x14ac:dyDescent="0.2">
      <c r="V2846" s="180" t="str">
        <f t="shared" si="52"/>
        <v>1w</v>
      </c>
      <c r="W2846" s="177">
        <f>_xll.qlCalendarAdvance(Calendar,W2845,V2846,"f",FALSE)</f>
        <v>58908</v>
      </c>
      <c r="X2846" s="181">
        <f>_xll.qlCalendarAdvance(Calendar,W2846,NDays&amp;"D")</f>
        <v>58910</v>
      </c>
      <c r="Y2846" s="178">
        <v>1.9271001980662977E-2</v>
      </c>
      <c r="Z2846" s="183">
        <v>1.9080982968775473E-2</v>
      </c>
    </row>
    <row r="2847" spans="22:26" x14ac:dyDescent="0.2">
      <c r="V2847" s="180" t="str">
        <f t="shared" si="52"/>
        <v>1w</v>
      </c>
      <c r="W2847" s="177">
        <f>_xll.qlCalendarAdvance(Calendar,W2846,V2847,"f",FALSE)</f>
        <v>58915</v>
      </c>
      <c r="X2847" s="181">
        <f>_xll.qlCalendarAdvance(Calendar,W2847,NDays&amp;"D")</f>
        <v>58917</v>
      </c>
      <c r="Y2847" s="178">
        <v>1.9271364930186562E-2</v>
      </c>
      <c r="Z2847" s="183">
        <v>1.9080838127676358E-2</v>
      </c>
    </row>
    <row r="2848" spans="22:26" x14ac:dyDescent="0.2">
      <c r="V2848" s="180" t="str">
        <f t="shared" si="52"/>
        <v>1w</v>
      </c>
      <c r="W2848" s="177">
        <f>_xll.qlCalendarAdvance(Calendar,W2847,V2848,"f",FALSE)</f>
        <v>58922</v>
      </c>
      <c r="X2848" s="181">
        <f>_xll.qlCalendarAdvance(Calendar,W2848,NDays&amp;"D")</f>
        <v>58924</v>
      </c>
      <c r="Y2848" s="178">
        <v>1.9271747518802035E-2</v>
      </c>
      <c r="Z2848" s="183">
        <v>1.9080712550447743E-2</v>
      </c>
    </row>
    <row r="2849" spans="22:26" x14ac:dyDescent="0.2">
      <c r="V2849" s="180" t="str">
        <f t="shared" si="52"/>
        <v>1w</v>
      </c>
      <c r="W2849" s="177">
        <f>_xll.qlCalendarAdvance(Calendar,W2848,V2849,"f",FALSE)</f>
        <v>58929</v>
      </c>
      <c r="X2849" s="181">
        <f>_xll.qlCalendarAdvance(Calendar,W2849,NDays&amp;"D")</f>
        <v>58931</v>
      </c>
      <c r="Y2849" s="178">
        <v>1.9272149746531516E-2</v>
      </c>
      <c r="Z2849" s="183">
        <v>1.9080606236610009E-2</v>
      </c>
    </row>
    <row r="2850" spans="22:26" x14ac:dyDescent="0.2">
      <c r="V2850" s="180" t="str">
        <f t="shared" si="52"/>
        <v>1w</v>
      </c>
      <c r="W2850" s="177">
        <f>_xll.qlCalendarAdvance(Calendar,W2849,V2850,"f",FALSE)</f>
        <v>58936</v>
      </c>
      <c r="X2850" s="181">
        <f>_xll.qlCalendarAdvance(Calendar,W2850,NDays&amp;"D")</f>
        <v>58938</v>
      </c>
      <c r="Y2850" s="178">
        <v>1.9272571613399091E-2</v>
      </c>
      <c r="Z2850" s="183">
        <v>1.9080519186482903E-2</v>
      </c>
    </row>
    <row r="2851" spans="22:26" x14ac:dyDescent="0.2">
      <c r="V2851" s="180" t="str">
        <f t="shared" si="52"/>
        <v>1w</v>
      </c>
      <c r="W2851" s="177">
        <f>_xll.qlCalendarAdvance(Calendar,W2850,V2851,"f",FALSE)</f>
        <v>58943</v>
      </c>
      <c r="X2851" s="181">
        <f>_xll.qlCalendarAdvance(Calendar,W2851,NDays&amp;"D")</f>
        <v>58945</v>
      </c>
      <c r="Y2851" s="178">
        <v>1.9273013119429073E-2</v>
      </c>
      <c r="Z2851" s="183">
        <v>1.9080451399906551E-2</v>
      </c>
    </row>
    <row r="2852" spans="22:26" x14ac:dyDescent="0.2">
      <c r="V2852" s="180" t="str">
        <f t="shared" si="52"/>
        <v>1w</v>
      </c>
      <c r="W2852" s="177">
        <f>_xll.qlCalendarAdvance(Calendar,W2851,V2852,"f",FALSE)</f>
        <v>58950</v>
      </c>
      <c r="X2852" s="181">
        <f>_xll.qlCalendarAdvance(Calendar,W2852,NDays&amp;"D")</f>
        <v>58952</v>
      </c>
      <c r="Y2852" s="178">
        <v>1.9273474264647084E-2</v>
      </c>
      <c r="Z2852" s="183">
        <v>1.9080402876880953E-2</v>
      </c>
    </row>
    <row r="2853" spans="22:26" x14ac:dyDescent="0.2">
      <c r="V2853" s="180" t="str">
        <f t="shared" si="52"/>
        <v>1w</v>
      </c>
      <c r="W2853" s="177">
        <f>_xll.qlCalendarAdvance(Calendar,W2852,V2853,"f",FALSE)</f>
        <v>58957</v>
      </c>
      <c r="X2853" s="181">
        <f>_xll.qlCalendarAdvance(Calendar,W2853,NDays&amp;"D")</f>
        <v>58959</v>
      </c>
      <c r="Y2853" s="178">
        <v>1.927395504908094E-2</v>
      </c>
      <c r="Z2853" s="183">
        <v>1.9080373617565982E-2</v>
      </c>
    </row>
    <row r="2854" spans="22:26" x14ac:dyDescent="0.2">
      <c r="V2854" s="180" t="str">
        <f t="shared" si="52"/>
        <v>1w</v>
      </c>
      <c r="W2854" s="177">
        <f>_xll.qlCalendarAdvance(Calendar,W2853,V2854,"f",FALSE)</f>
        <v>58964</v>
      </c>
      <c r="X2854" s="181">
        <f>_xll.qlCalendarAdvance(Calendar,W2854,NDays&amp;"D")</f>
        <v>58966</v>
      </c>
      <c r="Y2854" s="178">
        <v>1.9274455472758013E-2</v>
      </c>
      <c r="Z2854" s="183">
        <v>1.908036362172183E-2</v>
      </c>
    </row>
    <row r="2855" spans="22:26" x14ac:dyDescent="0.2">
      <c r="V2855" s="180" t="str">
        <f t="shared" si="52"/>
        <v>1w</v>
      </c>
      <c r="W2855" s="177">
        <f>_xll.qlCalendarAdvance(Calendar,W2854,V2855,"f",FALSE)</f>
        <v>58971</v>
      </c>
      <c r="X2855" s="181">
        <f>_xll.qlCalendarAdvance(Calendar,W2855,NDays&amp;"D")</f>
        <v>58973</v>
      </c>
      <c r="Y2855" s="178">
        <v>1.9274975535708085E-2</v>
      </c>
      <c r="Z2855" s="183">
        <v>1.9080372889588304E-2</v>
      </c>
    </row>
    <row r="2856" spans="22:26" x14ac:dyDescent="0.2">
      <c r="V2856" s="180" t="str">
        <f t="shared" si="52"/>
        <v>1w</v>
      </c>
      <c r="W2856" s="177">
        <f>_xll.qlCalendarAdvance(Calendar,W2855,V2856,"f",FALSE)</f>
        <v>58978</v>
      </c>
      <c r="X2856" s="181">
        <f>_xll.qlCalendarAdvance(Calendar,W2856,NDays&amp;"D")</f>
        <v>58980</v>
      </c>
      <c r="Y2856" s="178">
        <v>1.9275515237961605E-2</v>
      </c>
      <c r="Z2856" s="183">
        <v>1.9080401421085469E-2</v>
      </c>
    </row>
    <row r="2857" spans="22:26" x14ac:dyDescent="0.2">
      <c r="V2857" s="180" t="str">
        <f t="shared" si="52"/>
        <v>1w</v>
      </c>
      <c r="W2857" s="177">
        <f>_xll.qlCalendarAdvance(Calendar,W2856,V2857,"f",FALSE)</f>
        <v>58985</v>
      </c>
      <c r="X2857" s="181">
        <f>_xll.qlCalendarAdvance(Calendar,W2857,NDays&amp;"D")</f>
        <v>58987</v>
      </c>
      <c r="Y2857" s="178">
        <v>1.9276074579550103E-2</v>
      </c>
      <c r="Z2857" s="183">
        <v>1.9080449216133388E-2</v>
      </c>
    </row>
    <row r="2858" spans="22:26" x14ac:dyDescent="0.2">
      <c r="V2858" s="180" t="str">
        <f t="shared" si="52"/>
        <v>1w</v>
      </c>
      <c r="W2858" s="177">
        <f>_xll.qlCalendarAdvance(Calendar,W2857,V2858,"f",FALSE)</f>
        <v>58992</v>
      </c>
      <c r="X2858" s="181">
        <f>_xll.qlCalendarAdvance(Calendar,W2858,NDays&amp;"D")</f>
        <v>58994</v>
      </c>
      <c r="Y2858" s="178">
        <v>1.9276653560506212E-2</v>
      </c>
      <c r="Z2858" s="183">
        <v>1.9080516274732062E-2</v>
      </c>
    </row>
    <row r="2859" spans="22:26" x14ac:dyDescent="0.2">
      <c r="V2859" s="180" t="str">
        <f t="shared" si="52"/>
        <v>1w</v>
      </c>
      <c r="W2859" s="177">
        <f>_xll.qlCalendarAdvance(Calendar,W2858,V2859,"f",FALSE)</f>
        <v>58999</v>
      </c>
      <c r="X2859" s="181">
        <f>_xll.qlCalendarAdvance(Calendar,W2859,NDays&amp;"D")</f>
        <v>59001</v>
      </c>
      <c r="Y2859" s="178">
        <v>1.92772521808641E-2</v>
      </c>
      <c r="Z2859" s="183">
        <v>1.9080602596961427E-2</v>
      </c>
    </row>
    <row r="2860" spans="22:26" x14ac:dyDescent="0.2">
      <c r="V2860" s="180" t="str">
        <f t="shared" si="52"/>
        <v>1w</v>
      </c>
      <c r="W2860" s="177">
        <f>_xll.qlCalendarAdvance(Calendar,W2859,V2860,"f",FALSE)</f>
        <v>59006</v>
      </c>
      <c r="X2860" s="181">
        <f>_xll.qlCalendarAdvance(Calendar,W2860,NDays&amp;"D")</f>
        <v>59008</v>
      </c>
      <c r="Y2860" s="178">
        <v>1.92778704406588E-2</v>
      </c>
      <c r="Z2860" s="183">
        <v>1.9080708182981354E-2</v>
      </c>
    </row>
    <row r="2861" spans="22:26" x14ac:dyDescent="0.2">
      <c r="V2861" s="180" t="str">
        <f t="shared" si="52"/>
        <v>1w</v>
      </c>
      <c r="W2861" s="177">
        <f>_xll.qlCalendarAdvance(Calendar,W2860,V2861,"f",FALSE)</f>
        <v>59013</v>
      </c>
      <c r="X2861" s="181">
        <f>_xll.qlCalendarAdvance(Calendar,W2861,NDays&amp;"D")</f>
        <v>59015</v>
      </c>
      <c r="Y2861" s="178">
        <v>1.9278508339926236E-2</v>
      </c>
      <c r="Z2861" s="183">
        <v>1.9080833032392164E-2</v>
      </c>
    </row>
    <row r="2862" spans="22:26" x14ac:dyDescent="0.2">
      <c r="V2862" s="180" t="str">
        <f t="shared" si="52"/>
        <v>1w</v>
      </c>
      <c r="W2862" s="177">
        <f>_xll.qlCalendarAdvance(Calendar,W2861,V2862,"f",FALSE)</f>
        <v>59020</v>
      </c>
      <c r="X2862" s="181">
        <f>_xll.qlCalendarAdvance(Calendar,W2862,NDays&amp;"D")</f>
        <v>59022</v>
      </c>
      <c r="Y2862" s="178">
        <v>1.9279165878704294E-2</v>
      </c>
      <c r="Z2862" s="183">
        <v>1.9080977145353728E-2</v>
      </c>
    </row>
    <row r="2863" spans="22:26" x14ac:dyDescent="0.2">
      <c r="V2863" s="180" t="str">
        <f t="shared" si="52"/>
        <v>1w</v>
      </c>
      <c r="W2863" s="177">
        <f>_xll.qlCalendarAdvance(Calendar,W2862,V2863,"f",FALSE)</f>
        <v>59027</v>
      </c>
      <c r="X2863" s="181">
        <f>_xll.qlCalendarAdvance(Calendar,W2863,NDays&amp;"D")</f>
        <v>59029</v>
      </c>
      <c r="Y2863" s="178">
        <v>1.9279843057031076E-2</v>
      </c>
      <c r="Z2863" s="183">
        <v>1.9081140522105855E-2</v>
      </c>
    </row>
    <row r="2864" spans="22:26" x14ac:dyDescent="0.2">
      <c r="V2864" s="180" t="str">
        <f t="shared" si="52"/>
        <v>1w</v>
      </c>
      <c r="W2864" s="177">
        <f>_xll.qlCalendarAdvance(Calendar,W2863,V2864,"f",FALSE)</f>
        <v>59034</v>
      </c>
      <c r="X2864" s="181">
        <f>_xll.qlCalendarAdvance(Calendar,W2864,NDays&amp;"D")</f>
        <v>59036</v>
      </c>
      <c r="Y2864" s="178">
        <v>1.9280539874946444E-2</v>
      </c>
      <c r="Z2864" s="183">
        <v>1.90813231623288E-2</v>
      </c>
    </row>
    <row r="2865" spans="22:26" x14ac:dyDescent="0.2">
      <c r="V2865" s="180" t="str">
        <f t="shared" si="52"/>
        <v>1w</v>
      </c>
      <c r="W2865" s="177">
        <f>_xll.qlCalendarAdvance(Calendar,W2864,V2865,"f",FALSE)</f>
        <v>59041</v>
      </c>
      <c r="X2865" s="181">
        <f>_xll.qlCalendarAdvance(Calendar,W2865,NDays&amp;"D")</f>
        <v>59043</v>
      </c>
      <c r="Y2865" s="178">
        <v>1.9281256332491135E-2</v>
      </c>
      <c r="Z2865" s="183">
        <v>1.9081525066182436E-2</v>
      </c>
    </row>
    <row r="2866" spans="22:26" x14ac:dyDescent="0.2">
      <c r="V2866" s="180" t="str">
        <f t="shared" si="52"/>
        <v>1w</v>
      </c>
      <c r="W2866" s="177">
        <f>_xll.qlCalendarAdvance(Calendar,W2865,V2866,"f",FALSE)</f>
        <v>59048</v>
      </c>
      <c r="X2866" s="181">
        <f>_xll.qlCalendarAdvance(Calendar,W2866,NDays&amp;"D")</f>
        <v>59050</v>
      </c>
      <c r="Y2866" s="178">
        <v>1.9281992429707191E-2</v>
      </c>
      <c r="Z2866" s="183">
        <v>1.9081746233666763E-2</v>
      </c>
    </row>
    <row r="2867" spans="22:26" x14ac:dyDescent="0.2">
      <c r="V2867" s="180" t="str">
        <f t="shared" si="52"/>
        <v>1w</v>
      </c>
      <c r="W2867" s="177">
        <f>_xll.qlCalendarAdvance(Calendar,W2866,V2867,"f",FALSE)</f>
        <v>59055</v>
      </c>
      <c r="X2867" s="181">
        <f>_xll.qlCalendarAdvance(Calendar,W2867,NDays&amp;"D")</f>
        <v>59057</v>
      </c>
      <c r="Y2867" s="178">
        <v>1.9282748166637543E-2</v>
      </c>
      <c r="Z2867" s="183">
        <v>1.9081986664701844E-2</v>
      </c>
    </row>
    <row r="2868" spans="22:26" x14ac:dyDescent="0.2">
      <c r="V2868" s="180" t="str">
        <f t="shared" si="52"/>
        <v>1w</v>
      </c>
      <c r="W2868" s="177">
        <f>_xll.qlCalendarAdvance(Calendar,W2867,V2868,"f",FALSE)</f>
        <v>59062</v>
      </c>
      <c r="X2868" s="181">
        <f>_xll.qlCalendarAdvance(Calendar,W2868,NDays&amp;"D")</f>
        <v>59064</v>
      </c>
      <c r="Y2868" s="178">
        <v>1.9283523543326863E-2</v>
      </c>
      <c r="Z2868" s="183">
        <v>1.9082246359447552E-2</v>
      </c>
    </row>
    <row r="2869" spans="22:26" x14ac:dyDescent="0.2">
      <c r="V2869" s="180" t="str">
        <f t="shared" si="52"/>
        <v>1w</v>
      </c>
      <c r="W2869" s="177">
        <f>_xll.qlCalendarAdvance(Calendar,W2868,V2869,"f",FALSE)</f>
        <v>59069</v>
      </c>
      <c r="X2869" s="181">
        <f>_xll.qlCalendarAdvance(Calendar,W2869,NDays&amp;"D")</f>
        <v>59071</v>
      </c>
      <c r="Y2869" s="178">
        <v>1.9284318559820268E-2</v>
      </c>
      <c r="Z2869" s="183">
        <v>1.9082525317664079E-2</v>
      </c>
    </row>
    <row r="2870" spans="22:26" x14ac:dyDescent="0.2">
      <c r="V2870" s="180" t="str">
        <f t="shared" si="52"/>
        <v>1w</v>
      </c>
      <c r="W2870" s="177">
        <f>_xll.qlCalendarAdvance(Calendar,W2869,V2870,"f",FALSE)</f>
        <v>59076</v>
      </c>
      <c r="X2870" s="181">
        <f>_xll.qlCalendarAdvance(Calendar,W2870,NDays&amp;"D")</f>
        <v>59078</v>
      </c>
      <c r="Y2870" s="178">
        <v>1.9285133216164405E-2</v>
      </c>
      <c r="Z2870" s="183">
        <v>1.9082823539591232E-2</v>
      </c>
    </row>
    <row r="2871" spans="22:26" x14ac:dyDescent="0.2">
      <c r="V2871" s="180" t="str">
        <f t="shared" si="52"/>
        <v>1w</v>
      </c>
      <c r="W2871" s="177">
        <f>_xll.qlCalendarAdvance(Calendar,W2870,V2871,"f",FALSE)</f>
        <v>59083</v>
      </c>
      <c r="X2871" s="181">
        <f>_xll.qlCalendarAdvance(Calendar,W2871,NDays&amp;"D")</f>
        <v>59085</v>
      </c>
      <c r="Y2871" s="178">
        <v>1.9285967512407236E-2</v>
      </c>
      <c r="Z2871" s="183">
        <v>1.9083141024989203E-2</v>
      </c>
    </row>
    <row r="2872" spans="22:26" x14ac:dyDescent="0.2">
      <c r="V2872" s="180" t="str">
        <f t="shared" si="52"/>
        <v>1w</v>
      </c>
      <c r="W2872" s="177">
        <f>_xll.qlCalendarAdvance(Calendar,W2871,V2872,"f",FALSE)</f>
        <v>59090</v>
      </c>
      <c r="X2872" s="181">
        <f>_xll.qlCalendarAdvance(Calendar,W2872,NDays&amp;"D")</f>
        <v>59092</v>
      </c>
      <c r="Y2872" s="178">
        <v>1.9286821448597159E-2</v>
      </c>
      <c r="Z2872" s="183">
        <v>1.9083477774097801E-2</v>
      </c>
    </row>
    <row r="2873" spans="22:26" x14ac:dyDescent="0.2">
      <c r="V2873" s="180" t="str">
        <f t="shared" si="52"/>
        <v>1w</v>
      </c>
      <c r="W2873" s="177">
        <f>_xll.qlCalendarAdvance(Calendar,W2872,V2873,"f",FALSE)</f>
        <v>59097</v>
      </c>
      <c r="X2873" s="181">
        <f>_xll.qlCalendarAdvance(Calendar,W2873,NDays&amp;"D")</f>
        <v>59099</v>
      </c>
      <c r="Y2873" s="178">
        <v>1.9287695024784765E-2</v>
      </c>
      <c r="Z2873" s="183">
        <v>1.9083833786757154E-2</v>
      </c>
    </row>
    <row r="2874" spans="22:26" x14ac:dyDescent="0.2">
      <c r="V2874" s="180" t="str">
        <f t="shared" si="52"/>
        <v>1w</v>
      </c>
      <c r="W2874" s="177">
        <f>_xll.qlCalendarAdvance(Calendar,W2873,V2874,"f",FALSE)</f>
        <v>59104</v>
      </c>
      <c r="X2874" s="181">
        <f>_xll.qlCalendarAdvance(Calendar,W2874,NDays&amp;"D")</f>
        <v>59106</v>
      </c>
      <c r="Y2874" s="178">
        <v>1.9288588241021084E-2</v>
      </c>
      <c r="Z2874" s="183">
        <v>1.9084209063127133E-2</v>
      </c>
    </row>
    <row r="2875" spans="22:26" x14ac:dyDescent="0.2">
      <c r="V2875" s="180" t="str">
        <f t="shared" si="52"/>
        <v>1w</v>
      </c>
      <c r="W2875" s="177">
        <f>_xll.qlCalendarAdvance(Calendar,W2874,V2875,"f",FALSE)</f>
        <v>59111</v>
      </c>
      <c r="X2875" s="181">
        <f>_xll.qlCalendarAdvance(Calendar,W2875,NDays&amp;"D")</f>
        <v>59113</v>
      </c>
      <c r="Y2875" s="178">
        <v>1.9289501097358015E-2</v>
      </c>
      <c r="Z2875" s="183">
        <v>1.9084603603047867E-2</v>
      </c>
    </row>
    <row r="2876" spans="22:26" x14ac:dyDescent="0.2">
      <c r="V2876" s="180" t="str">
        <f t="shared" si="52"/>
        <v>1w</v>
      </c>
      <c r="W2876" s="177">
        <f>_xll.qlCalendarAdvance(Calendar,W2875,V2876,"f",FALSE)</f>
        <v>59118</v>
      </c>
      <c r="X2876" s="181">
        <f>_xll.qlCalendarAdvance(Calendar,W2876,NDays&amp;"D")</f>
        <v>59120</v>
      </c>
      <c r="Y2876" s="178">
        <v>1.9290433593849438E-2</v>
      </c>
      <c r="Z2876" s="183">
        <v>1.9085017406519356E-2</v>
      </c>
    </row>
    <row r="2877" spans="22:26" x14ac:dyDescent="0.2">
      <c r="V2877" s="180" t="str">
        <f t="shared" si="52"/>
        <v>1w</v>
      </c>
      <c r="W2877" s="177">
        <f>_xll.qlCalendarAdvance(Calendar,W2876,V2877,"f",FALSE)</f>
        <v>59125</v>
      </c>
      <c r="X2877" s="181">
        <f>_xll.qlCalendarAdvance(Calendar,W2877,NDays&amp;"D")</f>
        <v>59127</v>
      </c>
      <c r="Y2877" s="178">
        <v>1.9291385730549879E-2</v>
      </c>
      <c r="Z2877" s="183">
        <v>1.9085450473621535E-2</v>
      </c>
    </row>
    <row r="2878" spans="22:26" x14ac:dyDescent="0.2">
      <c r="V2878" s="180" t="str">
        <f t="shared" si="52"/>
        <v>1w</v>
      </c>
      <c r="W2878" s="177">
        <f>_xll.qlCalendarAdvance(Calendar,W2877,V2878,"f",FALSE)</f>
        <v>59132</v>
      </c>
      <c r="X2878" s="181">
        <f>_xll.qlCalendarAdvance(Calendar,W2878,NDays&amp;"D")</f>
        <v>59134</v>
      </c>
      <c r="Y2878" s="178">
        <v>1.9292357507515404E-2</v>
      </c>
      <c r="Z2878" s="183">
        <v>1.9085902804354404E-2</v>
      </c>
    </row>
    <row r="2879" spans="22:26" x14ac:dyDescent="0.2">
      <c r="V2879" s="180" t="str">
        <f t="shared" si="52"/>
        <v>1w</v>
      </c>
      <c r="W2879" s="177">
        <f>_xll.qlCalendarAdvance(Calendar,W2878,V2879,"f",FALSE)</f>
        <v>59139</v>
      </c>
      <c r="X2879" s="181">
        <f>_xll.qlCalendarAdvance(Calendar,W2879,NDays&amp;"D")</f>
        <v>59141</v>
      </c>
      <c r="Y2879" s="178">
        <v>1.9293348924802303E-2</v>
      </c>
      <c r="Z2879" s="183">
        <v>1.9086374398638029E-2</v>
      </c>
    </row>
    <row r="2880" spans="22:26" x14ac:dyDescent="0.2">
      <c r="V2880" s="180" t="str">
        <f t="shared" si="52"/>
        <v>1w</v>
      </c>
      <c r="W2880" s="177">
        <f>_xll.qlCalendarAdvance(Calendar,W2879,V2880,"f",FALSE)</f>
        <v>59146</v>
      </c>
      <c r="X2880" s="181">
        <f>_xll.qlCalendarAdvance(Calendar,W2880,NDays&amp;"D")</f>
        <v>59148</v>
      </c>
      <c r="Y2880" s="178">
        <v>1.9294359982469259E-2</v>
      </c>
      <c r="Z2880" s="183">
        <v>1.9086865256472407E-2</v>
      </c>
    </row>
    <row r="2881" spans="22:26" x14ac:dyDescent="0.2">
      <c r="V2881" s="180" t="str">
        <f t="shared" si="52"/>
        <v>1w</v>
      </c>
      <c r="W2881" s="177">
        <f>_xll.qlCalendarAdvance(Calendar,W2880,V2881,"f",FALSE)</f>
        <v>59153</v>
      </c>
      <c r="X2881" s="181">
        <f>_xll.qlCalendarAdvance(Calendar,W2881,NDays&amp;"D")</f>
        <v>59155</v>
      </c>
      <c r="Y2881" s="178">
        <v>1.9295390680575411E-2</v>
      </c>
      <c r="Z2881" s="183">
        <v>1.9087375378097349E-2</v>
      </c>
    </row>
    <row r="2882" spans="22:26" x14ac:dyDescent="0.2">
      <c r="V2882" s="180" t="str">
        <f t="shared" si="52"/>
        <v>1w</v>
      </c>
      <c r="W2882" s="177">
        <f>_xll.qlCalendarAdvance(Calendar,W2881,V2882,"f",FALSE)</f>
        <v>59160</v>
      </c>
      <c r="X2882" s="181">
        <f>_xll.qlCalendarAdvance(Calendar,W2882,NDays&amp;"D")</f>
        <v>59162</v>
      </c>
      <c r="Y2882" s="178">
        <v>1.9296441019181199E-2</v>
      </c>
      <c r="Z2882" s="183">
        <v>1.9087904763193109E-2</v>
      </c>
    </row>
    <row r="2883" spans="22:26" x14ac:dyDescent="0.2">
      <c r="V2883" s="180" t="str">
        <f t="shared" si="52"/>
        <v>1w</v>
      </c>
      <c r="W2883" s="177">
        <f>_xll.qlCalendarAdvance(Calendar,W2882,V2883,"f",FALSE)</f>
        <v>59167</v>
      </c>
      <c r="X2883" s="181">
        <f>_xll.qlCalendarAdvance(Calendar,W2883,NDays&amp;"D")</f>
        <v>59169</v>
      </c>
      <c r="Y2883" s="178">
        <v>1.9297510998347728E-2</v>
      </c>
      <c r="Z2883" s="183">
        <v>1.9088453411919559E-2</v>
      </c>
    </row>
    <row r="2884" spans="22:26" x14ac:dyDescent="0.2">
      <c r="V2884" s="180" t="str">
        <f t="shared" si="52"/>
        <v>1w</v>
      </c>
      <c r="W2884" s="177">
        <f>_xll.qlCalendarAdvance(Calendar,W2883,V2884,"f",FALSE)</f>
        <v>59174</v>
      </c>
      <c r="X2884" s="181">
        <f>_xll.qlCalendarAdvance(Calendar,W2884,NDays&amp;"D")</f>
        <v>59176</v>
      </c>
      <c r="Y2884" s="178">
        <v>1.9298600618138071E-2</v>
      </c>
      <c r="Z2884" s="183">
        <v>1.9089021324196764E-2</v>
      </c>
    </row>
    <row r="2885" spans="22:26" x14ac:dyDescent="0.2">
      <c r="V2885" s="180" t="str">
        <f t="shared" si="52"/>
        <v>1w</v>
      </c>
      <c r="W2885" s="177">
        <f>_xll.qlCalendarAdvance(Calendar,W2884,V2885,"f",FALSE)</f>
        <v>59181</v>
      </c>
      <c r="X2885" s="181">
        <f>_xll.qlCalendarAdvance(Calendar,W2885,NDays&amp;"D")</f>
        <v>59183</v>
      </c>
      <c r="Y2885" s="178">
        <v>1.9299709878615953E-2</v>
      </c>
      <c r="Z2885" s="183">
        <v>1.9089608500184596E-2</v>
      </c>
    </row>
    <row r="2886" spans="22:26" x14ac:dyDescent="0.2">
      <c r="V2886" s="180" t="str">
        <f t="shared" si="52"/>
        <v>1w</v>
      </c>
      <c r="W2886" s="177">
        <f>_xll.qlCalendarAdvance(Calendar,W2885,V2886,"f",FALSE)</f>
        <v>59188</v>
      </c>
      <c r="X2886" s="181">
        <f>_xll.qlCalendarAdvance(Calendar,W2886,NDays&amp;"D")</f>
        <v>59190</v>
      </c>
      <c r="Y2886" s="178">
        <v>1.9300838779846421E-2</v>
      </c>
      <c r="Z2886" s="183">
        <v>1.9090214939643246E-2</v>
      </c>
    </row>
    <row r="2887" spans="22:26" x14ac:dyDescent="0.2">
      <c r="V2887" s="180" t="str">
        <f t="shared" si="52"/>
        <v>1w</v>
      </c>
      <c r="W2887" s="177">
        <f>_xll.qlCalendarAdvance(Calendar,W2886,V2887,"f",FALSE)</f>
        <v>59195</v>
      </c>
      <c r="X2887" s="181">
        <f>_xll.qlCalendarAdvance(Calendar,W2887,NDays&amp;"D")</f>
        <v>59197</v>
      </c>
      <c r="Y2887" s="178">
        <v>1.9301987321895614E-2</v>
      </c>
      <c r="Z2887" s="183">
        <v>1.9090840642812523E-2</v>
      </c>
    </row>
    <row r="2888" spans="22:26" x14ac:dyDescent="0.2">
      <c r="V2888" s="180" t="str">
        <f t="shared" si="52"/>
        <v>1w</v>
      </c>
      <c r="W2888" s="177">
        <f>_xll.qlCalendarAdvance(Calendar,W2887,V2888,"f",FALSE)</f>
        <v>59202</v>
      </c>
      <c r="X2888" s="181">
        <f>_xll.qlCalendarAdvance(Calendar,W2888,NDays&amp;"D")</f>
        <v>59204</v>
      </c>
      <c r="Y2888" s="178">
        <v>1.9303155504830766E-2</v>
      </c>
      <c r="Z2888" s="183">
        <v>1.9091485609532555E-2</v>
      </c>
    </row>
    <row r="2889" spans="22:26" x14ac:dyDescent="0.2">
      <c r="V2889" s="180" t="str">
        <f t="shared" si="52"/>
        <v>1w</v>
      </c>
      <c r="W2889" s="177">
        <f>_xll.qlCalendarAdvance(Calendar,W2888,V2889,"f",FALSE)</f>
        <v>59209</v>
      </c>
      <c r="X2889" s="181">
        <f>_xll.qlCalendarAdvance(Calendar,W2889,NDays&amp;"D")</f>
        <v>59211</v>
      </c>
      <c r="Y2889" s="178">
        <v>1.9304343328720424E-2</v>
      </c>
      <c r="Z2889" s="183">
        <v>1.9092149839883277E-2</v>
      </c>
    </row>
    <row r="2890" spans="22:26" x14ac:dyDescent="0.2">
      <c r="V2890" s="180" t="str">
        <f t="shared" si="52"/>
        <v>1w</v>
      </c>
      <c r="W2890" s="177">
        <f>_xll.qlCalendarAdvance(Calendar,W2889,V2890,"f",FALSE)</f>
        <v>59216</v>
      </c>
      <c r="X2890" s="181">
        <f>_xll.qlCalendarAdvance(Calendar,W2890,NDays&amp;"D")</f>
        <v>59218</v>
      </c>
      <c r="Y2890" s="178">
        <v>1.9305550793634232E-2</v>
      </c>
      <c r="Z2890" s="183">
        <v>1.9092833333864689E-2</v>
      </c>
    </row>
    <row r="2891" spans="22:26" x14ac:dyDescent="0.2">
      <c r="V2891" s="180" t="str">
        <f t="shared" si="52"/>
        <v>1w</v>
      </c>
      <c r="W2891" s="177">
        <f>_xll.qlCalendarAdvance(Calendar,W2890,V2891,"f",FALSE)</f>
        <v>59223</v>
      </c>
      <c r="X2891" s="181">
        <f>_xll.qlCalendarAdvance(Calendar,W2891,NDays&amp;"D")</f>
        <v>59225</v>
      </c>
      <c r="Y2891" s="178">
        <v>1.9306777899642493E-2</v>
      </c>
      <c r="Z2891" s="183">
        <v>1.9093536091316921E-2</v>
      </c>
    </row>
    <row r="2892" spans="22:26" x14ac:dyDescent="0.2">
      <c r="V2892" s="180" t="str">
        <f t="shared" si="52"/>
        <v>1w</v>
      </c>
      <c r="W2892" s="177">
        <f>_xll.qlCalendarAdvance(Calendar,W2891,V2892,"f",FALSE)</f>
        <v>59230</v>
      </c>
      <c r="X2892" s="181">
        <f>_xll.qlCalendarAdvance(Calendar,W2892,NDays&amp;"D")</f>
        <v>59232</v>
      </c>
      <c r="Y2892" s="178">
        <v>1.9308024646817908E-2</v>
      </c>
      <c r="Z2892" s="183">
        <v>1.9094258112559714E-2</v>
      </c>
    </row>
    <row r="2893" spans="22:26" x14ac:dyDescent="0.2">
      <c r="V2893" s="180" t="str">
        <f t="shared" si="52"/>
        <v>1w</v>
      </c>
      <c r="W2893" s="177">
        <f>_xll.qlCalendarAdvance(Calendar,W2892,V2893,"f",FALSE)</f>
        <v>59237</v>
      </c>
      <c r="X2893" s="181">
        <f>_xll.qlCalendarAdvance(Calendar,W2893,NDays&amp;"D")</f>
        <v>59239</v>
      </c>
      <c r="Y2893" s="178">
        <v>1.9309291035232972E-2</v>
      </c>
      <c r="Z2893" s="183">
        <v>1.9094999397353263E-2</v>
      </c>
    </row>
    <row r="2894" spans="22:26" x14ac:dyDescent="0.2">
      <c r="V2894" s="180" t="str">
        <f t="shared" si="52"/>
        <v>1w</v>
      </c>
      <c r="W2894" s="177">
        <f>_xll.qlCalendarAdvance(Calendar,W2893,V2894,"f",FALSE)</f>
        <v>59244</v>
      </c>
      <c r="X2894" s="181">
        <f>_xll.qlCalendarAdvance(Calendar,W2894,NDays&amp;"D")</f>
        <v>59246</v>
      </c>
      <c r="Y2894" s="178">
        <v>1.9310577064961709E-2</v>
      </c>
      <c r="Z2894" s="183">
        <v>1.9095759945697566E-2</v>
      </c>
    </row>
    <row r="2895" spans="22:26" x14ac:dyDescent="0.2">
      <c r="V2895" s="180" t="str">
        <f t="shared" si="52"/>
        <v>1w</v>
      </c>
      <c r="W2895" s="177">
        <f>_xll.qlCalendarAdvance(Calendar,W2894,V2895,"f",FALSE)</f>
        <v>59251</v>
      </c>
      <c r="X2895" s="181">
        <f>_xll.qlCalendarAdvance(Calendar,W2895,NDays&amp;"D")</f>
        <v>59253</v>
      </c>
      <c r="Y2895" s="178">
        <v>1.931188273607989E-2</v>
      </c>
      <c r="Z2895" s="183">
        <v>1.909879263598846E-2</v>
      </c>
    </row>
    <row r="2896" spans="22:26" x14ac:dyDescent="0.2">
      <c r="V2896" s="180" t="str">
        <f t="shared" si="52"/>
        <v>1w</v>
      </c>
      <c r="W2896" s="177">
        <f>_xll.qlCalendarAdvance(Calendar,W2895,V2896,"f",FALSE)</f>
        <v>59258</v>
      </c>
      <c r="X2896" s="181">
        <f>_xll.qlCalendarAdvance(Calendar,W2896,NDays&amp;"D")</f>
        <v>59260</v>
      </c>
      <c r="Y2896" s="178">
        <v>1.9313208048663953E-2</v>
      </c>
      <c r="Z2896" s="183">
        <v>1.9097338833278243E-2</v>
      </c>
    </row>
    <row r="2897" spans="22:26" x14ac:dyDescent="0.2">
      <c r="V2897" s="180" t="str">
        <f t="shared" si="52"/>
        <v>1w</v>
      </c>
      <c r="W2897" s="177">
        <f>_xll.qlCalendarAdvance(Calendar,W2896,V2897,"f",FALSE)</f>
        <v>59265</v>
      </c>
      <c r="X2897" s="181">
        <f>_xll.qlCalendarAdvance(Calendar,W2897,NDays&amp;"D")</f>
        <v>59267</v>
      </c>
      <c r="Y2897" s="178">
        <v>1.9314553002791199E-2</v>
      </c>
      <c r="Z2897" s="183">
        <v>1.9098157172434682E-2</v>
      </c>
    </row>
    <row r="2898" spans="22:26" x14ac:dyDescent="0.2">
      <c r="V2898" s="180" t="str">
        <f t="shared" si="52"/>
        <v>1w</v>
      </c>
      <c r="W2898" s="177">
        <f>_xll.qlCalendarAdvance(Calendar,W2897,V2898,"f",FALSE)</f>
        <v>59272</v>
      </c>
      <c r="X2898" s="181">
        <f>_xll.qlCalendarAdvance(Calendar,W2898,NDays&amp;"D")</f>
        <v>59274</v>
      </c>
      <c r="Y2898" s="178">
        <v>1.9318419766996053E-2</v>
      </c>
      <c r="Z2898" s="183">
        <v>1.9098994775141875E-2</v>
      </c>
    </row>
    <row r="2899" spans="22:26" x14ac:dyDescent="0.2">
      <c r="V2899" s="180" t="str">
        <f t="shared" si="52"/>
        <v>1w</v>
      </c>
      <c r="W2899" s="177">
        <f>_xll.qlCalendarAdvance(Calendar,W2898,V2899,"f",FALSE)</f>
        <v>59279</v>
      </c>
      <c r="X2899" s="181">
        <f>_xll.qlCalendarAdvance(Calendar,W2899,NDays&amp;"D")</f>
        <v>59281</v>
      </c>
      <c r="Y2899" s="178">
        <v>1.931730183599259E-2</v>
      </c>
      <c r="Z2899" s="183">
        <v>1.9099851641639631E-2</v>
      </c>
    </row>
    <row r="2900" spans="22:26" x14ac:dyDescent="0.2">
      <c r="V2900" s="180" t="str">
        <f t="shared" si="52"/>
        <v>1w</v>
      </c>
      <c r="W2900" s="177">
        <f>_xll.qlCalendarAdvance(Calendar,W2899,V2900,"f",FALSE)</f>
        <v>59286</v>
      </c>
      <c r="X2900" s="181">
        <f>_xll.qlCalendarAdvance(Calendar,W2900,NDays&amp;"D")</f>
        <v>59288</v>
      </c>
      <c r="Y2900" s="178">
        <v>1.9318705715227698E-2</v>
      </c>
      <c r="Z2900" s="183">
        <v>1.9100727771608206E-2</v>
      </c>
    </row>
    <row r="2901" spans="22:26" x14ac:dyDescent="0.2">
      <c r="V2901" s="180" t="str">
        <f t="shared" ref="V2901:V2964" si="53">V2900</f>
        <v>1w</v>
      </c>
      <c r="W2901" s="177">
        <f>_xll.qlCalendarAdvance(Calendar,W2900,V2901,"f",FALSE)</f>
        <v>59293</v>
      </c>
      <c r="X2901" s="181">
        <f>_xll.qlCalendarAdvance(Calendar,W2901,NDays&amp;"D")</f>
        <v>59295</v>
      </c>
      <c r="Y2901" s="178">
        <v>1.9320129236328584E-2</v>
      </c>
      <c r="Z2901" s="183">
        <v>1.9101623165207471E-2</v>
      </c>
    </row>
    <row r="2902" spans="22:26" x14ac:dyDescent="0.2">
      <c r="V2902" s="180" t="str">
        <f t="shared" si="53"/>
        <v>1w</v>
      </c>
      <c r="W2902" s="177">
        <f>_xll.qlCalendarAdvance(Calendar,W2901,V2902,"f",FALSE)</f>
        <v>59300</v>
      </c>
      <c r="X2902" s="181">
        <f>_xll.qlCalendarAdvance(Calendar,W2902,NDays&amp;"D")</f>
        <v>59302</v>
      </c>
      <c r="Y2902" s="178">
        <v>1.9321572399378251E-2</v>
      </c>
      <c r="Z2902" s="183">
        <v>1.9102537822437426E-2</v>
      </c>
    </row>
    <row r="2903" spans="22:26" x14ac:dyDescent="0.2">
      <c r="V2903" s="180" t="str">
        <f t="shared" si="53"/>
        <v>1w</v>
      </c>
      <c r="W2903" s="177">
        <f>_xll.qlCalendarAdvance(Calendar,W2902,V2903,"f",FALSE)</f>
        <v>59307</v>
      </c>
      <c r="X2903" s="181">
        <f>_xll.qlCalendarAdvance(Calendar,W2903,NDays&amp;"D")</f>
        <v>59309</v>
      </c>
      <c r="Y2903" s="178">
        <v>1.932303520446145E-2</v>
      </c>
      <c r="Z2903" s="183">
        <v>1.9103471743298073E-2</v>
      </c>
    </row>
    <row r="2904" spans="22:26" x14ac:dyDescent="0.2">
      <c r="V2904" s="180" t="str">
        <f t="shared" si="53"/>
        <v>1w</v>
      </c>
      <c r="W2904" s="177">
        <f>_xll.qlCalendarAdvance(Calendar,W2903,V2904,"f",FALSE)</f>
        <v>59314</v>
      </c>
      <c r="X2904" s="181">
        <f>_xll.qlCalendarAdvance(Calendar,W2904,NDays&amp;"D")</f>
        <v>59316</v>
      </c>
      <c r="Y2904" s="178">
        <v>1.9324517651664035E-2</v>
      </c>
      <c r="Z2904" s="183">
        <v>1.9104424927709474E-2</v>
      </c>
    </row>
    <row r="2905" spans="22:26" x14ac:dyDescent="0.2">
      <c r="V2905" s="180" t="str">
        <f t="shared" si="53"/>
        <v>1w</v>
      </c>
      <c r="W2905" s="177">
        <f>_xll.qlCalendarAdvance(Calendar,W2904,V2905,"f",FALSE)</f>
        <v>59321</v>
      </c>
      <c r="X2905" s="181">
        <f>_xll.qlCalendarAdvance(Calendar,W2905,NDays&amp;"D")</f>
        <v>59323</v>
      </c>
      <c r="Y2905" s="178">
        <v>1.9326019741072505E-2</v>
      </c>
      <c r="Z2905" s="183">
        <v>1.9105397375671629E-2</v>
      </c>
    </row>
    <row r="2906" spans="22:26" x14ac:dyDescent="0.2">
      <c r="V2906" s="180" t="str">
        <f t="shared" si="53"/>
        <v>1w</v>
      </c>
      <c r="W2906" s="177">
        <f>_xll.qlCalendarAdvance(Calendar,W2905,V2906,"f",FALSE)</f>
        <v>59328</v>
      </c>
      <c r="X2906" s="181">
        <f>_xll.qlCalendarAdvance(Calendar,W2906,NDays&amp;"D")</f>
        <v>59330</v>
      </c>
      <c r="Y2906" s="178">
        <v>1.9327541472775347E-2</v>
      </c>
      <c r="Z2906" s="183">
        <v>1.9106389087424347E-2</v>
      </c>
    </row>
    <row r="2907" spans="22:26" x14ac:dyDescent="0.2">
      <c r="V2907" s="180" t="str">
        <f t="shared" si="53"/>
        <v>1w</v>
      </c>
      <c r="W2907" s="177">
        <f>_xll.qlCalendarAdvance(Calendar,W2906,V2907,"f",FALSE)</f>
        <v>59335</v>
      </c>
      <c r="X2907" s="181">
        <f>_xll.qlCalendarAdvance(Calendar,W2907,NDays&amp;"D")</f>
        <v>59337</v>
      </c>
      <c r="Y2907" s="178">
        <v>1.9329082846861245E-2</v>
      </c>
      <c r="Z2907" s="183">
        <v>1.9107400062567947E-2</v>
      </c>
    </row>
    <row r="2908" spans="22:26" x14ac:dyDescent="0.2">
      <c r="V2908" s="180" t="str">
        <f t="shared" si="53"/>
        <v>1w</v>
      </c>
      <c r="W2908" s="177">
        <f>_xll.qlCalendarAdvance(Calendar,W2907,V2908,"f",FALSE)</f>
        <v>59342</v>
      </c>
      <c r="X2908" s="181">
        <f>_xll.qlCalendarAdvance(Calendar,W2908,NDays&amp;"D")</f>
        <v>59344</v>
      </c>
      <c r="Y2908" s="178">
        <v>1.9330643863420659E-2</v>
      </c>
      <c r="Z2908" s="183">
        <v>1.9108430301422175E-2</v>
      </c>
    </row>
    <row r="2909" spans="22:26" x14ac:dyDescent="0.2">
      <c r="V2909" s="180" t="str">
        <f t="shared" si="53"/>
        <v>1w</v>
      </c>
      <c r="W2909" s="177">
        <f>_xll.qlCalendarAdvance(Calendar,W2908,V2909,"f",FALSE)</f>
        <v>59349</v>
      </c>
      <c r="X2909" s="181">
        <f>_xll.qlCalendarAdvance(Calendar,W2909,NDays&amp;"D")</f>
        <v>59351</v>
      </c>
      <c r="Y2909" s="178">
        <v>1.9332224522545346E-2</v>
      </c>
      <c r="Z2909" s="183">
        <v>1.9109479803907092E-2</v>
      </c>
    </row>
    <row r="2910" spans="22:26" x14ac:dyDescent="0.2">
      <c r="V2910" s="180" t="str">
        <f t="shared" si="53"/>
        <v>1w</v>
      </c>
      <c r="W2910" s="177">
        <f>_xll.qlCalendarAdvance(Calendar,W2909,V2910,"f",FALSE)</f>
        <v>59356</v>
      </c>
      <c r="X2910" s="181">
        <f>_xll.qlCalendarAdvance(Calendar,W2910,NDays&amp;"D")</f>
        <v>59358</v>
      </c>
      <c r="Y2910" s="178">
        <v>1.933382482432772E-2</v>
      </c>
      <c r="Z2910" s="183">
        <v>1.9110548569942765E-2</v>
      </c>
    </row>
    <row r="2911" spans="22:26" x14ac:dyDescent="0.2">
      <c r="V2911" s="180" t="str">
        <f t="shared" si="53"/>
        <v>1w</v>
      </c>
      <c r="W2911" s="177">
        <f>_xll.qlCalendarAdvance(Calendar,W2910,V2911,"f",FALSE)</f>
        <v>59363</v>
      </c>
      <c r="X2911" s="181">
        <f>_xll.qlCalendarAdvance(Calendar,W2911,NDays&amp;"D")</f>
        <v>59365</v>
      </c>
      <c r="Y2911" s="178">
        <v>1.9335444768861305E-2</v>
      </c>
      <c r="Z2911" s="183">
        <v>1.9111636599689064E-2</v>
      </c>
    </row>
    <row r="2912" spans="22:26" x14ac:dyDescent="0.2">
      <c r="V2912" s="180" t="str">
        <f t="shared" si="53"/>
        <v>1w</v>
      </c>
      <c r="W2912" s="177">
        <f>_xll.qlCalendarAdvance(Calendar,W2911,V2912,"f",FALSE)</f>
        <v>59370</v>
      </c>
      <c r="X2912" s="181">
        <f>_xll.qlCalendarAdvance(Calendar,W2912,NDays&amp;"D")</f>
        <v>59372</v>
      </c>
      <c r="Y2912" s="178">
        <v>1.9337084356241579E-2</v>
      </c>
      <c r="Z2912" s="183">
        <v>1.9112743892906181E-2</v>
      </c>
    </row>
    <row r="2913" spans="22:26" x14ac:dyDescent="0.2">
      <c r="V2913" s="180" t="str">
        <f t="shared" si="53"/>
        <v>1w</v>
      </c>
      <c r="W2913" s="177">
        <f>_xll.qlCalendarAdvance(Calendar,W2912,V2913,"f",FALSE)</f>
        <v>59377</v>
      </c>
      <c r="X2913" s="181">
        <f>_xll.qlCalendarAdvance(Calendar,W2913,NDays&amp;"D")</f>
        <v>59379</v>
      </c>
      <c r="Y2913" s="178">
        <v>1.9338743586564032E-2</v>
      </c>
      <c r="Z2913" s="183">
        <v>1.9113870449753989E-2</v>
      </c>
    </row>
    <row r="2914" spans="22:26" x14ac:dyDescent="0.2">
      <c r="V2914" s="180" t="str">
        <f t="shared" si="53"/>
        <v>1w</v>
      </c>
      <c r="W2914" s="177">
        <f>_xll.qlCalendarAdvance(Calendar,W2913,V2914,"f",FALSE)</f>
        <v>59384</v>
      </c>
      <c r="X2914" s="181">
        <f>_xll.qlCalendarAdvance(Calendar,W2914,NDays&amp;"D")</f>
        <v>59386</v>
      </c>
      <c r="Y2914" s="178">
        <v>1.9340422459926117E-2</v>
      </c>
      <c r="Z2914" s="183">
        <v>1.9115016270312424E-2</v>
      </c>
    </row>
    <row r="2915" spans="22:26" x14ac:dyDescent="0.2">
      <c r="V2915" s="180" t="str">
        <f t="shared" si="53"/>
        <v>1w</v>
      </c>
      <c r="W2915" s="177">
        <f>_xll.qlCalendarAdvance(Calendar,W2914,V2915,"f",FALSE)</f>
        <v>59391</v>
      </c>
      <c r="X2915" s="181">
        <f>_xll.qlCalendarAdvance(Calendar,W2915,NDays&amp;"D")</f>
        <v>59393</v>
      </c>
      <c r="Y2915" s="178">
        <v>1.934212097642617E-2</v>
      </c>
      <c r="Z2915" s="183">
        <v>1.9116181354421613E-2</v>
      </c>
    </row>
    <row r="2916" spans="22:26" x14ac:dyDescent="0.2">
      <c r="V2916" s="180" t="str">
        <f t="shared" si="53"/>
        <v>1w</v>
      </c>
      <c r="W2916" s="177">
        <f>_xll.qlCalendarAdvance(Calendar,W2915,V2916,"f",FALSE)</f>
        <v>59398</v>
      </c>
      <c r="X2916" s="181">
        <f>_xll.qlCalendarAdvance(Calendar,W2916,NDays&amp;"D")</f>
        <v>59400</v>
      </c>
      <c r="Y2916" s="178">
        <v>1.934383913616405E-2</v>
      </c>
      <c r="Z2916" s="183">
        <v>1.9117365702081557E-2</v>
      </c>
    </row>
    <row r="2917" spans="22:26" x14ac:dyDescent="0.2">
      <c r="V2917" s="180" t="str">
        <f t="shared" si="53"/>
        <v>1w</v>
      </c>
      <c r="W2917" s="177">
        <f>_xll.qlCalendarAdvance(Calendar,W2916,V2917,"f",FALSE)</f>
        <v>59405</v>
      </c>
      <c r="X2917" s="181">
        <f>_xll.qlCalendarAdvance(Calendar,W2917,NDays&amp;"D")</f>
        <v>59407</v>
      </c>
      <c r="Y2917" s="178">
        <v>1.9345576939239849E-2</v>
      </c>
      <c r="Z2917" s="183">
        <v>1.9118569313452127E-2</v>
      </c>
    </row>
    <row r="2918" spans="22:26" x14ac:dyDescent="0.2">
      <c r="V2918" s="180" t="str">
        <f t="shared" si="53"/>
        <v>1w</v>
      </c>
      <c r="W2918" s="177">
        <f>_xll.qlCalendarAdvance(Calendar,W2917,V2918,"f",FALSE)</f>
        <v>59412</v>
      </c>
      <c r="X2918" s="181">
        <f>_xll.qlCalendarAdvance(Calendar,W2918,NDays&amp;"D")</f>
        <v>59414</v>
      </c>
      <c r="Y2918" s="178">
        <v>1.9347334385755834E-2</v>
      </c>
      <c r="Z2918" s="183">
        <v>1.9119792188373452E-2</v>
      </c>
    </row>
    <row r="2919" spans="22:26" x14ac:dyDescent="0.2">
      <c r="V2919" s="180" t="str">
        <f t="shared" si="53"/>
        <v>1w</v>
      </c>
      <c r="W2919" s="177">
        <f>_xll.qlCalendarAdvance(Calendar,W2918,V2919,"f",FALSE)</f>
        <v>59419</v>
      </c>
      <c r="X2919" s="181">
        <f>_xll.qlCalendarAdvance(Calendar,W2919,NDays&amp;"D")</f>
        <v>59421</v>
      </c>
      <c r="Y2919" s="178">
        <v>1.9349111475814505E-2</v>
      </c>
      <c r="Z2919" s="183">
        <v>1.9121034326845532E-2</v>
      </c>
    </row>
    <row r="2920" spans="22:26" x14ac:dyDescent="0.2">
      <c r="V2920" s="180" t="str">
        <f t="shared" si="53"/>
        <v>1w</v>
      </c>
      <c r="W2920" s="177">
        <f>_xll.qlCalendarAdvance(Calendar,W2919,V2920,"f",FALSE)</f>
        <v>59426</v>
      </c>
      <c r="X2920" s="181">
        <f>_xll.qlCalendarAdvance(Calendar,W2920,NDays&amp;"D")</f>
        <v>59428</v>
      </c>
      <c r="Y2920" s="178">
        <v>1.9350908209520758E-2</v>
      </c>
      <c r="Z2920" s="183">
        <v>1.9122295728948302E-2</v>
      </c>
    </row>
    <row r="2921" spans="22:26" x14ac:dyDescent="0.2">
      <c r="V2921" s="180" t="str">
        <f t="shared" si="53"/>
        <v>1w</v>
      </c>
      <c r="W2921" s="177">
        <f>_xll.qlCalendarAdvance(Calendar,W2920,V2921,"f",FALSE)</f>
        <v>59433</v>
      </c>
      <c r="X2921" s="181">
        <f>_xll.qlCalendarAdvance(Calendar,W2921,NDays&amp;"D")</f>
        <v>59435</v>
      </c>
      <c r="Y2921" s="178">
        <v>1.9352724586979064E-2</v>
      </c>
      <c r="Z2921" s="183">
        <v>1.9123576394841635E-2</v>
      </c>
    </row>
    <row r="2922" spans="22:26" x14ac:dyDescent="0.2">
      <c r="V2922" s="180" t="str">
        <f t="shared" si="53"/>
        <v>1w</v>
      </c>
      <c r="W2922" s="177">
        <f>_xll.qlCalendarAdvance(Calendar,W2921,V2922,"f",FALSE)</f>
        <v>59440</v>
      </c>
      <c r="X2922" s="181">
        <f>_xll.qlCalendarAdvance(Calendar,W2922,NDays&amp;"D")</f>
        <v>59442</v>
      </c>
      <c r="Y2922" s="178">
        <v>1.935456060829651E-2</v>
      </c>
      <c r="Z2922" s="183">
        <v>1.9124876324205786E-2</v>
      </c>
    </row>
    <row r="2923" spans="22:26" x14ac:dyDescent="0.2">
      <c r="V2923" s="180" t="str">
        <f t="shared" si="53"/>
        <v>1w</v>
      </c>
      <c r="W2923" s="177">
        <f>_xll.qlCalendarAdvance(Calendar,W2922,V2923,"f",FALSE)</f>
        <v>59447</v>
      </c>
      <c r="X2923" s="181">
        <f>_xll.qlCalendarAdvance(Calendar,W2923,NDays&amp;"D")</f>
        <v>59449</v>
      </c>
      <c r="Y2923" s="178">
        <v>1.9356416273579972E-2</v>
      </c>
      <c r="Z2923" s="183">
        <v>1.9126195517120692E-2</v>
      </c>
    </row>
    <row r="2924" spans="22:26" x14ac:dyDescent="0.2">
      <c r="V2924" s="180" t="str">
        <f t="shared" si="53"/>
        <v>1w</v>
      </c>
      <c r="W2924" s="177">
        <f>_xll.qlCalendarAdvance(Calendar,W2923,V2924,"f",FALSE)</f>
        <v>59454</v>
      </c>
      <c r="X2924" s="181">
        <f>_xll.qlCalendarAdvance(Calendar,W2924,NDays&amp;"D")</f>
        <v>59456</v>
      </c>
      <c r="Y2924" s="178">
        <v>1.935829158293895E-2</v>
      </c>
      <c r="Z2924" s="183">
        <v>1.9127533973746225E-2</v>
      </c>
    </row>
    <row r="2925" spans="22:26" x14ac:dyDescent="0.2">
      <c r="V2925" s="180" t="str">
        <f t="shared" si="53"/>
        <v>1w</v>
      </c>
      <c r="W2925" s="177">
        <f>_xll.qlCalendarAdvance(Calendar,W2924,V2925,"f",FALSE)</f>
        <v>59461</v>
      </c>
      <c r="X2925" s="181">
        <f>_xll.qlCalendarAdvance(Calendar,W2925,NDays&amp;"D")</f>
        <v>59463</v>
      </c>
      <c r="Y2925" s="178">
        <v>1.9360186536482728E-2</v>
      </c>
      <c r="Z2925" s="183">
        <v>1.9128891693922512E-2</v>
      </c>
    </row>
    <row r="2926" spans="22:26" x14ac:dyDescent="0.2">
      <c r="V2926" s="180" t="str">
        <f t="shared" si="53"/>
        <v>1w</v>
      </c>
      <c r="W2926" s="177">
        <f>_xll.qlCalendarAdvance(Calendar,W2925,V2926,"f",FALSE)</f>
        <v>59468</v>
      </c>
      <c r="X2926" s="181">
        <f>_xll.qlCalendarAdvance(Calendar,W2926,NDays&amp;"D")</f>
        <v>59470</v>
      </c>
      <c r="Y2926" s="178">
        <v>1.936210113432256E-2</v>
      </c>
      <c r="Z2926" s="183">
        <v>1.9130268677729489E-2</v>
      </c>
    </row>
    <row r="2927" spans="22:26" x14ac:dyDescent="0.2">
      <c r="V2927" s="180" t="str">
        <f t="shared" si="53"/>
        <v>1w</v>
      </c>
      <c r="W2927" s="177">
        <f>_xll.qlCalendarAdvance(Calendar,W2926,V2927,"f",FALSE)</f>
        <v>59475</v>
      </c>
      <c r="X2927" s="181">
        <f>_xll.qlCalendarAdvance(Calendar,W2927,NDays&amp;"D")</f>
        <v>59477</v>
      </c>
      <c r="Y2927" s="178">
        <v>1.9364035376571012E-2</v>
      </c>
      <c r="Z2927" s="183">
        <v>1.9131664925087222E-2</v>
      </c>
    </row>
    <row r="2928" spans="22:26" x14ac:dyDescent="0.2">
      <c r="V2928" s="180" t="str">
        <f t="shared" si="53"/>
        <v>1w</v>
      </c>
      <c r="W2928" s="177">
        <f>_xll.qlCalendarAdvance(Calendar,W2927,V2928,"f",FALSE)</f>
        <v>59482</v>
      </c>
      <c r="X2928" s="181">
        <f>_xll.qlCalendarAdvance(Calendar,W2928,NDays&amp;"D")</f>
        <v>59484</v>
      </c>
      <c r="Y2928" s="178">
        <v>1.9365989263340651E-2</v>
      </c>
      <c r="Z2928" s="183">
        <v>1.9133080436155581E-2</v>
      </c>
    </row>
    <row r="2929" spans="22:26" x14ac:dyDescent="0.2">
      <c r="V2929" s="180" t="str">
        <f t="shared" si="53"/>
        <v>1w</v>
      </c>
      <c r="W2929" s="177">
        <f>_xll.qlCalendarAdvance(Calendar,W2928,V2929,"f",FALSE)</f>
        <v>59489</v>
      </c>
      <c r="X2929" s="181">
        <f>_xll.qlCalendarAdvance(Calendar,W2929,NDays&amp;"D")</f>
        <v>59491</v>
      </c>
      <c r="Y2929" s="178">
        <v>1.9367962794746452E-2</v>
      </c>
      <c r="Z2929" s="183">
        <v>1.9134515210774694E-2</v>
      </c>
    </row>
    <row r="2930" spans="22:26" x14ac:dyDescent="0.2">
      <c r="V2930" s="180" t="str">
        <f t="shared" si="53"/>
        <v>1w</v>
      </c>
      <c r="W2930" s="177">
        <f>_xll.qlCalendarAdvance(Calendar,W2929,V2930,"f",FALSE)</f>
        <v>59496</v>
      </c>
      <c r="X2930" s="181">
        <f>_xll.qlCalendarAdvance(Calendar,W2930,NDays&amp;"D")</f>
        <v>59498</v>
      </c>
      <c r="Y2930" s="178">
        <v>1.9369955970904056E-2</v>
      </c>
      <c r="Z2930" s="183">
        <v>1.9135969249024498E-2</v>
      </c>
    </row>
    <row r="2931" spans="22:26" x14ac:dyDescent="0.2">
      <c r="V2931" s="180" t="str">
        <f t="shared" si="53"/>
        <v>1w</v>
      </c>
      <c r="W2931" s="177">
        <f>_xll.qlCalendarAdvance(Calendar,W2930,V2931,"f",FALSE)</f>
        <v>59503</v>
      </c>
      <c r="X2931" s="181">
        <f>_xll.qlCalendarAdvance(Calendar,W2931,NDays&amp;"D")</f>
        <v>59505</v>
      </c>
      <c r="Y2931" s="178">
        <v>1.9371968791929962E-2</v>
      </c>
      <c r="Z2931" s="183">
        <v>1.9137442550825057E-2</v>
      </c>
    </row>
    <row r="2932" spans="22:26" x14ac:dyDescent="0.2">
      <c r="V2932" s="180" t="str">
        <f t="shared" si="53"/>
        <v>1w</v>
      </c>
      <c r="W2932" s="177">
        <f>_xll.qlCalendarAdvance(Calendar,W2931,V2932,"f",FALSE)</f>
        <v>59510</v>
      </c>
      <c r="X2932" s="181">
        <f>_xll.qlCalendarAdvance(Calendar,W2932,NDays&amp;"D")</f>
        <v>59512</v>
      </c>
      <c r="Y2932" s="178">
        <v>1.937400125794244E-2</v>
      </c>
      <c r="Z2932" s="183">
        <v>1.9138935116336242E-2</v>
      </c>
    </row>
    <row r="2933" spans="22:26" x14ac:dyDescent="0.2">
      <c r="V2933" s="180" t="str">
        <f t="shared" si="53"/>
        <v>1w</v>
      </c>
      <c r="W2933" s="177">
        <f>_xll.qlCalendarAdvance(Calendar,W2932,V2933,"f",FALSE)</f>
        <v>59517</v>
      </c>
      <c r="X2933" s="181">
        <f>_xll.qlCalendarAdvance(Calendar,W2933,NDays&amp;"D")</f>
        <v>59519</v>
      </c>
      <c r="Y2933" s="178">
        <v>1.9376053369060408E-2</v>
      </c>
      <c r="Z2933" s="183">
        <v>1.9140446945478118E-2</v>
      </c>
    </row>
    <row r="2934" spans="22:26" x14ac:dyDescent="0.2">
      <c r="V2934" s="180" t="str">
        <f t="shared" si="53"/>
        <v>1w</v>
      </c>
      <c r="W2934" s="177">
        <f>_xll.qlCalendarAdvance(Calendar,W2933,V2934,"f",FALSE)</f>
        <v>59524</v>
      </c>
      <c r="X2934" s="181">
        <f>_xll.qlCalendarAdvance(Calendar,W2934,NDays&amp;"D")</f>
        <v>59526</v>
      </c>
      <c r="Y2934" s="178">
        <v>1.9378125125404093E-2</v>
      </c>
      <c r="Z2934" s="183">
        <v>1.9141978038090812E-2</v>
      </c>
    </row>
    <row r="2935" spans="22:26" x14ac:dyDescent="0.2">
      <c r="V2935" s="180" t="str">
        <f t="shared" si="53"/>
        <v>1w</v>
      </c>
      <c r="W2935" s="177">
        <f>_xll.qlCalendarAdvance(Calendar,W2934,V2935,"f",FALSE)</f>
        <v>59532</v>
      </c>
      <c r="X2935" s="181">
        <f>_xll.qlCalendarAdvance(Calendar,W2935,NDays&amp;"D")</f>
        <v>59534</v>
      </c>
      <c r="Y2935" s="178">
        <v>1.9381878779725151E-2</v>
      </c>
      <c r="Z2935" s="183">
        <v>1.9145614128379673E-2</v>
      </c>
    </row>
    <row r="2936" spans="22:26" x14ac:dyDescent="0.2">
      <c r="V2936" s="180" t="str">
        <f t="shared" si="53"/>
        <v>1w</v>
      </c>
      <c r="W2936" s="177">
        <f>_xll.qlCalendarAdvance(Calendar,W2935,V2936,"f",FALSE)</f>
        <v>59539</v>
      </c>
      <c r="X2936" s="181">
        <f>_xll.qlCalendarAdvance(Calendar,W2936,NDays&amp;"D")</f>
        <v>59541</v>
      </c>
      <c r="Y2936" s="178">
        <v>1.9383995665668851E-2</v>
      </c>
      <c r="Z2936" s="183">
        <v>1.9146568364742933E-2</v>
      </c>
    </row>
    <row r="2937" spans="22:26" x14ac:dyDescent="0.2">
      <c r="V2937" s="180" t="str">
        <f t="shared" si="53"/>
        <v>1w</v>
      </c>
      <c r="W2937" s="177">
        <f>_xll.qlCalendarAdvance(Calendar,W2936,V2937,"f",FALSE)</f>
        <v>59546</v>
      </c>
      <c r="X2937" s="181">
        <f>_xll.qlCalendarAdvance(Calendar,W2937,NDays&amp;"D")</f>
        <v>59548</v>
      </c>
      <c r="Y2937" s="178">
        <v>1.9386132199361705E-2</v>
      </c>
      <c r="Z2937" s="183">
        <v>1.914816292176269E-2</v>
      </c>
    </row>
    <row r="2938" spans="22:26" x14ac:dyDescent="0.2">
      <c r="V2938" s="180" t="str">
        <f t="shared" si="53"/>
        <v>1w</v>
      </c>
      <c r="W2938" s="177">
        <f>_xll.qlCalendarAdvance(Calendar,W2937,V2938,"f",FALSE)</f>
        <v>59553</v>
      </c>
      <c r="X2938" s="181">
        <f>_xll.qlCalendarAdvance(Calendar,W2938,NDays&amp;"D")</f>
        <v>59555</v>
      </c>
      <c r="Y2938" s="178">
        <v>1.93882883809296E-2</v>
      </c>
      <c r="Z2938" s="183">
        <v>1.9149776744438185E-2</v>
      </c>
    </row>
    <row r="2939" spans="22:26" x14ac:dyDescent="0.2">
      <c r="V2939" s="180" t="str">
        <f t="shared" si="53"/>
        <v>1w</v>
      </c>
      <c r="W2939" s="177">
        <f>_xll.qlCalendarAdvance(Calendar,W2938,V2939,"f",FALSE)</f>
        <v>59560</v>
      </c>
      <c r="X2939" s="181">
        <f>_xll.qlCalendarAdvance(Calendar,W2939,NDays&amp;"D")</f>
        <v>59562</v>
      </c>
      <c r="Y2939" s="178">
        <v>1.9390464210499742E-2</v>
      </c>
      <c r="Z2939" s="183">
        <v>1.9151409832822708E-2</v>
      </c>
    </row>
    <row r="2940" spans="22:26" x14ac:dyDescent="0.2">
      <c r="V2940" s="180" t="str">
        <f t="shared" si="53"/>
        <v>1w</v>
      </c>
      <c r="W2940" s="177">
        <f>_xll.qlCalendarAdvance(Calendar,W2939,V2940,"f",FALSE)</f>
        <v>59567</v>
      </c>
      <c r="X2940" s="181">
        <f>_xll.qlCalendarAdvance(Calendar,W2940,NDays&amp;"D")</f>
        <v>59569</v>
      </c>
      <c r="Y2940" s="178">
        <v>1.9392659688199983E-2</v>
      </c>
      <c r="Z2940" s="183">
        <v>1.9153062186862968E-2</v>
      </c>
    </row>
    <row r="2941" spans="22:26" x14ac:dyDescent="0.2">
      <c r="V2941" s="180" t="str">
        <f t="shared" si="53"/>
        <v>1w</v>
      </c>
      <c r="W2941" s="177">
        <f>_xll.qlCalendarAdvance(Calendar,W2940,V2941,"f",FALSE)</f>
        <v>59574</v>
      </c>
      <c r="X2941" s="181">
        <f>_xll.qlCalendarAdvance(Calendar,W2941,NDays&amp;"D")</f>
        <v>59576</v>
      </c>
      <c r="Y2941" s="178">
        <v>1.9394874814159916E-2</v>
      </c>
      <c r="Z2941" s="183">
        <v>1.9154733806612256E-2</v>
      </c>
    </row>
    <row r="2942" spans="22:26" x14ac:dyDescent="0.2">
      <c r="V2942" s="180" t="str">
        <f t="shared" si="53"/>
        <v>1w</v>
      </c>
      <c r="W2942" s="177">
        <f>_xll.qlCalendarAdvance(Calendar,W2941,V2942,"f",FALSE)</f>
        <v>59581</v>
      </c>
      <c r="X2942" s="181">
        <f>_xll.qlCalendarAdvance(Calendar,W2942,NDays&amp;"D")</f>
        <v>59583</v>
      </c>
      <c r="Y2942" s="178">
        <v>1.9397109588509796E-2</v>
      </c>
      <c r="Z2942" s="183">
        <v>1.9156424691990637E-2</v>
      </c>
    </row>
    <row r="2943" spans="22:26" x14ac:dyDescent="0.2">
      <c r="V2943" s="180" t="str">
        <f t="shared" si="53"/>
        <v>1w</v>
      </c>
      <c r="W2943" s="177">
        <f>_xll.qlCalendarAdvance(Calendar,W2942,V2943,"f",FALSE)</f>
        <v>59588</v>
      </c>
      <c r="X2943" s="181">
        <f>_xll.qlCalendarAdvance(Calendar,W2943,NDays&amp;"D")</f>
        <v>59590</v>
      </c>
      <c r="Y2943" s="178">
        <v>1.9399364011381832E-2</v>
      </c>
      <c r="Z2943" s="183">
        <v>1.9158134843104691E-2</v>
      </c>
    </row>
    <row r="2944" spans="22:26" x14ac:dyDescent="0.2">
      <c r="V2944" s="180" t="str">
        <f t="shared" si="53"/>
        <v>1w</v>
      </c>
      <c r="W2944" s="177">
        <f>_xll.qlCalendarAdvance(Calendar,W2943,V2944,"f",FALSE)</f>
        <v>59595</v>
      </c>
      <c r="X2944" s="181">
        <f>_xll.qlCalendarAdvance(Calendar,W2944,NDays&amp;"D")</f>
        <v>59597</v>
      </c>
      <c r="Y2944" s="178">
        <v>1.9401638082908013E-2</v>
      </c>
      <c r="Z2944" s="183">
        <v>1.9159864259874482E-2</v>
      </c>
    </row>
    <row r="2945" spans="22:26" x14ac:dyDescent="0.2">
      <c r="V2945" s="180" t="str">
        <f t="shared" si="53"/>
        <v>1w</v>
      </c>
      <c r="W2945" s="177">
        <f>_xll.qlCalendarAdvance(Calendar,W2944,V2945,"f",FALSE)</f>
        <v>59602</v>
      </c>
      <c r="X2945" s="181">
        <f>_xll.qlCalendarAdvance(Calendar,W2945,NDays&amp;"D")</f>
        <v>59604</v>
      </c>
      <c r="Y2945" s="178">
        <v>1.9403931803222949E-2</v>
      </c>
      <c r="Z2945" s="183">
        <v>1.9161612942326656E-2</v>
      </c>
    </row>
    <row r="2946" spans="22:26" x14ac:dyDescent="0.2">
      <c r="V2946" s="180" t="str">
        <f t="shared" si="53"/>
        <v>1w</v>
      </c>
      <c r="W2946" s="177">
        <f>_xll.qlCalendarAdvance(Calendar,W2945,V2946,"f",FALSE)</f>
        <v>59609</v>
      </c>
      <c r="X2946" s="181">
        <f>_xll.qlCalendarAdvance(Calendar,W2946,NDays&amp;"D")</f>
        <v>59611</v>
      </c>
      <c r="Y2946" s="178">
        <v>1.9406245172461683E-2</v>
      </c>
      <c r="Z2946" s="183">
        <v>1.9163380890461212E-2</v>
      </c>
    </row>
    <row r="2947" spans="22:26" x14ac:dyDescent="0.2">
      <c r="V2947" s="180" t="str">
        <f t="shared" si="53"/>
        <v>1w</v>
      </c>
      <c r="W2947" s="177">
        <f>_xll.qlCalendarAdvance(Calendar,W2946,V2947,"f",FALSE)</f>
        <v>59616</v>
      </c>
      <c r="X2947" s="181">
        <f>_xll.qlCalendarAdvance(Calendar,W2947,NDays&amp;"D")</f>
        <v>59618</v>
      </c>
      <c r="Y2947" s="178">
        <v>1.9408578190760341E-2</v>
      </c>
      <c r="Z2947" s="183">
        <v>1.9165168104304797E-2</v>
      </c>
    </row>
    <row r="2948" spans="22:26" x14ac:dyDescent="0.2">
      <c r="V2948" s="180" t="str">
        <f t="shared" si="53"/>
        <v>1w</v>
      </c>
      <c r="W2948" s="177">
        <f>_xll.qlCalendarAdvance(Calendar,W2947,V2948,"f",FALSE)</f>
        <v>59623</v>
      </c>
      <c r="X2948" s="181">
        <f>_xll.qlCalendarAdvance(Calendar,W2948,NDays&amp;"D")</f>
        <v>59625</v>
      </c>
      <c r="Y2948" s="178">
        <v>1.9410930858256584E-2</v>
      </c>
      <c r="Z2948" s="183">
        <v>1.9166974583777474E-2</v>
      </c>
    </row>
    <row r="2949" spans="22:26" x14ac:dyDescent="0.2">
      <c r="V2949" s="180" t="str">
        <f t="shared" si="53"/>
        <v>1w</v>
      </c>
      <c r="W2949" s="177">
        <f>_xll.qlCalendarAdvance(Calendar,W2948,V2949,"f",FALSE)</f>
        <v>59630</v>
      </c>
      <c r="X2949" s="181">
        <f>_xll.qlCalendarAdvance(Calendar,W2949,NDays&amp;"D")</f>
        <v>59632</v>
      </c>
      <c r="Y2949" s="178">
        <v>1.9414005694616484E-2</v>
      </c>
      <c r="Z2949" s="183">
        <v>1.9168800328959179E-2</v>
      </c>
    </row>
    <row r="2950" spans="22:26" x14ac:dyDescent="0.2">
      <c r="V2950" s="180" t="str">
        <f t="shared" si="53"/>
        <v>1w</v>
      </c>
      <c r="W2950" s="177">
        <f>_xll.qlCalendarAdvance(Calendar,W2949,V2950,"f",FALSE)</f>
        <v>59637</v>
      </c>
      <c r="X2950" s="181">
        <f>_xll.qlCalendarAdvance(Calendar,W2950,NDays&amp;"D")</f>
        <v>59643</v>
      </c>
      <c r="Y2950" s="178">
        <v>1.9416366047022498E-2</v>
      </c>
      <c r="Z2950" s="183">
        <v>1.9170420959948586E-2</v>
      </c>
    </row>
    <row r="2951" spans="22:26" x14ac:dyDescent="0.2">
      <c r="V2951" s="180" t="str">
        <f t="shared" si="53"/>
        <v>1w</v>
      </c>
      <c r="W2951" s="177">
        <f>_xll.qlCalendarAdvance(Calendar,W2950,V2951,"f",FALSE)</f>
        <v>59644</v>
      </c>
      <c r="X2951" s="181">
        <f>_xll.qlCalendarAdvance(Calendar,W2951,NDays&amp;"D")</f>
        <v>59646</v>
      </c>
      <c r="Y2951" s="178">
        <v>1.9418106757321949E-2</v>
      </c>
      <c r="Z2951" s="183">
        <v>1.9172509616423028E-2</v>
      </c>
    </row>
    <row r="2952" spans="22:26" x14ac:dyDescent="0.2">
      <c r="V2952" s="180" t="str">
        <f t="shared" si="53"/>
        <v>1w</v>
      </c>
      <c r="W2952" s="177">
        <f>_xll.qlCalendarAdvance(Calendar,W2951,V2952,"f",FALSE)</f>
        <v>59651</v>
      </c>
      <c r="X2952" s="181">
        <f>_xll.qlCalendarAdvance(Calendar,W2952,NDays&amp;"D")</f>
        <v>59653</v>
      </c>
      <c r="Y2952" s="178">
        <v>1.9420538023005769E-2</v>
      </c>
      <c r="Z2952" s="183">
        <v>1.9174393158705172E-2</v>
      </c>
    </row>
    <row r="2953" spans="22:26" x14ac:dyDescent="0.2">
      <c r="V2953" s="180" t="str">
        <f t="shared" si="53"/>
        <v>1w</v>
      </c>
      <c r="W2953" s="177">
        <f>_xll.qlCalendarAdvance(Calendar,W2952,V2953,"f",FALSE)</f>
        <v>59658</v>
      </c>
      <c r="X2953" s="181">
        <f>_xll.qlCalendarAdvance(Calendar,W2953,NDays&amp;"D")</f>
        <v>59660</v>
      </c>
      <c r="Y2953" s="178">
        <v>1.9422988938591564E-2</v>
      </c>
      <c r="Z2953" s="183">
        <v>1.9176295966616408E-2</v>
      </c>
    </row>
    <row r="2954" spans="22:26" x14ac:dyDescent="0.2">
      <c r="V2954" s="180" t="str">
        <f t="shared" si="53"/>
        <v>1w</v>
      </c>
      <c r="W2954" s="177">
        <f>_xll.qlCalendarAdvance(Calendar,W2953,V2954,"f",FALSE)</f>
        <v>59665</v>
      </c>
      <c r="X2954" s="181">
        <f>_xll.qlCalendarAdvance(Calendar,W2954,NDays&amp;"D")</f>
        <v>59667</v>
      </c>
      <c r="Y2954" s="178">
        <v>1.9425459504224182E-2</v>
      </c>
      <c r="Z2954" s="183">
        <v>1.9178218040263317E-2</v>
      </c>
    </row>
    <row r="2955" spans="22:26" x14ac:dyDescent="0.2">
      <c r="V2955" s="180" t="str">
        <f t="shared" si="53"/>
        <v>1w</v>
      </c>
      <c r="W2955" s="177">
        <f>_xll.qlCalendarAdvance(Calendar,W2954,V2955,"f",FALSE)</f>
        <v>59672</v>
      </c>
      <c r="X2955" s="181">
        <f>_xll.qlCalendarAdvance(Calendar,W2955,NDays&amp;"D")</f>
        <v>59674</v>
      </c>
      <c r="Y2955" s="178">
        <v>1.9427949720048902E-2</v>
      </c>
      <c r="Z2955" s="183">
        <v>1.918015937959261E-2</v>
      </c>
    </row>
    <row r="2956" spans="22:26" x14ac:dyDescent="0.2">
      <c r="V2956" s="180" t="str">
        <f t="shared" si="53"/>
        <v>1w</v>
      </c>
      <c r="W2956" s="177">
        <f>_xll.qlCalendarAdvance(Calendar,W2955,V2956,"f",FALSE)</f>
        <v>59679</v>
      </c>
      <c r="X2956" s="181">
        <f>_xll.qlCalendarAdvance(Calendar,W2956,NDays&amp;"D")</f>
        <v>59681</v>
      </c>
      <c r="Y2956" s="178">
        <v>1.9430459586212086E-2</v>
      </c>
      <c r="Z2956" s="183">
        <v>1.9182119984577639E-2</v>
      </c>
    </row>
    <row r="2957" spans="22:26" x14ac:dyDescent="0.2">
      <c r="V2957" s="180" t="str">
        <f t="shared" si="53"/>
        <v>1w</v>
      </c>
      <c r="W2957" s="177">
        <f>_xll.qlCalendarAdvance(Calendar,W2956,V2957,"f",FALSE)</f>
        <v>59686</v>
      </c>
      <c r="X2957" s="181">
        <f>_xll.qlCalendarAdvance(Calendar,W2957,NDays&amp;"D")</f>
        <v>59688</v>
      </c>
      <c r="Y2957" s="178">
        <v>1.9432989102862289E-2</v>
      </c>
      <c r="Z2957" s="183">
        <v>1.9184099855298342E-2</v>
      </c>
    </row>
    <row r="2958" spans="22:26" x14ac:dyDescent="0.2">
      <c r="V2958" s="180" t="str">
        <f t="shared" si="53"/>
        <v>1w</v>
      </c>
      <c r="W2958" s="177">
        <f>_xll.qlCalendarAdvance(Calendar,W2957,V2958,"f",FALSE)</f>
        <v>59693</v>
      </c>
      <c r="X2958" s="181">
        <f>_xll.qlCalendarAdvance(Calendar,W2958,NDays&amp;"D")</f>
        <v>59695</v>
      </c>
      <c r="Y2958" s="178">
        <v>1.943553827014783E-2</v>
      </c>
      <c r="Z2958" s="183">
        <v>1.9186098991701428E-2</v>
      </c>
    </row>
    <row r="2959" spans="22:26" x14ac:dyDescent="0.2">
      <c r="V2959" s="180" t="str">
        <f t="shared" si="53"/>
        <v>1w</v>
      </c>
      <c r="W2959" s="177">
        <f>_xll.qlCalendarAdvance(Calendar,W2958,V2959,"f",FALSE)</f>
        <v>59700</v>
      </c>
      <c r="X2959" s="181">
        <f>_xll.qlCalendarAdvance(Calendar,W2959,NDays&amp;"D")</f>
        <v>59702</v>
      </c>
      <c r="Y2959" s="178">
        <v>1.9438107088219438E-2</v>
      </c>
      <c r="Z2959" s="183">
        <v>1.9188117393786897E-2</v>
      </c>
    </row>
    <row r="2960" spans="22:26" x14ac:dyDescent="0.2">
      <c r="V2960" s="180" t="str">
        <f t="shared" si="53"/>
        <v>1w</v>
      </c>
      <c r="W2960" s="177">
        <f>_xll.qlCalendarAdvance(Calendar,W2959,V2960,"f",FALSE)</f>
        <v>59707</v>
      </c>
      <c r="X2960" s="181">
        <f>_xll.qlCalendarAdvance(Calendar,W2960,NDays&amp;"D")</f>
        <v>59709</v>
      </c>
      <c r="Y2960" s="178">
        <v>1.9440695557228493E-2</v>
      </c>
      <c r="Z2960" s="183">
        <v>1.9190155061581393E-2</v>
      </c>
    </row>
    <row r="2961" spans="22:26" x14ac:dyDescent="0.2">
      <c r="V2961" s="180" t="str">
        <f t="shared" si="53"/>
        <v>1w</v>
      </c>
      <c r="W2961" s="177">
        <f>_xll.qlCalendarAdvance(Calendar,W2960,V2961,"f",FALSE)</f>
        <v>59714</v>
      </c>
      <c r="X2961" s="181">
        <f>_xll.qlCalendarAdvance(Calendar,W2961,NDays&amp;"D")</f>
        <v>59716</v>
      </c>
      <c r="Y2961" s="178">
        <v>1.9443303677327023E-2</v>
      </c>
      <c r="Z2961" s="183">
        <v>1.9192211995084918E-2</v>
      </c>
    </row>
    <row r="2962" spans="22:26" x14ac:dyDescent="0.2">
      <c r="V2962" s="180" t="str">
        <f t="shared" si="53"/>
        <v>1w</v>
      </c>
      <c r="W2962" s="177">
        <f>_xll.qlCalendarAdvance(Calendar,W2961,V2962,"f",FALSE)</f>
        <v>59721</v>
      </c>
      <c r="X2962" s="181">
        <f>_xll.qlCalendarAdvance(Calendar,W2962,NDays&amp;"D")</f>
        <v>59723</v>
      </c>
      <c r="Y2962" s="178">
        <v>1.94459314486688E-2</v>
      </c>
      <c r="Z2962" s="183">
        <v>1.9194288194270825E-2</v>
      </c>
    </row>
    <row r="2963" spans="22:26" x14ac:dyDescent="0.2">
      <c r="V2963" s="180" t="str">
        <f t="shared" si="53"/>
        <v>1w</v>
      </c>
      <c r="W2963" s="177">
        <f>_xll.qlCalendarAdvance(Calendar,W2962,V2963,"f",FALSE)</f>
        <v>59728</v>
      </c>
      <c r="X2963" s="181">
        <f>_xll.qlCalendarAdvance(Calendar,W2963,NDays&amp;"D")</f>
        <v>59730</v>
      </c>
      <c r="Y2963" s="178">
        <v>1.9448578871409338E-2</v>
      </c>
      <c r="Z2963" s="183">
        <v>1.9196383659165761E-2</v>
      </c>
    </row>
    <row r="2964" spans="22:26" x14ac:dyDescent="0.2">
      <c r="V2964" s="180" t="str">
        <f t="shared" si="53"/>
        <v>1w</v>
      </c>
      <c r="W2964" s="177">
        <f>_xll.qlCalendarAdvance(Calendar,W2963,V2964,"f",FALSE)</f>
        <v>59735</v>
      </c>
      <c r="X2964" s="181">
        <f>_xll.qlCalendarAdvance(Calendar,W2964,NDays&amp;"D")</f>
        <v>59737</v>
      </c>
      <c r="Y2964" s="178">
        <v>1.9451245945703726E-2</v>
      </c>
      <c r="Z2964" s="183">
        <v>1.9198498389743079E-2</v>
      </c>
    </row>
    <row r="2965" spans="22:26" x14ac:dyDescent="0.2">
      <c r="V2965" s="180" t="str">
        <f t="shared" ref="V2965:V3028" si="54">V2964</f>
        <v>1w</v>
      </c>
      <c r="W2965" s="177">
        <f>_xll.qlCalendarAdvance(Calendar,W2964,V2965,"f",FALSE)</f>
        <v>59742</v>
      </c>
      <c r="X2965" s="181">
        <f>_xll.qlCalendarAdvance(Calendar,W2965,NDays&amp;"D")</f>
        <v>59744</v>
      </c>
      <c r="Y2965" s="178">
        <v>1.945393267170965E-2</v>
      </c>
      <c r="Z2965" s="183">
        <v>1.9200632386029426E-2</v>
      </c>
    </row>
    <row r="2966" spans="22:26" x14ac:dyDescent="0.2">
      <c r="V2966" s="180" t="str">
        <f t="shared" si="54"/>
        <v>1w</v>
      </c>
      <c r="W2966" s="177">
        <f>_xll.qlCalendarAdvance(Calendar,W2965,V2966,"f",FALSE)</f>
        <v>59749</v>
      </c>
      <c r="X2966" s="181">
        <f>_xll.qlCalendarAdvance(Calendar,W2966,NDays&amp;"D")</f>
        <v>59751</v>
      </c>
      <c r="Y2966" s="178">
        <v>1.9456639049585243E-2</v>
      </c>
      <c r="Z2966" s="183">
        <v>1.92027856480248E-2</v>
      </c>
    </row>
    <row r="2967" spans="22:26" x14ac:dyDescent="0.2">
      <c r="V2967" s="180" t="str">
        <f t="shared" si="54"/>
        <v>1w</v>
      </c>
      <c r="W2967" s="177">
        <f>_xll.qlCalendarAdvance(Calendar,W2966,V2967,"f",FALSE)</f>
        <v>59756</v>
      </c>
      <c r="X2967" s="181">
        <f>_xll.qlCalendarAdvance(Calendar,W2967,NDays&amp;"D")</f>
        <v>59758</v>
      </c>
      <c r="Y2967" s="178">
        <v>1.9459365079489938E-2</v>
      </c>
      <c r="Z2967" s="183">
        <v>1.9204958175702558E-2</v>
      </c>
    </row>
    <row r="2968" spans="22:26" x14ac:dyDescent="0.2">
      <c r="V2968" s="180" t="str">
        <f t="shared" si="54"/>
        <v>1w</v>
      </c>
      <c r="W2968" s="177">
        <f>_xll.qlCalendarAdvance(Calendar,W2967,V2968,"f",FALSE)</f>
        <v>59763</v>
      </c>
      <c r="X2968" s="181">
        <f>_xll.qlCalendarAdvance(Calendar,W2968,NDays&amp;"D")</f>
        <v>59765</v>
      </c>
      <c r="Y2968" s="178">
        <v>1.9462110761584051E-2</v>
      </c>
      <c r="Z2968" s="183">
        <v>1.9207149969115989E-2</v>
      </c>
    </row>
    <row r="2969" spans="22:26" x14ac:dyDescent="0.2">
      <c r="V2969" s="180" t="str">
        <f t="shared" si="54"/>
        <v>1w</v>
      </c>
      <c r="W2969" s="177">
        <f>_xll.qlCalendarAdvance(Calendar,W2968,V2969,"f",FALSE)</f>
        <v>59770</v>
      </c>
      <c r="X2969" s="181">
        <f>_xll.qlCalendarAdvance(Calendar,W2969,NDays&amp;"D")</f>
        <v>59772</v>
      </c>
      <c r="Y2969" s="178">
        <v>1.9464876096030058E-2</v>
      </c>
      <c r="Z2969" s="183">
        <v>1.9209361028211802E-2</v>
      </c>
    </row>
    <row r="2970" spans="22:26" x14ac:dyDescent="0.2">
      <c r="V2970" s="180" t="str">
        <f t="shared" si="54"/>
        <v>1w</v>
      </c>
      <c r="W2970" s="177">
        <f>_xll.qlCalendarAdvance(Calendar,W2969,V2970,"f",FALSE)</f>
        <v>59777</v>
      </c>
      <c r="X2970" s="181">
        <f>_xll.qlCalendarAdvance(Calendar,W2970,NDays&amp;"D")</f>
        <v>59779</v>
      </c>
      <c r="Y2970" s="178">
        <v>1.9465457417947429E-2</v>
      </c>
      <c r="Z2970" s="183">
        <v>1.9211591353016644E-2</v>
      </c>
    </row>
    <row r="2971" spans="22:26" x14ac:dyDescent="0.2">
      <c r="V2971" s="180" t="str">
        <f t="shared" si="54"/>
        <v>1w</v>
      </c>
      <c r="W2971" s="177">
        <f>_xll.qlCalendarAdvance(Calendar,W2970,V2971,"f",FALSE)</f>
        <v>59784</v>
      </c>
      <c r="X2971" s="181">
        <f>_xll.qlCalendarAdvance(Calendar,W2971,NDays&amp;"D")</f>
        <v>59786</v>
      </c>
      <c r="Y2971" s="178">
        <v>1.9470465722629456E-2</v>
      </c>
      <c r="Z2971" s="183">
        <v>1.9213840943503868E-2</v>
      </c>
    </row>
    <row r="2972" spans="22:26" x14ac:dyDescent="0.2">
      <c r="V2972" s="180" t="str">
        <f t="shared" si="54"/>
        <v>1w</v>
      </c>
      <c r="W2972" s="177">
        <f>_xll.qlCalendarAdvance(Calendar,W2971,V2972,"f",FALSE)</f>
        <v>59791</v>
      </c>
      <c r="X2972" s="181">
        <f>_xll.qlCalendarAdvance(Calendar,W2972,NDays&amp;"D")</f>
        <v>59793</v>
      </c>
      <c r="Y2972" s="178">
        <v>1.9473290015111958E-2</v>
      </c>
      <c r="Z2972" s="183">
        <v>1.9216109799753411E-2</v>
      </c>
    </row>
    <row r="2973" spans="22:26" x14ac:dyDescent="0.2">
      <c r="V2973" s="180" t="str">
        <f t="shared" si="54"/>
        <v>1w</v>
      </c>
      <c r="W2973" s="177">
        <f>_xll.qlCalendarAdvance(Calendar,W2972,V2973,"f",FALSE)</f>
        <v>59798</v>
      </c>
      <c r="X2973" s="181">
        <f>_xll.qlCalendarAdvance(Calendar,W2973,NDays&amp;"D")</f>
        <v>59800</v>
      </c>
      <c r="Y2973" s="178">
        <v>1.9476133960604793E-2</v>
      </c>
      <c r="Z2973" s="183">
        <v>1.9218397921711983E-2</v>
      </c>
    </row>
    <row r="2974" spans="22:26" x14ac:dyDescent="0.2">
      <c r="V2974" s="180" t="str">
        <f t="shared" si="54"/>
        <v>1w</v>
      </c>
      <c r="W2974" s="177">
        <f>_xll.qlCalendarAdvance(Calendar,W2973,V2974,"f",FALSE)</f>
        <v>59805</v>
      </c>
      <c r="X2974" s="181">
        <f>_xll.qlCalendarAdvance(Calendar,W2974,NDays&amp;"D")</f>
        <v>59807</v>
      </c>
      <c r="Y2974" s="178">
        <v>1.9479738687227258E-2</v>
      </c>
      <c r="Z2974" s="183">
        <v>1.9220705309326291E-2</v>
      </c>
    </row>
    <row r="2975" spans="22:26" x14ac:dyDescent="0.2">
      <c r="V2975" s="180" t="str">
        <f t="shared" si="54"/>
        <v>1w</v>
      </c>
      <c r="W2975" s="177">
        <f>_xll.qlCalendarAdvance(Calendar,W2974,V2975,"f",FALSE)</f>
        <v>59812</v>
      </c>
      <c r="X2975" s="181">
        <f>_xll.qlCalendarAdvance(Calendar,W2975,NDays&amp;"D")</f>
        <v>59814</v>
      </c>
      <c r="Y2975" s="178">
        <v>1.9481880811292328E-2</v>
      </c>
      <c r="Z2975" s="183">
        <v>1.9223031962676274E-2</v>
      </c>
    </row>
    <row r="2976" spans="22:26" x14ac:dyDescent="0.2">
      <c r="V2976" s="180" t="str">
        <f t="shared" si="54"/>
        <v>1w</v>
      </c>
      <c r="W2976" s="177">
        <f>_xll.qlCalendarAdvance(Calendar,W2975,V2976,"f",FALSE)</f>
        <v>59819</v>
      </c>
      <c r="X2976" s="181">
        <f>_xll.qlCalendarAdvance(Calendar,W2976,NDays&amp;"D")</f>
        <v>59821</v>
      </c>
      <c r="Y2976" s="178">
        <v>1.9484783716825719E-2</v>
      </c>
      <c r="Z2976" s="183">
        <v>1.9225377881761929E-2</v>
      </c>
    </row>
    <row r="2977" spans="22:26" x14ac:dyDescent="0.2">
      <c r="V2977" s="180" t="str">
        <f t="shared" si="54"/>
        <v>1w</v>
      </c>
      <c r="W2977" s="177">
        <f>_xll.qlCalendarAdvance(Calendar,W2976,V2977,"f",FALSE)</f>
        <v>59826</v>
      </c>
      <c r="X2977" s="181">
        <f>_xll.qlCalendarAdvance(Calendar,W2977,NDays&amp;"D")</f>
        <v>59828</v>
      </c>
      <c r="Y2977" s="178">
        <v>1.9487706276046398E-2</v>
      </c>
      <c r="Z2977" s="183">
        <v>1.9227743066529968E-2</v>
      </c>
    </row>
    <row r="2978" spans="22:26" x14ac:dyDescent="0.2">
      <c r="V2978" s="180" t="str">
        <f t="shared" si="54"/>
        <v>1w</v>
      </c>
      <c r="W2978" s="177">
        <f>_xll.qlCalendarAdvance(Calendar,W2977,V2978,"f",FALSE)</f>
        <v>59833</v>
      </c>
      <c r="X2978" s="181">
        <f>_xll.qlCalendarAdvance(Calendar,W2978,NDays&amp;"D")</f>
        <v>59835</v>
      </c>
      <c r="Y2978" s="178">
        <v>1.9490648489127089E-2</v>
      </c>
      <c r="Z2978" s="183">
        <v>1.9230127517033679E-2</v>
      </c>
    </row>
    <row r="2979" spans="22:26" x14ac:dyDescent="0.2">
      <c r="V2979" s="180" t="str">
        <f t="shared" si="54"/>
        <v>1w</v>
      </c>
      <c r="W2979" s="177">
        <f>_xll.qlCalendarAdvance(Calendar,W2978,V2979,"f",FALSE)</f>
        <v>59840</v>
      </c>
      <c r="X2979" s="181">
        <f>_xll.qlCalendarAdvance(Calendar,W2979,NDays&amp;"D")</f>
        <v>59842</v>
      </c>
      <c r="Y2979" s="178">
        <v>1.9493610356240296E-2</v>
      </c>
      <c r="Z2979" s="183">
        <v>1.9232531233273065E-2</v>
      </c>
    </row>
    <row r="2980" spans="22:26" x14ac:dyDescent="0.2">
      <c r="V2980" s="180" t="str">
        <f t="shared" si="54"/>
        <v>1w</v>
      </c>
      <c r="W2980" s="177">
        <f>_xll.qlCalendarAdvance(Calendar,W2979,V2980,"f",FALSE)</f>
        <v>59847</v>
      </c>
      <c r="X2980" s="181">
        <f>_xll.qlCalendarAdvance(Calendar,W2980,NDays&amp;"D")</f>
        <v>59849</v>
      </c>
      <c r="Y2980" s="178">
        <v>1.9496591793875924E-2</v>
      </c>
      <c r="Z2980" s="183">
        <v>1.9234954215194833E-2</v>
      </c>
    </row>
    <row r="2981" spans="22:26" x14ac:dyDescent="0.2">
      <c r="V2981" s="180" t="str">
        <f t="shared" si="54"/>
        <v>1w</v>
      </c>
      <c r="W2981" s="177">
        <f>_xll.qlCalendarAdvance(Calendar,W2980,V2981,"f",FALSE)</f>
        <v>59854</v>
      </c>
      <c r="X2981" s="181">
        <f>_xll.qlCalendarAdvance(Calendar,W2981,NDays&amp;"D")</f>
        <v>59856</v>
      </c>
      <c r="Y2981" s="178">
        <v>1.9499592383782387E-2</v>
      </c>
      <c r="Z2981" s="183">
        <v>1.9237396462825629E-2</v>
      </c>
    </row>
    <row r="2982" spans="22:26" x14ac:dyDescent="0.2">
      <c r="V2982" s="180" t="str">
        <f t="shared" si="54"/>
        <v>1w</v>
      </c>
      <c r="W2982" s="177">
        <f>_xll.qlCalendarAdvance(Calendar,W2981,V2982,"f",FALSE)</f>
        <v>59861</v>
      </c>
      <c r="X2982" s="181">
        <f>_xll.qlCalendarAdvance(Calendar,W2982,NDays&amp;"D")</f>
        <v>59863</v>
      </c>
      <c r="Y2982" s="178">
        <v>1.9502611624018302E-2</v>
      </c>
      <c r="Z2982" s="183">
        <v>1.9239857976192098E-2</v>
      </c>
    </row>
    <row r="2983" spans="22:26" x14ac:dyDescent="0.2">
      <c r="V2983" s="180" t="str">
        <f t="shared" si="54"/>
        <v>1w</v>
      </c>
      <c r="W2983" s="177">
        <f>_xll.qlCalendarAdvance(Calendar,W2982,V2983,"f",FALSE)</f>
        <v>59868</v>
      </c>
      <c r="X2983" s="181">
        <f>_xll.qlCalendarAdvance(Calendar,W2983,NDays&amp;"D")</f>
        <v>59870</v>
      </c>
      <c r="Y2983" s="178">
        <v>1.9503386009610438E-2</v>
      </c>
      <c r="Z2983" s="183">
        <v>1.9242338755267596E-2</v>
      </c>
    </row>
    <row r="2984" spans="22:26" x14ac:dyDescent="0.2">
      <c r="V2984" s="180" t="str">
        <f t="shared" si="54"/>
        <v>1w</v>
      </c>
      <c r="W2984" s="177">
        <f>_xll.qlCalendarAdvance(Calendar,W2983,V2984,"f",FALSE)</f>
        <v>59875</v>
      </c>
      <c r="X2984" s="181">
        <f>_xll.qlCalendarAdvance(Calendar,W2984,NDays&amp;"D")</f>
        <v>59877</v>
      </c>
      <c r="Y2984" s="178">
        <v>1.9508704047689906E-2</v>
      </c>
      <c r="Z2984" s="183">
        <v>1.9244838800078767E-2</v>
      </c>
    </row>
    <row r="2985" spans="22:26" x14ac:dyDescent="0.2">
      <c r="V2985" s="180" t="str">
        <f t="shared" si="54"/>
        <v>1w</v>
      </c>
      <c r="W2985" s="177">
        <f>_xll.qlCalendarAdvance(Calendar,W2984,V2985,"f",FALSE)</f>
        <v>59882</v>
      </c>
      <c r="X2985" s="181">
        <f>_xll.qlCalendarAdvance(Calendar,W2985,NDays&amp;"D")</f>
        <v>59884</v>
      </c>
      <c r="Y2985" s="178">
        <v>1.9511776227217795E-2</v>
      </c>
      <c r="Z2985" s="183">
        <v>1.9247358110598967E-2</v>
      </c>
    </row>
    <row r="2986" spans="22:26" x14ac:dyDescent="0.2">
      <c r="V2986" s="180" t="str">
        <f t="shared" si="54"/>
        <v>1w</v>
      </c>
      <c r="W2986" s="177">
        <f>_xll.qlCalendarAdvance(Calendar,W2985,V2986,"f",FALSE)</f>
        <v>59889</v>
      </c>
      <c r="X2986" s="181">
        <f>_xll.qlCalendarAdvance(Calendar,W2986,NDays&amp;"D")</f>
        <v>59891</v>
      </c>
      <c r="Y2986" s="178">
        <v>1.9514865049259748E-2</v>
      </c>
      <c r="Z2986" s="183">
        <v>1.9249896686854839E-2</v>
      </c>
    </row>
    <row r="2987" spans="22:26" x14ac:dyDescent="0.2">
      <c r="V2987" s="180" t="str">
        <f t="shared" si="54"/>
        <v>1w</v>
      </c>
      <c r="W2987" s="177">
        <f>_xll.qlCalendarAdvance(Calendar,W2986,V2987,"f",FALSE)</f>
        <v>59897</v>
      </c>
      <c r="X2987" s="181">
        <f>_xll.qlCalendarAdvance(Calendar,W2987,NDays&amp;"D")</f>
        <v>59901</v>
      </c>
      <c r="Y2987" s="178">
        <v>1.9518545935754316E-2</v>
      </c>
      <c r="Z2987" s="183">
        <v>1.9252857817169122E-2</v>
      </c>
    </row>
    <row r="2988" spans="22:26" x14ac:dyDescent="0.2">
      <c r="V2988" s="180" t="str">
        <f t="shared" si="54"/>
        <v>1w</v>
      </c>
      <c r="W2988" s="177">
        <f>_xll.qlCalendarAdvance(Calendar,W2987,V2988,"f",FALSE)</f>
        <v>59904</v>
      </c>
      <c r="X2988" s="181">
        <f>_xll.qlCalendarAdvance(Calendar,W2988,NDays&amp;"D")</f>
        <v>59908</v>
      </c>
      <c r="Y2988" s="178">
        <v>1.9521672095966981E-2</v>
      </c>
      <c r="Z2988" s="183">
        <v>1.925474149482298E-2</v>
      </c>
    </row>
    <row r="2989" spans="22:26" x14ac:dyDescent="0.2">
      <c r="V2989" s="180" t="str">
        <f t="shared" si="54"/>
        <v>1w</v>
      </c>
      <c r="W2989" s="177">
        <f>_xll.qlCalendarAdvance(Calendar,W2988,V2989,"f",FALSE)</f>
        <v>59911</v>
      </c>
      <c r="X2989" s="181">
        <f>_xll.qlCalendarAdvance(Calendar,W2989,NDays&amp;"D")</f>
        <v>59915</v>
      </c>
      <c r="Y2989" s="178">
        <v>1.9524813235794351E-2</v>
      </c>
      <c r="Z2989" s="183">
        <v>1.9257343094478685E-2</v>
      </c>
    </row>
    <row r="2990" spans="22:26" x14ac:dyDescent="0.2">
      <c r="V2990" s="180" t="str">
        <f t="shared" si="54"/>
        <v>1w</v>
      </c>
      <c r="W2990" s="177">
        <f>_xll.qlCalendarAdvance(Calendar,W2989,V2990,"f",FALSE)</f>
        <v>59918</v>
      </c>
      <c r="X2990" s="181">
        <f>_xll.qlCalendarAdvance(Calendar,W2990,NDays&amp;"D")</f>
        <v>59922</v>
      </c>
      <c r="Y2990" s="178">
        <v>1.9527968851905938E-2</v>
      </c>
      <c r="Z2990" s="183">
        <v>1.9259963957685144E-2</v>
      </c>
    </row>
    <row r="2991" spans="22:26" x14ac:dyDescent="0.2">
      <c r="V2991" s="180" t="str">
        <f t="shared" si="54"/>
        <v>1w</v>
      </c>
      <c r="W2991" s="177">
        <f>_xll.qlCalendarAdvance(Calendar,W2990,V2991,"f",FALSE)</f>
        <v>59925</v>
      </c>
      <c r="X2991" s="181">
        <f>_xll.qlCalendarAdvance(Calendar,W2991,NDays&amp;"D")</f>
        <v>59929</v>
      </c>
      <c r="Y2991" s="178">
        <v>1.9531138440965351E-2</v>
      </c>
      <c r="Z2991" s="183">
        <v>1.9262604084522295E-2</v>
      </c>
    </row>
    <row r="2992" spans="22:26" x14ac:dyDescent="0.2">
      <c r="V2992" s="180" t="str">
        <f t="shared" si="54"/>
        <v>1w</v>
      </c>
      <c r="W2992" s="177">
        <f>_xll.qlCalendarAdvance(Calendar,W2991,V2992,"f",FALSE)</f>
        <v>59932</v>
      </c>
      <c r="X2992" s="181">
        <f>_xll.qlCalendarAdvance(Calendar,W2992,NDays&amp;"D")</f>
        <v>59936</v>
      </c>
      <c r="Y2992" s="178">
        <v>1.953432149963074E-2</v>
      </c>
      <c r="Z2992" s="183">
        <v>1.9265263475070071E-2</v>
      </c>
    </row>
    <row r="2993" spans="22:26" x14ac:dyDescent="0.2">
      <c r="V2993" s="180" t="str">
        <f t="shared" si="54"/>
        <v>1w</v>
      </c>
      <c r="W2993" s="177">
        <f>_xll.qlCalendarAdvance(Calendar,W2992,V2993,"f",FALSE)</f>
        <v>59939</v>
      </c>
      <c r="X2993" s="181">
        <f>_xll.qlCalendarAdvance(Calendar,W2993,NDays&amp;"D")</f>
        <v>59943</v>
      </c>
      <c r="Y2993" s="178">
        <v>1.9537517524553703E-2</v>
      </c>
      <c r="Z2993" s="183">
        <v>1.9267942129248539E-2</v>
      </c>
    </row>
    <row r="2994" spans="22:26" x14ac:dyDescent="0.2">
      <c r="V2994" s="180" t="str">
        <f t="shared" si="54"/>
        <v>1w</v>
      </c>
      <c r="W2994" s="177">
        <f>_xll.qlCalendarAdvance(Calendar,W2993,V2994,"f",FALSE)</f>
        <v>59946</v>
      </c>
      <c r="X2994" s="181">
        <f>_xll.qlCalendarAdvance(Calendar,W2994,NDays&amp;"D")</f>
        <v>59950</v>
      </c>
      <c r="Y2994" s="178">
        <v>1.9540726012381038E-2</v>
      </c>
      <c r="Z2994" s="183">
        <v>1.9270640046977761E-2</v>
      </c>
    </row>
    <row r="2995" spans="22:26" x14ac:dyDescent="0.2">
      <c r="V2995" s="180" t="str">
        <f t="shared" si="54"/>
        <v>1w</v>
      </c>
      <c r="W2995" s="177">
        <f>_xll.qlCalendarAdvance(Calendar,W2994,V2995,"f",FALSE)</f>
        <v>59953</v>
      </c>
      <c r="X2995" s="181">
        <f>_xll.qlCalendarAdvance(Calendar,W2995,NDays&amp;"D")</f>
        <v>59957</v>
      </c>
      <c r="Y2995" s="178">
        <v>1.9543946459752548E-2</v>
      </c>
      <c r="Z2995" s="183">
        <v>1.9273357228337673E-2</v>
      </c>
    </row>
    <row r="2996" spans="22:26" x14ac:dyDescent="0.2">
      <c r="V2996" s="180" t="str">
        <f t="shared" si="54"/>
        <v>1w</v>
      </c>
      <c r="W2996" s="177">
        <f>_xll.qlCalendarAdvance(Calendar,W2995,V2996,"f",FALSE)</f>
        <v>59960</v>
      </c>
      <c r="X2996" s="181">
        <f>_xll.qlCalendarAdvance(Calendar,W2996,NDays&amp;"D")</f>
        <v>59964</v>
      </c>
      <c r="Y2996" s="178">
        <v>1.9546411900137416E-2</v>
      </c>
      <c r="Z2996" s="183">
        <v>1.9276093673408212E-2</v>
      </c>
    </row>
    <row r="2997" spans="22:26" x14ac:dyDescent="0.2">
      <c r="V2997" s="180" t="str">
        <f t="shared" si="54"/>
        <v>1w</v>
      </c>
      <c r="W2997" s="177">
        <f>_xll.qlCalendarAdvance(Calendar,W2996,V2997,"f",FALSE)</f>
        <v>59967</v>
      </c>
      <c r="X2997" s="181">
        <f>_xll.qlCalendarAdvance(Calendar,W2997,NDays&amp;"D")</f>
        <v>59971</v>
      </c>
      <c r="Y2997" s="178">
        <v>1.9549654237510251E-2</v>
      </c>
      <c r="Z2997" s="183">
        <v>1.9278849382029506E-2</v>
      </c>
    </row>
    <row r="2998" spans="22:26" x14ac:dyDescent="0.2">
      <c r="V2998" s="180" t="str">
        <f t="shared" si="54"/>
        <v>1w</v>
      </c>
      <c r="W2998" s="177">
        <f>_xll.qlCalendarAdvance(Calendar,W2997,V2998,"f",FALSE)</f>
        <v>59974</v>
      </c>
      <c r="X2998" s="181">
        <f>_xll.qlCalendarAdvance(Calendar,W2998,NDays&amp;"D")</f>
        <v>59978</v>
      </c>
      <c r="Y2998" s="178">
        <v>1.9552907070613617E-2</v>
      </c>
      <c r="Z2998" s="183">
        <v>1.9281624354361426E-2</v>
      </c>
    </row>
    <row r="2999" spans="22:26" x14ac:dyDescent="0.2">
      <c r="V2999" s="180" t="str">
        <f t="shared" si="54"/>
        <v>1w</v>
      </c>
      <c r="W2999" s="177">
        <f>_xll.qlCalendarAdvance(Calendar,W2998,V2999,"f",FALSE)</f>
        <v>59981</v>
      </c>
      <c r="X2999" s="181">
        <f>_xll.qlCalendarAdvance(Calendar,W2999,NDays&amp;"D")</f>
        <v>59985</v>
      </c>
      <c r="Y2999" s="178">
        <v>1.9556169894711317E-2</v>
      </c>
      <c r="Z2999" s="183">
        <v>1.9284418590324037E-2</v>
      </c>
    </row>
    <row r="3000" spans="22:26" x14ac:dyDescent="0.2">
      <c r="V3000" s="180" t="str">
        <f t="shared" si="54"/>
        <v>1w</v>
      </c>
      <c r="W3000" s="177">
        <f>_xll.qlCalendarAdvance(Calendar,W2999,V3000,"f",FALSE)</f>
        <v>59988</v>
      </c>
      <c r="X3000" s="181">
        <f>_xll.qlCalendarAdvance(Calendar,W3000,NDays&amp;"D")</f>
        <v>59992</v>
      </c>
      <c r="Y3000" s="178">
        <v>1.9559442205061239E-2</v>
      </c>
      <c r="Z3000" s="183">
        <v>1.9287232089837403E-2</v>
      </c>
    </row>
    <row r="3001" spans="22:26" x14ac:dyDescent="0.2">
      <c r="V3001" s="180" t="str">
        <f t="shared" si="54"/>
        <v>1w</v>
      </c>
      <c r="W3001" s="177">
        <f>_xll.qlCalendarAdvance(Calendar,W3000,V3001,"f",FALSE)</f>
        <v>59995</v>
      </c>
      <c r="X3001" s="181">
        <f>_xll.qlCalendarAdvance(Calendar,W3001,NDays&amp;"D")</f>
        <v>60001</v>
      </c>
      <c r="Y3001" s="178">
        <v>1.956366258790028E-2</v>
      </c>
      <c r="Z3001" s="183">
        <v>1.9290877752169422E-2</v>
      </c>
    </row>
    <row r="3002" spans="22:26" x14ac:dyDescent="0.2">
      <c r="V3002" s="180" t="str">
        <f t="shared" si="54"/>
        <v>1w</v>
      </c>
      <c r="W3002" s="177">
        <f>_xll.qlCalendarAdvance(Calendar,W3001,V3002,"f",FALSE)</f>
        <v>60002</v>
      </c>
      <c r="X3002" s="181">
        <f>_xll.qlCalendarAdvance(Calendar,W3002,NDays&amp;"D")</f>
        <v>60006</v>
      </c>
      <c r="Y3002" s="178">
        <v>1.9566013265516016E-2</v>
      </c>
      <c r="Z3002" s="183">
        <v>1.9292916879916078E-2</v>
      </c>
    </row>
    <row r="3003" spans="22:26" x14ac:dyDescent="0.2">
      <c r="V3003" s="180" t="str">
        <f t="shared" si="54"/>
        <v>1w</v>
      </c>
      <c r="W3003" s="177">
        <f>_xll.qlCalendarAdvance(Calendar,W3002,V3003,"f",FALSE)</f>
        <v>60009</v>
      </c>
      <c r="X3003" s="181">
        <f>_xll.qlCalendarAdvance(Calendar,W3003,NDays&amp;"D")</f>
        <v>60013</v>
      </c>
      <c r="Y3003" s="178">
        <v>1.9569311006104456E-2</v>
      </c>
      <c r="Z3003" s="183">
        <v>1.9295788170481387E-2</v>
      </c>
    </row>
    <row r="3004" spans="22:26" x14ac:dyDescent="0.2">
      <c r="V3004" s="180" t="str">
        <f t="shared" si="54"/>
        <v>1w</v>
      </c>
      <c r="W3004" s="177">
        <f>_xll.qlCalendarAdvance(Calendar,W3003,V3004,"f",FALSE)</f>
        <v>60016</v>
      </c>
      <c r="X3004" s="181">
        <f>_xll.qlCalendarAdvance(Calendar,W3004,NDays&amp;"D")</f>
        <v>60020</v>
      </c>
      <c r="Y3004" s="178">
        <v>1.9572616213911629E-2</v>
      </c>
      <c r="Z3004" s="183">
        <v>1.9298678724517515E-2</v>
      </c>
    </row>
    <row r="3005" spans="22:26" x14ac:dyDescent="0.2">
      <c r="V3005" s="180" t="str">
        <f t="shared" si="54"/>
        <v>1w</v>
      </c>
      <c r="W3005" s="177">
        <f>_xll.qlCalendarAdvance(Calendar,W3004,V3005,"f",FALSE)</f>
        <v>60024</v>
      </c>
      <c r="X3005" s="181">
        <f>_xll.qlCalendarAdvance(Calendar,W3005,NDays&amp;"D")</f>
        <v>60028</v>
      </c>
      <c r="Y3005" s="178">
        <v>1.957640209027231E-2</v>
      </c>
      <c r="Z3005" s="183">
        <v>1.9302005803130129E-2</v>
      </c>
    </row>
    <row r="3006" spans="22:26" x14ac:dyDescent="0.2">
      <c r="V3006" s="180" t="str">
        <f t="shared" si="54"/>
        <v>1w</v>
      </c>
      <c r="W3006" s="177">
        <f>_xll.qlCalendarAdvance(Calendar,W3005,V3006,"f",FALSE)</f>
        <v>60031</v>
      </c>
      <c r="X3006" s="181">
        <f>_xll.qlCalendarAdvance(Calendar,W3006,NDays&amp;"D")</f>
        <v>60035</v>
      </c>
      <c r="Y3006" s="178">
        <v>1.9579721599504406E-2</v>
      </c>
      <c r="Z3006" s="183">
        <v>1.9304937636386299E-2</v>
      </c>
    </row>
    <row r="3007" spans="22:26" x14ac:dyDescent="0.2">
      <c r="V3007" s="180" t="str">
        <f t="shared" si="54"/>
        <v>1w</v>
      </c>
      <c r="W3007" s="177">
        <f>_xll.qlCalendarAdvance(Calendar,W3006,V3007,"f",FALSE)</f>
        <v>60038</v>
      </c>
      <c r="X3007" s="181">
        <f>_xll.qlCalendarAdvance(Calendar,W3007,NDays&amp;"D")</f>
        <v>60042</v>
      </c>
      <c r="Y3007" s="178">
        <v>1.9583046989499992E-2</v>
      </c>
      <c r="Z3007" s="183">
        <v>1.9307888733353096E-2</v>
      </c>
    </row>
    <row r="3008" spans="22:26" x14ac:dyDescent="0.2">
      <c r="V3008" s="180" t="str">
        <f t="shared" si="54"/>
        <v>1w</v>
      </c>
      <c r="W3008" s="177">
        <f>_xll.qlCalendarAdvance(Calendar,W3007,V3008,"f",FALSE)</f>
        <v>60045</v>
      </c>
      <c r="X3008" s="181">
        <f>_xll.qlCalendarAdvance(Calendar,W3008,NDays&amp;"D")</f>
        <v>60049</v>
      </c>
      <c r="Y3008" s="178">
        <v>1.9586377755464398E-2</v>
      </c>
      <c r="Z3008" s="183">
        <v>1.9310859094030519E-2</v>
      </c>
    </row>
    <row r="3009" spans="22:26" x14ac:dyDescent="0.2">
      <c r="V3009" s="180" t="str">
        <f t="shared" si="54"/>
        <v>1w</v>
      </c>
      <c r="W3009" s="177">
        <f>_xll.qlCalendarAdvance(Calendar,W3008,V3009,"f",FALSE)</f>
        <v>60052</v>
      </c>
      <c r="X3009" s="181">
        <f>_xll.qlCalendarAdvance(Calendar,W3009,NDays&amp;"D")</f>
        <v>60056</v>
      </c>
      <c r="Y3009" s="178">
        <v>1.9589713392595947E-2</v>
      </c>
      <c r="Z3009" s="183">
        <v>1.9313848718338633E-2</v>
      </c>
    </row>
    <row r="3010" spans="22:26" x14ac:dyDescent="0.2">
      <c r="V3010" s="180" t="str">
        <f t="shared" si="54"/>
        <v>1w</v>
      </c>
      <c r="W3010" s="177">
        <f>_xll.qlCalendarAdvance(Calendar,W3009,V3010,"f",FALSE)</f>
        <v>60059</v>
      </c>
      <c r="X3010" s="181">
        <f>_xll.qlCalendarAdvance(Calendar,W3010,NDays&amp;"D")</f>
        <v>60063</v>
      </c>
      <c r="Y3010" s="178">
        <v>1.9593053396086607E-2</v>
      </c>
      <c r="Z3010" s="183">
        <v>1.9316857606197502E-2</v>
      </c>
    </row>
    <row r="3011" spans="22:26" x14ac:dyDescent="0.2">
      <c r="V3011" s="180" t="str">
        <f t="shared" si="54"/>
        <v>1w</v>
      </c>
      <c r="W3011" s="177">
        <f>_xll.qlCalendarAdvance(Calendar,W3010,V3011,"f",FALSE)</f>
        <v>60066</v>
      </c>
      <c r="X3011" s="181">
        <f>_xll.qlCalendarAdvance(Calendar,W3011,NDays&amp;"D")</f>
        <v>60070</v>
      </c>
      <c r="Y3011" s="178">
        <v>1.9596397261121553E-2</v>
      </c>
      <c r="Z3011" s="183">
        <v>1.9319885757766997E-2</v>
      </c>
    </row>
    <row r="3012" spans="22:26" x14ac:dyDescent="0.2">
      <c r="V3012" s="180" t="str">
        <f t="shared" si="54"/>
        <v>1w</v>
      </c>
      <c r="W3012" s="177">
        <f>_xll.qlCalendarAdvance(Calendar,W3011,V3012,"f",FALSE)</f>
        <v>60073</v>
      </c>
      <c r="X3012" s="181">
        <f>_xll.qlCalendarAdvance(Calendar,W3012,NDays&amp;"D")</f>
        <v>60077</v>
      </c>
      <c r="Y3012" s="178">
        <v>1.9599744482879402E-2</v>
      </c>
      <c r="Z3012" s="183">
        <v>1.9322933172887247E-2</v>
      </c>
    </row>
    <row r="3013" spans="22:26" x14ac:dyDescent="0.2">
      <c r="V3013" s="180" t="str">
        <f t="shared" si="54"/>
        <v>1w</v>
      </c>
      <c r="W3013" s="177">
        <f>_xll.qlCalendarAdvance(Calendar,W3012,V3013,"f",FALSE)</f>
        <v>60080</v>
      </c>
      <c r="X3013" s="181">
        <f>_xll.qlCalendarAdvance(Calendar,W3013,NDays&amp;"D")</f>
        <v>60084</v>
      </c>
      <c r="Y3013" s="178">
        <v>1.9603094556532408E-2</v>
      </c>
      <c r="Z3013" s="183">
        <v>1.9325999851718123E-2</v>
      </c>
    </row>
    <row r="3014" spans="22:26" x14ac:dyDescent="0.2">
      <c r="V3014" s="180" t="str">
        <f t="shared" si="54"/>
        <v>1w</v>
      </c>
      <c r="W3014" s="177">
        <f>_xll.qlCalendarAdvance(Calendar,W3013,V3014,"f",FALSE)</f>
        <v>60087</v>
      </c>
      <c r="X3014" s="181">
        <f>_xll.qlCalendarAdvance(Calendar,W3014,NDays&amp;"D")</f>
        <v>60091</v>
      </c>
      <c r="Y3014" s="178">
        <v>1.9606446977245385E-2</v>
      </c>
      <c r="Z3014" s="183">
        <v>1.932908579417969E-2</v>
      </c>
    </row>
    <row r="3015" spans="22:26" x14ac:dyDescent="0.2">
      <c r="V3015" s="180" t="str">
        <f t="shared" si="54"/>
        <v>1w</v>
      </c>
      <c r="W3015" s="177">
        <f>_xll.qlCalendarAdvance(Calendar,W3014,V3015,"f",FALSE)</f>
        <v>60094</v>
      </c>
      <c r="X3015" s="181">
        <f>_xll.qlCalendarAdvance(Calendar,W3015,NDays&amp;"D")</f>
        <v>60098</v>
      </c>
      <c r="Y3015" s="178">
        <v>1.9609801240177232E-2</v>
      </c>
      <c r="Z3015" s="183">
        <v>1.9332191000351884E-2</v>
      </c>
    </row>
    <row r="3016" spans="22:26" x14ac:dyDescent="0.2">
      <c r="V3016" s="180" t="str">
        <f t="shared" si="54"/>
        <v>1w</v>
      </c>
      <c r="W3016" s="177">
        <f>_xll.qlCalendarAdvance(Calendar,W3015,V3016,"f",FALSE)</f>
        <v>60101</v>
      </c>
      <c r="X3016" s="181">
        <f>_xll.qlCalendarAdvance(Calendar,W3016,NDays&amp;"D")</f>
        <v>60105</v>
      </c>
      <c r="Y3016" s="178">
        <v>1.9613156840479404E-2</v>
      </c>
      <c r="Z3016" s="183">
        <v>1.9335315470074832E-2</v>
      </c>
    </row>
    <row r="3017" spans="22:26" x14ac:dyDescent="0.2">
      <c r="V3017" s="180" t="str">
        <f t="shared" si="54"/>
        <v>1w</v>
      </c>
      <c r="W3017" s="177">
        <f>_xll.qlCalendarAdvance(Calendar,W3016,V3017,"f",FALSE)</f>
        <v>60108</v>
      </c>
      <c r="X3017" s="181">
        <f>_xll.qlCalendarAdvance(Calendar,W3017,NDays&amp;"D")</f>
        <v>60112</v>
      </c>
      <c r="Y3017" s="178">
        <v>1.9616513273297442E-2</v>
      </c>
      <c r="Z3017" s="183">
        <v>1.9338459203428471E-2</v>
      </c>
    </row>
    <row r="3018" spans="22:26" x14ac:dyDescent="0.2">
      <c r="V3018" s="180" t="str">
        <f t="shared" si="54"/>
        <v>1w</v>
      </c>
      <c r="W3018" s="177">
        <f>_xll.qlCalendarAdvance(Calendar,W3017,V3018,"f",FALSE)</f>
        <v>60115</v>
      </c>
      <c r="X3018" s="181">
        <f>_xll.qlCalendarAdvance(Calendar,W3018,NDays&amp;"D")</f>
        <v>60119</v>
      </c>
      <c r="Y3018" s="178">
        <v>1.9619870033769218E-2</v>
      </c>
      <c r="Z3018" s="183">
        <v>1.9341622200492736E-2</v>
      </c>
    </row>
    <row r="3019" spans="22:26" x14ac:dyDescent="0.2">
      <c r="V3019" s="180" t="str">
        <f t="shared" si="54"/>
        <v>1w</v>
      </c>
      <c r="W3019" s="177">
        <f>_xll.qlCalendarAdvance(Calendar,W3018,V3019,"f",FALSE)</f>
        <v>60122</v>
      </c>
      <c r="X3019" s="181">
        <f>_xll.qlCalendarAdvance(Calendar,W3019,NDays&amp;"D")</f>
        <v>60126</v>
      </c>
      <c r="Y3019" s="178">
        <v>1.9623226617026694E-2</v>
      </c>
      <c r="Z3019" s="183">
        <v>1.9344804461187692E-2</v>
      </c>
    </row>
    <row r="3020" spans="22:26" x14ac:dyDescent="0.2">
      <c r="V3020" s="180" t="str">
        <f t="shared" si="54"/>
        <v>1w</v>
      </c>
      <c r="W3020" s="177">
        <f>_xll.qlCalendarAdvance(Calendar,W3019,V3020,"f",FALSE)</f>
        <v>60129</v>
      </c>
      <c r="X3020" s="181">
        <f>_xll.qlCalendarAdvance(Calendar,W3020,NDays&amp;"D")</f>
        <v>60133</v>
      </c>
      <c r="Y3020" s="178">
        <v>1.9626582518194831E-2</v>
      </c>
      <c r="Z3020" s="183">
        <v>1.9348005985513339E-2</v>
      </c>
    </row>
    <row r="3021" spans="22:26" x14ac:dyDescent="0.2">
      <c r="V3021" s="180" t="str">
        <f t="shared" si="54"/>
        <v>1w</v>
      </c>
      <c r="W3021" s="177">
        <f>_xll.qlCalendarAdvance(Calendar,W3020,V3021,"f",FALSE)</f>
        <v>60136</v>
      </c>
      <c r="X3021" s="181">
        <f>_xll.qlCalendarAdvance(Calendar,W3021,NDays&amp;"D")</f>
        <v>60140</v>
      </c>
      <c r="Y3021" s="178">
        <v>1.9629937232391127E-2</v>
      </c>
      <c r="Z3021" s="183">
        <v>1.9351226773469676E-2</v>
      </c>
    </row>
    <row r="3022" spans="22:26" x14ac:dyDescent="0.2">
      <c r="V3022" s="180" t="str">
        <f t="shared" si="54"/>
        <v>1w</v>
      </c>
      <c r="W3022" s="177">
        <f>_xll.qlCalendarAdvance(Calendar,W3021,V3022,"f",FALSE)</f>
        <v>60143</v>
      </c>
      <c r="X3022" s="181">
        <f>_xll.qlCalendarAdvance(Calendar,W3022,NDays&amp;"D")</f>
        <v>60147</v>
      </c>
      <c r="Y3022" s="178">
        <v>1.9633290254727404E-2</v>
      </c>
      <c r="Z3022" s="183">
        <v>1.935446682513664E-2</v>
      </c>
    </row>
    <row r="3023" spans="22:26" x14ac:dyDescent="0.2">
      <c r="V3023" s="180" t="str">
        <f t="shared" si="54"/>
        <v>1w</v>
      </c>
      <c r="W3023" s="177">
        <f>_xll.qlCalendarAdvance(Calendar,W3022,V3023,"f",FALSE)</f>
        <v>60150</v>
      </c>
      <c r="X3023" s="181">
        <f>_xll.qlCalendarAdvance(Calendar,W3023,NDays&amp;"D")</f>
        <v>60154</v>
      </c>
      <c r="Y3023" s="178">
        <v>1.9636641080308246E-2</v>
      </c>
      <c r="Z3023" s="183">
        <v>1.9357726140354359E-2</v>
      </c>
    </row>
    <row r="3024" spans="22:26" x14ac:dyDescent="0.2">
      <c r="V3024" s="180" t="str">
        <f t="shared" si="54"/>
        <v>1w</v>
      </c>
      <c r="W3024" s="177">
        <f>_xll.qlCalendarAdvance(Calendar,W3023,V3024,"f",FALSE)</f>
        <v>60157</v>
      </c>
      <c r="X3024" s="181">
        <f>_xll.qlCalendarAdvance(Calendar,W3024,NDays&amp;"D")</f>
        <v>60161</v>
      </c>
      <c r="Y3024" s="178">
        <v>1.963998920423167E-2</v>
      </c>
      <c r="Z3024" s="183">
        <v>1.9361004719282704E-2</v>
      </c>
    </row>
    <row r="3025" spans="22:26" x14ac:dyDescent="0.2">
      <c r="V3025" s="180" t="str">
        <f t="shared" si="54"/>
        <v>1w</v>
      </c>
      <c r="W3025" s="177">
        <f>_xll.qlCalendarAdvance(Calendar,W3024,V3025,"f",FALSE)</f>
        <v>60164</v>
      </c>
      <c r="X3025" s="181">
        <f>_xll.qlCalendarAdvance(Calendar,W3025,NDays&amp;"D")</f>
        <v>60168</v>
      </c>
      <c r="Y3025" s="178">
        <v>1.9643334121589119E-2</v>
      </c>
      <c r="Z3025" s="183">
        <v>1.936430256184174E-2</v>
      </c>
    </row>
    <row r="3026" spans="22:26" x14ac:dyDescent="0.2">
      <c r="V3026" s="180" t="str">
        <f t="shared" si="54"/>
        <v>1w</v>
      </c>
      <c r="W3026" s="177">
        <f>_xll.qlCalendarAdvance(Calendar,W3025,V3026,"f",FALSE)</f>
        <v>60171</v>
      </c>
      <c r="X3026" s="181">
        <f>_xll.qlCalendarAdvance(Calendar,W3026,NDays&amp;"D")</f>
        <v>60175</v>
      </c>
      <c r="Y3026" s="178">
        <v>1.9646675327465037E-2</v>
      </c>
      <c r="Z3026" s="183">
        <v>1.9367619668031466E-2</v>
      </c>
    </row>
    <row r="3027" spans="22:26" x14ac:dyDescent="0.2">
      <c r="V3027" s="180" t="str">
        <f t="shared" si="54"/>
        <v>1w</v>
      </c>
      <c r="W3027" s="177">
        <f>_xll.qlCalendarAdvance(Calendar,W3026,V3027,"f",FALSE)</f>
        <v>60178</v>
      </c>
      <c r="X3027" s="181">
        <f>_xll.qlCalendarAdvance(Calendar,W3027,NDays&amp;"D")</f>
        <v>60182</v>
      </c>
      <c r="Y3027" s="178">
        <v>1.9650012316937072E-2</v>
      </c>
      <c r="Z3027" s="183">
        <v>1.9370956037931819E-2</v>
      </c>
    </row>
    <row r="3028" spans="22:26" x14ac:dyDescent="0.2">
      <c r="V3028" s="180" t="str">
        <f t="shared" si="54"/>
        <v>1w</v>
      </c>
      <c r="W3028" s="177">
        <f>_xll.qlCalendarAdvance(Calendar,W3027,V3028,"f",FALSE)</f>
        <v>60185</v>
      </c>
      <c r="X3028" s="181">
        <f>_xll.qlCalendarAdvance(Calendar,W3028,NDays&amp;"D")</f>
        <v>60189</v>
      </c>
      <c r="Y3028" s="178">
        <v>1.965334458507674E-2</v>
      </c>
      <c r="Z3028" s="183">
        <v>1.9374311671382927E-2</v>
      </c>
    </row>
    <row r="3029" spans="22:26" x14ac:dyDescent="0.2">
      <c r="V3029" s="180" t="str">
        <f t="shared" ref="V3029:V3092" si="55">V3028</f>
        <v>1w</v>
      </c>
      <c r="W3029" s="177">
        <f>_xll.qlCalendarAdvance(Calendar,W3028,V3029,"f",FALSE)</f>
        <v>60192</v>
      </c>
      <c r="X3029" s="181">
        <f>_xll.qlCalendarAdvance(Calendar,W3029,NDays&amp;"D")</f>
        <v>60196</v>
      </c>
      <c r="Y3029" s="178">
        <v>1.9656671626948771E-2</v>
      </c>
      <c r="Z3029" s="183">
        <v>1.9377686568544661E-2</v>
      </c>
    </row>
    <row r="3030" spans="22:26" x14ac:dyDescent="0.2">
      <c r="V3030" s="180" t="str">
        <f t="shared" si="55"/>
        <v>1w</v>
      </c>
      <c r="W3030" s="177">
        <f>_xll.qlCalendarAdvance(Calendar,W3029,V3030,"f",FALSE)</f>
        <v>60199</v>
      </c>
      <c r="X3030" s="181">
        <f>_xll.qlCalendarAdvance(Calendar,W3030,NDays&amp;"D")</f>
        <v>60203</v>
      </c>
      <c r="Y3030" s="178">
        <v>1.9659992937610667E-2</v>
      </c>
      <c r="Z3030" s="183">
        <v>1.9381080729337086E-2</v>
      </c>
    </row>
    <row r="3031" spans="22:26" x14ac:dyDescent="0.2">
      <c r="V3031" s="180" t="str">
        <f t="shared" si="55"/>
        <v>1w</v>
      </c>
      <c r="W3031" s="177">
        <f>_xll.qlCalendarAdvance(Calendar,W3030,V3031,"f",FALSE)</f>
        <v>60206</v>
      </c>
      <c r="X3031" s="181">
        <f>_xll.qlCalendarAdvance(Calendar,W3031,NDays&amp;"D")</f>
        <v>60210</v>
      </c>
      <c r="Y3031" s="178">
        <v>1.9663308012359732E-2</v>
      </c>
      <c r="Z3031" s="183">
        <v>1.9384493539211789E-2</v>
      </c>
    </row>
    <row r="3032" spans="22:26" x14ac:dyDescent="0.2">
      <c r="V3032" s="180" t="str">
        <f t="shared" si="55"/>
        <v>1w</v>
      </c>
      <c r="W3032" s="177">
        <f>_xll.qlCalendarAdvance(Calendar,W3031,V3032,"f",FALSE)</f>
        <v>60213</v>
      </c>
      <c r="X3032" s="181">
        <f>_xll.qlCalendarAdvance(Calendar,W3032,NDays&amp;"D")</f>
        <v>60217</v>
      </c>
      <c r="Y3032" s="178">
        <v>1.9666616471114472E-2</v>
      </c>
      <c r="Z3032" s="183">
        <v>1.9387907789214509E-2</v>
      </c>
    </row>
    <row r="3033" spans="22:26" x14ac:dyDescent="0.2">
      <c r="V3033" s="180" t="str">
        <f t="shared" si="55"/>
        <v>1w</v>
      </c>
      <c r="W3033" s="177">
        <f>_xll.qlCalendarAdvance(Calendar,W3032,V3033,"f",FALSE)</f>
        <v>60220</v>
      </c>
      <c r="X3033" s="181">
        <f>_xll.qlCalendarAdvance(Calendar,W3033,NDays&amp;"D")</f>
        <v>60224</v>
      </c>
      <c r="Y3033" s="178">
        <v>1.9669918260818146E-2</v>
      </c>
      <c r="Z3033" s="183">
        <v>1.9391315489656336E-2</v>
      </c>
    </row>
    <row r="3034" spans="22:26" x14ac:dyDescent="0.2">
      <c r="V3034" s="180" t="str">
        <f t="shared" si="55"/>
        <v>1w</v>
      </c>
      <c r="W3034" s="177">
        <f>_xll.qlCalendarAdvance(Calendar,W3033,V3034,"f",FALSE)</f>
        <v>60227</v>
      </c>
      <c r="X3034" s="181">
        <f>_xll.qlCalendarAdvance(Calendar,W3034,NDays&amp;"D")</f>
        <v>60231</v>
      </c>
      <c r="Y3034" s="178">
        <v>1.9673213381404618E-2</v>
      </c>
      <c r="Z3034" s="183">
        <v>1.9394716640457332E-2</v>
      </c>
    </row>
    <row r="3035" spans="22:26" x14ac:dyDescent="0.2">
      <c r="V3035" s="180" t="str">
        <f t="shared" si="55"/>
        <v>1w</v>
      </c>
      <c r="W3035" s="177">
        <f>_xll.qlCalendarAdvance(Calendar,W3034,V3035,"f",FALSE)</f>
        <v>60234</v>
      </c>
      <c r="X3035" s="181">
        <f>_xll.qlCalendarAdvance(Calendar,W3035,NDays&amp;"D")</f>
        <v>60238</v>
      </c>
      <c r="Y3035" s="178">
        <v>1.9676501832808401E-2</v>
      </c>
      <c r="Z3035" s="183">
        <v>1.9398111241537563E-2</v>
      </c>
    </row>
    <row r="3036" spans="22:26" x14ac:dyDescent="0.2">
      <c r="V3036" s="180" t="str">
        <f t="shared" si="55"/>
        <v>1w</v>
      </c>
      <c r="W3036" s="177">
        <f>_xll.qlCalendarAdvance(Calendar,W3035,V3036,"f",FALSE)</f>
        <v>60241</v>
      </c>
      <c r="X3036" s="181">
        <f>_xll.qlCalendarAdvance(Calendar,W3036,NDays&amp;"D")</f>
        <v>60245</v>
      </c>
      <c r="Y3036" s="178">
        <v>1.967978361496402E-2</v>
      </c>
      <c r="Z3036" s="183">
        <v>1.9401499293056901E-2</v>
      </c>
    </row>
    <row r="3037" spans="22:26" x14ac:dyDescent="0.2">
      <c r="V3037" s="180" t="str">
        <f t="shared" si="55"/>
        <v>1w</v>
      </c>
      <c r="W3037" s="177">
        <f>_xll.qlCalendarAdvance(Calendar,W3036,V3037,"f",FALSE)</f>
        <v>60248</v>
      </c>
      <c r="X3037" s="181">
        <f>_xll.qlCalendarAdvance(Calendar,W3037,NDays&amp;"D")</f>
        <v>60252</v>
      </c>
      <c r="Y3037" s="178">
        <v>1.9683058727806207E-2</v>
      </c>
      <c r="Z3037" s="183">
        <v>1.9404880794935409E-2</v>
      </c>
    </row>
    <row r="3038" spans="22:26" x14ac:dyDescent="0.2">
      <c r="V3038" s="180" t="str">
        <f t="shared" si="55"/>
        <v>1w</v>
      </c>
      <c r="W3038" s="177">
        <f>_xll.qlCalendarAdvance(Calendar,W3037,V3038,"f",FALSE)</f>
        <v>60255</v>
      </c>
      <c r="X3038" s="181">
        <f>_xll.qlCalendarAdvance(Calendar,W3038,NDays&amp;"D")</f>
        <v>60259</v>
      </c>
      <c r="Y3038" s="178">
        <v>1.9686327171269481E-2</v>
      </c>
      <c r="Z3038" s="183">
        <v>1.940825574709315E-2</v>
      </c>
    </row>
    <row r="3039" spans="22:26" x14ac:dyDescent="0.2">
      <c r="V3039" s="180" t="str">
        <f t="shared" si="55"/>
        <v>1w</v>
      </c>
      <c r="W3039" s="177">
        <f>_xll.qlCalendarAdvance(Calendar,W3038,V3039,"f",FALSE)</f>
        <v>60265</v>
      </c>
      <c r="X3039" s="181">
        <f>_xll.qlCalendarAdvance(Calendar,W3039,NDays&amp;"D")</f>
        <v>60267</v>
      </c>
      <c r="Y3039" s="178">
        <v>1.969005436855804E-2</v>
      </c>
      <c r="Z3039" s="183">
        <v>1.9412868469097511E-2</v>
      </c>
    </row>
    <row r="3040" spans="22:26" x14ac:dyDescent="0.2">
      <c r="V3040" s="180" t="str">
        <f t="shared" si="55"/>
        <v>1w</v>
      </c>
      <c r="W3040" s="177">
        <f>_xll.qlCalendarAdvance(Calendar,W3039,V3040,"f",FALSE)</f>
        <v>60272</v>
      </c>
      <c r="X3040" s="181">
        <f>_xll.qlCalendarAdvance(Calendar,W3040,NDays&amp;"D")</f>
        <v>60274</v>
      </c>
      <c r="Y3040" s="178">
        <v>1.9693308520276762E-2</v>
      </c>
      <c r="Z3040" s="183">
        <v>1.9415465732581794E-2</v>
      </c>
    </row>
    <row r="3041" spans="22:26" x14ac:dyDescent="0.2">
      <c r="V3041" s="180" t="str">
        <f t="shared" si="55"/>
        <v>1w</v>
      </c>
      <c r="W3041" s="177">
        <f>_xll.qlCalendarAdvance(Calendar,W3040,V3041,"f",FALSE)</f>
        <v>60279</v>
      </c>
      <c r="X3041" s="181">
        <f>_xll.qlCalendarAdvance(Calendar,W3041,NDays&amp;"D")</f>
        <v>60281</v>
      </c>
      <c r="Y3041" s="178">
        <v>1.9696556002412678E-2</v>
      </c>
      <c r="Z3041" s="183">
        <v>1.9418820100245426E-2</v>
      </c>
    </row>
    <row r="3042" spans="22:26" x14ac:dyDescent="0.2">
      <c r="V3042" s="180" t="str">
        <f t="shared" si="55"/>
        <v>1w</v>
      </c>
      <c r="W3042" s="177">
        <f>_xll.qlCalendarAdvance(Calendar,W3041,V3042,"f",FALSE)</f>
        <v>60286</v>
      </c>
      <c r="X3042" s="181">
        <f>_xll.qlCalendarAdvance(Calendar,W3042,NDays&amp;"D")</f>
        <v>60288</v>
      </c>
      <c r="Y3042" s="178">
        <v>1.9699796814900746E-2</v>
      </c>
      <c r="Z3042" s="183">
        <v>1.9422167918268229E-2</v>
      </c>
    </row>
    <row r="3043" spans="22:26" x14ac:dyDescent="0.2">
      <c r="V3043" s="180" t="str">
        <f t="shared" si="55"/>
        <v>1w</v>
      </c>
      <c r="W3043" s="177">
        <f>_xll.qlCalendarAdvance(Calendar,W3042,V3043,"f",FALSE)</f>
        <v>60293</v>
      </c>
      <c r="X3043" s="181">
        <f>_xll.qlCalendarAdvance(Calendar,W3043,NDays&amp;"D")</f>
        <v>60295</v>
      </c>
      <c r="Y3043" s="178">
        <v>1.9703030957677236E-2</v>
      </c>
      <c r="Z3043" s="183">
        <v>1.9425509186570267E-2</v>
      </c>
    </row>
    <row r="3044" spans="22:26" x14ac:dyDescent="0.2">
      <c r="V3044" s="180" t="str">
        <f t="shared" si="55"/>
        <v>1w</v>
      </c>
      <c r="W3044" s="177">
        <f>_xll.qlCalendarAdvance(Calendar,W3043,V3044,"f",FALSE)</f>
        <v>60300</v>
      </c>
      <c r="X3044" s="181">
        <f>_xll.qlCalendarAdvance(Calendar,W3044,NDays&amp;"D")</f>
        <v>60302</v>
      </c>
      <c r="Y3044" s="178">
        <v>1.9706258430677106E-2</v>
      </c>
      <c r="Z3044" s="183">
        <v>1.9428843905151538E-2</v>
      </c>
    </row>
    <row r="3045" spans="22:26" x14ac:dyDescent="0.2">
      <c r="V3045" s="180" t="str">
        <f t="shared" si="55"/>
        <v>1w</v>
      </c>
      <c r="W3045" s="177">
        <f>_xll.qlCalendarAdvance(Calendar,W3044,V3045,"f",FALSE)</f>
        <v>60307</v>
      </c>
      <c r="X3045" s="181">
        <f>_xll.qlCalendarAdvance(Calendar,W3045,NDays&amp;"D")</f>
        <v>60309</v>
      </c>
      <c r="Y3045" s="178">
        <v>1.9709479233836407E-2</v>
      </c>
      <c r="Z3045" s="183">
        <v>1.9432172074331788E-2</v>
      </c>
    </row>
    <row r="3046" spans="22:26" x14ac:dyDescent="0.2">
      <c r="V3046" s="180" t="str">
        <f t="shared" si="55"/>
        <v>1w</v>
      </c>
      <c r="W3046" s="177">
        <f>_xll.qlCalendarAdvance(Calendar,W3045,V3046,"f",FALSE)</f>
        <v>60314</v>
      </c>
      <c r="X3046" s="181">
        <f>_xll.qlCalendarAdvance(Calendar,W3046,NDays&amp;"D")</f>
        <v>60316</v>
      </c>
      <c r="Y3046" s="178">
        <v>1.9712693367091187E-2</v>
      </c>
      <c r="Z3046" s="183">
        <v>1.9435493693791273E-2</v>
      </c>
    </row>
    <row r="3047" spans="22:26" x14ac:dyDescent="0.2">
      <c r="V3047" s="180" t="str">
        <f t="shared" si="55"/>
        <v>1w</v>
      </c>
      <c r="W3047" s="177">
        <f>_xll.qlCalendarAdvance(Calendar,W3046,V3047,"f",FALSE)</f>
        <v>60321</v>
      </c>
      <c r="X3047" s="181">
        <f>_xll.qlCalendarAdvance(Calendar,W3047,NDays&amp;"D")</f>
        <v>60323</v>
      </c>
      <c r="Y3047" s="178">
        <v>1.9715900830376842E-2</v>
      </c>
      <c r="Z3047" s="183">
        <v>1.9438808763450055E-2</v>
      </c>
    </row>
    <row r="3048" spans="22:26" x14ac:dyDescent="0.2">
      <c r="V3048" s="180" t="str">
        <f t="shared" si="55"/>
        <v>1w</v>
      </c>
      <c r="W3048" s="177">
        <f>_xll.qlCalendarAdvance(Calendar,W3047,V3048,"f",FALSE)</f>
        <v>60328</v>
      </c>
      <c r="X3048" s="181">
        <f>_xll.qlCalendarAdvance(Calendar,W3048,NDays&amp;"D")</f>
        <v>60330</v>
      </c>
      <c r="Y3048" s="178">
        <v>1.9719101623630299E-2</v>
      </c>
      <c r="Z3048" s="183">
        <v>1.944211728362788E-2</v>
      </c>
    </row>
    <row r="3049" spans="22:26" x14ac:dyDescent="0.2">
      <c r="V3049" s="180" t="str">
        <f t="shared" si="55"/>
        <v>1w</v>
      </c>
      <c r="W3049" s="177">
        <f>_xll.qlCalendarAdvance(Calendar,W3048,V3049,"f",FALSE)</f>
        <v>60335</v>
      </c>
      <c r="X3049" s="181">
        <f>_xll.qlCalendarAdvance(Calendar,W3049,NDays&amp;"D")</f>
        <v>60337</v>
      </c>
      <c r="Y3049" s="178">
        <v>1.9722295746787171E-2</v>
      </c>
      <c r="Z3049" s="183">
        <v>1.9445419254164875E-2</v>
      </c>
    </row>
    <row r="3050" spans="22:26" x14ac:dyDescent="0.2">
      <c r="V3050" s="180" t="str">
        <f t="shared" si="55"/>
        <v>1w</v>
      </c>
      <c r="W3050" s="177">
        <f>_xll.qlCalendarAdvance(Calendar,W3049,V3050,"f",FALSE)</f>
        <v>60342</v>
      </c>
      <c r="X3050" s="181">
        <f>_xll.qlCalendarAdvance(Calendar,W3050,NDays&amp;"D")</f>
        <v>60344</v>
      </c>
      <c r="Y3050" s="178">
        <v>1.9725483199783952E-2</v>
      </c>
      <c r="Z3050" s="183">
        <v>1.9448714674981105E-2</v>
      </c>
    </row>
    <row r="3051" spans="22:26" x14ac:dyDescent="0.2">
      <c r="V3051" s="180" t="str">
        <f t="shared" si="55"/>
        <v>1w</v>
      </c>
      <c r="W3051" s="177">
        <f>_xll.qlCalendarAdvance(Calendar,W3050,V3051,"f",FALSE)</f>
        <v>60349</v>
      </c>
      <c r="X3051" s="181">
        <f>_xll.qlCalendarAdvance(Calendar,W3051,NDays&amp;"D")</f>
        <v>60351</v>
      </c>
      <c r="Y3051" s="178">
        <v>1.9728663982557341E-2</v>
      </c>
      <c r="Z3051" s="183">
        <v>1.9452003546156504E-2</v>
      </c>
    </row>
    <row r="3052" spans="22:26" x14ac:dyDescent="0.2">
      <c r="V3052" s="180" t="str">
        <f t="shared" si="55"/>
        <v>1w</v>
      </c>
      <c r="W3052" s="177">
        <f>_xll.qlCalendarAdvance(Calendar,W3051,V3052,"f",FALSE)</f>
        <v>60357</v>
      </c>
      <c r="X3052" s="181">
        <f>_xll.qlCalendarAdvance(Calendar,W3052,NDays&amp;"D")</f>
        <v>60359</v>
      </c>
      <c r="Y3052" s="178">
        <v>1.9732290995168031E-2</v>
      </c>
      <c r="Z3052" s="183">
        <v>1.9455754236075151E-2</v>
      </c>
    </row>
    <row r="3053" spans="22:26" x14ac:dyDescent="0.2">
      <c r="V3053" s="180" t="str">
        <f t="shared" si="55"/>
        <v>1w</v>
      </c>
      <c r="W3053" s="177">
        <f>_xll.qlCalendarAdvance(Calendar,W3052,V3053,"f",FALSE)</f>
        <v>60364</v>
      </c>
      <c r="X3053" s="181">
        <f>_xll.qlCalendarAdvance(Calendar,W3053,NDays&amp;"D")</f>
        <v>60366</v>
      </c>
      <c r="Y3053" s="178">
        <v>1.9738494174694268E-2</v>
      </c>
      <c r="Z3053" s="183">
        <v>1.9459029072477207E-2</v>
      </c>
    </row>
    <row r="3054" spans="22:26" x14ac:dyDescent="0.2">
      <c r="V3054" s="180" t="str">
        <f t="shared" si="55"/>
        <v>1w</v>
      </c>
      <c r="W3054" s="177">
        <f>_xll.qlCalendarAdvance(Calendar,W3053,V3054,"f",FALSE)</f>
        <v>60371</v>
      </c>
      <c r="X3054" s="181">
        <f>_xll.qlCalendarAdvance(Calendar,W3054,NDays&amp;"D")</f>
        <v>60373</v>
      </c>
      <c r="Y3054" s="178">
        <v>1.9738617303195167E-2</v>
      </c>
      <c r="Z3054" s="183">
        <v>1.9462297358998626E-2</v>
      </c>
    </row>
    <row r="3055" spans="22:26" x14ac:dyDescent="0.2">
      <c r="V3055" s="180" t="str">
        <f t="shared" si="55"/>
        <v>1w</v>
      </c>
      <c r="W3055" s="177">
        <f>_xll.qlCalendarAdvance(Calendar,W3054,V3055,"f",FALSE)</f>
        <v>60378</v>
      </c>
      <c r="X3055" s="181">
        <f>_xll.qlCalendarAdvance(Calendar,W3055,NDays&amp;"D")</f>
        <v>60380</v>
      </c>
      <c r="Y3055" s="178">
        <v>1.9741770451512739E-2</v>
      </c>
      <c r="Z3055" s="183">
        <v>1.9465559095959151E-2</v>
      </c>
    </row>
    <row r="3056" spans="22:26" x14ac:dyDescent="0.2">
      <c r="V3056" s="180" t="str">
        <f t="shared" si="55"/>
        <v>1w</v>
      </c>
      <c r="W3056" s="177">
        <f>_xll.qlCalendarAdvance(Calendar,W3055,V3056,"f",FALSE)</f>
        <v>60385</v>
      </c>
      <c r="X3056" s="181">
        <f>_xll.qlCalendarAdvance(Calendar,W3056,NDays&amp;"D")</f>
        <v>60387</v>
      </c>
      <c r="Y3056" s="178">
        <v>1.9744916929282579E-2</v>
      </c>
      <c r="Z3056" s="183">
        <v>1.9471090369118649E-2</v>
      </c>
    </row>
    <row r="3057" spans="22:26" x14ac:dyDescent="0.2">
      <c r="V3057" s="180" t="str">
        <f t="shared" si="55"/>
        <v>1w</v>
      </c>
      <c r="W3057" s="177">
        <f>_xll.qlCalendarAdvance(Calendar,W3056,V3057,"f",FALSE)</f>
        <v>60392</v>
      </c>
      <c r="X3057" s="181">
        <f>_xll.qlCalendarAdvance(Calendar,W3057,NDays&amp;"D")</f>
        <v>60394</v>
      </c>
      <c r="Y3057" s="178">
        <v>1.9748056736442053E-2</v>
      </c>
      <c r="Z3057" s="183">
        <v>1.9472062921037647E-2</v>
      </c>
    </row>
    <row r="3058" spans="22:26" x14ac:dyDescent="0.2">
      <c r="V3058" s="180" t="str">
        <f t="shared" si="55"/>
        <v>1w</v>
      </c>
      <c r="W3058" s="177">
        <f>_xll.qlCalendarAdvance(Calendar,W3057,V3058,"f",FALSE)</f>
        <v>60399</v>
      </c>
      <c r="X3058" s="181">
        <f>_xll.qlCalendarAdvance(Calendar,W3058,NDays&amp;"D")</f>
        <v>60401</v>
      </c>
      <c r="Y3058" s="178">
        <v>1.9751189872928527E-2</v>
      </c>
      <c r="Z3058" s="183">
        <v>1.9475305009075683E-2</v>
      </c>
    </row>
    <row r="3059" spans="22:26" x14ac:dyDescent="0.2">
      <c r="V3059" s="180" t="str">
        <f t="shared" si="55"/>
        <v>1w</v>
      </c>
      <c r="W3059" s="177">
        <f>_xll.qlCalendarAdvance(Calendar,W3058,V3059,"f",FALSE)</f>
        <v>60406</v>
      </c>
      <c r="X3059" s="181">
        <f>_xll.qlCalendarAdvance(Calendar,W3059,NDays&amp;"D")</f>
        <v>60408</v>
      </c>
      <c r="Y3059" s="178">
        <v>1.9754316338680022E-2</v>
      </c>
      <c r="Z3059" s="183">
        <v>1.9478540547472889E-2</v>
      </c>
    </row>
    <row r="3060" spans="22:26" x14ac:dyDescent="0.2">
      <c r="V3060" s="180" t="str">
        <f t="shared" si="55"/>
        <v>1w</v>
      </c>
      <c r="W3060" s="177">
        <f>_xll.qlCalendarAdvance(Calendar,W3059,V3060,"f",FALSE)</f>
        <v>60413</v>
      </c>
      <c r="X3060" s="181">
        <f>_xll.qlCalendarAdvance(Calendar,W3060,NDays&amp;"D")</f>
        <v>60415</v>
      </c>
      <c r="Y3060" s="178">
        <v>1.9757436133633906E-2</v>
      </c>
      <c r="Z3060" s="183">
        <v>1.9481769536229265E-2</v>
      </c>
    </row>
    <row r="3061" spans="22:26" x14ac:dyDescent="0.2">
      <c r="V3061" s="180" t="str">
        <f t="shared" si="55"/>
        <v>1w</v>
      </c>
      <c r="W3061" s="177">
        <f>_xll.qlCalendarAdvance(Calendar,W3060,V3061,"f",FALSE)</f>
        <v>60420</v>
      </c>
      <c r="X3061" s="181">
        <f>_xll.qlCalendarAdvance(Calendar,W3061,NDays&amp;"D")</f>
        <v>60422</v>
      </c>
      <c r="Y3061" s="178">
        <v>1.9760549257728199E-2</v>
      </c>
      <c r="Z3061" s="183">
        <v>1.9484991975344812E-2</v>
      </c>
    </row>
    <row r="3062" spans="22:26" x14ac:dyDescent="0.2">
      <c r="V3062" s="180" t="str">
        <f t="shared" si="55"/>
        <v>1w</v>
      </c>
      <c r="W3062" s="177">
        <f>_xll.qlCalendarAdvance(Calendar,W3061,V3062,"f",FALSE)</f>
        <v>60427</v>
      </c>
      <c r="X3062" s="181">
        <f>_xll.qlCalendarAdvance(Calendar,W3062,NDays&amp;"D")</f>
        <v>60429</v>
      </c>
      <c r="Y3062" s="178">
        <v>1.9763655710900704E-2</v>
      </c>
      <c r="Z3062" s="183">
        <v>1.9488207864819529E-2</v>
      </c>
    </row>
    <row r="3063" spans="22:26" x14ac:dyDescent="0.2">
      <c r="V3063" s="180" t="str">
        <f t="shared" si="55"/>
        <v>1w</v>
      </c>
      <c r="W3063" s="177">
        <f>_xll.qlCalendarAdvance(Calendar,W3062,V3063,"f",FALSE)</f>
        <v>60434</v>
      </c>
      <c r="X3063" s="181">
        <f>_xll.qlCalendarAdvance(Calendar,W3063,NDays&amp;"D")</f>
        <v>60436</v>
      </c>
      <c r="Y3063" s="178">
        <v>1.9766755493089882E-2</v>
      </c>
      <c r="Z3063" s="183">
        <v>1.949141720457348E-2</v>
      </c>
    </row>
    <row r="3064" spans="22:26" x14ac:dyDescent="0.2">
      <c r="V3064" s="180" t="str">
        <f t="shared" si="55"/>
        <v>1w</v>
      </c>
      <c r="W3064" s="177">
        <f>_xll.qlCalendarAdvance(Calendar,W3063,V3064,"f",FALSE)</f>
        <v>60441</v>
      </c>
      <c r="X3064" s="181">
        <f>_xll.qlCalendarAdvance(Calendar,W3064,NDays&amp;"D")</f>
        <v>60443</v>
      </c>
      <c r="Y3064" s="178">
        <v>1.9769848604233534E-2</v>
      </c>
      <c r="Z3064" s="183">
        <v>1.9494619994766538E-2</v>
      </c>
    </row>
    <row r="3065" spans="22:26" x14ac:dyDescent="0.2">
      <c r="V3065" s="180" t="str">
        <f t="shared" si="55"/>
        <v>1w</v>
      </c>
      <c r="W3065" s="177">
        <f>_xll.qlCalendarAdvance(Calendar,W3064,V3065,"f",FALSE)</f>
        <v>60448</v>
      </c>
      <c r="X3065" s="181">
        <f>_xll.qlCalendarAdvance(Calendar,W3065,NDays&amp;"D")</f>
        <v>60450</v>
      </c>
      <c r="Y3065" s="178">
        <v>1.9772935044270998E-2</v>
      </c>
      <c r="Z3065" s="183">
        <v>1.9497816235398702E-2</v>
      </c>
    </row>
    <row r="3066" spans="22:26" x14ac:dyDescent="0.2">
      <c r="V3066" s="180" t="str">
        <f t="shared" si="55"/>
        <v>1w</v>
      </c>
      <c r="W3066" s="177">
        <f>_xll.qlCalendarAdvance(Calendar,W3065,V3066,"f",FALSE)</f>
        <v>60455</v>
      </c>
      <c r="X3066" s="181">
        <f>_xll.qlCalendarAdvance(Calendar,W3066,NDays&amp;"D")</f>
        <v>60457</v>
      </c>
      <c r="Y3066" s="178">
        <v>1.9776014813139862E-2</v>
      </c>
      <c r="Z3066" s="183">
        <v>1.9501005926230164E-2</v>
      </c>
    </row>
    <row r="3067" spans="22:26" x14ac:dyDescent="0.2">
      <c r="V3067" s="180" t="str">
        <f t="shared" si="55"/>
        <v>1w</v>
      </c>
      <c r="W3067" s="177">
        <f>_xll.qlCalendarAdvance(Calendar,W3066,V3067,"f",FALSE)</f>
        <v>60462</v>
      </c>
      <c r="X3067" s="181">
        <f>_xll.qlCalendarAdvance(Calendar,W3067,NDays&amp;"D")</f>
        <v>60464</v>
      </c>
      <c r="Y3067" s="178">
        <v>1.9779087910779015E-2</v>
      </c>
      <c r="Z3067" s="183">
        <v>1.9504189067500732E-2</v>
      </c>
    </row>
    <row r="3068" spans="22:26" x14ac:dyDescent="0.2">
      <c r="V3068" s="180" t="str">
        <f t="shared" si="55"/>
        <v>1w</v>
      </c>
      <c r="W3068" s="177">
        <f>_xll.qlCalendarAdvance(Calendar,W3067,V3068,"f",FALSE)</f>
        <v>60469</v>
      </c>
      <c r="X3068" s="181">
        <f>_xll.qlCalendarAdvance(Calendar,W3068,NDays&amp;"D")</f>
        <v>60471</v>
      </c>
      <c r="Y3068" s="178">
        <v>1.9782154337128023E-2</v>
      </c>
      <c r="Z3068" s="183">
        <v>1.9507365659130471E-2</v>
      </c>
    </row>
    <row r="3069" spans="22:26" x14ac:dyDescent="0.2">
      <c r="V3069" s="180" t="str">
        <f t="shared" si="55"/>
        <v>1w</v>
      </c>
      <c r="W3069" s="177">
        <f>_xll.qlCalendarAdvance(Calendar,W3068,V3069,"f",FALSE)</f>
        <v>60476</v>
      </c>
      <c r="X3069" s="181">
        <f>_xll.qlCalendarAdvance(Calendar,W3069,NDays&amp;"D")</f>
        <v>60478</v>
      </c>
      <c r="Y3069" s="178">
        <v>1.9785214092124682E-2</v>
      </c>
      <c r="Z3069" s="183">
        <v>1.9510535701039444E-2</v>
      </c>
    </row>
    <row r="3070" spans="22:26" x14ac:dyDescent="0.2">
      <c r="V3070" s="180" t="str">
        <f t="shared" si="55"/>
        <v>1w</v>
      </c>
      <c r="W3070" s="177">
        <f>_xll.qlCalendarAdvance(Calendar,W3069,V3070,"f",FALSE)</f>
        <v>60483</v>
      </c>
      <c r="X3070" s="181">
        <f>_xll.qlCalendarAdvance(Calendar,W3070,NDays&amp;"D")</f>
        <v>60485</v>
      </c>
      <c r="Y3070" s="178">
        <v>1.9788267175708547E-2</v>
      </c>
      <c r="Z3070" s="183">
        <v>1.9513699193227652E-2</v>
      </c>
    </row>
    <row r="3071" spans="22:26" x14ac:dyDescent="0.2">
      <c r="V3071" s="180" t="str">
        <f t="shared" si="55"/>
        <v>1w</v>
      </c>
      <c r="W3071" s="177">
        <f>_xll.qlCalendarAdvance(Calendar,W3070,V3071,"f",FALSE)</f>
        <v>60490</v>
      </c>
      <c r="X3071" s="181">
        <f>_xll.qlCalendarAdvance(Calendar,W3071,NDays&amp;"D")</f>
        <v>60492</v>
      </c>
      <c r="Y3071" s="178">
        <v>1.9791313587819395E-2</v>
      </c>
      <c r="Z3071" s="183">
        <v>1.9516856135934901E-2</v>
      </c>
    </row>
    <row r="3072" spans="22:26" x14ac:dyDescent="0.2">
      <c r="V3072" s="180" t="str">
        <f t="shared" si="55"/>
        <v>1w</v>
      </c>
      <c r="W3072" s="177">
        <f>_xll.qlCalendarAdvance(Calendar,W3071,V3072,"f",FALSE)</f>
        <v>60497</v>
      </c>
      <c r="X3072" s="181">
        <f>_xll.qlCalendarAdvance(Calendar,W3072,NDays&amp;"D")</f>
        <v>60499</v>
      </c>
      <c r="Y3072" s="178">
        <v>1.9794353328395464E-2</v>
      </c>
      <c r="Z3072" s="183">
        <v>1.9520006529001321E-2</v>
      </c>
    </row>
    <row r="3073" spans="22:26" x14ac:dyDescent="0.2">
      <c r="V3073" s="180" t="str">
        <f t="shared" si="55"/>
        <v>1w</v>
      </c>
      <c r="W3073" s="177">
        <f>_xll.qlCalendarAdvance(Calendar,W3072,V3073,"f",FALSE)</f>
        <v>60504</v>
      </c>
      <c r="X3073" s="181">
        <f>_xll.qlCalendarAdvance(Calendar,W3073,NDays&amp;"D")</f>
        <v>60506</v>
      </c>
      <c r="Y3073" s="178">
        <v>1.9797386397377412E-2</v>
      </c>
      <c r="Z3073" s="183">
        <v>1.9523150372426912E-2</v>
      </c>
    </row>
    <row r="3074" spans="22:26" x14ac:dyDescent="0.2">
      <c r="V3074" s="180" t="str">
        <f t="shared" si="55"/>
        <v>1w</v>
      </c>
      <c r="W3074" s="177">
        <f>_xll.qlCalendarAdvance(Calendar,W3073,V3074,"f",FALSE)</f>
        <v>60511</v>
      </c>
      <c r="X3074" s="181">
        <f>_xll.qlCalendarAdvance(Calendar,W3074,NDays&amp;"D")</f>
        <v>60513</v>
      </c>
      <c r="Y3074" s="178">
        <v>1.980041279470391E-2</v>
      </c>
      <c r="Z3074" s="183">
        <v>1.95262876660518E-2</v>
      </c>
    </row>
    <row r="3075" spans="22:26" x14ac:dyDescent="0.2">
      <c r="V3075" s="180" t="str">
        <f t="shared" si="55"/>
        <v>1w</v>
      </c>
      <c r="W3075" s="177">
        <f>_xll.qlCalendarAdvance(Calendar,W3074,V3075,"f",FALSE)</f>
        <v>60518</v>
      </c>
      <c r="X3075" s="181">
        <f>_xll.qlCalendarAdvance(Calendar,W3075,NDays&amp;"D")</f>
        <v>60520</v>
      </c>
      <c r="Y3075" s="178">
        <v>1.9803432520315172E-2</v>
      </c>
      <c r="Z3075" s="183">
        <v>1.9529418410195731E-2</v>
      </c>
    </row>
    <row r="3076" spans="22:26" x14ac:dyDescent="0.2">
      <c r="V3076" s="180" t="str">
        <f t="shared" si="55"/>
        <v>1w</v>
      </c>
      <c r="W3076" s="177">
        <f>_xll.qlCalendarAdvance(Calendar,W3075,V3076,"f",FALSE)</f>
        <v>60525</v>
      </c>
      <c r="X3076" s="181">
        <f>_xll.qlCalendarAdvance(Calendar,W3076,NDays&amp;"D")</f>
        <v>60527</v>
      </c>
      <c r="Y3076" s="178">
        <v>1.9806445574150754E-2</v>
      </c>
      <c r="Z3076" s="183">
        <v>1.9532542604618897E-2</v>
      </c>
    </row>
    <row r="3077" spans="22:26" x14ac:dyDescent="0.2">
      <c r="V3077" s="180" t="str">
        <f t="shared" si="55"/>
        <v>1w</v>
      </c>
      <c r="W3077" s="177">
        <f>_xll.qlCalendarAdvance(Calendar,W3076,V3077,"f",FALSE)</f>
        <v>60532</v>
      </c>
      <c r="X3077" s="181">
        <f>_xll.qlCalendarAdvance(Calendar,W3077,NDays&amp;"D")</f>
        <v>60534</v>
      </c>
      <c r="Y3077" s="178">
        <v>1.9809451956151088E-2</v>
      </c>
      <c r="Z3077" s="183">
        <v>1.9535660249321296E-2</v>
      </c>
    </row>
    <row r="3078" spans="22:26" x14ac:dyDescent="0.2">
      <c r="V3078" s="180" t="str">
        <f t="shared" si="55"/>
        <v>1w</v>
      </c>
      <c r="W3078" s="177">
        <f>_xll.qlCalendarAdvance(Calendar,W3077,V3078,"f",FALSE)</f>
        <v>60539</v>
      </c>
      <c r="X3078" s="181">
        <f>_xll.qlCalendarAdvance(Calendar,W3078,NDays&amp;"D")</f>
        <v>60541</v>
      </c>
      <c r="Y3078" s="178">
        <v>1.9812451666255729E-2</v>
      </c>
      <c r="Z3078" s="183">
        <v>1.9538771344462802E-2</v>
      </c>
    </row>
    <row r="3079" spans="22:26" x14ac:dyDescent="0.2">
      <c r="V3079" s="180" t="str">
        <f t="shared" si="55"/>
        <v>1w</v>
      </c>
      <c r="W3079" s="177">
        <f>_xll.qlCalendarAdvance(Calendar,W3078,V3079,"f",FALSE)</f>
        <v>60546</v>
      </c>
      <c r="X3079" s="181">
        <f>_xll.qlCalendarAdvance(Calendar,W3079,NDays&amp;"D")</f>
        <v>60548</v>
      </c>
      <c r="Y3079" s="178">
        <v>1.9815444704405764E-2</v>
      </c>
      <c r="Z3079" s="183">
        <v>1.9541875890043414E-2</v>
      </c>
    </row>
    <row r="3080" spans="22:26" x14ac:dyDescent="0.2">
      <c r="V3080" s="180" t="str">
        <f t="shared" si="55"/>
        <v>1w</v>
      </c>
      <c r="W3080" s="177">
        <f>_xll.qlCalendarAdvance(Calendar,W3079,V3080,"f",FALSE)</f>
        <v>60553</v>
      </c>
      <c r="X3080" s="181">
        <f>_xll.qlCalendarAdvance(Calendar,W3080,NDays&amp;"D")</f>
        <v>60555</v>
      </c>
      <c r="Y3080" s="178">
        <v>1.9818431070540533E-2</v>
      </c>
      <c r="Z3080" s="183">
        <v>1.9544973885743389E-2</v>
      </c>
    </row>
    <row r="3081" spans="22:26" x14ac:dyDescent="0.2">
      <c r="V3081" s="180" t="str">
        <f t="shared" si="55"/>
        <v>1w</v>
      </c>
      <c r="W3081" s="177">
        <f>_xll.qlCalendarAdvance(Calendar,W3080,V3081,"f",FALSE)</f>
        <v>60560</v>
      </c>
      <c r="X3081" s="181">
        <f>_xll.qlCalendarAdvance(Calendar,W3081,NDays&amp;"D")</f>
        <v>60562</v>
      </c>
      <c r="Y3081" s="178">
        <v>1.9821410764601553E-2</v>
      </c>
      <c r="Z3081" s="183">
        <v>1.9548065331962405E-2</v>
      </c>
    </row>
    <row r="3082" spans="22:26" x14ac:dyDescent="0.2">
      <c r="V3082" s="180" t="str">
        <f t="shared" si="55"/>
        <v>1w</v>
      </c>
      <c r="W3082" s="177">
        <f>_xll.qlCalendarAdvance(Calendar,W3081,V3082,"f",FALSE)</f>
        <v>60567</v>
      </c>
      <c r="X3082" s="181">
        <f>_xll.qlCalendarAdvance(Calendar,W3082,NDays&amp;"D")</f>
        <v>60569</v>
      </c>
      <c r="Y3082" s="178">
        <v>1.9824383786529048E-2</v>
      </c>
      <c r="Z3082" s="183">
        <v>1.9551150228460656E-2</v>
      </c>
    </row>
    <row r="3083" spans="22:26" x14ac:dyDescent="0.2">
      <c r="V3083" s="180" t="str">
        <f t="shared" si="55"/>
        <v>1w</v>
      </c>
      <c r="W3083" s="177">
        <f>_xll.qlCalendarAdvance(Calendar,W3082,V3083,"f",FALSE)</f>
        <v>60574</v>
      </c>
      <c r="X3083" s="181">
        <f>_xll.qlCalendarAdvance(Calendar,W3083,NDays&amp;"D")</f>
        <v>60576</v>
      </c>
      <c r="Y3083" s="178">
        <v>1.9827350136264316E-2</v>
      </c>
      <c r="Z3083" s="183">
        <v>1.955422857547795E-2</v>
      </c>
    </row>
    <row r="3084" spans="22:26" x14ac:dyDescent="0.2">
      <c r="V3084" s="180" t="str">
        <f t="shared" si="55"/>
        <v>1w</v>
      </c>
      <c r="W3084" s="177">
        <f>_xll.qlCalendarAdvance(Calendar,W3083,V3084,"f",FALSE)</f>
        <v>60581</v>
      </c>
      <c r="X3084" s="181">
        <f>_xll.qlCalendarAdvance(Calendar,W3084,NDays&amp;"D")</f>
        <v>60583</v>
      </c>
      <c r="Y3084" s="178">
        <v>1.9830309813747359E-2</v>
      </c>
      <c r="Z3084" s="183">
        <v>1.9557300372774478E-2</v>
      </c>
    </row>
    <row r="3085" spans="22:26" x14ac:dyDescent="0.2">
      <c r="V3085" s="180" t="str">
        <f t="shared" si="55"/>
        <v>1w</v>
      </c>
      <c r="W3085" s="177">
        <f>_xll.qlCalendarAdvance(Calendar,W3084,V3085,"f",FALSE)</f>
        <v>60588</v>
      </c>
      <c r="X3085" s="181">
        <f>_xll.qlCalendarAdvance(Calendar,W3085,NDays&amp;"D")</f>
        <v>60590</v>
      </c>
      <c r="Y3085" s="178">
        <v>1.9833262818919912E-2</v>
      </c>
      <c r="Z3085" s="183">
        <v>1.9560365620270304E-2</v>
      </c>
    </row>
    <row r="3086" spans="22:26" x14ac:dyDescent="0.2">
      <c r="V3086" s="180" t="str">
        <f t="shared" si="55"/>
        <v>1w</v>
      </c>
      <c r="W3086" s="177">
        <f>_xll.qlCalendarAdvance(Calendar,W3085,V3086,"f",FALSE)</f>
        <v>60595</v>
      </c>
      <c r="X3086" s="181">
        <f>_xll.qlCalendarAdvance(Calendar,W3086,NDays&amp;"D")</f>
        <v>60597</v>
      </c>
      <c r="Y3086" s="178">
        <v>1.9836209151722413E-2</v>
      </c>
      <c r="Z3086" s="183">
        <v>1.9563424318285172E-2</v>
      </c>
    </row>
    <row r="3087" spans="22:26" x14ac:dyDescent="0.2">
      <c r="V3087" s="180" t="str">
        <f t="shared" si="55"/>
        <v>1w</v>
      </c>
      <c r="W3087" s="177">
        <f>_xll.qlCalendarAdvance(Calendar,W3086,V3087,"f",FALSE)</f>
        <v>60602</v>
      </c>
      <c r="X3087" s="181">
        <f>_xll.qlCalendarAdvance(Calendar,W3087,NDays&amp;"D")</f>
        <v>60604</v>
      </c>
      <c r="Y3087" s="178">
        <v>1.983914881209748E-2</v>
      </c>
      <c r="Z3087" s="183">
        <v>1.9566476466579275E-2</v>
      </c>
    </row>
    <row r="3088" spans="22:26" x14ac:dyDescent="0.2">
      <c r="V3088" s="180" t="str">
        <f t="shared" si="55"/>
        <v>1w</v>
      </c>
      <c r="W3088" s="177">
        <f>_xll.qlCalendarAdvance(Calendar,W3087,V3088,"f",FALSE)</f>
        <v>60609</v>
      </c>
      <c r="X3088" s="181">
        <f>_xll.qlCalendarAdvance(Calendar,W3088,NDays&amp;"D")</f>
        <v>60611</v>
      </c>
      <c r="Y3088" s="178">
        <v>1.9842081799985766E-2</v>
      </c>
      <c r="Z3088" s="183">
        <v>1.9569522065232547E-2</v>
      </c>
    </row>
    <row r="3089" spans="22:26" x14ac:dyDescent="0.2">
      <c r="V3089" s="180" t="str">
        <f t="shared" si="55"/>
        <v>1w</v>
      </c>
      <c r="W3089" s="177">
        <f>_xll.qlCalendarAdvance(Calendar,W3088,V3089,"f",FALSE)</f>
        <v>60616</v>
      </c>
      <c r="X3089" s="181">
        <f>_xll.qlCalendarAdvance(Calendar,W3089,NDays&amp;"D")</f>
        <v>60618</v>
      </c>
      <c r="Y3089" s="178">
        <v>1.9845008115328577E-2</v>
      </c>
      <c r="Z3089" s="183">
        <v>1.9572561114165055E-2</v>
      </c>
    </row>
    <row r="3090" spans="22:26" x14ac:dyDescent="0.2">
      <c r="V3090" s="180" t="str">
        <f t="shared" si="55"/>
        <v>1w</v>
      </c>
      <c r="W3090" s="177">
        <f>_xll.qlCalendarAdvance(Calendar,W3089,V3090,"f",FALSE)</f>
        <v>60623</v>
      </c>
      <c r="X3090" s="181">
        <f>_xll.qlCalendarAdvance(Calendar,W3090,NDays&amp;"D")</f>
        <v>60625</v>
      </c>
      <c r="Y3090" s="178">
        <v>1.9847927758068314E-2</v>
      </c>
      <c r="Z3090" s="183">
        <v>1.9577839345756853E-2</v>
      </c>
    </row>
    <row r="3091" spans="22:26" x14ac:dyDescent="0.2">
      <c r="V3091" s="180" t="str">
        <f t="shared" si="55"/>
        <v>1w</v>
      </c>
      <c r="W3091" s="177">
        <f>_xll.qlCalendarAdvance(Calendar,W3090,V3091,"f",FALSE)</f>
        <v>60630</v>
      </c>
      <c r="X3091" s="181">
        <f>_xll.qlCalendarAdvance(Calendar,W3091,NDays&amp;"D")</f>
        <v>60632</v>
      </c>
      <c r="Y3091" s="178">
        <v>1.9850840728146725E-2</v>
      </c>
      <c r="Z3091" s="183">
        <v>1.9580864385455587E-2</v>
      </c>
    </row>
    <row r="3092" spans="22:26" x14ac:dyDescent="0.2">
      <c r="V3092" s="180" t="str">
        <f t="shared" si="55"/>
        <v>1w</v>
      </c>
      <c r="W3092" s="177">
        <f>_xll.qlCalendarAdvance(Calendar,W3091,V3092,"f",FALSE)</f>
        <v>60637</v>
      </c>
      <c r="X3092" s="181">
        <f>_xll.qlCalendarAdvance(Calendar,W3092,NDays&amp;"D")</f>
        <v>60639</v>
      </c>
      <c r="Y3092" s="178">
        <v>1.9853747025505554E-2</v>
      </c>
      <c r="Z3092" s="183">
        <v>1.9581638963357406E-2</v>
      </c>
    </row>
    <row r="3093" spans="22:26" x14ac:dyDescent="0.2">
      <c r="V3093" s="180" t="str">
        <f t="shared" ref="V3093:V3156" si="56">V3092</f>
        <v>1w</v>
      </c>
      <c r="W3093" s="177">
        <f>_xll.qlCalendarAdvance(Calendar,W3092,V3093,"f",FALSE)</f>
        <v>60644</v>
      </c>
      <c r="X3093" s="181">
        <f>_xll.qlCalendarAdvance(Calendar,W3093,NDays&amp;"D")</f>
        <v>60646</v>
      </c>
      <c r="Y3093" s="178">
        <v>1.9856646650086546E-2</v>
      </c>
      <c r="Z3093" s="183">
        <v>1.9584651813806531E-2</v>
      </c>
    </row>
    <row r="3094" spans="22:26" x14ac:dyDescent="0.2">
      <c r="V3094" s="180" t="str">
        <f t="shared" si="56"/>
        <v>1w</v>
      </c>
      <c r="W3094" s="177">
        <f>_xll.qlCalendarAdvance(Calendar,W3093,V3094,"f",FALSE)</f>
        <v>60651</v>
      </c>
      <c r="X3094" s="181">
        <f>_xll.qlCalendarAdvance(Calendar,W3094,NDays&amp;"D")</f>
        <v>60653</v>
      </c>
      <c r="Y3094" s="178">
        <v>1.9859539601832978E-2</v>
      </c>
      <c r="Z3094" s="183">
        <v>1.9587658114614825E-2</v>
      </c>
    </row>
    <row r="3095" spans="22:26" x14ac:dyDescent="0.2">
      <c r="V3095" s="180" t="str">
        <f t="shared" si="56"/>
        <v>1w</v>
      </c>
      <c r="W3095" s="177">
        <f>_xll.qlCalendarAdvance(Calendar,W3094,V3095,"f",FALSE)</f>
        <v>60658</v>
      </c>
      <c r="X3095" s="181">
        <f>_xll.qlCalendarAdvance(Calendar,W3095,NDays&amp;"D")</f>
        <v>60660</v>
      </c>
      <c r="Y3095" s="178">
        <v>1.9862425880686815E-2</v>
      </c>
      <c r="Z3095" s="183">
        <v>1.9590657865702354E-2</v>
      </c>
    </row>
    <row r="3096" spans="22:26" x14ac:dyDescent="0.2">
      <c r="V3096" s="180" t="str">
        <f t="shared" si="56"/>
        <v>1w</v>
      </c>
      <c r="W3096" s="177">
        <f>_xll.qlCalendarAdvance(Calendar,W3095,V3096,"f",FALSE)</f>
        <v>60665</v>
      </c>
      <c r="X3096" s="181">
        <f>_xll.qlCalendarAdvance(Calendar,W3096,NDays&amp;"D")</f>
        <v>60667</v>
      </c>
      <c r="Y3096" s="178">
        <v>1.9865305486589803E-2</v>
      </c>
      <c r="Z3096" s="183">
        <v>1.9593651067069118E-2</v>
      </c>
    </row>
    <row r="3097" spans="22:26" x14ac:dyDescent="0.2">
      <c r="V3097" s="180" t="str">
        <f t="shared" si="56"/>
        <v>1w</v>
      </c>
      <c r="W3097" s="177">
        <f>_xll.qlCalendarAdvance(Calendar,W3096,V3097,"f",FALSE)</f>
        <v>60672</v>
      </c>
      <c r="X3097" s="181">
        <f>_xll.qlCalendarAdvance(Calendar,W3097,NDays&amp;"D")</f>
        <v>60674</v>
      </c>
      <c r="Y3097" s="178">
        <v>1.9868178419485877E-2</v>
      </c>
      <c r="Z3097" s="183">
        <v>1.9596637718954923E-2</v>
      </c>
    </row>
    <row r="3098" spans="22:26" x14ac:dyDescent="0.2">
      <c r="V3098" s="180" t="str">
        <f t="shared" si="56"/>
        <v>1w</v>
      </c>
      <c r="W3098" s="177">
        <f>_xll.qlCalendarAdvance(Calendar,W3097,V3098,"f",FALSE)</f>
        <v>60679</v>
      </c>
      <c r="X3098" s="181">
        <f>_xll.qlCalendarAdvance(Calendar,W3098,NDays&amp;"D")</f>
        <v>60681</v>
      </c>
      <c r="Y3098" s="178">
        <v>1.9871044679317003E-2</v>
      </c>
      <c r="Z3098" s="183">
        <v>1.9599617821119963E-2</v>
      </c>
    </row>
    <row r="3099" spans="22:26" x14ac:dyDescent="0.2">
      <c r="V3099" s="180" t="str">
        <f t="shared" si="56"/>
        <v>1w</v>
      </c>
      <c r="W3099" s="177">
        <f>_xll.qlCalendarAdvance(Calendar,W3098,V3099,"f",FALSE)</f>
        <v>60686</v>
      </c>
      <c r="X3099" s="181">
        <f>_xll.qlCalendarAdvance(Calendar,W3099,NDays&amp;"D")</f>
        <v>60688</v>
      </c>
      <c r="Y3099" s="178">
        <v>1.9873904266026234E-2</v>
      </c>
      <c r="Z3099" s="183">
        <v>1.9602591373484302E-2</v>
      </c>
    </row>
    <row r="3100" spans="22:26" x14ac:dyDescent="0.2">
      <c r="V3100" s="180" t="str">
        <f t="shared" si="56"/>
        <v>1w</v>
      </c>
      <c r="W3100" s="177">
        <f>_xll.qlCalendarAdvance(Calendar,W3099,V3100,"f",FALSE)</f>
        <v>60693</v>
      </c>
      <c r="X3100" s="181">
        <f>_xll.qlCalendarAdvance(Calendar,W3100,NDays&amp;"D")</f>
        <v>60695</v>
      </c>
      <c r="Y3100" s="178">
        <v>1.9876757179556635E-2</v>
      </c>
      <c r="Z3100" s="183">
        <v>1.9605558376367682E-2</v>
      </c>
    </row>
    <row r="3101" spans="22:26" x14ac:dyDescent="0.2">
      <c r="V3101" s="180" t="str">
        <f t="shared" si="56"/>
        <v>1w</v>
      </c>
      <c r="W3101" s="177">
        <f>_xll.qlCalendarAdvance(Calendar,W3100,V3101,"f",FALSE)</f>
        <v>60700</v>
      </c>
      <c r="X3101" s="181">
        <f>_xll.qlCalendarAdvance(Calendar,W3101,NDays&amp;"D")</f>
        <v>60702</v>
      </c>
      <c r="Y3101" s="178">
        <v>1.9879603419851923E-2</v>
      </c>
      <c r="Z3101" s="183">
        <v>1.9608518829610233E-2</v>
      </c>
    </row>
    <row r="3102" spans="22:26" x14ac:dyDescent="0.2">
      <c r="V3102" s="180" t="str">
        <f t="shared" si="56"/>
        <v>1w</v>
      </c>
      <c r="W3102" s="177">
        <f>_xll.qlCalendarAdvance(Calendar,W3101,V3102,"f",FALSE)</f>
        <v>60707</v>
      </c>
      <c r="X3102" s="181">
        <f>_xll.qlCalendarAdvance(Calendar,W3102,NDays&amp;"D")</f>
        <v>60709</v>
      </c>
      <c r="Y3102" s="178">
        <v>1.9882442986854716E-2</v>
      </c>
      <c r="Z3102" s="183">
        <v>1.9611472733211954E-2</v>
      </c>
    </row>
    <row r="3103" spans="22:26" x14ac:dyDescent="0.2">
      <c r="V3103" s="180" t="str">
        <f t="shared" si="56"/>
        <v>1w</v>
      </c>
      <c r="W3103" s="177">
        <f>_xll.qlCalendarAdvance(Calendar,W3102,V3103,"f",FALSE)</f>
        <v>60714</v>
      </c>
      <c r="X3103" s="181">
        <f>_xll.qlCalendarAdvance(Calendar,W3103,NDays&amp;"D")</f>
        <v>60716</v>
      </c>
      <c r="Y3103" s="178">
        <v>1.9885275880508733E-2</v>
      </c>
      <c r="Z3103" s="183">
        <v>1.961442008709291E-2</v>
      </c>
    </row>
    <row r="3104" spans="22:26" x14ac:dyDescent="0.2">
      <c r="V3104" s="180" t="str">
        <f t="shared" si="56"/>
        <v>1w</v>
      </c>
      <c r="W3104" s="177">
        <f>_xll.qlCalendarAdvance(Calendar,W3103,V3104,"f",FALSE)</f>
        <v>60721</v>
      </c>
      <c r="X3104" s="181">
        <f>_xll.qlCalendarAdvance(Calendar,W3104,NDays&amp;"D")</f>
        <v>60723</v>
      </c>
      <c r="Y3104" s="178">
        <v>1.9891074820857762E-2</v>
      </c>
      <c r="Z3104" s="183">
        <v>1.9617360891333036E-2</v>
      </c>
    </row>
    <row r="3105" spans="22:26" x14ac:dyDescent="0.2">
      <c r="V3105" s="180" t="str">
        <f t="shared" si="56"/>
        <v>1w</v>
      </c>
      <c r="W3105" s="177">
        <f>_xll.qlCalendarAdvance(Calendar,W3104,V3105,"f",FALSE)</f>
        <v>60728</v>
      </c>
      <c r="X3105" s="181">
        <f>_xll.qlCalendarAdvance(Calendar,W3105,NDays&amp;"D")</f>
        <v>60730</v>
      </c>
      <c r="Y3105" s="178">
        <v>1.9890921647544857E-2</v>
      </c>
      <c r="Z3105" s="183">
        <v>1.9623271111150586E-2</v>
      </c>
    </row>
    <row r="3106" spans="22:26" x14ac:dyDescent="0.2">
      <c r="V3106" s="180" t="str">
        <f t="shared" si="56"/>
        <v>1w</v>
      </c>
      <c r="W3106" s="177">
        <f>_xll.qlCalendarAdvance(Calendar,W3105,V3106,"f",FALSE)</f>
        <v>60735</v>
      </c>
      <c r="X3106" s="181">
        <f>_xll.qlCalendarAdvance(Calendar,W3106,NDays&amp;"D")</f>
        <v>60737</v>
      </c>
      <c r="Y3106" s="178">
        <v>1.9893734520814835E-2</v>
      </c>
      <c r="Z3106" s="183">
        <v>1.9623222850810862E-2</v>
      </c>
    </row>
    <row r="3107" spans="22:26" x14ac:dyDescent="0.2">
      <c r="V3107" s="180" t="str">
        <f t="shared" si="56"/>
        <v>1w</v>
      </c>
      <c r="W3107" s="177">
        <f>_xll.qlCalendarAdvance(Calendar,W3106,V3107,"f",FALSE)</f>
        <v>60742</v>
      </c>
      <c r="X3107" s="181">
        <f>_xll.qlCalendarAdvance(Calendar,W3107,NDays&amp;"D")</f>
        <v>60744</v>
      </c>
      <c r="Y3107" s="178">
        <v>1.9896540720510683E-2</v>
      </c>
      <c r="Z3107" s="183">
        <v>1.9626144006208435E-2</v>
      </c>
    </row>
    <row r="3108" spans="22:26" x14ac:dyDescent="0.2">
      <c r="V3108" s="180" t="str">
        <f t="shared" si="56"/>
        <v>1w</v>
      </c>
      <c r="W3108" s="177">
        <f>_xll.qlCalendarAdvance(Calendar,W3107,V3108,"f",FALSE)</f>
        <v>60749</v>
      </c>
      <c r="X3108" s="181">
        <f>_xll.qlCalendarAdvance(Calendar,W3108,NDays&amp;"D")</f>
        <v>60751</v>
      </c>
      <c r="Y3108" s="178">
        <v>1.989934024657743E-2</v>
      </c>
      <c r="Z3108" s="183">
        <v>1.9629058611965178E-2</v>
      </c>
    </row>
    <row r="3109" spans="22:26" x14ac:dyDescent="0.2">
      <c r="V3109" s="180" t="str">
        <f t="shared" si="56"/>
        <v>1w</v>
      </c>
      <c r="W3109" s="177">
        <f>_xll.qlCalendarAdvance(Calendar,W3108,V3109,"f",FALSE)</f>
        <v>60756</v>
      </c>
      <c r="X3109" s="181">
        <f>_xll.qlCalendarAdvance(Calendar,W3109,NDays&amp;"D")</f>
        <v>60758</v>
      </c>
      <c r="Y3109" s="178">
        <v>1.9902133098958791E-2</v>
      </c>
      <c r="Z3109" s="183">
        <v>1.9631966667921219E-2</v>
      </c>
    </row>
    <row r="3110" spans="22:26" x14ac:dyDescent="0.2">
      <c r="V3110" s="180" t="str">
        <f t="shared" si="56"/>
        <v>1w</v>
      </c>
      <c r="W3110" s="177">
        <f>_xll.qlCalendarAdvance(Calendar,W3109,V3110,"f",FALSE)</f>
        <v>60763</v>
      </c>
      <c r="X3110" s="181">
        <f>_xll.qlCalendarAdvance(Calendar,W3110,NDays&amp;"D")</f>
        <v>60765</v>
      </c>
      <c r="Y3110" s="178">
        <v>1.9904919277599579E-2</v>
      </c>
      <c r="Z3110" s="183">
        <v>1.9634868174236431E-2</v>
      </c>
    </row>
    <row r="3111" spans="22:26" x14ac:dyDescent="0.2">
      <c r="V3111" s="180" t="str">
        <f t="shared" si="56"/>
        <v>1w</v>
      </c>
      <c r="W3111" s="177">
        <f>_xll.qlCalendarAdvance(Calendar,W3110,V3111,"f",FALSE)</f>
        <v>60770</v>
      </c>
      <c r="X3111" s="181">
        <f>_xll.qlCalendarAdvance(Calendar,W3111,NDays&amp;"D")</f>
        <v>60772</v>
      </c>
      <c r="Y3111" s="178">
        <v>1.9907698782443726E-2</v>
      </c>
      <c r="Z3111" s="183">
        <v>1.9637763130910812E-2</v>
      </c>
    </row>
    <row r="3112" spans="22:26" x14ac:dyDescent="0.2">
      <c r="V3112" s="180" t="str">
        <f t="shared" si="56"/>
        <v>1w</v>
      </c>
      <c r="W3112" s="177">
        <f>_xll.qlCalendarAdvance(Calendar,W3111,V3112,"f",FALSE)</f>
        <v>60777</v>
      </c>
      <c r="X3112" s="181">
        <f>_xll.qlCalendarAdvance(Calendar,W3112,NDays&amp;"D")</f>
        <v>60779</v>
      </c>
      <c r="Y3112" s="178">
        <v>1.9910471613435829E-2</v>
      </c>
      <c r="Z3112" s="183">
        <v>1.9640651537944365E-2</v>
      </c>
    </row>
    <row r="3113" spans="22:26" x14ac:dyDescent="0.2">
      <c r="V3113" s="180" t="str">
        <f t="shared" si="56"/>
        <v>1w</v>
      </c>
      <c r="W3113" s="177">
        <f>_xll.qlCalendarAdvance(Calendar,W3112,V3113,"f",FALSE)</f>
        <v>60784</v>
      </c>
      <c r="X3113" s="181">
        <f>_xll.qlCalendarAdvance(Calendar,W3113,NDays&amp;"D")</f>
        <v>60786</v>
      </c>
      <c r="Y3113" s="178">
        <v>1.9913237770521574E-2</v>
      </c>
      <c r="Z3113" s="183">
        <v>1.9643533395337087E-2</v>
      </c>
    </row>
    <row r="3114" spans="22:26" x14ac:dyDescent="0.2">
      <c r="V3114" s="180" t="str">
        <f t="shared" si="56"/>
        <v>1w</v>
      </c>
      <c r="W3114" s="177">
        <f>_xll.qlCalendarAdvance(Calendar,W3113,V3114,"f",FALSE)</f>
        <v>60791</v>
      </c>
      <c r="X3114" s="181">
        <f>_xll.qlCalendarAdvance(Calendar,W3114,NDays&amp;"D")</f>
        <v>60793</v>
      </c>
      <c r="Y3114" s="178">
        <v>1.9915997253645113E-2</v>
      </c>
      <c r="Z3114" s="183">
        <v>1.964640870308898E-2</v>
      </c>
    </row>
    <row r="3115" spans="22:26" x14ac:dyDescent="0.2">
      <c r="V3115" s="180" t="str">
        <f t="shared" si="56"/>
        <v>1w</v>
      </c>
      <c r="W3115" s="177">
        <f>_xll.qlCalendarAdvance(Calendar,W3114,V3115,"f",FALSE)</f>
        <v>60798</v>
      </c>
      <c r="X3115" s="181">
        <f>_xll.qlCalendarAdvance(Calendar,W3115,NDays&amp;"D")</f>
        <v>60800</v>
      </c>
      <c r="Y3115" s="178">
        <v>1.9918750062751695E-2</v>
      </c>
      <c r="Z3115" s="183">
        <v>1.9649277461120107E-2</v>
      </c>
    </row>
    <row r="3116" spans="22:26" x14ac:dyDescent="0.2">
      <c r="V3116" s="180" t="str">
        <f t="shared" si="56"/>
        <v>1w</v>
      </c>
      <c r="W3116" s="177">
        <f>_xll.qlCalendarAdvance(Calendar,W3115,V3116,"f",FALSE)</f>
        <v>60805</v>
      </c>
      <c r="X3116" s="181">
        <f>_xll.qlCalendarAdvance(Calendar,W3116,NDays&amp;"D")</f>
        <v>60807</v>
      </c>
      <c r="Y3116" s="178">
        <v>1.9921496197786572E-2</v>
      </c>
      <c r="Z3116" s="183">
        <v>1.9652139669590341E-2</v>
      </c>
    </row>
    <row r="3117" spans="22:26" x14ac:dyDescent="0.2">
      <c r="V3117" s="180" t="str">
        <f t="shared" si="56"/>
        <v>1w</v>
      </c>
      <c r="W3117" s="177">
        <f>_xll.qlCalendarAdvance(Calendar,W3116,V3117,"f",FALSE)</f>
        <v>60812</v>
      </c>
      <c r="X3117" s="181">
        <f>_xll.qlCalendarAdvance(Calendar,W3117,NDays&amp;"D")</f>
        <v>60814</v>
      </c>
      <c r="Y3117" s="178">
        <v>1.9924235658694993E-2</v>
      </c>
      <c r="Z3117" s="183">
        <v>1.9654995328339808E-2</v>
      </c>
    </row>
    <row r="3118" spans="22:26" x14ac:dyDescent="0.2">
      <c r="V3118" s="180" t="str">
        <f t="shared" si="56"/>
        <v>1w</v>
      </c>
      <c r="W3118" s="177">
        <f>_xll.qlCalendarAdvance(Calendar,W3117,V3118,"f",FALSE)</f>
        <v>60819</v>
      </c>
      <c r="X3118" s="181">
        <f>_xll.qlCalendarAdvance(Calendar,W3118,NDays&amp;"D")</f>
        <v>60821</v>
      </c>
      <c r="Y3118" s="178">
        <v>1.9926968445422206E-2</v>
      </c>
      <c r="Z3118" s="183">
        <v>1.9657844437448446E-2</v>
      </c>
    </row>
    <row r="3119" spans="22:26" x14ac:dyDescent="0.2">
      <c r="V3119" s="180" t="str">
        <f t="shared" si="56"/>
        <v>1w</v>
      </c>
      <c r="W3119" s="177">
        <f>_xll.qlCalendarAdvance(Calendar,W3118,V3119,"f",FALSE)</f>
        <v>60826</v>
      </c>
      <c r="X3119" s="181">
        <f>_xll.qlCalendarAdvance(Calendar,W3119,NDays&amp;"D")</f>
        <v>60828</v>
      </c>
      <c r="Y3119" s="178">
        <v>1.9929694557914334E-2</v>
      </c>
      <c r="Z3119" s="183">
        <v>1.9660686996916255E-2</v>
      </c>
    </row>
    <row r="3120" spans="22:26" x14ac:dyDescent="0.2">
      <c r="V3120" s="180" t="str">
        <f t="shared" si="56"/>
        <v>1w</v>
      </c>
      <c r="W3120" s="177">
        <f>_xll.qlCalendarAdvance(Calendar,W3119,V3120,"f",FALSE)</f>
        <v>60833</v>
      </c>
      <c r="X3120" s="181">
        <f>_xll.qlCalendarAdvance(Calendar,W3120,NDays&amp;"D")</f>
        <v>60835</v>
      </c>
      <c r="Y3120" s="178">
        <v>1.993241399611663E-2</v>
      </c>
      <c r="Z3120" s="183">
        <v>1.9663523006823169E-2</v>
      </c>
    </row>
    <row r="3121" spans="22:26" x14ac:dyDescent="0.2">
      <c r="V3121" s="180" t="str">
        <f t="shared" si="56"/>
        <v>1w</v>
      </c>
      <c r="W3121" s="177">
        <f>_xll.qlCalendarAdvance(Calendar,W3120,V3121,"f",FALSE)</f>
        <v>60840</v>
      </c>
      <c r="X3121" s="181">
        <f>_xll.qlCalendarAdvance(Calendar,W3121,NDays&amp;"D")</f>
        <v>60842</v>
      </c>
      <c r="Y3121" s="178">
        <v>1.9935126759974782E-2</v>
      </c>
      <c r="Z3121" s="183">
        <v>1.9666352466849446E-2</v>
      </c>
    </row>
    <row r="3122" spans="22:26" x14ac:dyDescent="0.2">
      <c r="V3122" s="180" t="str">
        <f t="shared" si="56"/>
        <v>1w</v>
      </c>
      <c r="W3122" s="177">
        <f>_xll.qlCalendarAdvance(Calendar,W3121,V3122,"f",FALSE)</f>
        <v>60847</v>
      </c>
      <c r="X3122" s="181">
        <f>_xll.qlCalendarAdvance(Calendar,W3122,NDays&amp;"D")</f>
        <v>60849</v>
      </c>
      <c r="Y3122" s="178">
        <v>1.9937832849435351E-2</v>
      </c>
      <c r="Z3122" s="183">
        <v>1.9669175377394765E-2</v>
      </c>
    </row>
    <row r="3123" spans="22:26" x14ac:dyDescent="0.2">
      <c r="V3123" s="180" t="str">
        <f t="shared" si="56"/>
        <v>1w</v>
      </c>
      <c r="W3123" s="177">
        <f>_xll.qlCalendarAdvance(Calendar,W3122,V3123,"f",FALSE)</f>
        <v>60854</v>
      </c>
      <c r="X3123" s="181">
        <f>_xll.qlCalendarAdvance(Calendar,W3123,NDays&amp;"D")</f>
        <v>60856</v>
      </c>
      <c r="Y3123" s="178">
        <v>1.9940532264444241E-2</v>
      </c>
      <c r="Z3123" s="183">
        <v>1.9671991738379191E-2</v>
      </c>
    </row>
    <row r="3124" spans="22:26" x14ac:dyDescent="0.2">
      <c r="V3124" s="180" t="str">
        <f t="shared" si="56"/>
        <v>1w</v>
      </c>
      <c r="W3124" s="177">
        <f>_xll.qlCalendarAdvance(Calendar,W3123,V3124,"f",FALSE)</f>
        <v>60861</v>
      </c>
      <c r="X3124" s="181">
        <f>_xll.qlCalendarAdvance(Calendar,W3124,NDays&amp;"D")</f>
        <v>60863</v>
      </c>
      <c r="Y3124" s="178">
        <v>1.9943225004947364E-2</v>
      </c>
      <c r="Z3124" s="183">
        <v>1.9674801549403043E-2</v>
      </c>
    </row>
    <row r="3125" spans="22:26" x14ac:dyDescent="0.2">
      <c r="V3125" s="180" t="str">
        <f t="shared" si="56"/>
        <v>1w</v>
      </c>
      <c r="W3125" s="177">
        <f>_xll.qlCalendarAdvance(Calendar,W3124,V3125,"f",FALSE)</f>
        <v>60868</v>
      </c>
      <c r="X3125" s="181">
        <f>_xll.qlCalendarAdvance(Calendar,W3125,NDays&amp;"D")</f>
        <v>60870</v>
      </c>
      <c r="Y3125" s="178">
        <v>1.9945911070891498E-2</v>
      </c>
      <c r="Z3125" s="183">
        <v>1.9677604810945937E-2</v>
      </c>
    </row>
    <row r="3126" spans="22:26" x14ac:dyDescent="0.2">
      <c r="V3126" s="180" t="str">
        <f t="shared" si="56"/>
        <v>1w</v>
      </c>
      <c r="W3126" s="177">
        <f>_xll.qlCalendarAdvance(Calendar,W3125,V3126,"f",FALSE)</f>
        <v>60875</v>
      </c>
      <c r="X3126" s="181">
        <f>_xll.qlCalendarAdvance(Calendar,W3126,NDays&amp;"D")</f>
        <v>60877</v>
      </c>
      <c r="Y3126" s="178">
        <v>1.9948590462222769E-2</v>
      </c>
      <c r="Z3126" s="183">
        <v>1.9680401522848001E-2</v>
      </c>
    </row>
    <row r="3127" spans="22:26" x14ac:dyDescent="0.2">
      <c r="V3127" s="180" t="str">
        <f t="shared" si="56"/>
        <v>1w</v>
      </c>
      <c r="W3127" s="177">
        <f>_xll.qlCalendarAdvance(Calendar,W3126,V3127,"f",FALSE)</f>
        <v>60882</v>
      </c>
      <c r="X3127" s="181">
        <f>_xll.qlCalendarAdvance(Calendar,W3127,NDays&amp;"D")</f>
        <v>60884</v>
      </c>
      <c r="Y3127" s="178">
        <v>1.9951263178888401E-2</v>
      </c>
      <c r="Z3127" s="183">
        <v>1.9683191685109236E-2</v>
      </c>
    </row>
    <row r="3128" spans="22:26" x14ac:dyDescent="0.2">
      <c r="V3128" s="180" t="str">
        <f t="shared" si="56"/>
        <v>1w</v>
      </c>
      <c r="W3128" s="177">
        <f>_xll.qlCalendarAdvance(Calendar,W3127,V3128,"f",FALSE)</f>
        <v>60889</v>
      </c>
      <c r="X3128" s="181">
        <f>_xll.qlCalendarAdvance(Calendar,W3128,NDays&amp;"D")</f>
        <v>60891</v>
      </c>
      <c r="Y3128" s="178">
        <v>1.9953929220834731E-2</v>
      </c>
      <c r="Z3128" s="183">
        <v>1.9685975297649705E-2</v>
      </c>
    </row>
    <row r="3129" spans="22:26" x14ac:dyDescent="0.2">
      <c r="V3129" s="180" t="str">
        <f t="shared" si="56"/>
        <v>1w</v>
      </c>
      <c r="W3129" s="177">
        <f>_xll.qlCalendarAdvance(Calendar,W3128,V3129,"f",FALSE)</f>
        <v>60896</v>
      </c>
      <c r="X3129" s="181">
        <f>_xll.qlCalendarAdvance(Calendar,W3129,NDays&amp;"D")</f>
        <v>60898</v>
      </c>
      <c r="Y3129" s="178">
        <v>1.9956588588008549E-2</v>
      </c>
      <c r="Z3129" s="183">
        <v>1.968875236062928E-2</v>
      </c>
    </row>
    <row r="3130" spans="22:26" x14ac:dyDescent="0.2">
      <c r="V3130" s="180" t="str">
        <f t="shared" si="56"/>
        <v>1w</v>
      </c>
      <c r="W3130" s="177">
        <f>_xll.qlCalendarAdvance(Calendar,W3129,V3130,"f",FALSE)</f>
        <v>60903</v>
      </c>
      <c r="X3130" s="181">
        <f>_xll.qlCalendarAdvance(Calendar,W3130,NDays&amp;"D")</f>
        <v>60905</v>
      </c>
      <c r="Y3130" s="178">
        <v>1.9959241280357289E-2</v>
      </c>
      <c r="Z3130" s="183">
        <v>1.969152287388809E-2</v>
      </c>
    </row>
    <row r="3131" spans="22:26" x14ac:dyDescent="0.2">
      <c r="V3131" s="180" t="str">
        <f t="shared" si="56"/>
        <v>1w</v>
      </c>
      <c r="W3131" s="177">
        <f>_xll.qlCalendarAdvance(Calendar,W3130,V3131,"f",FALSE)</f>
        <v>60910</v>
      </c>
      <c r="X3131" s="181">
        <f>_xll.qlCalendarAdvance(Calendar,W3131,NDays&amp;"D")</f>
        <v>60912</v>
      </c>
      <c r="Y3131" s="178">
        <v>1.9961887297827736E-2</v>
      </c>
      <c r="Z3131" s="183">
        <v>1.969428683750607E-2</v>
      </c>
    </row>
    <row r="3132" spans="22:26" x14ac:dyDescent="0.2">
      <c r="V3132" s="180" t="str">
        <f t="shared" si="56"/>
        <v>1w</v>
      </c>
      <c r="W3132" s="177">
        <f>_xll.qlCalendarAdvance(Calendar,W3131,V3132,"f",FALSE)</f>
        <v>60917</v>
      </c>
      <c r="X3132" s="181">
        <f>_xll.qlCalendarAdvance(Calendar,W3132,NDays&amp;"D")</f>
        <v>60919</v>
      </c>
      <c r="Y3132" s="178">
        <v>1.9964526640367766E-2</v>
      </c>
      <c r="Z3132" s="183">
        <v>1.9697044251403284E-2</v>
      </c>
    </row>
    <row r="3133" spans="22:26" x14ac:dyDescent="0.2">
      <c r="V3133" s="180" t="str">
        <f t="shared" si="56"/>
        <v>1w</v>
      </c>
      <c r="W3133" s="177">
        <f>_xll.qlCalendarAdvance(Calendar,W3132,V3133,"f",FALSE)</f>
        <v>60924</v>
      </c>
      <c r="X3133" s="181">
        <f>_xll.qlCalendarAdvance(Calendar,W3133,NDays&amp;"D")</f>
        <v>60926</v>
      </c>
      <c r="Y3133" s="178">
        <v>1.9967159307923942E-2</v>
      </c>
      <c r="Z3133" s="183">
        <v>1.9699795115739605E-2</v>
      </c>
    </row>
    <row r="3134" spans="22:26" x14ac:dyDescent="0.2">
      <c r="V3134" s="180" t="str">
        <f t="shared" si="56"/>
        <v>1w</v>
      </c>
      <c r="W3134" s="177">
        <f>_xll.qlCalendarAdvance(Calendar,W3133,V3134,"f",FALSE)</f>
        <v>60931</v>
      </c>
      <c r="X3134" s="181">
        <f>_xll.qlCalendarAdvance(Calendar,W3134,NDays&amp;"D")</f>
        <v>60933</v>
      </c>
      <c r="Y3134" s="178">
        <v>1.9969785300444798E-2</v>
      </c>
      <c r="Z3134" s="183">
        <v>1.9702539430355159E-2</v>
      </c>
    </row>
    <row r="3135" spans="22:26" x14ac:dyDescent="0.2">
      <c r="V3135" s="180" t="str">
        <f t="shared" si="56"/>
        <v>1w</v>
      </c>
      <c r="W3135" s="177">
        <f>_xll.qlCalendarAdvance(Calendar,W3134,V3135,"f",FALSE)</f>
        <v>60938</v>
      </c>
      <c r="X3135" s="181">
        <f>_xll.qlCalendarAdvance(Calendar,W3135,NDays&amp;"D")</f>
        <v>60940</v>
      </c>
      <c r="Y3135" s="178">
        <v>1.9972404617877339E-2</v>
      </c>
      <c r="Z3135" s="183">
        <v>1.970527719540982E-2</v>
      </c>
    </row>
    <row r="3136" spans="22:26" x14ac:dyDescent="0.2">
      <c r="V3136" s="180" t="str">
        <f t="shared" si="56"/>
        <v>1w</v>
      </c>
      <c r="W3136" s="177">
        <f>_xll.qlCalendarAdvance(Calendar,W3135,V3136,"f",FALSE)</f>
        <v>60945</v>
      </c>
      <c r="X3136" s="181">
        <f>_xll.qlCalendarAdvance(Calendar,W3136,NDays&amp;"D")</f>
        <v>60947</v>
      </c>
      <c r="Y3136" s="178">
        <v>1.9975017260169658E-2</v>
      </c>
      <c r="Z3136" s="183">
        <v>1.9708008410743716E-2</v>
      </c>
    </row>
    <row r="3137" spans="22:26" x14ac:dyDescent="0.2">
      <c r="V3137" s="180" t="str">
        <f t="shared" si="56"/>
        <v>1w</v>
      </c>
      <c r="W3137" s="177">
        <f>_xll.qlCalendarAdvance(Calendar,W3136,V3137,"f",FALSE)</f>
        <v>60952</v>
      </c>
      <c r="X3137" s="181">
        <f>_xll.qlCalendarAdvance(Calendar,W3137,NDays&amp;"D")</f>
        <v>60954</v>
      </c>
      <c r="Y3137" s="178">
        <v>1.997762322726963E-2</v>
      </c>
      <c r="Z3137" s="183">
        <v>1.9710733076356846E-2</v>
      </c>
    </row>
    <row r="3138" spans="22:26" x14ac:dyDescent="0.2">
      <c r="V3138" s="180" t="str">
        <f t="shared" si="56"/>
        <v>1w</v>
      </c>
      <c r="W3138" s="177">
        <f>_xll.qlCalendarAdvance(Calendar,W3137,V3138,"f",FALSE)</f>
        <v>60959</v>
      </c>
      <c r="X3138" s="181">
        <f>_xll.qlCalendarAdvance(Calendar,W3138,NDays&amp;"D")</f>
        <v>60961</v>
      </c>
      <c r="Y3138" s="178">
        <v>1.9980222519126015E-2</v>
      </c>
      <c r="Z3138" s="183">
        <v>1.9713451192409082E-2</v>
      </c>
    </row>
    <row r="3139" spans="22:26" x14ac:dyDescent="0.2">
      <c r="V3139" s="180" t="str">
        <f t="shared" si="56"/>
        <v>1w</v>
      </c>
      <c r="W3139" s="177">
        <f>_xll.qlCalendarAdvance(Calendar,W3138,V3139,"f",FALSE)</f>
        <v>60966</v>
      </c>
      <c r="X3139" s="181">
        <f>_xll.qlCalendarAdvance(Calendar,W3139,NDays&amp;"D")</f>
        <v>60968</v>
      </c>
      <c r="Y3139" s="178">
        <v>1.9982815135685589E-2</v>
      </c>
      <c r="Z3139" s="183">
        <v>1.9716162758740552E-2</v>
      </c>
    </row>
    <row r="3140" spans="22:26" x14ac:dyDescent="0.2">
      <c r="V3140" s="180" t="str">
        <f t="shared" si="56"/>
        <v>1w</v>
      </c>
      <c r="W3140" s="177">
        <f>_xll.qlCalendarAdvance(Calendar,W3139,V3140,"f",FALSE)</f>
        <v>60973</v>
      </c>
      <c r="X3140" s="181">
        <f>_xll.qlCalendarAdvance(Calendar,W3140,NDays&amp;"D")</f>
        <v>60975</v>
      </c>
      <c r="Y3140" s="178">
        <v>1.9985401076897984E-2</v>
      </c>
      <c r="Z3140" s="183">
        <v>1.9718867775431193E-2</v>
      </c>
    </row>
    <row r="3141" spans="22:26" x14ac:dyDescent="0.2">
      <c r="V3141" s="180" t="str">
        <f t="shared" si="56"/>
        <v>1w</v>
      </c>
      <c r="W3141" s="177">
        <f>_xll.qlCalendarAdvance(Calendar,W3140,V3141,"f",FALSE)</f>
        <v>60980</v>
      </c>
      <c r="X3141" s="181">
        <f>_xll.qlCalendarAdvance(Calendar,W3141,NDays&amp;"D")</f>
        <v>60982</v>
      </c>
      <c r="Y3141" s="178">
        <v>1.9987980342711736E-2</v>
      </c>
      <c r="Z3141" s="183">
        <v>1.9721566242481003E-2</v>
      </c>
    </row>
    <row r="3142" spans="22:26" x14ac:dyDescent="0.2">
      <c r="V3142" s="180" t="str">
        <f t="shared" si="56"/>
        <v>1w</v>
      </c>
      <c r="W3142" s="177">
        <f>_xll.qlCalendarAdvance(Calendar,W3141,V3142,"f",FALSE)</f>
        <v>60987</v>
      </c>
      <c r="X3142" s="181">
        <f>_xll.qlCalendarAdvance(Calendar,W3142,NDays&amp;"D")</f>
        <v>60989</v>
      </c>
      <c r="Y3142" s="178">
        <v>1.9990552933074938E-2</v>
      </c>
      <c r="Z3142" s="183">
        <v>1.9724258159889985E-2</v>
      </c>
    </row>
    <row r="3143" spans="22:26" x14ac:dyDescent="0.2">
      <c r="V3143" s="180" t="str">
        <f t="shared" si="56"/>
        <v>1w</v>
      </c>
      <c r="W3143" s="177">
        <f>_xll.qlCalendarAdvance(Calendar,W3142,V3143,"f",FALSE)</f>
        <v>60994</v>
      </c>
      <c r="X3143" s="181">
        <f>_xll.qlCalendarAdvance(Calendar,W3143,NDays&amp;"D")</f>
        <v>60996</v>
      </c>
      <c r="Y3143" s="178">
        <v>1.9993118847936347E-2</v>
      </c>
      <c r="Z3143" s="183">
        <v>1.9726943527658136E-2</v>
      </c>
    </row>
    <row r="3144" spans="22:26" x14ac:dyDescent="0.2">
      <c r="V3144" s="180" t="str">
        <f t="shared" si="56"/>
        <v>1w</v>
      </c>
      <c r="W3144" s="177">
        <f>_xll.qlCalendarAdvance(Calendar,W3143,V3144,"f",FALSE)</f>
        <v>61001</v>
      </c>
      <c r="X3144" s="181">
        <f>_xll.qlCalendarAdvance(Calendar,W3144,NDays&amp;"D")</f>
        <v>61003</v>
      </c>
      <c r="Y3144" s="178">
        <v>1.9995678087244711E-2</v>
      </c>
      <c r="Z3144" s="183">
        <v>1.9729622345705522E-2</v>
      </c>
    </row>
    <row r="3145" spans="22:26" x14ac:dyDescent="0.2">
      <c r="V3145" s="180" t="str">
        <f t="shared" si="56"/>
        <v>1w</v>
      </c>
      <c r="W3145" s="177">
        <f>_xll.qlCalendarAdvance(Calendar,W3144,V3145,"f",FALSE)</f>
        <v>61008</v>
      </c>
      <c r="X3145" s="181">
        <f>_xll.qlCalendarAdvance(Calendar,W3145,NDays&amp;"D")</f>
        <v>61010</v>
      </c>
      <c r="Y3145" s="178">
        <v>1.9998230650950102E-2</v>
      </c>
      <c r="Z3145" s="183">
        <v>1.9732294614112078E-2</v>
      </c>
    </row>
    <row r="3146" spans="22:26" x14ac:dyDescent="0.2">
      <c r="V3146" s="180" t="str">
        <f t="shared" si="56"/>
        <v>1w</v>
      </c>
      <c r="W3146" s="177">
        <f>_xll.qlCalendarAdvance(Calendar,W3145,V3146,"f",FALSE)</f>
        <v>61015</v>
      </c>
      <c r="X3146" s="181">
        <f>_xll.qlCalendarAdvance(Calendar,W3146,NDays&amp;"D")</f>
        <v>61017</v>
      </c>
      <c r="Y3146" s="178">
        <v>2.0000776539000398E-2</v>
      </c>
      <c r="Z3146" s="183">
        <v>1.9734960332797868E-2</v>
      </c>
    </row>
    <row r="3147" spans="22:26" x14ac:dyDescent="0.2">
      <c r="V3147" s="180" t="str">
        <f t="shared" si="56"/>
        <v>1w</v>
      </c>
      <c r="W3147" s="177">
        <f>_xll.qlCalendarAdvance(Calendar,W3146,V3147,"f",FALSE)</f>
        <v>61022</v>
      </c>
      <c r="X3147" s="181">
        <f>_xll.qlCalendarAdvance(Calendar,W3147,NDays&amp;"D")</f>
        <v>61024</v>
      </c>
      <c r="Y3147" s="178">
        <v>2.000331575134566E-2</v>
      </c>
      <c r="Z3147" s="183">
        <v>1.9737619502002701E-2</v>
      </c>
    </row>
    <row r="3148" spans="22:26" x14ac:dyDescent="0.2">
      <c r="V3148" s="180" t="str">
        <f t="shared" si="56"/>
        <v>1w</v>
      </c>
      <c r="W3148" s="177">
        <f>_xll.qlCalendarAdvance(Calendar,W3147,V3148,"f",FALSE)</f>
        <v>61029</v>
      </c>
      <c r="X3148" s="181">
        <f>_xll.qlCalendarAdvance(Calendar,W3148,NDays&amp;"D")</f>
        <v>61031</v>
      </c>
      <c r="Y3148" s="178">
        <v>2.0005848287935085E-2</v>
      </c>
      <c r="Z3148" s="183">
        <v>1.9740272121406832E-2</v>
      </c>
    </row>
    <row r="3149" spans="22:26" x14ac:dyDescent="0.2">
      <c r="V3149" s="180" t="str">
        <f t="shared" si="56"/>
        <v>1w</v>
      </c>
      <c r="W3149" s="177">
        <f>_xll.qlCalendarAdvance(Calendar,W3148,V3149,"f",FALSE)</f>
        <v>61036</v>
      </c>
      <c r="X3149" s="181">
        <f>_xll.qlCalendarAdvance(Calendar,W3149,NDays&amp;"D")</f>
        <v>61038</v>
      </c>
      <c r="Y3149" s="178">
        <v>2.00083741487183E-2</v>
      </c>
      <c r="Z3149" s="183">
        <v>1.974291819125007E-2</v>
      </c>
    </row>
    <row r="3150" spans="22:26" x14ac:dyDescent="0.2">
      <c r="V3150" s="180" t="str">
        <f t="shared" si="56"/>
        <v>1w</v>
      </c>
      <c r="W3150" s="177">
        <f>_xll.qlCalendarAdvance(Calendar,W3149,V3150,"f",FALSE)</f>
        <v>61043</v>
      </c>
      <c r="X3150" s="181">
        <f>_xll.qlCalendarAdvance(Calendar,W3150,NDays&amp;"D")</f>
        <v>61045</v>
      </c>
      <c r="Y3150" s="178">
        <v>2.0010893333645158E-2</v>
      </c>
      <c r="Z3150" s="183">
        <v>1.9745557711292605E-2</v>
      </c>
    </row>
    <row r="3151" spans="22:26" x14ac:dyDescent="0.2">
      <c r="V3151" s="180" t="str">
        <f t="shared" si="56"/>
        <v>1w</v>
      </c>
      <c r="W3151" s="177">
        <f>_xll.qlCalendarAdvance(Calendar,W3150,V3151,"f",FALSE)</f>
        <v>61050</v>
      </c>
      <c r="X3151" s="181">
        <f>_xll.qlCalendarAdvance(Calendar,W3151,NDays&amp;"D")</f>
        <v>61052</v>
      </c>
      <c r="Y3151" s="178">
        <v>2.0013405842665061E-2</v>
      </c>
      <c r="Z3151" s="183">
        <v>1.9748190681854183E-2</v>
      </c>
    </row>
    <row r="3152" spans="22:26" x14ac:dyDescent="0.2">
      <c r="V3152" s="180" t="str">
        <f t="shared" si="56"/>
        <v>1w</v>
      </c>
      <c r="W3152" s="177">
        <f>_xll.qlCalendarAdvance(Calendar,W3151,V3152,"f",FALSE)</f>
        <v>61057</v>
      </c>
      <c r="X3152" s="181">
        <f>_xll.qlCalendarAdvance(Calendar,W3152,NDays&amp;"D")</f>
        <v>61059</v>
      </c>
      <c r="Y3152" s="178">
        <v>2.0018093594729485E-2</v>
      </c>
      <c r="Z3152" s="183">
        <v>1.9750817102615059E-2</v>
      </c>
    </row>
    <row r="3153" spans="22:26" x14ac:dyDescent="0.2">
      <c r="V3153" s="180" t="str">
        <f t="shared" si="56"/>
        <v>1w</v>
      </c>
      <c r="W3153" s="177">
        <f>_xll.qlCalendarAdvance(Calendar,W3152,V3153,"f",FALSE)</f>
        <v>61064</v>
      </c>
      <c r="X3153" s="181">
        <f>_xll.qlCalendarAdvance(Calendar,W3153,NDays&amp;"D")</f>
        <v>61066</v>
      </c>
      <c r="Y3153" s="178">
        <v>2.0020591733693218E-2</v>
      </c>
      <c r="Z3153" s="183">
        <v>1.9753436973735106E-2</v>
      </c>
    </row>
    <row r="3154" spans="22:26" x14ac:dyDescent="0.2">
      <c r="V3154" s="180" t="str">
        <f t="shared" si="56"/>
        <v>1w</v>
      </c>
      <c r="W3154" s="177">
        <f>_xll.qlCalendarAdvance(Calendar,W3153,V3154,"f",FALSE)</f>
        <v>61071</v>
      </c>
      <c r="X3154" s="181">
        <f>_xll.qlCalendarAdvance(Calendar,W3154,NDays&amp;"D")</f>
        <v>61073</v>
      </c>
      <c r="Y3154" s="178">
        <v>2.0023083195538964E-2</v>
      </c>
      <c r="Z3154" s="183">
        <v>1.9756050295214322E-2</v>
      </c>
    </row>
    <row r="3155" spans="22:26" x14ac:dyDescent="0.2">
      <c r="V3155" s="180" t="str">
        <f t="shared" si="56"/>
        <v>1w</v>
      </c>
      <c r="W3155" s="177">
        <f>_xll.qlCalendarAdvance(Calendar,W3154,V3155,"f",FALSE)</f>
        <v>61078</v>
      </c>
      <c r="X3155" s="181">
        <f>_xll.qlCalendarAdvance(Calendar,W3155,NDays&amp;"D")</f>
        <v>61080</v>
      </c>
      <c r="Y3155" s="178">
        <v>2.0025567980215677E-2</v>
      </c>
      <c r="Z3155" s="183">
        <v>1.975865706705271E-2</v>
      </c>
    </row>
    <row r="3156" spans="22:26" x14ac:dyDescent="0.2">
      <c r="V3156" s="180" t="str">
        <f t="shared" si="56"/>
        <v>1w</v>
      </c>
      <c r="W3156" s="177">
        <f>_xll.qlCalendarAdvance(Calendar,W3155,V3156,"f",FALSE)</f>
        <v>61085</v>
      </c>
      <c r="X3156" s="181">
        <f>_xll.qlCalendarAdvance(Calendar,W3156,NDays&amp;"D")</f>
        <v>61087</v>
      </c>
      <c r="Y3156" s="178">
        <v>2.0025868247417502E-2</v>
      </c>
      <c r="Z3156" s="183">
        <v>1.9764168640106661E-2</v>
      </c>
    </row>
    <row r="3157" spans="22:26" x14ac:dyDescent="0.2">
      <c r="V3157" s="180" t="str">
        <f t="shared" ref="V3157:V3220" si="57">V3156</f>
        <v>1w</v>
      </c>
      <c r="W3157" s="177">
        <f>_xll.qlCalendarAdvance(Calendar,W3156,V3157,"f",FALSE)</f>
        <v>61092</v>
      </c>
      <c r="X3157" s="181">
        <f>_xll.qlCalendarAdvance(Calendar,W3157,NDays&amp;"D")</f>
        <v>61094</v>
      </c>
      <c r="Y3157" s="178">
        <v>2.0030517517862802E-2</v>
      </c>
      <c r="Z3157" s="183">
        <v>1.9763850961727059E-2</v>
      </c>
    </row>
    <row r="3158" spans="22:26" x14ac:dyDescent="0.2">
      <c r="V3158" s="180" t="str">
        <f t="shared" si="57"/>
        <v>1w</v>
      </c>
      <c r="W3158" s="177">
        <f>_xll.qlCalendarAdvance(Calendar,W3157,V3158,"f",FALSE)</f>
        <v>61099</v>
      </c>
      <c r="X3158" s="181">
        <f>_xll.qlCalendarAdvance(Calendar,W3158,NDays&amp;"D")</f>
        <v>61101</v>
      </c>
      <c r="Y3158" s="178">
        <v>2.0032982270734388E-2</v>
      </c>
      <c r="Z3158" s="183">
        <v>1.9766438084722893E-2</v>
      </c>
    </row>
    <row r="3159" spans="22:26" x14ac:dyDescent="0.2">
      <c r="V3159" s="180" t="str">
        <f t="shared" si="57"/>
        <v>1w</v>
      </c>
      <c r="W3159" s="177">
        <f>_xll.qlCalendarAdvance(Calendar,W3158,V3159,"f",FALSE)</f>
        <v>61106</v>
      </c>
      <c r="X3159" s="181">
        <f>_xll.qlCalendarAdvance(Calendar,W3159,NDays&amp;"D")</f>
        <v>61108</v>
      </c>
      <c r="Y3159" s="178">
        <v>2.0036165257178103E-2</v>
      </c>
      <c r="Z3159" s="183">
        <v>1.9769018657838089E-2</v>
      </c>
    </row>
    <row r="3160" spans="22:26" x14ac:dyDescent="0.2">
      <c r="V3160" s="180" t="str">
        <f t="shared" si="57"/>
        <v>1w</v>
      </c>
      <c r="W3160" s="177">
        <f>_xll.qlCalendarAdvance(Calendar,W3159,V3160,"f",FALSE)</f>
        <v>61113</v>
      </c>
      <c r="X3160" s="181">
        <f>_xll.qlCalendarAdvance(Calendar,W3160,NDays&amp;"D")</f>
        <v>61115</v>
      </c>
      <c r="Y3160" s="178">
        <v>2.0037891744324878E-2</v>
      </c>
      <c r="Z3160" s="183">
        <v>1.9771592681392391E-2</v>
      </c>
    </row>
    <row r="3161" spans="22:26" x14ac:dyDescent="0.2">
      <c r="V3161" s="180" t="str">
        <f t="shared" si="57"/>
        <v>1w</v>
      </c>
      <c r="W3161" s="177">
        <f>_xll.qlCalendarAdvance(Calendar,W3160,V3161,"f",FALSE)</f>
        <v>61120</v>
      </c>
      <c r="X3161" s="181">
        <f>_xll.qlCalendarAdvance(Calendar,W3161,NDays&amp;"D")</f>
        <v>61122</v>
      </c>
      <c r="Y3161" s="178">
        <v>2.0040336464945383E-2</v>
      </c>
      <c r="Z3161" s="183">
        <v>1.9774160155225928E-2</v>
      </c>
    </row>
    <row r="3162" spans="22:26" x14ac:dyDescent="0.2">
      <c r="V3162" s="180" t="str">
        <f t="shared" si="57"/>
        <v>1w</v>
      </c>
      <c r="W3162" s="177">
        <f>_xll.qlCalendarAdvance(Calendar,W3161,V3162,"f",FALSE)</f>
        <v>61127</v>
      </c>
      <c r="X3162" s="181">
        <f>_xll.qlCalendarAdvance(Calendar,W3162,NDays&amp;"D")</f>
        <v>61129</v>
      </c>
      <c r="Y3162" s="178">
        <v>2.0042774508050611E-2</v>
      </c>
      <c r="Z3162" s="183">
        <v>1.9776721079498571E-2</v>
      </c>
    </row>
    <row r="3163" spans="22:26" x14ac:dyDescent="0.2">
      <c r="V3163" s="180" t="str">
        <f t="shared" si="57"/>
        <v>1w</v>
      </c>
      <c r="W3163" s="177">
        <f>_xll.qlCalendarAdvance(Calendar,W3162,V3163,"f",FALSE)</f>
        <v>61134</v>
      </c>
      <c r="X3163" s="181">
        <f>_xll.qlCalendarAdvance(Calendar,W3163,NDays&amp;"D")</f>
        <v>61136</v>
      </c>
      <c r="Y3163" s="178">
        <v>2.0045205873591904E-2</v>
      </c>
      <c r="Z3163" s="183">
        <v>1.9779275454130385E-2</v>
      </c>
    </row>
    <row r="3164" spans="22:26" x14ac:dyDescent="0.2">
      <c r="V3164" s="180" t="str">
        <f t="shared" si="57"/>
        <v>1w</v>
      </c>
      <c r="W3164" s="177">
        <f>_xll.qlCalendarAdvance(Calendar,W3163,V3164,"f",FALSE)</f>
        <v>61141</v>
      </c>
      <c r="X3164" s="181">
        <f>_xll.qlCalendarAdvance(Calendar,W3164,NDays&amp;"D")</f>
        <v>61143</v>
      </c>
      <c r="Y3164" s="178">
        <v>2.0047630561519734E-2</v>
      </c>
      <c r="Z3164" s="183">
        <v>1.9781823278961497E-2</v>
      </c>
    </row>
    <row r="3165" spans="22:26" x14ac:dyDescent="0.2">
      <c r="V3165" s="180" t="str">
        <f t="shared" si="57"/>
        <v>1w</v>
      </c>
      <c r="W3165" s="177">
        <f>_xll.qlCalendarAdvance(Calendar,W3164,V3165,"f",FALSE)</f>
        <v>61148</v>
      </c>
      <c r="X3165" s="181">
        <f>_xll.qlCalendarAdvance(Calendar,W3165,NDays&amp;"D")</f>
        <v>61150</v>
      </c>
      <c r="Y3165" s="178">
        <v>2.0050048571785876E-2</v>
      </c>
      <c r="Z3165" s="183">
        <v>1.9784364554231715E-2</v>
      </c>
    </row>
    <row r="3166" spans="22:26" x14ac:dyDescent="0.2">
      <c r="V3166" s="180" t="str">
        <f t="shared" si="57"/>
        <v>1w</v>
      </c>
      <c r="W3166" s="177">
        <f>_xll.qlCalendarAdvance(Calendar,W3165,V3166,"f",FALSE)</f>
        <v>61155</v>
      </c>
      <c r="X3166" s="181">
        <f>_xll.qlCalendarAdvance(Calendar,W3166,NDays&amp;"D")</f>
        <v>61157</v>
      </c>
      <c r="Y3166" s="178">
        <v>2.0052459904341898E-2</v>
      </c>
      <c r="Z3166" s="183">
        <v>1.9786899279701231E-2</v>
      </c>
    </row>
    <row r="3167" spans="22:26" x14ac:dyDescent="0.2">
      <c r="V3167" s="180" t="str">
        <f t="shared" si="57"/>
        <v>1w</v>
      </c>
      <c r="W3167" s="177">
        <f>_xll.qlCalendarAdvance(Calendar,W3166,V3167,"f",FALSE)</f>
        <v>61162</v>
      </c>
      <c r="X3167" s="181">
        <f>_xll.qlCalendarAdvance(Calendar,W3167,NDays&amp;"D")</f>
        <v>61164</v>
      </c>
      <c r="Y3167" s="178">
        <v>2.0054864559139574E-2</v>
      </c>
      <c r="Z3167" s="183">
        <v>1.978942745568979E-2</v>
      </c>
    </row>
    <row r="3168" spans="22:26" x14ac:dyDescent="0.2">
      <c r="V3168" s="180" t="str">
        <f t="shared" si="57"/>
        <v>1w</v>
      </c>
      <c r="W3168" s="177">
        <f>_xll.qlCalendarAdvance(Calendar,W3167,V3168,"f",FALSE)</f>
        <v>61169</v>
      </c>
      <c r="X3168" s="181">
        <f>_xll.qlCalendarAdvance(Calendar,W3168,NDays&amp;"D")</f>
        <v>61171</v>
      </c>
      <c r="Y3168" s="178">
        <v>2.005726253612981E-2</v>
      </c>
      <c r="Z3168" s="183">
        <v>1.9791949081877647E-2</v>
      </c>
    </row>
    <row r="3169" spans="22:26" x14ac:dyDescent="0.2">
      <c r="V3169" s="180" t="str">
        <f t="shared" si="57"/>
        <v>1w</v>
      </c>
      <c r="W3169" s="177">
        <f>_xll.qlCalendarAdvance(Calendar,W3168,V3169,"f",FALSE)</f>
        <v>61176</v>
      </c>
      <c r="X3169" s="181">
        <f>_xll.qlCalendarAdvance(Calendar,W3169,NDays&amp;"D")</f>
        <v>61178</v>
      </c>
      <c r="Y3169" s="178">
        <v>2.0057489368580761E-2</v>
      </c>
      <c r="Z3169" s="183">
        <v>1.9794464158584546E-2</v>
      </c>
    </row>
    <row r="3170" spans="22:26" x14ac:dyDescent="0.2">
      <c r="V3170" s="180" t="str">
        <f t="shared" si="57"/>
        <v>1w</v>
      </c>
      <c r="W3170" s="177">
        <f>_xll.qlCalendarAdvance(Calendar,W3169,V3170,"f",FALSE)</f>
        <v>61183</v>
      </c>
      <c r="X3170" s="181">
        <f>_xll.qlCalendarAdvance(Calendar,W3170,NDays&amp;"D")</f>
        <v>61185</v>
      </c>
      <c r="Y3170" s="178">
        <v>2.0062038456497254E-2</v>
      </c>
      <c r="Z3170" s="183">
        <v>1.9796972685490744E-2</v>
      </c>
    </row>
    <row r="3171" spans="22:26" x14ac:dyDescent="0.2">
      <c r="V3171" s="180" t="str">
        <f t="shared" si="57"/>
        <v>1w</v>
      </c>
      <c r="W3171" s="177">
        <f>_xll.qlCalendarAdvance(Calendar,W3170,V3171,"f",FALSE)</f>
        <v>61190</v>
      </c>
      <c r="X3171" s="181">
        <f>_xll.qlCalendarAdvance(Calendar,W3171,NDays&amp;"D")</f>
        <v>61192</v>
      </c>
      <c r="Y3171" s="178">
        <v>2.0064416399778233E-2</v>
      </c>
      <c r="Z3171" s="183">
        <v>1.9799474662756111E-2</v>
      </c>
    </row>
    <row r="3172" spans="22:26" x14ac:dyDescent="0.2">
      <c r="V3172" s="180" t="str">
        <f t="shared" si="57"/>
        <v>1w</v>
      </c>
      <c r="W3172" s="177">
        <f>_xll.qlCalendarAdvance(Calendar,W3171,V3172,"f",FALSE)</f>
        <v>61197</v>
      </c>
      <c r="X3172" s="181">
        <f>_xll.qlCalendarAdvance(Calendar,W3172,NDays&amp;"D")</f>
        <v>61199</v>
      </c>
      <c r="Y3172" s="178">
        <v>2.0066787665060842E-2</v>
      </c>
      <c r="Z3172" s="183">
        <v>1.9801970090300713E-2</v>
      </c>
    </row>
    <row r="3173" spans="22:26" x14ac:dyDescent="0.2">
      <c r="V3173" s="180" t="str">
        <f t="shared" si="57"/>
        <v>1w</v>
      </c>
      <c r="W3173" s="177">
        <f>_xll.qlCalendarAdvance(Calendar,W3172,V3173,"f",FALSE)</f>
        <v>61204</v>
      </c>
      <c r="X3173" s="181">
        <f>_xll.qlCalendarAdvance(Calendar,W3173,NDays&amp;"D")</f>
        <v>61206</v>
      </c>
      <c r="Y3173" s="178">
        <v>2.0069152252296857E-2</v>
      </c>
      <c r="Z3173" s="183">
        <v>1.9804458968204486E-2</v>
      </c>
    </row>
    <row r="3174" spans="22:26" x14ac:dyDescent="0.2">
      <c r="V3174" s="180" t="str">
        <f t="shared" si="57"/>
        <v>1w</v>
      </c>
      <c r="W3174" s="177">
        <f>_xll.qlCalendarAdvance(Calendar,W3173,V3174,"f",FALSE)</f>
        <v>61211</v>
      </c>
      <c r="X3174" s="181">
        <f>_xll.qlCalendarAdvance(Calendar,W3174,NDays&amp;"D")</f>
        <v>61213</v>
      </c>
      <c r="Y3174" s="178">
        <v>2.0071510161438925E-2</v>
      </c>
      <c r="Z3174" s="183">
        <v>1.9806941296547365E-2</v>
      </c>
    </row>
    <row r="3175" spans="22:26" x14ac:dyDescent="0.2">
      <c r="V3175" s="180" t="str">
        <f t="shared" si="57"/>
        <v>1w</v>
      </c>
      <c r="W3175" s="177">
        <f>_xll.qlCalendarAdvance(Calendar,W3174,V3175,"f",FALSE)</f>
        <v>61218</v>
      </c>
      <c r="X3175" s="181">
        <f>_xll.qlCalendarAdvance(Calendar,W3175,NDays&amp;"D")</f>
        <v>61220</v>
      </c>
      <c r="Y3175" s="178">
        <v>2.0073861392439909E-2</v>
      </c>
      <c r="Z3175" s="183">
        <v>1.9809417075169478E-2</v>
      </c>
    </row>
    <row r="3176" spans="22:26" x14ac:dyDescent="0.2">
      <c r="V3176" s="180" t="str">
        <f t="shared" si="57"/>
        <v>1w</v>
      </c>
      <c r="W3176" s="177">
        <f>_xll.qlCalendarAdvance(Calendar,W3175,V3176,"f",FALSE)</f>
        <v>61225</v>
      </c>
      <c r="X3176" s="181">
        <f>_xll.qlCalendarAdvance(Calendar,W3176,NDays&amp;"D")</f>
        <v>61227</v>
      </c>
      <c r="Y3176" s="178">
        <v>2.0076205945252456E-2</v>
      </c>
      <c r="Z3176" s="183">
        <v>1.9811886304150761E-2</v>
      </c>
    </row>
    <row r="3177" spans="22:26" x14ac:dyDescent="0.2">
      <c r="V3177" s="180" t="str">
        <f t="shared" si="57"/>
        <v>1w</v>
      </c>
      <c r="W3177" s="177">
        <f>_xll.qlCalendarAdvance(Calendar,W3176,V3177,"f",FALSE)</f>
        <v>61232</v>
      </c>
      <c r="X3177" s="181">
        <f>_xll.qlCalendarAdvance(Calendar,W3177,NDays&amp;"D")</f>
        <v>61234</v>
      </c>
      <c r="Y3177" s="178">
        <v>2.0078543819829646E-2</v>
      </c>
      <c r="Z3177" s="183">
        <v>1.9814348983411278E-2</v>
      </c>
    </row>
    <row r="3178" spans="22:26" x14ac:dyDescent="0.2">
      <c r="V3178" s="180" t="str">
        <f t="shared" si="57"/>
        <v>1w</v>
      </c>
      <c r="W3178" s="177">
        <f>_xll.qlCalendarAdvance(Calendar,W3177,V3178,"f",FALSE)</f>
        <v>61239</v>
      </c>
      <c r="X3178" s="181">
        <f>_xll.qlCalendarAdvance(Calendar,W3178,NDays&amp;"D")</f>
        <v>61241</v>
      </c>
      <c r="Y3178" s="178">
        <v>2.0080875016124343E-2</v>
      </c>
      <c r="Z3178" s="183">
        <v>1.9816805113110902E-2</v>
      </c>
    </row>
    <row r="3179" spans="22:26" x14ac:dyDescent="0.2">
      <c r="V3179" s="180" t="str">
        <f t="shared" si="57"/>
        <v>1w</v>
      </c>
      <c r="W3179" s="177">
        <f>_xll.qlCalendarAdvance(Calendar,W3178,V3179,"f",FALSE)</f>
        <v>61246</v>
      </c>
      <c r="X3179" s="181">
        <f>_xll.qlCalendarAdvance(Calendar,W3179,NDays&amp;"D")</f>
        <v>61248</v>
      </c>
      <c r="Y3179" s="178">
        <v>2.0083199534089411E-2</v>
      </c>
      <c r="Z3179" s="183">
        <v>1.9819254693009825E-2</v>
      </c>
    </row>
    <row r="3180" spans="22:26" x14ac:dyDescent="0.2">
      <c r="V3180" s="180" t="str">
        <f t="shared" si="57"/>
        <v>1w</v>
      </c>
      <c r="W3180" s="177">
        <f>_xll.qlCalendarAdvance(Calendar,W3179,V3180,"f",FALSE)</f>
        <v>61253</v>
      </c>
      <c r="X3180" s="181">
        <f>_xll.qlCalendarAdvance(Calendar,W3180,NDays&amp;"D")</f>
        <v>61255</v>
      </c>
      <c r="Y3180" s="178">
        <v>2.0085517373679022E-2</v>
      </c>
      <c r="Z3180" s="183">
        <v>1.9821697723427789E-2</v>
      </c>
    </row>
    <row r="3181" spans="22:26" x14ac:dyDescent="0.2">
      <c r="V3181" s="180" t="str">
        <f t="shared" si="57"/>
        <v>1w</v>
      </c>
      <c r="W3181" s="177">
        <f>_xll.qlCalendarAdvance(Calendar,W3180,V3181,"f",FALSE)</f>
        <v>61260</v>
      </c>
      <c r="X3181" s="181">
        <f>_xll.qlCalendarAdvance(Calendar,W3181,NDays&amp;"D")</f>
        <v>61262</v>
      </c>
      <c r="Y3181" s="178">
        <v>2.0087828534846249E-2</v>
      </c>
      <c r="Z3181" s="183">
        <v>1.9824134204045052E-2</v>
      </c>
    </row>
    <row r="3182" spans="22:26" x14ac:dyDescent="0.2">
      <c r="V3182" s="180" t="str">
        <f t="shared" si="57"/>
        <v>1w</v>
      </c>
      <c r="W3182" s="177">
        <f>_xll.qlCalendarAdvance(Calendar,W3181,V3182,"f",FALSE)</f>
        <v>61267</v>
      </c>
      <c r="X3182" s="181">
        <f>_xll.qlCalendarAdvance(Calendar,W3182,NDays&amp;"D")</f>
        <v>61269</v>
      </c>
      <c r="Y3182" s="178">
        <v>2.0087982105001009E-2</v>
      </c>
      <c r="Z3182" s="183">
        <v>1.9826564135021485E-2</v>
      </c>
    </row>
    <row r="3183" spans="22:26" x14ac:dyDescent="0.2">
      <c r="V3183" s="180" t="str">
        <f t="shared" si="57"/>
        <v>1w</v>
      </c>
      <c r="W3183" s="177">
        <f>_xll.qlCalendarAdvance(Calendar,W3182,V3183,"f",FALSE)</f>
        <v>61274</v>
      </c>
      <c r="X3183" s="181">
        <f>_xll.qlCalendarAdvance(Calendar,W3183,NDays&amp;"D")</f>
        <v>61276</v>
      </c>
      <c r="Y3183" s="178">
        <v>2.009243082172741E-2</v>
      </c>
      <c r="Z3183" s="183">
        <v>1.9828987516277152E-2</v>
      </c>
    </row>
    <row r="3184" spans="22:26" x14ac:dyDescent="0.2">
      <c r="V3184" s="180" t="str">
        <f t="shared" si="57"/>
        <v>1w</v>
      </c>
      <c r="W3184" s="177">
        <f>_xll.qlCalendarAdvance(Calendar,W3183,V3184,"f",FALSE)</f>
        <v>61281</v>
      </c>
      <c r="X3184" s="181">
        <f>_xll.qlCalendarAdvance(Calendar,W3184,NDays&amp;"D")</f>
        <v>61283</v>
      </c>
      <c r="Y3184" s="178">
        <v>2.0094721947349025E-2</v>
      </c>
      <c r="Z3184" s="183">
        <v>1.9831404347971926E-2</v>
      </c>
    </row>
    <row r="3185" spans="22:26" x14ac:dyDescent="0.2">
      <c r="V3185" s="180" t="str">
        <f t="shared" si="57"/>
        <v>1w</v>
      </c>
      <c r="W3185" s="177">
        <f>_xll.qlCalendarAdvance(Calendar,W3184,V3185,"f",FALSE)</f>
        <v>61288</v>
      </c>
      <c r="X3185" s="181">
        <f>_xll.qlCalendarAdvance(Calendar,W3185,NDays&amp;"D")</f>
        <v>61290</v>
      </c>
      <c r="Y3185" s="178">
        <v>2.0097006394363622E-2</v>
      </c>
      <c r="Z3185" s="183">
        <v>1.9833814629945934E-2</v>
      </c>
    </row>
    <row r="3186" spans="22:26" x14ac:dyDescent="0.2">
      <c r="V3186" s="180" t="str">
        <f t="shared" si="57"/>
        <v>1w</v>
      </c>
      <c r="W3186" s="177">
        <f>_xll.qlCalendarAdvance(Calendar,W3185,V3186,"f",FALSE)</f>
        <v>61295</v>
      </c>
      <c r="X3186" s="181">
        <f>_xll.qlCalendarAdvance(Calendar,W3186,NDays&amp;"D")</f>
        <v>61297</v>
      </c>
      <c r="Y3186" s="178">
        <v>2.009928416272494E-2</v>
      </c>
      <c r="Z3186" s="183">
        <v>1.9836218362279112E-2</v>
      </c>
    </row>
    <row r="3187" spans="22:26" x14ac:dyDescent="0.2">
      <c r="V3187" s="180" t="str">
        <f t="shared" si="57"/>
        <v>1w</v>
      </c>
      <c r="W3187" s="177">
        <f>_xll.qlCalendarAdvance(Calendar,W3186,V3187,"f",FALSE)</f>
        <v>61302</v>
      </c>
      <c r="X3187" s="181">
        <f>_xll.qlCalendarAdvance(Calendar,W3187,NDays&amp;"D")</f>
        <v>61304</v>
      </c>
      <c r="Y3187" s="178">
        <v>2.0101555252387573E-2</v>
      </c>
      <c r="Z3187" s="183">
        <v>1.9838615545051397E-2</v>
      </c>
    </row>
    <row r="3188" spans="22:26" x14ac:dyDescent="0.2">
      <c r="V3188" s="180" t="str">
        <f t="shared" si="57"/>
        <v>1w</v>
      </c>
      <c r="W3188" s="177">
        <f>_xll.qlCalendarAdvance(Calendar,W3187,V3188,"f",FALSE)</f>
        <v>61309</v>
      </c>
      <c r="X3188" s="181">
        <f>_xll.qlCalendarAdvance(Calendar,W3188,NDays&amp;"D")</f>
        <v>61311</v>
      </c>
      <c r="Y3188" s="178">
        <v>2.0103819663305697E-2</v>
      </c>
      <c r="Z3188" s="183">
        <v>1.9841006177943044E-2</v>
      </c>
    </row>
    <row r="3189" spans="22:26" x14ac:dyDescent="0.2">
      <c r="V3189" s="180" t="str">
        <f t="shared" si="57"/>
        <v>1w</v>
      </c>
      <c r="W3189" s="177">
        <f>_xll.qlCalendarAdvance(Calendar,W3188,V3189,"f",FALSE)</f>
        <v>61316</v>
      </c>
      <c r="X3189" s="181">
        <f>_xll.qlCalendarAdvance(Calendar,W3189,NDays&amp;"D")</f>
        <v>61318</v>
      </c>
      <c r="Y3189" s="178">
        <v>2.0106077395433904E-2</v>
      </c>
      <c r="Z3189" s="183">
        <v>1.9843390261353733E-2</v>
      </c>
    </row>
    <row r="3190" spans="22:26" x14ac:dyDescent="0.2">
      <c r="V3190" s="180" t="str">
        <f t="shared" si="57"/>
        <v>1w</v>
      </c>
      <c r="W3190" s="177">
        <f>_xll.qlCalendarAdvance(Calendar,W3189,V3190,"f",FALSE)</f>
        <v>61323</v>
      </c>
      <c r="X3190" s="181">
        <f>_xll.qlCalendarAdvance(Calendar,W3190,NDays&amp;"D")</f>
        <v>61325</v>
      </c>
      <c r="Y3190" s="178">
        <v>2.0108328448726585E-2</v>
      </c>
      <c r="Z3190" s="183">
        <v>1.984576779496372E-2</v>
      </c>
    </row>
    <row r="3191" spans="22:26" x14ac:dyDescent="0.2">
      <c r="V3191" s="180" t="str">
        <f t="shared" si="57"/>
        <v>1w</v>
      </c>
      <c r="W3191" s="177">
        <f>_xll.qlCalendarAdvance(Calendar,W3190,V3191,"f",FALSE)</f>
        <v>61330</v>
      </c>
      <c r="X3191" s="181">
        <f>_xll.qlCalendarAdvance(Calendar,W3191,NDays&amp;"D")</f>
        <v>61332</v>
      </c>
      <c r="Y3191" s="178">
        <v>2.0110572823138991E-2</v>
      </c>
      <c r="Z3191" s="183">
        <v>1.9848138779012814E-2</v>
      </c>
    </row>
    <row r="3192" spans="22:26" x14ac:dyDescent="0.2">
      <c r="V3192" s="180" t="str">
        <f t="shared" si="57"/>
        <v>1w</v>
      </c>
      <c r="W3192" s="177">
        <f>_xll.qlCalendarAdvance(Calendar,W3191,V3192,"f",FALSE)</f>
        <v>61337</v>
      </c>
      <c r="X3192" s="181">
        <f>_xll.qlCalendarAdvance(Calendar,W3192,NDays&amp;"D")</f>
        <v>61339</v>
      </c>
      <c r="Y3192" s="178">
        <v>2.0112810518626158E-2</v>
      </c>
      <c r="Z3192" s="183">
        <v>1.9850503213421078E-2</v>
      </c>
    </row>
    <row r="3193" spans="22:26" x14ac:dyDescent="0.2">
      <c r="V3193" s="180" t="str">
        <f t="shared" si="57"/>
        <v>1w</v>
      </c>
      <c r="W3193" s="177">
        <f>_xll.qlCalendarAdvance(Calendar,W3192,V3193,"f",FALSE)</f>
        <v>61344</v>
      </c>
      <c r="X3193" s="181">
        <f>_xll.qlCalendarAdvance(Calendar,W3193,NDays&amp;"D")</f>
        <v>61346</v>
      </c>
      <c r="Y3193" s="178">
        <v>2.0115041535142035E-2</v>
      </c>
      <c r="Z3193" s="183">
        <v>1.985286109802864E-2</v>
      </c>
    </row>
    <row r="3194" spans="22:26" x14ac:dyDescent="0.2">
      <c r="V3194" s="180" t="str">
        <f t="shared" si="57"/>
        <v>1w</v>
      </c>
      <c r="W3194" s="177">
        <f>_xll.qlCalendarAdvance(Calendar,W3193,V3194,"f",FALSE)</f>
        <v>61351</v>
      </c>
      <c r="X3194" s="181">
        <f>_xll.qlCalendarAdvance(Calendar,W3194,NDays&amp;"D")</f>
        <v>61353</v>
      </c>
      <c r="Y3194" s="178">
        <v>2.0117265872643182E-2</v>
      </c>
      <c r="Z3194" s="183">
        <v>1.9855212433155245E-2</v>
      </c>
    </row>
    <row r="3195" spans="22:26" x14ac:dyDescent="0.2">
      <c r="V3195" s="180" t="str">
        <f t="shared" si="57"/>
        <v>1w</v>
      </c>
      <c r="W3195" s="177">
        <f>_xll.qlCalendarAdvance(Calendar,W3194,V3195,"f",FALSE)</f>
        <v>61358</v>
      </c>
      <c r="X3195" s="181">
        <f>_xll.qlCalendarAdvance(Calendar,W3195,NDays&amp;"D")</f>
        <v>61360</v>
      </c>
      <c r="Y3195" s="178">
        <v>2.0119483531084413E-2</v>
      </c>
      <c r="Z3195" s="183">
        <v>1.9857557218481148E-2</v>
      </c>
    </row>
    <row r="3196" spans="22:26" x14ac:dyDescent="0.2">
      <c r="V3196" s="180" t="str">
        <f t="shared" si="57"/>
        <v>1w</v>
      </c>
      <c r="W3196" s="177">
        <f>_xll.qlCalendarAdvance(Calendar,W3195,V3196,"f",FALSE)</f>
        <v>61365</v>
      </c>
      <c r="X3196" s="181">
        <f>_xll.qlCalendarAdvance(Calendar,W3196,NDays&amp;"D")</f>
        <v>61367</v>
      </c>
      <c r="Y3196" s="178">
        <v>2.0121694510420982E-2</v>
      </c>
      <c r="Z3196" s="183">
        <v>1.9859895454166221E-2</v>
      </c>
    </row>
    <row r="3197" spans="22:26" x14ac:dyDescent="0.2">
      <c r="V3197" s="180" t="str">
        <f t="shared" si="57"/>
        <v>1w</v>
      </c>
      <c r="W3197" s="177">
        <f>_xll.qlCalendarAdvance(Calendar,W3196,V3197,"f",FALSE)</f>
        <v>61372</v>
      </c>
      <c r="X3197" s="181">
        <f>_xll.qlCalendarAdvance(Calendar,W3197,NDays&amp;"D")</f>
        <v>61374</v>
      </c>
      <c r="Y3197" s="178">
        <v>2.0123898810609015E-2</v>
      </c>
      <c r="Z3197" s="183">
        <v>1.9862227140210464E-2</v>
      </c>
    </row>
    <row r="3198" spans="22:26" x14ac:dyDescent="0.2">
      <c r="V3198" s="180" t="str">
        <f t="shared" si="57"/>
        <v>1w</v>
      </c>
      <c r="W3198" s="177">
        <f>_xll.qlCalendarAdvance(Calendar,W3197,V3198,"f",FALSE)</f>
        <v>61379</v>
      </c>
      <c r="X3198" s="181">
        <f>_xll.qlCalendarAdvance(Calendar,W3198,NDays&amp;"D")</f>
        <v>61381</v>
      </c>
      <c r="Y3198" s="178">
        <v>2.0126096431603544E-2</v>
      </c>
      <c r="Z3198" s="183">
        <v>1.9864552276613878E-2</v>
      </c>
    </row>
    <row r="3199" spans="22:26" x14ac:dyDescent="0.2">
      <c r="V3199" s="180" t="str">
        <f t="shared" si="57"/>
        <v>1w</v>
      </c>
      <c r="W3199" s="177">
        <f>_xll.qlCalendarAdvance(Calendar,W3198,V3199,"f",FALSE)</f>
        <v>61386</v>
      </c>
      <c r="X3199" s="181">
        <f>_xll.qlCalendarAdvance(Calendar,W3199,NDays&amp;"D")</f>
        <v>61388</v>
      </c>
      <c r="Y3199" s="178">
        <v>2.0128287373360695E-2</v>
      </c>
      <c r="Z3199" s="183">
        <v>1.986687086321659E-2</v>
      </c>
    </row>
    <row r="3200" spans="22:26" x14ac:dyDescent="0.2">
      <c r="V3200" s="180" t="str">
        <f t="shared" si="57"/>
        <v>1w</v>
      </c>
      <c r="W3200" s="177">
        <f>_xll.qlCalendarAdvance(Calendar,W3199,V3200,"f",FALSE)</f>
        <v>61393</v>
      </c>
      <c r="X3200" s="181">
        <f>_xll.qlCalendarAdvance(Calendar,W3200,NDays&amp;"D")</f>
        <v>61395</v>
      </c>
      <c r="Y3200" s="178">
        <v>2.0130471635836804E-2</v>
      </c>
      <c r="Z3200" s="183">
        <v>1.9869182900338345E-2</v>
      </c>
    </row>
    <row r="3201" spans="22:26" x14ac:dyDescent="0.2">
      <c r="V3201" s="180" t="str">
        <f t="shared" si="57"/>
        <v>1w</v>
      </c>
      <c r="W3201" s="177">
        <f>_xll.qlCalendarAdvance(Calendar,W3200,V3201,"f",FALSE)</f>
        <v>61400</v>
      </c>
      <c r="X3201" s="181">
        <f>_xll.qlCalendarAdvance(Calendar,W3201,NDays&amp;"D")</f>
        <v>61402</v>
      </c>
      <c r="Y3201" s="178">
        <v>2.013264921898799E-2</v>
      </c>
      <c r="Z3201" s="183">
        <v>1.9871488387579461E-2</v>
      </c>
    </row>
    <row r="3202" spans="22:26" x14ac:dyDescent="0.2">
      <c r="V3202" s="180" t="str">
        <f t="shared" si="57"/>
        <v>1w</v>
      </c>
      <c r="W3202" s="177">
        <f>_xll.qlCalendarAdvance(Calendar,W3201,V3202,"f",FALSE)</f>
        <v>61407</v>
      </c>
      <c r="X3202" s="181">
        <f>_xll.qlCalendarAdvance(Calendar,W3202,NDays&amp;"D")</f>
        <v>61409</v>
      </c>
      <c r="Y3202" s="178">
        <v>2.0134820122770167E-2</v>
      </c>
      <c r="Z3202" s="183">
        <v>1.987378732533962E-2</v>
      </c>
    </row>
    <row r="3203" spans="22:26" x14ac:dyDescent="0.2">
      <c r="V3203" s="180" t="str">
        <f t="shared" si="57"/>
        <v>1w</v>
      </c>
      <c r="W3203" s="177">
        <f>_xll.qlCalendarAdvance(Calendar,W3202,V3203,"f",FALSE)</f>
        <v>61414</v>
      </c>
      <c r="X3203" s="181">
        <f>_xll.qlCalendarAdvance(Calendar,W3203,NDays&amp;"D")</f>
        <v>61416</v>
      </c>
      <c r="Y3203" s="178">
        <v>2.0136984347139883E-2</v>
      </c>
      <c r="Z3203" s="183">
        <v>1.987607971345895E-2</v>
      </c>
    </row>
    <row r="3204" spans="22:26" x14ac:dyDescent="0.2">
      <c r="V3204" s="180" t="str">
        <f t="shared" si="57"/>
        <v>1w</v>
      </c>
      <c r="W3204" s="177">
        <f>_xll.qlCalendarAdvance(Calendar,W3203,V3204,"f",FALSE)</f>
        <v>61421</v>
      </c>
      <c r="X3204" s="181">
        <f>_xll.qlCalendarAdvance(Calendar,W3204,NDays&amp;"D")</f>
        <v>61423</v>
      </c>
      <c r="Y3204" s="178">
        <v>2.0137014330864289E-2</v>
      </c>
      <c r="Z3204" s="183">
        <v>1.9878365551697641E-2</v>
      </c>
    </row>
    <row r="3205" spans="22:26" x14ac:dyDescent="0.2">
      <c r="V3205" s="180" t="str">
        <f t="shared" si="57"/>
        <v>1w</v>
      </c>
      <c r="W3205" s="177">
        <f>_xll.qlCalendarAdvance(Calendar,W3204,V3205,"f",FALSE)</f>
        <v>61428</v>
      </c>
      <c r="X3205" s="181">
        <f>_xll.qlCalendarAdvance(Calendar,W3205,NDays&amp;"D")</f>
        <v>61430</v>
      </c>
      <c r="Y3205" s="178">
        <v>2.0139166270105445E-2</v>
      </c>
      <c r="Z3205" s="183">
        <v>1.9880644840455375E-2</v>
      </c>
    </row>
    <row r="3206" spans="22:26" x14ac:dyDescent="0.2">
      <c r="V3206" s="180" t="str">
        <f t="shared" si="57"/>
        <v>1w</v>
      </c>
      <c r="W3206" s="177">
        <f>_xll.qlCalendarAdvance(Calendar,W3205,V3206,"f",FALSE)</f>
        <v>61435</v>
      </c>
      <c r="X3206" s="181">
        <f>_xll.qlCalendarAdvance(Calendar,W3206,NDays&amp;"D")</f>
        <v>61437</v>
      </c>
      <c r="Y3206" s="178">
        <v>2.0141311530885862E-2</v>
      </c>
      <c r="Z3206" s="183">
        <v>1.9882917579652215E-2</v>
      </c>
    </row>
    <row r="3207" spans="22:26" x14ac:dyDescent="0.2">
      <c r="V3207" s="180" t="str">
        <f t="shared" si="57"/>
        <v>1w</v>
      </c>
      <c r="W3207" s="177">
        <f>_xll.qlCalendarAdvance(Calendar,W3206,V3207,"f",FALSE)</f>
        <v>61442</v>
      </c>
      <c r="X3207" s="181">
        <f>_xll.qlCalendarAdvance(Calendar,W3207,NDays&amp;"D")</f>
        <v>61444</v>
      </c>
      <c r="Y3207" s="178">
        <v>2.0143450113161512E-2</v>
      </c>
      <c r="Z3207" s="183">
        <v>1.9885183768888481E-2</v>
      </c>
    </row>
    <row r="3208" spans="22:26" x14ac:dyDescent="0.2">
      <c r="V3208" s="180" t="str">
        <f t="shared" si="57"/>
        <v>1w</v>
      </c>
      <c r="W3208" s="177">
        <f>_xll.qlCalendarAdvance(Calendar,W3207,V3208,"f",FALSE)</f>
        <v>61449</v>
      </c>
      <c r="X3208" s="181">
        <f>_xll.qlCalendarAdvance(Calendar,W3208,NDays&amp;"D")</f>
        <v>61451</v>
      </c>
      <c r="Y3208" s="178">
        <v>2.0145582016891008E-2</v>
      </c>
      <c r="Z3208" s="183">
        <v>1.9887443408563854E-2</v>
      </c>
    </row>
    <row r="3209" spans="22:26" x14ac:dyDescent="0.2">
      <c r="V3209" s="180" t="str">
        <f t="shared" si="57"/>
        <v>1w</v>
      </c>
      <c r="W3209" s="177">
        <f>_xll.qlCalendarAdvance(Calendar,W3208,V3209,"f",FALSE)</f>
        <v>61456</v>
      </c>
      <c r="X3209" s="181">
        <f>_xll.qlCalendarAdvance(Calendar,W3209,NDays&amp;"D")</f>
        <v>61458</v>
      </c>
      <c r="Y3209" s="178">
        <v>2.014770724203099E-2</v>
      </c>
      <c r="Z3209" s="183">
        <v>1.9889696498678333E-2</v>
      </c>
    </row>
    <row r="3210" spans="22:26" x14ac:dyDescent="0.2">
      <c r="V3210" s="180" t="str">
        <f t="shared" si="57"/>
        <v>1w</v>
      </c>
      <c r="W3210" s="177">
        <f>_xll.qlCalendarAdvance(Calendar,W3209,V3210,"f",FALSE)</f>
        <v>61463</v>
      </c>
      <c r="X3210" s="181">
        <f>_xll.qlCalendarAdvance(Calendar,W3210,NDays&amp;"D")</f>
        <v>61465</v>
      </c>
      <c r="Y3210" s="178">
        <v>2.0152653907656373E-2</v>
      </c>
      <c r="Z3210" s="183">
        <v>1.9891943039072046E-2</v>
      </c>
    </row>
    <row r="3211" spans="22:26" x14ac:dyDescent="0.2">
      <c r="V3211" s="180" t="str">
        <f t="shared" si="57"/>
        <v>1w</v>
      </c>
      <c r="W3211" s="177">
        <f>_xll.qlCalendarAdvance(Calendar,W3210,V3211,"f",FALSE)</f>
        <v>61470</v>
      </c>
      <c r="X3211" s="181">
        <f>_xll.qlCalendarAdvance(Calendar,W3211,NDays&amp;"D")</f>
        <v>61472</v>
      </c>
      <c r="Y3211" s="178">
        <v>2.01519376563753E-2</v>
      </c>
      <c r="Z3211" s="183">
        <v>1.9897020722689618E-2</v>
      </c>
    </row>
    <row r="3212" spans="22:26" x14ac:dyDescent="0.2">
      <c r="V3212" s="180" t="str">
        <f t="shared" si="57"/>
        <v>1w</v>
      </c>
      <c r="W3212" s="177">
        <f>_xll.qlCalendarAdvance(Calendar,W3211,V3212,"f",FALSE)</f>
        <v>61477</v>
      </c>
      <c r="X3212" s="181">
        <f>_xll.qlCalendarAdvance(Calendar,W3212,NDays&amp;"D")</f>
        <v>61479</v>
      </c>
      <c r="Y3212" s="178">
        <v>2.0154042845494657E-2</v>
      </c>
      <c r="Z3212" s="183">
        <v>1.9896416470777112E-2</v>
      </c>
    </row>
    <row r="3213" spans="22:26" x14ac:dyDescent="0.2">
      <c r="V3213" s="180" t="str">
        <f t="shared" si="57"/>
        <v>1w</v>
      </c>
      <c r="W3213" s="177">
        <f>_xll.qlCalendarAdvance(Calendar,W3212,V3213,"f",FALSE)</f>
        <v>61485</v>
      </c>
      <c r="X3213" s="181">
        <f>_xll.qlCalendarAdvance(Calendar,W3213,NDays&amp;"D")</f>
        <v>61487</v>
      </c>
      <c r="Y3213" s="178">
        <v>2.0157852408478397E-2</v>
      </c>
      <c r="Z3213" s="183">
        <v>1.9900378337558422E-2</v>
      </c>
    </row>
    <row r="3214" spans="22:26" x14ac:dyDescent="0.2">
      <c r="V3214" s="180" t="str">
        <f t="shared" si="57"/>
        <v>1w</v>
      </c>
      <c r="W3214" s="177">
        <f>_xll.qlCalendarAdvance(Calendar,W3213,V3214,"f",FALSE)</f>
        <v>61492</v>
      </c>
      <c r="X3214" s="181">
        <f>_xll.qlCalendarAdvance(Calendar,W3214,NDays&amp;"D")</f>
        <v>61494</v>
      </c>
      <c r="Y3214" s="178">
        <v>2.0159942563486379E-2</v>
      </c>
      <c r="Z3214" s="183">
        <v>1.9902597053222948E-2</v>
      </c>
    </row>
    <row r="3215" spans="22:26" x14ac:dyDescent="0.2">
      <c r="V3215" s="180" t="str">
        <f t="shared" si="57"/>
        <v>1w</v>
      </c>
      <c r="W3215" s="177">
        <f>_xll.qlCalendarAdvance(Calendar,W3214,V3215,"f",FALSE)</f>
        <v>61499</v>
      </c>
      <c r="X3215" s="181">
        <f>_xll.qlCalendarAdvance(Calendar,W3215,NDays&amp;"D")</f>
        <v>61501</v>
      </c>
      <c r="Y3215" s="178">
        <v>2.0162026038925199E-2</v>
      </c>
      <c r="Z3215" s="183">
        <v>1.990480921852722E-2</v>
      </c>
    </row>
    <row r="3216" spans="22:26" x14ac:dyDescent="0.2">
      <c r="V3216" s="180" t="str">
        <f t="shared" si="57"/>
        <v>1w</v>
      </c>
      <c r="W3216" s="177">
        <f>_xll.qlCalendarAdvance(Calendar,W3215,V3216,"f",FALSE)</f>
        <v>61506</v>
      </c>
      <c r="X3216" s="181">
        <f>_xll.qlCalendarAdvance(Calendar,W3216,NDays&amp;"D")</f>
        <v>61508</v>
      </c>
      <c r="Y3216" s="178">
        <v>2.016410283475174E-2</v>
      </c>
      <c r="Z3216" s="183">
        <v>1.9907014833417946E-2</v>
      </c>
    </row>
    <row r="3217" spans="22:26" x14ac:dyDescent="0.2">
      <c r="V3217" s="180" t="str">
        <f t="shared" si="57"/>
        <v>1w</v>
      </c>
      <c r="W3217" s="177">
        <f>_xll.qlCalendarAdvance(Calendar,W3216,V3217,"f",FALSE)</f>
        <v>61513</v>
      </c>
      <c r="X3217" s="181">
        <f>_xll.qlCalendarAdvance(Calendar,W3217,NDays&amp;"D")</f>
        <v>61515</v>
      </c>
      <c r="Y3217" s="178">
        <v>2.0166172950925914E-2</v>
      </c>
      <c r="Z3217" s="183">
        <v>1.990921389800171E-2</v>
      </c>
    </row>
    <row r="3218" spans="22:26" x14ac:dyDescent="0.2">
      <c r="V3218" s="180" t="str">
        <f t="shared" si="57"/>
        <v>1w</v>
      </c>
      <c r="W3218" s="177">
        <f>_xll.qlCalendarAdvance(Calendar,W3217,V3218,"f",FALSE)</f>
        <v>61520</v>
      </c>
      <c r="X3218" s="181">
        <f>_xll.qlCalendarAdvance(Calendar,W3218,NDays&amp;"D")</f>
        <v>61522</v>
      </c>
      <c r="Y3218" s="178">
        <v>2.0168236387405034E-2</v>
      </c>
      <c r="Z3218" s="183">
        <v>1.9911406412198573E-2</v>
      </c>
    </row>
    <row r="3219" spans="22:26" x14ac:dyDescent="0.2">
      <c r="V3219" s="180" t="str">
        <f t="shared" si="57"/>
        <v>1w</v>
      </c>
      <c r="W3219" s="177">
        <f>_xll.qlCalendarAdvance(Calendar,W3218,V3219,"f",FALSE)</f>
        <v>61527</v>
      </c>
      <c r="X3219" s="181">
        <f>_xll.qlCalendarAdvance(Calendar,W3219,NDays&amp;"D")</f>
        <v>61529</v>
      </c>
      <c r="Y3219" s="178">
        <v>2.0170293144149243E-2</v>
      </c>
      <c r="Z3219" s="183">
        <v>1.9913592376061828E-2</v>
      </c>
    </row>
    <row r="3220" spans="22:26" x14ac:dyDescent="0.2">
      <c r="V3220" s="180" t="str">
        <f t="shared" si="57"/>
        <v>1w</v>
      </c>
      <c r="W3220" s="177">
        <f>_xll.qlCalendarAdvance(Calendar,W3219,V3220,"f",FALSE)</f>
        <v>61534</v>
      </c>
      <c r="X3220" s="181">
        <f>_xll.qlCalendarAdvance(Calendar,W3220,NDays&amp;"D")</f>
        <v>61536</v>
      </c>
      <c r="Y3220" s="178">
        <v>2.017234322111585E-2</v>
      </c>
      <c r="Z3220" s="183">
        <v>1.9915771789484893E-2</v>
      </c>
    </row>
    <row r="3221" spans="22:26" x14ac:dyDescent="0.2">
      <c r="V3221" s="180" t="str">
        <f t="shared" ref="V3221:V3284" si="58">V3220</f>
        <v>1w</v>
      </c>
      <c r="W3221" s="177">
        <f>_xll.qlCalendarAdvance(Calendar,W3220,V3221,"f",FALSE)</f>
        <v>61541</v>
      </c>
      <c r="X3221" s="181">
        <f>_xll.qlCalendarAdvance(Calendar,W3221,NDays&amp;"D")</f>
        <v>61543</v>
      </c>
      <c r="Y3221" s="178">
        <v>2.01722775885168E-2</v>
      </c>
      <c r="Z3221" s="183">
        <v>1.9917944652574349E-2</v>
      </c>
    </row>
    <row r="3222" spans="22:26" x14ac:dyDescent="0.2">
      <c r="V3222" s="180" t="str">
        <f t="shared" si="58"/>
        <v>1w</v>
      </c>
      <c r="W3222" s="177">
        <f>_xll.qlCalendarAdvance(Calendar,W3221,V3222,"f",FALSE)</f>
        <v>61548</v>
      </c>
      <c r="X3222" s="181">
        <f>_xll.qlCalendarAdvance(Calendar,W3222,NDays&amp;"D")</f>
        <v>61550</v>
      </c>
      <c r="Y3222" s="178">
        <v>2.0176423335554639E-2</v>
      </c>
      <c r="Z3222" s="183">
        <v>1.9920110965330196E-2</v>
      </c>
    </row>
    <row r="3223" spans="22:26" x14ac:dyDescent="0.2">
      <c r="V3223" s="180" t="str">
        <f t="shared" si="58"/>
        <v>1w</v>
      </c>
      <c r="W3223" s="177">
        <f>_xll.qlCalendarAdvance(Calendar,W3222,V3223,"f",FALSE)</f>
        <v>61555</v>
      </c>
      <c r="X3223" s="181">
        <f>_xll.qlCalendarAdvance(Calendar,W3223,NDays&amp;"D")</f>
        <v>61557</v>
      </c>
      <c r="Y3223" s="178">
        <v>2.0178453372944924E-2</v>
      </c>
      <c r="Z3223" s="183">
        <v>1.9922270727645852E-2</v>
      </c>
    </row>
    <row r="3224" spans="22:26" x14ac:dyDescent="0.2">
      <c r="V3224" s="180" t="str">
        <f t="shared" si="58"/>
        <v>1w</v>
      </c>
      <c r="W3224" s="177">
        <f>_xll.qlCalendarAdvance(Calendar,W3223,V3224,"f",FALSE)</f>
        <v>61562</v>
      </c>
      <c r="X3224" s="181">
        <f>_xll.qlCalendarAdvance(Calendar,W3224,NDays&amp;"D")</f>
        <v>61564</v>
      </c>
      <c r="Y3224" s="178">
        <v>2.0180476730394904E-2</v>
      </c>
      <c r="Z3224" s="183">
        <v>1.9924423939707836E-2</v>
      </c>
    </row>
    <row r="3225" spans="22:26" x14ac:dyDescent="0.2">
      <c r="V3225" s="180" t="str">
        <f t="shared" si="58"/>
        <v>1w</v>
      </c>
      <c r="W3225" s="177">
        <f>_xll.qlCalendarAdvance(Calendar,W3224,V3225,"f",FALSE)</f>
        <v>61569</v>
      </c>
      <c r="X3225" s="181">
        <f>_xll.qlCalendarAdvance(Calendar,W3225,NDays&amp;"D")</f>
        <v>61571</v>
      </c>
      <c r="Y3225" s="178">
        <v>2.0182493407863846E-2</v>
      </c>
      <c r="Z3225" s="183">
        <v>1.992657060132963E-2</v>
      </c>
    </row>
    <row r="3226" spans="22:26" x14ac:dyDescent="0.2">
      <c r="V3226" s="180" t="str">
        <f t="shared" si="58"/>
        <v>1w</v>
      </c>
      <c r="W3226" s="177">
        <f>_xll.qlCalendarAdvance(Calendar,W3225,V3226,"f",FALSE)</f>
        <v>61576</v>
      </c>
      <c r="X3226" s="181">
        <f>_xll.qlCalendarAdvance(Calendar,W3226,NDays&amp;"D")</f>
        <v>61578</v>
      </c>
      <c r="Y3226" s="178">
        <v>2.0184503405311457E-2</v>
      </c>
      <c r="Z3226" s="183">
        <v>1.9928710712564524E-2</v>
      </c>
    </row>
    <row r="3227" spans="22:26" x14ac:dyDescent="0.2">
      <c r="V3227" s="180" t="str">
        <f t="shared" si="58"/>
        <v>1w</v>
      </c>
      <c r="W3227" s="177">
        <f>_xll.qlCalendarAdvance(Calendar,W3226,V3227,"f",FALSE)</f>
        <v>61583</v>
      </c>
      <c r="X3227" s="181">
        <f>_xll.qlCalendarAdvance(Calendar,W3227,NDays&amp;"D")</f>
        <v>61585</v>
      </c>
      <c r="Y3227" s="178">
        <v>2.0186506722698096E-2</v>
      </c>
      <c r="Z3227" s="183">
        <v>1.9930844273492454E-2</v>
      </c>
    </row>
    <row r="3228" spans="22:26" x14ac:dyDescent="0.2">
      <c r="V3228" s="180" t="str">
        <f t="shared" si="58"/>
        <v>1w</v>
      </c>
      <c r="W3228" s="177">
        <f>_xll.qlCalendarAdvance(Calendar,W3227,V3228,"f",FALSE)</f>
        <v>61590</v>
      </c>
      <c r="X3228" s="181">
        <f>_xll.qlCalendarAdvance(Calendar,W3228,NDays&amp;"D")</f>
        <v>61592</v>
      </c>
      <c r="Y3228" s="178">
        <v>2.0188503359982377E-2</v>
      </c>
      <c r="Z3228" s="183">
        <v>1.993297128400684E-2</v>
      </c>
    </row>
    <row r="3229" spans="22:26" x14ac:dyDescent="0.2">
      <c r="V3229" s="180" t="str">
        <f t="shared" si="58"/>
        <v>1w</v>
      </c>
      <c r="W3229" s="177">
        <f>_xll.qlCalendarAdvance(Calendar,W3228,V3229,"f",FALSE)</f>
        <v>61597</v>
      </c>
      <c r="X3229" s="181">
        <f>_xll.qlCalendarAdvance(Calendar,W3229,NDays&amp;"D")</f>
        <v>61599</v>
      </c>
      <c r="Y3229" s="178">
        <v>2.0190493317125312E-2</v>
      </c>
      <c r="Z3229" s="183">
        <v>1.9935091744187616E-2</v>
      </c>
    </row>
    <row r="3230" spans="22:26" x14ac:dyDescent="0.2">
      <c r="V3230" s="180" t="str">
        <f t="shared" si="58"/>
        <v>1w</v>
      </c>
      <c r="W3230" s="177">
        <f>_xll.qlCalendarAdvance(Calendar,W3229,V3230,"f",FALSE)</f>
        <v>61604</v>
      </c>
      <c r="X3230" s="181">
        <f>_xll.qlCalendarAdvance(Calendar,W3230,NDays&amp;"D")</f>
        <v>61606</v>
      </c>
      <c r="Y3230" s="178">
        <v>2.0190377433891373E-2</v>
      </c>
      <c r="Z3230" s="183">
        <v>1.9937205653954848E-2</v>
      </c>
    </row>
    <row r="3231" spans="22:26" x14ac:dyDescent="0.2">
      <c r="V3231" s="180" t="str">
        <f t="shared" si="58"/>
        <v>1w</v>
      </c>
      <c r="W3231" s="177">
        <f>_xll.qlCalendarAdvance(Calendar,W3230,V3231,"f",FALSE)</f>
        <v>61611</v>
      </c>
      <c r="X3231" s="181">
        <f>_xll.qlCalendarAdvance(Calendar,W3231,NDays&amp;"D")</f>
        <v>61613</v>
      </c>
      <c r="Y3231" s="178">
        <v>2.0194453190827279E-2</v>
      </c>
      <c r="Z3231" s="183">
        <v>1.9939313013388471E-2</v>
      </c>
    </row>
    <row r="3232" spans="22:26" x14ac:dyDescent="0.2">
      <c r="V3232" s="180" t="str">
        <f t="shared" si="58"/>
        <v>1w</v>
      </c>
      <c r="W3232" s="177">
        <f>_xll.qlCalendarAdvance(Calendar,W3231,V3232,"f",FALSE)</f>
        <v>61618</v>
      </c>
      <c r="X3232" s="181">
        <f>_xll.qlCalendarAdvance(Calendar,W3232,NDays&amp;"D")</f>
        <v>61620</v>
      </c>
      <c r="Y3232" s="178">
        <v>2.0196423107306811E-2</v>
      </c>
      <c r="Z3232" s="183">
        <v>1.9941413822435194E-2</v>
      </c>
    </row>
    <row r="3233" spans="22:26" x14ac:dyDescent="0.2">
      <c r="V3233" s="180" t="str">
        <f t="shared" si="58"/>
        <v>1w</v>
      </c>
      <c r="W3233" s="177">
        <f>_xll.qlCalendarAdvance(Calendar,W3232,V3233,"f",FALSE)</f>
        <v>61625</v>
      </c>
      <c r="X3233" s="181">
        <f>_xll.qlCalendarAdvance(Calendar,W3233,NDays&amp;"D")</f>
        <v>61627</v>
      </c>
      <c r="Y3233" s="178">
        <v>2.0198386343485992E-2</v>
      </c>
      <c r="Z3233" s="183">
        <v>1.9943508081095018E-2</v>
      </c>
    </row>
    <row r="3234" spans="22:26" x14ac:dyDescent="0.2">
      <c r="V3234" s="180" t="str">
        <f t="shared" si="58"/>
        <v>1w</v>
      </c>
      <c r="W3234" s="177">
        <f>_xll.qlCalendarAdvance(Calendar,W3233,V3234,"f",FALSE)</f>
        <v>61632</v>
      </c>
      <c r="X3234" s="181">
        <f>_xll.qlCalendarAdvance(Calendar,W3234,NDays&amp;"D")</f>
        <v>61634</v>
      </c>
      <c r="Y3234" s="178">
        <v>2.0200342899325843E-2</v>
      </c>
      <c r="Z3234" s="183">
        <v>1.9945595789421233E-2</v>
      </c>
    </row>
    <row r="3235" spans="22:26" x14ac:dyDescent="0.2">
      <c r="V3235" s="180" t="str">
        <f t="shared" si="58"/>
        <v>1w</v>
      </c>
      <c r="W3235" s="177">
        <f>_xll.qlCalendarAdvance(Calendar,W3234,V3235,"f",FALSE)</f>
        <v>61639</v>
      </c>
      <c r="X3235" s="181">
        <f>_xll.qlCalendarAdvance(Calendar,W3235,NDays&amp;"D")</f>
        <v>61641</v>
      </c>
      <c r="Y3235" s="178">
        <v>2.0202292774786936E-2</v>
      </c>
      <c r="Z3235" s="183">
        <v>1.9947676947333903E-2</v>
      </c>
    </row>
    <row r="3236" spans="22:26" x14ac:dyDescent="0.2">
      <c r="V3236" s="180" t="str">
        <f t="shared" si="58"/>
        <v>1w</v>
      </c>
      <c r="W3236" s="177">
        <f>_xll.qlCalendarAdvance(Calendar,W3235,V3236,"f",FALSE)</f>
        <v>61646</v>
      </c>
      <c r="X3236" s="181">
        <f>_xll.qlCalendarAdvance(Calendar,W3236,NDays&amp;"D")</f>
        <v>61648</v>
      </c>
      <c r="Y3236" s="178">
        <v>2.0204235969830068E-2</v>
      </c>
      <c r="Z3236" s="183">
        <v>1.9949751554912964E-2</v>
      </c>
    </row>
    <row r="3237" spans="22:26" x14ac:dyDescent="0.2">
      <c r="V3237" s="180" t="str">
        <f t="shared" si="58"/>
        <v>1w</v>
      </c>
      <c r="W3237" s="177">
        <f>_xll.qlCalendarAdvance(Calendar,W3236,V3237,"f",FALSE)</f>
        <v>61653</v>
      </c>
      <c r="X3237" s="181">
        <f>_xll.qlCalendarAdvance(Calendar,W3237,NDays&amp;"D")</f>
        <v>61655</v>
      </c>
      <c r="Y3237" s="178">
        <v>2.0206172484416685E-2</v>
      </c>
      <c r="Z3237" s="183">
        <v>1.9951819612131771E-2</v>
      </c>
    </row>
    <row r="3238" spans="22:26" x14ac:dyDescent="0.2">
      <c r="V3238" s="180" t="str">
        <f t="shared" si="58"/>
        <v>1w</v>
      </c>
      <c r="W3238" s="177">
        <f>_xll.qlCalendarAdvance(Calendar,W3237,V3238,"f",FALSE)</f>
        <v>61660</v>
      </c>
      <c r="X3238" s="181">
        <f>_xll.qlCalendarAdvance(Calendar,W3238,NDays&amp;"D")</f>
        <v>61662</v>
      </c>
      <c r="Y3238" s="178">
        <v>2.020810231850758E-2</v>
      </c>
      <c r="Z3238" s="183">
        <v>1.9953881118883743E-2</v>
      </c>
    </row>
    <row r="3239" spans="22:26" x14ac:dyDescent="0.2">
      <c r="V3239" s="180" t="str">
        <f t="shared" si="58"/>
        <v>1w</v>
      </c>
      <c r="W3239" s="177">
        <f>_xll.qlCalendarAdvance(Calendar,W3238,V3239,"f",FALSE)</f>
        <v>61667</v>
      </c>
      <c r="X3239" s="181">
        <f>_xll.qlCalendarAdvance(Calendar,W3239,NDays&amp;"D")</f>
        <v>61669</v>
      </c>
      <c r="Y3239" s="178">
        <v>2.0210025472064855E-2</v>
      </c>
      <c r="Z3239" s="183">
        <v>1.9955936075355396E-2</v>
      </c>
    </row>
    <row r="3240" spans="22:26" x14ac:dyDescent="0.2">
      <c r="V3240" s="180" t="str">
        <f t="shared" si="58"/>
        <v>1w</v>
      </c>
      <c r="W3240" s="177">
        <f>_xll.qlCalendarAdvance(Calendar,W3239,V3240,"f",FALSE)</f>
        <v>61674</v>
      </c>
      <c r="X3240" s="181">
        <f>_xll.qlCalendarAdvance(Calendar,W3240,NDays&amp;"D")</f>
        <v>61676</v>
      </c>
      <c r="Y3240" s="178">
        <v>2.0211941945049088E-2</v>
      </c>
      <c r="Z3240" s="183">
        <v>1.995798448144015E-2</v>
      </c>
    </row>
    <row r="3241" spans="22:26" x14ac:dyDescent="0.2">
      <c r="V3241" s="180" t="str">
        <f t="shared" si="58"/>
        <v>1w</v>
      </c>
      <c r="W3241" s="177">
        <f>_xll.qlCalendarAdvance(Calendar,W3240,V3241,"f",FALSE)</f>
        <v>61681</v>
      </c>
      <c r="X3241" s="181">
        <f>_xll.qlCalendarAdvance(Calendar,W3241,NDays&amp;"D")</f>
        <v>61683</v>
      </c>
      <c r="Y3241" s="178">
        <v>2.0213851737422597E-2</v>
      </c>
      <c r="Z3241" s="183">
        <v>1.9960026337164649E-2</v>
      </c>
    </row>
    <row r="3242" spans="22:26" x14ac:dyDescent="0.2">
      <c r="V3242" s="180" t="str">
        <f t="shared" si="58"/>
        <v>1w</v>
      </c>
      <c r="W3242" s="177">
        <f>_xll.qlCalendarAdvance(Calendar,W3241,V3242,"f",FALSE)</f>
        <v>61688</v>
      </c>
      <c r="X3242" s="181">
        <f>_xll.qlCalendarAdvance(Calendar,W3242,NDays&amp;"D")</f>
        <v>61690</v>
      </c>
      <c r="Y3242" s="178">
        <v>2.0215754849146828E-2</v>
      </c>
      <c r="Z3242" s="183">
        <v>1.9962061642502249E-2</v>
      </c>
    </row>
    <row r="3243" spans="22:26" x14ac:dyDescent="0.2">
      <c r="V3243" s="180" t="str">
        <f t="shared" si="58"/>
        <v>1w</v>
      </c>
      <c r="W3243" s="177">
        <f>_xll.qlCalendarAdvance(Calendar,W3242,V3243,"f",FALSE)</f>
        <v>61695</v>
      </c>
      <c r="X3243" s="181">
        <f>_xll.qlCalendarAdvance(Calendar,W3243,NDays&amp;"D")</f>
        <v>61697</v>
      </c>
      <c r="Y3243" s="178">
        <v>2.0215566531780204E-2</v>
      </c>
      <c r="Z3243" s="183">
        <v>1.9964090397479595E-2</v>
      </c>
    </row>
    <row r="3244" spans="22:26" x14ac:dyDescent="0.2">
      <c r="V3244" s="180" t="str">
        <f t="shared" si="58"/>
        <v>1w</v>
      </c>
      <c r="W3244" s="177">
        <f>_xll.qlCalendarAdvance(Calendar,W3243,V3244,"f",FALSE)</f>
        <v>61702</v>
      </c>
      <c r="X3244" s="181">
        <f>_xll.qlCalendarAdvance(Calendar,W3244,NDays&amp;"D")</f>
        <v>61704</v>
      </c>
      <c r="Y3244" s="178">
        <v>2.0219541030494999E-2</v>
      </c>
      <c r="Z3244" s="183">
        <v>1.9966112602043395E-2</v>
      </c>
    </row>
    <row r="3245" spans="22:26" x14ac:dyDescent="0.2">
      <c r="V3245" s="180" t="str">
        <f t="shared" si="58"/>
        <v>1w</v>
      </c>
      <c r="W3245" s="177">
        <f>_xll.qlCalendarAdvance(Calendar,W3244,V3245,"f",FALSE)</f>
        <v>61709</v>
      </c>
      <c r="X3245" s="181">
        <f>_xll.qlCalendarAdvance(Calendar,W3245,NDays&amp;"D")</f>
        <v>61711</v>
      </c>
      <c r="Y3245" s="178">
        <v>2.0221424100043139E-2</v>
      </c>
      <c r="Z3245" s="183">
        <v>1.9968128256220297E-2</v>
      </c>
    </row>
    <row r="3246" spans="22:26" x14ac:dyDescent="0.2">
      <c r="V3246" s="180" t="str">
        <f t="shared" si="58"/>
        <v>1w</v>
      </c>
      <c r="W3246" s="177">
        <f>_xll.qlCalendarAdvance(Calendar,W3245,V3246,"f",FALSE)</f>
        <v>61716</v>
      </c>
      <c r="X3246" s="181">
        <f>_xll.qlCalendarAdvance(Calendar,W3246,NDays&amp;"D")</f>
        <v>61718</v>
      </c>
      <c r="Y3246" s="178">
        <v>2.0223300488790626E-2</v>
      </c>
      <c r="Z3246" s="183">
        <v>1.9970137360063589E-2</v>
      </c>
    </row>
    <row r="3247" spans="22:26" x14ac:dyDescent="0.2">
      <c r="V3247" s="180" t="str">
        <f t="shared" si="58"/>
        <v>1w</v>
      </c>
      <c r="W3247" s="177">
        <f>_xll.qlCalendarAdvance(Calendar,W3246,V3247,"f",FALSE)</f>
        <v>61724</v>
      </c>
      <c r="X3247" s="181">
        <f>_xll.qlCalendarAdvance(Calendar,W3247,NDays&amp;"D")</f>
        <v>61728</v>
      </c>
      <c r="Y3247" s="178">
        <v>2.0224582933904892E-2</v>
      </c>
      <c r="Z3247" s="183">
        <v>1.9972299544122052E-2</v>
      </c>
    </row>
    <row r="3248" spans="22:26" x14ac:dyDescent="0.2">
      <c r="V3248" s="180" t="str">
        <f t="shared" si="58"/>
        <v>1w</v>
      </c>
      <c r="W3248" s="177">
        <f>_xll.qlCalendarAdvance(Calendar,W3247,V3248,"f",FALSE)</f>
        <v>61731</v>
      </c>
      <c r="X3248" s="181">
        <f>_xll.qlCalendarAdvance(Calendar,W3248,NDays&amp;"D")</f>
        <v>61735</v>
      </c>
      <c r="Y3248" s="178">
        <v>2.0226443845129019E-2</v>
      </c>
      <c r="Z3248" s="183">
        <v>1.9973596844788943E-2</v>
      </c>
    </row>
    <row r="3249" spans="22:26" x14ac:dyDescent="0.2">
      <c r="V3249" s="180" t="str">
        <f t="shared" si="58"/>
        <v>1w</v>
      </c>
      <c r="W3249" s="177">
        <f>_xll.qlCalendarAdvance(Calendar,W3248,V3249,"f",FALSE)</f>
        <v>61738</v>
      </c>
      <c r="X3249" s="181">
        <f>_xll.qlCalendarAdvance(Calendar,W3249,NDays&amp;"D")</f>
        <v>61742</v>
      </c>
      <c r="Y3249" s="178">
        <v>2.0228298076153523E-2</v>
      </c>
      <c r="Z3249" s="183">
        <v>1.9975584205385033E-2</v>
      </c>
    </row>
    <row r="3250" spans="22:26" x14ac:dyDescent="0.2">
      <c r="V3250" s="180" t="str">
        <f t="shared" si="58"/>
        <v>1w</v>
      </c>
      <c r="W3250" s="177">
        <f>_xll.qlCalendarAdvance(Calendar,W3249,V3250,"f",FALSE)</f>
        <v>61745</v>
      </c>
      <c r="X3250" s="181">
        <f>_xll.qlCalendarAdvance(Calendar,W3250,NDays&amp;"D")</f>
        <v>61749</v>
      </c>
      <c r="Y3250" s="178">
        <v>2.0230145626941389E-2</v>
      </c>
      <c r="Z3250" s="183">
        <v>1.9977565016340293E-2</v>
      </c>
    </row>
    <row r="3251" spans="22:26" x14ac:dyDescent="0.2">
      <c r="V3251" s="180" t="str">
        <f t="shared" si="58"/>
        <v>1w</v>
      </c>
      <c r="W3251" s="177">
        <f>_xll.qlCalendarAdvance(Calendar,W3250,V3251,"f",FALSE)</f>
        <v>61752</v>
      </c>
      <c r="X3251" s="181">
        <f>_xll.qlCalendarAdvance(Calendar,W3251,NDays&amp;"D")</f>
        <v>61756</v>
      </c>
      <c r="Y3251" s="178">
        <v>2.0231986497456046E-2</v>
      </c>
      <c r="Z3251" s="183">
        <v>1.9979539277734659E-2</v>
      </c>
    </row>
    <row r="3252" spans="22:26" x14ac:dyDescent="0.2">
      <c r="V3252" s="180" t="str">
        <f t="shared" si="58"/>
        <v>1w</v>
      </c>
      <c r="W3252" s="177">
        <f>_xll.qlCalendarAdvance(Calendar,W3251,V3252,"f",FALSE)</f>
        <v>61759</v>
      </c>
      <c r="X3252" s="181">
        <f>_xll.qlCalendarAdvance(Calendar,W3252,NDays&amp;"D")</f>
        <v>61763</v>
      </c>
      <c r="Y3252" s="178">
        <v>2.0233820687660477E-2</v>
      </c>
      <c r="Z3252" s="183">
        <v>1.9981506989328324E-2</v>
      </c>
    </row>
    <row r="3253" spans="22:26" x14ac:dyDescent="0.2">
      <c r="V3253" s="180" t="str">
        <f t="shared" si="58"/>
        <v>1w</v>
      </c>
      <c r="W3253" s="177">
        <f>_xll.qlCalendarAdvance(Calendar,W3252,V3253,"f",FALSE)</f>
        <v>61766</v>
      </c>
      <c r="X3253" s="181">
        <f>_xll.qlCalendarAdvance(Calendar,W3253,NDays&amp;"D")</f>
        <v>61770</v>
      </c>
      <c r="Y3253" s="178">
        <v>2.023564819751833E-2</v>
      </c>
      <c r="Z3253" s="183">
        <v>1.9983468151201222E-2</v>
      </c>
    </row>
    <row r="3254" spans="22:26" x14ac:dyDescent="0.2">
      <c r="V3254" s="180" t="str">
        <f t="shared" si="58"/>
        <v>1w</v>
      </c>
      <c r="W3254" s="177">
        <f>_xll.qlCalendarAdvance(Calendar,W3253,V3254,"f",FALSE)</f>
        <v>61773</v>
      </c>
      <c r="X3254" s="181">
        <f>_xll.qlCalendarAdvance(Calendar,W3254,NDays&amp;"D")</f>
        <v>61777</v>
      </c>
      <c r="Y3254" s="178">
        <v>2.0237469026993693E-2</v>
      </c>
      <c r="Z3254" s="183">
        <v>1.9985422763513228E-2</v>
      </c>
    </row>
    <row r="3255" spans="22:26" x14ac:dyDescent="0.2">
      <c r="V3255" s="180" t="str">
        <f t="shared" si="58"/>
        <v>1w</v>
      </c>
      <c r="W3255" s="177">
        <f>_xll.qlCalendarAdvance(Calendar,W3254,V3255,"f",FALSE)</f>
        <v>61780</v>
      </c>
      <c r="X3255" s="181">
        <f>_xll.qlCalendarAdvance(Calendar,W3255,NDays&amp;"D")</f>
        <v>61784</v>
      </c>
      <c r="Y3255" s="178">
        <v>2.0239283176049328E-2</v>
      </c>
      <c r="Z3255" s="183">
        <v>1.9987370826184403E-2</v>
      </c>
    </row>
    <row r="3256" spans="22:26" x14ac:dyDescent="0.2">
      <c r="V3256" s="180" t="str">
        <f t="shared" si="58"/>
        <v>1w</v>
      </c>
      <c r="W3256" s="177">
        <f>_xll.qlCalendarAdvance(Calendar,W3255,V3256,"f",FALSE)</f>
        <v>61787</v>
      </c>
      <c r="X3256" s="181">
        <f>_xll.qlCalendarAdvance(Calendar,W3256,NDays&amp;"D")</f>
        <v>61791</v>
      </c>
      <c r="Y3256" s="178">
        <v>2.0241090644649982E-2</v>
      </c>
      <c r="Z3256" s="183">
        <v>1.9989312339054877E-2</v>
      </c>
    </row>
    <row r="3257" spans="22:26" x14ac:dyDescent="0.2">
      <c r="V3257" s="180" t="str">
        <f t="shared" si="58"/>
        <v>1w</v>
      </c>
      <c r="W3257" s="177">
        <f>_xll.qlCalendarAdvance(Calendar,W3256,V3257,"f",FALSE)</f>
        <v>61794</v>
      </c>
      <c r="X3257" s="181">
        <f>_xll.qlCalendarAdvance(Calendar,W3257,NDays&amp;"D")</f>
        <v>61798</v>
      </c>
      <c r="Y3257" s="178">
        <v>2.0242891432759296E-2</v>
      </c>
      <c r="Z3257" s="183">
        <v>1.9991247302204584E-2</v>
      </c>
    </row>
    <row r="3258" spans="22:26" x14ac:dyDescent="0.2">
      <c r="V3258" s="180" t="str">
        <f t="shared" si="58"/>
        <v>1w</v>
      </c>
      <c r="W3258" s="177">
        <f>_xll.qlCalendarAdvance(Calendar,W3257,V3258,"f",FALSE)</f>
        <v>61801</v>
      </c>
      <c r="X3258" s="181">
        <f>_xll.qlCalendarAdvance(Calendar,W3258,NDays&amp;"D")</f>
        <v>61805</v>
      </c>
      <c r="Y3258" s="178">
        <v>2.0244685540341135E-2</v>
      </c>
      <c r="Z3258" s="183">
        <v>1.9993175715873335E-2</v>
      </c>
    </row>
    <row r="3259" spans="22:26" x14ac:dyDescent="0.2">
      <c r="V3259" s="180" t="str">
        <f t="shared" si="58"/>
        <v>1w</v>
      </c>
      <c r="W3259" s="177">
        <f>_xll.qlCalendarAdvance(Calendar,W3258,V3259,"f",FALSE)</f>
        <v>61808</v>
      </c>
      <c r="X3259" s="181">
        <f>_xll.qlCalendarAdvance(Calendar,W3259,NDays&amp;"D")</f>
        <v>61812</v>
      </c>
      <c r="Y3259" s="178">
        <v>2.0246472967360023E-2</v>
      </c>
      <c r="Z3259" s="183">
        <v>1.9995097579821319E-2</v>
      </c>
    </row>
    <row r="3260" spans="22:26" x14ac:dyDescent="0.2">
      <c r="V3260" s="180" t="str">
        <f t="shared" si="58"/>
        <v>1w</v>
      </c>
      <c r="W3260" s="177">
        <f>_xll.qlCalendarAdvance(Calendar,W3259,V3260,"f",FALSE)</f>
        <v>61815</v>
      </c>
      <c r="X3260" s="181">
        <f>_xll.qlCalendarAdvance(Calendar,W3260,NDays&amp;"D")</f>
        <v>61819</v>
      </c>
      <c r="Y3260" s="178">
        <v>2.0248253713780702E-2</v>
      </c>
      <c r="Z3260" s="183">
        <v>1.9997012893968602E-2</v>
      </c>
    </row>
    <row r="3261" spans="22:26" x14ac:dyDescent="0.2">
      <c r="V3261" s="180" t="str">
        <f t="shared" si="58"/>
        <v>1w</v>
      </c>
      <c r="W3261" s="177">
        <f>_xll.qlCalendarAdvance(Calendar,W3260,V3261,"f",FALSE)</f>
        <v>61822</v>
      </c>
      <c r="X3261" s="181">
        <f>_xll.qlCalendarAdvance(Calendar,W3261,NDays&amp;"D")</f>
        <v>61826</v>
      </c>
      <c r="Y3261" s="178">
        <v>2.0250027779567033E-2</v>
      </c>
      <c r="Z3261" s="183">
        <v>1.9998921658475055E-2</v>
      </c>
    </row>
    <row r="3262" spans="22:26" x14ac:dyDescent="0.2">
      <c r="V3262" s="180" t="str">
        <f t="shared" si="58"/>
        <v>1w</v>
      </c>
      <c r="W3262" s="177">
        <f>_xll.qlCalendarAdvance(Calendar,W3261,V3262,"f",FALSE)</f>
        <v>61829</v>
      </c>
      <c r="X3262" s="181">
        <f>_xll.qlCalendarAdvance(Calendar,W3262,NDays&amp;"D")</f>
        <v>61835</v>
      </c>
      <c r="Y3262" s="178">
        <v>2.0252298904793985E-2</v>
      </c>
      <c r="Z3262" s="183">
        <v>2.0001366160515843E-2</v>
      </c>
    </row>
    <row r="3263" spans="22:26" x14ac:dyDescent="0.2">
      <c r="V3263" s="180" t="str">
        <f t="shared" si="58"/>
        <v>1w</v>
      </c>
      <c r="W3263" s="177">
        <f>_xll.qlCalendarAdvance(Calendar,W3262,V3263,"f",FALSE)</f>
        <v>61836</v>
      </c>
      <c r="X3263" s="181">
        <f>_xll.qlCalendarAdvance(Calendar,W3263,NDays&amp;"D")</f>
        <v>61840</v>
      </c>
      <c r="Y3263" s="178">
        <v>2.0253555869097144E-2</v>
      </c>
      <c r="Z3263" s="183">
        <v>2.000271953880528E-2</v>
      </c>
    </row>
    <row r="3264" spans="22:26" x14ac:dyDescent="0.2">
      <c r="V3264" s="180" t="str">
        <f t="shared" si="58"/>
        <v>1w</v>
      </c>
      <c r="W3264" s="177">
        <f>_xll.qlCalendarAdvance(Calendar,W3263,V3264,"f",FALSE)</f>
        <v>61843</v>
      </c>
      <c r="X3264" s="181">
        <f>_xll.qlCalendarAdvance(Calendar,W3264,NDays&amp;"D")</f>
        <v>61847</v>
      </c>
      <c r="Y3264" s="178">
        <v>2.0255309892770194E-2</v>
      </c>
      <c r="Z3264" s="183">
        <v>2.0004608654309308E-2</v>
      </c>
    </row>
    <row r="3265" spans="22:26" x14ac:dyDescent="0.2">
      <c r="V3265" s="180" t="str">
        <f t="shared" si="58"/>
        <v>1w</v>
      </c>
      <c r="W3265" s="177">
        <f>_xll.qlCalendarAdvance(Calendar,W3264,V3265,"f",FALSE)</f>
        <v>61850</v>
      </c>
      <c r="X3265" s="181">
        <f>_xll.qlCalendarAdvance(Calendar,W3265,NDays&amp;"D")</f>
        <v>61854</v>
      </c>
      <c r="Y3265" s="178">
        <v>2.0257057235668292E-2</v>
      </c>
      <c r="Z3265" s="183">
        <v>2.0006491220172506E-2</v>
      </c>
    </row>
    <row r="3266" spans="22:26" x14ac:dyDescent="0.2">
      <c r="V3266" s="180" t="str">
        <f t="shared" si="58"/>
        <v>1w</v>
      </c>
      <c r="W3266" s="177">
        <f>_xll.qlCalendarAdvance(Calendar,W3265,V3266,"f",FALSE)</f>
        <v>61857</v>
      </c>
      <c r="X3266" s="181">
        <f>_xll.qlCalendarAdvance(Calendar,W3266,NDays&amp;"D")</f>
        <v>61861</v>
      </c>
      <c r="Y3266" s="178">
        <v>2.0258797897757717E-2</v>
      </c>
      <c r="Z3266" s="183">
        <v>2.0008367236394875E-2</v>
      </c>
    </row>
    <row r="3267" spans="22:26" x14ac:dyDescent="0.2">
      <c r="V3267" s="180" t="str">
        <f t="shared" si="58"/>
        <v>1w</v>
      </c>
      <c r="W3267" s="177">
        <f>_xll.qlCalendarAdvance(Calendar,W3266,V3267,"f",FALSE)</f>
        <v>61864</v>
      </c>
      <c r="X3267" s="181">
        <f>_xll.qlCalendarAdvance(Calendar,W3267,NDays&amp;"D")</f>
        <v>61868</v>
      </c>
      <c r="Y3267" s="178">
        <v>2.0260531879002553E-2</v>
      </c>
      <c r="Z3267" s="183">
        <v>2.0010236702896478E-2</v>
      </c>
    </row>
    <row r="3268" spans="22:26" x14ac:dyDescent="0.2">
      <c r="V3268" s="180" t="str">
        <f t="shared" si="58"/>
        <v>1w</v>
      </c>
      <c r="W3268" s="177">
        <f>_xll.qlCalendarAdvance(Calendar,W3267,V3268,"f",FALSE)</f>
        <v>61871</v>
      </c>
      <c r="X3268" s="181">
        <f>_xll.qlCalendarAdvance(Calendar,W3268,NDays&amp;"D")</f>
        <v>61875</v>
      </c>
      <c r="Y3268" s="178">
        <v>2.0262259179368854E-2</v>
      </c>
      <c r="Z3268" s="183">
        <v>2.0012099619677315E-2</v>
      </c>
    </row>
    <row r="3269" spans="22:26" x14ac:dyDescent="0.2">
      <c r="V3269" s="180" t="str">
        <f t="shared" si="58"/>
        <v>1w</v>
      </c>
      <c r="W3269" s="177">
        <f>_xll.qlCalendarAdvance(Calendar,W3268,V3269,"f",FALSE)</f>
        <v>61878</v>
      </c>
      <c r="X3269" s="181">
        <f>_xll.qlCalendarAdvance(Calendar,W3269,NDays&amp;"D")</f>
        <v>61882</v>
      </c>
      <c r="Y3269" s="178">
        <v>2.0263979798822673E-2</v>
      </c>
      <c r="Z3269" s="183">
        <v>2.0013955986977194E-2</v>
      </c>
    </row>
    <row r="3270" spans="22:26" x14ac:dyDescent="0.2">
      <c r="V3270" s="180" t="str">
        <f t="shared" si="58"/>
        <v>1w</v>
      </c>
      <c r="W3270" s="177">
        <f>_xll.qlCalendarAdvance(Calendar,W3269,V3270,"f",FALSE)</f>
        <v>61885</v>
      </c>
      <c r="X3270" s="181">
        <f>_xll.qlCalendarAdvance(Calendar,W3270,NDays&amp;"D")</f>
        <v>61889</v>
      </c>
      <c r="Y3270" s="178">
        <v>2.0265693737329189E-2</v>
      </c>
      <c r="Z3270" s="183">
        <v>2.0015805804556308E-2</v>
      </c>
    </row>
    <row r="3271" spans="22:26" x14ac:dyDescent="0.2">
      <c r="V3271" s="180" t="str">
        <f t="shared" si="58"/>
        <v>1w</v>
      </c>
      <c r="W3271" s="177">
        <f>_xll.qlCalendarAdvance(Calendar,W3270,V3271,"f",FALSE)</f>
        <v>61892</v>
      </c>
      <c r="X3271" s="181">
        <f>_xll.qlCalendarAdvance(Calendar,W3271,NDays&amp;"D")</f>
        <v>61896</v>
      </c>
      <c r="Y3271" s="178">
        <v>2.0267400994853801E-2</v>
      </c>
      <c r="Z3271" s="183">
        <v>2.001764907233472E-2</v>
      </c>
    </row>
    <row r="3272" spans="22:26" x14ac:dyDescent="0.2">
      <c r="V3272" s="180" t="str">
        <f t="shared" si="58"/>
        <v>1w</v>
      </c>
      <c r="W3272" s="177">
        <f>_xll.qlCalendarAdvance(Calendar,W3271,V3272,"f",FALSE)</f>
        <v>61899</v>
      </c>
      <c r="X3272" s="181">
        <f>_xll.qlCalendarAdvance(Calendar,W3272,NDays&amp;"D")</f>
        <v>61903</v>
      </c>
      <c r="Y3272" s="178">
        <v>2.0269101571363222E-2</v>
      </c>
      <c r="Z3272" s="183">
        <v>2.0019485790472302E-2</v>
      </c>
    </row>
    <row r="3273" spans="22:26" x14ac:dyDescent="0.2">
      <c r="V3273" s="180" t="str">
        <f t="shared" si="58"/>
        <v>1w</v>
      </c>
      <c r="W3273" s="177">
        <f>_xll.qlCalendarAdvance(Calendar,W3272,V3273,"f",FALSE)</f>
        <v>61906</v>
      </c>
      <c r="X3273" s="181">
        <f>_xll.qlCalendarAdvance(Calendar,W3273,NDays&amp;"D")</f>
        <v>61910</v>
      </c>
      <c r="Y3273" s="178">
        <v>2.0270795466823505E-2</v>
      </c>
      <c r="Z3273" s="183">
        <v>2.0021315959048991E-2</v>
      </c>
    </row>
    <row r="3274" spans="22:26" x14ac:dyDescent="0.2">
      <c r="V3274" s="180" t="str">
        <f t="shared" si="58"/>
        <v>1w</v>
      </c>
      <c r="W3274" s="177">
        <f>_xll.qlCalendarAdvance(Calendar,W3273,V3274,"f",FALSE)</f>
        <v>61913</v>
      </c>
      <c r="X3274" s="181">
        <f>_xll.qlCalendarAdvance(Calendar,W3274,NDays&amp;"D")</f>
        <v>61917</v>
      </c>
      <c r="Y3274" s="178">
        <v>2.027248268120092E-2</v>
      </c>
      <c r="Z3274" s="183">
        <v>2.0023139577904914E-2</v>
      </c>
    </row>
    <row r="3275" spans="22:26" x14ac:dyDescent="0.2">
      <c r="V3275" s="180" t="str">
        <f t="shared" si="58"/>
        <v>1w</v>
      </c>
      <c r="W3275" s="177">
        <f>_xll.qlCalendarAdvance(Calendar,W3274,V3275,"f",FALSE)</f>
        <v>61920</v>
      </c>
      <c r="X3275" s="181">
        <f>_xll.qlCalendarAdvance(Calendar,W3275,NDays&amp;"D")</f>
        <v>61924</v>
      </c>
      <c r="Y3275" s="178">
        <v>2.0274163214461523E-2</v>
      </c>
      <c r="Z3275" s="183">
        <v>2.0024956646960135E-2</v>
      </c>
    </row>
    <row r="3276" spans="22:26" x14ac:dyDescent="0.2">
      <c r="V3276" s="180" t="str">
        <f t="shared" si="58"/>
        <v>1w</v>
      </c>
      <c r="W3276" s="177">
        <f>_xll.qlCalendarAdvance(Calendar,W3275,V3276,"f",FALSE)</f>
        <v>61927</v>
      </c>
      <c r="X3276" s="181">
        <f>_xll.qlCalendarAdvance(Calendar,W3276,NDays&amp;"D")</f>
        <v>61931</v>
      </c>
      <c r="Y3276" s="178">
        <v>2.0275837066572031E-2</v>
      </c>
      <c r="Z3276" s="183">
        <v>2.0026767166454462E-2</v>
      </c>
    </row>
    <row r="3277" spans="22:26" x14ac:dyDescent="0.2">
      <c r="V3277" s="180" t="str">
        <f t="shared" si="58"/>
        <v>1w</v>
      </c>
      <c r="W3277" s="177">
        <f>_xll.qlCalendarAdvance(Calendar,W3276,V3277,"f",FALSE)</f>
        <v>61934</v>
      </c>
      <c r="X3277" s="181">
        <f>_xll.qlCalendarAdvance(Calendar,W3277,NDays&amp;"D")</f>
        <v>61938</v>
      </c>
      <c r="Y3277" s="178">
        <v>2.0277504237499151E-2</v>
      </c>
      <c r="Z3277" s="183">
        <v>2.0028571136228024E-2</v>
      </c>
    </row>
    <row r="3278" spans="22:26" x14ac:dyDescent="0.2">
      <c r="V3278" s="180" t="str">
        <f t="shared" si="58"/>
        <v>1w</v>
      </c>
      <c r="W3278" s="177">
        <f>_xll.qlCalendarAdvance(Calendar,W3277,V3278,"f",FALSE)</f>
        <v>61941</v>
      </c>
      <c r="X3278" s="181">
        <f>_xll.qlCalendarAdvance(Calendar,W3278,NDays&amp;"D")</f>
        <v>61945</v>
      </c>
      <c r="Y3278" s="178">
        <v>2.0279164727209593E-2</v>
      </c>
      <c r="Z3278" s="183">
        <v>2.0030368556360756E-2</v>
      </c>
    </row>
    <row r="3279" spans="22:26" x14ac:dyDescent="0.2">
      <c r="V3279" s="180" t="str">
        <f t="shared" si="58"/>
        <v>1w</v>
      </c>
      <c r="W3279" s="177">
        <f>_xll.qlCalendarAdvance(Calendar,W3278,V3279,"f",FALSE)</f>
        <v>61948</v>
      </c>
      <c r="X3279" s="181">
        <f>_xll.qlCalendarAdvance(Calendar,W3279,NDays&amp;"D")</f>
        <v>61952</v>
      </c>
      <c r="Y3279" s="178">
        <v>2.028081853567051E-2</v>
      </c>
      <c r="Z3279" s="183">
        <v>2.0032159426772722E-2</v>
      </c>
    </row>
    <row r="3280" spans="22:26" x14ac:dyDescent="0.2">
      <c r="V3280" s="180" t="str">
        <f t="shared" si="58"/>
        <v>1w</v>
      </c>
      <c r="W3280" s="177">
        <f>_xll.qlCalendarAdvance(Calendar,W3279,V3280,"f",FALSE)</f>
        <v>61955</v>
      </c>
      <c r="X3280" s="181">
        <f>_xll.qlCalendarAdvance(Calendar,W3280,NDays&amp;"D")</f>
        <v>61959</v>
      </c>
      <c r="Y3280" s="178">
        <v>2.0282465662848831E-2</v>
      </c>
      <c r="Z3280" s="183">
        <v>2.0033943747623795E-2</v>
      </c>
    </row>
    <row r="3281" spans="22:26" x14ac:dyDescent="0.2">
      <c r="V3281" s="180" t="str">
        <f t="shared" si="58"/>
        <v>1w</v>
      </c>
      <c r="W3281" s="177">
        <f>_xll.qlCalendarAdvance(Calendar,W3280,V3281,"f",FALSE)</f>
        <v>61962</v>
      </c>
      <c r="X3281" s="181">
        <f>_xll.qlCalendarAdvance(Calendar,W3281,NDays&amp;"D")</f>
        <v>61966</v>
      </c>
      <c r="Y3281" s="178">
        <v>2.0284106108711706E-2</v>
      </c>
      <c r="Z3281" s="183">
        <v>2.0035721518754102E-2</v>
      </c>
    </row>
    <row r="3282" spans="22:26" x14ac:dyDescent="0.2">
      <c r="V3282" s="180" t="str">
        <f t="shared" si="58"/>
        <v>1w</v>
      </c>
      <c r="W3282" s="177">
        <f>_xll.qlCalendarAdvance(Calendar,W3281,V3282,"f",FALSE)</f>
        <v>61969</v>
      </c>
      <c r="X3282" s="181">
        <f>_xll.qlCalendarAdvance(Calendar,W3282,NDays&amp;"D")</f>
        <v>61973</v>
      </c>
      <c r="Y3282" s="178">
        <v>2.0285739873226287E-2</v>
      </c>
      <c r="Z3282" s="183">
        <v>2.0037492740083707E-2</v>
      </c>
    </row>
    <row r="3283" spans="22:26" x14ac:dyDescent="0.2">
      <c r="V3283" s="180" t="str">
        <f t="shared" si="58"/>
        <v>1w</v>
      </c>
      <c r="W3283" s="177">
        <f>_xll.qlCalendarAdvance(Calendar,W3282,V3283,"f",FALSE)</f>
        <v>61976</v>
      </c>
      <c r="X3283" s="181">
        <f>_xll.qlCalendarAdvance(Calendar,W3283,NDays&amp;"D")</f>
        <v>61980</v>
      </c>
      <c r="Y3283" s="178">
        <v>2.0287366956360155E-2</v>
      </c>
      <c r="Z3283" s="183">
        <v>2.0039257411932354E-2</v>
      </c>
    </row>
    <row r="3284" spans="22:26" x14ac:dyDescent="0.2">
      <c r="V3284" s="180" t="str">
        <f t="shared" si="58"/>
        <v>1w</v>
      </c>
      <c r="W3284" s="177">
        <f>_xll.qlCalendarAdvance(Calendar,W3283,V3284,"f",FALSE)</f>
        <v>61983</v>
      </c>
      <c r="X3284" s="181">
        <f>_xll.qlCalendarAdvance(Calendar,W3284,NDays&amp;"D")</f>
        <v>61987</v>
      </c>
      <c r="Y3284" s="178">
        <v>2.0288987358081125E-2</v>
      </c>
      <c r="Z3284" s="183">
        <v>2.0041015534060236E-2</v>
      </c>
    </row>
    <row r="3285" spans="22:26" x14ac:dyDescent="0.2">
      <c r="V3285" s="180" t="str">
        <f t="shared" ref="V3285:V3348" si="59">V3284</f>
        <v>1w</v>
      </c>
      <c r="W3285" s="177">
        <f>_xll.qlCalendarAdvance(Calendar,W3284,V3285,"f",FALSE)</f>
        <v>61990</v>
      </c>
      <c r="X3285" s="181">
        <f>_xll.qlCalendarAdvance(Calendar,W3285,NDays&amp;"D")</f>
        <v>61994</v>
      </c>
      <c r="Y3285" s="178">
        <v>2.0290601078356996E-2</v>
      </c>
      <c r="Z3285" s="183">
        <v>2.0042767106387416E-2</v>
      </c>
    </row>
    <row r="3286" spans="22:26" x14ac:dyDescent="0.2">
      <c r="V3286" s="180" t="str">
        <f t="shared" si="59"/>
        <v>1w</v>
      </c>
      <c r="W3286" s="177">
        <f>_xll.qlCalendarAdvance(Calendar,W3285,V3286,"f",FALSE)</f>
        <v>61997</v>
      </c>
      <c r="X3286" s="181">
        <f>_xll.qlCalendarAdvance(Calendar,W3286,NDays&amp;"D")</f>
        <v>62001</v>
      </c>
      <c r="Y3286" s="178">
        <v>2.0292208117154702E-2</v>
      </c>
      <c r="Z3286" s="183">
        <v>2.004451212899383E-2</v>
      </c>
    </row>
    <row r="3287" spans="22:26" x14ac:dyDescent="0.2">
      <c r="V3287" s="180" t="str">
        <f t="shared" si="59"/>
        <v>1w</v>
      </c>
      <c r="W3287" s="177">
        <f>_xll.qlCalendarAdvance(Calendar,W3286,V3287,"f",FALSE)</f>
        <v>62004</v>
      </c>
      <c r="X3287" s="181">
        <f>_xll.qlCalendarAdvance(Calendar,W3287,NDays&amp;"D")</f>
        <v>62008</v>
      </c>
      <c r="Y3287" s="178">
        <v>2.0293808474443144E-2</v>
      </c>
      <c r="Z3287" s="183">
        <v>2.0046250602119287E-2</v>
      </c>
    </row>
    <row r="3288" spans="22:26" x14ac:dyDescent="0.2">
      <c r="V3288" s="180" t="str">
        <f t="shared" si="59"/>
        <v>1w</v>
      </c>
      <c r="W3288" s="177">
        <f>_xll.qlCalendarAdvance(Calendar,W3287,V3288,"f",FALSE)</f>
        <v>62011</v>
      </c>
      <c r="X3288" s="181">
        <f>_xll.qlCalendarAdvance(Calendar,W3288,NDays&amp;"D")</f>
        <v>62015</v>
      </c>
      <c r="Y3288" s="178">
        <v>2.0295402150190569E-2</v>
      </c>
      <c r="Z3288" s="183">
        <v>2.0047982525603913E-2</v>
      </c>
    </row>
    <row r="3289" spans="22:26" x14ac:dyDescent="0.2">
      <c r="V3289" s="180" t="str">
        <f t="shared" si="59"/>
        <v>1w</v>
      </c>
      <c r="W3289" s="177">
        <f>_xll.qlCalendarAdvance(Calendar,W3288,V3289,"f",FALSE)</f>
        <v>62018</v>
      </c>
      <c r="X3289" s="181">
        <f>_xll.qlCalendarAdvance(Calendar,W3289,NDays&amp;"D")</f>
        <v>62022</v>
      </c>
      <c r="Y3289" s="178">
        <v>2.0296989144364778E-2</v>
      </c>
      <c r="Z3289" s="183">
        <v>2.0049707899287839E-2</v>
      </c>
    </row>
    <row r="3290" spans="22:26" x14ac:dyDescent="0.2">
      <c r="V3290" s="180" t="str">
        <f t="shared" si="59"/>
        <v>1w</v>
      </c>
      <c r="W3290" s="177">
        <f>_xll.qlCalendarAdvance(Calendar,W3289,V3290,"f",FALSE)</f>
        <v>62025</v>
      </c>
      <c r="X3290" s="181">
        <f>_xll.qlCalendarAdvance(Calendar,W3290,NDays&amp;"D")</f>
        <v>62029</v>
      </c>
      <c r="Y3290" s="178">
        <v>2.0298569456934243E-2</v>
      </c>
      <c r="Z3290" s="183">
        <v>2.0051426723330934E-2</v>
      </c>
    </row>
    <row r="3291" spans="22:26" x14ac:dyDescent="0.2">
      <c r="V3291" s="180" t="str">
        <f t="shared" si="59"/>
        <v>1w</v>
      </c>
      <c r="W3291" s="177">
        <f>_xll.qlCalendarAdvance(Calendar,W3290,V3291,"f",FALSE)</f>
        <v>62032</v>
      </c>
      <c r="X3291" s="181">
        <f>_xll.qlCalendarAdvance(Calendar,W3291,NDays&amp;"D")</f>
        <v>62036</v>
      </c>
      <c r="Y3291" s="178">
        <v>2.0300143087867199E-2</v>
      </c>
      <c r="Z3291" s="183">
        <v>2.0053138997653264E-2</v>
      </c>
    </row>
    <row r="3292" spans="22:26" x14ac:dyDescent="0.2">
      <c r="V3292" s="180" t="str">
        <f t="shared" si="59"/>
        <v>1w</v>
      </c>
      <c r="W3292" s="177">
        <f>_xll.qlCalendarAdvance(Calendar,W3291,V3292,"f",FALSE)</f>
        <v>62039</v>
      </c>
      <c r="X3292" s="181">
        <f>_xll.qlCalendarAdvance(Calendar,W3292,NDays&amp;"D")</f>
        <v>62043</v>
      </c>
      <c r="Y3292" s="178">
        <v>2.030171003713321E-2</v>
      </c>
      <c r="Z3292" s="183">
        <v>2.00548447224147E-2</v>
      </c>
    </row>
    <row r="3293" spans="22:26" x14ac:dyDescent="0.2">
      <c r="V3293" s="180" t="str">
        <f t="shared" si="59"/>
        <v>1w</v>
      </c>
      <c r="W3293" s="177">
        <f>_xll.qlCalendarAdvance(Calendar,W3292,V3293,"f",FALSE)</f>
        <v>62046</v>
      </c>
      <c r="X3293" s="181">
        <f>_xll.qlCalendarAdvance(Calendar,W3293,NDays&amp;"D")</f>
        <v>62050</v>
      </c>
      <c r="Y3293" s="178">
        <v>2.0303270304699864E-2</v>
      </c>
      <c r="Z3293" s="183">
        <v>2.0056543897375434E-2</v>
      </c>
    </row>
    <row r="3294" spans="22:26" x14ac:dyDescent="0.2">
      <c r="V3294" s="180" t="str">
        <f t="shared" si="59"/>
        <v>1w</v>
      </c>
      <c r="W3294" s="177">
        <f>_xll.qlCalendarAdvance(Calendar,W3293,V3294,"f",FALSE)</f>
        <v>62053</v>
      </c>
      <c r="X3294" s="181">
        <f>_xll.qlCalendarAdvance(Calendar,W3294,NDays&amp;"D")</f>
        <v>62057</v>
      </c>
      <c r="Y3294" s="178">
        <v>2.0304823890536939E-2</v>
      </c>
      <c r="Z3294" s="183">
        <v>2.0058236522695339E-2</v>
      </c>
    </row>
    <row r="3295" spans="22:26" x14ac:dyDescent="0.2">
      <c r="V3295" s="180" t="str">
        <f t="shared" si="59"/>
        <v>1w</v>
      </c>
      <c r="W3295" s="177">
        <f>_xll.qlCalendarAdvance(Calendar,W3294,V3295,"f",FALSE)</f>
        <v>62060</v>
      </c>
      <c r="X3295" s="181">
        <f>_xll.qlCalendarAdvance(Calendar,W3295,NDays&amp;"D")</f>
        <v>62064</v>
      </c>
      <c r="Y3295" s="178">
        <v>2.0306370794613116E-2</v>
      </c>
      <c r="Z3295" s="183">
        <v>2.0059922598374413E-2</v>
      </c>
    </row>
    <row r="3296" spans="22:26" x14ac:dyDescent="0.2">
      <c r="V3296" s="180" t="str">
        <f t="shared" si="59"/>
        <v>1w</v>
      </c>
      <c r="W3296" s="177">
        <f>_xll.qlCalendarAdvance(Calendar,W3295,V3296,"f",FALSE)</f>
        <v>62067</v>
      </c>
      <c r="X3296" s="181">
        <f>_xll.qlCalendarAdvance(Calendar,W3296,NDays&amp;"D")</f>
        <v>62071</v>
      </c>
      <c r="Y3296" s="178">
        <v>2.0307911016897731E-2</v>
      </c>
      <c r="Z3296" s="183">
        <v>2.0061602124252786E-2</v>
      </c>
    </row>
    <row r="3297" spans="22:26" x14ac:dyDescent="0.2">
      <c r="V3297" s="180" t="str">
        <f t="shared" si="59"/>
        <v>1w</v>
      </c>
      <c r="W3297" s="177">
        <f>_xll.qlCalendarAdvance(Calendar,W3296,V3297,"f",FALSE)</f>
        <v>62074</v>
      </c>
      <c r="X3297" s="181">
        <f>_xll.qlCalendarAdvance(Calendar,W3297,NDays&amp;"D")</f>
        <v>62078</v>
      </c>
      <c r="Y3297" s="178">
        <v>2.030944455736013E-2</v>
      </c>
      <c r="Z3297" s="183">
        <v>2.0063275100650202E-2</v>
      </c>
    </row>
    <row r="3298" spans="22:26" x14ac:dyDescent="0.2">
      <c r="V3298" s="180" t="str">
        <f t="shared" si="59"/>
        <v>1w</v>
      </c>
      <c r="W3298" s="177">
        <f>_xll.qlCalendarAdvance(Calendar,W3297,V3298,"f",FALSE)</f>
        <v>62081</v>
      </c>
      <c r="X3298" s="181">
        <f>_xll.qlCalendarAdvance(Calendar,W3298,NDays&amp;"D")</f>
        <v>62085</v>
      </c>
      <c r="Y3298" s="178">
        <v>2.0310971415969867E-2</v>
      </c>
      <c r="Z3298" s="183">
        <v>2.0064941527246916E-2</v>
      </c>
    </row>
    <row r="3299" spans="22:26" x14ac:dyDescent="0.2">
      <c r="V3299" s="180" t="str">
        <f t="shared" si="59"/>
        <v>1w</v>
      </c>
      <c r="W3299" s="177">
        <f>_xll.qlCalendarAdvance(Calendar,W3298,V3299,"f",FALSE)</f>
        <v>62089</v>
      </c>
      <c r="X3299" s="181">
        <f>_xll.qlCalendarAdvance(Calendar,W3299,NDays&amp;"D")</f>
        <v>62093</v>
      </c>
      <c r="Y3299" s="178">
        <v>2.0312708215338302E-2</v>
      </c>
      <c r="Z3299" s="183">
        <v>2.0067515504917921E-2</v>
      </c>
    </row>
    <row r="3300" spans="22:26" x14ac:dyDescent="0.2">
      <c r="V3300" s="180" t="str">
        <f t="shared" si="59"/>
        <v>1w</v>
      </c>
      <c r="W3300" s="177">
        <f>_xll.qlCalendarAdvance(Calendar,W3299,V3300,"f",FALSE)</f>
        <v>62096</v>
      </c>
      <c r="X3300" s="181">
        <f>_xll.qlCalendarAdvance(Calendar,W3300,NDays&amp;"D")</f>
        <v>62100</v>
      </c>
      <c r="Y3300" s="178">
        <v>2.0314220755589595E-2</v>
      </c>
      <c r="Z3300" s="183">
        <v>2.0068490386453419E-2</v>
      </c>
    </row>
    <row r="3301" spans="22:26" x14ac:dyDescent="0.2">
      <c r="V3301" s="180" t="str">
        <f t="shared" si="59"/>
        <v>1w</v>
      </c>
      <c r="W3301" s="177">
        <f>_xll.qlCalendarAdvance(Calendar,W3300,V3301,"f",FALSE)</f>
        <v>62103</v>
      </c>
      <c r="X3301" s="181">
        <f>_xll.qlCalendarAdvance(Calendar,W3301,NDays&amp;"D")</f>
        <v>62107</v>
      </c>
      <c r="Y3301" s="178">
        <v>2.0315726613892741E-2</v>
      </c>
      <c r="Z3301" s="183">
        <v>2.0070136228316215E-2</v>
      </c>
    </row>
    <row r="3302" spans="22:26" x14ac:dyDescent="0.2">
      <c r="V3302" s="180" t="str">
        <f t="shared" si="59"/>
        <v>1w</v>
      </c>
      <c r="W3302" s="177">
        <f>_xll.qlCalendarAdvance(Calendar,W3301,V3302,"f",FALSE)</f>
        <v>62110</v>
      </c>
      <c r="X3302" s="181">
        <f>_xll.qlCalendarAdvance(Calendar,W3302,NDays&amp;"D")</f>
        <v>62114</v>
      </c>
      <c r="Y3302" s="178">
        <v>2.0317225790218399E-2</v>
      </c>
      <c r="Z3302" s="183">
        <v>2.0071775520618118E-2</v>
      </c>
    </row>
    <row r="3303" spans="22:26" x14ac:dyDescent="0.2">
      <c r="V3303" s="180" t="str">
        <f t="shared" si="59"/>
        <v>1w</v>
      </c>
      <c r="W3303" s="177">
        <f>_xll.qlCalendarAdvance(Calendar,W3302,V3303,"f",FALSE)</f>
        <v>62117</v>
      </c>
      <c r="X3303" s="181">
        <f>_xll.qlCalendarAdvance(Calendar,W3303,NDays&amp;"D")</f>
        <v>62121</v>
      </c>
      <c r="Y3303" s="178">
        <v>2.0318718284535905E-2</v>
      </c>
      <c r="Z3303" s="183">
        <v>2.0073408263279191E-2</v>
      </c>
    </row>
    <row r="3304" spans="22:26" x14ac:dyDescent="0.2">
      <c r="V3304" s="180" t="str">
        <f t="shared" si="59"/>
        <v>1w</v>
      </c>
      <c r="W3304" s="177">
        <f>_xll.qlCalendarAdvance(Calendar,W3303,V3304,"f",FALSE)</f>
        <v>62124</v>
      </c>
      <c r="X3304" s="181">
        <f>_xll.qlCalendarAdvance(Calendar,W3304,NDays&amp;"D")</f>
        <v>62128</v>
      </c>
      <c r="Y3304" s="178">
        <v>2.0320204096816126E-2</v>
      </c>
      <c r="Z3304" s="183">
        <v>2.0075034456139562E-2</v>
      </c>
    </row>
    <row r="3305" spans="22:26" x14ac:dyDescent="0.2">
      <c r="V3305" s="180" t="str">
        <f t="shared" si="59"/>
        <v>1w</v>
      </c>
      <c r="W3305" s="177">
        <f>_xll.qlCalendarAdvance(Calendar,W3304,V3305,"f",FALSE)</f>
        <v>62131</v>
      </c>
      <c r="X3305" s="181">
        <f>_xll.qlCalendarAdvance(Calendar,W3305,NDays&amp;"D")</f>
        <v>62135</v>
      </c>
      <c r="Y3305" s="178">
        <v>2.0321683227029069E-2</v>
      </c>
      <c r="Z3305" s="183">
        <v>2.0076654099279168E-2</v>
      </c>
    </row>
    <row r="3306" spans="22:26" x14ac:dyDescent="0.2">
      <c r="V3306" s="180" t="str">
        <f t="shared" si="59"/>
        <v>1w</v>
      </c>
      <c r="W3306" s="177">
        <f>_xll.qlCalendarAdvance(Calendar,W3305,V3306,"f",FALSE)</f>
        <v>62138</v>
      </c>
      <c r="X3306" s="181">
        <f>_xll.qlCalendarAdvance(Calendar,W3306,NDays&amp;"D")</f>
        <v>62142</v>
      </c>
      <c r="Y3306" s="178">
        <v>2.0323155675145161E-2</v>
      </c>
      <c r="Z3306" s="183">
        <v>2.0078267192937815E-2</v>
      </c>
    </row>
    <row r="3307" spans="22:26" x14ac:dyDescent="0.2">
      <c r="V3307" s="180" t="str">
        <f t="shared" si="59"/>
        <v>1w</v>
      </c>
      <c r="W3307" s="177">
        <f>_xll.qlCalendarAdvance(Calendar,W3306,V3307,"f",FALSE)</f>
        <v>62145</v>
      </c>
      <c r="X3307" s="181">
        <f>_xll.qlCalendarAdvance(Calendar,W3307,NDays&amp;"D")</f>
        <v>62149</v>
      </c>
      <c r="Y3307" s="178">
        <v>2.0324621441135716E-2</v>
      </c>
      <c r="Z3307" s="183">
        <v>2.0079873736795761E-2</v>
      </c>
    </row>
    <row r="3308" spans="22:26" x14ac:dyDescent="0.2">
      <c r="V3308" s="180" t="str">
        <f t="shared" si="59"/>
        <v>1w</v>
      </c>
      <c r="W3308" s="177">
        <f>_xll.qlCalendarAdvance(Calendar,W3307,V3308,"f",FALSE)</f>
        <v>62152</v>
      </c>
      <c r="X3308" s="181">
        <f>_xll.qlCalendarAdvance(Calendar,W3308,NDays&amp;"D")</f>
        <v>62156</v>
      </c>
      <c r="Y3308" s="178">
        <v>2.0326080524970952E-2</v>
      </c>
      <c r="Z3308" s="183">
        <v>2.0081473731092814E-2</v>
      </c>
    </row>
    <row r="3309" spans="22:26" x14ac:dyDescent="0.2">
      <c r="V3309" s="180" t="str">
        <f t="shared" si="59"/>
        <v>1w</v>
      </c>
      <c r="W3309" s="177">
        <f>_xll.qlCalendarAdvance(Calendar,W3308,V3309,"f",FALSE)</f>
        <v>62159</v>
      </c>
      <c r="X3309" s="181">
        <f>_xll.qlCalendarAdvance(Calendar,W3309,NDays&amp;"D")</f>
        <v>62163</v>
      </c>
      <c r="Y3309" s="178">
        <v>2.0327532926621733E-2</v>
      </c>
      <c r="Z3309" s="183">
        <v>2.0083067175429292E-2</v>
      </c>
    </row>
    <row r="3310" spans="22:26" x14ac:dyDescent="0.2">
      <c r="V3310" s="180" t="str">
        <f t="shared" si="59"/>
        <v>1w</v>
      </c>
      <c r="W3310" s="177">
        <f>_xll.qlCalendarAdvance(Calendar,W3309,V3310,"f",FALSE)</f>
        <v>62166</v>
      </c>
      <c r="X3310" s="181">
        <f>_xll.qlCalendarAdvance(Calendar,W3310,NDays&amp;"D")</f>
        <v>62170</v>
      </c>
      <c r="Y3310" s="178">
        <v>2.0328978646059818E-2</v>
      </c>
      <c r="Z3310" s="183">
        <v>2.0084654070284813E-2</v>
      </c>
    </row>
    <row r="3311" spans="22:26" x14ac:dyDescent="0.2">
      <c r="V3311" s="180" t="str">
        <f t="shared" si="59"/>
        <v>1w</v>
      </c>
      <c r="W3311" s="177">
        <f>_xll.qlCalendarAdvance(Calendar,W3310,V3311,"f",FALSE)</f>
        <v>62173</v>
      </c>
      <c r="X3311" s="181">
        <f>_xll.qlCalendarAdvance(Calendar,W3311,NDays&amp;"D")</f>
        <v>62177</v>
      </c>
      <c r="Y3311" s="178">
        <v>2.033041768325607E-2</v>
      </c>
      <c r="Z3311" s="183">
        <v>2.008623441557944E-2</v>
      </c>
    </row>
    <row r="3312" spans="22:26" x14ac:dyDescent="0.2">
      <c r="V3312" s="180" t="str">
        <f t="shared" si="59"/>
        <v>1w</v>
      </c>
      <c r="W3312" s="177">
        <f>_xll.qlCalendarAdvance(Calendar,W3311,V3312,"f",FALSE)</f>
        <v>62184</v>
      </c>
      <c r="X3312" s="181">
        <f>_xll.qlCalendarAdvance(Calendar,W3312,NDays&amp;"D")</f>
        <v>62186</v>
      </c>
      <c r="Y3312" s="178">
        <v>2.0332258055086014E-2</v>
      </c>
      <c r="Z3312" s="183">
        <v>2.0088256663788329E-2</v>
      </c>
    </row>
    <row r="3313" spans="22:26" x14ac:dyDescent="0.2">
      <c r="V3313" s="180" t="str">
        <f t="shared" si="59"/>
        <v>1w</v>
      </c>
      <c r="W3313" s="177">
        <f>_xll.qlCalendarAdvance(Calendar,W3312,V3313,"f",FALSE)</f>
        <v>62191</v>
      </c>
      <c r="X3313" s="181">
        <f>_xll.qlCalendarAdvance(Calendar,W3313,NDays&amp;"D")</f>
        <v>62193</v>
      </c>
      <c r="Y3313" s="178">
        <v>2.0333681818479006E-2</v>
      </c>
      <c r="Z3313" s="183">
        <v>2.0089822038338312E-2</v>
      </c>
    </row>
    <row r="3314" spans="22:26" x14ac:dyDescent="0.2">
      <c r="V3314" s="180" t="str">
        <f t="shared" si="59"/>
        <v>1w</v>
      </c>
      <c r="W3314" s="177">
        <f>_xll.qlCalendarAdvance(Calendar,W3313,V3314,"f",FALSE)</f>
        <v>62198</v>
      </c>
      <c r="X3314" s="181">
        <f>_xll.qlCalendarAdvance(Calendar,W3314,NDays&amp;"D")</f>
        <v>62200</v>
      </c>
      <c r="Y3314" s="178">
        <v>2.0337767806226269E-2</v>
      </c>
      <c r="Z3314" s="183">
        <v>2.0091380863167529E-2</v>
      </c>
    </row>
    <row r="3315" spans="22:26" x14ac:dyDescent="0.2">
      <c r="V3315" s="180" t="str">
        <f t="shared" si="59"/>
        <v>1w</v>
      </c>
      <c r="W3315" s="177">
        <f>_xll.qlCalendarAdvance(Calendar,W3314,V3315,"f",FALSE)</f>
        <v>62205</v>
      </c>
      <c r="X3315" s="181">
        <f>_xll.qlCalendarAdvance(Calendar,W3315,NDays&amp;"D")</f>
        <v>62207</v>
      </c>
      <c r="Y3315" s="178">
        <v>2.0336509298229614E-2</v>
      </c>
      <c r="Z3315" s="183">
        <v>2.0092933138275981E-2</v>
      </c>
    </row>
    <row r="3316" spans="22:26" x14ac:dyDescent="0.2">
      <c r="V3316" s="180" t="str">
        <f t="shared" si="59"/>
        <v>1w</v>
      </c>
      <c r="W3316" s="177">
        <f>_xll.qlCalendarAdvance(Calendar,W3315,V3316,"f",FALSE)</f>
        <v>62212</v>
      </c>
      <c r="X3316" s="181">
        <f>_xll.qlCalendarAdvance(Calendar,W3316,NDays&amp;"D")</f>
        <v>62215</v>
      </c>
      <c r="Y3316" s="178">
        <v>2.033944577117849E-2</v>
      </c>
      <c r="Z3316" s="183">
        <v>2.0096040955586147E-2</v>
      </c>
    </row>
    <row r="3317" spans="22:26" x14ac:dyDescent="0.2">
      <c r="V3317" s="180" t="str">
        <f t="shared" si="59"/>
        <v>1w</v>
      </c>
      <c r="W3317" s="177">
        <f>_xll.qlCalendarAdvance(Calendar,W3316,V3317,"f",FALSE)</f>
        <v>62219</v>
      </c>
      <c r="X3317" s="181">
        <f>_xll.qlCalendarAdvance(Calendar,W3317,NDays&amp;"D")</f>
        <v>62221</v>
      </c>
      <c r="Y3317" s="178">
        <v>2.0339310048412839E-2</v>
      </c>
      <c r="Z3317" s="183">
        <v>2.009601803949046E-2</v>
      </c>
    </row>
    <row r="3318" spans="22:26" x14ac:dyDescent="0.2">
      <c r="V3318" s="180" t="str">
        <f t="shared" si="59"/>
        <v>1w</v>
      </c>
      <c r="W3318" s="177">
        <f>_xll.qlCalendarAdvance(Calendar,W3317,V3318,"f",FALSE)</f>
        <v>62226</v>
      </c>
      <c r="X3318" s="181">
        <f>_xll.qlCalendarAdvance(Calendar,W3318,NDays&amp;"D")</f>
        <v>62228</v>
      </c>
      <c r="Y3318" s="178">
        <v>2.0340700399846822E-2</v>
      </c>
      <c r="Z3318" s="183">
        <v>2.0097550665676422E-2</v>
      </c>
    </row>
    <row r="3319" spans="22:26" x14ac:dyDescent="0.2">
      <c r="V3319" s="180" t="str">
        <f t="shared" si="59"/>
        <v>1w</v>
      </c>
      <c r="W3319" s="177">
        <f>_xll.qlCalendarAdvance(Calendar,W3318,V3319,"f",FALSE)</f>
        <v>62233</v>
      </c>
      <c r="X3319" s="181">
        <f>_xll.qlCalendarAdvance(Calendar,W3319,NDays&amp;"D")</f>
        <v>62235</v>
      </c>
      <c r="Y3319" s="178">
        <v>2.0342084068805302E-2</v>
      </c>
      <c r="Z3319" s="183">
        <v>2.0099076741981747E-2</v>
      </c>
    </row>
    <row r="3320" spans="22:26" x14ac:dyDescent="0.2">
      <c r="V3320" s="180" t="str">
        <f t="shared" si="59"/>
        <v>1w</v>
      </c>
      <c r="W3320" s="177">
        <f>_xll.qlCalendarAdvance(Calendar,W3319,V3320,"f",FALSE)</f>
        <v>62240</v>
      </c>
      <c r="X3320" s="181">
        <f>_xll.qlCalendarAdvance(Calendar,W3320,NDays&amp;"D")</f>
        <v>62242</v>
      </c>
      <c r="Y3320" s="178">
        <v>2.03434610552609E-2</v>
      </c>
      <c r="Z3320" s="183">
        <v>2.0100596268806115E-2</v>
      </c>
    </row>
    <row r="3321" spans="22:26" x14ac:dyDescent="0.2">
      <c r="V3321" s="180" t="str">
        <f t="shared" si="59"/>
        <v>1w</v>
      </c>
      <c r="W3321" s="177">
        <f>_xll.qlCalendarAdvance(Calendar,W3320,V3321,"f",FALSE)</f>
        <v>62247</v>
      </c>
      <c r="X3321" s="181">
        <f>_xll.qlCalendarAdvance(Calendar,W3321,NDays&amp;"D")</f>
        <v>62249</v>
      </c>
      <c r="Y3321" s="178">
        <v>2.0344831359186244E-2</v>
      </c>
      <c r="Z3321" s="183">
        <v>2.010210924582978E-2</v>
      </c>
    </row>
    <row r="3322" spans="22:26" x14ac:dyDescent="0.2">
      <c r="V3322" s="180" t="str">
        <f t="shared" si="59"/>
        <v>1w</v>
      </c>
      <c r="W3322" s="177">
        <f>_xll.qlCalendarAdvance(Calendar,W3321,V3322,"f",FALSE)</f>
        <v>62254</v>
      </c>
      <c r="X3322" s="181">
        <f>_xll.qlCalendarAdvance(Calendar,W3322,NDays&amp;"D")</f>
        <v>62256</v>
      </c>
      <c r="Y3322" s="178">
        <v>2.03461949805533E-2</v>
      </c>
      <c r="Z3322" s="183">
        <v>2.010361567313268E-2</v>
      </c>
    </row>
    <row r="3323" spans="22:26" x14ac:dyDescent="0.2">
      <c r="V3323" s="180" t="str">
        <f t="shared" si="59"/>
        <v>1w</v>
      </c>
      <c r="W3323" s="177">
        <f>_xll.qlCalendarAdvance(Calendar,W3322,V3323,"f",FALSE)</f>
        <v>62261</v>
      </c>
      <c r="X3323" s="181">
        <f>_xll.qlCalendarAdvance(Calendar,W3323,NDays&amp;"D")</f>
        <v>62263</v>
      </c>
      <c r="Y3323" s="178">
        <v>2.0347551919336005E-2</v>
      </c>
      <c r="Z3323" s="183">
        <v>2.010511555079475E-2</v>
      </c>
    </row>
    <row r="3324" spans="22:26" x14ac:dyDescent="0.2">
      <c r="V3324" s="180" t="str">
        <f t="shared" si="59"/>
        <v>1w</v>
      </c>
      <c r="W3324" s="177">
        <f>_xll.qlCalendarAdvance(Calendar,W3323,V3324,"f",FALSE)</f>
        <v>62268</v>
      </c>
      <c r="X3324" s="181">
        <f>_xll.qlCalendarAdvance(Calendar,W3324,NDays&amp;"D")</f>
        <v>62270</v>
      </c>
      <c r="Y3324" s="178">
        <v>2.0348902175507208E-2</v>
      </c>
      <c r="Z3324" s="183">
        <v>2.0106608878895926E-2</v>
      </c>
    </row>
    <row r="3325" spans="22:26" x14ac:dyDescent="0.2">
      <c r="V3325" s="180" t="str">
        <f t="shared" si="59"/>
        <v>1w</v>
      </c>
      <c r="W3325" s="177">
        <f>_xll.qlCalendarAdvance(Calendar,W3324,V3325,"f",FALSE)</f>
        <v>62275</v>
      </c>
      <c r="X3325" s="181">
        <f>_xll.qlCalendarAdvance(Calendar,W3325,NDays&amp;"D")</f>
        <v>62277</v>
      </c>
      <c r="Y3325" s="178">
        <v>2.0350245749039309E-2</v>
      </c>
      <c r="Z3325" s="183">
        <v>2.0108095657356273E-2</v>
      </c>
    </row>
    <row r="3326" spans="22:26" x14ac:dyDescent="0.2">
      <c r="V3326" s="180" t="str">
        <f t="shared" si="59"/>
        <v>1w</v>
      </c>
      <c r="W3326" s="177">
        <f>_xll.qlCalendarAdvance(Calendar,W3325,V3326,"f",FALSE)</f>
        <v>62282</v>
      </c>
      <c r="X3326" s="181">
        <f>_xll.qlCalendarAdvance(Calendar,W3326,NDays&amp;"D")</f>
        <v>62284</v>
      </c>
      <c r="Y3326" s="178">
        <v>2.0351582639905594E-2</v>
      </c>
      <c r="Z3326" s="183">
        <v>2.0109575885935982E-2</v>
      </c>
    </row>
    <row r="3327" spans="22:26" x14ac:dyDescent="0.2">
      <c r="V3327" s="180" t="str">
        <f t="shared" si="59"/>
        <v>1w</v>
      </c>
      <c r="W3327" s="177">
        <f>_xll.qlCalendarAdvance(Calendar,W3326,V3327,"f",FALSE)</f>
        <v>62289</v>
      </c>
      <c r="X3327" s="181">
        <f>_xll.qlCalendarAdvance(Calendar,W3327,NDays&amp;"D")</f>
        <v>62291</v>
      </c>
      <c r="Y3327" s="178">
        <v>2.0352912848079999E-2</v>
      </c>
      <c r="Z3327" s="183">
        <v>2.0111049564954797E-2</v>
      </c>
    </row>
    <row r="3328" spans="22:26" x14ac:dyDescent="0.2">
      <c r="V3328" s="180" t="str">
        <f t="shared" si="59"/>
        <v>1w</v>
      </c>
      <c r="W3328" s="177">
        <f>_xll.qlCalendarAdvance(Calendar,W3327,V3328,"f",FALSE)</f>
        <v>62296</v>
      </c>
      <c r="X3328" s="181">
        <f>_xll.qlCalendarAdvance(Calendar,W3328,NDays&amp;"D")</f>
        <v>62298</v>
      </c>
      <c r="Y3328" s="178">
        <v>2.0354236373535808E-2</v>
      </c>
      <c r="Z3328" s="183">
        <v>2.0112516694172911E-2</v>
      </c>
    </row>
    <row r="3329" spans="22:26" x14ac:dyDescent="0.2">
      <c r="V3329" s="180" t="str">
        <f t="shared" si="59"/>
        <v>1w</v>
      </c>
      <c r="W3329" s="177">
        <f>_xll.qlCalendarAdvance(Calendar,W3328,V3329,"f",FALSE)</f>
        <v>62303</v>
      </c>
      <c r="X3329" s="181">
        <f>_xll.qlCalendarAdvance(Calendar,W3329,NDays&amp;"D")</f>
        <v>62305</v>
      </c>
      <c r="Y3329" s="178">
        <v>2.0355553216246516E-2</v>
      </c>
      <c r="Z3329" s="183">
        <v>2.011397727383013E-2</v>
      </c>
    </row>
    <row r="3330" spans="22:26" x14ac:dyDescent="0.2">
      <c r="V3330" s="180" t="str">
        <f t="shared" si="59"/>
        <v>1w</v>
      </c>
      <c r="W3330" s="177">
        <f>_xll.qlCalendarAdvance(Calendar,W3329,V3330,"f",FALSE)</f>
        <v>62310</v>
      </c>
      <c r="X3330" s="181">
        <f>_xll.qlCalendarAdvance(Calendar,W3330,NDays&amp;"D")</f>
        <v>62312</v>
      </c>
      <c r="Y3330" s="178">
        <v>2.0356863376185631E-2</v>
      </c>
      <c r="Z3330" s="183">
        <v>2.0115431303766584E-2</v>
      </c>
    </row>
    <row r="3331" spans="22:26" x14ac:dyDescent="0.2">
      <c r="V3331" s="180" t="str">
        <f t="shared" si="59"/>
        <v>1w</v>
      </c>
      <c r="W3331" s="177">
        <f>_xll.qlCalendarAdvance(Calendar,W3330,V3331,"f",FALSE)</f>
        <v>62317</v>
      </c>
      <c r="X3331" s="181">
        <f>_xll.qlCalendarAdvance(Calendar,W3331,NDays&amp;"D")</f>
        <v>62319</v>
      </c>
      <c r="Y3331" s="178">
        <v>2.0358166853327964E-2</v>
      </c>
      <c r="Z3331" s="183">
        <v>2.0116878784062209E-2</v>
      </c>
    </row>
    <row r="3332" spans="22:26" x14ac:dyDescent="0.2">
      <c r="V3332" s="180" t="str">
        <f t="shared" si="59"/>
        <v>1w</v>
      </c>
      <c r="W3332" s="177">
        <f>_xll.qlCalendarAdvance(Calendar,W3331,V3332,"f",FALSE)</f>
        <v>62324</v>
      </c>
      <c r="X3332" s="181">
        <f>_xll.qlCalendarAdvance(Calendar,W3332,NDays&amp;"D")</f>
        <v>62326</v>
      </c>
      <c r="Y3332" s="178">
        <v>2.0359463647646577E-2</v>
      </c>
      <c r="Z3332" s="183">
        <v>2.0118319714637067E-2</v>
      </c>
    </row>
    <row r="3333" spans="22:26" x14ac:dyDescent="0.2">
      <c r="V3333" s="180" t="str">
        <f t="shared" si="59"/>
        <v>1w</v>
      </c>
      <c r="W3333" s="177">
        <f>_xll.qlCalendarAdvance(Calendar,W3332,V3333,"f",FALSE)</f>
        <v>62331</v>
      </c>
      <c r="X3333" s="181">
        <f>_xll.qlCalendarAdvance(Calendar,W3333,NDays&amp;"D")</f>
        <v>62333</v>
      </c>
      <c r="Y3333" s="178">
        <v>2.0360753759116505E-2</v>
      </c>
      <c r="Z3333" s="183">
        <v>2.0119754095571096E-2</v>
      </c>
    </row>
    <row r="3334" spans="22:26" x14ac:dyDescent="0.2">
      <c r="V3334" s="180" t="str">
        <f t="shared" si="59"/>
        <v>1w</v>
      </c>
      <c r="W3334" s="177">
        <f>_xll.qlCalendarAdvance(Calendar,W3333,V3334,"f",FALSE)</f>
        <v>62338</v>
      </c>
      <c r="X3334" s="181">
        <f>_xll.qlCalendarAdvance(Calendar,W3334,NDays&amp;"D")</f>
        <v>62340</v>
      </c>
      <c r="Y3334" s="178">
        <v>2.0362037187711027E-2</v>
      </c>
      <c r="Z3334" s="183">
        <v>2.0121181926864296E-2</v>
      </c>
    </row>
    <row r="3335" spans="22:26" x14ac:dyDescent="0.2">
      <c r="V3335" s="180" t="str">
        <f t="shared" si="59"/>
        <v>1w</v>
      </c>
      <c r="W3335" s="177">
        <f>_xll.qlCalendarAdvance(Calendar,W3334,V3335,"f",FALSE)</f>
        <v>62345</v>
      </c>
      <c r="X3335" s="181">
        <f>_xll.qlCalendarAdvance(Calendar,W3335,NDays&amp;"D")</f>
        <v>62347</v>
      </c>
      <c r="Y3335" s="178">
        <v>2.036331393340584E-2</v>
      </c>
      <c r="Z3335" s="183">
        <v>2.0122603208436729E-2</v>
      </c>
    </row>
    <row r="3336" spans="22:26" x14ac:dyDescent="0.2">
      <c r="V3336" s="180" t="str">
        <f t="shared" si="59"/>
        <v>1w</v>
      </c>
      <c r="W3336" s="177">
        <f>_xll.qlCalendarAdvance(Calendar,W3335,V3336,"f",FALSE)</f>
        <v>62352</v>
      </c>
      <c r="X3336" s="181">
        <f>_xll.qlCalendarAdvance(Calendar,W3336,NDays&amp;"D")</f>
        <v>62354</v>
      </c>
      <c r="Y3336" s="178">
        <v>2.0364583996174E-2</v>
      </c>
      <c r="Z3336" s="183">
        <v>2.0124017940288397E-2</v>
      </c>
    </row>
    <row r="3337" spans="22:26" x14ac:dyDescent="0.2">
      <c r="V3337" s="180" t="str">
        <f t="shared" si="59"/>
        <v>1w</v>
      </c>
      <c r="W3337" s="177">
        <f>_xll.qlCalendarAdvance(Calendar,W3336,V3337,"f",FALSE)</f>
        <v>62359</v>
      </c>
      <c r="X3337" s="181">
        <f>_xll.qlCalendarAdvance(Calendar,W3337,NDays&amp;"D")</f>
        <v>62361</v>
      </c>
      <c r="Y3337" s="178">
        <v>2.0365847375991637E-2</v>
      </c>
      <c r="Z3337" s="183">
        <v>2.0125426122419299E-2</v>
      </c>
    </row>
    <row r="3338" spans="22:26" x14ac:dyDescent="0.2">
      <c r="V3338" s="180" t="str">
        <f t="shared" si="59"/>
        <v>1w</v>
      </c>
      <c r="W3338" s="177">
        <f>_xll.qlCalendarAdvance(Calendar,W3337,V3338,"f",FALSE)</f>
        <v>62366</v>
      </c>
      <c r="X3338" s="181">
        <f>_xll.qlCalendarAdvance(Calendar,W3338,NDays&amp;"D")</f>
        <v>62368</v>
      </c>
      <c r="Y3338" s="178">
        <v>2.0367104072832914E-2</v>
      </c>
      <c r="Z3338" s="183">
        <v>2.0126827754989307E-2</v>
      </c>
    </row>
    <row r="3339" spans="22:26" x14ac:dyDescent="0.2">
      <c r="V3339" s="180" t="str">
        <f t="shared" si="59"/>
        <v>1w</v>
      </c>
      <c r="W3339" s="177">
        <f>_xll.qlCalendarAdvance(Calendar,W3338,V3339,"f",FALSE)</f>
        <v>62373</v>
      </c>
      <c r="X3339" s="181">
        <f>_xll.qlCalendarAdvance(Calendar,W3339,NDays&amp;"D")</f>
        <v>62375</v>
      </c>
      <c r="Y3339" s="178">
        <v>2.0368354086672417E-2</v>
      </c>
      <c r="Z3339" s="183">
        <v>2.012822283783855E-2</v>
      </c>
    </row>
    <row r="3340" spans="22:26" x14ac:dyDescent="0.2">
      <c r="V3340" s="180" t="str">
        <f t="shared" si="59"/>
        <v>1w</v>
      </c>
      <c r="W3340" s="177">
        <f>_xll.qlCalendarAdvance(Calendar,W3339,V3340,"f",FALSE)</f>
        <v>62380</v>
      </c>
      <c r="X3340" s="181">
        <f>_xll.qlCalendarAdvance(Calendar,W3340,NDays&amp;"D")</f>
        <v>62382</v>
      </c>
      <c r="Y3340" s="178">
        <v>2.0369597417486066E-2</v>
      </c>
      <c r="Z3340" s="183">
        <v>2.0129611370967027E-2</v>
      </c>
    </row>
    <row r="3341" spans="22:26" x14ac:dyDescent="0.2">
      <c r="V3341" s="180" t="str">
        <f t="shared" si="59"/>
        <v>1w</v>
      </c>
      <c r="W3341" s="177">
        <f>_xll.qlCalendarAdvance(Calendar,W3340,V3341,"f",FALSE)</f>
        <v>62387</v>
      </c>
      <c r="X3341" s="181">
        <f>_xll.qlCalendarAdvance(Calendar,W3341,NDays&amp;"D")</f>
        <v>62389</v>
      </c>
      <c r="Y3341" s="178">
        <v>2.0370834065248668E-2</v>
      </c>
      <c r="Z3341" s="183">
        <v>2.0130993354454674E-2</v>
      </c>
    </row>
    <row r="3342" spans="22:26" x14ac:dyDescent="0.2">
      <c r="V3342" s="180" t="str">
        <f t="shared" si="59"/>
        <v>1w</v>
      </c>
      <c r="W3342" s="177">
        <f>_xll.qlCalendarAdvance(Calendar,W3341,V3342,"f",FALSE)</f>
        <v>62394</v>
      </c>
      <c r="X3342" s="181">
        <f>_xll.qlCalendarAdvance(Calendar,W3342,NDays&amp;"D")</f>
        <v>62396</v>
      </c>
      <c r="Y3342" s="178">
        <v>2.037206402993548E-2</v>
      </c>
      <c r="Z3342" s="183">
        <v>2.0132368788221555E-2</v>
      </c>
    </row>
    <row r="3343" spans="22:26" x14ac:dyDescent="0.2">
      <c r="V3343" s="180" t="str">
        <f t="shared" si="59"/>
        <v>1w</v>
      </c>
      <c r="W3343" s="177">
        <f>_xll.qlCalendarAdvance(Calendar,W3342,V3343,"f",FALSE)</f>
        <v>62401</v>
      </c>
      <c r="X3343" s="181">
        <f>_xll.qlCalendarAdvance(Calendar,W3343,NDays&amp;"D")</f>
        <v>62403</v>
      </c>
      <c r="Y3343" s="178">
        <v>2.0373287311522194E-2</v>
      </c>
      <c r="Z3343" s="183">
        <v>2.0133737672427543E-2</v>
      </c>
    </row>
    <row r="3344" spans="22:26" x14ac:dyDescent="0.2">
      <c r="V3344" s="180" t="str">
        <f t="shared" si="59"/>
        <v>1w</v>
      </c>
      <c r="W3344" s="177">
        <f>_xll.qlCalendarAdvance(Calendar,W3343,V3344,"f",FALSE)</f>
        <v>62408</v>
      </c>
      <c r="X3344" s="181">
        <f>_xll.qlCalendarAdvance(Calendar,W3344,NDays&amp;"D")</f>
        <v>62410</v>
      </c>
      <c r="Y3344" s="178">
        <v>2.0374503909984493E-2</v>
      </c>
      <c r="Z3344" s="183">
        <v>2.0135100006832829E-2</v>
      </c>
    </row>
    <row r="3345" spans="22:26" x14ac:dyDescent="0.2">
      <c r="V3345" s="180" t="str">
        <f t="shared" si="59"/>
        <v>1w</v>
      </c>
      <c r="W3345" s="177">
        <f>_xll.qlCalendarAdvance(Calendar,W3344,V3345,"f",FALSE)</f>
        <v>62415</v>
      </c>
      <c r="X3345" s="181">
        <f>_xll.qlCalendarAdvance(Calendar,W3345,NDays&amp;"D")</f>
        <v>62417</v>
      </c>
      <c r="Y3345" s="178">
        <v>2.0375713825297858E-2</v>
      </c>
      <c r="Z3345" s="183">
        <v>2.0136455791517349E-2</v>
      </c>
    </row>
    <row r="3346" spans="22:26" x14ac:dyDescent="0.2">
      <c r="V3346" s="180" t="str">
        <f t="shared" si="59"/>
        <v>1w</v>
      </c>
      <c r="W3346" s="177">
        <f>_xll.qlCalendarAdvance(Calendar,W3345,V3346,"f",FALSE)</f>
        <v>62422</v>
      </c>
      <c r="X3346" s="181">
        <f>_xll.qlCalendarAdvance(Calendar,W3346,NDays&amp;"D")</f>
        <v>62424</v>
      </c>
      <c r="Y3346" s="178">
        <v>2.0376917057438628E-2</v>
      </c>
      <c r="Z3346" s="183">
        <v>2.0137805026720912E-2</v>
      </c>
    </row>
    <row r="3347" spans="22:26" x14ac:dyDescent="0.2">
      <c r="V3347" s="180" t="str">
        <f t="shared" si="59"/>
        <v>1w</v>
      </c>
      <c r="W3347" s="177">
        <f>_xll.qlCalendarAdvance(Calendar,W3346,V3347,"f",FALSE)</f>
        <v>62429</v>
      </c>
      <c r="X3347" s="181">
        <f>_xll.qlCalendarAdvance(Calendar,W3347,NDays&amp;"D")</f>
        <v>62431</v>
      </c>
      <c r="Y3347" s="178">
        <v>2.0378113606382722E-2</v>
      </c>
      <c r="Z3347" s="183">
        <v>2.0139147712123773E-2</v>
      </c>
    </row>
    <row r="3348" spans="22:26" x14ac:dyDescent="0.2">
      <c r="V3348" s="180" t="str">
        <f t="shared" si="59"/>
        <v>1w</v>
      </c>
      <c r="W3348" s="177">
        <f>_xll.qlCalendarAdvance(Calendar,W3347,V3348,"f",FALSE)</f>
        <v>62436</v>
      </c>
      <c r="X3348" s="181">
        <f>_xll.qlCalendarAdvance(Calendar,W3348,NDays&amp;"D")</f>
        <v>62438</v>
      </c>
      <c r="Y3348" s="178">
        <v>2.037930347210604E-2</v>
      </c>
      <c r="Z3348" s="183">
        <v>2.0140483847805868E-2</v>
      </c>
    </row>
    <row r="3349" spans="22:26" x14ac:dyDescent="0.2">
      <c r="V3349" s="180" t="str">
        <f t="shared" ref="V3349:V3412" si="60">V3348</f>
        <v>1w</v>
      </c>
      <c r="W3349" s="177">
        <f>_xll.qlCalendarAdvance(Calendar,W3348,V3349,"f",FALSE)</f>
        <v>62443</v>
      </c>
      <c r="X3349" s="181">
        <f>_xll.qlCalendarAdvance(Calendar,W3349,NDays&amp;"D")</f>
        <v>62445</v>
      </c>
      <c r="Y3349" s="178">
        <v>2.0380486654584938E-2</v>
      </c>
      <c r="Z3349" s="183">
        <v>2.0141813433927069E-2</v>
      </c>
    </row>
    <row r="3350" spans="22:26" x14ac:dyDescent="0.2">
      <c r="V3350" s="180" t="str">
        <f t="shared" si="60"/>
        <v>1w</v>
      </c>
      <c r="W3350" s="177">
        <f>_xll.qlCalendarAdvance(Calendar,W3349,V3350,"f",FALSE)</f>
        <v>62450</v>
      </c>
      <c r="X3350" s="181">
        <f>_xll.qlCalendarAdvance(Calendar,W3350,NDays&amp;"D")</f>
        <v>62456</v>
      </c>
      <c r="Y3350" s="178">
        <v>2.0382332438399604E-2</v>
      </c>
      <c r="Z3350" s="183">
        <v>2.0143889550405802E-2</v>
      </c>
    </row>
    <row r="3351" spans="22:26" x14ac:dyDescent="0.2">
      <c r="V3351" s="180" t="str">
        <f t="shared" si="60"/>
        <v>1w</v>
      </c>
      <c r="W3351" s="177">
        <f>_xll.qlCalendarAdvance(Calendar,W3350,V3351,"f",FALSE)</f>
        <v>62457</v>
      </c>
      <c r="X3351" s="181">
        <f>_xll.qlCalendarAdvance(Calendar,W3351,NDays&amp;"D")</f>
        <v>62460</v>
      </c>
      <c r="Y3351" s="178">
        <v>2.0384303919338872E-2</v>
      </c>
      <c r="Z3351" s="183">
        <v>2.0145955130832505E-2</v>
      </c>
    </row>
    <row r="3352" spans="22:26" x14ac:dyDescent="0.2">
      <c r="V3352" s="180" t="str">
        <f t="shared" si="60"/>
        <v>1w</v>
      </c>
      <c r="W3352" s="177">
        <f>_xll.qlCalendarAdvance(Calendar,W3351,V3352,"f",FALSE)</f>
        <v>62464</v>
      </c>
      <c r="X3352" s="181">
        <f>_xll.qlCalendarAdvance(Calendar,W3352,NDays&amp;"D")</f>
        <v>62466</v>
      </c>
      <c r="Y3352" s="178">
        <v>2.0383996102320751E-2</v>
      </c>
      <c r="Z3352" s="183">
        <v>2.0145762893966079E-2</v>
      </c>
    </row>
    <row r="3353" spans="22:26" x14ac:dyDescent="0.2">
      <c r="V3353" s="180" t="str">
        <f t="shared" si="60"/>
        <v>1w</v>
      </c>
      <c r="W3353" s="177">
        <f>_xll.qlCalendarAdvance(Calendar,W3352,V3353,"f",FALSE)</f>
        <v>62471</v>
      </c>
      <c r="X3353" s="181">
        <f>_xll.qlCalendarAdvance(Calendar,W3353,NDays&amp;"D")</f>
        <v>62473</v>
      </c>
      <c r="Y3353" s="178">
        <v>2.0385152551588057E-2</v>
      </c>
      <c r="Z3353" s="183">
        <v>2.0147066281284154E-2</v>
      </c>
    </row>
    <row r="3354" spans="22:26" x14ac:dyDescent="0.2">
      <c r="V3354" s="180" t="str">
        <f t="shared" si="60"/>
        <v>1w</v>
      </c>
      <c r="W3354" s="177">
        <f>_xll.qlCalendarAdvance(Calendar,W3353,V3354,"f",FALSE)</f>
        <v>62478</v>
      </c>
      <c r="X3354" s="181">
        <f>_xll.qlCalendarAdvance(Calendar,W3354,NDays&amp;"D")</f>
        <v>62480</v>
      </c>
      <c r="Y3354" s="178">
        <v>2.0386302317494432E-2</v>
      </c>
      <c r="Z3354" s="183">
        <v>2.0148363118961399E-2</v>
      </c>
    </row>
    <row r="3355" spans="22:26" x14ac:dyDescent="0.2">
      <c r="V3355" s="180" t="str">
        <f t="shared" si="60"/>
        <v>1w</v>
      </c>
      <c r="W3355" s="177">
        <f>_xll.qlCalendarAdvance(Calendar,W3354,V3355,"f",FALSE)</f>
        <v>62485</v>
      </c>
      <c r="X3355" s="181">
        <f>_xll.qlCalendarAdvance(Calendar,W3355,NDays&amp;"D")</f>
        <v>62487</v>
      </c>
      <c r="Y3355" s="178">
        <v>2.0387445400017093E-2</v>
      </c>
      <c r="Z3355" s="183">
        <v>2.0149653406837942E-2</v>
      </c>
    </row>
    <row r="3356" spans="22:26" x14ac:dyDescent="0.2">
      <c r="V3356" s="180" t="str">
        <f t="shared" si="60"/>
        <v>1w</v>
      </c>
      <c r="W3356" s="177">
        <f>_xll.qlCalendarAdvance(Calendar,W3355,V3356,"f",FALSE)</f>
        <v>62492</v>
      </c>
      <c r="X3356" s="181">
        <f>_xll.qlCalendarAdvance(Calendar,W3356,NDays&amp;"D")</f>
        <v>62494</v>
      </c>
      <c r="Y3356" s="178">
        <v>2.0388581799133054E-2</v>
      </c>
      <c r="Z3356" s="183">
        <v>2.0150937145233527E-2</v>
      </c>
    </row>
    <row r="3357" spans="22:26" x14ac:dyDescent="0.2">
      <c r="V3357" s="180" t="str">
        <f t="shared" si="60"/>
        <v>1w</v>
      </c>
      <c r="W3357" s="177">
        <f>_xll.qlCalendarAdvance(Calendar,W3356,V3357,"f",FALSE)</f>
        <v>62499</v>
      </c>
      <c r="X3357" s="181">
        <f>_xll.qlCalendarAdvance(Calendar,W3357,NDays&amp;"D")</f>
        <v>62501</v>
      </c>
      <c r="Y3357" s="178">
        <v>2.0389711514819969E-2</v>
      </c>
      <c r="Z3357" s="183">
        <v>2.0152214333828411E-2</v>
      </c>
    </row>
    <row r="3358" spans="22:26" x14ac:dyDescent="0.2">
      <c r="V3358" s="180" t="str">
        <f t="shared" si="60"/>
        <v>1w</v>
      </c>
      <c r="W3358" s="177">
        <f>_xll.qlCalendarAdvance(Calendar,W3357,V3358,"f",FALSE)</f>
        <v>62506</v>
      </c>
      <c r="X3358" s="181">
        <f>_xll.qlCalendarAdvance(Calendar,W3358,NDays&amp;"D")</f>
        <v>62508</v>
      </c>
      <c r="Y3358" s="178">
        <v>2.0390834547055505E-2</v>
      </c>
      <c r="Z3358" s="183">
        <v>2.0153484972702529E-2</v>
      </c>
    </row>
    <row r="3359" spans="22:26" x14ac:dyDescent="0.2">
      <c r="V3359" s="180" t="str">
        <f t="shared" si="60"/>
        <v>1w</v>
      </c>
      <c r="W3359" s="177">
        <f>_xll.qlCalendarAdvance(Calendar,W3358,V3359,"f",FALSE)</f>
        <v>62513</v>
      </c>
      <c r="X3359" s="181">
        <f>_xll.qlCalendarAdvance(Calendar,W3359,NDays&amp;"D")</f>
        <v>62515</v>
      </c>
      <c r="Y3359" s="178">
        <v>2.0391950895816663E-2</v>
      </c>
      <c r="Z3359" s="183">
        <v>2.0154749061935817E-2</v>
      </c>
    </row>
    <row r="3360" spans="22:26" x14ac:dyDescent="0.2">
      <c r="V3360" s="180" t="str">
        <f t="shared" si="60"/>
        <v>1w</v>
      </c>
      <c r="W3360" s="177">
        <f>_xll.qlCalendarAdvance(Calendar,W3359,V3360,"f",FALSE)</f>
        <v>62520</v>
      </c>
      <c r="X3360" s="181">
        <f>_xll.qlCalendarAdvance(Calendar,W3360,NDays&amp;"D")</f>
        <v>62522</v>
      </c>
      <c r="Y3360" s="178">
        <v>2.0395006111280766E-2</v>
      </c>
      <c r="Z3360" s="183">
        <v>2.0156006601528276E-2</v>
      </c>
    </row>
    <row r="3361" spans="22:26" x14ac:dyDescent="0.2">
      <c r="V3361" s="180" t="str">
        <f t="shared" si="60"/>
        <v>1w</v>
      </c>
      <c r="W3361" s="177">
        <f>_xll.qlCalendarAdvance(Calendar,W3360,V3361,"f",FALSE)</f>
        <v>62527</v>
      </c>
      <c r="X3361" s="181">
        <f>_xll.qlCalendarAdvance(Calendar,W3361,NDays&amp;"D")</f>
        <v>62529</v>
      </c>
      <c r="Y3361" s="178">
        <v>2.0396107846141282E-2</v>
      </c>
      <c r="Z3361" s="183">
        <v>2.0157257591399969E-2</v>
      </c>
    </row>
    <row r="3362" spans="22:26" x14ac:dyDescent="0.2">
      <c r="V3362" s="180" t="str">
        <f t="shared" si="60"/>
        <v>1w</v>
      </c>
      <c r="W3362" s="177">
        <f>_xll.qlCalendarAdvance(Calendar,W3361,V3362,"f",FALSE)</f>
        <v>62534</v>
      </c>
      <c r="X3362" s="181">
        <f>_xll.qlCalendarAdvance(Calendar,W3362,NDays&amp;"D")</f>
        <v>62536</v>
      </c>
      <c r="Y3362" s="178">
        <v>2.0397202896342451E-2</v>
      </c>
      <c r="Z3362" s="183">
        <v>2.015850203147096E-2</v>
      </c>
    </row>
    <row r="3363" spans="22:26" x14ac:dyDescent="0.2">
      <c r="V3363" s="180" t="str">
        <f t="shared" si="60"/>
        <v>1w</v>
      </c>
      <c r="W3363" s="177">
        <f>_xll.qlCalendarAdvance(Calendar,W3362,V3363,"f",FALSE)</f>
        <v>62541</v>
      </c>
      <c r="X3363" s="181">
        <f>_xll.qlCalendarAdvance(Calendar,W3363,NDays&amp;"D")</f>
        <v>62543</v>
      </c>
      <c r="Y3363" s="178">
        <v>2.0398291261862767E-2</v>
      </c>
      <c r="Z3363" s="183">
        <v>2.0159739922140929E-2</v>
      </c>
    </row>
    <row r="3364" spans="22:26" x14ac:dyDescent="0.2">
      <c r="V3364" s="180" t="str">
        <f t="shared" si="60"/>
        <v>1w</v>
      </c>
      <c r="W3364" s="177">
        <f>_xll.qlCalendarAdvance(Calendar,W3363,V3364,"f",FALSE)</f>
        <v>62548</v>
      </c>
      <c r="X3364" s="181">
        <f>_xll.qlCalendarAdvance(Calendar,W3364,NDays&amp;"D")</f>
        <v>62550</v>
      </c>
      <c r="Y3364" s="178">
        <v>2.0399372942679208E-2</v>
      </c>
      <c r="Z3364" s="183">
        <v>2.0160971263010197E-2</v>
      </c>
    </row>
    <row r="3365" spans="22:26" x14ac:dyDescent="0.2">
      <c r="V3365" s="180" t="str">
        <f t="shared" si="60"/>
        <v>1w</v>
      </c>
      <c r="W3365" s="177">
        <f>_xll.qlCalendarAdvance(Calendar,W3364,V3365,"f",FALSE)</f>
        <v>62555</v>
      </c>
      <c r="X3365" s="181">
        <f>_xll.qlCalendarAdvance(Calendar,W3365,NDays&amp;"D")</f>
        <v>62557</v>
      </c>
      <c r="Y3365" s="178">
        <v>2.0401094341918318E-2</v>
      </c>
      <c r="Z3365" s="183">
        <v>2.0162196054158699E-2</v>
      </c>
    </row>
    <row r="3366" spans="22:26" x14ac:dyDescent="0.2">
      <c r="V3366" s="180" t="str">
        <f t="shared" si="60"/>
        <v>1w</v>
      </c>
      <c r="W3366" s="177">
        <f>_xll.qlCalendarAdvance(Calendar,W3365,V3366,"f",FALSE)</f>
        <v>62562</v>
      </c>
      <c r="X3366" s="181">
        <f>_xll.qlCalendarAdvance(Calendar,W3366,NDays&amp;"D")</f>
        <v>62564</v>
      </c>
      <c r="Y3366" s="178">
        <v>2.0401516250115301E-2</v>
      </c>
      <c r="Z3366" s="183">
        <v>2.0166019916953104E-2</v>
      </c>
    </row>
    <row r="3367" spans="22:26" x14ac:dyDescent="0.2">
      <c r="V3367" s="180" t="str">
        <f t="shared" si="60"/>
        <v>1w</v>
      </c>
      <c r="W3367" s="177">
        <f>_xll.qlCalendarAdvance(Calendar,W3366,V3367,"f",FALSE)</f>
        <v>62569</v>
      </c>
      <c r="X3367" s="181">
        <f>_xll.qlCalendarAdvance(Calendar,W3367,NDays&amp;"D")</f>
        <v>62571</v>
      </c>
      <c r="Y3367" s="178">
        <v>2.040257787669195E-2</v>
      </c>
      <c r="Z3367" s="183">
        <v>2.0164625987453277E-2</v>
      </c>
    </row>
    <row r="3368" spans="22:26" x14ac:dyDescent="0.2">
      <c r="V3368" s="180" t="str">
        <f t="shared" si="60"/>
        <v>1w</v>
      </c>
      <c r="W3368" s="177">
        <f>_xll.qlCalendarAdvance(Calendar,W3367,V3368,"f",FALSE)</f>
        <v>62576</v>
      </c>
      <c r="X3368" s="181">
        <f>_xll.qlCalendarAdvance(Calendar,W3368,NDays&amp;"D")</f>
        <v>62578</v>
      </c>
      <c r="Y3368" s="178">
        <v>2.0401697274711406E-2</v>
      </c>
      <c r="Z3368" s="183">
        <v>2.0167782964852776E-2</v>
      </c>
    </row>
    <row r="3369" spans="22:26" x14ac:dyDescent="0.2">
      <c r="V3369" s="180" t="str">
        <f t="shared" si="60"/>
        <v>1w</v>
      </c>
      <c r="W3369" s="177">
        <f>_xll.qlCalendarAdvance(Calendar,W3368,V3369,"f",FALSE)</f>
        <v>62583</v>
      </c>
      <c r="X3369" s="181">
        <f>_xll.qlCalendarAdvance(Calendar,W3369,NDays&amp;"D")</f>
        <v>62585</v>
      </c>
      <c r="Y3369" s="178">
        <v>2.0404681075455362E-2</v>
      </c>
      <c r="Z3369" s="183">
        <v>2.0167029721864793E-2</v>
      </c>
    </row>
    <row r="3370" spans="22:26" x14ac:dyDescent="0.2">
      <c r="V3370" s="180" t="str">
        <f t="shared" si="60"/>
        <v>1w</v>
      </c>
      <c r="W3370" s="177">
        <f>_xll.qlCalendarAdvance(Calendar,W3369,V3370,"f",FALSE)</f>
        <v>62590</v>
      </c>
      <c r="X3370" s="181">
        <f>_xll.qlCalendarAdvance(Calendar,W3370,NDays&amp;"D")</f>
        <v>62592</v>
      </c>
      <c r="Y3370" s="178">
        <v>2.0405722647600197E-2</v>
      </c>
      <c r="Z3370" s="183">
        <v>2.0168221764649275E-2</v>
      </c>
    </row>
    <row r="3371" spans="22:26" x14ac:dyDescent="0.2">
      <c r="V3371" s="180" t="str">
        <f t="shared" si="60"/>
        <v>1w</v>
      </c>
      <c r="W3371" s="177">
        <f>_xll.qlCalendarAdvance(Calendar,W3370,V3371,"f",FALSE)</f>
        <v>62597</v>
      </c>
      <c r="X3371" s="181">
        <f>_xll.qlCalendarAdvance(Calendar,W3371,NDays&amp;"D")</f>
        <v>62599</v>
      </c>
      <c r="Y3371" s="178">
        <v>2.0406757534892583E-2</v>
      </c>
      <c r="Z3371" s="183">
        <v>2.0169407257792926E-2</v>
      </c>
    </row>
    <row r="3372" spans="22:26" x14ac:dyDescent="0.2">
      <c r="V3372" s="180" t="str">
        <f t="shared" si="60"/>
        <v>1w</v>
      </c>
      <c r="W3372" s="177">
        <f>_xll.qlCalendarAdvance(Calendar,W3371,V3372,"f",FALSE)</f>
        <v>62604</v>
      </c>
      <c r="X3372" s="181">
        <f>_xll.qlCalendarAdvance(Calendar,W3372,NDays&amp;"D")</f>
        <v>62606</v>
      </c>
      <c r="Y3372" s="178">
        <v>2.0407785737311439E-2</v>
      </c>
      <c r="Z3372" s="183">
        <v>2.017058620105594E-2</v>
      </c>
    </row>
    <row r="3373" spans="22:26" x14ac:dyDescent="0.2">
      <c r="V3373" s="180" t="str">
        <f t="shared" si="60"/>
        <v>1w</v>
      </c>
      <c r="W3373" s="177">
        <f>_xll.qlCalendarAdvance(Calendar,W3372,V3373,"f",FALSE)</f>
        <v>62611</v>
      </c>
      <c r="X3373" s="181">
        <f>_xll.qlCalendarAdvance(Calendar,W3373,NDays&amp;"D")</f>
        <v>62613</v>
      </c>
      <c r="Y3373" s="178">
        <v>2.0408807254836139E-2</v>
      </c>
      <c r="Z3373" s="183">
        <v>2.017175859475806E-2</v>
      </c>
    </row>
    <row r="3374" spans="22:26" x14ac:dyDescent="0.2">
      <c r="V3374" s="180" t="str">
        <f t="shared" si="60"/>
        <v>1w</v>
      </c>
      <c r="W3374" s="177">
        <f>_xll.qlCalendarAdvance(Calendar,W3373,V3374,"f",FALSE)</f>
        <v>62618</v>
      </c>
      <c r="X3374" s="181">
        <f>_xll.qlCalendarAdvance(Calendar,W3374,NDays&amp;"D")</f>
        <v>62620</v>
      </c>
      <c r="Y3374" s="178">
        <v>2.0409822087446693E-2</v>
      </c>
      <c r="Z3374" s="183">
        <v>2.0172924438819351E-2</v>
      </c>
    </row>
    <row r="3375" spans="22:26" x14ac:dyDescent="0.2">
      <c r="V3375" s="180" t="str">
        <f t="shared" si="60"/>
        <v>1w</v>
      </c>
      <c r="W3375" s="177">
        <f>_xll.qlCalendarAdvance(Calendar,W3374,V3375,"f",FALSE)</f>
        <v>62625</v>
      </c>
      <c r="X3375" s="181">
        <f>_xll.qlCalendarAdvance(Calendar,W3375,NDays&amp;"D")</f>
        <v>62627</v>
      </c>
      <c r="Y3375" s="178">
        <v>2.0410830235121819E-2</v>
      </c>
      <c r="Z3375" s="183">
        <v>2.0174083733079939E-2</v>
      </c>
    </row>
    <row r="3376" spans="22:26" x14ac:dyDescent="0.2">
      <c r="V3376" s="180" t="str">
        <f t="shared" si="60"/>
        <v>1w</v>
      </c>
      <c r="W3376" s="177">
        <f>_xll.qlCalendarAdvance(Calendar,W3375,V3376,"f",FALSE)</f>
        <v>62632</v>
      </c>
      <c r="X3376" s="181">
        <f>_xll.qlCalendarAdvance(Calendar,W3376,NDays&amp;"D")</f>
        <v>62634</v>
      </c>
      <c r="Y3376" s="178">
        <v>2.0411831697841745E-2</v>
      </c>
      <c r="Z3376" s="183">
        <v>2.0175236477779634E-2</v>
      </c>
    </row>
    <row r="3377" spans="22:26" x14ac:dyDescent="0.2">
      <c r="V3377" s="180" t="str">
        <f t="shared" si="60"/>
        <v>1w</v>
      </c>
      <c r="W3377" s="177">
        <f>_xll.qlCalendarAdvance(Calendar,W3376,V3377,"f",FALSE)</f>
        <v>62639</v>
      </c>
      <c r="X3377" s="181">
        <f>_xll.qlCalendarAdvance(Calendar,W3377,NDays&amp;"D")</f>
        <v>62641</v>
      </c>
      <c r="Y3377" s="178">
        <v>2.0412826475587138E-2</v>
      </c>
      <c r="Z3377" s="183">
        <v>2.0176382672758564E-2</v>
      </c>
    </row>
    <row r="3378" spans="22:26" x14ac:dyDescent="0.2">
      <c r="V3378" s="180" t="str">
        <f t="shared" si="60"/>
        <v>1w</v>
      </c>
      <c r="W3378" s="177">
        <f>_xll.qlCalendarAdvance(Calendar,W3377,V3378,"f",FALSE)</f>
        <v>62646</v>
      </c>
      <c r="X3378" s="181">
        <f>_xll.qlCalendarAdvance(Calendar,W3378,NDays&amp;"D")</f>
        <v>62648</v>
      </c>
      <c r="Y3378" s="178">
        <v>2.0413814568336717E-2</v>
      </c>
      <c r="Z3378" s="183">
        <v>2.0177522318176599E-2</v>
      </c>
    </row>
    <row r="3379" spans="22:26" x14ac:dyDescent="0.2">
      <c r="V3379" s="180" t="str">
        <f t="shared" si="60"/>
        <v>1w</v>
      </c>
      <c r="W3379" s="177">
        <f>_xll.qlCalendarAdvance(Calendar,W3378,V3379,"f",FALSE)</f>
        <v>62653</v>
      </c>
      <c r="X3379" s="181">
        <f>_xll.qlCalendarAdvance(Calendar,W3379,NDays&amp;"D")</f>
        <v>62655</v>
      </c>
      <c r="Y3379" s="178">
        <v>2.0414795976071144E-2</v>
      </c>
      <c r="Z3379" s="183">
        <v>2.0178655413713997E-2</v>
      </c>
    </row>
    <row r="3380" spans="22:26" x14ac:dyDescent="0.2">
      <c r="V3380" s="180" t="str">
        <f t="shared" si="60"/>
        <v>1w</v>
      </c>
      <c r="W3380" s="177">
        <f>_xll.qlCalendarAdvance(Calendar,W3379,V3380,"f",FALSE)</f>
        <v>62660</v>
      </c>
      <c r="X3380" s="181">
        <f>_xll.qlCalendarAdvance(Calendar,W3380,NDays&amp;"D")</f>
        <v>62662</v>
      </c>
      <c r="Y3380" s="178">
        <v>2.0415770698770437E-2</v>
      </c>
      <c r="Z3380" s="183">
        <v>2.0179781959610565E-2</v>
      </c>
    </row>
    <row r="3381" spans="22:26" x14ac:dyDescent="0.2">
      <c r="V3381" s="180" t="str">
        <f t="shared" si="60"/>
        <v>1w</v>
      </c>
      <c r="W3381" s="177">
        <f>_xll.qlCalendarAdvance(Calendar,W3380,V3381,"f",FALSE)</f>
        <v>62667</v>
      </c>
      <c r="X3381" s="181">
        <f>_xll.qlCalendarAdvance(Calendar,W3381,NDays&amp;"D")</f>
        <v>62669</v>
      </c>
      <c r="Y3381" s="178">
        <v>2.041481960604145E-2</v>
      </c>
      <c r="Z3381" s="183">
        <v>2.0180901956026176E-2</v>
      </c>
    </row>
    <row r="3382" spans="22:26" x14ac:dyDescent="0.2">
      <c r="V3382" s="180" t="str">
        <f t="shared" si="60"/>
        <v>1w</v>
      </c>
      <c r="W3382" s="177">
        <f>_xll.qlCalendarAdvance(Calendar,W3381,V3382,"f",FALSE)</f>
        <v>62674</v>
      </c>
      <c r="X3382" s="181">
        <f>_xll.qlCalendarAdvance(Calendar,W3382,NDays&amp;"D")</f>
        <v>62676</v>
      </c>
      <c r="Y3382" s="178">
        <v>2.0417700088987377E-2</v>
      </c>
      <c r="Z3382" s="183">
        <v>2.0182015402481213E-2</v>
      </c>
    </row>
    <row r="3383" spans="22:26" x14ac:dyDescent="0.2">
      <c r="V3383" s="180" t="str">
        <f t="shared" si="60"/>
        <v>1w</v>
      </c>
      <c r="W3383" s="177">
        <f>_xll.qlCalendarAdvance(Calendar,W3382,V3383,"f",FALSE)</f>
        <v>62681</v>
      </c>
      <c r="X3383" s="181">
        <f>_xll.qlCalendarAdvance(Calendar,W3383,NDays&amp;"D")</f>
        <v>62683</v>
      </c>
      <c r="Y3383" s="178">
        <v>2.0418654756465926E-2</v>
      </c>
      <c r="Z3383" s="183">
        <v>2.0183122299375356E-2</v>
      </c>
    </row>
    <row r="3384" spans="22:26" x14ac:dyDescent="0.2">
      <c r="V3384" s="180" t="str">
        <f t="shared" si="60"/>
        <v>1w</v>
      </c>
      <c r="W3384" s="177">
        <f>_xll.qlCalendarAdvance(Calendar,W3383,V3384,"f",FALSE)</f>
        <v>62688</v>
      </c>
      <c r="X3384" s="181">
        <f>_xll.qlCalendarAdvance(Calendar,W3384,NDays&amp;"D")</f>
        <v>62690</v>
      </c>
      <c r="Y3384" s="178">
        <v>2.0419602738831793E-2</v>
      </c>
      <c r="Z3384" s="183">
        <v>2.0184222646468797E-2</v>
      </c>
    </row>
    <row r="3385" spans="22:26" x14ac:dyDescent="0.2">
      <c r="V3385" s="180" t="str">
        <f t="shared" si="60"/>
        <v>1w</v>
      </c>
      <c r="W3385" s="177">
        <f>_xll.qlCalendarAdvance(Calendar,W3384,V3385,"f",FALSE)</f>
        <v>62695</v>
      </c>
      <c r="X3385" s="181">
        <f>_xll.qlCalendarAdvance(Calendar,W3385,NDays&amp;"D")</f>
        <v>62697</v>
      </c>
      <c r="Y3385" s="178">
        <v>2.0420544036066079E-2</v>
      </c>
      <c r="Z3385" s="183">
        <v>2.018531644408128E-2</v>
      </c>
    </row>
    <row r="3386" spans="22:26" x14ac:dyDescent="0.2">
      <c r="V3386" s="180" t="str">
        <f t="shared" si="60"/>
        <v>1w</v>
      </c>
      <c r="W3386" s="177">
        <f>_xll.qlCalendarAdvance(Calendar,W3385,V3386,"f",FALSE)</f>
        <v>62702</v>
      </c>
      <c r="X3386" s="181">
        <f>_xll.qlCalendarAdvance(Calendar,W3386,NDays&amp;"D")</f>
        <v>62704</v>
      </c>
      <c r="Y3386" s="178">
        <v>2.0421478648150328E-2</v>
      </c>
      <c r="Z3386" s="183">
        <v>2.0186403691893062E-2</v>
      </c>
    </row>
    <row r="3387" spans="22:26" x14ac:dyDescent="0.2">
      <c r="V3387" s="180" t="str">
        <f t="shared" si="60"/>
        <v>1w</v>
      </c>
      <c r="W3387" s="177">
        <f>_xll.qlCalendarAdvance(Calendar,W3386,V3387,"f",FALSE)</f>
        <v>62709</v>
      </c>
      <c r="X3387" s="181">
        <f>_xll.qlCalendarAdvance(Calendar,W3387,NDays&amp;"D")</f>
        <v>62711</v>
      </c>
      <c r="Y3387" s="178">
        <v>2.042240657506585E-2</v>
      </c>
      <c r="Z3387" s="183">
        <v>2.018748439014395E-2</v>
      </c>
    </row>
    <row r="3388" spans="22:26" x14ac:dyDescent="0.2">
      <c r="V3388" s="180" t="str">
        <f t="shared" si="60"/>
        <v>1w</v>
      </c>
      <c r="W3388" s="177">
        <f>_xll.qlCalendarAdvance(Calendar,W3387,V3388,"f",FALSE)</f>
        <v>62716</v>
      </c>
      <c r="X3388" s="181">
        <f>_xll.qlCalendarAdvance(Calendar,W3388,NDays&amp;"D")</f>
        <v>62718</v>
      </c>
      <c r="Y3388" s="178">
        <v>2.0423327816793537E-2</v>
      </c>
      <c r="Z3388" s="183">
        <v>2.0188558538514201E-2</v>
      </c>
    </row>
    <row r="3389" spans="22:26" x14ac:dyDescent="0.2">
      <c r="V3389" s="180" t="str">
        <f t="shared" si="60"/>
        <v>1w</v>
      </c>
      <c r="W3389" s="177">
        <f>_xll.qlCalendarAdvance(Calendar,W3388,V3389,"f",FALSE)</f>
        <v>62723</v>
      </c>
      <c r="X3389" s="181">
        <f>_xll.qlCalendarAdvance(Calendar,W3389,NDays&amp;"D")</f>
        <v>62725</v>
      </c>
      <c r="Y3389" s="178">
        <v>2.0424242373314919E-2</v>
      </c>
      <c r="Z3389" s="183">
        <v>2.0189626137403494E-2</v>
      </c>
    </row>
    <row r="3390" spans="22:26" x14ac:dyDescent="0.2">
      <c r="V3390" s="180" t="str">
        <f t="shared" si="60"/>
        <v>1w</v>
      </c>
      <c r="W3390" s="177">
        <f>_xll.qlCalendarAdvance(Calendar,W3389,V3390,"f",FALSE)</f>
        <v>62730</v>
      </c>
      <c r="X3390" s="181">
        <f>_xll.qlCalendarAdvance(Calendar,W3390,NDays&amp;"D")</f>
        <v>62732</v>
      </c>
      <c r="Y3390" s="178">
        <v>2.0425150244611973E-2</v>
      </c>
      <c r="Z3390" s="183">
        <v>2.0190687186572021E-2</v>
      </c>
    </row>
    <row r="3391" spans="22:26" x14ac:dyDescent="0.2">
      <c r="V3391" s="180" t="str">
        <f t="shared" si="60"/>
        <v>1w</v>
      </c>
      <c r="W3391" s="177">
        <f>_xll.qlCalendarAdvance(Calendar,W3390,V3391,"f",FALSE)</f>
        <v>62737</v>
      </c>
      <c r="X3391" s="181">
        <f>_xll.qlCalendarAdvance(Calendar,W3391,NDays&amp;"D")</f>
        <v>62739</v>
      </c>
      <c r="Y3391" s="178">
        <v>2.0426051430665799E-2</v>
      </c>
      <c r="Z3391" s="183">
        <v>2.019174168585991E-2</v>
      </c>
    </row>
    <row r="3392" spans="22:26" x14ac:dyDescent="0.2">
      <c r="V3392" s="180" t="str">
        <f t="shared" si="60"/>
        <v>1w</v>
      </c>
      <c r="W3392" s="177">
        <f>_xll.qlCalendarAdvance(Calendar,W3391,V3392,"f",FALSE)</f>
        <v>62744</v>
      </c>
      <c r="X3392" s="181">
        <f>_xll.qlCalendarAdvance(Calendar,W3392,NDays&amp;"D")</f>
        <v>62746</v>
      </c>
      <c r="Y3392" s="178">
        <v>2.0426945931459235E-2</v>
      </c>
      <c r="Z3392" s="183">
        <v>2.0192789635666841E-2</v>
      </c>
    </row>
    <row r="3393" spans="22:26" x14ac:dyDescent="0.2">
      <c r="V3393" s="180" t="str">
        <f t="shared" si="60"/>
        <v>1w</v>
      </c>
      <c r="W3393" s="177">
        <f>_xll.qlCalendarAdvance(Calendar,W3392,V3393,"f",FALSE)</f>
        <v>62751</v>
      </c>
      <c r="X3393" s="181">
        <f>_xll.qlCalendarAdvance(Calendar,W3393,NDays&amp;"D")</f>
        <v>62753</v>
      </c>
      <c r="Y3393" s="178">
        <v>2.0427833746973382E-2</v>
      </c>
      <c r="Z3393" s="183">
        <v>2.0193831035753007E-2</v>
      </c>
    </row>
    <row r="3394" spans="22:26" x14ac:dyDescent="0.2">
      <c r="V3394" s="180" t="str">
        <f t="shared" si="60"/>
        <v>1w</v>
      </c>
      <c r="W3394" s="177">
        <f>_xll.qlCalendarAdvance(Calendar,W3393,V3394,"f",FALSE)</f>
        <v>62758</v>
      </c>
      <c r="X3394" s="181">
        <f>_xll.qlCalendarAdvance(Calendar,W3394,NDays&amp;"D")</f>
        <v>62760</v>
      </c>
      <c r="Y3394" s="178">
        <v>2.0428714877191303E-2</v>
      </c>
      <c r="Z3394" s="183">
        <v>2.0194865886038471E-2</v>
      </c>
    </row>
    <row r="3395" spans="22:26" x14ac:dyDescent="0.2">
      <c r="V3395" s="180" t="str">
        <f t="shared" si="60"/>
        <v>1w</v>
      </c>
      <c r="W3395" s="177">
        <f>_xll.qlCalendarAdvance(Calendar,W3394,V3395,"f",FALSE)</f>
        <v>62765</v>
      </c>
      <c r="X3395" s="181">
        <f>_xll.qlCalendarAdvance(Calendar,W3395,NDays&amp;"D")</f>
        <v>62767</v>
      </c>
      <c r="Y3395" s="178">
        <v>2.0429589322094311E-2</v>
      </c>
      <c r="Z3395" s="183">
        <v>2.0195894186603169E-2</v>
      </c>
    </row>
    <row r="3396" spans="22:26" x14ac:dyDescent="0.2">
      <c r="V3396" s="180" t="str">
        <f t="shared" si="60"/>
        <v>1w</v>
      </c>
      <c r="W3396" s="177">
        <f>_xll.qlCalendarAdvance(Calendar,W3395,V3396,"f",FALSE)</f>
        <v>62772</v>
      </c>
      <c r="X3396" s="181">
        <f>_xll.qlCalendarAdvance(Calendar,W3396,NDays&amp;"D")</f>
        <v>62774</v>
      </c>
      <c r="Y3396" s="178">
        <v>2.0430457081666117E-2</v>
      </c>
      <c r="Z3396" s="183">
        <v>2.0196915937766846E-2</v>
      </c>
    </row>
    <row r="3397" spans="22:26" x14ac:dyDescent="0.2">
      <c r="V3397" s="180" t="str">
        <f t="shared" si="60"/>
        <v>1w</v>
      </c>
      <c r="W3397" s="177">
        <f>_xll.qlCalendarAdvance(Calendar,W3396,V3397,"f",FALSE)</f>
        <v>62779</v>
      </c>
      <c r="X3397" s="181">
        <f>_xll.qlCalendarAdvance(Calendar,W3397,NDays&amp;"D")</f>
        <v>62781</v>
      </c>
      <c r="Y3397" s="178">
        <v>2.0431318155887827E-2</v>
      </c>
      <c r="Z3397" s="183">
        <v>2.0197931139049885E-2</v>
      </c>
    </row>
    <row r="3398" spans="22:26" x14ac:dyDescent="0.2">
      <c r="V3398" s="180" t="str">
        <f t="shared" si="60"/>
        <v>1w</v>
      </c>
      <c r="W3398" s="177">
        <f>_xll.qlCalendarAdvance(Calendar,W3397,V3398,"f",FALSE)</f>
        <v>62786</v>
      </c>
      <c r="X3398" s="181">
        <f>_xll.qlCalendarAdvance(Calendar,W3398,NDays&amp;"D")</f>
        <v>62788</v>
      </c>
      <c r="Y3398" s="178">
        <v>2.043217254474336E-2</v>
      </c>
      <c r="Z3398" s="183">
        <v>2.0198939790612158E-2</v>
      </c>
    </row>
    <row r="3399" spans="22:26" x14ac:dyDescent="0.2">
      <c r="V3399" s="180" t="str">
        <f t="shared" si="60"/>
        <v>1w</v>
      </c>
      <c r="W3399" s="177">
        <f>_xll.qlCalendarAdvance(Calendar,W3398,V3399,"f",FALSE)</f>
        <v>62793</v>
      </c>
      <c r="X3399" s="181">
        <f>_xll.qlCalendarAdvance(Calendar,W3399,NDays&amp;"D")</f>
        <v>62795</v>
      </c>
      <c r="Y3399" s="178">
        <v>2.0433020248215125E-2</v>
      </c>
      <c r="Z3399" s="183">
        <v>2.0199941892613538E-2</v>
      </c>
    </row>
    <row r="3400" spans="22:26" x14ac:dyDescent="0.2">
      <c r="V3400" s="180" t="str">
        <f t="shared" si="60"/>
        <v>1w</v>
      </c>
      <c r="W3400" s="177">
        <f>_xll.qlCalendarAdvance(Calendar,W3399,V3400,"f",FALSE)</f>
        <v>62800</v>
      </c>
      <c r="X3400" s="181">
        <f>_xll.qlCalendarAdvance(Calendar,W3400,NDays&amp;"D")</f>
        <v>62802</v>
      </c>
      <c r="Y3400" s="178">
        <v>2.0433861266285745E-2</v>
      </c>
      <c r="Z3400" s="183">
        <v>2.0200937444974087E-2</v>
      </c>
    </row>
    <row r="3401" spans="22:26" x14ac:dyDescent="0.2">
      <c r="V3401" s="180" t="str">
        <f t="shared" si="60"/>
        <v>1w</v>
      </c>
      <c r="W3401" s="177">
        <f>_xll.qlCalendarAdvance(Calendar,W3400,V3401,"f",FALSE)</f>
        <v>62807</v>
      </c>
      <c r="X3401" s="181">
        <f>_xll.qlCalendarAdvance(Calendar,W3401,NDays&amp;"D")</f>
        <v>62809</v>
      </c>
      <c r="Y3401" s="178">
        <v>2.0434695598938929E-2</v>
      </c>
      <c r="Z3401" s="183">
        <v>2.0201926447613872E-2</v>
      </c>
    </row>
    <row r="3402" spans="22:26" x14ac:dyDescent="0.2">
      <c r="V3402" s="180" t="str">
        <f t="shared" si="60"/>
        <v>1w</v>
      </c>
      <c r="W3402" s="177">
        <f>_xll.qlCalendarAdvance(Calendar,W3401,V3402,"f",FALSE)</f>
        <v>62814</v>
      </c>
      <c r="X3402" s="181">
        <f>_xll.qlCalendarAdvance(Calendar,W3402,NDays&amp;"D")</f>
        <v>62816</v>
      </c>
      <c r="Y3402" s="178">
        <v>2.0436153949300564E-2</v>
      </c>
      <c r="Z3402" s="183">
        <v>2.0204819245674965E-2</v>
      </c>
    </row>
    <row r="3403" spans="22:26" x14ac:dyDescent="0.2">
      <c r="V3403" s="180" t="str">
        <f t="shared" si="60"/>
        <v>1w</v>
      </c>
      <c r="W3403" s="177">
        <f>_xll.qlCalendarAdvance(Calendar,W3402,V3403,"f",FALSE)</f>
        <v>62821</v>
      </c>
      <c r="X3403" s="181">
        <f>_xll.qlCalendarAdvance(Calendar,W3403,NDays&amp;"D")</f>
        <v>62823</v>
      </c>
      <c r="Y3403" s="178">
        <v>2.0434453286183957E-2</v>
      </c>
      <c r="Z3403" s="183">
        <v>2.0205793909484626E-2</v>
      </c>
    </row>
    <row r="3404" spans="22:26" x14ac:dyDescent="0.2">
      <c r="V3404" s="180" t="str">
        <f t="shared" si="60"/>
        <v>1w</v>
      </c>
      <c r="W3404" s="177">
        <f>_xll.qlCalendarAdvance(Calendar,W3403,V3404,"f",FALSE)</f>
        <v>62828</v>
      </c>
      <c r="X3404" s="181">
        <f>_xll.qlCalendarAdvance(Calendar,W3404,NDays&amp;"D")</f>
        <v>62830</v>
      </c>
      <c r="Y3404" s="178">
        <v>2.0437158484224643E-2</v>
      </c>
      <c r="Z3404" s="183">
        <v>2.0204854157288565E-2</v>
      </c>
    </row>
    <row r="3405" spans="22:26" x14ac:dyDescent="0.2">
      <c r="V3405" s="180" t="str">
        <f t="shared" si="60"/>
        <v>1w</v>
      </c>
      <c r="W3405" s="177">
        <f>_xll.qlCalendarAdvance(Calendar,W3404,V3405,"f",FALSE)</f>
        <v>62835</v>
      </c>
      <c r="X3405" s="181">
        <f>_xll.qlCalendarAdvance(Calendar,W3405,NDays&amp;"D")</f>
        <v>62837</v>
      </c>
      <c r="Y3405" s="178">
        <v>2.0437966075040385E-2</v>
      </c>
      <c r="Z3405" s="183">
        <v>2.0205816961125223E-2</v>
      </c>
    </row>
    <row r="3406" spans="22:26" x14ac:dyDescent="0.2">
      <c r="V3406" s="180" t="str">
        <f t="shared" si="60"/>
        <v>1w</v>
      </c>
      <c r="W3406" s="177">
        <f>_xll.qlCalendarAdvance(Calendar,W3405,V3406,"f",FALSE)</f>
        <v>62842</v>
      </c>
      <c r="X3406" s="181">
        <f>_xll.qlCalendarAdvance(Calendar,W3406,NDays&amp;"D")</f>
        <v>62844</v>
      </c>
      <c r="Y3406" s="178">
        <v>2.0438766980355932E-2</v>
      </c>
      <c r="Z3406" s="183">
        <v>2.0206773215161178E-2</v>
      </c>
    </row>
    <row r="3407" spans="22:26" x14ac:dyDescent="0.2">
      <c r="V3407" s="180" t="str">
        <f t="shared" si="60"/>
        <v>1w</v>
      </c>
      <c r="W3407" s="177">
        <f>_xll.qlCalendarAdvance(Calendar,W3406,V3407,"f",FALSE)</f>
        <v>62849</v>
      </c>
      <c r="X3407" s="181">
        <f>_xll.qlCalendarAdvance(Calendar,W3407,NDays&amp;"D")</f>
        <v>62851</v>
      </c>
      <c r="Y3407" s="178">
        <v>2.0439561200155641E-2</v>
      </c>
      <c r="Z3407" s="183">
        <v>2.0207722919796112E-2</v>
      </c>
    </row>
    <row r="3408" spans="22:26" x14ac:dyDescent="0.2">
      <c r="V3408" s="180" t="str">
        <f t="shared" si="60"/>
        <v>1w</v>
      </c>
      <c r="W3408" s="177">
        <f>_xll.qlCalendarAdvance(Calendar,W3407,V3408,"f",FALSE)</f>
        <v>62856</v>
      </c>
      <c r="X3408" s="181">
        <f>_xll.qlCalendarAdvance(Calendar,W3408,NDays&amp;"D")</f>
        <v>62858</v>
      </c>
      <c r="Y3408" s="178">
        <v>2.0440348734422572E-2</v>
      </c>
      <c r="Z3408" s="183">
        <v>2.0208666074550408E-2</v>
      </c>
    </row>
    <row r="3409" spans="22:26" x14ac:dyDescent="0.2">
      <c r="V3409" s="180" t="str">
        <f t="shared" si="60"/>
        <v>1w</v>
      </c>
      <c r="W3409" s="177">
        <f>_xll.qlCalendarAdvance(Calendar,W3408,V3409,"f",FALSE)</f>
        <v>62863</v>
      </c>
      <c r="X3409" s="181">
        <f>_xll.qlCalendarAdvance(Calendar,W3409,NDays&amp;"D")</f>
        <v>62865</v>
      </c>
      <c r="Y3409" s="178">
        <v>2.044112958314195E-2</v>
      </c>
      <c r="Z3409" s="183">
        <v>2.0209602679663874E-2</v>
      </c>
    </row>
    <row r="3410" spans="22:26" x14ac:dyDescent="0.2">
      <c r="V3410" s="180" t="str">
        <f t="shared" si="60"/>
        <v>1w</v>
      </c>
      <c r="W3410" s="177">
        <f>_xll.qlCalendarAdvance(Calendar,W3409,V3410,"f",FALSE)</f>
        <v>62870</v>
      </c>
      <c r="X3410" s="181">
        <f>_xll.qlCalendarAdvance(Calendar,W3410,NDays&amp;"D")</f>
        <v>62872</v>
      </c>
      <c r="Y3410" s="178">
        <v>2.0441903746297705E-2</v>
      </c>
      <c r="Z3410" s="183">
        <v>2.0210532735216447E-2</v>
      </c>
    </row>
    <row r="3411" spans="22:26" x14ac:dyDescent="0.2">
      <c r="V3411" s="180" t="str">
        <f t="shared" si="60"/>
        <v>1w</v>
      </c>
      <c r="W3411" s="177">
        <f>_xll.qlCalendarAdvance(Calendar,W3410,V3411,"f",FALSE)</f>
        <v>62877</v>
      </c>
      <c r="X3411" s="181">
        <f>_xll.qlCalendarAdvance(Calendar,W3411,NDays&amp;"D")</f>
        <v>62879</v>
      </c>
      <c r="Y3411" s="178">
        <v>2.0442671223873762E-2</v>
      </c>
      <c r="Z3411" s="183">
        <v>2.0211456240968317E-2</v>
      </c>
    </row>
    <row r="3412" spans="22:26" x14ac:dyDescent="0.2">
      <c r="V3412" s="180" t="str">
        <f t="shared" si="60"/>
        <v>1w</v>
      </c>
      <c r="W3412" s="177">
        <f>_xll.qlCalendarAdvance(Calendar,W3411,V3412,"f",FALSE)</f>
        <v>62884</v>
      </c>
      <c r="X3412" s="181">
        <f>_xll.qlCalendarAdvance(Calendar,W3412,NDays&amp;"D")</f>
        <v>62886</v>
      </c>
      <c r="Y3412" s="178">
        <v>2.0441552790834094E-2</v>
      </c>
      <c r="Z3412" s="183">
        <v>2.0212373196999422E-2</v>
      </c>
    </row>
    <row r="3413" spans="22:26" x14ac:dyDescent="0.2">
      <c r="V3413" s="180" t="str">
        <f t="shared" ref="V3413:V3476" si="61">V3412</f>
        <v>1w</v>
      </c>
      <c r="W3413" s="177">
        <f>_xll.qlCalendarAdvance(Calendar,W3412,V3413,"f",FALSE)</f>
        <v>62891</v>
      </c>
      <c r="X3413" s="181">
        <f>_xll.qlCalendarAdvance(Calendar,W3413,NDays&amp;"D")</f>
        <v>62893</v>
      </c>
      <c r="Y3413" s="178">
        <v>2.0442308202467615E-2</v>
      </c>
      <c r="Z3413" s="183">
        <v>2.0213283603309762E-2</v>
      </c>
    </row>
    <row r="3414" spans="22:26" x14ac:dyDescent="0.2">
      <c r="V3414" s="180" t="str">
        <f t="shared" si="61"/>
        <v>1w</v>
      </c>
      <c r="W3414" s="177">
        <f>_xll.qlCalendarAdvance(Calendar,W3413,V3414,"f",FALSE)</f>
        <v>62898</v>
      </c>
      <c r="X3414" s="181">
        <f>_xll.qlCalendarAdvance(Calendar,W3414,NDays&amp;"D")</f>
        <v>62900</v>
      </c>
      <c r="Y3414" s="178">
        <v>2.0443056929602042E-2</v>
      </c>
      <c r="Z3414" s="183">
        <v>2.0214187460059208E-2</v>
      </c>
    </row>
    <row r="3415" spans="22:26" x14ac:dyDescent="0.2">
      <c r="V3415" s="180" t="str">
        <f t="shared" si="61"/>
        <v>1w</v>
      </c>
      <c r="W3415" s="177">
        <f>_xll.qlCalendarAdvance(Calendar,W3414,V3415,"f",FALSE)</f>
        <v>62905</v>
      </c>
      <c r="X3415" s="181">
        <f>_xll.qlCalendarAdvance(Calendar,W3415,NDays&amp;"D")</f>
        <v>62907</v>
      </c>
      <c r="Y3415" s="178">
        <v>2.0446299343264845E-2</v>
      </c>
      <c r="Z3415" s="183">
        <v>2.0215084767087887E-2</v>
      </c>
    </row>
    <row r="3416" spans="22:26" x14ac:dyDescent="0.2">
      <c r="V3416" s="180" t="str">
        <f t="shared" si="61"/>
        <v>1w</v>
      </c>
      <c r="W3416" s="177">
        <f>_xll.qlCalendarAdvance(Calendar,W3415,V3416,"f",FALSE)</f>
        <v>62912</v>
      </c>
      <c r="X3416" s="181">
        <f>_xll.qlCalendarAdvance(Calendar,W3416,NDays&amp;"D")</f>
        <v>62914</v>
      </c>
      <c r="Y3416" s="178">
        <v>2.0444534330313402E-2</v>
      </c>
      <c r="Z3416" s="183">
        <v>2.0215975524395802E-2</v>
      </c>
    </row>
    <row r="3417" spans="22:26" x14ac:dyDescent="0.2">
      <c r="V3417" s="180" t="str">
        <f t="shared" si="61"/>
        <v>1w</v>
      </c>
      <c r="W3417" s="177">
        <f>_xll.qlCalendarAdvance(Calendar,W3416,V3417,"f",FALSE)</f>
        <v>62919</v>
      </c>
      <c r="X3417" s="181">
        <f>_xll.qlCalendarAdvance(Calendar,W3417,NDays&amp;"D")</f>
        <v>62921</v>
      </c>
      <c r="Y3417" s="178">
        <v>2.0445263003860546E-2</v>
      </c>
      <c r="Z3417" s="183">
        <v>2.0219381884677645E-2</v>
      </c>
    </row>
    <row r="3418" spans="22:26" x14ac:dyDescent="0.2">
      <c r="V3418" s="180" t="str">
        <f t="shared" si="61"/>
        <v>1w</v>
      </c>
      <c r="W3418" s="177">
        <f>_xll.qlCalendarAdvance(Calendar,W3417,V3418,"f",FALSE)</f>
        <v>62926</v>
      </c>
      <c r="X3418" s="181">
        <f>_xll.qlCalendarAdvance(Calendar,W3418,NDays&amp;"D")</f>
        <v>62928</v>
      </c>
      <c r="Y3418" s="178">
        <v>2.0445984992849688E-2</v>
      </c>
      <c r="Z3418" s="183">
        <v>2.0217737390089141E-2</v>
      </c>
    </row>
    <row r="3419" spans="22:26" x14ac:dyDescent="0.2">
      <c r="V3419" s="180" t="str">
        <f t="shared" si="61"/>
        <v>1w</v>
      </c>
      <c r="W3419" s="177">
        <f>_xll.qlCalendarAdvance(Calendar,W3418,V3419,"f",FALSE)</f>
        <v>62933</v>
      </c>
      <c r="X3419" s="181">
        <f>_xll.qlCalendarAdvance(Calendar,W3419,NDays&amp;"D")</f>
        <v>62935</v>
      </c>
      <c r="Y3419" s="178">
        <v>2.0446700297266154E-2</v>
      </c>
      <c r="Z3419" s="183">
        <v>2.021860849839463E-2</v>
      </c>
    </row>
    <row r="3420" spans="22:26" x14ac:dyDescent="0.2">
      <c r="V3420" s="180" t="str">
        <f t="shared" si="61"/>
        <v>1w</v>
      </c>
      <c r="W3420" s="177">
        <f>_xll.qlCalendarAdvance(Calendar,W3419,V3420,"f",FALSE)</f>
        <v>62940</v>
      </c>
      <c r="X3420" s="181">
        <f>_xll.qlCalendarAdvance(Calendar,W3420,NDays&amp;"D")</f>
        <v>62942</v>
      </c>
      <c r="Y3420" s="178">
        <v>2.0447408917095709E-2</v>
      </c>
      <c r="Z3420" s="183">
        <v>2.0219473056899417E-2</v>
      </c>
    </row>
    <row r="3421" spans="22:26" x14ac:dyDescent="0.2">
      <c r="V3421" s="180" t="str">
        <f t="shared" si="61"/>
        <v>1w</v>
      </c>
      <c r="W3421" s="177">
        <f>_xll.qlCalendarAdvance(Calendar,W3420,V3421,"f",FALSE)</f>
        <v>62947</v>
      </c>
      <c r="X3421" s="181">
        <f>_xll.qlCalendarAdvance(Calendar,W3421,NDays&amp;"D")</f>
        <v>62949</v>
      </c>
      <c r="Y3421" s="178">
        <v>2.0448110852324116E-2</v>
      </c>
      <c r="Z3421" s="183">
        <v>2.0220331065843311E-2</v>
      </c>
    </row>
    <row r="3422" spans="22:26" x14ac:dyDescent="0.2">
      <c r="V3422" s="180" t="str">
        <f t="shared" si="61"/>
        <v>1w</v>
      </c>
      <c r="W3422" s="177">
        <f>_xll.qlCalendarAdvance(Calendar,W3421,V3422,"f",FALSE)</f>
        <v>62954</v>
      </c>
      <c r="X3422" s="181">
        <f>_xll.qlCalendarAdvance(Calendar,W3422,NDays&amp;"D")</f>
        <v>62956</v>
      </c>
      <c r="Y3422" s="178">
        <v>2.0448806102938019E-2</v>
      </c>
      <c r="Z3422" s="183">
        <v>2.0221182525066439E-2</v>
      </c>
    </row>
    <row r="3423" spans="22:26" x14ac:dyDescent="0.2">
      <c r="V3423" s="180" t="str">
        <f t="shared" si="61"/>
        <v>1w</v>
      </c>
      <c r="W3423" s="177">
        <f>_xll.qlCalendarAdvance(Calendar,W3422,V3423,"f",FALSE)</f>
        <v>62961</v>
      </c>
      <c r="X3423" s="181">
        <f>_xll.qlCalendarAdvance(Calendar,W3423,NDays&amp;"D")</f>
        <v>62963</v>
      </c>
      <c r="Y3423" s="178">
        <v>2.0449494668922961E-2</v>
      </c>
      <c r="Z3423" s="183">
        <v>2.0222027434648737E-2</v>
      </c>
    </row>
    <row r="3424" spans="22:26" x14ac:dyDescent="0.2">
      <c r="V3424" s="180" t="str">
        <f t="shared" si="61"/>
        <v>1w</v>
      </c>
      <c r="W3424" s="177">
        <f>_xll.qlCalendarAdvance(Calendar,W3423,V3424,"f",FALSE)</f>
        <v>62968</v>
      </c>
      <c r="X3424" s="181">
        <f>_xll.qlCalendarAdvance(Calendar,W3424,NDays&amp;"D")</f>
        <v>62970</v>
      </c>
      <c r="Y3424" s="178">
        <v>2.0450176550265146E-2</v>
      </c>
      <c r="Z3424" s="183">
        <v>2.0222865794430334E-2</v>
      </c>
    </row>
    <row r="3425" spans="22:26" x14ac:dyDescent="0.2">
      <c r="V3425" s="180" t="str">
        <f t="shared" si="61"/>
        <v>1w</v>
      </c>
      <c r="W3425" s="177">
        <f>_xll.qlCalendarAdvance(Calendar,W3424,V3425,"f",FALSE)</f>
        <v>62975</v>
      </c>
      <c r="X3425" s="181">
        <f>_xll.qlCalendarAdvance(Calendar,W3425,NDays&amp;"D")</f>
        <v>62977</v>
      </c>
      <c r="Y3425" s="178">
        <v>2.0450851746950997E-2</v>
      </c>
      <c r="Z3425" s="183">
        <v>2.02236976045711E-2</v>
      </c>
    </row>
    <row r="3426" spans="22:26" x14ac:dyDescent="0.2">
      <c r="V3426" s="180" t="str">
        <f t="shared" si="61"/>
        <v>1w</v>
      </c>
      <c r="W3426" s="177">
        <f>_xll.qlCalendarAdvance(Calendar,W3425,V3426,"f",FALSE)</f>
        <v>62982</v>
      </c>
      <c r="X3426" s="181">
        <f>_xll.qlCalendarAdvance(Calendar,W3426,NDays&amp;"D")</f>
        <v>62984</v>
      </c>
      <c r="Y3426" s="178">
        <v>2.0451520258967588E-2</v>
      </c>
      <c r="Z3426" s="183">
        <v>2.0224522865230909E-2</v>
      </c>
    </row>
    <row r="3427" spans="22:26" x14ac:dyDescent="0.2">
      <c r="V3427" s="180" t="str">
        <f t="shared" si="61"/>
        <v>1w</v>
      </c>
      <c r="W3427" s="177">
        <f>_xll.qlCalendarAdvance(Calendar,W3426,V3427,"f",FALSE)</f>
        <v>62989</v>
      </c>
      <c r="X3427" s="181">
        <f>_xll.qlCalendarAdvance(Calendar,W3427,NDays&amp;"D")</f>
        <v>62991</v>
      </c>
      <c r="Y3427" s="178">
        <v>2.0452182086301566E-2</v>
      </c>
      <c r="Z3427" s="183">
        <v>2.0225341576090017E-2</v>
      </c>
    </row>
    <row r="3428" spans="22:26" x14ac:dyDescent="0.2">
      <c r="V3428" s="180" t="str">
        <f t="shared" si="61"/>
        <v>1w</v>
      </c>
      <c r="W3428" s="177">
        <f>_xll.qlCalendarAdvance(Calendar,W3427,V3428,"f",FALSE)</f>
        <v>62996</v>
      </c>
      <c r="X3428" s="181">
        <f>_xll.qlCalendarAdvance(Calendar,W3428,NDays&amp;"D")</f>
        <v>62998</v>
      </c>
      <c r="Y3428" s="178">
        <v>2.045283722893913E-2</v>
      </c>
      <c r="Z3428" s="183">
        <v>2.0226153737148422E-2</v>
      </c>
    </row>
    <row r="3429" spans="22:26" x14ac:dyDescent="0.2">
      <c r="V3429" s="180" t="str">
        <f t="shared" si="61"/>
        <v>1w</v>
      </c>
      <c r="W3429" s="177">
        <f>_xll.qlCalendarAdvance(Calendar,W3428,V3429,"f",FALSE)</f>
        <v>63003</v>
      </c>
      <c r="X3429" s="181">
        <f>_xll.qlCalendarAdvance(Calendar,W3429,NDays&amp;"D")</f>
        <v>63005</v>
      </c>
      <c r="Y3429" s="178">
        <v>2.0453485686867581E-2</v>
      </c>
      <c r="Z3429" s="183">
        <v>2.0226959348486062E-2</v>
      </c>
    </row>
    <row r="3430" spans="22:26" x14ac:dyDescent="0.2">
      <c r="V3430" s="180" t="str">
        <f t="shared" si="61"/>
        <v>1w</v>
      </c>
      <c r="W3430" s="177">
        <f>_xll.qlCalendarAdvance(Calendar,W3429,V3430,"f",FALSE)</f>
        <v>63010</v>
      </c>
      <c r="X3430" s="181">
        <f>_xll.qlCalendarAdvance(Calendar,W3430,NDays&amp;"D")</f>
        <v>63012</v>
      </c>
      <c r="Y3430" s="178">
        <v>2.0454127460073995E-2</v>
      </c>
      <c r="Z3430" s="183">
        <v>2.0227758410262808E-2</v>
      </c>
    </row>
    <row r="3431" spans="22:26" x14ac:dyDescent="0.2">
      <c r="V3431" s="180" t="str">
        <f t="shared" si="61"/>
        <v>1w</v>
      </c>
      <c r="W3431" s="177">
        <f>_xll.qlCalendarAdvance(Calendar,W3430,V3431,"f",FALSE)</f>
        <v>63017</v>
      </c>
      <c r="X3431" s="181">
        <f>_xll.qlCalendarAdvance(Calendar,W3431,NDays&amp;"D")</f>
        <v>63019</v>
      </c>
      <c r="Y3431" s="178">
        <v>2.045476254854545E-2</v>
      </c>
      <c r="Z3431" s="183">
        <v>2.0228550922398725E-2</v>
      </c>
    </row>
    <row r="3432" spans="22:26" x14ac:dyDescent="0.2">
      <c r="V3432" s="180" t="str">
        <f t="shared" si="61"/>
        <v>1w</v>
      </c>
      <c r="W3432" s="177">
        <f>_xll.qlCalendarAdvance(Calendar,W3431,V3432,"f",FALSE)</f>
        <v>63024</v>
      </c>
      <c r="X3432" s="181">
        <f>_xll.qlCalendarAdvance(Calendar,W3432,NDays&amp;"D")</f>
        <v>63026</v>
      </c>
      <c r="Y3432" s="178">
        <v>2.0455390952269684E-2</v>
      </c>
      <c r="Z3432" s="183">
        <v>2.0229336884813875E-2</v>
      </c>
    </row>
    <row r="3433" spans="22:26" x14ac:dyDescent="0.2">
      <c r="V3433" s="180" t="str">
        <f t="shared" si="61"/>
        <v>1w</v>
      </c>
      <c r="W3433" s="177">
        <f>_xll.qlCalendarAdvance(Calendar,W3432,V3433,"f",FALSE)</f>
        <v>63031</v>
      </c>
      <c r="X3433" s="181">
        <f>_xll.qlCalendarAdvance(Calendar,W3433,NDays&amp;"D")</f>
        <v>63033</v>
      </c>
      <c r="Y3433" s="178">
        <v>2.0456012671233776E-2</v>
      </c>
      <c r="Z3433" s="183">
        <v>2.023011629750826E-2</v>
      </c>
    </row>
    <row r="3434" spans="22:26" x14ac:dyDescent="0.2">
      <c r="V3434" s="180" t="str">
        <f t="shared" si="61"/>
        <v>1w</v>
      </c>
      <c r="W3434" s="177">
        <f>_xll.qlCalendarAdvance(Calendar,W3433,V3434,"f",FALSE)</f>
        <v>63038</v>
      </c>
      <c r="X3434" s="181">
        <f>_xll.qlCalendarAdvance(Calendar,W3434,NDays&amp;"D")</f>
        <v>63040</v>
      </c>
      <c r="Y3434" s="178">
        <v>2.0456627705425463E-2</v>
      </c>
      <c r="Z3434" s="183">
        <v>2.023088916048188E-2</v>
      </c>
    </row>
    <row r="3435" spans="22:26" x14ac:dyDescent="0.2">
      <c r="V3435" s="180" t="str">
        <f t="shared" si="61"/>
        <v>1w</v>
      </c>
      <c r="W3435" s="177">
        <f>_xll.qlCalendarAdvance(Calendar,W3434,V3435,"f",FALSE)</f>
        <v>63045</v>
      </c>
      <c r="X3435" s="181">
        <f>_xll.qlCalendarAdvance(Calendar,W3435,NDays&amp;"D")</f>
        <v>63047</v>
      </c>
      <c r="Y3435" s="178">
        <v>2.0457236054832694E-2</v>
      </c>
      <c r="Z3435" s="183">
        <v>2.0231655473814669E-2</v>
      </c>
    </row>
    <row r="3436" spans="22:26" x14ac:dyDescent="0.2">
      <c r="V3436" s="180" t="str">
        <f t="shared" si="61"/>
        <v>1w</v>
      </c>
      <c r="W3436" s="177">
        <f>_xll.qlCalendarAdvance(Calendar,W3435,V3436,"f",FALSE)</f>
        <v>63052</v>
      </c>
      <c r="X3436" s="181">
        <f>_xll.qlCalendarAdvance(Calendar,W3436,NDays&amp;"D")</f>
        <v>63054</v>
      </c>
      <c r="Y3436" s="178">
        <v>2.0457837719442991E-2</v>
      </c>
      <c r="Z3436" s="183">
        <v>2.0232415237506629E-2</v>
      </c>
    </row>
    <row r="3437" spans="22:26" x14ac:dyDescent="0.2">
      <c r="V3437" s="180" t="str">
        <f t="shared" si="61"/>
        <v>1w</v>
      </c>
      <c r="W3437" s="177">
        <f>_xll.qlCalendarAdvance(Calendar,W3436,V3437,"f",FALSE)</f>
        <v>63059</v>
      </c>
      <c r="X3437" s="181">
        <f>_xll.qlCalendarAdvance(Calendar,W3437,NDays&amp;"D")</f>
        <v>63061</v>
      </c>
      <c r="Y3437" s="178">
        <v>2.0458432699244529E-2</v>
      </c>
      <c r="Z3437" s="183">
        <v>2.0233168451477823E-2</v>
      </c>
    </row>
    <row r="3438" spans="22:26" x14ac:dyDescent="0.2">
      <c r="V3438" s="180" t="str">
        <f t="shared" si="61"/>
        <v>1w</v>
      </c>
      <c r="W3438" s="177">
        <f>_xll.qlCalendarAdvance(Calendar,W3437,V3438,"f",FALSE)</f>
        <v>63066</v>
      </c>
      <c r="X3438" s="181">
        <f>_xll.qlCalendarAdvance(Calendar,W3438,NDays&amp;"D")</f>
        <v>63068</v>
      </c>
      <c r="Y3438" s="178">
        <v>2.0459020994225696E-2</v>
      </c>
      <c r="Z3438" s="183">
        <v>2.0233915115648315E-2</v>
      </c>
    </row>
    <row r="3439" spans="22:26" x14ac:dyDescent="0.2">
      <c r="V3439" s="180" t="str">
        <f t="shared" si="61"/>
        <v>1w</v>
      </c>
      <c r="W3439" s="177">
        <f>_xll.qlCalendarAdvance(Calendar,W3438,V3439,"f",FALSE)</f>
        <v>63073</v>
      </c>
      <c r="X3439" s="181">
        <f>_xll.qlCalendarAdvance(Calendar,W3439,NDays&amp;"D")</f>
        <v>63075</v>
      </c>
      <c r="Y3439" s="178">
        <v>2.045960260437445E-2</v>
      </c>
      <c r="Z3439" s="183">
        <v>2.023465523033785E-2</v>
      </c>
    </row>
    <row r="3440" spans="22:26" x14ac:dyDescent="0.2">
      <c r="V3440" s="180" t="str">
        <f t="shared" si="61"/>
        <v>1w</v>
      </c>
      <c r="W3440" s="177">
        <f>_xll.qlCalendarAdvance(Calendar,W3439,V3440,"f",FALSE)</f>
        <v>63080</v>
      </c>
      <c r="X3440" s="181">
        <f>_xll.qlCalendarAdvance(Calendar,W3440,NDays&amp;"D")</f>
        <v>63082</v>
      </c>
      <c r="Y3440" s="178">
        <v>2.0460177529679404E-2</v>
      </c>
      <c r="Z3440" s="183">
        <v>2.0235388795306619E-2</v>
      </c>
    </row>
    <row r="3441" spans="22:26" x14ac:dyDescent="0.2">
      <c r="V3441" s="180" t="str">
        <f t="shared" si="61"/>
        <v>1w</v>
      </c>
      <c r="W3441" s="177">
        <f>_xll.qlCalendarAdvance(Calendar,W3440,V3441,"f",FALSE)</f>
        <v>63087</v>
      </c>
      <c r="X3441" s="181">
        <f>_xll.qlCalendarAdvance(Calendar,W3441,NDays&amp;"D")</f>
        <v>63089</v>
      </c>
      <c r="Y3441" s="178">
        <v>2.0460745770128731E-2</v>
      </c>
      <c r="Z3441" s="183">
        <v>2.023611581039475E-2</v>
      </c>
    </row>
    <row r="3442" spans="22:26" x14ac:dyDescent="0.2">
      <c r="V3442" s="180" t="str">
        <f t="shared" si="61"/>
        <v>1w</v>
      </c>
      <c r="W3442" s="177">
        <f>_xll.qlCalendarAdvance(Calendar,W3441,V3442,"f",FALSE)</f>
        <v>63094</v>
      </c>
      <c r="X3442" s="181">
        <f>_xll.qlCalendarAdvance(Calendar,W3442,NDays&amp;"D")</f>
        <v>63096</v>
      </c>
      <c r="Y3442" s="178">
        <v>2.0461307325711695E-2</v>
      </c>
      <c r="Z3442" s="183">
        <v>2.0236836275842052E-2</v>
      </c>
    </row>
    <row r="3443" spans="22:26" x14ac:dyDescent="0.2">
      <c r="V3443" s="180" t="str">
        <f t="shared" si="61"/>
        <v>1w</v>
      </c>
      <c r="W3443" s="177">
        <f>_xll.qlCalendarAdvance(Calendar,W3442,V3443,"f",FALSE)</f>
        <v>63101</v>
      </c>
      <c r="X3443" s="181">
        <f>_xll.qlCalendarAdvance(Calendar,W3443,NDays&amp;"D")</f>
        <v>63103</v>
      </c>
      <c r="Y3443" s="178">
        <v>2.0461862196416474E-2</v>
      </c>
      <c r="Z3443" s="183">
        <v>2.0237550191808396E-2</v>
      </c>
    </row>
    <row r="3444" spans="22:26" x14ac:dyDescent="0.2">
      <c r="V3444" s="180" t="str">
        <f t="shared" si="61"/>
        <v>1w</v>
      </c>
      <c r="W3444" s="177">
        <f>_xll.qlCalendarAdvance(Calendar,W3443,V3444,"f",FALSE)</f>
        <v>63108</v>
      </c>
      <c r="X3444" s="181">
        <f>_xll.qlCalendarAdvance(Calendar,W3444,NDays&amp;"D")</f>
        <v>63110</v>
      </c>
      <c r="Y3444" s="178">
        <v>2.0462410382232558E-2</v>
      </c>
      <c r="Z3444" s="183">
        <v>2.0238257557894102E-2</v>
      </c>
    </row>
    <row r="3445" spans="22:26" x14ac:dyDescent="0.2">
      <c r="V3445" s="180" t="str">
        <f t="shared" si="61"/>
        <v>1w</v>
      </c>
      <c r="W3445" s="177">
        <f>_xll.qlCalendarAdvance(Calendar,W3444,V3445,"f",FALSE)</f>
        <v>63115</v>
      </c>
      <c r="X3445" s="181">
        <f>_xll.qlCalendarAdvance(Calendar,W3445,NDays&amp;"D")</f>
        <v>63117</v>
      </c>
      <c r="Y3445" s="178">
        <v>2.0462951883148773E-2</v>
      </c>
      <c r="Z3445" s="183">
        <v>2.0238958374418914E-2</v>
      </c>
    </row>
    <row r="3446" spans="22:26" x14ac:dyDescent="0.2">
      <c r="V3446" s="180" t="str">
        <f t="shared" si="61"/>
        <v>1w</v>
      </c>
      <c r="W3446" s="177">
        <f>_xll.qlCalendarAdvance(Calendar,W3445,V3446,"f",FALSE)</f>
        <v>63122</v>
      </c>
      <c r="X3446" s="181">
        <f>_xll.qlCalendarAdvance(Calendar,W3446,NDays&amp;"D")</f>
        <v>63124</v>
      </c>
      <c r="Y3446" s="178">
        <v>2.0463486699154394E-2</v>
      </c>
      <c r="Z3446" s="183">
        <v>2.023965264122296E-2</v>
      </c>
    </row>
    <row r="3447" spans="22:26" x14ac:dyDescent="0.2">
      <c r="V3447" s="180" t="str">
        <f t="shared" si="61"/>
        <v>1w</v>
      </c>
      <c r="W3447" s="177">
        <f>_xll.qlCalendarAdvance(Calendar,W3446,V3447,"f",FALSE)</f>
        <v>63129</v>
      </c>
      <c r="X3447" s="181">
        <f>_xll.qlCalendarAdvance(Calendar,W3447,NDays&amp;"D")</f>
        <v>63131</v>
      </c>
      <c r="Y3447" s="178">
        <v>2.0464014830238682E-2</v>
      </c>
      <c r="Z3447" s="183">
        <v>2.0240340358386177E-2</v>
      </c>
    </row>
    <row r="3448" spans="22:26" x14ac:dyDescent="0.2">
      <c r="V3448" s="180" t="str">
        <f t="shared" si="61"/>
        <v>1w</v>
      </c>
      <c r="W3448" s="177">
        <f>_xll.qlCalendarAdvance(Calendar,W3447,V3448,"f",FALSE)</f>
        <v>63136</v>
      </c>
      <c r="X3448" s="181">
        <f>_xll.qlCalendarAdvance(Calendar,W3448,NDays&amp;"D")</f>
        <v>63138</v>
      </c>
      <c r="Y3448" s="178">
        <v>2.0464536276391353E-2</v>
      </c>
      <c r="Z3448" s="183">
        <v>2.0241021525908565E-2</v>
      </c>
    </row>
    <row r="3449" spans="22:26" x14ac:dyDescent="0.2">
      <c r="V3449" s="180" t="str">
        <f t="shared" si="61"/>
        <v>1w</v>
      </c>
      <c r="W3449" s="177">
        <f>_xll.qlCalendarAdvance(Calendar,W3448,V3449,"f",FALSE)</f>
        <v>63143</v>
      </c>
      <c r="X3449" s="181">
        <f>_xll.qlCalendarAdvance(Calendar,W3449,NDays&amp;"D")</f>
        <v>63145</v>
      </c>
      <c r="Y3449" s="178">
        <v>2.0465051037601666E-2</v>
      </c>
      <c r="Z3449" s="183">
        <v>2.0241696143470378E-2</v>
      </c>
    </row>
    <row r="3450" spans="22:26" x14ac:dyDescent="0.2">
      <c r="V3450" s="180" t="str">
        <f t="shared" si="61"/>
        <v>1w</v>
      </c>
      <c r="W3450" s="177">
        <f>_xll.qlCalendarAdvance(Calendar,W3449,V3450,"f",FALSE)</f>
        <v>63150</v>
      </c>
      <c r="X3450" s="181">
        <f>_xll.qlCalendarAdvance(Calendar,W3450,NDays&amp;"D")</f>
        <v>63152</v>
      </c>
      <c r="Y3450" s="178">
        <v>2.0465559113859336E-2</v>
      </c>
      <c r="Z3450" s="183">
        <v>2.0242364211551234E-2</v>
      </c>
    </row>
    <row r="3451" spans="22:26" x14ac:dyDescent="0.2">
      <c r="V3451" s="180" t="str">
        <f t="shared" si="61"/>
        <v>1w</v>
      </c>
      <c r="W3451" s="177">
        <f>_xll.qlCalendarAdvance(Calendar,W3450,V3451,"f",FALSE)</f>
        <v>63157</v>
      </c>
      <c r="X3451" s="181">
        <f>_xll.qlCalendarAdvance(Calendar,W3451,NDays&amp;"D")</f>
        <v>63159</v>
      </c>
      <c r="Y3451" s="178">
        <v>2.0466060505154721E-2</v>
      </c>
      <c r="Z3451" s="183">
        <v>2.024302572999126E-2</v>
      </c>
    </row>
    <row r="3452" spans="22:26" x14ac:dyDescent="0.2">
      <c r="V3452" s="180" t="str">
        <f t="shared" si="61"/>
        <v>1w</v>
      </c>
      <c r="W3452" s="177">
        <f>_xll.qlCalendarAdvance(Calendar,W3451,V3452,"f",FALSE)</f>
        <v>63164</v>
      </c>
      <c r="X3452" s="181">
        <f>_xll.qlCalendarAdvance(Calendar,W3452,NDays&amp;"D")</f>
        <v>63166</v>
      </c>
      <c r="Y3452" s="178">
        <v>2.0466555211477749E-2</v>
      </c>
      <c r="Z3452" s="183">
        <v>2.0243680698550648E-2</v>
      </c>
    </row>
    <row r="3453" spans="22:26" x14ac:dyDescent="0.2">
      <c r="V3453" s="180" t="str">
        <f t="shared" si="61"/>
        <v>1w</v>
      </c>
      <c r="W3453" s="177">
        <f>_xll.qlCalendarAdvance(Calendar,W3452,V3453,"f",FALSE)</f>
        <v>63171</v>
      </c>
      <c r="X3453" s="181">
        <f>_xll.qlCalendarAdvance(Calendar,W3453,NDays&amp;"D")</f>
        <v>63173</v>
      </c>
      <c r="Y3453" s="178">
        <v>2.046704323281813E-2</v>
      </c>
      <c r="Z3453" s="183">
        <v>2.0244329117549142E-2</v>
      </c>
    </row>
    <row r="3454" spans="22:26" x14ac:dyDescent="0.2">
      <c r="V3454" s="180" t="str">
        <f t="shared" si="61"/>
        <v>1w</v>
      </c>
      <c r="W3454" s="177">
        <f>_xll.qlCalendarAdvance(Calendar,W3453,V3454,"f",FALSE)</f>
        <v>63178</v>
      </c>
      <c r="X3454" s="181">
        <f>_xll.qlCalendarAdvance(Calendar,W3454,NDays&amp;"D")</f>
        <v>63180</v>
      </c>
      <c r="Y3454" s="178">
        <v>2.0467524569166663E-2</v>
      </c>
      <c r="Z3454" s="183">
        <v>2.0244970986986743E-2</v>
      </c>
    </row>
    <row r="3455" spans="22:26" x14ac:dyDescent="0.2">
      <c r="V3455" s="180" t="str">
        <f t="shared" si="61"/>
        <v>1w</v>
      </c>
      <c r="W3455" s="177">
        <f>_xll.qlCalendarAdvance(Calendar,W3454,V3455,"f",FALSE)</f>
        <v>63185</v>
      </c>
      <c r="X3455" s="181">
        <f>_xll.qlCalendarAdvance(Calendar,W3455,NDays&amp;"D")</f>
        <v>63187</v>
      </c>
      <c r="Y3455" s="178">
        <v>2.0467999220513056E-2</v>
      </c>
      <c r="Z3455" s="183">
        <v>2.0245606306543706E-2</v>
      </c>
    </row>
    <row r="3456" spans="22:26" x14ac:dyDescent="0.2">
      <c r="V3456" s="180" t="str">
        <f t="shared" si="61"/>
        <v>1w</v>
      </c>
      <c r="W3456" s="177">
        <f>_xll.qlCalendarAdvance(Calendar,W3455,V3456,"f",FALSE)</f>
        <v>63192</v>
      </c>
      <c r="X3456" s="181">
        <f>_xll.qlCalendarAdvance(Calendar,W3456,NDays&amp;"D")</f>
        <v>63194</v>
      </c>
      <c r="Y3456" s="178">
        <v>2.0468467186848544E-2</v>
      </c>
      <c r="Z3456" s="183">
        <v>2.024623507645984E-2</v>
      </c>
    </row>
    <row r="3457" spans="22:26" x14ac:dyDescent="0.2">
      <c r="V3457" s="180" t="str">
        <f t="shared" si="61"/>
        <v>1w</v>
      </c>
      <c r="W3457" s="177">
        <f>_xll.qlCalendarAdvance(Calendar,W3456,V3457,"f",FALSE)</f>
        <v>63199</v>
      </c>
      <c r="X3457" s="181">
        <f>_xll.qlCalendarAdvance(Calendar,W3457,NDays&amp;"D")</f>
        <v>63201</v>
      </c>
      <c r="Y3457" s="178">
        <v>2.0468928468163498E-2</v>
      </c>
      <c r="Z3457" s="183">
        <v>2.0246857296735143E-2</v>
      </c>
    </row>
    <row r="3458" spans="22:26" x14ac:dyDescent="0.2">
      <c r="V3458" s="180" t="str">
        <f t="shared" si="61"/>
        <v>1w</v>
      </c>
      <c r="W3458" s="177">
        <f>_xll.qlCalendarAdvance(Calendar,W3457,V3458,"f",FALSE)</f>
        <v>63206</v>
      </c>
      <c r="X3458" s="181">
        <f>_xll.qlCalendarAdvance(Calendar,W3458,NDays&amp;"D")</f>
        <v>63208</v>
      </c>
      <c r="Y3458" s="178">
        <v>2.0469383064448936E-2</v>
      </c>
      <c r="Z3458" s="183">
        <v>2.0247472967289681E-2</v>
      </c>
    </row>
    <row r="3459" spans="22:26" x14ac:dyDescent="0.2">
      <c r="V3459" s="180" t="str">
        <f t="shared" si="61"/>
        <v>1w</v>
      </c>
      <c r="W3459" s="177">
        <f>_xll.qlCalendarAdvance(Calendar,W3458,V3459,"f",FALSE)</f>
        <v>63213</v>
      </c>
      <c r="X3459" s="181">
        <f>_xll.qlCalendarAdvance(Calendar,W3459,NDays&amp;"D")</f>
        <v>63215</v>
      </c>
      <c r="Y3459" s="178">
        <v>2.0469830975695439E-2</v>
      </c>
      <c r="Z3459" s="183">
        <v>2.0248082088283326E-2</v>
      </c>
    </row>
    <row r="3460" spans="22:26" x14ac:dyDescent="0.2">
      <c r="V3460" s="180" t="str">
        <f t="shared" si="61"/>
        <v>1w</v>
      </c>
      <c r="W3460" s="177">
        <f>_xll.qlCalendarAdvance(Calendar,W3459,V3460,"f",FALSE)</f>
        <v>63220</v>
      </c>
      <c r="X3460" s="181">
        <f>_xll.qlCalendarAdvance(Calendar,W3460,NDays&amp;"D")</f>
        <v>63222</v>
      </c>
      <c r="Y3460" s="178">
        <v>2.047027220189403E-2</v>
      </c>
      <c r="Z3460" s="183">
        <v>2.024868465923646E-2</v>
      </c>
    </row>
    <row r="3461" spans="22:26" x14ac:dyDescent="0.2">
      <c r="V3461" s="180" t="str">
        <f t="shared" si="61"/>
        <v>1w</v>
      </c>
      <c r="W3461" s="177">
        <f>_xll.qlCalendarAdvance(Calendar,W3460,V3461,"f",FALSE)</f>
        <v>63227</v>
      </c>
      <c r="X3461" s="181">
        <f>_xll.qlCalendarAdvance(Calendar,W3461,NDays&amp;"D")</f>
        <v>63229</v>
      </c>
      <c r="Y3461" s="178">
        <v>2.0470706743037043E-2</v>
      </c>
      <c r="Z3461" s="183">
        <v>2.0249280680948445E-2</v>
      </c>
    </row>
    <row r="3462" spans="22:26" x14ac:dyDescent="0.2">
      <c r="V3462" s="180" t="str">
        <f t="shared" si="61"/>
        <v>1w</v>
      </c>
      <c r="W3462" s="177">
        <f>_xll.qlCalendarAdvance(Calendar,W3461,V3462,"f",FALSE)</f>
        <v>63234</v>
      </c>
      <c r="X3462" s="181">
        <f>_xll.qlCalendarAdvance(Calendar,W3462,NDays&amp;"D")</f>
        <v>63236</v>
      </c>
      <c r="Y3462" s="178">
        <v>2.0471134599113969E-2</v>
      </c>
      <c r="Z3462" s="183">
        <v>2.0249870152779792E-2</v>
      </c>
    </row>
    <row r="3463" spans="22:26" x14ac:dyDescent="0.2">
      <c r="V3463" s="180" t="str">
        <f t="shared" si="61"/>
        <v>1w</v>
      </c>
      <c r="W3463" s="177">
        <f>_xll.qlCalendarAdvance(Calendar,W3462,V3463,"f",FALSE)</f>
        <v>63241</v>
      </c>
      <c r="X3463" s="181">
        <f>_xll.qlCalendarAdvance(Calendar,W3463,NDays&amp;"D")</f>
        <v>63243</v>
      </c>
      <c r="Y3463" s="178">
        <v>2.0471555770118013E-2</v>
      </c>
      <c r="Z3463" s="183">
        <v>2.0250453074810437E-2</v>
      </c>
    </row>
    <row r="3464" spans="22:26" x14ac:dyDescent="0.2">
      <c r="V3464" s="180" t="str">
        <f t="shared" si="61"/>
        <v>1w</v>
      </c>
      <c r="W3464" s="177">
        <f>_xll.qlCalendarAdvance(Calendar,W3463,V3464,"f",FALSE)</f>
        <v>63248</v>
      </c>
      <c r="X3464" s="181">
        <f>_xll.qlCalendarAdvance(Calendar,W3464,NDays&amp;"D")</f>
        <v>63250</v>
      </c>
      <c r="Y3464" s="178">
        <v>2.047197025603998E-2</v>
      </c>
      <c r="Z3464" s="183">
        <v>2.0251029447360125E-2</v>
      </c>
    </row>
    <row r="3465" spans="22:26" x14ac:dyDescent="0.2">
      <c r="V3465" s="180" t="str">
        <f t="shared" si="61"/>
        <v>1w</v>
      </c>
      <c r="W3465" s="177">
        <f>_xll.qlCalendarAdvance(Calendar,W3464,V3465,"f",FALSE)</f>
        <v>63255</v>
      </c>
      <c r="X3465" s="181">
        <f>_xll.qlCalendarAdvance(Calendar,W3465,NDays&amp;"D")</f>
        <v>63257</v>
      </c>
      <c r="Y3465" s="178">
        <v>2.0472378056871552E-2</v>
      </c>
      <c r="Z3465" s="183">
        <v>2.0251599270109111E-2</v>
      </c>
    </row>
    <row r="3466" spans="22:26" x14ac:dyDescent="0.2">
      <c r="V3466" s="180" t="str">
        <f t="shared" si="61"/>
        <v>1w</v>
      </c>
      <c r="W3466" s="177">
        <f>_xll.qlCalendarAdvance(Calendar,W3465,V3466,"f",FALSE)</f>
        <v>63262</v>
      </c>
      <c r="X3466" s="181">
        <f>_xll.qlCalendarAdvance(Calendar,W3466,NDays&amp;"D")</f>
        <v>63264</v>
      </c>
      <c r="Y3466" s="178">
        <v>2.04727791726044E-2</v>
      </c>
      <c r="Z3466" s="183">
        <v>2.0252162543137331E-2</v>
      </c>
    </row>
    <row r="3467" spans="22:26" x14ac:dyDescent="0.2">
      <c r="V3467" s="180" t="str">
        <f t="shared" si="61"/>
        <v>1w</v>
      </c>
      <c r="W3467" s="177">
        <f>_xll.qlCalendarAdvance(Calendar,W3466,V3467,"f",FALSE)</f>
        <v>63269</v>
      </c>
      <c r="X3467" s="181">
        <f>_xll.qlCalendarAdvance(Calendar,W3467,NDays&amp;"D")</f>
        <v>63271</v>
      </c>
      <c r="Y3467" s="178">
        <v>2.047317360323108E-2</v>
      </c>
      <c r="Z3467" s="183">
        <v>2.0255155894256305E-2</v>
      </c>
    </row>
    <row r="3468" spans="22:26" x14ac:dyDescent="0.2">
      <c r="V3468" s="180" t="str">
        <f t="shared" si="61"/>
        <v>1w</v>
      </c>
      <c r="W3468" s="177">
        <f>_xll.qlCalendarAdvance(Calendar,W3467,V3468,"f",FALSE)</f>
        <v>63276</v>
      </c>
      <c r="X3468" s="181">
        <f>_xll.qlCalendarAdvance(Calendar,W3468,NDays&amp;"D")</f>
        <v>63278</v>
      </c>
      <c r="Y3468" s="178">
        <v>2.0473561348743709E-2</v>
      </c>
      <c r="Z3468" s="183">
        <v>2.0253269440351218E-2</v>
      </c>
    </row>
    <row r="3469" spans="22:26" x14ac:dyDescent="0.2">
      <c r="V3469" s="180" t="str">
        <f t="shared" si="61"/>
        <v>1w</v>
      </c>
      <c r="W3469" s="177">
        <f>_xll.qlCalendarAdvance(Calendar,W3468,V3469,"f",FALSE)</f>
        <v>63283</v>
      </c>
      <c r="X3469" s="181">
        <f>_xll.qlCalendarAdvance(Calendar,W3469,NDays&amp;"D")</f>
        <v>63285</v>
      </c>
      <c r="Y3469" s="178">
        <v>2.0473942409134183E-2</v>
      </c>
      <c r="Z3469" s="183">
        <v>2.0253813064297077E-2</v>
      </c>
    </row>
    <row r="3470" spans="22:26" x14ac:dyDescent="0.2">
      <c r="V3470" s="180" t="str">
        <f t="shared" si="61"/>
        <v>1w</v>
      </c>
      <c r="W3470" s="177">
        <f>_xll.qlCalendarAdvance(Calendar,W3469,V3470,"f",FALSE)</f>
        <v>63290</v>
      </c>
      <c r="X3470" s="181">
        <f>_xll.qlCalendarAdvance(Calendar,W3470,NDays&amp;"D")</f>
        <v>63292</v>
      </c>
      <c r="Y3470" s="178">
        <v>2.0476718950609998E-2</v>
      </c>
      <c r="Z3470" s="183">
        <v>2.025435013852217E-2</v>
      </c>
    </row>
    <row r="3471" spans="22:26" x14ac:dyDescent="0.2">
      <c r="V3471" s="180" t="str">
        <f t="shared" si="61"/>
        <v>1w</v>
      </c>
      <c r="W3471" s="177">
        <f>_xll.qlCalendarAdvance(Calendar,W3470,V3471,"f",FALSE)</f>
        <v>63297</v>
      </c>
      <c r="X3471" s="181">
        <f>_xll.qlCalendarAdvance(Calendar,W3471,NDays&amp;"D")</f>
        <v>63299</v>
      </c>
      <c r="Y3471" s="178">
        <v>2.0474684474519105E-2</v>
      </c>
      <c r="Z3471" s="183">
        <v>2.025488066318637E-2</v>
      </c>
    </row>
    <row r="3472" spans="22:26" x14ac:dyDescent="0.2">
      <c r="V3472" s="180" t="str">
        <f t="shared" si="61"/>
        <v>1w</v>
      </c>
      <c r="W3472" s="177">
        <f>_xll.qlCalendarAdvance(Calendar,W3471,V3472,"f",FALSE)</f>
        <v>63304</v>
      </c>
      <c r="X3472" s="181">
        <f>_xll.qlCalendarAdvance(Calendar,W3472,NDays&amp;"D")</f>
        <v>63306</v>
      </c>
      <c r="Y3472" s="178">
        <v>2.0475045479498875E-2</v>
      </c>
      <c r="Z3472" s="183">
        <v>2.0255404638289676E-2</v>
      </c>
    </row>
    <row r="3473" spans="22:26" x14ac:dyDescent="0.2">
      <c r="V3473" s="180" t="str">
        <f t="shared" si="61"/>
        <v>1w</v>
      </c>
      <c r="W3473" s="177">
        <f>_xll.qlCalendarAdvance(Calendar,W3472,V3473,"f",FALSE)</f>
        <v>63311</v>
      </c>
      <c r="X3473" s="181">
        <f>_xll.qlCalendarAdvance(Calendar,W3473,NDays&amp;"D")</f>
        <v>63313</v>
      </c>
      <c r="Y3473" s="178">
        <v>2.0475399799326929E-2</v>
      </c>
      <c r="Z3473" s="183">
        <v>2.0255922063512344E-2</v>
      </c>
    </row>
    <row r="3474" spans="22:26" x14ac:dyDescent="0.2">
      <c r="V3474" s="180" t="str">
        <f t="shared" si="61"/>
        <v>1w</v>
      </c>
      <c r="W3474" s="177">
        <f>_xll.qlCalendarAdvance(Calendar,W3473,V3474,"f",FALSE)</f>
        <v>63318</v>
      </c>
      <c r="X3474" s="181">
        <f>_xll.qlCalendarAdvance(Calendar,W3474,NDays&amp;"D")</f>
        <v>63320</v>
      </c>
      <c r="Y3474" s="178">
        <v>2.0475747433996255E-2</v>
      </c>
      <c r="Z3474" s="183">
        <v>2.0256432939014246E-2</v>
      </c>
    </row>
    <row r="3475" spans="22:26" x14ac:dyDescent="0.2">
      <c r="V3475" s="180" t="str">
        <f t="shared" si="61"/>
        <v>1w</v>
      </c>
      <c r="W3475" s="177">
        <f>_xll.qlCalendarAdvance(Calendar,W3474,V3475,"f",FALSE)</f>
        <v>63325</v>
      </c>
      <c r="X3475" s="181">
        <f>_xll.qlCalendarAdvance(Calendar,W3475,NDays&amp;"D")</f>
        <v>63327</v>
      </c>
      <c r="Y3475" s="178">
        <v>2.0476088383500502E-2</v>
      </c>
      <c r="Z3475" s="183">
        <v>2.0256937265115127E-2</v>
      </c>
    </row>
    <row r="3476" spans="22:26" x14ac:dyDescent="0.2">
      <c r="V3476" s="180" t="str">
        <f t="shared" si="61"/>
        <v>1w</v>
      </c>
      <c r="W3476" s="177">
        <f>_xll.qlCalendarAdvance(Calendar,W3475,V3476,"f",FALSE)</f>
        <v>63332</v>
      </c>
      <c r="X3476" s="181">
        <f>_xll.qlCalendarAdvance(Calendar,W3476,NDays&amp;"D")</f>
        <v>63334</v>
      </c>
      <c r="Y3476" s="178">
        <v>2.0476422647832223E-2</v>
      </c>
      <c r="Z3476" s="183">
        <v>2.0257435041255434E-2</v>
      </c>
    </row>
    <row r="3477" spans="22:26" x14ac:dyDescent="0.2">
      <c r="V3477" s="180" t="str">
        <f t="shared" ref="V3477:V3540" si="62">V3476</f>
        <v>1w</v>
      </c>
      <c r="W3477" s="177">
        <f>_xll.qlCalendarAdvance(Calendar,W3476,V3477,"f",FALSE)</f>
        <v>63339</v>
      </c>
      <c r="X3477" s="181">
        <f>_xll.qlCalendarAdvance(Calendar,W3477,NDays&amp;"D")</f>
        <v>63341</v>
      </c>
      <c r="Y3477" s="178">
        <v>2.0476750226984846E-2</v>
      </c>
      <c r="Z3477" s="183">
        <v>2.0257926267754911E-2</v>
      </c>
    </row>
    <row r="3478" spans="22:26" x14ac:dyDescent="0.2">
      <c r="V3478" s="180" t="str">
        <f t="shared" si="62"/>
        <v>1w</v>
      </c>
      <c r="W3478" s="177">
        <f>_xll.qlCalendarAdvance(Calendar,W3477,V3478,"f",FALSE)</f>
        <v>63346</v>
      </c>
      <c r="X3478" s="181">
        <f>_xll.qlCalendarAdvance(Calendar,W3478,NDays&amp;"D")</f>
        <v>63348</v>
      </c>
      <c r="Y3478" s="178">
        <v>2.0477071120952244E-2</v>
      </c>
      <c r="Z3478" s="183">
        <v>2.0258410944453686E-2</v>
      </c>
    </row>
    <row r="3479" spans="22:26" x14ac:dyDescent="0.2">
      <c r="V3479" s="180" t="str">
        <f t="shared" si="62"/>
        <v>1w</v>
      </c>
      <c r="W3479" s="177">
        <f>_xll.qlCalendarAdvance(Calendar,W3478,V3479,"f",FALSE)</f>
        <v>63353</v>
      </c>
      <c r="X3479" s="181">
        <f>_xll.qlCalendarAdvance(Calendar,W3479,NDays&amp;"D")</f>
        <v>63355</v>
      </c>
      <c r="Y3479" s="178">
        <v>2.0477385329727187E-2</v>
      </c>
      <c r="Z3479" s="183">
        <v>2.025888907175144E-2</v>
      </c>
    </row>
    <row r="3480" spans="22:26" x14ac:dyDescent="0.2">
      <c r="V3480" s="180" t="str">
        <f t="shared" si="62"/>
        <v>1w</v>
      </c>
      <c r="W3480" s="177">
        <f>_xll.qlCalendarAdvance(Calendar,W3479,V3480,"f",FALSE)</f>
        <v>63360</v>
      </c>
      <c r="X3480" s="181">
        <f>_xll.qlCalendarAdvance(Calendar,W3480,NDays&amp;"D")</f>
        <v>63362</v>
      </c>
      <c r="Y3480" s="178">
        <v>2.0477692853304641E-2</v>
      </c>
      <c r="Z3480" s="183">
        <v>2.0259360649248492E-2</v>
      </c>
    </row>
    <row r="3481" spans="22:26" x14ac:dyDescent="0.2">
      <c r="V3481" s="180" t="str">
        <f t="shared" si="62"/>
        <v>1w</v>
      </c>
      <c r="W3481" s="177">
        <f>_xll.qlCalendarAdvance(Calendar,W3480,V3481,"f",FALSE)</f>
        <v>63367</v>
      </c>
      <c r="X3481" s="181">
        <f>_xll.qlCalendarAdvance(Calendar,W3481,NDays&amp;"D")</f>
        <v>63369</v>
      </c>
      <c r="Y3481" s="178">
        <v>2.0477993691677812E-2</v>
      </c>
      <c r="Z3481" s="183">
        <v>2.0259825677024779E-2</v>
      </c>
    </row>
    <row r="3482" spans="22:26" x14ac:dyDescent="0.2">
      <c r="V3482" s="180" t="str">
        <f t="shared" si="62"/>
        <v>1w</v>
      </c>
      <c r="W3482" s="177">
        <f>_xll.qlCalendarAdvance(Calendar,W3481,V3482,"f",FALSE)</f>
        <v>63374</v>
      </c>
      <c r="X3482" s="181">
        <f>_xll.qlCalendarAdvance(Calendar,W3482,NDays&amp;"D")</f>
        <v>63376</v>
      </c>
      <c r="Y3482" s="178">
        <v>2.0478287844840574E-2</v>
      </c>
      <c r="Z3482" s="183">
        <v>2.0260284155160235E-2</v>
      </c>
    </row>
    <row r="3483" spans="22:26" x14ac:dyDescent="0.2">
      <c r="V3483" s="180" t="str">
        <f t="shared" si="62"/>
        <v>1w</v>
      </c>
      <c r="W3483" s="177">
        <f>_xll.qlCalendarAdvance(Calendar,W3482,V3483,"f",FALSE)</f>
        <v>63381</v>
      </c>
      <c r="X3483" s="181">
        <f>_xll.qlCalendarAdvance(Calendar,W3483,NDays&amp;"D")</f>
        <v>63383</v>
      </c>
      <c r="Y3483" s="178">
        <v>2.0478575312787007E-2</v>
      </c>
      <c r="Z3483" s="183">
        <v>2.026073608349499E-2</v>
      </c>
    </row>
    <row r="3484" spans="22:26" x14ac:dyDescent="0.2">
      <c r="V3484" s="180" t="str">
        <f t="shared" si="62"/>
        <v>1w</v>
      </c>
      <c r="W3484" s="177">
        <f>_xll.qlCalendarAdvance(Calendar,W3483,V3484,"f",FALSE)</f>
        <v>63388</v>
      </c>
      <c r="X3484" s="181">
        <f>_xll.qlCalendarAdvance(Calendar,W3484,NDays&amp;"D")</f>
        <v>63390</v>
      </c>
      <c r="Y3484" s="178">
        <v>2.0478856095511637E-2</v>
      </c>
      <c r="Z3484" s="183">
        <v>2.0261181462188915E-2</v>
      </c>
    </row>
    <row r="3485" spans="22:26" x14ac:dyDescent="0.2">
      <c r="V3485" s="180" t="str">
        <f t="shared" si="62"/>
        <v>1w</v>
      </c>
      <c r="W3485" s="177">
        <f>_xll.qlCalendarAdvance(Calendar,W3484,V3485,"f",FALSE)</f>
        <v>63395</v>
      </c>
      <c r="X3485" s="181">
        <f>_xll.qlCalendarAdvance(Calendar,W3485,NDays&amp;"D")</f>
        <v>63397</v>
      </c>
      <c r="Y3485" s="178">
        <v>2.0479130193009214E-2</v>
      </c>
      <c r="Z3485" s="183">
        <v>2.0261620291242011E-2</v>
      </c>
    </row>
    <row r="3486" spans="22:26" x14ac:dyDescent="0.2">
      <c r="V3486" s="180" t="str">
        <f t="shared" si="62"/>
        <v>1w</v>
      </c>
      <c r="W3486" s="177">
        <f>_xll.qlCalendarAdvance(Calendar,W3485,V3486,"f",FALSE)</f>
        <v>63402</v>
      </c>
      <c r="X3486" s="181">
        <f>_xll.qlCalendarAdvance(Calendar,W3486,NDays&amp;"D")</f>
        <v>63404</v>
      </c>
      <c r="Y3486" s="178">
        <v>2.0479397605273821E-2</v>
      </c>
      <c r="Z3486" s="183">
        <v>2.0262052570654276E-2</v>
      </c>
    </row>
    <row r="3487" spans="22:26" x14ac:dyDescent="0.2">
      <c r="V3487" s="180" t="str">
        <f t="shared" si="62"/>
        <v>1w</v>
      </c>
      <c r="W3487" s="177">
        <f>_xll.qlCalendarAdvance(Calendar,W3486,V3487,"f",FALSE)</f>
        <v>63409</v>
      </c>
      <c r="X3487" s="181">
        <f>_xll.qlCalendarAdvance(Calendar,W3487,NDays&amp;"D")</f>
        <v>63411</v>
      </c>
      <c r="Y3487" s="178">
        <v>2.0479658332299762E-2</v>
      </c>
      <c r="Z3487" s="183">
        <v>2.026247830026584E-2</v>
      </c>
    </row>
    <row r="3488" spans="22:26" x14ac:dyDescent="0.2">
      <c r="V3488" s="180" t="str">
        <f t="shared" si="62"/>
        <v>1w</v>
      </c>
      <c r="W3488" s="177">
        <f>_xll.qlCalendarAdvance(Calendar,W3487,V3488,"f",FALSE)</f>
        <v>63416</v>
      </c>
      <c r="X3488" s="181">
        <f>_xll.qlCalendarAdvance(Calendar,W3488,NDays&amp;"D")</f>
        <v>63418</v>
      </c>
      <c r="Y3488" s="178">
        <v>2.0479912374082442E-2</v>
      </c>
      <c r="Z3488" s="183">
        <v>2.0262897480156639E-2</v>
      </c>
    </row>
    <row r="3489" spans="22:26" x14ac:dyDescent="0.2">
      <c r="V3489" s="180" t="str">
        <f t="shared" si="62"/>
        <v>1w</v>
      </c>
      <c r="W3489" s="177">
        <f>_xll.qlCalendarAdvance(Calendar,W3488,V3489,"f",FALSE)</f>
        <v>63423</v>
      </c>
      <c r="X3489" s="181">
        <f>_xll.qlCalendarAdvance(Calendar,W3489,NDays&amp;"D")</f>
        <v>63425</v>
      </c>
      <c r="Y3489" s="178">
        <v>2.04801597306166E-2</v>
      </c>
      <c r="Z3489" s="183">
        <v>2.0263310110406607E-2</v>
      </c>
    </row>
    <row r="3490" spans="22:26" x14ac:dyDescent="0.2">
      <c r="V3490" s="180" t="str">
        <f t="shared" si="62"/>
        <v>1w</v>
      </c>
      <c r="W3490" s="177">
        <f>_xll.qlCalendarAdvance(Calendar,W3489,V3490,"f",FALSE)</f>
        <v>63430</v>
      </c>
      <c r="X3490" s="181">
        <f>_xll.qlCalendarAdvance(Calendar,W3490,NDays&amp;"D")</f>
        <v>63432</v>
      </c>
      <c r="Y3490" s="178">
        <v>2.0480400401897862E-2</v>
      </c>
      <c r="Z3490" s="183">
        <v>2.0263716191175618E-2</v>
      </c>
    </row>
    <row r="3491" spans="22:26" x14ac:dyDescent="0.2">
      <c r="V3491" s="180" t="str">
        <f t="shared" si="62"/>
        <v>1w</v>
      </c>
      <c r="W3491" s="177">
        <f>_xll.qlCalendarAdvance(Calendar,W3490,V3491,"f",FALSE)</f>
        <v>63437</v>
      </c>
      <c r="X3491" s="181">
        <f>_xll.qlCalendarAdvance(Calendar,W3491,NDays&amp;"D")</f>
        <v>63439</v>
      </c>
      <c r="Y3491" s="178">
        <v>2.0480634387920527E-2</v>
      </c>
      <c r="Z3491" s="183">
        <v>2.0264115722063991E-2</v>
      </c>
    </row>
    <row r="3492" spans="22:26" x14ac:dyDescent="0.2">
      <c r="V3492" s="180" t="str">
        <f t="shared" si="62"/>
        <v>1w</v>
      </c>
      <c r="W3492" s="177">
        <f>_xll.qlCalendarAdvance(Calendar,W3491,V3492,"f",FALSE)</f>
        <v>63444</v>
      </c>
      <c r="X3492" s="181">
        <f>_xll.qlCalendarAdvance(Calendar,W3492,NDays&amp;"D")</f>
        <v>63446</v>
      </c>
      <c r="Y3492" s="178">
        <v>2.048086168868022E-2</v>
      </c>
      <c r="Z3492" s="183">
        <v>2.0264508703311535E-2</v>
      </c>
    </row>
    <row r="3493" spans="22:26" x14ac:dyDescent="0.2">
      <c r="V3493" s="180" t="str">
        <f t="shared" si="62"/>
        <v>1w</v>
      </c>
      <c r="W3493" s="177">
        <f>_xll.qlCalendarAdvance(Calendar,W3492,V3493,"f",FALSE)</f>
        <v>63451</v>
      </c>
      <c r="X3493" s="181">
        <f>_xll.qlCalendarAdvance(Calendar,W3493,NDays&amp;"D")</f>
        <v>63453</v>
      </c>
      <c r="Y3493" s="178">
        <v>2.0481082304172778E-2</v>
      </c>
      <c r="Z3493" s="183">
        <v>2.0264895134918248E-2</v>
      </c>
    </row>
    <row r="3494" spans="22:26" x14ac:dyDescent="0.2">
      <c r="V3494" s="180" t="str">
        <f t="shared" si="62"/>
        <v>1w</v>
      </c>
      <c r="W3494" s="177">
        <f>_xll.qlCalendarAdvance(Calendar,W3493,V3494,"f",FALSE)</f>
        <v>63458</v>
      </c>
      <c r="X3494" s="181">
        <f>_xll.qlCalendarAdvance(Calendar,W3494,NDays&amp;"D")</f>
        <v>63460</v>
      </c>
      <c r="Y3494" s="178">
        <v>2.0481296234393168E-2</v>
      </c>
      <c r="Z3494" s="183">
        <v>2.026527501672426E-2</v>
      </c>
    </row>
    <row r="3495" spans="22:26" x14ac:dyDescent="0.2">
      <c r="V3495" s="180" t="str">
        <f t="shared" si="62"/>
        <v>1w</v>
      </c>
      <c r="W3495" s="177">
        <f>_xll.qlCalendarAdvance(Calendar,W3494,V3495,"f",FALSE)</f>
        <v>63465</v>
      </c>
      <c r="X3495" s="181">
        <f>_xll.qlCalendarAdvance(Calendar,W3495,NDays&amp;"D")</f>
        <v>63467</v>
      </c>
      <c r="Y3495" s="178">
        <v>2.0481503479338099E-2</v>
      </c>
      <c r="Z3495" s="183">
        <v>2.0265648348969378E-2</v>
      </c>
    </row>
    <row r="3496" spans="22:26" x14ac:dyDescent="0.2">
      <c r="V3496" s="180" t="str">
        <f t="shared" si="62"/>
        <v>1w</v>
      </c>
      <c r="W3496" s="177">
        <f>_xll.qlCalendarAdvance(Calendar,W3495,V3496,"f",FALSE)</f>
        <v>63472</v>
      </c>
      <c r="X3496" s="181">
        <f>_xll.qlCalendarAdvance(Calendar,W3496,NDays&amp;"D")</f>
        <v>63474</v>
      </c>
      <c r="Y3496" s="178">
        <v>2.0481704039002537E-2</v>
      </c>
      <c r="Z3496" s="183">
        <v>2.0266015131333859E-2</v>
      </c>
    </row>
    <row r="3497" spans="22:26" x14ac:dyDescent="0.2">
      <c r="V3497" s="180" t="str">
        <f t="shared" si="62"/>
        <v>1w</v>
      </c>
      <c r="W3497" s="177">
        <f>_xll.qlCalendarAdvance(Calendar,W3496,V3497,"f",FALSE)</f>
        <v>63479</v>
      </c>
      <c r="X3497" s="181">
        <f>_xll.qlCalendarAdvance(Calendar,W3497,NDays&amp;"D")</f>
        <v>63481</v>
      </c>
      <c r="Y3497" s="178">
        <v>2.0481897913382757E-2</v>
      </c>
      <c r="Z3497" s="183">
        <v>2.0266375364217382E-2</v>
      </c>
    </row>
    <row r="3498" spans="22:26" x14ac:dyDescent="0.2">
      <c r="V3498" s="180" t="str">
        <f t="shared" si="62"/>
        <v>1w</v>
      </c>
      <c r="W3498" s="177">
        <f>_xll.qlCalendarAdvance(Calendar,W3497,V3498,"f",FALSE)</f>
        <v>63486</v>
      </c>
      <c r="X3498" s="181">
        <f>_xll.qlCalendarAdvance(Calendar,W3498,NDays&amp;"D")</f>
        <v>63488</v>
      </c>
      <c r="Y3498" s="178">
        <v>2.0482085102475039E-2</v>
      </c>
      <c r="Z3498" s="183">
        <v>2.0266729047300203E-2</v>
      </c>
    </row>
    <row r="3499" spans="22:26" x14ac:dyDescent="0.2">
      <c r="V3499" s="180" t="str">
        <f t="shared" si="62"/>
        <v>1w</v>
      </c>
      <c r="W3499" s="177">
        <f>_xll.qlCalendarAdvance(Calendar,W3498,V3499,"f",FALSE)</f>
        <v>63493</v>
      </c>
      <c r="X3499" s="181">
        <f>_xll.qlCalendarAdvance(Calendar,W3499,NDays&amp;"D")</f>
        <v>63495</v>
      </c>
      <c r="Y3499" s="178">
        <v>2.048226560627522E-2</v>
      </c>
      <c r="Z3499" s="183">
        <v>2.0267076180662258E-2</v>
      </c>
    </row>
    <row r="3500" spans="22:26" x14ac:dyDescent="0.2">
      <c r="V3500" s="180" t="str">
        <f t="shared" si="62"/>
        <v>1w</v>
      </c>
      <c r="W3500" s="177">
        <f>_xll.qlCalendarAdvance(Calendar,W3499,V3500,"f",FALSE)</f>
        <v>63500</v>
      </c>
      <c r="X3500" s="181">
        <f>_xll.qlCalendarAdvance(Calendar,W3500,NDays&amp;"D")</f>
        <v>63502</v>
      </c>
      <c r="Y3500" s="178" t="e">
        <v>#N/A</v>
      </c>
      <c r="Z3500" s="183">
        <v>2.026741676446342E-2</v>
      </c>
    </row>
    <row r="3501" spans="22:26" x14ac:dyDescent="0.2">
      <c r="V3501" s="180" t="str">
        <f t="shared" si="62"/>
        <v>1w</v>
      </c>
      <c r="W3501" s="177">
        <f>_xll.qlCalendarAdvance(Calendar,W3500,V3501,"f",FALSE)</f>
        <v>63507</v>
      </c>
      <c r="X3501" s="181">
        <f>_xll.qlCalendarAdvance(Calendar,W3501,NDays&amp;"D")</f>
        <v>63509</v>
      </c>
      <c r="Y3501" s="178" t="e">
        <v>#N/A</v>
      </c>
      <c r="Z3501" s="183">
        <v>2.0267750798543815E-2</v>
      </c>
    </row>
    <row r="3502" spans="22:26" x14ac:dyDescent="0.2">
      <c r="V3502" s="180" t="str">
        <f t="shared" si="62"/>
        <v>1w</v>
      </c>
      <c r="W3502" s="177">
        <f>_xll.qlCalendarAdvance(Calendar,W3501,V3502,"f",FALSE)</f>
        <v>63514</v>
      </c>
      <c r="X3502" s="181">
        <f>_xll.qlCalendarAdvance(Calendar,W3502,NDays&amp;"D")</f>
        <v>63516</v>
      </c>
      <c r="Y3502" s="178" t="e">
        <v>#N/A</v>
      </c>
      <c r="Z3502" s="183">
        <v>2.0268078282903446E-2</v>
      </c>
    </row>
    <row r="3503" spans="22:26" x14ac:dyDescent="0.2">
      <c r="V3503" s="180" t="str">
        <f t="shared" si="62"/>
        <v>1w</v>
      </c>
      <c r="W3503" s="177">
        <f>_xll.qlCalendarAdvance(Calendar,W3502,V3503,"f",FALSE)</f>
        <v>63521</v>
      </c>
      <c r="X3503" s="181">
        <f>_xll.qlCalendarAdvance(Calendar,W3503,NDays&amp;"D")</f>
        <v>63523</v>
      </c>
      <c r="Y3503" s="178" t="e">
        <v>#N/A</v>
      </c>
      <c r="Z3503" s="183">
        <v>2.0268399217462374E-2</v>
      </c>
    </row>
    <row r="3504" spans="22:26" x14ac:dyDescent="0.2">
      <c r="V3504" s="180" t="str">
        <f t="shared" si="62"/>
        <v>1w</v>
      </c>
      <c r="W3504" s="177">
        <f>_xll.qlCalendarAdvance(Calendar,W3503,V3504,"f",FALSE)</f>
        <v>63528</v>
      </c>
      <c r="X3504" s="181">
        <f>_xll.qlCalendarAdvance(Calendar,W3504,NDays&amp;"D")</f>
        <v>63530</v>
      </c>
      <c r="Y3504" s="178" t="e">
        <v>#N/A</v>
      </c>
      <c r="Z3504" s="183">
        <v>2.0268713602620281E-2</v>
      </c>
    </row>
    <row r="3505" spans="22:26" x14ac:dyDescent="0.2">
      <c r="V3505" s="180" t="str">
        <f t="shared" si="62"/>
        <v>1w</v>
      </c>
      <c r="W3505" s="177">
        <f>_xll.qlCalendarAdvance(Calendar,W3504,V3505,"f",FALSE)</f>
        <v>63535</v>
      </c>
      <c r="X3505" s="181">
        <f>_xll.qlCalendarAdvance(Calendar,W3505,NDays&amp;"D")</f>
        <v>63537</v>
      </c>
      <c r="Y3505" s="178" t="e">
        <v>#N/A</v>
      </c>
      <c r="Z3505" s="183">
        <v>2.0269021437817614E-2</v>
      </c>
    </row>
    <row r="3506" spans="22:26" x14ac:dyDescent="0.2">
      <c r="V3506" s="180" t="str">
        <f t="shared" si="62"/>
        <v>1w</v>
      </c>
      <c r="W3506" s="177">
        <f>_xll.qlCalendarAdvance(Calendar,W3505,V3506,"f",FALSE)</f>
        <v>63542</v>
      </c>
      <c r="X3506" s="181">
        <f>_xll.qlCalendarAdvance(Calendar,W3506,NDays&amp;"D")</f>
        <v>63544</v>
      </c>
      <c r="Y3506" s="178" t="e">
        <v>#N/A</v>
      </c>
      <c r="Z3506" s="183">
        <v>2.0269322723454053E-2</v>
      </c>
    </row>
    <row r="3507" spans="22:26" x14ac:dyDescent="0.2">
      <c r="V3507" s="180" t="str">
        <f t="shared" si="62"/>
        <v>1w</v>
      </c>
      <c r="W3507" s="177">
        <f>_xll.qlCalendarAdvance(Calendar,W3506,V3507,"f",FALSE)</f>
        <v>63550</v>
      </c>
      <c r="X3507" s="181">
        <f>_xll.qlCalendarAdvance(Calendar,W3507,NDays&amp;"D")</f>
        <v>63552</v>
      </c>
      <c r="Y3507" s="178" t="e">
        <v>#N/A</v>
      </c>
      <c r="Z3507" s="183">
        <v>2.0271433038916431E-2</v>
      </c>
    </row>
    <row r="3508" spans="22:26" x14ac:dyDescent="0.2">
      <c r="V3508" s="180" t="str">
        <f t="shared" si="62"/>
        <v>1w</v>
      </c>
      <c r="W3508" s="177">
        <f>_xll.qlCalendarAdvance(Calendar,W3507,V3508,"f",FALSE)</f>
        <v>63557</v>
      </c>
      <c r="X3508" s="181">
        <f>_xll.qlCalendarAdvance(Calendar,W3508,NDays&amp;"D")</f>
        <v>63559</v>
      </c>
      <c r="Y3508" s="178" t="e">
        <v>#N/A</v>
      </c>
      <c r="Z3508" s="183">
        <v>2.0271128070472599E-2</v>
      </c>
    </row>
    <row r="3509" spans="22:26" x14ac:dyDescent="0.2">
      <c r="V3509" s="180" t="str">
        <f t="shared" si="62"/>
        <v>1w</v>
      </c>
      <c r="W3509" s="177">
        <f>_xll.qlCalendarAdvance(Calendar,W3508,V3509,"f",FALSE)</f>
        <v>63564</v>
      </c>
      <c r="X3509" s="181">
        <f>_xll.qlCalendarAdvance(Calendar,W3509,NDays&amp;"D")</f>
        <v>63566</v>
      </c>
      <c r="Y3509" s="178" t="e">
        <v>#N/A</v>
      </c>
      <c r="Z3509" s="183">
        <v>2.0271407867218372E-2</v>
      </c>
    </row>
    <row r="3510" spans="22:26" x14ac:dyDescent="0.2">
      <c r="V3510" s="180" t="str">
        <f t="shared" si="62"/>
        <v>1w</v>
      </c>
      <c r="W3510" s="177">
        <f>_xll.qlCalendarAdvance(Calendar,W3509,V3510,"f",FALSE)</f>
        <v>63571</v>
      </c>
      <c r="X3510" s="181">
        <f>_xll.qlCalendarAdvance(Calendar,W3510,NDays&amp;"D")</f>
        <v>63573</v>
      </c>
      <c r="Y3510" s="178" t="e">
        <v>#N/A</v>
      </c>
      <c r="Z3510" s="183">
        <v>2.0271681113523954E-2</v>
      </c>
    </row>
    <row r="3511" spans="22:26" x14ac:dyDescent="0.2">
      <c r="V3511" s="180" t="str">
        <f t="shared" si="62"/>
        <v>1w</v>
      </c>
      <c r="W3511" s="177">
        <f>_xll.qlCalendarAdvance(Calendar,W3510,V3511,"f",FALSE)</f>
        <v>63578</v>
      </c>
      <c r="X3511" s="181">
        <f>_xll.qlCalendarAdvance(Calendar,W3511,NDays&amp;"D")</f>
        <v>63580</v>
      </c>
      <c r="Y3511" s="178" t="e">
        <v>#N/A</v>
      </c>
      <c r="Z3511" s="183">
        <v>2.0271947809415991E-2</v>
      </c>
    </row>
    <row r="3512" spans="22:26" x14ac:dyDescent="0.2">
      <c r="V3512" s="180" t="str">
        <f t="shared" si="62"/>
        <v>1w</v>
      </c>
      <c r="W3512" s="177">
        <f>_xll.qlCalendarAdvance(Calendar,W3511,V3512,"f",FALSE)</f>
        <v>63585</v>
      </c>
      <c r="X3512" s="181">
        <f>_xll.qlCalendarAdvance(Calendar,W3512,NDays&amp;"D")</f>
        <v>63587</v>
      </c>
      <c r="Y3512" s="178" t="e">
        <v>#N/A</v>
      </c>
      <c r="Z3512" s="183">
        <v>2.0272207954867838E-2</v>
      </c>
    </row>
    <row r="3513" spans="22:26" x14ac:dyDescent="0.2">
      <c r="V3513" s="180" t="str">
        <f t="shared" si="62"/>
        <v>1w</v>
      </c>
      <c r="W3513" s="177">
        <f>_xll.qlCalendarAdvance(Calendar,W3512,V3513,"f",FALSE)</f>
        <v>63592</v>
      </c>
      <c r="X3513" s="181">
        <f>_xll.qlCalendarAdvance(Calendar,W3513,NDays&amp;"D")</f>
        <v>63594</v>
      </c>
      <c r="Y3513" s="178" t="e">
        <v>#N/A</v>
      </c>
      <c r="Z3513" s="183">
        <v>2.0272461549852849E-2</v>
      </c>
    </row>
    <row r="3514" spans="22:26" x14ac:dyDescent="0.2">
      <c r="V3514" s="180" t="str">
        <f t="shared" si="62"/>
        <v>1w</v>
      </c>
      <c r="W3514" s="177">
        <f>_xll.qlCalendarAdvance(Calendar,W3513,V3514,"f",FALSE)</f>
        <v>63599</v>
      </c>
      <c r="X3514" s="181">
        <f>_xll.qlCalendarAdvance(Calendar,W3514,NDays&amp;"D")</f>
        <v>63601</v>
      </c>
      <c r="Y3514" s="178" t="e">
        <v>#N/A</v>
      </c>
      <c r="Z3514" s="183">
        <v>2.0272708594504252E-2</v>
      </c>
    </row>
    <row r="3515" spans="22:26" x14ac:dyDescent="0.2">
      <c r="V3515" s="180" t="str">
        <f t="shared" si="62"/>
        <v>1w</v>
      </c>
      <c r="W3515" s="177">
        <f>_xll.qlCalendarAdvance(Calendar,W3514,V3515,"f",FALSE)</f>
        <v>63606</v>
      </c>
      <c r="X3515" s="181">
        <f>_xll.qlCalendarAdvance(Calendar,W3515,NDays&amp;"D")</f>
        <v>63608</v>
      </c>
      <c r="Y3515" s="178" t="e">
        <v>#N/A</v>
      </c>
      <c r="Z3515" s="183">
        <v>2.0272949088635528E-2</v>
      </c>
    </row>
    <row r="3516" spans="22:26" x14ac:dyDescent="0.2">
      <c r="V3516" s="180" t="str">
        <f t="shared" si="62"/>
        <v>1w</v>
      </c>
      <c r="W3516" s="177">
        <f>_xll.qlCalendarAdvance(Calendar,W3515,V3516,"f",FALSE)</f>
        <v>63613</v>
      </c>
      <c r="X3516" s="181">
        <f>_xll.qlCalendarAdvance(Calendar,W3516,NDays&amp;"D")</f>
        <v>63615</v>
      </c>
      <c r="Y3516" s="178" t="e">
        <v>#N/A</v>
      </c>
      <c r="Z3516" s="183">
        <v>2.0273183032379904E-2</v>
      </c>
    </row>
    <row r="3517" spans="22:26" x14ac:dyDescent="0.2">
      <c r="V3517" s="180" t="str">
        <f t="shared" si="62"/>
        <v>1w</v>
      </c>
      <c r="W3517" s="177">
        <f>_xll.qlCalendarAdvance(Calendar,W3516,V3517,"f",FALSE)</f>
        <v>63620</v>
      </c>
      <c r="X3517" s="181">
        <f>_xll.qlCalendarAdvance(Calendar,W3517,NDays&amp;"D")</f>
        <v>63622</v>
      </c>
      <c r="Y3517" s="178" t="e">
        <v>#N/A</v>
      </c>
      <c r="Z3517" s="183">
        <v>2.0273410425737382E-2</v>
      </c>
    </row>
    <row r="3518" spans="22:26" x14ac:dyDescent="0.2">
      <c r="V3518" s="180" t="str">
        <f t="shared" si="62"/>
        <v>1w</v>
      </c>
      <c r="W3518" s="177">
        <f>_xll.qlCalendarAdvance(Calendar,W3517,V3518,"f",FALSE)</f>
        <v>63627</v>
      </c>
      <c r="X3518" s="181">
        <f>_xll.qlCalendarAdvance(Calendar,W3518,NDays&amp;"D")</f>
        <v>63629</v>
      </c>
      <c r="Y3518" s="178" t="e">
        <v>#N/A</v>
      </c>
      <c r="Z3518" s="183">
        <v>2.0273631268628023E-2</v>
      </c>
    </row>
    <row r="3519" spans="22:26" x14ac:dyDescent="0.2">
      <c r="V3519" s="180" t="str">
        <f t="shared" si="62"/>
        <v>1w</v>
      </c>
      <c r="W3519" s="177">
        <f>_xll.qlCalendarAdvance(Calendar,W3518,V3519,"f",FALSE)</f>
        <v>63634</v>
      </c>
      <c r="X3519" s="181">
        <f>_xll.qlCalendarAdvance(Calendar,W3519,NDays&amp;"D")</f>
        <v>63636</v>
      </c>
      <c r="Y3519" s="178" t="e">
        <v>#N/A</v>
      </c>
      <c r="Z3519" s="183">
        <v>2.0273845561105119E-2</v>
      </c>
    </row>
    <row r="3520" spans="22:26" x14ac:dyDescent="0.2">
      <c r="V3520" s="180" t="str">
        <f t="shared" si="62"/>
        <v>1w</v>
      </c>
      <c r="W3520" s="177">
        <f>_xll.qlCalendarAdvance(Calendar,W3519,V3520,"f",FALSE)</f>
        <v>63641</v>
      </c>
      <c r="X3520" s="181">
        <f>_xll.qlCalendarAdvance(Calendar,W3520,NDays&amp;"D")</f>
        <v>63643</v>
      </c>
      <c r="Y3520" s="178" t="e">
        <v>#N/A</v>
      </c>
      <c r="Z3520" s="183">
        <v>2.0274053303142026E-2</v>
      </c>
    </row>
    <row r="3521" spans="22:26" x14ac:dyDescent="0.2">
      <c r="V3521" s="180" t="str">
        <f t="shared" si="62"/>
        <v>1w</v>
      </c>
      <c r="W3521" s="177">
        <f>_xll.qlCalendarAdvance(Calendar,W3520,V3521,"f",FALSE)</f>
        <v>63648</v>
      </c>
      <c r="X3521" s="181">
        <f>_xll.qlCalendarAdvance(Calendar,W3521,NDays&amp;"D")</f>
        <v>63650</v>
      </c>
      <c r="Y3521" s="178" t="e">
        <v>#N/A</v>
      </c>
      <c r="Z3521" s="183">
        <v>2.0274254494765387E-2</v>
      </c>
    </row>
    <row r="3522" spans="22:26" x14ac:dyDescent="0.2">
      <c r="V3522" s="180" t="str">
        <f t="shared" si="62"/>
        <v>1w</v>
      </c>
      <c r="W3522" s="177">
        <f>_xll.qlCalendarAdvance(Calendar,W3521,V3522,"f",FALSE)</f>
        <v>63655</v>
      </c>
      <c r="X3522" s="181">
        <f>_xll.qlCalendarAdvance(Calendar,W3522,NDays&amp;"D")</f>
        <v>63661</v>
      </c>
      <c r="Y3522" s="178" t="e">
        <v>#N/A</v>
      </c>
      <c r="Z3522" s="183">
        <v>2.0273388876228537E-2</v>
      </c>
    </row>
    <row r="3523" spans="22:26" x14ac:dyDescent="0.2">
      <c r="V3523" s="180" t="str">
        <f t="shared" si="62"/>
        <v>1w</v>
      </c>
      <c r="W3523" s="177">
        <f>_xll.qlCalendarAdvance(Calendar,W3522,V3523,"f",FALSE)</f>
        <v>63662</v>
      </c>
      <c r="X3523" s="181">
        <f>_xll.qlCalendarAdvance(Calendar,W3523,NDays&amp;"D")</f>
        <v>63664</v>
      </c>
      <c r="Y3523" s="178" t="e">
        <v>#N/A</v>
      </c>
      <c r="Z3523" s="183">
        <v>2.0274637226744829E-2</v>
      </c>
    </row>
    <row r="3524" spans="22:26" x14ac:dyDescent="0.2">
      <c r="V3524" s="180" t="str">
        <f t="shared" si="62"/>
        <v>1w</v>
      </c>
      <c r="W3524" s="177">
        <f>_xll.qlCalendarAdvance(Calendar,W3523,V3524,"f",FALSE)</f>
        <v>63669</v>
      </c>
      <c r="X3524" s="181">
        <f>_xll.qlCalendarAdvance(Calendar,W3524,NDays&amp;"D")</f>
        <v>63671</v>
      </c>
      <c r="Y3524" s="178" t="e">
        <v>#N/A</v>
      </c>
      <c r="Z3524" s="183">
        <v>2.0274818767074265E-2</v>
      </c>
    </row>
    <row r="3525" spans="22:26" x14ac:dyDescent="0.2">
      <c r="V3525" s="180" t="str">
        <f t="shared" si="62"/>
        <v>1w</v>
      </c>
      <c r="W3525" s="177">
        <f>_xll.qlCalendarAdvance(Calendar,W3524,V3525,"f",FALSE)</f>
        <v>63676</v>
      </c>
      <c r="X3525" s="181">
        <f>_xll.qlCalendarAdvance(Calendar,W3525,NDays&amp;"D")</f>
        <v>63678</v>
      </c>
      <c r="Y3525" s="178" t="e">
        <v>#N/A</v>
      </c>
      <c r="Z3525" s="183">
        <v>2.0274993757043447E-2</v>
      </c>
    </row>
    <row r="3526" spans="22:26" x14ac:dyDescent="0.2">
      <c r="V3526" s="180" t="str">
        <f t="shared" si="62"/>
        <v>1w</v>
      </c>
      <c r="W3526" s="177">
        <f>_xll.qlCalendarAdvance(Calendar,W3525,V3526,"f",FALSE)</f>
        <v>63683</v>
      </c>
      <c r="X3526" s="181">
        <f>_xll.qlCalendarAdvance(Calendar,W3526,NDays&amp;"D")</f>
        <v>63685</v>
      </c>
      <c r="Y3526" s="178" t="e">
        <v>#N/A</v>
      </c>
      <c r="Z3526" s="183">
        <v>2.0275162196519148E-2</v>
      </c>
    </row>
    <row r="3527" spans="22:26" x14ac:dyDescent="0.2">
      <c r="V3527" s="180" t="str">
        <f t="shared" si="62"/>
        <v>1w</v>
      </c>
      <c r="W3527" s="177">
        <f>_xll.qlCalendarAdvance(Calendar,W3526,V3527,"f",FALSE)</f>
        <v>63690</v>
      </c>
      <c r="X3527" s="181">
        <f>_xll.qlCalendarAdvance(Calendar,W3527,NDays&amp;"D")</f>
        <v>63692</v>
      </c>
      <c r="Y3527" s="178" t="e">
        <v>#N/A</v>
      </c>
      <c r="Z3527" s="183">
        <v>2.0275324085607949E-2</v>
      </c>
    </row>
    <row r="3528" spans="22:26" x14ac:dyDescent="0.2">
      <c r="V3528" s="180" t="str">
        <f t="shared" si="62"/>
        <v>1w</v>
      </c>
      <c r="W3528" s="177">
        <f>_xll.qlCalendarAdvance(Calendar,W3527,V3528,"f",FALSE)</f>
        <v>63697</v>
      </c>
      <c r="X3528" s="181">
        <f>_xll.qlCalendarAdvance(Calendar,W3528,NDays&amp;"D")</f>
        <v>63699</v>
      </c>
      <c r="Y3528" s="178" t="e">
        <v>#N/A</v>
      </c>
      <c r="Z3528" s="183">
        <v>2.0275479424283205E-2</v>
      </c>
    </row>
    <row r="3529" spans="22:26" x14ac:dyDescent="0.2">
      <c r="V3529" s="180" t="str">
        <f t="shared" si="62"/>
        <v>1w</v>
      </c>
      <c r="W3529" s="177">
        <f>_xll.qlCalendarAdvance(Calendar,W3528,V3529,"f",FALSE)</f>
        <v>63704</v>
      </c>
      <c r="X3529" s="181">
        <f>_xll.qlCalendarAdvance(Calendar,W3529,NDays&amp;"D")</f>
        <v>63706</v>
      </c>
      <c r="Y3529" s="178" t="e">
        <v>#N/A</v>
      </c>
      <c r="Z3529" s="183">
        <v>2.0275628212518271E-2</v>
      </c>
    </row>
    <row r="3530" spans="22:26" x14ac:dyDescent="0.2">
      <c r="V3530" s="180" t="str">
        <f t="shared" si="62"/>
        <v>1w</v>
      </c>
      <c r="W3530" s="177">
        <f>_xll.qlCalendarAdvance(Calendar,W3529,V3530,"f",FALSE)</f>
        <v>63711</v>
      </c>
      <c r="X3530" s="181">
        <f>_xll.qlCalendarAdvance(Calendar,W3530,NDays&amp;"D")</f>
        <v>63713</v>
      </c>
      <c r="Y3530" s="178" t="e">
        <v>#N/A</v>
      </c>
      <c r="Z3530" s="183">
        <v>2.0275770450286501E-2</v>
      </c>
    </row>
    <row r="3531" spans="22:26" x14ac:dyDescent="0.2">
      <c r="V3531" s="180" t="str">
        <f t="shared" si="62"/>
        <v>1w</v>
      </c>
      <c r="W3531" s="177">
        <f>_xll.qlCalendarAdvance(Calendar,W3530,V3531,"f",FALSE)</f>
        <v>63718</v>
      </c>
      <c r="X3531" s="181">
        <f>_xll.qlCalendarAdvance(Calendar,W3531,NDays&amp;"D")</f>
        <v>63720</v>
      </c>
      <c r="Y3531" s="178" t="e">
        <v>#N/A</v>
      </c>
      <c r="Z3531" s="183">
        <v>2.0275906137694477E-2</v>
      </c>
    </row>
    <row r="3532" spans="22:26" x14ac:dyDescent="0.2">
      <c r="V3532" s="180" t="str">
        <f t="shared" si="62"/>
        <v>1w</v>
      </c>
      <c r="W3532" s="177">
        <f>_xll.qlCalendarAdvance(Calendar,W3531,V3532,"f",FALSE)</f>
        <v>63725</v>
      </c>
      <c r="X3532" s="181">
        <f>_xll.qlCalendarAdvance(Calendar,W3532,NDays&amp;"D")</f>
        <v>63727</v>
      </c>
      <c r="Y3532" s="178" t="e">
        <v>#N/A</v>
      </c>
      <c r="Z3532" s="183">
        <v>2.0276035274635618E-2</v>
      </c>
    </row>
    <row r="3533" spans="22:26" x14ac:dyDescent="0.2">
      <c r="V3533" s="180" t="str">
        <f t="shared" si="62"/>
        <v>1w</v>
      </c>
      <c r="W3533" s="177">
        <f>_xll.qlCalendarAdvance(Calendar,W3532,V3533,"f",FALSE)</f>
        <v>63732</v>
      </c>
      <c r="X3533" s="181">
        <f>_xll.qlCalendarAdvance(Calendar,W3533,NDays&amp;"D")</f>
        <v>63734</v>
      </c>
      <c r="Y3533" s="178" t="e">
        <v>#N/A</v>
      </c>
      <c r="Z3533" s="183">
        <v>2.0276157861109922E-2</v>
      </c>
    </row>
    <row r="3534" spans="22:26" x14ac:dyDescent="0.2">
      <c r="V3534" s="180" t="str">
        <f t="shared" si="62"/>
        <v>1w</v>
      </c>
      <c r="W3534" s="177">
        <f>_xll.qlCalendarAdvance(Calendar,W3533,V3534,"f",FALSE)</f>
        <v>63739</v>
      </c>
      <c r="X3534" s="181">
        <f>_xll.qlCalendarAdvance(Calendar,W3534,NDays&amp;"D")</f>
        <v>63741</v>
      </c>
      <c r="Y3534" s="178" t="e">
        <v>#N/A</v>
      </c>
      <c r="Z3534" s="183">
        <v>2.0276273897277264E-2</v>
      </c>
    </row>
    <row r="3535" spans="22:26" x14ac:dyDescent="0.2">
      <c r="V3535" s="180" t="str">
        <f t="shared" si="62"/>
        <v>1w</v>
      </c>
      <c r="W3535" s="177">
        <f>_xll.qlCalendarAdvance(Calendar,W3534,V3535,"f",FALSE)</f>
        <v>63746</v>
      </c>
      <c r="X3535" s="181">
        <f>_xll.qlCalendarAdvance(Calendar,W3535,NDays&amp;"D")</f>
        <v>63748</v>
      </c>
      <c r="Y3535" s="178" t="e">
        <v>#N/A</v>
      </c>
      <c r="Z3535" s="183">
        <v>2.0276383382951124E-2</v>
      </c>
    </row>
    <row r="3536" spans="22:26" x14ac:dyDescent="0.2">
      <c r="V3536" s="180" t="str">
        <f t="shared" si="62"/>
        <v>1w</v>
      </c>
      <c r="W3536" s="177">
        <f>_xll.qlCalendarAdvance(Calendar,W3535,V3536,"f",FALSE)</f>
        <v>63753</v>
      </c>
      <c r="X3536" s="181">
        <f>_xll.qlCalendarAdvance(Calendar,W3536,NDays&amp;"D")</f>
        <v>63755</v>
      </c>
      <c r="Y3536" s="178" t="e">
        <v>#N/A</v>
      </c>
      <c r="Z3536" s="183">
        <v>2.0276486318184794E-2</v>
      </c>
    </row>
    <row r="3537" spans="2:26" x14ac:dyDescent="0.2">
      <c r="V3537" s="180" t="str">
        <f t="shared" si="62"/>
        <v>1w</v>
      </c>
      <c r="W3537" s="177">
        <f>_xll.qlCalendarAdvance(Calendar,W3536,V3537,"f",FALSE)</f>
        <v>63760</v>
      </c>
      <c r="X3537" s="181">
        <f>_xll.qlCalendarAdvance(Calendar,W3537,NDays&amp;"D")</f>
        <v>63762</v>
      </c>
      <c r="Y3537" s="178" t="e">
        <v>#N/A</v>
      </c>
      <c r="Z3537" s="183">
        <v>2.0276582703031565E-2</v>
      </c>
    </row>
    <row r="3538" spans="2:26" x14ac:dyDescent="0.2">
      <c r="V3538" s="180" t="str">
        <f t="shared" si="62"/>
        <v>1w</v>
      </c>
      <c r="W3538" s="177">
        <f>_xll.qlCalendarAdvance(Calendar,W3537,V3538,"f",FALSE)</f>
        <v>63767</v>
      </c>
      <c r="X3538" s="181">
        <f>_xll.qlCalendarAdvance(Calendar,W3538,NDays&amp;"D")</f>
        <v>63769</v>
      </c>
      <c r="Y3538" s="178" t="e">
        <v>#N/A</v>
      </c>
      <c r="Z3538" s="183">
        <v>2.02766725374115E-2</v>
      </c>
    </row>
    <row r="3539" spans="2:26" x14ac:dyDescent="0.2">
      <c r="V3539" s="180" t="str">
        <f t="shared" si="62"/>
        <v>1w</v>
      </c>
      <c r="W3539" s="177">
        <f>_xll.qlCalendarAdvance(Calendar,W3538,V3539,"f",FALSE)</f>
        <v>63774</v>
      </c>
      <c r="X3539" s="181">
        <f>_xll.qlCalendarAdvance(Calendar,W3539,NDays&amp;"D")</f>
        <v>63776</v>
      </c>
      <c r="Y3539" s="178" t="e">
        <v>#N/A</v>
      </c>
      <c r="Z3539" s="183">
        <v>2.027675582137789E-2</v>
      </c>
    </row>
    <row r="3540" spans="2:26" x14ac:dyDescent="0.2">
      <c r="B3540" s="177"/>
      <c r="C3540" s="181"/>
      <c r="D3540" s="178"/>
      <c r="E3540" s="178"/>
      <c r="V3540" s="180" t="str">
        <f t="shared" si="62"/>
        <v>1w</v>
      </c>
      <c r="W3540" s="177">
        <f>_xll.qlCalendarAdvance(Calendar,W3539,V3540,"f",FALSE)</f>
        <v>63781</v>
      </c>
      <c r="X3540" s="181">
        <f>_xll.qlCalendarAdvance(Calendar,W3540,NDays&amp;"D")</f>
        <v>63783</v>
      </c>
      <c r="Y3540" s="178" t="e">
        <v>#N/A</v>
      </c>
      <c r="Z3540" s="183">
        <v>2.027683255495738E-2</v>
      </c>
    </row>
    <row r="3541" spans="2:26" x14ac:dyDescent="0.2">
      <c r="B3541" s="177"/>
      <c r="C3541" s="181"/>
      <c r="D3541" s="178"/>
      <c r="E3541" s="178"/>
      <c r="V3541" s="180" t="str">
        <f t="shared" ref="V3541:V3552" si="63">V3540</f>
        <v>1w</v>
      </c>
      <c r="W3541" s="177">
        <f>_xll.qlCalendarAdvance(Calendar,W3540,V3541,"f",FALSE)</f>
        <v>63788</v>
      </c>
      <c r="X3541" s="181">
        <f>_xll.qlCalendarAdvance(Calendar,W3541,NDays&amp;"D")</f>
        <v>63790</v>
      </c>
      <c r="Y3541" s="178" t="e">
        <v>#N/A</v>
      </c>
      <c r="Z3541" s="183">
        <v>2.0276902738070035E-2</v>
      </c>
    </row>
    <row r="3542" spans="2:26" x14ac:dyDescent="0.2">
      <c r="B3542" s="177"/>
      <c r="C3542" s="181"/>
      <c r="D3542" s="178"/>
      <c r="E3542" s="178"/>
      <c r="V3542" s="180" t="str">
        <f t="shared" si="63"/>
        <v>1w</v>
      </c>
      <c r="W3542" s="177">
        <f>_xll.qlCalendarAdvance(Calendar,W3541,V3542,"f",FALSE)</f>
        <v>63795</v>
      </c>
      <c r="X3542" s="181">
        <f>_xll.qlCalendarAdvance(Calendar,W3542,NDays&amp;"D")</f>
        <v>63797</v>
      </c>
      <c r="Y3542" s="178" t="e">
        <v>#N/A</v>
      </c>
      <c r="Z3542" s="183">
        <v>2.0276966370769145E-2</v>
      </c>
    </row>
    <row r="3543" spans="2:26" x14ac:dyDescent="0.2">
      <c r="B3543" s="177"/>
      <c r="C3543" s="181"/>
      <c r="D3543" s="178"/>
      <c r="E3543" s="178"/>
      <c r="V3543" s="180" t="str">
        <f t="shared" si="63"/>
        <v>1w</v>
      </c>
      <c r="W3543" s="177">
        <f>_xll.qlCalendarAdvance(Calendar,W3542,V3543,"f",FALSE)</f>
        <v>63802</v>
      </c>
      <c r="X3543" s="181">
        <f>_xll.qlCalendarAdvance(Calendar,W3543,NDays&amp;"D")</f>
        <v>63804</v>
      </c>
      <c r="Y3543" s="178" t="e">
        <v>#N/A</v>
      </c>
      <c r="Z3543" s="183">
        <v>2.0277023453081355E-2</v>
      </c>
    </row>
    <row r="3544" spans="2:26" x14ac:dyDescent="0.2">
      <c r="B3544" s="177"/>
      <c r="C3544" s="181"/>
      <c r="D3544" s="178"/>
      <c r="E3544" s="178"/>
      <c r="V3544" s="180" t="str">
        <f t="shared" si="63"/>
        <v>1w</v>
      </c>
      <c r="W3544" s="177">
        <f>_xll.qlCalendarAdvance(Calendar,W3543,V3544,"f",FALSE)</f>
        <v>63809</v>
      </c>
      <c r="X3544" s="181">
        <f>_xll.qlCalendarAdvance(Calendar,W3544,NDays&amp;"D")</f>
        <v>63811</v>
      </c>
      <c r="Y3544" s="178" t="e">
        <v>#N/A</v>
      </c>
      <c r="Z3544" s="183">
        <v>2.0277073984900085E-2</v>
      </c>
    </row>
    <row r="3545" spans="2:26" x14ac:dyDescent="0.2">
      <c r="B3545" s="177"/>
      <c r="C3545" s="181"/>
      <c r="D3545" s="178"/>
      <c r="E3545" s="178"/>
      <c r="V3545" s="180" t="str">
        <f t="shared" si="63"/>
        <v>1w</v>
      </c>
      <c r="W3545" s="177">
        <f>_xll.qlCalendarAdvance(Calendar,W3544,V3545,"f",FALSE)</f>
        <v>63816</v>
      </c>
      <c r="X3545" s="181">
        <f>_xll.qlCalendarAdvance(Calendar,W3545,NDays&amp;"D")</f>
        <v>63818</v>
      </c>
      <c r="Y3545" s="178" t="e">
        <v>#N/A</v>
      </c>
      <c r="Z3545" s="183">
        <v>2.0277117966331915E-2</v>
      </c>
    </row>
    <row r="3546" spans="2:26" x14ac:dyDescent="0.2">
      <c r="B3546" s="177"/>
      <c r="C3546" s="181"/>
      <c r="D3546" s="178"/>
      <c r="E3546" s="178"/>
      <c r="V3546" s="180" t="str">
        <f t="shared" si="63"/>
        <v>1w</v>
      </c>
      <c r="W3546" s="177">
        <f>_xll.qlCalendarAdvance(Calendar,W3545,V3546,"f",FALSE)</f>
        <v>63823</v>
      </c>
      <c r="X3546" s="181">
        <f>_xll.qlCalendarAdvance(Calendar,W3546,NDays&amp;"D")</f>
        <v>63825</v>
      </c>
      <c r="Y3546" s="178" t="e">
        <v>#N/A</v>
      </c>
      <c r="Z3546" s="183">
        <v>2.0277155397350199E-2</v>
      </c>
    </row>
    <row r="3547" spans="2:26" x14ac:dyDescent="0.2">
      <c r="B3547" s="177"/>
      <c r="C3547" s="181"/>
      <c r="D3547" s="178"/>
      <c r="E3547" s="178"/>
      <c r="V3547" s="180" t="str">
        <f t="shared" si="63"/>
        <v>1w</v>
      </c>
      <c r="W3547" s="177">
        <f>_xll.qlCalendarAdvance(Calendar,W3546,V3547,"f",FALSE)</f>
        <v>63830</v>
      </c>
      <c r="X3547" s="181">
        <f>_xll.qlCalendarAdvance(Calendar,W3547,NDays&amp;"D")</f>
        <v>63832</v>
      </c>
      <c r="Y3547" s="178" t="e">
        <v>#N/A</v>
      </c>
      <c r="Z3547" s="183">
        <v>2.0277186277928294E-2</v>
      </c>
    </row>
    <row r="3548" spans="2:26" x14ac:dyDescent="0.2">
      <c r="B3548" s="177"/>
      <c r="C3548" s="181"/>
      <c r="D3548" s="178"/>
      <c r="E3548" s="178"/>
      <c r="V3548" s="180" t="str">
        <f t="shared" si="63"/>
        <v>1w</v>
      </c>
      <c r="W3548" s="177">
        <f>_xll.qlCalendarAdvance(Calendar,W3547,V3548,"f",FALSE)</f>
        <v>63837</v>
      </c>
      <c r="X3548" s="181">
        <f>_xll.qlCalendarAdvance(Calendar,W3548,NDays&amp;"D")</f>
        <v>63839</v>
      </c>
      <c r="Y3548" s="178" t="e">
        <v>#N/A</v>
      </c>
      <c r="Z3548" s="183">
        <v>2.0277210608066198E-2</v>
      </c>
    </row>
    <row r="3549" spans="2:26" x14ac:dyDescent="0.2">
      <c r="B3549" s="177"/>
      <c r="C3549" s="181"/>
      <c r="D3549" s="178"/>
      <c r="E3549" s="178"/>
      <c r="V3549" s="180" t="str">
        <f t="shared" si="63"/>
        <v>1w</v>
      </c>
      <c r="W3549" s="177">
        <f>_xll.qlCalendarAdvance(Calendar,W3548,V3549,"f",FALSE)</f>
        <v>63844</v>
      </c>
      <c r="X3549" s="181">
        <f>_xll.qlCalendarAdvance(Calendar,W3549,NDays&amp;"D")</f>
        <v>63846</v>
      </c>
      <c r="Y3549" s="178" t="e">
        <v>#N/A</v>
      </c>
      <c r="Z3549" s="183">
        <v>2.0277228387790558E-2</v>
      </c>
    </row>
    <row r="3550" spans="2:26" x14ac:dyDescent="0.2">
      <c r="B3550" s="177"/>
      <c r="C3550" s="181"/>
      <c r="D3550" s="178"/>
      <c r="E3550" s="178"/>
      <c r="V3550" s="180" t="str">
        <f t="shared" si="63"/>
        <v>1w</v>
      </c>
      <c r="W3550" s="177">
        <f>_xll.qlCalendarAdvance(Calendar,W3549,V3550,"f",FALSE)</f>
        <v>63851</v>
      </c>
      <c r="X3550" s="181">
        <f>_xll.qlCalendarAdvance(Calendar,W3550,NDays&amp;"D")</f>
        <v>63853</v>
      </c>
      <c r="Y3550" s="178" t="e">
        <v>#N/A</v>
      </c>
      <c r="Z3550" s="183">
        <v>2.0277239617074727E-2</v>
      </c>
    </row>
    <row r="3551" spans="2:26" x14ac:dyDescent="0.2">
      <c r="B3551" s="177"/>
      <c r="C3551" s="181"/>
      <c r="D3551" s="178"/>
      <c r="E3551" s="178"/>
      <c r="V3551" s="180" t="str">
        <f t="shared" si="63"/>
        <v>1w</v>
      </c>
      <c r="W3551" s="177">
        <f>_xll.qlCalendarAdvance(Calendar,W3550,V3551,"f",FALSE)</f>
        <v>63858</v>
      </c>
      <c r="X3551" s="181">
        <f>_xll.qlCalendarAdvance(Calendar,W3551,NDays&amp;"D")</f>
        <v>63860</v>
      </c>
      <c r="Y3551" s="178" t="e">
        <v>#N/A</v>
      </c>
      <c r="Z3551" s="183">
        <v>2.0277244295945351E-2</v>
      </c>
    </row>
    <row r="3552" spans="2:26" ht="12" thickBot="1" x14ac:dyDescent="0.25">
      <c r="B3552" s="177"/>
      <c r="C3552" s="181"/>
      <c r="D3552" s="178"/>
      <c r="E3552" s="178"/>
      <c r="V3552" s="188" t="str">
        <f t="shared" si="63"/>
        <v>1w</v>
      </c>
      <c r="W3552" s="185">
        <f>_xll.qlCalendarAdvance(Calendar,W3551,V3552,"f",FALSE)</f>
        <v>63865</v>
      </c>
      <c r="X3552" s="203">
        <f>_xll.qlCalendarAdvance(Calendar,W3552,NDays&amp;"D")</f>
        <v>63867</v>
      </c>
      <c r="Y3552" s="182" t="e">
        <v>#N/A</v>
      </c>
      <c r="Z3552" s="184" t="e">
        <v>#N/A</v>
      </c>
    </row>
    <row r="3553" spans="2:22" x14ac:dyDescent="0.2">
      <c r="B3553" s="177"/>
      <c r="C3553" s="181"/>
      <c r="D3553" s="178"/>
      <c r="E3553" s="178"/>
      <c r="V3553" s="195"/>
    </row>
    <row r="3554" spans="2:22" x14ac:dyDescent="0.2">
      <c r="B3554" s="177"/>
      <c r="C3554" s="181"/>
      <c r="D3554" s="178"/>
      <c r="E3554" s="178"/>
      <c r="V3554" s="195"/>
    </row>
    <row r="3555" spans="2:22" x14ac:dyDescent="0.2">
      <c r="B3555" s="177"/>
      <c r="C3555" s="181"/>
      <c r="D3555" s="178"/>
      <c r="E3555" s="178"/>
      <c r="V3555" s="195"/>
    </row>
    <row r="3556" spans="2:22" x14ac:dyDescent="0.2">
      <c r="B3556" s="177"/>
      <c r="C3556" s="181"/>
      <c r="D3556" s="178"/>
      <c r="E3556" s="178"/>
      <c r="V3556" s="195"/>
    </row>
    <row r="3557" spans="2:22" x14ac:dyDescent="0.2">
      <c r="B3557" s="177"/>
      <c r="C3557" s="181"/>
      <c r="D3557" s="178"/>
      <c r="E3557" s="178"/>
      <c r="V3557" s="195"/>
    </row>
    <row r="3558" spans="2:22" x14ac:dyDescent="0.2">
      <c r="B3558" s="177"/>
      <c r="C3558" s="181"/>
      <c r="D3558" s="178"/>
      <c r="E3558" s="178"/>
      <c r="V3558" s="195"/>
    </row>
    <row r="3559" spans="2:22" x14ac:dyDescent="0.2">
      <c r="B3559" s="177"/>
      <c r="C3559" s="181"/>
      <c r="D3559" s="178"/>
      <c r="E3559" s="178"/>
      <c r="V3559" s="195"/>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36</xdr:row>
                    <xdr:rowOff>47625</xdr:rowOff>
                  </from>
                  <to>
                    <xdr:col>10</xdr:col>
                    <xdr:colOff>247650</xdr:colOff>
                    <xdr:row>38</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28</xdr:row>
                    <xdr:rowOff>38100</xdr:rowOff>
                  </from>
                  <to>
                    <xdr:col>10</xdr:col>
                    <xdr:colOff>247650</xdr:colOff>
                    <xdr:row>30</xdr:row>
                    <xdr:rowOff>28575</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44</xdr:row>
                    <xdr:rowOff>57150</xdr:rowOff>
                  </from>
                  <to>
                    <xdr:col>10</xdr:col>
                    <xdr:colOff>247650</xdr:colOff>
                    <xdr:row>46</xdr:row>
                    <xdr:rowOff>47625</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25</xdr:row>
                    <xdr:rowOff>66675</xdr:rowOff>
                  </from>
                  <to>
                    <xdr:col>10</xdr:col>
                    <xdr:colOff>247650</xdr:colOff>
                    <xdr:row>27</xdr:row>
                    <xdr:rowOff>57150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30</xdr:row>
                    <xdr:rowOff>123825</xdr:rowOff>
                  </from>
                  <to>
                    <xdr:col>10</xdr:col>
                    <xdr:colOff>247650</xdr:colOff>
                    <xdr:row>32</xdr:row>
                    <xdr:rowOff>114300</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33</xdr:row>
                    <xdr:rowOff>95250</xdr:rowOff>
                  </from>
                  <to>
                    <xdr:col>10</xdr:col>
                    <xdr:colOff>247650</xdr:colOff>
                    <xdr:row>35</xdr:row>
                    <xdr:rowOff>85725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38</xdr:row>
                    <xdr:rowOff>133350</xdr:rowOff>
                  </from>
                  <to>
                    <xdr:col>10</xdr:col>
                    <xdr:colOff>247650</xdr:colOff>
                    <xdr:row>40</xdr:row>
                    <xdr:rowOff>123825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41</xdr:row>
                    <xdr:rowOff>95250</xdr:rowOff>
                  </from>
                  <to>
                    <xdr:col>10</xdr:col>
                    <xdr:colOff>247650</xdr:colOff>
                    <xdr:row>43</xdr:row>
                    <xdr:rowOff>85725</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2014-01-13T11:05:04Z</dcterms:created>
  <dcterms:modified xsi:type="dcterms:W3CDTF">2014-10-30T14:45:47Z</dcterms:modified>
</cp:coreProperties>
</file>
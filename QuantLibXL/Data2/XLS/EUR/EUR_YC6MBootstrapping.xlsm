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Settings'!$D$23</definedName>
    <definedName name="BondBasisDayCounter">'General Settings'!$M$13</definedName>
    <definedName name="Calendar">'General Settings'!$D$18</definedName>
    <definedName name="Check">Monitor!$J$49</definedName>
    <definedName name="Conventions" localSheetId="6">ForwardSwaps!#REF!</definedName>
    <definedName name="Conventions" localSheetId="5">Swaps!$O$5:$Q$9</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Monitor!$AA$16</definedName>
    <definedName name="IborType">'General Settings'!$D$7</definedName>
    <definedName name="IndexTenor">'General Settings'!$D$6</definedName>
    <definedName name="InterpolatorID">'General Settings'!$D$25</definedName>
    <definedName name="JumpDates">Jumps!$C$6:$C$18</definedName>
    <definedName name="JumpQuotes">Jumps!$G$6:$G$18</definedName>
    <definedName name="MinDistance">RateHelpers!$H$2:$H$390</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Settings'!$M$12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F1" i="7" l="1"/>
  <c r="D18" i="15" l="1"/>
  <c r="D17" i="15"/>
  <c r="D16" i="15"/>
  <c r="D15" i="15"/>
  <c r="D14" i="15"/>
  <c r="D13" i="15"/>
  <c r="D12" i="15"/>
  <c r="D11" i="15"/>
  <c r="D10" i="15"/>
  <c r="D9" i="15"/>
  <c r="D8" i="15"/>
  <c r="D7" i="15"/>
  <c r="D6" i="15"/>
  <c r="E12" i="15"/>
  <c r="E15" i="15"/>
  <c r="E6" i="15"/>
  <c r="E9" i="15"/>
  <c r="D2" i="15"/>
  <c r="E13" i="15"/>
  <c r="E10" i="15"/>
  <c r="E11" i="15"/>
  <c r="E17" i="15"/>
  <c r="E16" i="15"/>
  <c r="E14" i="15"/>
  <c r="E7" i="15"/>
  <c r="E18" i="15"/>
  <c r="E8" i="15"/>
  <c r="G8" i="15" l="1"/>
  <c r="G18" i="15"/>
  <c r="G7" i="15"/>
  <c r="G14" i="15"/>
  <c r="G16" i="15"/>
  <c r="G17" i="15"/>
  <c r="G11" i="15"/>
  <c r="G10" i="15"/>
  <c r="G13" i="15"/>
  <c r="G9" i="15"/>
  <c r="G6" i="15"/>
  <c r="G15" i="15"/>
  <c r="G12" i="15"/>
  <c r="C30" i="6"/>
  <c r="C18" i="15"/>
  <c r="D3" i="15"/>
  <c r="V78" i="12" l="1" a="1"/>
  <c r="D329" i="13"/>
  <c r="I329" i="13" s="1"/>
  <c r="D328" i="13"/>
  <c r="I328" i="13" s="1"/>
  <c r="D327" i="13"/>
  <c r="I327" i="13" s="1"/>
  <c r="D326" i="13"/>
  <c r="I326" i="13" s="1"/>
  <c r="D325" i="13"/>
  <c r="I325" i="13" s="1"/>
  <c r="D324" i="13"/>
  <c r="I324" i="13" s="1"/>
  <c r="D323" i="13"/>
  <c r="I323" i="13" s="1"/>
  <c r="D322" i="13"/>
  <c r="I322" i="13" s="1"/>
  <c r="D321" i="13"/>
  <c r="I321" i="13" s="1"/>
  <c r="D320" i="13"/>
  <c r="I320" i="13" s="1"/>
  <c r="D319" i="13"/>
  <c r="I319" i="13" s="1"/>
  <c r="D318" i="13"/>
  <c r="I318" i="13" s="1"/>
  <c r="D317" i="13"/>
  <c r="I317" i="13" s="1"/>
  <c r="D316" i="13"/>
  <c r="I316" i="13" s="1"/>
  <c r="D315" i="13"/>
  <c r="I315" i="13" s="1"/>
  <c r="D314" i="13"/>
  <c r="I314" i="13" s="1"/>
  <c r="D313" i="13"/>
  <c r="I313" i="13" s="1"/>
  <c r="D312" i="13"/>
  <c r="I312" i="13" s="1"/>
  <c r="D311" i="13"/>
  <c r="I311" i="13" s="1"/>
  <c r="D310" i="13"/>
  <c r="I310" i="13" s="1"/>
  <c r="D309" i="13"/>
  <c r="I309" i="13" s="1"/>
  <c r="D308" i="13"/>
  <c r="I308" i="13" s="1"/>
  <c r="D307" i="13"/>
  <c r="I307" i="13" s="1"/>
  <c r="D306" i="13"/>
  <c r="I306" i="13" s="1"/>
  <c r="D305" i="13"/>
  <c r="I305" i="13" s="1"/>
  <c r="D304" i="13"/>
  <c r="I304" i="13" s="1"/>
  <c r="D303" i="13"/>
  <c r="I303" i="13" s="1"/>
  <c r="D302" i="13"/>
  <c r="I302" i="13" s="1"/>
  <c r="D301" i="13"/>
  <c r="I301" i="13" s="1"/>
  <c r="D300" i="13"/>
  <c r="I300" i="13" s="1"/>
  <c r="D299" i="13"/>
  <c r="I299" i="13" s="1"/>
  <c r="D298" i="13"/>
  <c r="I298" i="13" s="1"/>
  <c r="D297" i="13"/>
  <c r="I297" i="13" s="1"/>
  <c r="D296" i="13"/>
  <c r="I296" i="13" s="1"/>
  <c r="D295" i="13"/>
  <c r="I295" i="13" s="1"/>
  <c r="D294" i="13"/>
  <c r="I294" i="13" s="1"/>
  <c r="D293" i="13"/>
  <c r="I293" i="13" s="1"/>
  <c r="D292" i="13"/>
  <c r="I292" i="13" s="1"/>
  <c r="D291" i="13"/>
  <c r="I291" i="13" s="1"/>
  <c r="D290" i="13"/>
  <c r="I290" i="13" s="1"/>
  <c r="D289" i="13"/>
  <c r="I289" i="13" s="1"/>
  <c r="D288" i="13"/>
  <c r="I288" i="13" s="1"/>
  <c r="D287" i="13"/>
  <c r="I287" i="13" s="1"/>
  <c r="D286" i="13"/>
  <c r="I286" i="13" s="1"/>
  <c r="D285" i="13"/>
  <c r="I285" i="13" s="1"/>
  <c r="D284" i="13"/>
  <c r="I284" i="13" s="1"/>
  <c r="D283" i="13"/>
  <c r="I283" i="13" s="1"/>
  <c r="D282" i="13"/>
  <c r="I282" i="13" s="1"/>
  <c r="D281" i="13"/>
  <c r="I281" i="13" s="1"/>
  <c r="D280" i="13"/>
  <c r="I280" i="13" s="1"/>
  <c r="D279" i="13"/>
  <c r="I279" i="13" s="1"/>
  <c r="D278" i="13"/>
  <c r="I278" i="13" s="1"/>
  <c r="D277" i="13"/>
  <c r="I277" i="13" s="1"/>
  <c r="D276" i="13"/>
  <c r="I276" i="13" s="1"/>
  <c r="D275" i="13"/>
  <c r="I275" i="13" s="1"/>
  <c r="D274" i="13"/>
  <c r="I274" i="13" s="1"/>
  <c r="D273" i="13"/>
  <c r="I273" i="13" s="1"/>
  <c r="D272" i="13"/>
  <c r="I272" i="13" s="1"/>
  <c r="D271" i="13"/>
  <c r="I271" i="13" s="1"/>
  <c r="D270" i="13"/>
  <c r="I270" i="13" s="1"/>
  <c r="D269" i="13"/>
  <c r="I269" i="13" s="1"/>
  <c r="D268" i="13"/>
  <c r="I268" i="13" s="1"/>
  <c r="D267" i="13"/>
  <c r="I267" i="13" s="1"/>
  <c r="D266" i="13"/>
  <c r="I266" i="13" s="1"/>
  <c r="D265" i="13"/>
  <c r="I265" i="13" s="1"/>
  <c r="D264" i="13"/>
  <c r="I264" i="13" s="1"/>
  <c r="D263" i="13"/>
  <c r="I263" i="13" s="1"/>
  <c r="D262" i="13"/>
  <c r="I262" i="13" s="1"/>
  <c r="D261" i="13"/>
  <c r="I261" i="13" s="1"/>
  <c r="D260" i="13"/>
  <c r="I260" i="13" s="1"/>
  <c r="D259" i="13"/>
  <c r="I259" i="13" s="1"/>
  <c r="D258" i="13"/>
  <c r="I258" i="13" s="1"/>
  <c r="D257" i="13"/>
  <c r="I257" i="13" s="1"/>
  <c r="D256" i="13"/>
  <c r="I256" i="13" s="1"/>
  <c r="D255" i="13"/>
  <c r="I255" i="13" s="1"/>
  <c r="D254" i="13"/>
  <c r="I254" i="13" s="1"/>
  <c r="D253" i="13"/>
  <c r="I253" i="13" s="1"/>
  <c r="D252" i="13"/>
  <c r="I252" i="13" s="1"/>
  <c r="D251" i="13"/>
  <c r="I251" i="13" s="1"/>
  <c r="D250" i="13"/>
  <c r="I250" i="13" s="1"/>
  <c r="D249" i="13"/>
  <c r="I249" i="13" s="1"/>
  <c r="D248" i="13"/>
  <c r="I248" i="13" s="1"/>
  <c r="D247" i="13"/>
  <c r="I247" i="13" s="1"/>
  <c r="D246" i="13"/>
  <c r="I246" i="13" s="1"/>
  <c r="D245" i="13"/>
  <c r="I245" i="13" s="1"/>
  <c r="D244" i="13"/>
  <c r="I244" i="13" s="1"/>
  <c r="D243" i="13"/>
  <c r="I243" i="13" s="1"/>
  <c r="D242" i="13"/>
  <c r="I242" i="13" s="1"/>
  <c r="D241" i="13"/>
  <c r="I241" i="13" s="1"/>
  <c r="D240" i="13"/>
  <c r="I240" i="13" s="1"/>
  <c r="D239" i="13"/>
  <c r="I239" i="13" s="1"/>
  <c r="D238" i="13"/>
  <c r="I238" i="13" s="1"/>
  <c r="D237" i="13"/>
  <c r="I237" i="13" s="1"/>
  <c r="D236" i="13"/>
  <c r="I236" i="13" s="1"/>
  <c r="D235" i="13"/>
  <c r="I235" i="13" s="1"/>
  <c r="D234" i="13"/>
  <c r="I234" i="13" s="1"/>
  <c r="D233" i="13"/>
  <c r="I233" i="13" s="1"/>
  <c r="D232" i="13"/>
  <c r="I232" i="13" s="1"/>
  <c r="D231" i="13"/>
  <c r="I231" i="13" s="1"/>
  <c r="D230" i="13"/>
  <c r="I230" i="13" s="1"/>
  <c r="D229" i="13"/>
  <c r="I229" i="13" s="1"/>
  <c r="D228" i="13"/>
  <c r="I228" i="13" s="1"/>
  <c r="D227" i="13"/>
  <c r="I227" i="13" s="1"/>
  <c r="D226" i="13"/>
  <c r="I226" i="13" s="1"/>
  <c r="D225" i="13"/>
  <c r="I225" i="13" s="1"/>
  <c r="D224" i="13"/>
  <c r="I224" i="13" s="1"/>
  <c r="D223" i="13"/>
  <c r="I223" i="13" s="1"/>
  <c r="D222" i="13"/>
  <c r="I222" i="13" s="1"/>
  <c r="D221" i="13"/>
  <c r="I221" i="13" s="1"/>
  <c r="D220" i="13"/>
  <c r="I220" i="13" s="1"/>
  <c r="D219" i="13"/>
  <c r="I219" i="13" s="1"/>
  <c r="D218" i="13"/>
  <c r="I218" i="13" s="1"/>
  <c r="D217" i="13"/>
  <c r="I217" i="13" s="1"/>
  <c r="D216" i="13"/>
  <c r="I216" i="13" s="1"/>
  <c r="D215" i="13"/>
  <c r="I215" i="13" s="1"/>
  <c r="D214" i="13"/>
  <c r="I214" i="13" s="1"/>
  <c r="D213" i="13"/>
  <c r="I213" i="13" s="1"/>
  <c r="D212" i="13"/>
  <c r="I212" i="13" s="1"/>
  <c r="D211" i="13"/>
  <c r="I211" i="13" s="1"/>
  <c r="D210" i="13"/>
  <c r="I210" i="13" s="1"/>
  <c r="D209" i="13"/>
  <c r="I209" i="13" s="1"/>
  <c r="D208" i="13"/>
  <c r="I208" i="13" s="1"/>
  <c r="D207" i="13"/>
  <c r="I207" i="13" s="1"/>
  <c r="D206" i="13"/>
  <c r="I206" i="13" s="1"/>
  <c r="D205" i="13"/>
  <c r="I205" i="13" s="1"/>
  <c r="D204" i="13"/>
  <c r="I204" i="13" s="1"/>
  <c r="D203" i="13"/>
  <c r="I203" i="13" s="1"/>
  <c r="D202" i="13"/>
  <c r="I202" i="13" s="1"/>
  <c r="D201" i="13"/>
  <c r="I201" i="13" s="1"/>
  <c r="D200" i="13"/>
  <c r="I200" i="13" s="1"/>
  <c r="D199" i="13"/>
  <c r="I199" i="13" s="1"/>
  <c r="D198" i="13"/>
  <c r="I198" i="13" s="1"/>
  <c r="D197" i="13"/>
  <c r="I197" i="13" s="1"/>
  <c r="D196" i="13"/>
  <c r="I196" i="13" s="1"/>
  <c r="D195" i="13"/>
  <c r="I195" i="13" s="1"/>
  <c r="D194" i="13"/>
  <c r="I194" i="13" s="1"/>
  <c r="D193" i="13"/>
  <c r="I193" i="13" s="1"/>
  <c r="D192" i="13"/>
  <c r="I192" i="13" s="1"/>
  <c r="D191" i="13"/>
  <c r="I191" i="13" s="1"/>
  <c r="D190" i="13"/>
  <c r="I190" i="13" s="1"/>
  <c r="D189" i="13"/>
  <c r="I189" i="13" s="1"/>
  <c r="D188" i="13"/>
  <c r="I188" i="13" s="1"/>
  <c r="D187" i="13"/>
  <c r="I187" i="13" s="1"/>
  <c r="D186" i="13"/>
  <c r="I186" i="13" s="1"/>
  <c r="D185" i="13"/>
  <c r="D184" i="13"/>
  <c r="D183" i="13"/>
  <c r="D182" i="13"/>
  <c r="D181" i="13"/>
  <c r="I181" i="13" s="1"/>
  <c r="D180" i="13"/>
  <c r="I180" i="13" s="1"/>
  <c r="D179" i="13"/>
  <c r="I179" i="13" s="1"/>
  <c r="D178" i="13"/>
  <c r="I178" i="13" s="1"/>
  <c r="D177" i="13"/>
  <c r="D176" i="13"/>
  <c r="I176" i="13" s="1"/>
  <c r="D175" i="13"/>
  <c r="D174" i="13"/>
  <c r="I174" i="13" s="1"/>
  <c r="D173" i="13"/>
  <c r="D172" i="13"/>
  <c r="D171" i="13"/>
  <c r="I171" i="13" s="1"/>
  <c r="D170" i="13"/>
  <c r="I170" i="13" s="1"/>
  <c r="D169" i="13"/>
  <c r="I169" i="13" s="1"/>
  <c r="D168" i="13"/>
  <c r="I168" i="13" s="1"/>
  <c r="I185" i="13"/>
  <c r="I184" i="13"/>
  <c r="I183" i="13"/>
  <c r="I182" i="13"/>
  <c r="I177" i="13"/>
  <c r="I175" i="13"/>
  <c r="I173" i="13"/>
  <c r="I172" i="13"/>
  <c r="D167" i="13"/>
  <c r="I167" i="13" s="1"/>
  <c r="D166" i="13"/>
  <c r="I166" i="13" s="1"/>
  <c r="D165" i="13"/>
  <c r="I165" i="13" s="1"/>
  <c r="D164" i="13"/>
  <c r="I164" i="13" s="1"/>
  <c r="D163" i="13"/>
  <c r="I163" i="13" s="1"/>
  <c r="I162" i="13"/>
  <c r="D162" i="13"/>
  <c r="D161" i="13"/>
  <c r="I161" i="13" s="1"/>
  <c r="D160" i="13"/>
  <c r="I160" i="13" s="1"/>
  <c r="D159" i="13"/>
  <c r="I159" i="13" s="1"/>
  <c r="D158" i="13"/>
  <c r="I158" i="13" s="1"/>
  <c r="D157" i="13"/>
  <c r="I157" i="13" s="1"/>
  <c r="D156" i="13"/>
  <c r="I156" i="13" s="1"/>
  <c r="D155" i="13"/>
  <c r="I155" i="13" s="1"/>
  <c r="D154" i="13"/>
  <c r="I154" i="13" s="1"/>
  <c r="D153" i="13"/>
  <c r="I153" i="13" s="1"/>
  <c r="D152" i="13"/>
  <c r="I152" i="13" s="1"/>
  <c r="D151" i="13"/>
  <c r="I151" i="13" s="1"/>
  <c r="D150" i="13"/>
  <c r="I150" i="13" s="1"/>
  <c r="D149" i="13"/>
  <c r="I149" i="13" s="1"/>
  <c r="D148" i="13"/>
  <c r="I148" i="13" s="1"/>
  <c r="D147" i="13"/>
  <c r="I147" i="13" s="1"/>
  <c r="D146" i="13"/>
  <c r="I146" i="13" s="1"/>
  <c r="D145" i="13"/>
  <c r="I145" i="13" s="1"/>
  <c r="D144" i="13"/>
  <c r="I144" i="13" s="1"/>
  <c r="D143" i="13"/>
  <c r="I143" i="13" s="1"/>
  <c r="D142" i="13"/>
  <c r="I142" i="13" s="1"/>
  <c r="D141" i="13"/>
  <c r="I141" i="13" s="1"/>
  <c r="D140" i="13"/>
  <c r="I140" i="13" s="1"/>
  <c r="D139" i="13"/>
  <c r="I139" i="13" s="1"/>
  <c r="D138" i="13"/>
  <c r="I138" i="13" s="1"/>
  <c r="D137" i="13"/>
  <c r="I137" i="13" s="1"/>
  <c r="D136" i="13"/>
  <c r="I136" i="13" s="1"/>
  <c r="D135" i="13"/>
  <c r="I135" i="13" s="1"/>
  <c r="D134" i="13"/>
  <c r="I134" i="13" s="1"/>
  <c r="D133" i="13"/>
  <c r="I133" i="13" s="1"/>
  <c r="D132" i="13"/>
  <c r="I132" i="13" s="1"/>
  <c r="D131" i="13"/>
  <c r="I131" i="13" s="1"/>
  <c r="D130" i="13"/>
  <c r="I130" i="13" s="1"/>
  <c r="D129" i="13"/>
  <c r="I129" i="13" s="1"/>
  <c r="D128" i="13"/>
  <c r="I128" i="13" s="1"/>
  <c r="D127" i="13"/>
  <c r="I127" i="13" s="1"/>
  <c r="D126" i="13"/>
  <c r="I126" i="13" s="1"/>
  <c r="D125" i="13"/>
  <c r="I125" i="13" s="1"/>
  <c r="D124" i="13"/>
  <c r="I124" i="13" s="1"/>
  <c r="D123" i="13"/>
  <c r="I123" i="13" s="1"/>
  <c r="D122" i="13"/>
  <c r="I122" i="13" s="1"/>
  <c r="D121" i="13"/>
  <c r="I121" i="13" s="1"/>
  <c r="D120" i="13"/>
  <c r="I120" i="13" s="1"/>
  <c r="D119" i="13"/>
  <c r="I119" i="13" s="1"/>
  <c r="D118" i="13"/>
  <c r="I118" i="13" s="1"/>
  <c r="D117" i="13"/>
  <c r="I117" i="13" s="1"/>
  <c r="D116" i="13"/>
  <c r="I116" i="13" s="1"/>
  <c r="D115" i="13"/>
  <c r="I115" i="13" s="1"/>
  <c r="D114" i="13"/>
  <c r="I114" i="13" s="1"/>
  <c r="D113" i="13"/>
  <c r="I113" i="13" s="1"/>
  <c r="D112" i="13"/>
  <c r="I112" i="13" s="1"/>
  <c r="D111" i="13"/>
  <c r="I111" i="13" s="1"/>
  <c r="D110" i="13"/>
  <c r="I110" i="13" s="1"/>
  <c r="D109" i="13"/>
  <c r="I109" i="13" s="1"/>
  <c r="D108" i="13"/>
  <c r="I108" i="13" s="1"/>
  <c r="D107" i="13"/>
  <c r="I107" i="13" s="1"/>
  <c r="D106" i="13"/>
  <c r="I106" i="13" s="1"/>
  <c r="D105" i="13"/>
  <c r="I105" i="13" s="1"/>
  <c r="D104" i="13"/>
  <c r="I104" i="13" s="1"/>
  <c r="D103" i="13"/>
  <c r="I103" i="13" s="1"/>
  <c r="D102" i="13"/>
  <c r="I102" i="13" s="1"/>
  <c r="D101" i="13"/>
  <c r="I101" i="13" s="1"/>
  <c r="D100" i="13"/>
  <c r="I100" i="13" s="1"/>
  <c r="D99" i="13"/>
  <c r="I99" i="13" s="1"/>
  <c r="D98" i="13"/>
  <c r="I98" i="13" s="1"/>
  <c r="D97" i="13"/>
  <c r="I97" i="13" s="1"/>
  <c r="D96" i="13"/>
  <c r="I96" i="13" s="1"/>
  <c r="D95" i="13"/>
  <c r="I95" i="13" s="1"/>
  <c r="D94" i="13"/>
  <c r="I94" i="13" s="1"/>
  <c r="D93" i="13"/>
  <c r="I93" i="13" s="1"/>
  <c r="D92" i="13"/>
  <c r="I92" i="13" s="1"/>
  <c r="D91" i="13"/>
  <c r="I91" i="13" s="1"/>
  <c r="D90" i="13"/>
  <c r="I90" i="13" s="1"/>
  <c r="D89" i="13"/>
  <c r="I89" i="13" s="1"/>
  <c r="D88" i="13"/>
  <c r="I88" i="13" s="1"/>
  <c r="D87" i="13"/>
  <c r="I87" i="13" s="1"/>
  <c r="D86" i="13"/>
  <c r="I86" i="13" s="1"/>
  <c r="D85" i="13"/>
  <c r="I85" i="13" s="1"/>
  <c r="D84" i="13"/>
  <c r="I84" i="13" s="1"/>
  <c r="D83" i="13"/>
  <c r="I83" i="13" s="1"/>
  <c r="D82" i="13"/>
  <c r="I82" i="13" s="1"/>
  <c r="D81" i="13"/>
  <c r="I81" i="13" s="1"/>
  <c r="D80" i="13"/>
  <c r="I80" i="13" s="1"/>
  <c r="D79" i="13"/>
  <c r="I79" i="13" s="1"/>
  <c r="D78" i="13"/>
  <c r="I78" i="13" s="1"/>
  <c r="D77" i="13"/>
  <c r="I77" i="13" s="1"/>
  <c r="D76" i="13"/>
  <c r="I76" i="13" s="1"/>
  <c r="D75" i="13"/>
  <c r="I75" i="13" s="1"/>
  <c r="D74" i="13"/>
  <c r="I74" i="13" s="1"/>
  <c r="D73" i="13"/>
  <c r="I73" i="13" s="1"/>
  <c r="D72" i="13"/>
  <c r="I72" i="13" s="1"/>
  <c r="D71" i="13"/>
  <c r="I71" i="13" s="1"/>
  <c r="D70" i="13"/>
  <c r="I70" i="13" s="1"/>
  <c r="D69" i="13"/>
  <c r="I69" i="13" s="1"/>
  <c r="D68" i="13"/>
  <c r="I68" i="13" s="1"/>
  <c r="D67" i="13"/>
  <c r="I67" i="13" s="1"/>
  <c r="D66" i="13"/>
  <c r="I66" i="13" s="1"/>
  <c r="D65" i="13"/>
  <c r="I65" i="13" s="1"/>
  <c r="D64" i="13"/>
  <c r="I64" i="13" s="1"/>
  <c r="D63" i="13"/>
  <c r="I63" i="13" s="1"/>
  <c r="D62" i="13"/>
  <c r="I62" i="13" s="1"/>
  <c r="D61" i="13"/>
  <c r="I61" i="13" s="1"/>
  <c r="D60" i="13"/>
  <c r="I60" i="13" s="1"/>
  <c r="D59" i="13"/>
  <c r="I59" i="13" s="1"/>
  <c r="D58" i="13"/>
  <c r="I58" i="13" s="1"/>
  <c r="D57" i="13"/>
  <c r="I57" i="13" s="1"/>
  <c r="D56" i="13"/>
  <c r="I56" i="13" s="1"/>
  <c r="D55" i="13"/>
  <c r="I55" i="13" s="1"/>
  <c r="D54" i="13"/>
  <c r="I54" i="13" s="1"/>
  <c r="D53" i="13"/>
  <c r="I53" i="13" s="1"/>
  <c r="D52" i="13"/>
  <c r="I52" i="13" s="1"/>
  <c r="D51" i="13"/>
  <c r="I51" i="13" s="1"/>
  <c r="D50" i="13"/>
  <c r="I50" i="13" s="1"/>
  <c r="D49" i="13"/>
  <c r="I49" i="13" s="1"/>
  <c r="D48" i="13"/>
  <c r="I48" i="13" s="1"/>
  <c r="D47" i="13"/>
  <c r="I47" i="13" s="1"/>
  <c r="D46" i="13"/>
  <c r="I46" i="13" s="1"/>
  <c r="D45" i="13"/>
  <c r="I45" i="13" s="1"/>
  <c r="D44" i="13"/>
  <c r="I44" i="13" s="1"/>
  <c r="D43" i="13"/>
  <c r="I43" i="13" s="1"/>
  <c r="D42" i="13"/>
  <c r="I42" i="13" s="1"/>
  <c r="D41" i="13"/>
  <c r="I41" i="13" s="1"/>
  <c r="D40" i="13"/>
  <c r="I40" i="13" s="1"/>
  <c r="D39" i="13"/>
  <c r="I39" i="13" s="1"/>
  <c r="D38" i="13"/>
  <c r="I38" i="13" s="1"/>
  <c r="D37" i="13"/>
  <c r="I37" i="13" s="1"/>
  <c r="D36" i="13"/>
  <c r="I36" i="13" s="1"/>
  <c r="D35" i="13"/>
  <c r="I35" i="13" s="1"/>
  <c r="D34" i="13"/>
  <c r="I34" i="13" s="1"/>
  <c r="D33" i="13"/>
  <c r="I33" i="13" s="1"/>
  <c r="D32" i="13"/>
  <c r="I32" i="13" s="1"/>
  <c r="D31" i="13"/>
  <c r="I31" i="13" s="1"/>
  <c r="D30" i="13"/>
  <c r="I30" i="13" s="1"/>
  <c r="D29" i="13"/>
  <c r="I29" i="13" s="1"/>
  <c r="D28" i="13"/>
  <c r="I28" i="13" s="1"/>
  <c r="D27" i="13"/>
  <c r="I27" i="13" s="1"/>
  <c r="D26" i="13"/>
  <c r="I26" i="13" s="1"/>
  <c r="D25" i="13"/>
  <c r="I25" i="13" s="1"/>
  <c r="D24" i="13"/>
  <c r="I24" i="13" s="1"/>
  <c r="I21" i="13"/>
  <c r="I20" i="13"/>
  <c r="I19" i="13"/>
  <c r="I13" i="13"/>
  <c r="I12" i="13"/>
  <c r="I11" i="13"/>
  <c r="D7" i="13"/>
  <c r="I7" i="13" s="1"/>
  <c r="D8" i="13"/>
  <c r="I8" i="13" s="1"/>
  <c r="D9" i="13"/>
  <c r="I9" i="13" s="1"/>
  <c r="D10" i="13"/>
  <c r="I10" i="13" s="1"/>
  <c r="D11" i="13"/>
  <c r="D12" i="13"/>
  <c r="D13" i="13"/>
  <c r="D14" i="13"/>
  <c r="I14" i="13" s="1"/>
  <c r="D15" i="13"/>
  <c r="I15" i="13" s="1"/>
  <c r="D16" i="13"/>
  <c r="I16" i="13" s="1"/>
  <c r="D17" i="13"/>
  <c r="I17" i="13" s="1"/>
  <c r="D18" i="13"/>
  <c r="I18" i="13" s="1"/>
  <c r="D19" i="13"/>
  <c r="D20" i="13"/>
  <c r="D21" i="13"/>
  <c r="D22" i="13"/>
  <c r="I22" i="13" s="1"/>
  <c r="D23" i="13"/>
  <c r="I23" i="13" s="1"/>
  <c r="D6" i="13"/>
  <c r="I6" i="13" s="1"/>
  <c r="J3" i="13"/>
  <c r="I2" i="13"/>
  <c r="J2" i="13" s="1"/>
  <c r="C6" i="15"/>
  <c r="K3" i="13"/>
  <c r="J4" i="13"/>
  <c r="F14" i="12" l="1"/>
  <c r="F16" i="12"/>
  <c r="F15" i="12"/>
  <c r="F13" i="12"/>
  <c r="F12" i="12"/>
  <c r="F11" i="12"/>
  <c r="F10" i="12"/>
  <c r="F9" i="12"/>
  <c r="F8" i="12"/>
  <c r="F7" i="12"/>
  <c r="F6" i="12"/>
  <c r="F5" i="12"/>
  <c r="F4" i="12"/>
  <c r="F3" i="12"/>
  <c r="C7" i="15"/>
  <c r="K3" i="11"/>
  <c r="C5" i="12"/>
  <c r="C3" i="12"/>
  <c r="C4" i="12"/>
  <c r="K4" i="13"/>
  <c r="C12" i="12" l="1"/>
  <c r="C11" i="12"/>
  <c r="C10" i="12"/>
  <c r="Q20" i="12"/>
  <c r="Q21" i="12"/>
  <c r="Q22" i="12"/>
  <c r="Q23" i="12"/>
  <c r="Q24" i="12"/>
  <c r="Q25" i="12"/>
  <c r="Q26" i="12"/>
  <c r="Q27" i="12"/>
  <c r="Q28" i="12"/>
  <c r="Q29" i="12"/>
  <c r="Q30" i="12"/>
  <c r="Q31" i="12"/>
  <c r="Q32" i="12"/>
  <c r="Q33" i="12"/>
  <c r="Q34" i="12"/>
  <c r="Q35" i="12"/>
  <c r="Q36" i="12"/>
  <c r="Q19" i="12"/>
  <c r="B15" i="12"/>
  <c r="B3" i="12"/>
  <c r="B14" i="12"/>
  <c r="B6" i="12"/>
  <c r="B13" i="12"/>
  <c r="B4" i="12"/>
  <c r="B16" i="12"/>
  <c r="B10" i="12"/>
  <c r="B9" i="12"/>
  <c r="B5" i="12"/>
  <c r="B12" i="12"/>
  <c r="B11" i="12"/>
  <c r="B8" i="12"/>
  <c r="B7" i="12"/>
  <c r="C8" i="15"/>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9" i="15"/>
  <c r="C6" i="12" l="1"/>
  <c r="M15" i="6"/>
  <c r="C10" i="15"/>
  <c r="C13" i="12" l="1"/>
  <c r="J1" i="11"/>
  <c r="K1" i="11" s="1"/>
  <c r="D5" i="11" a="1"/>
  <c r="D7" i="11" s="1"/>
  <c r="H7" i="11" s="1"/>
  <c r="E5" i="11" a="1"/>
  <c r="E5" i="11" s="1"/>
  <c r="E1" i="9"/>
  <c r="C11" i="15"/>
  <c r="F7" i="11" l="1"/>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C7" i="12"/>
  <c r="J137" i="13"/>
  <c r="J74" i="13"/>
  <c r="J264" i="13"/>
  <c r="J32" i="13"/>
  <c r="J141" i="13"/>
  <c r="J138" i="13"/>
  <c r="J150" i="13"/>
  <c r="J18" i="13"/>
  <c r="J250" i="13"/>
  <c r="J24" i="13"/>
  <c r="J208" i="13"/>
  <c r="J174" i="13"/>
  <c r="J268" i="13"/>
  <c r="J153" i="13"/>
  <c r="J7" i="13"/>
  <c r="J145" i="13"/>
  <c r="J95" i="13"/>
  <c r="J326" i="13"/>
  <c r="J286" i="13"/>
  <c r="J114" i="13"/>
  <c r="J77" i="13"/>
  <c r="J33" i="13"/>
  <c r="J117" i="13"/>
  <c r="J276" i="13"/>
  <c r="J203" i="13"/>
  <c r="J92" i="13"/>
  <c r="J112" i="13"/>
  <c r="J65" i="13"/>
  <c r="J13" i="13"/>
  <c r="J43" i="13"/>
  <c r="J215" i="13"/>
  <c r="J132" i="13"/>
  <c r="J232" i="13"/>
  <c r="J162" i="13"/>
  <c r="J221" i="13"/>
  <c r="J63" i="13"/>
  <c r="J307" i="13"/>
  <c r="J193" i="13"/>
  <c r="J271" i="13"/>
  <c r="J178" i="13"/>
  <c r="J256" i="13"/>
  <c r="D4" i="7"/>
  <c r="H13" i="9"/>
  <c r="H5" i="7"/>
  <c r="G8" i="7"/>
  <c r="F8" i="7"/>
  <c r="E6" i="7"/>
  <c r="D12" i="7"/>
  <c r="H11" i="7"/>
  <c r="K174" i="13"/>
  <c r="K221" i="13"/>
  <c r="J183" i="13"/>
  <c r="J263" i="13"/>
  <c r="K263" i="13" s="1"/>
  <c r="J14" i="13"/>
  <c r="K137" i="13"/>
  <c r="J210" i="13"/>
  <c r="J197" i="13"/>
  <c r="J131" i="13"/>
  <c r="J288" i="13"/>
  <c r="J306" i="13"/>
  <c r="J124" i="13"/>
  <c r="J59" i="13"/>
  <c r="K59" i="13"/>
  <c r="J299" i="13"/>
  <c r="J194" i="13"/>
  <c r="J231" i="13"/>
  <c r="K231" i="13" s="1"/>
  <c r="J123" i="13"/>
  <c r="J101" i="13"/>
  <c r="J280" i="13"/>
  <c r="J52" i="13"/>
  <c r="J235" i="13"/>
  <c r="K65" i="13"/>
  <c r="K197" i="13"/>
  <c r="J225" i="13"/>
  <c r="J294" i="13"/>
  <c r="J309" i="13"/>
  <c r="J179" i="13"/>
  <c r="J29" i="13"/>
  <c r="J100" i="13"/>
  <c r="J244" i="13"/>
  <c r="K244" i="13" s="1"/>
  <c r="J199" i="13"/>
  <c r="H16" i="9"/>
  <c r="H11" i="9"/>
  <c r="G12" i="7"/>
  <c r="H6" i="9"/>
  <c r="H3" i="7"/>
  <c r="D10" i="7"/>
  <c r="K299" i="13"/>
  <c r="K43" i="13"/>
  <c r="K132" i="13"/>
  <c r="J48" i="13"/>
  <c r="J275" i="13"/>
  <c r="J190" i="13"/>
  <c r="J301" i="13"/>
  <c r="J252" i="13"/>
  <c r="J267" i="13"/>
  <c r="J308" i="13"/>
  <c r="J172" i="13"/>
  <c r="K172" i="13" s="1"/>
  <c r="J156" i="13"/>
  <c r="J152" i="13"/>
  <c r="K152" i="13" s="1"/>
  <c r="K306" i="13"/>
  <c r="J86" i="13"/>
  <c r="E11" i="7"/>
  <c r="K7" i="11"/>
  <c r="C12" i="15"/>
  <c r="J23" i="13"/>
  <c r="J115" i="13"/>
  <c r="K115" i="13" s="1"/>
  <c r="J142" i="13"/>
  <c r="J325" i="13"/>
  <c r="J15" i="13"/>
  <c r="J9" i="13"/>
  <c r="J41" i="13"/>
  <c r="J53" i="13"/>
  <c r="J291" i="13"/>
  <c r="J66" i="13"/>
  <c r="J89" i="13"/>
  <c r="J284" i="13"/>
  <c r="J133" i="13"/>
  <c r="K133" i="13" s="1"/>
  <c r="J217" i="13"/>
  <c r="K15" i="13"/>
  <c r="J274" i="13"/>
  <c r="J121" i="13"/>
  <c r="K95" i="13"/>
  <c r="J296" i="13"/>
  <c r="J37" i="13"/>
  <c r="J218" i="13"/>
  <c r="K217" i="13"/>
  <c r="J60" i="13"/>
  <c r="J105" i="13"/>
  <c r="J122" i="13"/>
  <c r="J262" i="13"/>
  <c r="J125" i="13"/>
  <c r="J211" i="13"/>
  <c r="J207" i="13"/>
  <c r="K207" i="13" s="1"/>
  <c r="J266" i="13"/>
  <c r="J290" i="13"/>
  <c r="J305" i="13"/>
  <c r="J22" i="13"/>
  <c r="K250" i="13"/>
  <c r="H4" i="7"/>
  <c r="F11" i="7"/>
  <c r="H4" i="9"/>
  <c r="E7" i="7"/>
  <c r="D11" i="7"/>
  <c r="F12" i="7"/>
  <c r="K53" i="13"/>
  <c r="K121" i="13"/>
  <c r="K101" i="13"/>
  <c r="K290" i="13"/>
  <c r="J139" i="13"/>
  <c r="J187" i="13"/>
  <c r="J213" i="13"/>
  <c r="J93" i="13"/>
  <c r="K93" i="13" s="1"/>
  <c r="J313" i="13"/>
  <c r="J311" i="13"/>
  <c r="G9" i="7"/>
  <c r="H7" i="7"/>
  <c r="H7" i="9"/>
  <c r="K262" i="13"/>
  <c r="K232" i="13"/>
  <c r="K193" i="13"/>
  <c r="J261" i="13"/>
  <c r="K261" i="13" s="1"/>
  <c r="J214" i="13"/>
  <c r="J281" i="13"/>
  <c r="K281" i="13" s="1"/>
  <c r="J249" i="13"/>
  <c r="J49" i="13"/>
  <c r="J160" i="13"/>
  <c r="K160" i="13" s="1"/>
  <c r="K105" i="13"/>
  <c r="J323" i="13"/>
  <c r="J84" i="13"/>
  <c r="K84" i="13" s="1"/>
  <c r="J253" i="13"/>
  <c r="K253" i="13" s="1"/>
  <c r="J164" i="13"/>
  <c r="J181" i="13"/>
  <c r="J129" i="13"/>
  <c r="K129" i="13" s="1"/>
  <c r="K275" i="13"/>
  <c r="K183" i="13"/>
  <c r="J47" i="13"/>
  <c r="J200" i="13"/>
  <c r="J154" i="13"/>
  <c r="J6" i="13"/>
  <c r="K6" i="13" s="1"/>
  <c r="J108" i="13"/>
  <c r="J277" i="13"/>
  <c r="J226" i="13"/>
  <c r="K226" i="13" s="1"/>
  <c r="K138" i="13"/>
  <c r="K181" i="13"/>
  <c r="J205" i="13"/>
  <c r="K205" i="13" s="1"/>
  <c r="J88" i="13"/>
  <c r="J201" i="13"/>
  <c r="J97" i="13"/>
  <c r="J295" i="13"/>
  <c r="J34" i="13"/>
  <c r="K34" i="13" s="1"/>
  <c r="J64" i="13"/>
  <c r="K114" i="13"/>
  <c r="J16" i="13"/>
  <c r="J254" i="13"/>
  <c r="J80" i="13"/>
  <c r="J279" i="13"/>
  <c r="K63" i="13"/>
  <c r="J149" i="13"/>
  <c r="J246" i="13"/>
  <c r="K296" i="13"/>
  <c r="H12" i="7"/>
  <c r="D8" i="7"/>
  <c r="H15" i="9"/>
  <c r="K131" i="13"/>
  <c r="K201" i="13"/>
  <c r="J116" i="13"/>
  <c r="J243" i="13"/>
  <c r="K190" i="13"/>
  <c r="J282" i="13"/>
  <c r="J322" i="13"/>
  <c r="J270" i="13"/>
  <c r="J51" i="13"/>
  <c r="J90" i="13"/>
  <c r="J109" i="13"/>
  <c r="J209" i="13"/>
  <c r="G7" i="7"/>
  <c r="E8" i="7"/>
  <c r="H10" i="9"/>
  <c r="D7" i="7"/>
  <c r="K286" i="13"/>
  <c r="K215" i="13"/>
  <c r="K294" i="13"/>
  <c r="K109" i="13"/>
  <c r="K209" i="13"/>
  <c r="J258" i="13"/>
  <c r="J176" i="13"/>
  <c r="J127" i="13"/>
  <c r="J81" i="13"/>
  <c r="K81" i="13" s="1"/>
  <c r="J155" i="13"/>
  <c r="K155" i="13" s="1"/>
  <c r="K116" i="13"/>
  <c r="J272" i="13"/>
  <c r="K208" i="13"/>
  <c r="J103" i="13"/>
  <c r="K103" i="13" s="1"/>
  <c r="J318" i="13"/>
  <c r="J315" i="13"/>
  <c r="J321" i="13"/>
  <c r="J98" i="13"/>
  <c r="J319" i="13"/>
  <c r="K319" i="13" s="1"/>
  <c r="J292" i="13"/>
  <c r="J265" i="13"/>
  <c r="H9" i="9"/>
  <c r="E9" i="7"/>
  <c r="H20" i="9"/>
  <c r="K305" i="13"/>
  <c r="J118" i="13"/>
  <c r="K118" i="13" s="1"/>
  <c r="J96" i="13"/>
  <c r="J223" i="13"/>
  <c r="K223" i="13" s="1"/>
  <c r="J255" i="13"/>
  <c r="K48" i="13"/>
  <c r="J20" i="13"/>
  <c r="J76" i="13"/>
  <c r="J158" i="13"/>
  <c r="K158" i="13" s="1"/>
  <c r="J75" i="13"/>
  <c r="K75" i="13" s="1"/>
  <c r="J45" i="13"/>
  <c r="K45" i="13" s="1"/>
  <c r="J328" i="13"/>
  <c r="K328" i="13" s="1"/>
  <c r="J238" i="13"/>
  <c r="J273" i="13"/>
  <c r="G10" i="7"/>
  <c r="D9" i="7"/>
  <c r="G11" i="7"/>
  <c r="K280" i="13"/>
  <c r="K292" i="13"/>
  <c r="J27" i="13"/>
  <c r="K27" i="13" s="1"/>
  <c r="J57" i="13"/>
  <c r="J240" i="13"/>
  <c r="J206" i="13"/>
  <c r="J46" i="13"/>
  <c r="K46" i="13" s="1"/>
  <c r="J94" i="13"/>
  <c r="K295" i="13"/>
  <c r="J17" i="13"/>
  <c r="K17" i="13" s="1"/>
  <c r="J241" i="13"/>
  <c r="J157" i="13"/>
  <c r="K157" i="13" s="1"/>
  <c r="J85" i="13"/>
  <c r="K323" i="13"/>
  <c r="K89" i="13"/>
  <c r="H3" i="9"/>
  <c r="F7" i="7"/>
  <c r="K64" i="13"/>
  <c r="K225" i="13"/>
  <c r="K178" i="13"/>
  <c r="J159" i="13"/>
  <c r="K159" i="13" s="1"/>
  <c r="J184" i="13"/>
  <c r="J83" i="13"/>
  <c r="J73" i="13"/>
  <c r="J242" i="13"/>
  <c r="K242" i="13" s="1"/>
  <c r="J135" i="13"/>
  <c r="J185" i="13"/>
  <c r="K18" i="13"/>
  <c r="J165" i="13"/>
  <c r="J317" i="13"/>
  <c r="K317" i="13" s="1"/>
  <c r="J10" i="13"/>
  <c r="D5" i="7"/>
  <c r="H10" i="7"/>
  <c r="K254" i="13"/>
  <c r="J237" i="13"/>
  <c r="K270" i="13"/>
  <c r="J180" i="13"/>
  <c r="J38" i="13"/>
  <c r="D3" i="7"/>
  <c r="K154" i="13"/>
  <c r="K156" i="13"/>
  <c r="K180" i="13"/>
  <c r="J260" i="13"/>
  <c r="K260" i="13" s="1"/>
  <c r="J329" i="13"/>
  <c r="J300" i="13"/>
  <c r="J245" i="13"/>
  <c r="K200" i="13"/>
  <c r="J227" i="13"/>
  <c r="J171" i="13"/>
  <c r="K171" i="13" s="1"/>
  <c r="J224" i="13"/>
  <c r="J119" i="13"/>
  <c r="K119" i="13" s="1"/>
  <c r="J189" i="13"/>
  <c r="K189" i="13" s="1"/>
  <c r="K246" i="13"/>
  <c r="J128" i="13"/>
  <c r="H12" i="9"/>
  <c r="H8" i="7"/>
  <c r="K255" i="13"/>
  <c r="K49" i="13"/>
  <c r="K98" i="13"/>
  <c r="J236" i="13"/>
  <c r="J79" i="13"/>
  <c r="J222" i="13"/>
  <c r="K108" i="13"/>
  <c r="J312" i="13"/>
  <c r="J278" i="13"/>
  <c r="J91" i="13"/>
  <c r="J327" i="13"/>
  <c r="J293" i="13"/>
  <c r="K293" i="13" s="1"/>
  <c r="J107" i="13"/>
  <c r="J169" i="13"/>
  <c r="J219" i="13"/>
  <c r="K219" i="13" s="1"/>
  <c r="J111" i="13"/>
  <c r="J42" i="13"/>
  <c r="J106" i="13"/>
  <c r="J31" i="13"/>
  <c r="J39" i="13"/>
  <c r="H5" i="9"/>
  <c r="H18" i="9"/>
  <c r="K312" i="13"/>
  <c r="K139" i="13"/>
  <c r="K307" i="13"/>
  <c r="K265" i="13"/>
  <c r="J198" i="13"/>
  <c r="J191" i="13"/>
  <c r="J143" i="13"/>
  <c r="J146" i="13"/>
  <c r="J220" i="13"/>
  <c r="J230" i="13"/>
  <c r="K230" i="13" s="1"/>
  <c r="J8" i="13"/>
  <c r="K8" i="13" s="1"/>
  <c r="J71" i="13"/>
  <c r="J69" i="13"/>
  <c r="J303" i="13"/>
  <c r="K318" i="13"/>
  <c r="J248" i="13"/>
  <c r="J195" i="13"/>
  <c r="K195" i="13" s="1"/>
  <c r="J144" i="13"/>
  <c r="J87" i="13"/>
  <c r="H6" i="7"/>
  <c r="K308" i="13"/>
  <c r="K169" i="13"/>
  <c r="K100" i="13"/>
  <c r="J283" i="13"/>
  <c r="K283" i="13" s="1"/>
  <c r="J304" i="13"/>
  <c r="K304" i="13" s="1"/>
  <c r="J196" i="13"/>
  <c r="J170" i="13"/>
  <c r="K170" i="13" s="1"/>
  <c r="K74" i="13"/>
  <c r="J229" i="13"/>
  <c r="J30" i="13"/>
  <c r="K30" i="13" s="1"/>
  <c r="J212" i="13"/>
  <c r="K212" i="13" s="1"/>
  <c r="J12" i="13"/>
  <c r="J151" i="13"/>
  <c r="J234" i="13"/>
  <c r="K234" i="13" s="1"/>
  <c r="J239" i="13"/>
  <c r="E5" i="7"/>
  <c r="H9" i="7"/>
  <c r="K7" i="13"/>
  <c r="K303" i="13"/>
  <c r="K239" i="13"/>
  <c r="J44" i="13"/>
  <c r="K44" i="13" s="1"/>
  <c r="J50" i="13"/>
  <c r="K143" i="13"/>
  <c r="J163" i="13"/>
  <c r="J120" i="13"/>
  <c r="J324" i="13"/>
  <c r="J314" i="13"/>
  <c r="J19" i="13"/>
  <c r="K19" i="13" s="1"/>
  <c r="J25" i="13"/>
  <c r="K25" i="13" s="1"/>
  <c r="J147" i="13"/>
  <c r="J28" i="13"/>
  <c r="K28" i="13" s="1"/>
  <c r="K71" i="13"/>
  <c r="J140" i="13"/>
  <c r="E3" i="7"/>
  <c r="K322" i="13"/>
  <c r="K69" i="13"/>
  <c r="K90" i="13"/>
  <c r="K199" i="13"/>
  <c r="K278" i="13"/>
  <c r="K13" i="13"/>
  <c r="J173" i="13"/>
  <c r="K173" i="13" s="1"/>
  <c r="J136" i="13"/>
  <c r="K136" i="13" s="1"/>
  <c r="E12" i="7"/>
  <c r="H14" i="9"/>
  <c r="K282" i="13"/>
  <c r="K203" i="13"/>
  <c r="K321" i="13"/>
  <c r="K313" i="13"/>
  <c r="J148" i="13"/>
  <c r="K148" i="13" s="1"/>
  <c r="J298" i="13"/>
  <c r="K298" i="13" s="1"/>
  <c r="J78" i="13"/>
  <c r="Y19" i="12"/>
  <c r="J99" i="13"/>
  <c r="J259" i="13"/>
  <c r="J134" i="13"/>
  <c r="K134" i="13" s="1"/>
  <c r="J188" i="13"/>
  <c r="K188" i="13" s="1"/>
  <c r="J177" i="13"/>
  <c r="K177" i="13" s="1"/>
  <c r="F10" i="7"/>
  <c r="K117" i="13"/>
  <c r="K85" i="13"/>
  <c r="K140" i="13"/>
  <c r="J40" i="13"/>
  <c r="K23" i="13"/>
  <c r="J62" i="13"/>
  <c r="J58" i="13"/>
  <c r="J204" i="13"/>
  <c r="K204" i="13" s="1"/>
  <c r="K41" i="13"/>
  <c r="H17" i="9"/>
  <c r="K162" i="13"/>
  <c r="J113" i="13"/>
  <c r="K113" i="13" s="1"/>
  <c r="K120" i="13"/>
  <c r="J161" i="13"/>
  <c r="K324" i="13"/>
  <c r="J167" i="13"/>
  <c r="K167" i="13" s="1"/>
  <c r="J82" i="13"/>
  <c r="K82" i="13" s="1"/>
  <c r="K196" i="13"/>
  <c r="K309" i="13"/>
  <c r="J247" i="13"/>
  <c r="K247" i="13" s="1"/>
  <c r="J104" i="13"/>
  <c r="K111" i="13"/>
  <c r="J289" i="13"/>
  <c r="K289" i="13" s="1"/>
  <c r="J192" i="13"/>
  <c r="K192" i="13" s="1"/>
  <c r="J168" i="13"/>
  <c r="K168" i="13" s="1"/>
  <c r="E4" i="7"/>
  <c r="K284" i="13"/>
  <c r="K279" i="13"/>
  <c r="J251" i="13"/>
  <c r="J56" i="13"/>
  <c r="K56" i="13" s="1"/>
  <c r="J166" i="13"/>
  <c r="K166" i="13" s="1"/>
  <c r="K274" i="13"/>
  <c r="J68" i="13"/>
  <c r="K68" i="13" s="1"/>
  <c r="K149" i="13"/>
  <c r="K210" i="13"/>
  <c r="J36" i="13"/>
  <c r="K96" i="13"/>
  <c r="J72" i="13"/>
  <c r="J202" i="13"/>
  <c r="K202" i="13" s="1"/>
  <c r="D6" i="7"/>
  <c r="K179" i="13"/>
  <c r="J182" i="13"/>
  <c r="F9" i="7"/>
  <c r="K315" i="13"/>
  <c r="K229" i="13"/>
  <c r="J102" i="13"/>
  <c r="J228" i="13"/>
  <c r="K228" i="13" s="1"/>
  <c r="J269" i="13"/>
  <c r="K269" i="13" s="1"/>
  <c r="E10" i="7"/>
  <c r="J186" i="13"/>
  <c r="K186" i="13" s="1"/>
  <c r="J11" i="13"/>
  <c r="K29" i="13"/>
  <c r="J216" i="13"/>
  <c r="K216" i="13" s="1"/>
  <c r="J257" i="13"/>
  <c r="K257" i="13" s="1"/>
  <c r="J175" i="13"/>
  <c r="K175" i="13" s="1"/>
  <c r="K164" i="13"/>
  <c r="J126" i="13"/>
  <c r="J35" i="13"/>
  <c r="J67" i="13"/>
  <c r="K67" i="13" s="1"/>
  <c r="J54" i="13"/>
  <c r="J55" i="13"/>
  <c r="J302" i="13"/>
  <c r="K302" i="13" s="1"/>
  <c r="K236" i="13"/>
  <c r="J130" i="13"/>
  <c r="J61" i="13"/>
  <c r="J287" i="13"/>
  <c r="J316" i="13"/>
  <c r="K316" i="13" s="1"/>
  <c r="J110" i="13"/>
  <c r="J320" i="13"/>
  <c r="J70" i="13"/>
  <c r="K70" i="13" s="1"/>
  <c r="J26" i="13"/>
  <c r="K26" i="13" s="1"/>
  <c r="J21" i="13"/>
  <c r="K72" i="13"/>
  <c r="J233" i="13"/>
  <c r="K233" i="13" s="1"/>
  <c r="J310" i="13"/>
  <c r="K310" i="13" s="1"/>
  <c r="J285" i="13"/>
  <c r="K285" i="13" s="1"/>
  <c r="J297" i="13"/>
  <c r="K297" i="13" s="1"/>
  <c r="H8" i="9"/>
  <c r="B72" i="4" l="1"/>
  <c r="B148" i="4"/>
  <c r="B100" i="4"/>
  <c r="B189" i="4"/>
  <c r="B372" i="4"/>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C9" i="12" s="1"/>
  <c r="C16" i="12" s="1"/>
  <c r="B190" i="4"/>
  <c r="B203" i="4"/>
  <c r="B236" i="4"/>
  <c r="B245" i="4"/>
  <c r="B101" i="4"/>
  <c r="B336" i="4"/>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J8" i="11"/>
  <c r="J30" i="11"/>
  <c r="J9" i="11"/>
  <c r="H5" i="11"/>
  <c r="J14" i="11"/>
  <c r="J35" i="11"/>
  <c r="J13" i="11"/>
  <c r="J17" i="11"/>
  <c r="J11" i="11"/>
  <c r="J40" i="11"/>
  <c r="J33" i="11"/>
  <c r="J31" i="11"/>
  <c r="J12" i="11"/>
  <c r="J20" i="11"/>
  <c r="J34" i="11"/>
  <c r="J18" i="11"/>
  <c r="J27" i="11"/>
  <c r="J21" i="11"/>
  <c r="J15" i="11"/>
  <c r="J23" i="11"/>
  <c r="J41" i="11"/>
  <c r="J28" i="11"/>
  <c r="J10" i="11"/>
  <c r="J29" i="11"/>
  <c r="H22" i="11"/>
  <c r="F22" i="11"/>
  <c r="H18" i="11"/>
  <c r="F18" i="11"/>
  <c r="J16" i="11"/>
  <c r="J26" i="11"/>
  <c r="J38" i="11"/>
  <c r="H10" i="11"/>
  <c r="F10" i="11"/>
  <c r="H17" i="11"/>
  <c r="F17" i="11"/>
  <c r="H29" i="11"/>
  <c r="F29" i="11"/>
  <c r="H11" i="11"/>
  <c r="F11" i="11"/>
  <c r="H41" i="11"/>
  <c r="F41" i="11"/>
  <c r="H31" i="11"/>
  <c r="F31" i="11"/>
  <c r="H19" i="11"/>
  <c r="F19" i="11"/>
  <c r="J19" i="11"/>
  <c r="J36" i="11"/>
  <c r="H26" i="11"/>
  <c r="F26" i="11"/>
  <c r="H32" i="11"/>
  <c r="F32" i="11"/>
  <c r="H30" i="11"/>
  <c r="F30" i="11"/>
  <c r="H6" i="11"/>
  <c r="F6" i="11"/>
  <c r="H37" i="11"/>
  <c r="F37" i="11"/>
  <c r="J32" i="11"/>
  <c r="J39" i="11"/>
  <c r="H33" i="11"/>
  <c r="F33" i="11"/>
  <c r="H13" i="11"/>
  <c r="F13" i="11"/>
  <c r="H28" i="11"/>
  <c r="F28" i="11"/>
  <c r="H27" i="11"/>
  <c r="F27" i="11"/>
  <c r="H15" i="11"/>
  <c r="F15" i="11"/>
  <c r="H24" i="11"/>
  <c r="F24" i="11"/>
  <c r="J22" i="11"/>
  <c r="H8" i="11"/>
  <c r="F8" i="11"/>
  <c r="H40" i="11"/>
  <c r="F40" i="11"/>
  <c r="H38" i="11"/>
  <c r="F38" i="11"/>
  <c r="H36" i="11"/>
  <c r="F36" i="11"/>
  <c r="H34" i="11"/>
  <c r="F34" i="11"/>
  <c r="H25" i="11"/>
  <c r="F25" i="11"/>
  <c r="H39" i="11"/>
  <c r="F39" i="11"/>
  <c r="H9" i="11"/>
  <c r="F9" i="11"/>
  <c r="H21" i="11"/>
  <c r="F21" i="11"/>
  <c r="F5" i="11"/>
  <c r="H35" i="11"/>
  <c r="F35" i="11"/>
  <c r="H23" i="11"/>
  <c r="F23" i="11"/>
  <c r="H20" i="11"/>
  <c r="F20" i="11"/>
  <c r="J25" i="11"/>
  <c r="J37" i="11"/>
  <c r="J24" i="11"/>
  <c r="H16" i="11"/>
  <c r="F16" i="11"/>
  <c r="H14" i="11"/>
  <c r="F14" i="11"/>
  <c r="H12" i="11"/>
  <c r="F12" i="11"/>
  <c r="J6" i="11"/>
  <c r="G19" i="9"/>
  <c r="J2" i="7"/>
  <c r="H2" i="9"/>
  <c r="K2" i="11" l="1"/>
  <c r="D7" i="6"/>
  <c r="D8" i="6"/>
  <c r="D23" i="6"/>
  <c r="D6" i="6"/>
  <c r="C13" i="15"/>
  <c r="E374" i="4"/>
  <c r="D239" i="4"/>
  <c r="D368" i="4"/>
  <c r="J330" i="4"/>
  <c r="D172" i="4"/>
  <c r="I263" i="4"/>
  <c r="D276" i="4"/>
  <c r="I389" i="4"/>
  <c r="E126" i="4"/>
  <c r="J302" i="4"/>
  <c r="I164" i="4"/>
  <c r="C294" i="4"/>
  <c r="J253" i="4"/>
  <c r="E182" i="4"/>
  <c r="I381" i="4"/>
  <c r="J343" i="4"/>
  <c r="E81" i="4"/>
  <c r="J150" i="4"/>
  <c r="D275" i="4"/>
  <c r="J258" i="4"/>
  <c r="K300" i="13"/>
  <c r="I160" i="4"/>
  <c r="I386" i="4"/>
  <c r="C105" i="4"/>
  <c r="J84" i="4"/>
  <c r="D27" i="4"/>
  <c r="J29" i="4"/>
  <c r="I136" i="4"/>
  <c r="D388" i="4"/>
  <c r="E303" i="4"/>
  <c r="C373" i="4"/>
  <c r="C117" i="4"/>
  <c r="J322" i="4"/>
  <c r="E365" i="4"/>
  <c r="I179" i="4"/>
  <c r="C15" i="4"/>
  <c r="J353" i="4"/>
  <c r="I103" i="4"/>
  <c r="E243" i="4"/>
  <c r="C173" i="4"/>
  <c r="J233" i="4"/>
  <c r="J375" i="4"/>
  <c r="K153" i="13"/>
  <c r="C349" i="4"/>
  <c r="I261" i="4"/>
  <c r="C108" i="4"/>
  <c r="D18" i="4"/>
  <c r="D99" i="4"/>
  <c r="J327" i="4"/>
  <c r="I340" i="4"/>
  <c r="J218" i="4"/>
  <c r="J113" i="4"/>
  <c r="I178" i="4"/>
  <c r="K58" i="13"/>
  <c r="D214" i="4"/>
  <c r="C235" i="4"/>
  <c r="E157" i="4"/>
  <c r="I312" i="4"/>
  <c r="D16" i="4"/>
  <c r="I256" i="4"/>
  <c r="D382" i="4"/>
  <c r="D201" i="4"/>
  <c r="D380" i="4"/>
  <c r="D151" i="4"/>
  <c r="E166" i="4"/>
  <c r="E331" i="4"/>
  <c r="E216" i="4"/>
  <c r="I192" i="4"/>
  <c r="D257" i="4"/>
  <c r="E325" i="4"/>
  <c r="J109" i="4"/>
  <c r="J346" i="4"/>
  <c r="D247" i="4"/>
  <c r="I195" i="4"/>
  <c r="I333" i="4"/>
  <c r="I339" i="4"/>
  <c r="C324" i="4"/>
  <c r="C72" i="4"/>
  <c r="J372" i="4"/>
  <c r="K144" i="13"/>
  <c r="I351" i="4"/>
  <c r="E299" i="4"/>
  <c r="D146" i="4"/>
  <c r="C295" i="4"/>
  <c r="E286" i="4"/>
  <c r="J376" i="4"/>
  <c r="E364" i="4"/>
  <c r="E296" i="4"/>
  <c r="D217" i="4"/>
  <c r="E289" i="4"/>
  <c r="J133" i="4"/>
  <c r="I87" i="4"/>
  <c r="I138" i="4"/>
  <c r="C152" i="4"/>
  <c r="I171" i="4"/>
  <c r="E142" i="4"/>
  <c r="I267" i="4"/>
  <c r="C134" i="4"/>
  <c r="J169" i="4"/>
  <c r="E304" i="4"/>
  <c r="E283" i="4"/>
  <c r="J361" i="4"/>
  <c r="I97" i="4"/>
  <c r="J93" i="4"/>
  <c r="C344" i="4"/>
  <c r="C277" i="4"/>
  <c r="J23" i="4"/>
  <c r="K20" i="11"/>
  <c r="C285" i="4"/>
  <c r="D383" i="4"/>
  <c r="E191" i="4"/>
  <c r="J362" i="4"/>
  <c r="J390" i="4"/>
  <c r="J10" i="7"/>
  <c r="I89" i="4"/>
  <c r="C384" i="4"/>
  <c r="D228" i="4"/>
  <c r="C106" i="4"/>
  <c r="D153" i="4"/>
  <c r="D184" i="4"/>
  <c r="D347" i="4"/>
  <c r="I185" i="4"/>
  <c r="E123" i="4"/>
  <c r="E252" i="4"/>
  <c r="K251" i="13"/>
  <c r="D88" i="4"/>
  <c r="K11" i="13"/>
  <c r="I374" i="4"/>
  <c r="C239" i="4"/>
  <c r="I368" i="4"/>
  <c r="I330" i="4"/>
  <c r="I172" i="4"/>
  <c r="D263" i="4"/>
  <c r="C276" i="4"/>
  <c r="J74" i="4"/>
  <c r="J126" i="4"/>
  <c r="E73" i="4"/>
  <c r="J164" i="4"/>
  <c r="I357" i="4"/>
  <c r="C253" i="4"/>
  <c r="K77" i="13"/>
  <c r="C381" i="4"/>
  <c r="I343" i="4"/>
  <c r="I81" i="4"/>
  <c r="E150" i="4"/>
  <c r="I275" i="4"/>
  <c r="D115" i="4"/>
  <c r="K36" i="13"/>
  <c r="D160" i="4"/>
  <c r="K32" i="13"/>
  <c r="D105" i="4"/>
  <c r="C84" i="4"/>
  <c r="K10" i="11"/>
  <c r="I210" i="4"/>
  <c r="C136" i="4"/>
  <c r="C369" i="4"/>
  <c r="J303" i="4"/>
  <c r="D373" i="4"/>
  <c r="D117" i="4"/>
  <c r="I322" i="4"/>
  <c r="I365" i="4"/>
  <c r="E179" i="4"/>
  <c r="J13" i="4"/>
  <c r="I353" i="4"/>
  <c r="C103" i="4"/>
  <c r="J243" i="4"/>
  <c r="J173" i="4"/>
  <c r="I233" i="4"/>
  <c r="I375" i="4"/>
  <c r="E181" i="4"/>
  <c r="I349" i="4"/>
  <c r="C261" i="4"/>
  <c r="I108" i="4"/>
  <c r="Z19" i="12"/>
  <c r="C334" i="4"/>
  <c r="C327" i="4"/>
  <c r="C340" i="4"/>
  <c r="E218" i="4"/>
  <c r="D113" i="4"/>
  <c r="D178" i="4"/>
  <c r="C290" i="4"/>
  <c r="C214" i="4"/>
  <c r="K55" i="13"/>
  <c r="J157" i="4"/>
  <c r="D336" i="4"/>
  <c r="C26" i="4"/>
  <c r="D256" i="4"/>
  <c r="I382" i="4"/>
  <c r="C201" i="4"/>
  <c r="J380" i="4"/>
  <c r="C151" i="4"/>
  <c r="D139" i="4"/>
  <c r="J331" i="4"/>
  <c r="I216" i="4"/>
  <c r="J192" i="4"/>
  <c r="E257" i="4"/>
  <c r="C325" i="4"/>
  <c r="E260" i="4"/>
  <c r="D346" i="4"/>
  <c r="I247" i="4"/>
  <c r="D195" i="4"/>
  <c r="E333" i="4"/>
  <c r="E339" i="4"/>
  <c r="E324" i="4"/>
  <c r="E72" i="4"/>
  <c r="D372" i="4"/>
  <c r="E332" i="4"/>
  <c r="E351" i="4"/>
  <c r="J299" i="4"/>
  <c r="I146" i="4"/>
  <c r="J295" i="4"/>
  <c r="C286" i="4"/>
  <c r="I376" i="4"/>
  <c r="D86" i="4"/>
  <c r="D296" i="4"/>
  <c r="J279" i="4"/>
  <c r="C289" i="4"/>
  <c r="J82" i="4"/>
  <c r="J87" i="4"/>
  <c r="D91" i="4"/>
  <c r="E152" i="4"/>
  <c r="C194" i="4"/>
  <c r="J142" i="4"/>
  <c r="K130" i="13"/>
  <c r="J134" i="4"/>
  <c r="D224" i="4"/>
  <c r="I304" i="4"/>
  <c r="D283" i="4"/>
  <c r="C361" i="4"/>
  <c r="K126" i="13"/>
  <c r="D245" i="4"/>
  <c r="D344" i="4"/>
  <c r="C16" i="4"/>
  <c r="D14" i="4"/>
  <c r="C241" i="4"/>
  <c r="J285" i="4"/>
  <c r="J232" i="4"/>
  <c r="D191" i="4"/>
  <c r="E362" i="4"/>
  <c r="D390" i="4"/>
  <c r="I165" i="4"/>
  <c r="C89" i="4"/>
  <c r="J384" i="4"/>
  <c r="C228" i="4"/>
  <c r="D106" i="4"/>
  <c r="E95" i="4"/>
  <c r="J184" i="4"/>
  <c r="C107" i="4"/>
  <c r="C185" i="4"/>
  <c r="D311" i="4"/>
  <c r="C252" i="4"/>
  <c r="D242" i="4"/>
  <c r="J270" i="4"/>
  <c r="I239" i="4"/>
  <c r="E254" i="4"/>
  <c r="E282" i="4"/>
  <c r="C263" i="4"/>
  <c r="I276" i="4"/>
  <c r="D74" i="4"/>
  <c r="I302" i="4"/>
  <c r="C164" i="4"/>
  <c r="C357" i="4"/>
  <c r="I182" i="4"/>
  <c r="E381" i="4"/>
  <c r="I342" i="4"/>
  <c r="K206" i="13"/>
  <c r="C275" i="4"/>
  <c r="J115" i="4"/>
  <c r="D76" i="4"/>
  <c r="C386" i="4"/>
  <c r="E105" i="4"/>
  <c r="K25" i="11"/>
  <c r="J14" i="4"/>
  <c r="E136" i="4"/>
  <c r="E369" i="4"/>
  <c r="J348" i="4"/>
  <c r="I85" i="4"/>
  <c r="D365" i="4"/>
  <c r="J179" i="4"/>
  <c r="K14" i="11"/>
  <c r="D103" i="4"/>
  <c r="E293" i="4"/>
  <c r="D298" i="4"/>
  <c r="D375" i="4"/>
  <c r="K267" i="13"/>
  <c r="I114" i="4"/>
  <c r="D108" i="4"/>
  <c r="E209" i="4"/>
  <c r="E334" i="4"/>
  <c r="D250" i="4"/>
  <c r="D218" i="4"/>
  <c r="E113" i="4"/>
  <c r="E227" i="4"/>
  <c r="E214" i="4"/>
  <c r="I271" i="4"/>
  <c r="C312" i="4"/>
  <c r="K24" i="11"/>
  <c r="C256" i="4"/>
  <c r="K41" i="11"/>
  <c r="I380" i="4"/>
  <c r="I151" i="4"/>
  <c r="I139" i="4"/>
  <c r="J216" i="4"/>
  <c r="E192" i="4"/>
  <c r="J118" i="4"/>
  <c r="C109" i="4"/>
  <c r="E212" i="4"/>
  <c r="K12" i="13"/>
  <c r="D158" i="4"/>
  <c r="D128" i="4"/>
  <c r="J9" i="7"/>
  <c r="C372" i="4"/>
  <c r="I332" i="4"/>
  <c r="I170" i="4"/>
  <c r="E146" i="4"/>
  <c r="E295" i="4"/>
  <c r="C323" i="4"/>
  <c r="C364" i="4"/>
  <c r="K107" i="13"/>
  <c r="D279" i="4"/>
  <c r="I133" i="4"/>
  <c r="C87" i="4"/>
  <c r="C91" i="4"/>
  <c r="E171" i="4"/>
  <c r="C142" i="4"/>
  <c r="E281" i="4"/>
  <c r="C169" i="4"/>
  <c r="K24" i="13"/>
  <c r="J163" i="4"/>
  <c r="C97" i="4"/>
  <c r="E245" i="4"/>
  <c r="I277" i="4"/>
  <c r="D20" i="4"/>
  <c r="E241" i="4"/>
  <c r="E383" i="4"/>
  <c r="I191" i="4"/>
  <c r="E319" i="4"/>
  <c r="K35" i="11"/>
  <c r="D89" i="4"/>
  <c r="D384" i="4"/>
  <c r="E180" i="4"/>
  <c r="I153" i="4"/>
  <c r="K88" i="13"/>
  <c r="E107" i="4"/>
  <c r="J123" i="4"/>
  <c r="D251" i="4"/>
  <c r="J242" i="4"/>
  <c r="J21" i="4"/>
  <c r="E307" i="4"/>
  <c r="I300" i="4"/>
  <c r="D249" i="4"/>
  <c r="C379" i="4"/>
  <c r="I162" i="4"/>
  <c r="J69" i="4"/>
  <c r="I328" i="4"/>
  <c r="E316" i="4"/>
  <c r="I174" i="4"/>
  <c r="I190" i="4"/>
  <c r="I14" i="4"/>
  <c r="C366" i="4"/>
  <c r="C234" i="4"/>
  <c r="I280" i="4"/>
  <c r="I121" i="4"/>
  <c r="I264" i="4"/>
  <c r="D292" i="4"/>
  <c r="I335" i="4"/>
  <c r="E120" i="4"/>
  <c r="J345" i="4"/>
  <c r="J359" i="4"/>
  <c r="C306" i="4"/>
  <c r="I350" i="4"/>
  <c r="E225" i="4"/>
  <c r="C317" i="4"/>
  <c r="I167" i="4"/>
  <c r="K151" i="13"/>
  <c r="J78" i="4"/>
  <c r="J131" i="4"/>
  <c r="K268" i="13"/>
  <c r="C102" i="4"/>
  <c r="I244" i="4"/>
  <c r="K40" i="11"/>
  <c r="J189" i="4"/>
  <c r="C309" i="4"/>
  <c r="I308" i="4"/>
  <c r="D125" i="4"/>
  <c r="I278" i="4"/>
  <c r="D269" i="4"/>
  <c r="C135" i="4"/>
  <c r="K87" i="13"/>
  <c r="C83" i="4"/>
  <c r="J205" i="4"/>
  <c r="J229" i="4"/>
  <c r="D272" i="4"/>
  <c r="I355" i="4"/>
  <c r="K182" i="13"/>
  <c r="D230" i="4"/>
  <c r="K112" i="13"/>
  <c r="E273" i="4"/>
  <c r="E255" i="4"/>
  <c r="I67" i="4"/>
  <c r="I187" i="4"/>
  <c r="J220" i="4"/>
  <c r="E148" i="4"/>
  <c r="C110" i="4"/>
  <c r="J175" i="4"/>
  <c r="D338" i="4"/>
  <c r="D199" i="4"/>
  <c r="J101" i="4"/>
  <c r="E92" i="4"/>
  <c r="E112" i="4"/>
  <c r="D341" i="4"/>
  <c r="E360" i="4"/>
  <c r="I68" i="4"/>
  <c r="C75" i="4"/>
  <c r="D176" i="4"/>
  <c r="C100" i="4"/>
  <c r="K125" i="13"/>
  <c r="D221" i="4"/>
  <c r="I80" i="4"/>
  <c r="I196" i="4"/>
  <c r="K249" i="13"/>
  <c r="K227" i="13"/>
  <c r="E116" i="4"/>
  <c r="I144" i="4"/>
  <c r="J318" i="4"/>
  <c r="Y20" i="12"/>
  <c r="C240" i="4"/>
  <c r="C186" i="4"/>
  <c r="I246" i="4"/>
  <c r="I310" i="4"/>
  <c r="D288" i="4"/>
  <c r="C188" i="4"/>
  <c r="J140" i="4"/>
  <c r="E94" i="4"/>
  <c r="J287" i="4"/>
  <c r="C96" i="4"/>
  <c r="E198" i="4"/>
  <c r="I32" i="4"/>
  <c r="C12" i="4"/>
  <c r="C356" i="4"/>
  <c r="K99" i="13"/>
  <c r="D71" i="4"/>
  <c r="J203" i="4"/>
  <c r="I270" i="4"/>
  <c r="J239" i="4"/>
  <c r="J368" i="4"/>
  <c r="D282" i="4"/>
  <c r="E263" i="4"/>
  <c r="J276" i="4"/>
  <c r="C74" i="4"/>
  <c r="E302" i="4"/>
  <c r="E164" i="4"/>
  <c r="J357" i="4"/>
  <c r="C182" i="4"/>
  <c r="J381" i="4"/>
  <c r="C342" i="4"/>
  <c r="I150" i="4"/>
  <c r="K163" i="13"/>
  <c r="E115" i="4"/>
  <c r="E76" i="4"/>
  <c r="K184" i="13"/>
  <c r="J105" i="4"/>
  <c r="K13" i="11"/>
  <c r="J210" i="4"/>
  <c r="E388" i="4"/>
  <c r="I303" i="4"/>
  <c r="E373" i="4"/>
  <c r="E85" i="4"/>
  <c r="C365" i="4"/>
  <c r="C179" i="4"/>
  <c r="K31" i="13"/>
  <c r="E103" i="4"/>
  <c r="C243" i="4"/>
  <c r="J298" i="4"/>
  <c r="E375" i="4"/>
  <c r="J181" i="4"/>
  <c r="E114" i="4"/>
  <c r="J108" i="4"/>
  <c r="J3" i="7"/>
  <c r="I334" i="4"/>
  <c r="I250" i="4"/>
  <c r="D315" i="4"/>
  <c r="I113" i="4"/>
  <c r="C227" i="4"/>
  <c r="J214" i="4"/>
  <c r="E271" i="4"/>
  <c r="J312" i="4"/>
  <c r="D147" i="4"/>
  <c r="J256" i="4"/>
  <c r="K31" i="11"/>
  <c r="D274" i="4"/>
  <c r="J166" i="4"/>
  <c r="C331" i="4"/>
  <c r="D206" i="4"/>
  <c r="D192" i="4"/>
  <c r="I118" i="4"/>
  <c r="J260" i="4"/>
  <c r="C212" i="4"/>
  <c r="J195" i="4"/>
  <c r="J333" i="4"/>
  <c r="E128" i="4"/>
  <c r="K34" i="11"/>
  <c r="I358" i="4"/>
  <c r="D332" i="4"/>
  <c r="J170" i="4"/>
  <c r="K211" i="13"/>
  <c r="D295" i="4"/>
  <c r="E323" i="4"/>
  <c r="J86" i="4"/>
  <c r="C217" i="4"/>
  <c r="K224" i="13"/>
  <c r="I82" i="4"/>
  <c r="J138" i="4"/>
  <c r="K194" i="13"/>
  <c r="J194" i="4"/>
  <c r="D267" i="4"/>
  <c r="J281" i="4"/>
  <c r="E224" i="4"/>
  <c r="K301" i="13"/>
  <c r="C163" i="4"/>
  <c r="K258" i="13"/>
  <c r="J245" i="4"/>
  <c r="E277" i="4"/>
  <c r="C21" i="4"/>
  <c r="I241" i="4"/>
  <c r="J383" i="4"/>
  <c r="J191" i="4"/>
  <c r="I319" i="4"/>
  <c r="K38" i="11"/>
  <c r="J89" i="4"/>
  <c r="E384" i="4"/>
  <c r="J180" i="4"/>
  <c r="J95" i="4"/>
  <c r="C347" i="4"/>
  <c r="J185" i="4"/>
  <c r="I311" i="4"/>
  <c r="J251" i="4"/>
  <c r="I88" i="4"/>
  <c r="D29" i="4"/>
  <c r="D307" i="4"/>
  <c r="E145" i="4"/>
  <c r="I249" i="4"/>
  <c r="E130" i="4"/>
  <c r="J162" i="4"/>
  <c r="D69" i="4"/>
  <c r="C328" i="4"/>
  <c r="J316" i="4"/>
  <c r="C174" i="4"/>
  <c r="E190" i="4"/>
  <c r="J12" i="7"/>
  <c r="E366" i="4"/>
  <c r="D129" i="4"/>
  <c r="E280" i="4"/>
  <c r="D121" i="4"/>
  <c r="E264" i="4"/>
  <c r="C292" i="4"/>
  <c r="D335" i="4"/>
  <c r="J120" i="4"/>
  <c r="I367" i="4"/>
  <c r="E359" i="4"/>
  <c r="C79" i="4"/>
  <c r="C350" i="4"/>
  <c r="J225" i="4"/>
  <c r="D317" i="4"/>
  <c r="D378" i="4"/>
  <c r="J371" i="4"/>
  <c r="C78" i="4"/>
  <c r="C131" i="4"/>
  <c r="I352" i="4"/>
  <c r="I102" i="4"/>
  <c r="J244" i="4"/>
  <c r="I15" i="4"/>
  <c r="E189" i="4"/>
  <c r="J309" i="4"/>
  <c r="C308" i="4"/>
  <c r="I125" i="4"/>
  <c r="C278" i="4"/>
  <c r="D211" i="4"/>
  <c r="I135" i="4"/>
  <c r="K104" i="13"/>
  <c r="D83" i="4"/>
  <c r="D143" i="4"/>
  <c r="C229" i="4"/>
  <c r="D223" i="4"/>
  <c r="J355" i="4"/>
  <c r="I104" i="4"/>
  <c r="I230" i="4"/>
  <c r="E168" i="4"/>
  <c r="C273" i="4"/>
  <c r="D255" i="4"/>
  <c r="C67" i="4"/>
  <c r="E187" i="4"/>
  <c r="J18" i="4"/>
  <c r="K52" i="13"/>
  <c r="E110" i="4"/>
  <c r="E385" i="4"/>
  <c r="I338" i="4"/>
  <c r="C199" i="4"/>
  <c r="I101" i="4"/>
  <c r="I92" i="4"/>
  <c r="I112" i="4"/>
  <c r="K135" i="13"/>
  <c r="I360" i="4"/>
  <c r="I207" i="4"/>
  <c r="D75" i="4"/>
  <c r="I25" i="4"/>
  <c r="J100" i="4"/>
  <c r="C226" i="4"/>
  <c r="I221" i="4"/>
  <c r="C337" i="4"/>
  <c r="C196" i="4"/>
  <c r="K326" i="13"/>
  <c r="J127" i="4"/>
  <c r="D116" i="4"/>
  <c r="J70" i="4"/>
  <c r="E318" i="4"/>
  <c r="D26" i="4"/>
  <c r="D240" i="4"/>
  <c r="D186" i="4"/>
  <c r="E246" i="4"/>
  <c r="C310" i="4"/>
  <c r="J288" i="4"/>
  <c r="E188" i="4"/>
  <c r="I140" i="4"/>
  <c r="I94" i="4"/>
  <c r="E301" i="4"/>
  <c r="D96" i="4"/>
  <c r="I198" i="4"/>
  <c r="K16" i="13"/>
  <c r="J314" i="4"/>
  <c r="D356" i="4"/>
  <c r="D236" i="4"/>
  <c r="I71" i="4"/>
  <c r="E203" i="4"/>
  <c r="I122" i="4"/>
  <c r="I177" i="4"/>
  <c r="J161" i="4"/>
  <c r="K161" i="13"/>
  <c r="E32" i="4"/>
  <c r="C305" i="4"/>
  <c r="J124" i="4"/>
  <c r="C213" i="4"/>
  <c r="E98" i="4"/>
  <c r="J320" i="4"/>
  <c r="K214" i="13"/>
  <c r="I292" i="4"/>
  <c r="E244" i="4"/>
  <c r="D189" i="4"/>
  <c r="E308" i="4"/>
  <c r="D270" i="4"/>
  <c r="E239" i="4"/>
  <c r="E368" i="4"/>
  <c r="C282" i="4"/>
  <c r="J263" i="4"/>
  <c r="E276" i="4"/>
  <c r="I74" i="4"/>
  <c r="C302" i="4"/>
  <c r="D164" i="4"/>
  <c r="D357" i="4"/>
  <c r="J182" i="4"/>
  <c r="D381" i="4"/>
  <c r="D342" i="4"/>
  <c r="C150" i="4"/>
  <c r="K243" i="13"/>
  <c r="C115" i="4"/>
  <c r="E160" i="4"/>
  <c r="C259" i="4"/>
  <c r="D84" i="4"/>
  <c r="J16" i="4"/>
  <c r="E210" i="4"/>
  <c r="I388" i="4"/>
  <c r="D303" i="4"/>
  <c r="J373" i="4"/>
  <c r="J85" i="4"/>
  <c r="J365" i="4"/>
  <c r="D179" i="4"/>
  <c r="K38" i="13"/>
  <c r="J103" i="4"/>
  <c r="D243" i="4"/>
  <c r="I298" i="4"/>
  <c r="C375" i="4"/>
  <c r="D181" i="4"/>
  <c r="C114" i="4"/>
  <c r="E108" i="4"/>
  <c r="K86" i="13"/>
  <c r="D334" i="4"/>
  <c r="E250" i="4"/>
  <c r="E315" i="4"/>
  <c r="K276" i="13"/>
  <c r="J227" i="4"/>
  <c r="K66" i="13"/>
  <c r="J271" i="4"/>
  <c r="E312" i="4"/>
  <c r="J147" i="4"/>
  <c r="K213" i="13"/>
  <c r="D23" i="4"/>
  <c r="J274" i="4"/>
  <c r="D166" i="4"/>
  <c r="D331" i="4"/>
  <c r="J206" i="4"/>
  <c r="J257" i="4"/>
  <c r="I325" i="4"/>
  <c r="I260" i="4"/>
  <c r="D212" i="4"/>
  <c r="C195" i="4"/>
  <c r="C333" i="4"/>
  <c r="J128" i="4"/>
  <c r="K30" i="11"/>
  <c r="E358" i="4"/>
  <c r="C332" i="4"/>
  <c r="D170" i="4"/>
  <c r="D370" i="4"/>
  <c r="D286" i="4"/>
  <c r="D376" i="4"/>
  <c r="I86" i="4"/>
  <c r="E217" i="4"/>
  <c r="I289" i="4"/>
  <c r="E82" i="4"/>
  <c r="C138" i="4"/>
  <c r="J152" i="4"/>
  <c r="D194" i="4"/>
  <c r="J267" i="4"/>
  <c r="I134" i="4"/>
  <c r="I224" i="4"/>
  <c r="J283" i="4"/>
  <c r="I361" i="4"/>
  <c r="K50" i="13"/>
  <c r="I245" i="4"/>
  <c r="D277" i="4"/>
  <c r="J7" i="7"/>
  <c r="J241" i="4"/>
  <c r="I383" i="4"/>
  <c r="C191" i="4"/>
  <c r="C319" i="4"/>
  <c r="D32" i="4"/>
  <c r="J159" i="4"/>
  <c r="E228" i="4"/>
  <c r="I106" i="4"/>
  <c r="I95" i="4"/>
  <c r="E347" i="4"/>
  <c r="E185" i="4"/>
  <c r="J311" i="4"/>
  <c r="E251" i="4"/>
  <c r="J88" i="4"/>
  <c r="K39" i="11"/>
  <c r="I307" i="4"/>
  <c r="C145" i="4"/>
  <c r="C249" i="4"/>
  <c r="C130" i="4"/>
  <c r="E162" i="4"/>
  <c r="E69" i="4"/>
  <c r="D328" i="4"/>
  <c r="C316" i="4"/>
  <c r="D174" i="4"/>
  <c r="E321" i="4"/>
  <c r="J8" i="7"/>
  <c r="J366" i="4"/>
  <c r="E129" i="4"/>
  <c r="C280" i="4"/>
  <c r="C121" i="4"/>
  <c r="C264" i="4"/>
  <c r="J119" i="4"/>
  <c r="C120" i="4"/>
  <c r="D367" i="4"/>
  <c r="D359" i="4"/>
  <c r="D79" i="4"/>
  <c r="E350" i="4"/>
  <c r="J12" i="4"/>
  <c r="E317" i="4"/>
  <c r="I378" i="4"/>
  <c r="E371" i="4"/>
  <c r="I78" i="4"/>
  <c r="J387" i="4"/>
  <c r="D352" i="4"/>
  <c r="J102" i="4"/>
  <c r="I12" i="4"/>
  <c r="E270" i="4"/>
  <c r="K271" i="13"/>
  <c r="C368" i="4"/>
  <c r="J282" i="4"/>
  <c r="J248" i="4"/>
  <c r="J389" i="4"/>
  <c r="D126" i="4"/>
  <c r="C73" i="4"/>
  <c r="J294" i="4"/>
  <c r="K21" i="13"/>
  <c r="J222" i="4"/>
  <c r="K91" i="13"/>
  <c r="J342" i="4"/>
  <c r="K311" i="13"/>
  <c r="J254" i="4"/>
  <c r="C172" i="4"/>
  <c r="E74" i="4"/>
  <c r="K218" i="13"/>
  <c r="D182" i="4"/>
  <c r="E343" i="4"/>
  <c r="E275" i="4"/>
  <c r="K102" i="13"/>
  <c r="E386" i="4"/>
  <c r="K23" i="11"/>
  <c r="D210" i="4"/>
  <c r="J369" i="4"/>
  <c r="E117" i="4"/>
  <c r="C322" i="4"/>
  <c r="C17" i="4"/>
  <c r="K147" i="13"/>
  <c r="E173" i="4"/>
  <c r="J266" i="4"/>
  <c r="J349" i="4"/>
  <c r="I209" i="4"/>
  <c r="E327" i="4"/>
  <c r="I218" i="4"/>
  <c r="J178" i="4"/>
  <c r="I214" i="4"/>
  <c r="C157" i="4"/>
  <c r="I147" i="4"/>
  <c r="K122" i="13"/>
  <c r="C274" i="4"/>
  <c r="J139" i="4"/>
  <c r="C206" i="4"/>
  <c r="J325" i="4"/>
  <c r="I346" i="4"/>
  <c r="E158" i="4"/>
  <c r="K54" i="13"/>
  <c r="D72" i="4"/>
  <c r="J351" i="4"/>
  <c r="C146" i="4"/>
  <c r="I286" i="4"/>
  <c r="J364" i="4"/>
  <c r="E279" i="4"/>
  <c r="D82" i="4"/>
  <c r="I91" i="4"/>
  <c r="I194" i="4"/>
  <c r="D281" i="4"/>
  <c r="D304" i="4"/>
  <c r="E361" i="4"/>
  <c r="C93" i="4"/>
  <c r="C13" i="4"/>
  <c r="D241" i="4"/>
  <c r="C232" i="4"/>
  <c r="D319" i="4"/>
  <c r="J165" i="4"/>
  <c r="J228" i="4"/>
  <c r="J153" i="4"/>
  <c r="D107" i="4"/>
  <c r="E311" i="4"/>
  <c r="I242" i="4"/>
  <c r="I19" i="4"/>
  <c r="J300" i="4"/>
  <c r="E379" i="4"/>
  <c r="C262" i="4"/>
  <c r="E328" i="4"/>
  <c r="I316" i="4"/>
  <c r="J190" i="4"/>
  <c r="K256" i="13"/>
  <c r="C129" i="4"/>
  <c r="D200" i="4"/>
  <c r="D132" i="4"/>
  <c r="C335" i="4"/>
  <c r="D345" i="4"/>
  <c r="I359" i="4"/>
  <c r="K57" i="13"/>
  <c r="J25" i="4"/>
  <c r="E167" i="4"/>
  <c r="I371" i="4"/>
  <c r="D387" i="4"/>
  <c r="E102" i="4"/>
  <c r="D244" i="4"/>
  <c r="I29" i="4"/>
  <c r="E141" i="4"/>
  <c r="J125" i="4"/>
  <c r="E278" i="4"/>
  <c r="C211" i="4"/>
  <c r="J17" i="4"/>
  <c r="I83" i="4"/>
  <c r="I143" i="4"/>
  <c r="J272" i="4"/>
  <c r="C193" i="4"/>
  <c r="E104" i="4"/>
  <c r="E265" i="4"/>
  <c r="J273" i="4"/>
  <c r="D377" i="4"/>
  <c r="C187" i="4"/>
  <c r="C18" i="4"/>
  <c r="J354" i="4"/>
  <c r="C175" i="4"/>
  <c r="J204" i="4"/>
  <c r="D101" i="4"/>
  <c r="J92" i="4"/>
  <c r="D112" i="4"/>
  <c r="J149" i="4"/>
  <c r="J68" i="4"/>
  <c r="J75" i="4"/>
  <c r="K22" i="11"/>
  <c r="I268" i="4"/>
  <c r="K185" i="13"/>
  <c r="D337" i="4"/>
  <c r="C219" i="4"/>
  <c r="C127" i="4"/>
  <c r="D144" i="4"/>
  <c r="K142" i="13"/>
  <c r="E197" i="4"/>
  <c r="I186" i="4"/>
  <c r="J246" i="4"/>
  <c r="D291" i="4"/>
  <c r="D188" i="4"/>
  <c r="E140" i="4"/>
  <c r="J94" i="4"/>
  <c r="C301" i="4"/>
  <c r="D198" i="4"/>
  <c r="C215" i="4"/>
  <c r="D314" i="4"/>
  <c r="J313" i="4"/>
  <c r="C71" i="4"/>
  <c r="I90" i="4"/>
  <c r="D177" i="4"/>
  <c r="C161" i="4"/>
  <c r="J5" i="7"/>
  <c r="E326" i="4"/>
  <c r="J305" i="4"/>
  <c r="C124" i="4"/>
  <c r="E77" i="4"/>
  <c r="K320" i="13"/>
  <c r="C156" i="4"/>
  <c r="I197" i="4"/>
  <c r="C287" i="4"/>
  <c r="E215" i="4"/>
  <c r="E236" i="4"/>
  <c r="C177" i="4"/>
  <c r="I363" i="4"/>
  <c r="J154" i="4"/>
  <c r="E320" i="4"/>
  <c r="D235" i="4"/>
  <c r="J358" i="4"/>
  <c r="J296" i="4"/>
  <c r="I142" i="4"/>
  <c r="E97" i="4"/>
  <c r="I285" i="4"/>
  <c r="I180" i="4"/>
  <c r="D252" i="4"/>
  <c r="C307" i="4"/>
  <c r="D262" i="4"/>
  <c r="J321" i="4"/>
  <c r="J121" i="4"/>
  <c r="D119" i="4"/>
  <c r="I317" i="4"/>
  <c r="E387" i="4"/>
  <c r="D308" i="4"/>
  <c r="E135" i="4"/>
  <c r="I205" i="4"/>
  <c r="I193" i="4"/>
  <c r="J168" i="4"/>
  <c r="C148" i="4"/>
  <c r="E204" i="4"/>
  <c r="C208" i="4"/>
  <c r="J360" i="4"/>
  <c r="J176" i="4"/>
  <c r="J80" i="4"/>
  <c r="E196" i="4"/>
  <c r="D70" i="4"/>
  <c r="E183" i="4"/>
  <c r="J291" i="4"/>
  <c r="I287" i="4"/>
  <c r="D215" i="4"/>
  <c r="I203" i="4"/>
  <c r="E363" i="4"/>
  <c r="I154" i="4"/>
  <c r="E284" i="4"/>
  <c r="E370" i="4"/>
  <c r="E249" i="4"/>
  <c r="E174" i="4"/>
  <c r="E292" i="4"/>
  <c r="J367" i="4"/>
  <c r="K248" i="13"/>
  <c r="K61" i="13"/>
  <c r="I309" i="4"/>
  <c r="K27" i="11"/>
  <c r="C265" i="4"/>
  <c r="D220" i="4"/>
  <c r="D204" i="4"/>
  <c r="D360" i="4"/>
  <c r="D268" i="4"/>
  <c r="I137" i="4"/>
  <c r="J183" i="4"/>
  <c r="E287" i="4"/>
  <c r="I236" i="4"/>
  <c r="J326" i="4"/>
  <c r="I324" i="4"/>
  <c r="K9" i="11"/>
  <c r="C184" i="4"/>
  <c r="I251" i="4"/>
  <c r="I130" i="4"/>
  <c r="K29" i="11"/>
  <c r="E79" i="4"/>
  <c r="J352" i="4"/>
  <c r="I155" i="4"/>
  <c r="E272" i="4"/>
  <c r="K237" i="13"/>
  <c r="E220" i="4"/>
  <c r="E199" i="4"/>
  <c r="K83" i="13"/>
  <c r="E268" i="4"/>
  <c r="E219" i="4"/>
  <c r="C183" i="4"/>
  <c r="D310" i="4"/>
  <c r="C297" i="4"/>
  <c r="D313" i="4"/>
  <c r="J20" i="4"/>
  <c r="C329" i="4"/>
  <c r="C98" i="4"/>
  <c r="J284" i="4"/>
  <c r="I24" i="4"/>
  <c r="J382" i="4"/>
  <c r="D260" i="4"/>
  <c r="I72" i="4"/>
  <c r="I364" i="4"/>
  <c r="C281" i="4"/>
  <c r="E93" i="4"/>
  <c r="I384" i="4"/>
  <c r="I123" i="4"/>
  <c r="D162" i="4"/>
  <c r="C190" i="4"/>
  <c r="E335" i="4"/>
  <c r="C167" i="4"/>
  <c r="C141" i="4"/>
  <c r="D17" i="4"/>
  <c r="D104" i="4"/>
  <c r="I220" i="4"/>
  <c r="E338" i="4"/>
  <c r="D149" i="4"/>
  <c r="C221" i="4"/>
  <c r="K145" i="13"/>
  <c r="C270" i="4"/>
  <c r="K238" i="13"/>
  <c r="I248" i="4"/>
  <c r="C126" i="4"/>
  <c r="I294" i="4"/>
  <c r="E222" i="4"/>
  <c r="E342" i="4"/>
  <c r="J275" i="4"/>
  <c r="J76" i="4"/>
  <c r="I259" i="4"/>
  <c r="K17" i="11"/>
  <c r="C210" i="4"/>
  <c r="I369" i="4"/>
  <c r="I117" i="4"/>
  <c r="I111" i="4"/>
  <c r="K12" i="11"/>
  <c r="C293" i="4"/>
  <c r="I173" i="4"/>
  <c r="D266" i="4"/>
  <c r="D114" i="4"/>
  <c r="D209" i="4"/>
  <c r="I327" i="4"/>
  <c r="C218" i="4"/>
  <c r="E178" i="4"/>
  <c r="J235" i="4"/>
  <c r="D157" i="4"/>
  <c r="C147" i="4"/>
  <c r="K79" i="13"/>
  <c r="E274" i="4"/>
  <c r="I331" i="4"/>
  <c r="K252" i="13"/>
  <c r="D325" i="4"/>
  <c r="C346" i="4"/>
  <c r="J158" i="4"/>
  <c r="I128" i="4"/>
  <c r="E372" i="4"/>
  <c r="D351" i="4"/>
  <c r="J146" i="4"/>
  <c r="J323" i="4"/>
  <c r="E86" i="4"/>
  <c r="C279" i="4"/>
  <c r="C82" i="4"/>
  <c r="E91" i="4"/>
  <c r="K287" i="13"/>
  <c r="E134" i="4"/>
  <c r="C304" i="4"/>
  <c r="D361" i="4"/>
  <c r="C245" i="4"/>
  <c r="I20" i="4"/>
  <c r="D285" i="4"/>
  <c r="I232" i="4"/>
  <c r="J319" i="4"/>
  <c r="E89" i="4"/>
  <c r="D180" i="4"/>
  <c r="D95" i="4"/>
  <c r="J107" i="4"/>
  <c r="C311" i="4"/>
  <c r="E242" i="4"/>
  <c r="J32" i="4"/>
  <c r="D145" i="4"/>
  <c r="J379" i="4"/>
  <c r="J262" i="4"/>
  <c r="J328" i="4"/>
  <c r="K245" i="13"/>
  <c r="I321" i="4"/>
  <c r="K10" i="13"/>
  <c r="I129" i="4"/>
  <c r="I200" i="4"/>
  <c r="I132" i="4"/>
  <c r="I119" i="4"/>
  <c r="I345" i="4"/>
  <c r="D306" i="4"/>
  <c r="J350" i="4"/>
  <c r="I26" i="4"/>
  <c r="J378" i="4"/>
  <c r="E78" i="4"/>
  <c r="I387" i="4"/>
  <c r="D102" i="4"/>
  <c r="I21" i="4"/>
  <c r="I189" i="4"/>
  <c r="D141" i="4"/>
  <c r="D155" i="4"/>
  <c r="E269" i="4"/>
  <c r="D135" i="4"/>
  <c r="E238" i="4"/>
  <c r="E205" i="4"/>
  <c r="K42" i="13"/>
  <c r="I223" i="4"/>
  <c r="D193" i="4"/>
  <c r="C230" i="4"/>
  <c r="I168" i="4"/>
  <c r="K314" i="13"/>
  <c r="C377" i="4"/>
  <c r="D187" i="4"/>
  <c r="D148" i="4"/>
  <c r="D354" i="4"/>
  <c r="I385" i="4"/>
  <c r="C204" i="4"/>
  <c r="E101" i="4"/>
  <c r="J208" i="4"/>
  <c r="C341" i="4"/>
  <c r="C149" i="4"/>
  <c r="E207" i="4"/>
  <c r="E176" i="4"/>
  <c r="D100" i="4"/>
  <c r="E226" i="4"/>
  <c r="D80" i="4"/>
  <c r="J196" i="4"/>
  <c r="D137" i="4"/>
  <c r="I127" i="4"/>
  <c r="J144" i="4"/>
  <c r="I318" i="4"/>
  <c r="D197" i="4"/>
  <c r="J186" i="4"/>
  <c r="D246" i="4"/>
  <c r="E291" i="4"/>
  <c r="I188" i="4"/>
  <c r="E297" i="4"/>
  <c r="D287" i="4"/>
  <c r="J96" i="4"/>
  <c r="K32" i="11"/>
  <c r="I215" i="4"/>
  <c r="E356" i="4"/>
  <c r="J236" i="4"/>
  <c r="E71" i="4"/>
  <c r="D90" i="4"/>
  <c r="E177" i="4"/>
  <c r="I161" i="4"/>
  <c r="K20" i="13"/>
  <c r="I326" i="4"/>
  <c r="E154" i="4"/>
  <c r="D124" i="4"/>
  <c r="C77" i="4"/>
  <c r="D320" i="4"/>
  <c r="E156" i="4"/>
  <c r="C205" i="4"/>
  <c r="D168" i="4"/>
  <c r="K40" i="13"/>
  <c r="J110" i="4"/>
  <c r="I204" i="4"/>
  <c r="E208" i="4"/>
  <c r="C360" i="4"/>
  <c r="D207" i="4"/>
  <c r="E100" i="4"/>
  <c r="E80" i="4"/>
  <c r="J137" i="4"/>
  <c r="E144" i="4"/>
  <c r="E186" i="4"/>
  <c r="I291" i="4"/>
  <c r="I297" i="4"/>
  <c r="I96" i="4"/>
  <c r="I356" i="4"/>
  <c r="C90" i="4"/>
  <c r="E329" i="4"/>
  <c r="E213" i="4"/>
  <c r="D284" i="4"/>
  <c r="I336" i="4"/>
  <c r="J324" i="4"/>
  <c r="D323" i="4"/>
  <c r="E87" i="4"/>
  <c r="D152" i="4"/>
  <c r="E344" i="4"/>
  <c r="K62" i="13"/>
  <c r="I184" i="4"/>
  <c r="E88" i="4"/>
  <c r="J130" i="4"/>
  <c r="K9" i="13"/>
  <c r="J280" i="4"/>
  <c r="E367" i="4"/>
  <c r="C378" i="4"/>
  <c r="C202" i="4"/>
  <c r="E309" i="4"/>
  <c r="E155" i="4"/>
  <c r="D238" i="4"/>
  <c r="J223" i="4"/>
  <c r="C255" i="4"/>
  <c r="C220" i="4"/>
  <c r="D110" i="4"/>
  <c r="K18" i="11"/>
  <c r="I100" i="4"/>
  <c r="E137" i="4"/>
  <c r="D318" i="4"/>
  <c r="K37" i="13"/>
  <c r="J297" i="4"/>
  <c r="E96" i="4"/>
  <c r="J356" i="4"/>
  <c r="J177" i="4"/>
  <c r="D326" i="4"/>
  <c r="I77" i="4"/>
  <c r="C170" i="4"/>
  <c r="C19" i="4"/>
  <c r="I231" i="4"/>
  <c r="D280" i="4"/>
  <c r="C119" i="4"/>
  <c r="J317" i="4"/>
  <c r="I202" i="4"/>
  <c r="J308" i="4"/>
  <c r="C238" i="4"/>
  <c r="D229" i="4"/>
  <c r="J193" i="4"/>
  <c r="E67" i="4"/>
  <c r="J385" i="4"/>
  <c r="D208" i="4"/>
  <c r="C207" i="4"/>
  <c r="C80" i="4"/>
  <c r="C70" i="4"/>
  <c r="K94" i="13"/>
  <c r="K325" i="13"/>
  <c r="J122" i="4"/>
  <c r="J213" i="4"/>
  <c r="C358" i="4"/>
  <c r="I344" i="4"/>
  <c r="C362" i="4"/>
  <c r="I159" i="4"/>
  <c r="D123" i="4"/>
  <c r="J249" i="4"/>
  <c r="J174" i="4"/>
  <c r="J292" i="4"/>
  <c r="C367" i="4"/>
  <c r="J167" i="4"/>
  <c r="D202" i="4"/>
  <c r="E211" i="4"/>
  <c r="J143" i="4"/>
  <c r="J104" i="4"/>
  <c r="D67" i="4"/>
  <c r="C338" i="4"/>
  <c r="I149" i="4"/>
  <c r="I18" i="4"/>
  <c r="J337" i="4"/>
  <c r="I27" i="4"/>
  <c r="E288" i="4"/>
  <c r="I301" i="4"/>
  <c r="C32" i="4"/>
  <c r="C363" i="4"/>
  <c r="E305" i="4"/>
  <c r="I156" i="4"/>
  <c r="I84" i="4"/>
  <c r="C380" i="4"/>
  <c r="D118" i="4"/>
  <c r="J339" i="4"/>
  <c r="D299" i="4"/>
  <c r="C171" i="4"/>
  <c r="C224" i="4"/>
  <c r="E232" i="4"/>
  <c r="C153" i="4"/>
  <c r="K36" i="11"/>
  <c r="J200" i="4"/>
  <c r="C371" i="4"/>
  <c r="C125" i="4"/>
  <c r="E143" i="4"/>
  <c r="I265" i="4"/>
  <c r="I354" i="4"/>
  <c r="D92" i="4"/>
  <c r="I23" i="4"/>
  <c r="E337" i="4"/>
  <c r="C374" i="4"/>
  <c r="E330" i="4"/>
  <c r="D248" i="4"/>
  <c r="I126" i="4"/>
  <c r="E294" i="4"/>
  <c r="C222" i="4"/>
  <c r="C81" i="4"/>
  <c r="E258" i="4"/>
  <c r="I76" i="4"/>
  <c r="J259" i="4"/>
  <c r="J15" i="4"/>
  <c r="K92" i="13"/>
  <c r="C303" i="4"/>
  <c r="J117" i="4"/>
  <c r="C111" i="4"/>
  <c r="I17" i="4"/>
  <c r="D293" i="4"/>
  <c r="E298" i="4"/>
  <c r="I266" i="4"/>
  <c r="J114" i="4"/>
  <c r="C209" i="4"/>
  <c r="D327" i="4"/>
  <c r="C315" i="4"/>
  <c r="I227" i="4"/>
  <c r="E235" i="4"/>
  <c r="D312" i="4"/>
  <c r="E147" i="4"/>
  <c r="J201" i="4"/>
  <c r="E151" i="4"/>
  <c r="K272" i="13"/>
  <c r="C192" i="4"/>
  <c r="I109" i="4"/>
  <c r="I212" i="4"/>
  <c r="C158" i="4"/>
  <c r="C128" i="4"/>
  <c r="I372" i="4"/>
  <c r="C351" i="4"/>
  <c r="J370" i="4"/>
  <c r="I323" i="4"/>
  <c r="C86" i="4"/>
  <c r="I279" i="4"/>
  <c r="K327" i="13"/>
  <c r="I152" i="4"/>
  <c r="D142" i="4"/>
  <c r="D134" i="4"/>
  <c r="J304" i="4"/>
  <c r="J97" i="4"/>
  <c r="K329" i="13"/>
  <c r="J6" i="7"/>
  <c r="E285" i="4"/>
  <c r="K124" i="13"/>
  <c r="I390" i="4"/>
  <c r="E159" i="4"/>
  <c r="C180" i="4"/>
  <c r="C95" i="4"/>
  <c r="I107" i="4"/>
  <c r="I252" i="4"/>
  <c r="C88" i="4"/>
  <c r="K39" i="13"/>
  <c r="I145" i="4"/>
  <c r="D379" i="4"/>
  <c r="E262" i="4"/>
  <c r="E231" i="4"/>
  <c r="K176" i="13"/>
  <c r="C321" i="4"/>
  <c r="I366" i="4"/>
  <c r="J129" i="4"/>
  <c r="E121" i="4"/>
  <c r="E132" i="4"/>
  <c r="E119" i="4"/>
  <c r="C345" i="4"/>
  <c r="I306" i="4"/>
  <c r="D350" i="4"/>
  <c r="K19" i="11"/>
  <c r="E378" i="4"/>
  <c r="D78" i="4"/>
  <c r="C387" i="4"/>
  <c r="E202" i="4"/>
  <c r="C22" i="4"/>
  <c r="C189" i="4"/>
  <c r="I141" i="4"/>
  <c r="J155" i="4"/>
  <c r="C269" i="4"/>
  <c r="J135" i="4"/>
  <c r="J238" i="4"/>
  <c r="I229" i="4"/>
  <c r="C223" i="4"/>
  <c r="E193" i="4"/>
  <c r="J230" i="4"/>
  <c r="I255" i="4"/>
  <c r="K277" i="13"/>
  <c r="I148" i="4"/>
  <c r="C385" i="4"/>
  <c r="C101" i="4"/>
  <c r="E341" i="4"/>
  <c r="C176" i="4"/>
  <c r="I226" i="4"/>
  <c r="D196" i="4"/>
  <c r="D127" i="4"/>
  <c r="C318" i="4"/>
  <c r="C246" i="4"/>
  <c r="J188" i="4"/>
  <c r="J237" i="4"/>
  <c r="D203" i="4"/>
  <c r="C326" i="4"/>
  <c r="J77" i="4"/>
  <c r="E201" i="4"/>
  <c r="E170" i="4"/>
  <c r="D289" i="4"/>
  <c r="I169" i="4"/>
  <c r="J26" i="4"/>
  <c r="C390" i="4"/>
  <c r="C159" i="4"/>
  <c r="D185" i="4"/>
  <c r="J145" i="4"/>
  <c r="C231" i="4"/>
  <c r="D366" i="4"/>
  <c r="J132" i="4"/>
  <c r="K264" i="13"/>
  <c r="K97" i="13"/>
  <c r="D24" i="4"/>
  <c r="I269" i="4"/>
  <c r="E229" i="4"/>
  <c r="E230" i="4"/>
  <c r="J67" i="4"/>
  <c r="D385" i="4"/>
  <c r="J341" i="4"/>
  <c r="J207" i="4"/>
  <c r="D226" i="4"/>
  <c r="K291" i="13"/>
  <c r="J197" i="4"/>
  <c r="K240" i="13"/>
  <c r="D237" i="4"/>
  <c r="C236" i="4"/>
  <c r="E90" i="4"/>
  <c r="J329" i="4"/>
  <c r="C320" i="4"/>
  <c r="E376" i="4"/>
  <c r="J307" i="4"/>
  <c r="D321" i="4"/>
  <c r="K78" i="13"/>
  <c r="E306" i="4"/>
  <c r="K33" i="13"/>
  <c r="D22" i="4"/>
  <c r="C155" i="4"/>
  <c r="D205" i="4"/>
  <c r="E223" i="4"/>
  <c r="J255" i="4"/>
  <c r="J148" i="4"/>
  <c r="K8" i="11"/>
  <c r="I176" i="4"/>
  <c r="D219" i="4"/>
  <c r="C197" i="4"/>
  <c r="C291" i="4"/>
  <c r="E237" i="4"/>
  <c r="J4" i="7"/>
  <c r="I284" i="4"/>
  <c r="C376" i="4"/>
  <c r="E106" i="4"/>
  <c r="C300" i="4"/>
  <c r="C69" i="4"/>
  <c r="D234" i="4"/>
  <c r="D120" i="4"/>
  <c r="I225" i="4"/>
  <c r="E131" i="4"/>
  <c r="K241" i="13"/>
  <c r="I238" i="4"/>
  <c r="I377" i="4"/>
  <c r="E175" i="4"/>
  <c r="D68" i="4"/>
  <c r="J221" i="4"/>
  <c r="I70" i="4"/>
  <c r="K35" i="13"/>
  <c r="C314" i="4"/>
  <c r="D122" i="4"/>
  <c r="D154" i="4"/>
  <c r="I115" i="4"/>
  <c r="E206" i="4"/>
  <c r="K22" i="13"/>
  <c r="J217" i="4"/>
  <c r="L3" i="11"/>
  <c r="I347" i="4"/>
  <c r="D231" i="4"/>
  <c r="I120" i="4"/>
  <c r="J202" i="4"/>
  <c r="I272" i="4"/>
  <c r="D175" i="4"/>
  <c r="J268" i="4"/>
  <c r="J374" i="4"/>
  <c r="C330" i="4"/>
  <c r="C248" i="4"/>
  <c r="K235" i="13"/>
  <c r="D294" i="4"/>
  <c r="I222" i="4"/>
  <c r="J81" i="4"/>
  <c r="I258" i="4"/>
  <c r="C76" i="4"/>
  <c r="E259" i="4"/>
  <c r="D12" i="4"/>
  <c r="J136" i="4"/>
  <c r="I348" i="4"/>
  <c r="K288" i="13"/>
  <c r="D111" i="4"/>
  <c r="D353" i="4"/>
  <c r="I293" i="4"/>
  <c r="C298" i="4"/>
  <c r="E266" i="4"/>
  <c r="D261" i="4"/>
  <c r="C99" i="4"/>
  <c r="J250" i="4"/>
  <c r="J315" i="4"/>
  <c r="D227" i="4"/>
  <c r="K106" i="13"/>
  <c r="J151" i="4"/>
  <c r="K259" i="13"/>
  <c r="I257" i="4"/>
  <c r="D109" i="4"/>
  <c r="J212" i="4"/>
  <c r="I158" i="4"/>
  <c r="I370" i="4"/>
  <c r="I283" i="4"/>
  <c r="J306" i="4"/>
  <c r="I213" i="4"/>
  <c r="I116" i="4"/>
  <c r="K150" i="13"/>
  <c r="D13" i="4"/>
  <c r="C203" i="4"/>
  <c r="D363" i="4"/>
  <c r="C154" i="4"/>
  <c r="I320" i="4"/>
  <c r="C339" i="4"/>
  <c r="E200" i="4"/>
  <c r="D309" i="4"/>
  <c r="J265" i="4"/>
  <c r="I208" i="4"/>
  <c r="J240" i="4"/>
  <c r="D25" i="4"/>
  <c r="D322" i="4"/>
  <c r="D133" i="4"/>
  <c r="D362" i="4"/>
  <c r="K165" i="13"/>
  <c r="J234" i="4"/>
  <c r="J79" i="4"/>
  <c r="J27" i="4"/>
  <c r="E355" i="4"/>
  <c r="I199" i="4"/>
  <c r="D374" i="4"/>
  <c r="D330" i="4"/>
  <c r="E248" i="4"/>
  <c r="D302" i="4"/>
  <c r="E357" i="4"/>
  <c r="D222" i="4"/>
  <c r="D81" i="4"/>
  <c r="D258" i="4"/>
  <c r="C160" i="4"/>
  <c r="D259" i="4"/>
  <c r="K33" i="11"/>
  <c r="D136" i="4"/>
  <c r="C348" i="4"/>
  <c r="D85" i="4"/>
  <c r="E111" i="4"/>
  <c r="E353" i="4"/>
  <c r="J293" i="4"/>
  <c r="E233" i="4"/>
  <c r="I181" i="4"/>
  <c r="E261" i="4"/>
  <c r="J99" i="4"/>
  <c r="C250" i="4"/>
  <c r="I315" i="4"/>
  <c r="I290" i="4"/>
  <c r="I235" i="4"/>
  <c r="J336" i="4"/>
  <c r="E256" i="4"/>
  <c r="I201" i="4"/>
  <c r="C166" i="4"/>
  <c r="D216" i="4"/>
  <c r="C257" i="4"/>
  <c r="E109" i="4"/>
  <c r="C247" i="4"/>
  <c r="D333" i="4"/>
  <c r="D324" i="4"/>
  <c r="D358" i="4"/>
  <c r="C296" i="4"/>
  <c r="J289" i="4"/>
  <c r="D87" i="4"/>
  <c r="D171" i="4"/>
  <c r="E267" i="4"/>
  <c r="E169" i="4"/>
  <c r="C283" i="4"/>
  <c r="D97" i="4"/>
  <c r="J344" i="4"/>
  <c r="I16" i="4"/>
  <c r="K123" i="13"/>
  <c r="I362" i="4"/>
  <c r="E390" i="4"/>
  <c r="D159" i="4"/>
  <c r="J106" i="4"/>
  <c r="E184" i="4"/>
  <c r="K146" i="13"/>
  <c r="J252" i="4"/>
  <c r="D130" i="4"/>
  <c r="I262" i="4"/>
  <c r="E234" i="4"/>
  <c r="D225" i="4"/>
  <c r="J269" i="4"/>
  <c r="C168" i="4"/>
  <c r="I110" i="4"/>
  <c r="I341" i="4"/>
  <c r="J226" i="4"/>
  <c r="C25" i="4"/>
  <c r="D297" i="4"/>
  <c r="C313" i="4"/>
  <c r="D329" i="4"/>
  <c r="J98" i="4"/>
  <c r="C370" i="4"/>
  <c r="J231" i="4"/>
  <c r="K80" i="13"/>
  <c r="C27" i="4"/>
  <c r="E354" i="4"/>
  <c r="C137" i="4"/>
  <c r="I237" i="4"/>
  <c r="D348" i="4"/>
  <c r="D138" i="4"/>
  <c r="C165" i="4"/>
  <c r="E300" i="4"/>
  <c r="D264" i="4"/>
  <c r="E352" i="4"/>
  <c r="J83" i="4"/>
  <c r="K191" i="13"/>
  <c r="I75" i="4"/>
  <c r="I254" i="4"/>
  <c r="I282" i="4"/>
  <c r="D389" i="4"/>
  <c r="D73" i="4"/>
  <c r="I253" i="4"/>
  <c r="K110" i="13"/>
  <c r="D150" i="4"/>
  <c r="C258" i="4"/>
  <c r="J160" i="4"/>
  <c r="I105" i="4"/>
  <c r="K6" i="11"/>
  <c r="J388" i="4"/>
  <c r="E348" i="4"/>
  <c r="C85" i="4"/>
  <c r="J111" i="4"/>
  <c r="C353" i="4"/>
  <c r="I243" i="4"/>
  <c r="C233" i="4"/>
  <c r="C181" i="4"/>
  <c r="J261" i="4"/>
  <c r="I99" i="4"/>
  <c r="E340" i="4"/>
  <c r="K60" i="13"/>
  <c r="D290" i="4"/>
  <c r="C271" i="4"/>
  <c r="C336" i="4"/>
  <c r="C382" i="4"/>
  <c r="E380" i="4"/>
  <c r="I166" i="4"/>
  <c r="C216" i="4"/>
  <c r="E118" i="4"/>
  <c r="C260" i="4"/>
  <c r="J247" i="4"/>
  <c r="I299" i="4"/>
  <c r="I296" i="4"/>
  <c r="E133" i="4"/>
  <c r="E138" i="4"/>
  <c r="J171" i="4"/>
  <c r="C267" i="4"/>
  <c r="D169" i="4"/>
  <c r="I163" i="4"/>
  <c r="D93" i="4"/>
  <c r="C383" i="4"/>
  <c r="D165" i="4"/>
  <c r="C24" i="4"/>
  <c r="J264" i="4"/>
  <c r="C20" i="4"/>
  <c r="D355" i="4"/>
  <c r="C23" i="4"/>
  <c r="C116" i="4"/>
  <c r="K198" i="13"/>
  <c r="D213" i="4"/>
  <c r="K15" i="11"/>
  <c r="E163" i="4"/>
  <c r="C251" i="4"/>
  <c r="J22" i="4"/>
  <c r="K127" i="13"/>
  <c r="I131" i="4"/>
  <c r="J211" i="4"/>
  <c r="I273" i="4"/>
  <c r="J112" i="4"/>
  <c r="D254" i="4"/>
  <c r="E172" i="4"/>
  <c r="C389" i="4"/>
  <c r="J73" i="4"/>
  <c r="E253" i="4"/>
  <c r="D343" i="4"/>
  <c r="K220" i="13"/>
  <c r="J386" i="4"/>
  <c r="C388" i="4"/>
  <c r="K273" i="13"/>
  <c r="K51" i="13"/>
  <c r="D233" i="4"/>
  <c r="D349" i="4"/>
  <c r="K14" i="13"/>
  <c r="E99" i="4"/>
  <c r="J340" i="4"/>
  <c r="C113" i="4"/>
  <c r="J290" i="4"/>
  <c r="D271" i="4"/>
  <c r="E336" i="4"/>
  <c r="E139" i="4"/>
  <c r="E247" i="4"/>
  <c r="I295" i="4"/>
  <c r="J277" i="4"/>
  <c r="I69" i="4"/>
  <c r="C225" i="4"/>
  <c r="D278" i="4"/>
  <c r="E377" i="4"/>
  <c r="E68" i="4"/>
  <c r="C254" i="4"/>
  <c r="J172" i="4"/>
  <c r="E389" i="4"/>
  <c r="I73" i="4"/>
  <c r="D253" i="4"/>
  <c r="C343" i="4"/>
  <c r="K73" i="13"/>
  <c r="K222" i="13"/>
  <c r="D386" i="4"/>
  <c r="E84" i="4"/>
  <c r="D15" i="4"/>
  <c r="D369" i="4"/>
  <c r="I373" i="4"/>
  <c r="E322" i="4"/>
  <c r="C14" i="4"/>
  <c r="K266" i="13"/>
  <c r="D173" i="4"/>
  <c r="I157" i="4"/>
  <c r="E195" i="4"/>
  <c r="C133" i="4"/>
  <c r="K21" i="11"/>
  <c r="C242" i="4"/>
  <c r="K26" i="11"/>
  <c r="D21" i="4"/>
  <c r="E125" i="4"/>
  <c r="C104" i="4"/>
  <c r="J338" i="4"/>
  <c r="C268" i="4"/>
  <c r="E70" i="4"/>
  <c r="E310" i="4"/>
  <c r="J301" i="4"/>
  <c r="I313" i="4"/>
  <c r="D161" i="4"/>
  <c r="I124" i="4"/>
  <c r="C284" i="4"/>
  <c r="C266" i="4"/>
  <c r="H19" i="9"/>
  <c r="D339" i="4"/>
  <c r="J91" i="4"/>
  <c r="D232" i="4"/>
  <c r="I13" i="4"/>
  <c r="I234" i="4"/>
  <c r="D167" i="4"/>
  <c r="J278" i="4"/>
  <c r="D265" i="4"/>
  <c r="J199" i="4"/>
  <c r="K141" i="13"/>
  <c r="J310" i="4"/>
  <c r="D301" i="4"/>
  <c r="E313" i="4"/>
  <c r="E161" i="4"/>
  <c r="E124" i="4"/>
  <c r="J11" i="7"/>
  <c r="E349" i="4"/>
  <c r="E382" i="4"/>
  <c r="E194" i="4"/>
  <c r="K47" i="13"/>
  <c r="C200" i="4"/>
  <c r="I211" i="4"/>
  <c r="C92" i="4"/>
  <c r="I337" i="4"/>
  <c r="C288" i="4"/>
  <c r="J198" i="4"/>
  <c r="C29" i="4"/>
  <c r="K187" i="13"/>
  <c r="I274" i="4"/>
  <c r="I281" i="4"/>
  <c r="I379" i="4"/>
  <c r="D131" i="4"/>
  <c r="J377" i="4"/>
  <c r="C112" i="4"/>
  <c r="K128" i="13"/>
  <c r="C198" i="4"/>
  <c r="J19" i="4"/>
  <c r="J334" i="4"/>
  <c r="C299" i="4"/>
  <c r="I228" i="4"/>
  <c r="J335" i="4"/>
  <c r="E83" i="4"/>
  <c r="E149" i="4"/>
  <c r="E240" i="4"/>
  <c r="C237" i="4"/>
  <c r="I329" i="4"/>
  <c r="D98" i="4"/>
  <c r="D340" i="4"/>
  <c r="J286" i="4"/>
  <c r="E153" i="4"/>
  <c r="E345" i="4"/>
  <c r="C143" i="4"/>
  <c r="C68" i="4"/>
  <c r="E127" i="4"/>
  <c r="I240" i="4"/>
  <c r="J215" i="4"/>
  <c r="J90" i="4"/>
  <c r="I98" i="4"/>
  <c r="C178" i="4"/>
  <c r="D364" i="4"/>
  <c r="I93" i="4"/>
  <c r="D316" i="4"/>
  <c r="I22" i="4"/>
  <c r="C354" i="4"/>
  <c r="J116" i="4"/>
  <c r="C94" i="4"/>
  <c r="E122" i="4"/>
  <c r="D156" i="4"/>
  <c r="E346" i="4"/>
  <c r="K5" i="11"/>
  <c r="J141" i="4"/>
  <c r="I175" i="4"/>
  <c r="I183" i="4"/>
  <c r="C122" i="4"/>
  <c r="J156" i="4"/>
  <c r="E221" i="4"/>
  <c r="J72" i="4"/>
  <c r="D300" i="4"/>
  <c r="D371" i="4"/>
  <c r="D273" i="4"/>
  <c r="K11" i="11"/>
  <c r="J363" i="4"/>
  <c r="J209" i="4"/>
  <c r="J332" i="4"/>
  <c r="E165" i="4"/>
  <c r="C132" i="4"/>
  <c r="D19" i="4"/>
  <c r="J219" i="4"/>
  <c r="I288" i="4"/>
  <c r="J71" i="4"/>
  <c r="D77" i="4"/>
  <c r="C139" i="4"/>
  <c r="J224" i="4"/>
  <c r="C162" i="4"/>
  <c r="C352" i="4"/>
  <c r="J187" i="4"/>
  <c r="I219" i="4"/>
  <c r="C140" i="4"/>
  <c r="K37" i="11"/>
  <c r="I206" i="4"/>
  <c r="D163" i="4"/>
  <c r="K76" i="13"/>
  <c r="C244" i="4"/>
  <c r="K16" i="11"/>
  <c r="D140" i="4"/>
  <c r="K28" i="11"/>
  <c r="C118" i="4"/>
  <c r="J347" i="4"/>
  <c r="C359" i="4"/>
  <c r="C272" i="4"/>
  <c r="E75" i="4"/>
  <c r="D183" i="4"/>
  <c r="E314" i="4"/>
  <c r="D305" i="4"/>
  <c r="E290" i="4"/>
  <c r="I217" i="4"/>
  <c r="C123" i="4"/>
  <c r="D190" i="4"/>
  <c r="I79" i="4"/>
  <c r="C355" i="4"/>
  <c r="J24" i="4"/>
  <c r="C144" i="4"/>
  <c r="D94" i="4"/>
  <c r="I305" i="4"/>
  <c r="I314" i="4"/>
  <c r="I12" i="9"/>
  <c r="L7" i="11"/>
  <c r="I17" i="9"/>
  <c r="L21" i="11"/>
  <c r="Z20" i="12"/>
  <c r="L34" i="11"/>
  <c r="L26" i="11"/>
  <c r="L39" i="11"/>
  <c r="I19" i="9"/>
  <c r="L16" i="11"/>
  <c r="K11" i="7"/>
  <c r="L31" i="11"/>
  <c r="L35" i="11"/>
  <c r="K9" i="7"/>
  <c r="I8" i="9"/>
  <c r="L11" i="11"/>
  <c r="I3" i="9"/>
  <c r="K2" i="7"/>
  <c r="K8" i="7"/>
  <c r="I7" i="9"/>
  <c r="L22" i="11"/>
  <c r="Y21" i="12"/>
  <c r="L20" i="11"/>
  <c r="K7" i="7"/>
  <c r="I20" i="9"/>
  <c r="L41" i="11"/>
  <c r="I14" i="9"/>
  <c r="L37" i="11"/>
  <c r="L14" i="11"/>
  <c r="L6" i="11"/>
  <c r="L25" i="11"/>
  <c r="I15" i="9"/>
  <c r="I9" i="9"/>
  <c r="L5" i="11"/>
  <c r="K6" i="7"/>
  <c r="L19" i="11"/>
  <c r="I13" i="9"/>
  <c r="I18" i="9"/>
  <c r="L9" i="11"/>
  <c r="L36" i="11"/>
  <c r="B1" i="6"/>
  <c r="I10" i="9"/>
  <c r="K5" i="7"/>
  <c r="K12" i="7"/>
  <c r="L30" i="11"/>
  <c r="L33" i="11"/>
  <c r="I5" i="9"/>
  <c r="K4" i="7"/>
  <c r="I4" i="9"/>
  <c r="L2" i="11"/>
  <c r="L23" i="11"/>
  <c r="I6" i="9"/>
  <c r="L32" i="11"/>
  <c r="L12" i="11"/>
  <c r="I11" i="9"/>
  <c r="I2" i="9"/>
  <c r="K3" i="7"/>
  <c r="L27" i="11"/>
  <c r="I16" i="9"/>
  <c r="K10" i="7"/>
  <c r="D21" i="6"/>
  <c r="L18" i="11"/>
  <c r="L24" i="11"/>
  <c r="L8" i="11"/>
  <c r="L38" i="11"/>
  <c r="L17" i="11"/>
  <c r="L29" i="11"/>
  <c r="L15" i="11"/>
  <c r="L10" i="11"/>
  <c r="L13" i="11"/>
  <c r="L28" i="11"/>
  <c r="L40" i="11"/>
  <c r="B53" i="4" l="1"/>
  <c r="B41" i="4"/>
  <c r="B62" i="4"/>
  <c r="B36" i="4"/>
  <c r="B30" i="4"/>
  <c r="B10" i="4"/>
  <c r="B28" i="4"/>
  <c r="B51" i="4"/>
  <c r="B46" i="4"/>
  <c r="B40" i="4"/>
  <c r="B31" i="4"/>
  <c r="B58" i="4"/>
  <c r="B3" i="4"/>
  <c r="B33" i="4"/>
  <c r="B44" i="4"/>
  <c r="B5" i="4"/>
  <c r="B61" i="4"/>
  <c r="B43" i="4"/>
  <c r="B57" i="4"/>
  <c r="B37" i="4"/>
  <c r="B42" i="4"/>
  <c r="B54" i="4"/>
  <c r="B34" i="4"/>
  <c r="B52" i="4"/>
  <c r="B4" i="4"/>
  <c r="B47" i="4"/>
  <c r="B48" i="4"/>
  <c r="B7" i="4"/>
  <c r="B64" i="4"/>
  <c r="B6" i="4"/>
  <c r="B55" i="4"/>
  <c r="B11" i="4"/>
  <c r="B63" i="4"/>
  <c r="B59" i="4"/>
  <c r="B56" i="4"/>
  <c r="B2" i="4"/>
  <c r="B38" i="4"/>
  <c r="B65" i="4"/>
  <c r="B60" i="4"/>
  <c r="B8" i="4"/>
  <c r="B66" i="4"/>
  <c r="B49" i="4"/>
  <c r="B39" i="4"/>
  <c r="B50" i="4"/>
  <c r="E12" i="12"/>
  <c r="E16" i="12"/>
  <c r="E5" i="12"/>
  <c r="E9" i="12"/>
  <c r="E3" i="12"/>
  <c r="E13" i="12"/>
  <c r="E6" i="12"/>
  <c r="E10" i="12"/>
  <c r="E14" i="12"/>
  <c r="E11" i="12"/>
  <c r="E7" i="12"/>
  <c r="E15" i="12"/>
  <c r="E4" i="12"/>
  <c r="E8" i="12"/>
  <c r="B35" i="4"/>
  <c r="B9" i="4"/>
  <c r="B45" i="4"/>
  <c r="C15" i="12"/>
  <c r="D9" i="6"/>
  <c r="D16" i="6"/>
  <c r="D20" i="6"/>
  <c r="E20" i="6"/>
  <c r="E21" i="6"/>
  <c r="C53" i="4"/>
  <c r="D53" i="4"/>
  <c r="I53" i="4"/>
  <c r="J53" i="4"/>
  <c r="E53" i="4"/>
  <c r="C46" i="4"/>
  <c r="I46" i="4"/>
  <c r="J46" i="4"/>
  <c r="D46" i="4"/>
  <c r="E46" i="4"/>
  <c r="C61" i="4"/>
  <c r="D61" i="4"/>
  <c r="E61" i="4"/>
  <c r="I61" i="4"/>
  <c r="J61" i="4"/>
  <c r="J52" i="4"/>
  <c r="D52" i="4"/>
  <c r="C52" i="4"/>
  <c r="I52" i="4"/>
  <c r="E52" i="4"/>
  <c r="C11" i="4"/>
  <c r="J11" i="4"/>
  <c r="I11" i="4"/>
  <c r="D11" i="4"/>
  <c r="D8" i="4"/>
  <c r="C8" i="4"/>
  <c r="I8" i="4"/>
  <c r="J8" i="4"/>
  <c r="I4" i="4"/>
  <c r="C4" i="4"/>
  <c r="J4" i="4"/>
  <c r="D4" i="4"/>
  <c r="E39" i="4"/>
  <c r="J39" i="4"/>
  <c r="D39" i="4"/>
  <c r="I39" i="4"/>
  <c r="C39" i="4"/>
  <c r="J41" i="4"/>
  <c r="I41" i="4"/>
  <c r="E41" i="4"/>
  <c r="D41" i="4"/>
  <c r="C41" i="4"/>
  <c r="J40" i="4"/>
  <c r="E40" i="4"/>
  <c r="C40" i="4"/>
  <c r="I40" i="4"/>
  <c r="D40" i="4"/>
  <c r="M78" i="12" a="1"/>
  <c r="E63" i="4"/>
  <c r="J63" i="4"/>
  <c r="I63" i="4"/>
  <c r="C63" i="4"/>
  <c r="D63" i="4"/>
  <c r="D66" i="4"/>
  <c r="C66" i="4"/>
  <c r="E66" i="4"/>
  <c r="I66" i="4"/>
  <c r="J66" i="4"/>
  <c r="E56" i="4"/>
  <c r="C56" i="4"/>
  <c r="I56" i="4"/>
  <c r="D56" i="4"/>
  <c r="J56" i="4"/>
  <c r="J62" i="4"/>
  <c r="C62" i="4"/>
  <c r="D62" i="4"/>
  <c r="E62" i="4"/>
  <c r="I62" i="4"/>
  <c r="C31" i="4"/>
  <c r="D31" i="4"/>
  <c r="J31" i="4"/>
  <c r="I31" i="4"/>
  <c r="E31" i="4"/>
  <c r="C43" i="4"/>
  <c r="J43" i="4"/>
  <c r="E43" i="4"/>
  <c r="D43" i="4"/>
  <c r="I43" i="4"/>
  <c r="D47" i="4"/>
  <c r="I47" i="4"/>
  <c r="J47" i="4"/>
  <c r="C47" i="4"/>
  <c r="E47" i="4"/>
  <c r="C59" i="4"/>
  <c r="E59" i="4"/>
  <c r="J59" i="4"/>
  <c r="I59" i="4"/>
  <c r="D59" i="4"/>
  <c r="I49" i="4"/>
  <c r="D49" i="4"/>
  <c r="E49" i="4"/>
  <c r="J49" i="4"/>
  <c r="C49" i="4"/>
  <c r="Y22" i="12"/>
  <c r="E36" i="4"/>
  <c r="J36" i="4"/>
  <c r="I36" i="4"/>
  <c r="D36" i="4"/>
  <c r="C36" i="4"/>
  <c r="I58" i="4"/>
  <c r="D58" i="4"/>
  <c r="E58" i="4"/>
  <c r="C58" i="4"/>
  <c r="J58" i="4"/>
  <c r="D57" i="4"/>
  <c r="I57" i="4"/>
  <c r="C57" i="4"/>
  <c r="E57" i="4"/>
  <c r="J57" i="4"/>
  <c r="E48" i="4"/>
  <c r="J48" i="4"/>
  <c r="I48" i="4"/>
  <c r="D48" i="4"/>
  <c r="C48" i="4"/>
  <c r="C35" i="4"/>
  <c r="I35" i="4"/>
  <c r="J35" i="4"/>
  <c r="E35" i="4"/>
  <c r="D35" i="4"/>
  <c r="D30" i="4"/>
  <c r="I30" i="4"/>
  <c r="J30" i="4"/>
  <c r="C30" i="4"/>
  <c r="E30" i="4"/>
  <c r="J3" i="4"/>
  <c r="C3" i="4"/>
  <c r="D3" i="4"/>
  <c r="I3" i="4"/>
  <c r="J37" i="4"/>
  <c r="D37" i="4"/>
  <c r="C37" i="4"/>
  <c r="E37" i="4"/>
  <c r="I37" i="4"/>
  <c r="D7" i="4"/>
  <c r="C7" i="4"/>
  <c r="I7" i="4"/>
  <c r="J7" i="4"/>
  <c r="J2" i="4"/>
  <c r="C2" i="4"/>
  <c r="I2" i="4"/>
  <c r="D2" i="4"/>
  <c r="J50" i="4"/>
  <c r="I50" i="4"/>
  <c r="E50" i="4"/>
  <c r="D50" i="4"/>
  <c r="C50" i="4"/>
  <c r="D9" i="4"/>
  <c r="C9" i="4"/>
  <c r="J9" i="4"/>
  <c r="I9" i="4"/>
  <c r="J10" i="4"/>
  <c r="I10" i="4"/>
  <c r="C10" i="4"/>
  <c r="D10" i="4"/>
  <c r="E42" i="4"/>
  <c r="J42" i="4"/>
  <c r="D42" i="4"/>
  <c r="C42" i="4"/>
  <c r="I42" i="4"/>
  <c r="I64" i="4"/>
  <c r="E64" i="4"/>
  <c r="J64" i="4"/>
  <c r="D64" i="4"/>
  <c r="C64" i="4"/>
  <c r="J33" i="4"/>
  <c r="C33" i="4"/>
  <c r="I33" i="4"/>
  <c r="E33" i="4"/>
  <c r="D33" i="4"/>
  <c r="J28" i="4"/>
  <c r="C28" i="4"/>
  <c r="D28" i="4"/>
  <c r="M19" i="12" s="1" a="1"/>
  <c r="I28" i="4"/>
  <c r="E44" i="4"/>
  <c r="J44" i="4"/>
  <c r="I44" i="4"/>
  <c r="D44" i="4"/>
  <c r="C44" i="4"/>
  <c r="C54" i="4"/>
  <c r="E54" i="4"/>
  <c r="J54" i="4"/>
  <c r="D54" i="4"/>
  <c r="I54" i="4"/>
  <c r="J6" i="4"/>
  <c r="C6" i="4"/>
  <c r="I6" i="4"/>
  <c r="D6" i="4"/>
  <c r="C65" i="4"/>
  <c r="J65" i="4"/>
  <c r="D65" i="4"/>
  <c r="I65" i="4"/>
  <c r="E65" i="4"/>
  <c r="C14" i="15"/>
  <c r="E51" i="4"/>
  <c r="C51" i="4"/>
  <c r="D51" i="4"/>
  <c r="I51" i="4"/>
  <c r="J51" i="4"/>
  <c r="D5" i="4"/>
  <c r="J5" i="4"/>
  <c r="I5" i="4"/>
  <c r="C5" i="4"/>
  <c r="D34" i="4"/>
  <c r="J34" i="4"/>
  <c r="I34" i="4"/>
  <c r="E34" i="4"/>
  <c r="C34" i="4"/>
  <c r="C55" i="4"/>
  <c r="J55" i="4"/>
  <c r="D55" i="4"/>
  <c r="E55" i="4"/>
  <c r="I55" i="4"/>
  <c r="C60" i="4"/>
  <c r="I60" i="4"/>
  <c r="E60" i="4"/>
  <c r="J60" i="4"/>
  <c r="D60" i="4"/>
  <c r="Z21" i="12"/>
  <c r="C38" i="4"/>
  <c r="I38" i="4"/>
  <c r="J38" i="4"/>
  <c r="D38" i="4"/>
  <c r="E38" i="4"/>
  <c r="D2" i="5" a="1"/>
  <c r="J45" i="4"/>
  <c r="E45" i="4"/>
  <c r="C45" i="4"/>
  <c r="D45" i="4"/>
  <c r="M39" i="12" s="1" a="1"/>
  <c r="I45" i="4"/>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M387" i="12"/>
  <c r="M378" i="12"/>
  <c r="M340" i="12"/>
  <c r="M290" i="12"/>
  <c r="M109" i="12"/>
  <c r="M162" i="12"/>
  <c r="M298" i="12"/>
  <c r="M85" i="12"/>
  <c r="M147" i="12"/>
  <c r="M167" i="12"/>
  <c r="M208" i="12"/>
  <c r="M189" i="12"/>
  <c r="M92" i="12"/>
  <c r="M115" i="12"/>
  <c r="M366" i="12"/>
  <c r="M84" i="12"/>
  <c r="M368" i="12"/>
  <c r="M231" i="12"/>
  <c r="M238" i="12"/>
  <c r="M285" i="12"/>
  <c r="M375" i="12"/>
  <c r="M369" i="12"/>
  <c r="M136" i="12"/>
  <c r="M104" i="12"/>
  <c r="M293" i="12"/>
  <c r="M359" i="12"/>
  <c r="M192" i="12"/>
  <c r="M243" i="12"/>
  <c r="M333" i="12"/>
  <c r="M371" i="12"/>
  <c r="M165" i="12"/>
  <c r="M309" i="12"/>
  <c r="M329" i="12"/>
  <c r="M209" i="12"/>
  <c r="M108" i="12"/>
  <c r="M95" i="12"/>
  <c r="M388" i="12"/>
  <c r="M112" i="12"/>
  <c r="M389" i="12"/>
  <c r="M263" i="12"/>
  <c r="M255" i="12"/>
  <c r="M29" i="12"/>
  <c r="M35" i="12"/>
  <c r="M51" i="12"/>
  <c r="M75" i="12"/>
  <c r="M30" i="12"/>
  <c r="M23" i="12"/>
  <c r="M334" i="12"/>
  <c r="M257" i="12"/>
  <c r="M357" i="12"/>
  <c r="M33" i="12"/>
  <c r="M227" i="12"/>
  <c r="M226" i="12"/>
  <c r="M307" i="12"/>
  <c r="M57" i="12"/>
  <c r="M385" i="12"/>
  <c r="M22" i="12"/>
  <c r="M358" i="12"/>
  <c r="M146" i="12"/>
  <c r="M252" i="12"/>
  <c r="M228" i="12"/>
  <c r="M362" i="12"/>
  <c r="M253" i="12"/>
  <c r="M355" i="12"/>
  <c r="M225" i="12"/>
  <c r="M318" i="12"/>
  <c r="M301" i="12"/>
  <c r="M139" i="12"/>
  <c r="M348" i="12"/>
  <c r="M233" i="12"/>
  <c r="M196" i="12"/>
  <c r="M101" i="12"/>
  <c r="M381" i="12"/>
  <c r="M102" i="12"/>
  <c r="M295" i="12"/>
  <c r="M249" i="12"/>
  <c r="M398" i="12"/>
  <c r="M201" i="12"/>
  <c r="M132" i="12"/>
  <c r="M304" i="12"/>
  <c r="M170" i="12"/>
  <c r="M325" i="12"/>
  <c r="M122" i="12"/>
  <c r="M239" i="12"/>
  <c r="M190" i="12"/>
  <c r="M175" i="12"/>
  <c r="M93" i="12"/>
  <c r="M275" i="12"/>
  <c r="M370" i="12"/>
  <c r="M384" i="12"/>
  <c r="M193" i="12"/>
  <c r="M341" i="12"/>
  <c r="M180" i="12"/>
  <c r="M94" i="12"/>
  <c r="M346" i="12"/>
  <c r="M105" i="12"/>
  <c r="M282" i="12"/>
  <c r="M323" i="12"/>
  <c r="M32" i="12"/>
  <c r="M25" i="12"/>
  <c r="M31" i="12"/>
  <c r="M43" i="12"/>
  <c r="M56" i="12"/>
  <c r="M60" i="12"/>
  <c r="M58" i="12"/>
  <c r="M26" i="12"/>
  <c r="M34" i="12"/>
  <c r="M44" i="12"/>
  <c r="M68" i="12"/>
  <c r="M347" i="12"/>
  <c r="M96" i="12"/>
  <c r="M335" i="12"/>
  <c r="M284" i="12"/>
  <c r="M97" i="12"/>
  <c r="M143" i="12"/>
  <c r="M55" i="12"/>
  <c r="M42" i="12"/>
  <c r="M160" i="12"/>
  <c r="M52" i="12"/>
  <c r="M343" i="12"/>
  <c r="M277" i="12"/>
  <c r="M235" i="12"/>
  <c r="M240" i="12"/>
  <c r="M137" i="12"/>
  <c r="M218" i="12"/>
  <c r="M158" i="12"/>
  <c r="M159" i="12"/>
  <c r="M200" i="12"/>
  <c r="M383" i="12"/>
  <c r="M286" i="12"/>
  <c r="M314" i="12"/>
  <c r="M230" i="12"/>
  <c r="M154" i="12"/>
  <c r="M373" i="12"/>
  <c r="M184" i="12"/>
  <c r="M272" i="12"/>
  <c r="M287" i="12"/>
  <c r="M120" i="12"/>
  <c r="M211" i="12"/>
  <c r="M262" i="12"/>
  <c r="M392" i="12"/>
  <c r="M119" i="12"/>
  <c r="M326" i="12"/>
  <c r="M278" i="12"/>
  <c r="M134" i="12"/>
  <c r="M107" i="12"/>
  <c r="M199" i="12"/>
  <c r="M144" i="12"/>
  <c r="M246" i="12"/>
  <c r="M374" i="12"/>
  <c r="M342" i="12"/>
  <c r="M185" i="12"/>
  <c r="M79" i="12"/>
  <c r="M242" i="12"/>
  <c r="M291" i="12"/>
  <c r="M197" i="12"/>
  <c r="M91" i="12"/>
  <c r="M261" i="12"/>
  <c r="M140" i="12"/>
  <c r="M129" i="12"/>
  <c r="M28" i="12"/>
  <c r="M47" i="12"/>
  <c r="M46" i="12"/>
  <c r="M386" i="12"/>
  <c r="M178" i="12"/>
  <c r="M311" i="12"/>
  <c r="M19" i="12"/>
  <c r="M399" i="12"/>
  <c r="M283" i="12"/>
  <c r="M113" i="12"/>
  <c r="M53" i="12"/>
  <c r="M210" i="12"/>
  <c r="M49" i="12"/>
  <c r="M110" i="12"/>
  <c r="M331" i="12"/>
  <c r="M267" i="12"/>
  <c r="M258" i="12"/>
  <c r="M237" i="12"/>
  <c r="M236" i="12"/>
  <c r="M205" i="12"/>
  <c r="M155" i="12"/>
  <c r="M256" i="12"/>
  <c r="M106" i="12"/>
  <c r="M86" i="12"/>
  <c r="M232" i="12"/>
  <c r="M244" i="12"/>
  <c r="M234" i="12"/>
  <c r="M396" i="12"/>
  <c r="M322" i="12"/>
  <c r="M313" i="12"/>
  <c r="M260" i="12"/>
  <c r="M149" i="12"/>
  <c r="M187" i="12"/>
  <c r="M316" i="12"/>
  <c r="M127" i="12"/>
  <c r="M365" i="12"/>
  <c r="M217" i="12"/>
  <c r="M274" i="12"/>
  <c r="M376" i="12"/>
  <c r="M401" i="12"/>
  <c r="M328" i="12"/>
  <c r="M296" i="12"/>
  <c r="M166" i="12"/>
  <c r="M269" i="12"/>
  <c r="M305" i="12"/>
  <c r="M395" i="12"/>
  <c r="M67" i="12"/>
  <c r="M179" i="12"/>
  <c r="M224" i="12"/>
  <c r="M336" i="12"/>
  <c r="M264" i="12"/>
  <c r="M198" i="12"/>
  <c r="M195" i="12"/>
  <c r="M212" i="12"/>
  <c r="M266" i="12"/>
  <c r="M206" i="12"/>
  <c r="M213" i="12"/>
  <c r="M131" i="12"/>
  <c r="M89" i="12"/>
  <c r="M203" i="12"/>
  <c r="M99" i="12"/>
  <c r="M377" i="12"/>
  <c r="M337" i="12"/>
  <c r="M163" i="12"/>
  <c r="M116" i="12"/>
  <c r="M215" i="12"/>
  <c r="M220" i="12"/>
  <c r="M87" i="12"/>
  <c r="M391" i="12"/>
  <c r="M182" i="12"/>
  <c r="M135" i="12"/>
  <c r="M279" i="12"/>
  <c r="M310" i="12"/>
  <c r="M118" i="12"/>
  <c r="M125" i="12"/>
  <c r="M177" i="12"/>
  <c r="M151" i="12"/>
  <c r="M320" i="12"/>
  <c r="M251" i="12"/>
  <c r="M254" i="12"/>
  <c r="M308" i="12"/>
  <c r="M41" i="12"/>
  <c r="M24" i="12"/>
  <c r="M124" i="12"/>
  <c r="M69" i="12"/>
  <c r="M142" i="12"/>
  <c r="M204" i="12"/>
  <c r="M164" i="12"/>
  <c r="M400" i="12"/>
  <c r="M339" i="12"/>
  <c r="M80" i="12"/>
  <c r="M317" i="12"/>
  <c r="M324" i="12"/>
  <c r="M288" i="12"/>
  <c r="M281" i="12"/>
  <c r="M245" i="12"/>
  <c r="M360" i="12"/>
  <c r="M186" i="12"/>
  <c r="M344" i="12"/>
  <c r="M219" i="12"/>
  <c r="M214" i="12"/>
  <c r="M367" i="12"/>
  <c r="M372" i="12"/>
  <c r="M173" i="12"/>
  <c r="M338" i="12"/>
  <c r="M229" i="12"/>
  <c r="M207" i="12"/>
  <c r="M82" i="12"/>
  <c r="M223" i="12"/>
  <c r="M276" i="12"/>
  <c r="M216" i="12"/>
  <c r="M259" i="12"/>
  <c r="M361" i="12"/>
  <c r="M352" i="12"/>
  <c r="M157" i="12"/>
  <c r="M183" i="12"/>
  <c r="M241" i="12"/>
  <c r="M161" i="12"/>
  <c r="M351" i="12"/>
  <c r="M171" i="12"/>
  <c r="M73" i="12"/>
  <c r="M21" i="12"/>
  <c r="M48" i="12"/>
  <c r="M394" i="12"/>
  <c r="M315" i="12"/>
  <c r="M188" i="12"/>
  <c r="M363" i="12"/>
  <c r="M83" i="12"/>
  <c r="M319" i="12"/>
  <c r="M168" i="12"/>
  <c r="M280" i="12"/>
  <c r="M121" i="12"/>
  <c r="M176" i="12"/>
  <c r="M321" i="12"/>
  <c r="M81" i="12"/>
  <c r="M138" i="12"/>
  <c r="M114" i="12"/>
  <c r="M153" i="12"/>
  <c r="M88" i="12"/>
  <c r="M247" i="12"/>
  <c r="M382" i="12"/>
  <c r="M354" i="12"/>
  <c r="M292" i="12"/>
  <c r="M332" i="12"/>
  <c r="M356" i="12"/>
  <c r="M194" i="12"/>
  <c r="M181" i="12"/>
  <c r="M289" i="12"/>
  <c r="M380" i="12"/>
  <c r="M103" i="12"/>
  <c r="M294" i="12"/>
  <c r="M268" i="12"/>
  <c r="M123" i="12"/>
  <c r="M172" i="12"/>
  <c r="M303" i="12"/>
  <c r="M312" i="12"/>
  <c r="M390" i="12"/>
  <c r="M174" i="12"/>
  <c r="M393" i="12"/>
  <c r="M297" i="12"/>
  <c r="M90" i="12"/>
  <c r="M345" i="12"/>
  <c r="M250" i="12"/>
  <c r="M302" i="12"/>
  <c r="M271" i="12"/>
  <c r="M306" i="12"/>
  <c r="M78" i="12"/>
  <c r="M327" i="12"/>
  <c r="M117" i="12"/>
  <c r="M273" i="12"/>
  <c r="M152" i="12"/>
  <c r="M265" i="12"/>
  <c r="M379" i="12"/>
  <c r="M100" i="12"/>
  <c r="M364" i="12"/>
  <c r="M133" i="12"/>
  <c r="M111" i="12"/>
  <c r="M128" i="12"/>
  <c r="M349" i="12"/>
  <c r="M98" i="12"/>
  <c r="M300" i="12"/>
  <c r="M145" i="12"/>
  <c r="M270" i="12"/>
  <c r="M156" i="12"/>
  <c r="M221" i="12"/>
  <c r="M202" i="12"/>
  <c r="M130" i="12"/>
  <c r="M150" i="12"/>
  <c r="M397" i="12"/>
  <c r="M126" i="12"/>
  <c r="M141" i="12"/>
  <c r="M222" i="12"/>
  <c r="M330" i="12"/>
  <c r="M350" i="12"/>
  <c r="M248" i="12"/>
  <c r="M191" i="12"/>
  <c r="M148" i="12"/>
  <c r="M54" i="12"/>
  <c r="M20" i="12"/>
  <c r="M63" i="12"/>
  <c r="M45" i="12"/>
  <c r="M71" i="12"/>
  <c r="M39" i="12"/>
  <c r="M27" i="12"/>
  <c r="M50" i="12"/>
  <c r="M62" i="12"/>
  <c r="M70" i="12"/>
  <c r="M61" i="12"/>
  <c r="M65" i="12"/>
  <c r="M353" i="12"/>
  <c r="M59" i="12"/>
  <c r="M40" i="12"/>
  <c r="M36" i="12"/>
  <c r="M72" i="12"/>
  <c r="M299" i="12"/>
  <c r="M64" i="12"/>
  <c r="M66" i="12"/>
  <c r="M169" i="12"/>
  <c r="M74" i="12"/>
  <c r="C15" i="15"/>
  <c r="C16" i="15" s="1"/>
  <c r="C17" i="15" s="1"/>
  <c r="N174" i="12"/>
  <c r="N393" i="12"/>
  <c r="N297" i="12"/>
  <c r="N90" i="12"/>
  <c r="N345" i="12"/>
  <c r="N250" i="12"/>
  <c r="N302" i="12"/>
  <c r="N271" i="12"/>
  <c r="N306" i="12"/>
  <c r="N78" i="12"/>
  <c r="N327" i="12"/>
  <c r="N117" i="12"/>
  <c r="N273" i="12"/>
  <c r="N152" i="12"/>
  <c r="N265" i="12"/>
  <c r="N379" i="12"/>
  <c r="N100" i="12"/>
  <c r="N364" i="12"/>
  <c r="N133" i="12"/>
  <c r="N111" i="12"/>
  <c r="N128" i="12"/>
  <c r="N349" i="12"/>
  <c r="N98" i="12"/>
  <c r="N300" i="12"/>
  <c r="N145" i="12"/>
  <c r="N270" i="12"/>
  <c r="N156" i="12"/>
  <c r="N221" i="12"/>
  <c r="N202" i="12"/>
  <c r="N130" i="12"/>
  <c r="N150" i="12"/>
  <c r="N397" i="12"/>
  <c r="N126" i="12"/>
  <c r="N141" i="12"/>
  <c r="N222" i="12"/>
  <c r="N330" i="12"/>
  <c r="N350" i="12"/>
  <c r="N248" i="12"/>
  <c r="N191" i="12"/>
  <c r="N148" i="12"/>
  <c r="P26" i="12"/>
  <c r="P25" i="12"/>
  <c r="N189" i="12"/>
  <c r="P20" i="12"/>
  <c r="N358" i="12"/>
  <c r="N146" i="12"/>
  <c r="N252" i="12"/>
  <c r="N228" i="12"/>
  <c r="N362" i="12"/>
  <c r="N253" i="12"/>
  <c r="N355" i="12"/>
  <c r="N225" i="12"/>
  <c r="N318" i="12"/>
  <c r="N301" i="12"/>
  <c r="N139" i="12"/>
  <c r="N348" i="12"/>
  <c r="N233" i="12"/>
  <c r="N196" i="12"/>
  <c r="N101" i="12"/>
  <c r="N381" i="12"/>
  <c r="N102" i="12"/>
  <c r="N295" i="12"/>
  <c r="N249" i="12"/>
  <c r="N398" i="12"/>
  <c r="N201" i="12"/>
  <c r="N132" i="12"/>
  <c r="N304" i="12"/>
  <c r="N170" i="12"/>
  <c r="N325" i="12"/>
  <c r="N122" i="12"/>
  <c r="N239" i="12"/>
  <c r="N190" i="12"/>
  <c r="N175" i="12"/>
  <c r="N93" i="12"/>
  <c r="N275" i="12"/>
  <c r="N370" i="12"/>
  <c r="N384" i="12"/>
  <c r="N193" i="12"/>
  <c r="N341" i="12"/>
  <c r="N180" i="12"/>
  <c r="N94" i="12"/>
  <c r="N346" i="12"/>
  <c r="N105" i="12"/>
  <c r="N282" i="12"/>
  <c r="N323" i="12"/>
  <c r="P36" i="12"/>
  <c r="N343" i="12"/>
  <c r="N235" i="12"/>
  <c r="N240" i="12"/>
  <c r="N137" i="12"/>
  <c r="N218" i="12"/>
  <c r="N158" i="12"/>
  <c r="N159" i="12"/>
  <c r="N200" i="12"/>
  <c r="N383" i="12"/>
  <c r="N286" i="12"/>
  <c r="N314" i="12"/>
  <c r="N230" i="12"/>
  <c r="N154" i="12"/>
  <c r="N373" i="12"/>
  <c r="N184" i="12"/>
  <c r="N272" i="12"/>
  <c r="N287" i="12"/>
  <c r="N120" i="12"/>
  <c r="N211" i="12"/>
  <c r="N262" i="12"/>
  <c r="N392" i="12"/>
  <c r="N119" i="12"/>
  <c r="N326" i="12"/>
  <c r="N278" i="12"/>
  <c r="N134" i="12"/>
  <c r="N107" i="12"/>
  <c r="N199" i="12"/>
  <c r="N144" i="12"/>
  <c r="N246" i="12"/>
  <c r="N374" i="12"/>
  <c r="N342" i="12"/>
  <c r="N185" i="12"/>
  <c r="N79" i="12"/>
  <c r="N242" i="12"/>
  <c r="N291" i="12"/>
  <c r="N197" i="12"/>
  <c r="N91" i="12"/>
  <c r="N261" i="12"/>
  <c r="N140" i="12"/>
  <c r="N129" i="12"/>
  <c r="P32" i="12"/>
  <c r="N110" i="12"/>
  <c r="N237" i="12"/>
  <c r="N205" i="12"/>
  <c r="N106" i="12"/>
  <c r="N232" i="12"/>
  <c r="N234" i="12"/>
  <c r="N322" i="12"/>
  <c r="N260" i="12"/>
  <c r="N187" i="12"/>
  <c r="N127" i="12"/>
  <c r="N365" i="12"/>
  <c r="N274" i="12"/>
  <c r="N401" i="12"/>
  <c r="N296" i="12"/>
  <c r="N166" i="12"/>
  <c r="N334" i="12"/>
  <c r="N269" i="12"/>
  <c r="N178" i="12"/>
  <c r="N305" i="12"/>
  <c r="N357" i="12"/>
  <c r="P21" i="12"/>
  <c r="N336" i="12"/>
  <c r="N195" i="12"/>
  <c r="N212" i="12"/>
  <c r="N266" i="12"/>
  <c r="N206" i="12"/>
  <c r="N213" i="12"/>
  <c r="N131" i="12"/>
  <c r="N89" i="12"/>
  <c r="N203" i="12"/>
  <c r="N99" i="12"/>
  <c r="N377" i="12"/>
  <c r="N337" i="12"/>
  <c r="N116" i="12"/>
  <c r="N215" i="12"/>
  <c r="N220" i="12"/>
  <c r="N87" i="12"/>
  <c r="N391" i="12"/>
  <c r="N182" i="12"/>
  <c r="N279" i="12"/>
  <c r="N310" i="12"/>
  <c r="N118" i="12"/>
  <c r="N177" i="12"/>
  <c r="N151" i="12"/>
  <c r="N251" i="12"/>
  <c r="N308" i="12"/>
  <c r="N227" i="12"/>
  <c r="N353" i="12"/>
  <c r="N97" i="12"/>
  <c r="N226" i="12"/>
  <c r="P31" i="12"/>
  <c r="N204" i="12"/>
  <c r="N400" i="12"/>
  <c r="N80" i="12"/>
  <c r="N324" i="12"/>
  <c r="N245" i="12"/>
  <c r="N186" i="12"/>
  <c r="N219" i="12"/>
  <c r="N367" i="12"/>
  <c r="N173" i="12"/>
  <c r="N229" i="12"/>
  <c r="N207" i="12"/>
  <c r="N223" i="12"/>
  <c r="N216" i="12"/>
  <c r="N361" i="12"/>
  <c r="N157" i="12"/>
  <c r="N241" i="12"/>
  <c r="N161" i="12"/>
  <c r="N124" i="12"/>
  <c r="N143" i="12"/>
  <c r="N307" i="12"/>
  <c r="P30" i="12"/>
  <c r="N315" i="12"/>
  <c r="N319" i="12"/>
  <c r="N121" i="12"/>
  <c r="N321" i="12"/>
  <c r="N114" i="12"/>
  <c r="N247" i="12"/>
  <c r="N292" i="12"/>
  <c r="N194" i="12"/>
  <c r="N103" i="12"/>
  <c r="N303" i="12"/>
  <c r="N160" i="12"/>
  <c r="N390" i="12"/>
  <c r="P27" i="12"/>
  <c r="N387" i="12"/>
  <c r="N378" i="12"/>
  <c r="N340" i="12"/>
  <c r="N290" i="12"/>
  <c r="N109" i="12"/>
  <c r="N162" i="12"/>
  <c r="N298" i="12"/>
  <c r="N85" i="12"/>
  <c r="N147" i="12"/>
  <c r="N167" i="12"/>
  <c r="N208" i="12"/>
  <c r="N92" i="12"/>
  <c r="N115" i="12"/>
  <c r="N366" i="12"/>
  <c r="N84" i="12"/>
  <c r="N368" i="12"/>
  <c r="N231" i="12"/>
  <c r="N238" i="12"/>
  <c r="N285" i="12"/>
  <c r="N375" i="12"/>
  <c r="N369" i="12"/>
  <c r="N136" i="12"/>
  <c r="N104" i="12"/>
  <c r="N293" i="12"/>
  <c r="N359" i="12"/>
  <c r="N192" i="12"/>
  <c r="N243" i="12"/>
  <c r="N333" i="12"/>
  <c r="N371" i="12"/>
  <c r="N165" i="12"/>
  <c r="N309" i="12"/>
  <c r="N329" i="12"/>
  <c r="N209" i="12"/>
  <c r="N108" i="12"/>
  <c r="N95" i="12"/>
  <c r="N388" i="12"/>
  <c r="N112" i="12"/>
  <c r="N389" i="12"/>
  <c r="N263" i="12"/>
  <c r="N255" i="12"/>
  <c r="P23" i="12"/>
  <c r="P24" i="12"/>
  <c r="N277" i="12"/>
  <c r="P28" i="12"/>
  <c r="N267" i="12"/>
  <c r="N258" i="12"/>
  <c r="N236" i="12"/>
  <c r="N155" i="12"/>
  <c r="N256" i="12"/>
  <c r="N86" i="12"/>
  <c r="N244" i="12"/>
  <c r="N396" i="12"/>
  <c r="N313" i="12"/>
  <c r="N149" i="12"/>
  <c r="N316" i="12"/>
  <c r="N217" i="12"/>
  <c r="N376" i="12"/>
  <c r="N328" i="12"/>
  <c r="N386" i="12"/>
  <c r="N347" i="12"/>
  <c r="N257" i="12"/>
  <c r="N96" i="12"/>
  <c r="N311" i="12"/>
  <c r="N335" i="12"/>
  <c r="Y23" i="12"/>
  <c r="N264" i="12"/>
  <c r="N163" i="12"/>
  <c r="N135" i="12"/>
  <c r="N125" i="12"/>
  <c r="N320" i="12"/>
  <c r="N254" i="12"/>
  <c r="N284" i="12"/>
  <c r="N399" i="12"/>
  <c r="N395" i="12"/>
  <c r="N283" i="12"/>
  <c r="P22" i="12"/>
  <c r="N164" i="12"/>
  <c r="N339" i="12"/>
  <c r="N317" i="12"/>
  <c r="N281" i="12"/>
  <c r="N360" i="12"/>
  <c r="N344" i="12"/>
  <c r="N214" i="12"/>
  <c r="N372" i="12"/>
  <c r="N338" i="12"/>
  <c r="N82" i="12"/>
  <c r="N276" i="12"/>
  <c r="N259" i="12"/>
  <c r="N352" i="12"/>
  <c r="N183" i="12"/>
  <c r="N351" i="12"/>
  <c r="N299" i="12"/>
  <c r="N179" i="12"/>
  <c r="N113" i="12"/>
  <c r="N171" i="12"/>
  <c r="P19" i="12"/>
  <c r="N394" i="12"/>
  <c r="N168" i="12"/>
  <c r="N81" i="12"/>
  <c r="N153" i="12"/>
  <c r="N354" i="12"/>
  <c r="N356" i="12"/>
  <c r="N181" i="12"/>
  <c r="N380" i="12"/>
  <c r="N294" i="12"/>
  <c r="N268" i="12"/>
  <c r="N172" i="12"/>
  <c r="N312" i="12"/>
  <c r="N210" i="12"/>
  <c r="N169" i="12"/>
  <c r="N224" i="12"/>
  <c r="P29" i="12"/>
  <c r="N331" i="12"/>
  <c r="N198" i="12"/>
  <c r="P35" i="12"/>
  <c r="N288" i="12"/>
  <c r="P34" i="12"/>
  <c r="N188" i="12"/>
  <c r="N363" i="12"/>
  <c r="N83" i="12"/>
  <c r="N280" i="12"/>
  <c r="N176" i="12"/>
  <c r="N138" i="12"/>
  <c r="N88" i="12"/>
  <c r="N382" i="12"/>
  <c r="N332" i="12"/>
  <c r="N289" i="12"/>
  <c r="N123" i="12"/>
  <c r="N385" i="12"/>
  <c r="N142" i="12"/>
  <c r="P33" i="12"/>
  <c r="Q142" i="12" l="1"/>
  <c r="Q385" i="12"/>
  <c r="Q123" i="12"/>
  <c r="Q289" i="12"/>
  <c r="Q332" i="12"/>
  <c r="Q382" i="12"/>
  <c r="Q88" i="12"/>
  <c r="Q138" i="12"/>
  <c r="Q176" i="12"/>
  <c r="Q280" i="12"/>
  <c r="Q83" i="12"/>
  <c r="Q363" i="12"/>
  <c r="Q188" i="12"/>
  <c r="Q288" i="12"/>
  <c r="Q198" i="12"/>
  <c r="Q331" i="12"/>
  <c r="Q224" i="12"/>
  <c r="Q169" i="12"/>
  <c r="Q210" i="12"/>
  <c r="Q312" i="12"/>
  <c r="Q172" i="12"/>
  <c r="Q268" i="12"/>
  <c r="Q294" i="12"/>
  <c r="Q380" i="12"/>
  <c r="Q181" i="12"/>
  <c r="Q356" i="12"/>
  <c r="Q354" i="12"/>
  <c r="Q153" i="12"/>
  <c r="Q81" i="12"/>
  <c r="Q168" i="12"/>
  <c r="Q394" i="12"/>
  <c r="Q171" i="12"/>
  <c r="Q113" i="12"/>
  <c r="Q179" i="12"/>
  <c r="Q299" i="12"/>
  <c r="Q351" i="12"/>
  <c r="Q183" i="12"/>
  <c r="Q352" i="12"/>
  <c r="Q259" i="12"/>
  <c r="Q276" i="12"/>
  <c r="Q82" i="12"/>
  <c r="Q338" i="12"/>
  <c r="Q372" i="12"/>
  <c r="Q214" i="12"/>
  <c r="Q344" i="12"/>
  <c r="Q360" i="12"/>
  <c r="Q281" i="12"/>
  <c r="Q317" i="12"/>
  <c r="Q339" i="12"/>
  <c r="Q164" i="12"/>
  <c r="Q283" i="12"/>
  <c r="Q395" i="12"/>
  <c r="Q399" i="12"/>
  <c r="Q284" i="12"/>
  <c r="Q254" i="12"/>
  <c r="Q320" i="12"/>
  <c r="Q125" i="12"/>
  <c r="Q135" i="12"/>
  <c r="Q163" i="12"/>
  <c r="Q264" i="12"/>
  <c r="Q335" i="12"/>
  <c r="Q311" i="12"/>
  <c r="Q96" i="12"/>
  <c r="Q257" i="12"/>
  <c r="Q347" i="12"/>
  <c r="Q386" i="12"/>
  <c r="Q328" i="12"/>
  <c r="Q376" i="12"/>
  <c r="Q217" i="12"/>
  <c r="Q316" i="12"/>
  <c r="Q149" i="12"/>
  <c r="Q313" i="12"/>
  <c r="Q396" i="12"/>
  <c r="Q244" i="12"/>
  <c r="Q86" i="12"/>
  <c r="Q256" i="12"/>
  <c r="Q155" i="12"/>
  <c r="Q236" i="12"/>
  <c r="Q258" i="12"/>
  <c r="Q267" i="12"/>
  <c r="Q277" i="12"/>
  <c r="Q255" i="12"/>
  <c r="Q263" i="12"/>
  <c r="Q389" i="12"/>
  <c r="Q112" i="12"/>
  <c r="Q388" i="12"/>
  <c r="Q95" i="12"/>
  <c r="Q108" i="12"/>
  <c r="Q209" i="12"/>
  <c r="Q329" i="12"/>
  <c r="Q309" i="12"/>
  <c r="Q165" i="12"/>
  <c r="Q371" i="12"/>
  <c r="Q333" i="12"/>
  <c r="Q243" i="12"/>
  <c r="Q192" i="12"/>
  <c r="Q359" i="12"/>
  <c r="Q293" i="12"/>
  <c r="Q104" i="12"/>
  <c r="Q136" i="12"/>
  <c r="Q369" i="12"/>
  <c r="Q375" i="12"/>
  <c r="Q285" i="12"/>
  <c r="Q238" i="12"/>
  <c r="Q231" i="12"/>
  <c r="Q368" i="12"/>
  <c r="Q84" i="12"/>
  <c r="Q366" i="12"/>
  <c r="Q115" i="12"/>
  <c r="Q92" i="12"/>
  <c r="Q208" i="12"/>
  <c r="Q167" i="12"/>
  <c r="Q147" i="12"/>
  <c r="Q85" i="12"/>
  <c r="Q298" i="12"/>
  <c r="Q162" i="12"/>
  <c r="Q109" i="12"/>
  <c r="Q290" i="12"/>
  <c r="Q340" i="12"/>
  <c r="Q378" i="12"/>
  <c r="Q387" i="12"/>
  <c r="Q390" i="12"/>
  <c r="Q160" i="12"/>
  <c r="Q303" i="12"/>
  <c r="Q103" i="12"/>
  <c r="Q194" i="12"/>
  <c r="Q292" i="12"/>
  <c r="Q247" i="12"/>
  <c r="Q114" i="12"/>
  <c r="Q321" i="12"/>
  <c r="Q121" i="12"/>
  <c r="Q319" i="12"/>
  <c r="Q315" i="12"/>
  <c r="Q307" i="12"/>
  <c r="Q143" i="12"/>
  <c r="Q124" i="12"/>
  <c r="Q161" i="12"/>
  <c r="Q241" i="12"/>
  <c r="Q157" i="12"/>
  <c r="Q361" i="12"/>
  <c r="Q216" i="12"/>
  <c r="Q223" i="12"/>
  <c r="Q207" i="12"/>
  <c r="Q229" i="12"/>
  <c r="Q173" i="12"/>
  <c r="Q367" i="12"/>
  <c r="Q219" i="12"/>
  <c r="Q186" i="12"/>
  <c r="Q245" i="12"/>
  <c r="Q324" i="12"/>
  <c r="Q80" i="12"/>
  <c r="Q400" i="12"/>
  <c r="Q204" i="12"/>
  <c r="Q226" i="12"/>
  <c r="Q97" i="12"/>
  <c r="Q353" i="12"/>
  <c r="Q227" i="12"/>
  <c r="Q308" i="12"/>
  <c r="Q251" i="12"/>
  <c r="Q151" i="12"/>
  <c r="Q177" i="12"/>
  <c r="Q118" i="12"/>
  <c r="Q310" i="12"/>
  <c r="Q279" i="12"/>
  <c r="Q182" i="12"/>
  <c r="Q391" i="12"/>
  <c r="Q87" i="12"/>
  <c r="Q220" i="12"/>
  <c r="Q215" i="12"/>
  <c r="Q116" i="12"/>
  <c r="Q337" i="12"/>
  <c r="Q377" i="12"/>
  <c r="Q99" i="12"/>
  <c r="Q203" i="12"/>
  <c r="Q89" i="12"/>
  <c r="Q131" i="12"/>
  <c r="Q213" i="12"/>
  <c r="Q206" i="12"/>
  <c r="Q266" i="12"/>
  <c r="Q212" i="12"/>
  <c r="Q195" i="12"/>
  <c r="Q336" i="12"/>
  <c r="Q357" i="12"/>
  <c r="Q305" i="12"/>
  <c r="Q178" i="12"/>
  <c r="Q269" i="12"/>
  <c r="Q334" i="12"/>
  <c r="Q166" i="12"/>
  <c r="Q296" i="12"/>
  <c r="Q401" i="12"/>
  <c r="Q274" i="12"/>
  <c r="Q365" i="12"/>
  <c r="Q127" i="12"/>
  <c r="Q187" i="12"/>
  <c r="Q260" i="12"/>
  <c r="Q322" i="12"/>
  <c r="Q234" i="12"/>
  <c r="Q232" i="12"/>
  <c r="Q106" i="12"/>
  <c r="Q205" i="12"/>
  <c r="Q237" i="12"/>
  <c r="Q110" i="12"/>
  <c r="Q129" i="12"/>
  <c r="Q140" i="12"/>
  <c r="Q261" i="12"/>
  <c r="Q91" i="12"/>
  <c r="Q197" i="12"/>
  <c r="Q291" i="12"/>
  <c r="Q242" i="12"/>
  <c r="Q79" i="12"/>
  <c r="Q185" i="12"/>
  <c r="Q342" i="12"/>
  <c r="Q374" i="12"/>
  <c r="Q246" i="12"/>
  <c r="Q144" i="12"/>
  <c r="Q199" i="12"/>
  <c r="Q107" i="12"/>
  <c r="Q134" i="12"/>
  <c r="Q278" i="12"/>
  <c r="Q326" i="12"/>
  <c r="Q119" i="12"/>
  <c r="Q392" i="12"/>
  <c r="Q262" i="12"/>
  <c r="Q211" i="12"/>
  <c r="Q120" i="12"/>
  <c r="Q287" i="12"/>
  <c r="Q272" i="12"/>
  <c r="Q184" i="12"/>
  <c r="Q373" i="12"/>
  <c r="Q154" i="12"/>
  <c r="Q230" i="12"/>
  <c r="Q314" i="12"/>
  <c r="Q286" i="12"/>
  <c r="Q383" i="12"/>
  <c r="Q200" i="12"/>
  <c r="Q159" i="12"/>
  <c r="Q158" i="12"/>
  <c r="Q218" i="12"/>
  <c r="Q137" i="12"/>
  <c r="Q240" i="12"/>
  <c r="Q235" i="12"/>
  <c r="Q343" i="12"/>
  <c r="Q323" i="12"/>
  <c r="Q282" i="12"/>
  <c r="Q105" i="12"/>
  <c r="Q346" i="12"/>
  <c r="Q94" i="12"/>
  <c r="Q180" i="12"/>
  <c r="Q341" i="12"/>
  <c r="Q193" i="12"/>
  <c r="Q384" i="12"/>
  <c r="Q370" i="12"/>
  <c r="Q275" i="12"/>
  <c r="Q93" i="12"/>
  <c r="Q175" i="12"/>
  <c r="Q190" i="12"/>
  <c r="Q239" i="12"/>
  <c r="Q122" i="12"/>
  <c r="Q325" i="12"/>
  <c r="Q170" i="12"/>
  <c r="Q304" i="12"/>
  <c r="Q132" i="12"/>
  <c r="Q201" i="12"/>
  <c r="Q398" i="12"/>
  <c r="Q249" i="12"/>
  <c r="Q295" i="12"/>
  <c r="Q102" i="12"/>
  <c r="Q381" i="12"/>
  <c r="Q101" i="12"/>
  <c r="Q196" i="12"/>
  <c r="Q233" i="12"/>
  <c r="Q348" i="12"/>
  <c r="Q139" i="12"/>
  <c r="Q301" i="12"/>
  <c r="Q318" i="12"/>
  <c r="Q225" i="12"/>
  <c r="Q355" i="12"/>
  <c r="Q253" i="12"/>
  <c r="Q362" i="12"/>
  <c r="Q228" i="12"/>
  <c r="Q252" i="12"/>
  <c r="Q146" i="12"/>
  <c r="Q358" i="12"/>
  <c r="Q189" i="12"/>
  <c r="Q148" i="12"/>
  <c r="Q191" i="12"/>
  <c r="Q248" i="12"/>
  <c r="Q350" i="12"/>
  <c r="Q330" i="12"/>
  <c r="Q222" i="12"/>
  <c r="Q141" i="12"/>
  <c r="Q126" i="12"/>
  <c r="Q397" i="12"/>
  <c r="Q150" i="12"/>
  <c r="Q130" i="12"/>
  <c r="Q202" i="12"/>
  <c r="Q221" i="12"/>
  <c r="Q156" i="12"/>
  <c r="Q270" i="12"/>
  <c r="Q145" i="12"/>
  <c r="Q300" i="12"/>
  <c r="Q98" i="12"/>
  <c r="Q349" i="12"/>
  <c r="Q128" i="12"/>
  <c r="Q111" i="12"/>
  <c r="Q133" i="12"/>
  <c r="Q364" i="12"/>
  <c r="Q100" i="12"/>
  <c r="Q379" i="12"/>
  <c r="Q265" i="12"/>
  <c r="Q152" i="12"/>
  <c r="Q273" i="12"/>
  <c r="Q117" i="12"/>
  <c r="Q327" i="12"/>
  <c r="Q78" i="12"/>
  <c r="Q306" i="12"/>
  <c r="Q271" i="12"/>
  <c r="Q302" i="12"/>
  <c r="Q250" i="12"/>
  <c r="Q345" i="12"/>
  <c r="Q90" i="12"/>
  <c r="Q297" i="12"/>
  <c r="Q393" i="12"/>
  <c r="Q174" i="12"/>
  <c r="V44" i="12" a="1"/>
  <c r="V19" i="12" a="1"/>
  <c r="I124" i="5"/>
  <c r="N71" i="12"/>
  <c r="G41" i="5"/>
  <c r="G4" i="5"/>
  <c r="H87" i="5"/>
  <c r="G56" i="5"/>
  <c r="O20" i="12"/>
  <c r="O46" i="12"/>
  <c r="O33" i="12"/>
  <c r="F111" i="5"/>
  <c r="G85" i="5"/>
  <c r="F23" i="5"/>
  <c r="G34" i="5"/>
  <c r="H41" i="5"/>
  <c r="N31" i="12"/>
  <c r="G10" i="5"/>
  <c r="E104" i="5"/>
  <c r="N46" i="12"/>
  <c r="E94" i="5"/>
  <c r="I30" i="5"/>
  <c r="H99" i="5"/>
  <c r="G99" i="5"/>
  <c r="F94" i="5"/>
  <c r="H123" i="5"/>
  <c r="G84" i="5"/>
  <c r="I60" i="5"/>
  <c r="H112" i="5"/>
  <c r="H119" i="5"/>
  <c r="I75" i="5"/>
  <c r="N19" i="12"/>
  <c r="H49" i="5"/>
  <c r="O51" i="12"/>
  <c r="N58" i="12"/>
  <c r="I102" i="5"/>
  <c r="G116" i="5"/>
  <c r="I19" i="5"/>
  <c r="I51" i="5"/>
  <c r="E23" i="5"/>
  <c r="E70" i="5"/>
  <c r="O44" i="12"/>
  <c r="E54" i="5"/>
  <c r="N53" i="12"/>
  <c r="G13" i="5"/>
  <c r="E22" i="5"/>
  <c r="I88" i="5"/>
  <c r="N74" i="12"/>
  <c r="F26" i="5"/>
  <c r="F39" i="5"/>
  <c r="N41" i="12"/>
  <c r="F2" i="5"/>
  <c r="F59" i="5"/>
  <c r="F62" i="5"/>
  <c r="G3" i="5"/>
  <c r="G66" i="5"/>
  <c r="E88" i="5"/>
  <c r="I14" i="5"/>
  <c r="I42" i="5"/>
  <c r="N30" i="12"/>
  <c r="I110" i="5"/>
  <c r="E84" i="5"/>
  <c r="I24" i="5"/>
  <c r="G8" i="5"/>
  <c r="E26" i="5"/>
  <c r="F19" i="5"/>
  <c r="F99" i="5"/>
  <c r="H6" i="5"/>
  <c r="I70" i="5"/>
  <c r="F54" i="5"/>
  <c r="I47" i="5"/>
  <c r="H36" i="5"/>
  <c r="G77" i="5"/>
  <c r="O31" i="12"/>
  <c r="I108" i="5"/>
  <c r="G121" i="5"/>
  <c r="H31" i="5"/>
  <c r="H18" i="5"/>
  <c r="H45" i="5"/>
  <c r="G63" i="5"/>
  <c r="H7" i="5"/>
  <c r="E75" i="5"/>
  <c r="H81" i="5"/>
  <c r="F110" i="5"/>
  <c r="G38" i="5"/>
  <c r="G42" i="5"/>
  <c r="H76" i="5"/>
  <c r="E18" i="5"/>
  <c r="F83" i="5"/>
  <c r="F17" i="5"/>
  <c r="I109" i="5"/>
  <c r="E99" i="5"/>
  <c r="N60" i="12"/>
  <c r="G61" i="5"/>
  <c r="H24" i="5"/>
  <c r="H9" i="5"/>
  <c r="F60" i="5"/>
  <c r="N20" i="12"/>
  <c r="I25" i="5"/>
  <c r="H121" i="5"/>
  <c r="N42" i="12"/>
  <c r="N25" i="12"/>
  <c r="E20" i="5"/>
  <c r="H70" i="5"/>
  <c r="I46" i="5"/>
  <c r="H11" i="5"/>
  <c r="G26" i="5"/>
  <c r="G120" i="5"/>
  <c r="G107" i="5"/>
  <c r="G29" i="5"/>
  <c r="H65" i="5"/>
  <c r="F22" i="5"/>
  <c r="I28" i="5"/>
  <c r="H69" i="5"/>
  <c r="G59" i="5"/>
  <c r="E124" i="5"/>
  <c r="F84" i="5"/>
  <c r="E82" i="5"/>
  <c r="F85" i="5"/>
  <c r="G126" i="5"/>
  <c r="N26" i="12"/>
  <c r="F21" i="5"/>
  <c r="F47" i="5"/>
  <c r="I97" i="5"/>
  <c r="F115" i="5"/>
  <c r="N59" i="12"/>
  <c r="O24" i="12"/>
  <c r="F40" i="5"/>
  <c r="O68" i="12"/>
  <c r="H8" i="5"/>
  <c r="I10" i="5"/>
  <c r="H57" i="5"/>
  <c r="H67" i="5"/>
  <c r="F13" i="5"/>
  <c r="E16" i="5"/>
  <c r="E44" i="5"/>
  <c r="F29" i="5"/>
  <c r="N61" i="12"/>
  <c r="I49" i="5"/>
  <c r="F87" i="5"/>
  <c r="E5" i="5"/>
  <c r="I20" i="5"/>
  <c r="F20" i="5"/>
  <c r="G37" i="5"/>
  <c r="I104" i="5"/>
  <c r="O25" i="12"/>
  <c r="O47" i="12"/>
  <c r="F106" i="5"/>
  <c r="H109" i="5"/>
  <c r="G7" i="5"/>
  <c r="H27" i="5"/>
  <c r="F120" i="5"/>
  <c r="I8" i="5"/>
  <c r="E89" i="5"/>
  <c r="I93" i="5"/>
  <c r="F33" i="5"/>
  <c r="F28" i="5"/>
  <c r="E91" i="5"/>
  <c r="F7" i="5"/>
  <c r="H96" i="5"/>
  <c r="H97" i="5"/>
  <c r="G78" i="5"/>
  <c r="E7" i="5"/>
  <c r="F37" i="5"/>
  <c r="G50" i="5"/>
  <c r="F48" i="5"/>
  <c r="E17" i="5"/>
  <c r="E11" i="5"/>
  <c r="G119" i="5"/>
  <c r="H101" i="5"/>
  <c r="E93" i="5"/>
  <c r="G123" i="5"/>
  <c r="F72" i="5"/>
  <c r="H43" i="5"/>
  <c r="F123" i="5"/>
  <c r="G109" i="5"/>
  <c r="H93" i="5"/>
  <c r="H120" i="5"/>
  <c r="F38" i="5"/>
  <c r="N57" i="12"/>
  <c r="G17" i="5"/>
  <c r="I79" i="5"/>
  <c r="H94" i="5"/>
  <c r="I94" i="5"/>
  <c r="H26" i="5"/>
  <c r="I65" i="5"/>
  <c r="H118" i="5"/>
  <c r="O36" i="12"/>
  <c r="H98" i="5"/>
  <c r="I82" i="5"/>
  <c r="G27" i="5"/>
  <c r="G36" i="5"/>
  <c r="O65" i="12"/>
  <c r="E19" i="5"/>
  <c r="O74" i="12"/>
  <c r="H44" i="5"/>
  <c r="I100" i="5"/>
  <c r="E27" i="5"/>
  <c r="I76" i="5"/>
  <c r="G48" i="5"/>
  <c r="I29" i="5"/>
  <c r="I114" i="5"/>
  <c r="E71" i="5"/>
  <c r="G73" i="5"/>
  <c r="E92" i="5"/>
  <c r="F93" i="5"/>
  <c r="H60" i="5"/>
  <c r="I37" i="5"/>
  <c r="E98" i="5"/>
  <c r="G14" i="5"/>
  <c r="F112" i="5"/>
  <c r="F75" i="5"/>
  <c r="N63" i="12"/>
  <c r="E106" i="5"/>
  <c r="H17" i="5"/>
  <c r="F18" i="5"/>
  <c r="E116" i="5"/>
  <c r="I119" i="5"/>
  <c r="G60" i="5"/>
  <c r="H47" i="5"/>
  <c r="E28" i="5"/>
  <c r="N70" i="12"/>
  <c r="H38" i="5"/>
  <c r="I32" i="5"/>
  <c r="G6" i="5"/>
  <c r="G75" i="5"/>
  <c r="Y24" i="12"/>
  <c r="Y25" i="12" s="1"/>
  <c r="I26" i="5"/>
  <c r="N56" i="12"/>
  <c r="E36" i="5"/>
  <c r="N54" i="12"/>
  <c r="E126" i="5"/>
  <c r="E41" i="5"/>
  <c r="E9" i="5"/>
  <c r="H22" i="5"/>
  <c r="H16" i="5"/>
  <c r="G46" i="5"/>
  <c r="F119" i="5"/>
  <c r="H48" i="5"/>
  <c r="I107" i="5"/>
  <c r="G108" i="5"/>
  <c r="G23" i="5"/>
  <c r="G52" i="5"/>
  <c r="G117" i="5"/>
  <c r="N75" i="12"/>
  <c r="G118" i="5"/>
  <c r="G19" i="5"/>
  <c r="E6" i="5"/>
  <c r="F58" i="5"/>
  <c r="H21" i="5"/>
  <c r="H108" i="5"/>
  <c r="G70" i="5"/>
  <c r="O58" i="12"/>
  <c r="I59" i="5"/>
  <c r="G113" i="5"/>
  <c r="G15" i="5"/>
  <c r="E105" i="5"/>
  <c r="F63" i="5"/>
  <c r="H23" i="5"/>
  <c r="I38" i="5"/>
  <c r="I73" i="5"/>
  <c r="F36" i="5"/>
  <c r="I7" i="5"/>
  <c r="I54" i="5"/>
  <c r="H114" i="5"/>
  <c r="G98" i="5"/>
  <c r="G43" i="5"/>
  <c r="E10" i="5"/>
  <c r="E74" i="5"/>
  <c r="H66" i="5"/>
  <c r="I113" i="5"/>
  <c r="F11" i="5"/>
  <c r="I4" i="5"/>
  <c r="F90" i="5"/>
  <c r="H75" i="5"/>
  <c r="F103" i="5"/>
  <c r="H34" i="5"/>
  <c r="F126" i="5"/>
  <c r="I15" i="5"/>
  <c r="E77" i="5"/>
  <c r="H59" i="5"/>
  <c r="E67" i="5"/>
  <c r="E12" i="5"/>
  <c r="F80" i="5"/>
  <c r="E102" i="5"/>
  <c r="E40" i="5"/>
  <c r="O26" i="12"/>
  <c r="I9" i="5"/>
  <c r="G51" i="5"/>
  <c r="G47" i="5"/>
  <c r="G40" i="5"/>
  <c r="H124" i="5"/>
  <c r="I81" i="5"/>
  <c r="E87" i="5"/>
  <c r="E122" i="5"/>
  <c r="F108" i="5"/>
  <c r="G25" i="5"/>
  <c r="F57" i="5"/>
  <c r="H4" i="5"/>
  <c r="H100" i="5"/>
  <c r="H113" i="5"/>
  <c r="H30" i="5"/>
  <c r="H84" i="5"/>
  <c r="G79" i="5"/>
  <c r="F114" i="5"/>
  <c r="E59" i="5"/>
  <c r="H122" i="5"/>
  <c r="F25" i="5"/>
  <c r="F31" i="5"/>
  <c r="F52" i="5"/>
  <c r="G33" i="5"/>
  <c r="G87" i="5"/>
  <c r="G58" i="5"/>
  <c r="G21" i="5"/>
  <c r="F35" i="5"/>
  <c r="G45" i="5"/>
  <c r="O67" i="12"/>
  <c r="G83" i="5"/>
  <c r="H89" i="5"/>
  <c r="I21" i="5"/>
  <c r="G5" i="5"/>
  <c r="F73" i="5"/>
  <c r="E61" i="5"/>
  <c r="E60" i="5"/>
  <c r="F116" i="5"/>
  <c r="G69" i="5"/>
  <c r="F32" i="5"/>
  <c r="F125" i="5"/>
  <c r="F88" i="5"/>
  <c r="F51" i="5"/>
  <c r="I13" i="5"/>
  <c r="I17" i="5"/>
  <c r="F65" i="5"/>
  <c r="G105" i="5"/>
  <c r="O50" i="12"/>
  <c r="I121" i="5"/>
  <c r="H73" i="5"/>
  <c r="N66" i="12"/>
  <c r="F95" i="5"/>
  <c r="E100" i="5"/>
  <c r="E123" i="5"/>
  <c r="O69" i="12"/>
  <c r="H125" i="5"/>
  <c r="F10" i="5"/>
  <c r="O30" i="12"/>
  <c r="I55" i="5"/>
  <c r="G32" i="5"/>
  <c r="O73" i="12"/>
  <c r="O55" i="12"/>
  <c r="E34" i="5"/>
  <c r="E3" i="5"/>
  <c r="O72" i="12"/>
  <c r="E97" i="5"/>
  <c r="E45" i="5"/>
  <c r="I98" i="5"/>
  <c r="Z23" i="12"/>
  <c r="H107" i="5"/>
  <c r="H52" i="5"/>
  <c r="G18" i="5"/>
  <c r="I118" i="5"/>
  <c r="I112" i="5"/>
  <c r="H20" i="5"/>
  <c r="O52" i="12"/>
  <c r="E4" i="5"/>
  <c r="H37" i="5"/>
  <c r="F105" i="5"/>
  <c r="H91" i="5"/>
  <c r="N67" i="12"/>
  <c r="I12" i="5"/>
  <c r="E118" i="5"/>
  <c r="H29" i="5"/>
  <c r="G67" i="5"/>
  <c r="H35" i="5"/>
  <c r="F101" i="5"/>
  <c r="F68" i="5"/>
  <c r="I45" i="5"/>
  <c r="G86" i="5"/>
  <c r="E21" i="5"/>
  <c r="I106" i="5"/>
  <c r="G68" i="5"/>
  <c r="F43" i="5"/>
  <c r="I120" i="5"/>
  <c r="H40" i="5"/>
  <c r="H85" i="5"/>
  <c r="N55" i="12"/>
  <c r="H5" i="5"/>
  <c r="F44" i="5"/>
  <c r="N51" i="12"/>
  <c r="E117" i="5"/>
  <c r="N23" i="12"/>
  <c r="I87" i="5"/>
  <c r="N68" i="12"/>
  <c r="N36" i="12"/>
  <c r="G57" i="5"/>
  <c r="E103" i="5"/>
  <c r="E96" i="5"/>
  <c r="O43" i="12"/>
  <c r="H25" i="5"/>
  <c r="F5" i="5"/>
  <c r="G24" i="5"/>
  <c r="G91" i="5"/>
  <c r="O64" i="12"/>
  <c r="N72" i="12"/>
  <c r="F100" i="5"/>
  <c r="N50" i="12"/>
  <c r="E33" i="5"/>
  <c r="O40" i="12"/>
  <c r="E121" i="5"/>
  <c r="H12" i="5"/>
  <c r="E39" i="5"/>
  <c r="E24" i="5"/>
  <c r="D14" i="6"/>
  <c r="P235" i="12"/>
  <c r="P70" i="12"/>
  <c r="P344" i="12"/>
  <c r="P225" i="12"/>
  <c r="P309" i="12"/>
  <c r="P177" i="12"/>
  <c r="P90" i="12"/>
  <c r="P374" i="12"/>
  <c r="P205" i="12"/>
  <c r="P162" i="12"/>
  <c r="P134" i="12"/>
  <c r="P170" i="12"/>
  <c r="P167" i="12"/>
  <c r="P116" i="12"/>
  <c r="P357" i="12"/>
  <c r="P93" i="12"/>
  <c r="P377" i="12"/>
  <c r="P255" i="12"/>
  <c r="P200" i="12"/>
  <c r="P153" i="12"/>
  <c r="P227" i="12"/>
  <c r="P92" i="12"/>
  <c r="P325" i="12"/>
  <c r="P78" i="12"/>
  <c r="P173" i="12"/>
  <c r="P125" i="12"/>
  <c r="P280" i="12"/>
  <c r="P100" i="12"/>
  <c r="P254" i="12"/>
  <c r="P51" i="12"/>
  <c r="O66" i="12"/>
  <c r="I67" i="5"/>
  <c r="O19" i="12"/>
  <c r="G76" i="5"/>
  <c r="G71" i="5"/>
  <c r="H83" i="5"/>
  <c r="H3" i="5"/>
  <c r="H2" i="5"/>
  <c r="E46" i="5"/>
  <c r="E35" i="5"/>
  <c r="E38" i="5"/>
  <c r="H51" i="5"/>
  <c r="H72" i="5"/>
  <c r="H88" i="5"/>
  <c r="H62" i="5"/>
  <c r="O57" i="12"/>
  <c r="I2" i="5"/>
  <c r="H46" i="5"/>
  <c r="G39" i="5"/>
  <c r="E113" i="5"/>
  <c r="F27" i="5"/>
  <c r="F30" i="5"/>
  <c r="E14" i="5"/>
  <c r="O56" i="12"/>
  <c r="O29" i="12"/>
  <c r="H86" i="5"/>
  <c r="E85" i="5"/>
  <c r="I68" i="5"/>
  <c r="E25" i="5"/>
  <c r="E50" i="5"/>
  <c r="H71" i="5"/>
  <c r="G55" i="5"/>
  <c r="F61" i="5"/>
  <c r="E114" i="5"/>
  <c r="I86" i="5"/>
  <c r="H126" i="5"/>
  <c r="I63" i="5"/>
  <c r="G28" i="5"/>
  <c r="G35" i="5"/>
  <c r="I31" i="5"/>
  <c r="G88" i="5"/>
  <c r="F89" i="5"/>
  <c r="O59" i="12"/>
  <c r="I36" i="5"/>
  <c r="F42" i="5"/>
  <c r="E111" i="5"/>
  <c r="H53" i="5"/>
  <c r="P61" i="12"/>
  <c r="P82" i="12"/>
  <c r="P252" i="12"/>
  <c r="P105" i="12"/>
  <c r="P108" i="12"/>
  <c r="P142" i="12"/>
  <c r="P382" i="12"/>
  <c r="P218" i="12"/>
  <c r="P88" i="12"/>
  <c r="P174" i="12"/>
  <c r="P290" i="12"/>
  <c r="P145" i="12"/>
  <c r="P214" i="12"/>
  <c r="P111" i="12"/>
  <c r="P160" i="12"/>
  <c r="P164" i="12"/>
  <c r="P398" i="12"/>
  <c r="P354" i="12"/>
  <c r="P121" i="12"/>
  <c r="P388" i="12"/>
  <c r="P266" i="12"/>
  <c r="P269" i="12"/>
  <c r="P221" i="12"/>
  <c r="P370" i="12"/>
  <c r="P171" i="12"/>
  <c r="P115" i="12"/>
  <c r="P295" i="12"/>
  <c r="P143" i="12"/>
  <c r="P104" i="12"/>
  <c r="P395" i="12"/>
  <c r="P113" i="12"/>
  <c r="N33" i="12"/>
  <c r="E120" i="5"/>
  <c r="O42" i="12"/>
  <c r="I85" i="5"/>
  <c r="H78" i="5"/>
  <c r="O41" i="12"/>
  <c r="O62" i="12"/>
  <c r="F82" i="5"/>
  <c r="E79" i="5"/>
  <c r="G80" i="5"/>
  <c r="E112" i="5"/>
  <c r="N40" i="12"/>
  <c r="E51" i="5"/>
  <c r="G16" i="5"/>
  <c r="E90" i="5"/>
  <c r="G22" i="5"/>
  <c r="G92" i="5"/>
  <c r="N64" i="12"/>
  <c r="G114" i="5"/>
  <c r="H14" i="5"/>
  <c r="N21" i="12"/>
  <c r="P222" i="12"/>
  <c r="P150" i="12"/>
  <c r="P284" i="12"/>
  <c r="P299" i="12"/>
  <c r="P203" i="12"/>
  <c r="P396" i="12"/>
  <c r="P362" i="12"/>
  <c r="P226" i="12"/>
  <c r="P72" i="12"/>
  <c r="P322" i="12"/>
  <c r="P334" i="12"/>
  <c r="P331" i="12"/>
  <c r="P231" i="12"/>
  <c r="P207" i="12"/>
  <c r="E101" i="5"/>
  <c r="P328" i="12"/>
  <c r="P190" i="12"/>
  <c r="P375" i="12"/>
  <c r="P118" i="12"/>
  <c r="P300" i="12"/>
  <c r="P102" i="12"/>
  <c r="P261" i="12"/>
  <c r="P159" i="12"/>
  <c r="P156" i="12"/>
  <c r="N52" i="12"/>
  <c r="I91" i="5"/>
  <c r="I66" i="5"/>
  <c r="H54" i="5"/>
  <c r="P62" i="12"/>
  <c r="P278" i="12"/>
  <c r="P318" i="12"/>
  <c r="P281" i="12"/>
  <c r="P259" i="12"/>
  <c r="P390" i="12"/>
  <c r="P364" i="12"/>
  <c r="P194" i="12"/>
  <c r="P165" i="12"/>
  <c r="H50" i="5"/>
  <c r="N28" i="12"/>
  <c r="E80" i="5"/>
  <c r="I125" i="5"/>
  <c r="G103" i="5"/>
  <c r="H63" i="5"/>
  <c r="N49" i="12"/>
  <c r="H90" i="5"/>
  <c r="F3" i="5"/>
  <c r="G44" i="5"/>
  <c r="G124" i="5"/>
  <c r="O71" i="12"/>
  <c r="I101" i="5"/>
  <c r="H95" i="5"/>
  <c r="I90" i="5"/>
  <c r="H28" i="5"/>
  <c r="G62" i="5"/>
  <c r="E83" i="5"/>
  <c r="I27" i="5"/>
  <c r="F122" i="5"/>
  <c r="F14" i="5"/>
  <c r="F98" i="5"/>
  <c r="H42" i="5"/>
  <c r="N24" i="12"/>
  <c r="G101" i="5"/>
  <c r="H82" i="5"/>
  <c r="P74" i="12"/>
  <c r="P181" i="12"/>
  <c r="P63" i="12"/>
  <c r="P87" i="12"/>
  <c r="P321" i="12"/>
  <c r="P80" i="12"/>
  <c r="P46" i="12"/>
  <c r="P210" i="12"/>
  <c r="P53" i="12"/>
  <c r="P67" i="12"/>
  <c r="P298" i="12"/>
  <c r="P387" i="12"/>
  <c r="P135" i="12"/>
  <c r="F41" i="5"/>
  <c r="I57" i="5"/>
  <c r="I58" i="5"/>
  <c r="H56" i="5"/>
  <c r="H58" i="5"/>
  <c r="F117" i="5"/>
  <c r="F49" i="5"/>
  <c r="E42" i="5"/>
  <c r="E107" i="5"/>
  <c r="F109" i="5"/>
  <c r="E62" i="5"/>
  <c r="I39" i="5"/>
  <c r="I41" i="5"/>
  <c r="E43" i="5"/>
  <c r="G106" i="5"/>
  <c r="E81" i="5"/>
  <c r="F53" i="5"/>
  <c r="G96" i="5"/>
  <c r="I77" i="5"/>
  <c r="G95" i="5"/>
  <c r="F15" i="5"/>
  <c r="I84" i="5"/>
  <c r="O32" i="12"/>
  <c r="N65" i="12"/>
  <c r="F66" i="5"/>
  <c r="G54" i="5"/>
  <c r="E76" i="5"/>
  <c r="N35" i="12"/>
  <c r="O48" i="12"/>
  <c r="H19" i="5"/>
  <c r="I3" i="5"/>
  <c r="I48" i="5"/>
  <c r="N48" i="12"/>
  <c r="H116" i="5"/>
  <c r="H39" i="5"/>
  <c r="F55" i="5"/>
  <c r="E53" i="5"/>
  <c r="F8" i="5"/>
  <c r="F107" i="5"/>
  <c r="I117" i="5"/>
  <c r="E63" i="5"/>
  <c r="I95" i="5"/>
  <c r="G122" i="5"/>
  <c r="E29" i="5"/>
  <c r="E95" i="5"/>
  <c r="F74" i="5"/>
  <c r="N27" i="12"/>
  <c r="P224" i="12"/>
  <c r="P184" i="12"/>
  <c r="P293" i="12"/>
  <c r="AB16" i="12"/>
  <c r="P276" i="12"/>
  <c r="P346" i="12"/>
  <c r="P81" i="12"/>
  <c r="P378" i="12"/>
  <c r="P204" i="12"/>
  <c r="P313" i="12"/>
  <c r="P179" i="12"/>
  <c r="P211" i="12"/>
  <c r="P286" i="12"/>
  <c r="P385" i="12"/>
  <c r="P282" i="12"/>
  <c r="P349" i="12"/>
  <c r="P127" i="12"/>
  <c r="P239" i="12"/>
  <c r="P302" i="12"/>
  <c r="P206" i="12"/>
  <c r="P361" i="12"/>
  <c r="P238" i="12"/>
  <c r="P216" i="12"/>
  <c r="P394" i="12"/>
  <c r="P59" i="12"/>
  <c r="P320" i="12"/>
  <c r="P246" i="12"/>
  <c r="P83" i="12"/>
  <c r="P400" i="12"/>
  <c r="P147" i="12"/>
  <c r="N47" i="12"/>
  <c r="I103" i="5"/>
  <c r="I99" i="5"/>
  <c r="G9" i="5"/>
  <c r="N44" i="12"/>
  <c r="F79" i="5"/>
  <c r="G81" i="5"/>
  <c r="I43" i="5"/>
  <c r="E78" i="5"/>
  <c r="G65" i="5"/>
  <c r="H92" i="5"/>
  <c r="F50" i="5"/>
  <c r="E13" i="5"/>
  <c r="O23" i="12"/>
  <c r="O70" i="12"/>
  <c r="G31" i="5"/>
  <c r="O27" i="12"/>
  <c r="E31" i="5"/>
  <c r="F67" i="5"/>
  <c r="N62" i="12"/>
  <c r="P308" i="12"/>
  <c r="P330" i="12"/>
  <c r="P154" i="12"/>
  <c r="P185" i="12"/>
  <c r="P366" i="12"/>
  <c r="P306" i="12"/>
  <c r="P114" i="12"/>
  <c r="P332" i="12"/>
  <c r="P49" i="12"/>
  <c r="P292" i="12"/>
  <c r="P119" i="12"/>
  <c r="P326" i="12"/>
  <c r="P199" i="12"/>
  <c r="P69" i="12"/>
  <c r="P172" i="12"/>
  <c r="P175" i="12"/>
  <c r="N69" i="12"/>
  <c r="P307" i="12"/>
  <c r="P68" i="12"/>
  <c r="P273" i="12"/>
  <c r="P161" i="12"/>
  <c r="P287" i="12"/>
  <c r="P220" i="12"/>
  <c r="P65" i="12"/>
  <c r="P232" i="12"/>
  <c r="P379" i="12"/>
  <c r="P141" i="12"/>
  <c r="O60" i="12"/>
  <c r="F102" i="5"/>
  <c r="I111" i="5"/>
  <c r="P182" i="12"/>
  <c r="P251" i="12"/>
  <c r="P285" i="12"/>
  <c r="P73" i="12"/>
  <c r="P223" i="12"/>
  <c r="P187" i="12"/>
  <c r="P336" i="12"/>
  <c r="P131" i="12"/>
  <c r="P39" i="12"/>
  <c r="P373" i="12"/>
  <c r="H102" i="5"/>
  <c r="F4" i="5"/>
  <c r="G82" i="5"/>
  <c r="G100" i="5"/>
  <c r="F46" i="5"/>
  <c r="I92" i="5"/>
  <c r="I22" i="5"/>
  <c r="E125" i="5"/>
  <c r="Z22" i="12"/>
  <c r="O39" i="12"/>
  <c r="I126" i="5"/>
  <c r="F104" i="5"/>
  <c r="I52" i="5"/>
  <c r="G90" i="5"/>
  <c r="E72" i="5"/>
  <c r="F113" i="5"/>
  <c r="F56" i="5"/>
  <c r="F97" i="5"/>
  <c r="F45" i="5"/>
  <c r="F70" i="5"/>
  <c r="H80" i="5"/>
  <c r="P272" i="12"/>
  <c r="P274" i="12"/>
  <c r="P240" i="12"/>
  <c r="P112" i="12"/>
  <c r="P106" i="12"/>
  <c r="P343" i="12"/>
  <c r="P291" i="12"/>
  <c r="P317" i="12"/>
  <c r="P268" i="12"/>
  <c r="P253" i="12"/>
  <c r="P107" i="12"/>
  <c r="P196" i="12"/>
  <c r="P163" i="12"/>
  <c r="P213" i="12"/>
  <c r="I16" i="5"/>
  <c r="F9" i="5"/>
  <c r="G49" i="5"/>
  <c r="N43" i="12"/>
  <c r="E115" i="5"/>
  <c r="I62" i="5"/>
  <c r="P45" i="12"/>
  <c r="O49" i="12"/>
  <c r="F34" i="5"/>
  <c r="I50" i="5"/>
  <c r="P345" i="12"/>
  <c r="P294" i="12"/>
  <c r="P168" i="12"/>
  <c r="P397" i="12"/>
  <c r="P245" i="12"/>
  <c r="I74" i="5"/>
  <c r="H13" i="5"/>
  <c r="H64" i="5"/>
  <c r="F121" i="5"/>
  <c r="F124" i="5"/>
  <c r="I53" i="5"/>
  <c r="H33" i="5"/>
  <c r="G30" i="5"/>
  <c r="E55" i="5"/>
  <c r="I123" i="5"/>
  <c r="N45" i="12"/>
  <c r="E32" i="5"/>
  <c r="F92" i="5"/>
  <c r="O53" i="12"/>
  <c r="H68" i="5"/>
  <c r="H55" i="5"/>
  <c r="H115" i="5"/>
  <c r="E68" i="5"/>
  <c r="H10" i="5"/>
  <c r="G64" i="5"/>
  <c r="E64" i="5"/>
  <c r="E56" i="5"/>
  <c r="O75" i="12"/>
  <c r="H15" i="5"/>
  <c r="E49" i="5"/>
  <c r="I115" i="5"/>
  <c r="G12" i="5"/>
  <c r="E2" i="5"/>
  <c r="E15" i="5"/>
  <c r="I61" i="5"/>
  <c r="O35" i="12"/>
  <c r="I80" i="5"/>
  <c r="F96" i="5"/>
  <c r="I105" i="5"/>
  <c r="G53" i="5"/>
  <c r="I89" i="5"/>
  <c r="E37" i="5"/>
  <c r="G72" i="5"/>
  <c r="H117" i="5"/>
  <c r="N34" i="12"/>
  <c r="G112" i="5"/>
  <c r="I71" i="5"/>
  <c r="G93" i="5"/>
  <c r="F71" i="5"/>
  <c r="I40" i="5"/>
  <c r="P304" i="12"/>
  <c r="P267" i="12"/>
  <c r="P338" i="12"/>
  <c r="Z24" i="12"/>
  <c r="P117" i="12"/>
  <c r="P288" i="12"/>
  <c r="P391" i="12"/>
  <c r="P234" i="12"/>
  <c r="P315" i="12"/>
  <c r="P120" i="12"/>
  <c r="N29" i="12"/>
  <c r="H32" i="5"/>
  <c r="I96" i="5"/>
  <c r="I18" i="5"/>
  <c r="E48" i="5"/>
  <c r="P351" i="12"/>
  <c r="P180" i="12"/>
  <c r="P133" i="12"/>
  <c r="P324" i="12"/>
  <c r="P241" i="12"/>
  <c r="G11" i="5"/>
  <c r="F78" i="5"/>
  <c r="E66" i="5"/>
  <c r="F24" i="5"/>
  <c r="I122" i="5"/>
  <c r="I116" i="5"/>
  <c r="I78" i="5"/>
  <c r="E119" i="5"/>
  <c r="G115" i="5"/>
  <c r="I23" i="5"/>
  <c r="E57" i="5"/>
  <c r="H61" i="5"/>
  <c r="E109" i="5"/>
  <c r="I72" i="5"/>
  <c r="G74" i="5"/>
  <c r="E30" i="5"/>
  <c r="H105" i="5"/>
  <c r="G89" i="5"/>
  <c r="N32" i="12"/>
  <c r="G2" i="5"/>
  <c r="H104" i="5"/>
  <c r="I44" i="5"/>
  <c r="F86" i="5"/>
  <c r="I34" i="5"/>
  <c r="G110" i="5"/>
  <c r="N39" i="12"/>
  <c r="I33" i="5"/>
  <c r="E52" i="5"/>
  <c r="E110" i="5"/>
  <c r="E58" i="5"/>
  <c r="G94" i="5"/>
  <c r="E8" i="5"/>
  <c r="P166" i="12"/>
  <c r="P189" i="12"/>
  <c r="P144" i="12"/>
  <c r="P389" i="12"/>
  <c r="E108" i="5"/>
  <c r="E69" i="5"/>
  <c r="O22" i="12"/>
  <c r="F16" i="5"/>
  <c r="H110" i="5"/>
  <c r="F76" i="5"/>
  <c r="F118" i="5"/>
  <c r="O34" i="12"/>
  <c r="I69" i="5"/>
  <c r="N22" i="12"/>
  <c r="I83" i="5"/>
  <c r="G97" i="5"/>
  <c r="G104" i="5"/>
  <c r="H106" i="5"/>
  <c r="E86" i="5"/>
  <c r="E65" i="5"/>
  <c r="H111" i="5"/>
  <c r="I35" i="5"/>
  <c r="E47" i="5"/>
  <c r="O28" i="12"/>
  <c r="F69" i="5"/>
  <c r="H74" i="5"/>
  <c r="F64" i="5"/>
  <c r="F91" i="5"/>
  <c r="I11" i="5"/>
  <c r="G125" i="5"/>
  <c r="H77" i="5"/>
  <c r="G111" i="5"/>
  <c r="N73" i="12"/>
  <c r="H103" i="5"/>
  <c r="E73" i="5"/>
  <c r="F81" i="5"/>
  <c r="O61" i="12"/>
  <c r="O45" i="12"/>
  <c r="G102" i="5"/>
  <c r="O63" i="12"/>
  <c r="F77" i="5"/>
  <c r="F6" i="5"/>
  <c r="I64" i="5"/>
  <c r="I5" i="5"/>
  <c r="H79" i="5"/>
  <c r="O54" i="12"/>
  <c r="I56" i="5"/>
  <c r="G20" i="5"/>
  <c r="F12" i="5"/>
  <c r="O21" i="12"/>
  <c r="I6" i="5"/>
  <c r="C28" i="6" s="1"/>
  <c r="P140" i="12"/>
  <c r="P137" i="12"/>
  <c r="P202" i="12"/>
  <c r="P71" i="12"/>
  <c r="P208" i="12"/>
  <c r="P123" i="12"/>
  <c r="P352" i="12"/>
  <c r="P186" i="12"/>
  <c r="P386" i="12"/>
  <c r="P57" i="12"/>
  <c r="P215" i="12"/>
  <c r="P149" i="12"/>
  <c r="P270" i="12"/>
  <c r="P233" i="12"/>
  <c r="P367" i="12"/>
  <c r="P333" i="12"/>
  <c r="P384" i="12"/>
  <c r="P369" i="12"/>
  <c r="AA16" i="12"/>
  <c r="P265" i="12"/>
  <c r="P247" i="12"/>
  <c r="P195" i="12"/>
  <c r="P139" i="12"/>
  <c r="P98" i="12"/>
  <c r="P146" i="12"/>
  <c r="P99" i="12"/>
  <c r="P230" i="12"/>
  <c r="P91" i="12"/>
  <c r="P89" i="12"/>
  <c r="P48" i="12"/>
  <c r="R272" i="12"/>
  <c r="R120" i="12"/>
  <c r="R191" i="12"/>
  <c r="R258" i="12"/>
  <c r="R236" i="12"/>
  <c r="R295" i="12"/>
  <c r="R393" i="12"/>
  <c r="R356" i="12"/>
  <c r="R383" i="12"/>
  <c r="R189" i="12"/>
  <c r="R332" i="12"/>
  <c r="R354" i="12"/>
  <c r="R248" i="12"/>
  <c r="R239" i="12"/>
  <c r="R102" i="12"/>
  <c r="R312" i="12"/>
  <c r="R286" i="12"/>
  <c r="R280" i="12"/>
  <c r="R320" i="12"/>
  <c r="R144" i="12"/>
  <c r="R178" i="12"/>
  <c r="R246" i="12"/>
  <c r="R365" i="12"/>
  <c r="R145" i="12"/>
  <c r="R36" i="12"/>
  <c r="R223" i="12"/>
  <c r="R192" i="12"/>
  <c r="R317" i="12"/>
  <c r="R366" i="12"/>
  <c r="R358" i="12"/>
  <c r="R186" i="12"/>
  <c r="R327" i="12"/>
  <c r="R267" i="12"/>
  <c r="R167" i="12"/>
  <c r="R87" i="12"/>
  <c r="R161" i="12"/>
  <c r="R132" i="12"/>
  <c r="R169" i="12"/>
  <c r="R234" i="12"/>
  <c r="R261" i="12"/>
  <c r="R279" i="12"/>
  <c r="R331" i="12"/>
  <c r="R78" i="12"/>
  <c r="R22" i="12"/>
  <c r="R214" i="12"/>
  <c r="R163" i="12"/>
  <c r="R264" i="12"/>
  <c r="R133" i="12"/>
  <c r="R143" i="12"/>
  <c r="R221" i="12"/>
  <c r="R160" i="12"/>
  <c r="R32" i="12"/>
  <c r="R184" i="12"/>
  <c r="D30" i="6"/>
  <c r="P97" i="12"/>
  <c r="P260" i="12"/>
  <c r="P236" i="12"/>
  <c r="P132" i="12"/>
  <c r="P316" i="12"/>
  <c r="P363" i="12"/>
  <c r="P96" i="12"/>
  <c r="P188" i="12"/>
  <c r="P356" i="12"/>
  <c r="P219" i="12"/>
  <c r="P101" i="12"/>
  <c r="P169" i="12"/>
  <c r="P311" i="12"/>
  <c r="P339" i="12"/>
  <c r="J23" i="12"/>
  <c r="P126" i="12"/>
  <c r="P348" i="12"/>
  <c r="P279" i="12"/>
  <c r="P358" i="12"/>
  <c r="P122" i="12"/>
  <c r="P283" i="12"/>
  <c r="P319" i="12"/>
  <c r="P244" i="12"/>
  <c r="P103" i="12"/>
  <c r="P54" i="12"/>
  <c r="P217" i="12"/>
  <c r="P337" i="12"/>
  <c r="P124" i="12"/>
  <c r="P43" i="12"/>
  <c r="P399" i="12"/>
  <c r="P60" i="12"/>
  <c r="P193" i="12"/>
  <c r="P44" i="12"/>
  <c r="P136" i="12"/>
  <c r="P340" i="12"/>
  <c r="P368" i="12"/>
  <c r="P289" i="12"/>
  <c r="P50" i="12"/>
  <c r="P360" i="12"/>
  <c r="P109" i="12"/>
  <c r="P249" i="12"/>
  <c r="P347" i="12"/>
  <c r="P355" i="12"/>
  <c r="P381" i="12"/>
  <c r="P305" i="12"/>
  <c r="P275" i="12"/>
  <c r="P376" i="12"/>
  <c r="P262" i="12"/>
  <c r="P393" i="12"/>
  <c r="P56" i="12"/>
  <c r="P350" i="12"/>
  <c r="P392" i="12"/>
  <c r="P250" i="12"/>
  <c r="J1" i="5" a="1"/>
  <c r="P75" i="12"/>
  <c r="P359" i="12"/>
  <c r="P257" i="12"/>
  <c r="P158" i="12"/>
  <c r="P342" i="12"/>
  <c r="P327" i="12"/>
  <c r="P128" i="12"/>
  <c r="P84" i="12"/>
  <c r="P212" i="12"/>
  <c r="P86" i="12"/>
  <c r="P365" i="12"/>
  <c r="P237" i="12"/>
  <c r="P192" i="12"/>
  <c r="P58" i="12"/>
  <c r="P243" i="12"/>
  <c r="P229" i="12"/>
  <c r="P258" i="12"/>
  <c r="P301" i="12"/>
  <c r="P79" i="12"/>
  <c r="P66" i="12"/>
  <c r="P248" i="12"/>
  <c r="P157" i="12"/>
  <c r="P264" i="12"/>
  <c r="P310" i="12"/>
  <c r="P297" i="12"/>
  <c r="P40" i="12"/>
  <c r="P335" i="12"/>
  <c r="P95" i="12"/>
  <c r="P372" i="12"/>
  <c r="P148" i="12"/>
  <c r="P197" i="12"/>
  <c r="P228" i="12"/>
  <c r="P198" i="12"/>
  <c r="P41" i="12"/>
  <c r="P191" i="12"/>
  <c r="P176" i="12"/>
  <c r="P380" i="12"/>
  <c r="P256" i="12"/>
  <c r="P314" i="12"/>
  <c r="P152" i="12"/>
  <c r="P64" i="12"/>
  <c r="P323" i="12"/>
  <c r="P209" i="12"/>
  <c r="P130" i="12"/>
  <c r="P242" i="12"/>
  <c r="P296" i="12"/>
  <c r="P201" i="12"/>
  <c r="P329" i="12"/>
  <c r="P47" i="12"/>
  <c r="P371" i="12"/>
  <c r="P155" i="12"/>
  <c r="P85" i="12"/>
  <c r="P52" i="12"/>
  <c r="P55" i="12"/>
  <c r="P401" i="12"/>
  <c r="P353" i="12"/>
  <c r="P42" i="12"/>
  <c r="P138" i="12"/>
  <c r="P178" i="12"/>
  <c r="P151" i="12"/>
  <c r="P183" i="12"/>
  <c r="C27" i="6"/>
  <c r="P263" i="12"/>
  <c r="P312" i="12"/>
  <c r="P94" i="12"/>
  <c r="P129" i="12"/>
  <c r="P271" i="12"/>
  <c r="D15" i="6"/>
  <c r="P303" i="12"/>
  <c r="P110" i="12"/>
  <c r="P383" i="12"/>
  <c r="P341" i="12"/>
  <c r="P277" i="12"/>
  <c r="R142" i="12"/>
  <c r="R370" i="12"/>
  <c r="R148" i="12"/>
  <c r="R147" i="12"/>
  <c r="R364" i="12"/>
  <c r="R151" i="12"/>
  <c r="R140" i="12"/>
  <c r="R129" i="12"/>
  <c r="R352" i="12"/>
  <c r="R177" i="12"/>
  <c r="R277" i="12"/>
  <c r="R139" i="12"/>
  <c r="R311" i="12"/>
  <c r="R396" i="12"/>
  <c r="R283" i="12"/>
  <c r="R384" i="12"/>
  <c r="R94" i="12"/>
  <c r="R328" i="12"/>
  <c r="R162" i="12"/>
  <c r="R158" i="12"/>
  <c r="R399" i="12"/>
  <c r="R360" i="12"/>
  <c r="R336" i="12"/>
  <c r="R101" i="12"/>
  <c r="R95" i="12"/>
  <c r="R216" i="12"/>
  <c r="R377" i="12"/>
  <c r="R263" i="12"/>
  <c r="R217" i="12"/>
  <c r="R154" i="12"/>
  <c r="R30" i="12"/>
  <c r="R391" i="12"/>
  <c r="R211" i="12"/>
  <c r="R152" i="12"/>
  <c r="R335" i="12"/>
  <c r="R344" i="12"/>
  <c r="R220" i="12"/>
  <c r="R149" i="12"/>
  <c r="R20" i="12"/>
  <c r="R168" i="12"/>
  <c r="R201" i="12"/>
  <c r="R319" i="12"/>
  <c r="R218" i="12"/>
  <c r="R400" i="12"/>
  <c r="R314" i="12"/>
  <c r="R112" i="12"/>
  <c r="R235" i="12"/>
  <c r="R90" i="12"/>
  <c r="R118" i="12"/>
  <c r="R348" i="12"/>
  <c r="R135" i="12"/>
  <c r="R376" i="12"/>
  <c r="R206" i="12"/>
  <c r="R375" i="12"/>
  <c r="R324" i="12"/>
  <c r="R284" i="12"/>
  <c r="R113" i="12"/>
  <c r="R98" i="12"/>
  <c r="R197" i="12"/>
  <c r="R109" i="12"/>
  <c r="R164" i="12"/>
  <c r="R285" i="12"/>
  <c r="R386" i="12"/>
  <c r="R304" i="12"/>
  <c r="R382" i="12"/>
  <c r="R106" i="12"/>
  <c r="R159" i="12"/>
  <c r="R296" i="12"/>
  <c r="R372" i="12"/>
  <c r="R232" i="12"/>
  <c r="R321" i="12"/>
  <c r="R315" i="12"/>
  <c r="R110" i="12"/>
  <c r="R205" i="12"/>
  <c r="R373" i="12"/>
  <c r="R256" i="12"/>
  <c r="R242" i="12"/>
  <c r="R80" i="12"/>
  <c r="R288" i="12"/>
  <c r="R123" i="12"/>
  <c r="R276" i="12"/>
  <c r="R305" i="12"/>
  <c r="R155" i="12"/>
  <c r="R293" i="12"/>
  <c r="R278" i="12"/>
  <c r="R176" i="12"/>
  <c r="R175" i="12"/>
  <c r="R342" i="12"/>
  <c r="R341" i="12"/>
  <c r="R350" i="12"/>
  <c r="R119" i="12"/>
  <c r="R378" i="12"/>
  <c r="R349" i="12"/>
  <c r="R240" i="12"/>
  <c r="R209" i="12"/>
  <c r="R86" i="12"/>
  <c r="R84" i="12"/>
  <c r="R347" i="12"/>
  <c r="R21" i="12"/>
  <c r="R116" i="12"/>
  <c r="R362" i="12"/>
  <c r="R388" i="12"/>
  <c r="R229" i="12"/>
  <c r="R292" i="12"/>
  <c r="R361" i="12"/>
  <c r="R88" i="12"/>
  <c r="R290" i="12"/>
  <c r="R146" i="12"/>
  <c r="R85" i="12"/>
  <c r="R114" i="12"/>
  <c r="R170" i="12"/>
  <c r="R394" i="12"/>
  <c r="R307" i="12"/>
  <c r="R398" i="12"/>
  <c r="R138" i="12"/>
  <c r="R97" i="12"/>
  <c r="R275" i="12"/>
  <c r="R141" i="12"/>
  <c r="R19" i="12"/>
  <c r="R281" i="12"/>
  <c r="R131" i="12"/>
  <c r="R325" i="12"/>
  <c r="R298" i="12"/>
  <c r="R202" i="12"/>
  <c r="R127" i="12"/>
  <c r="R363" i="12"/>
  <c r="R107" i="12"/>
  <c r="R392" i="12"/>
  <c r="R183" i="12"/>
  <c r="R185" i="12"/>
  <c r="R334" i="12"/>
  <c r="R323" i="12"/>
  <c r="R173" i="12"/>
  <c r="R213" i="12"/>
  <c r="R251" i="12"/>
  <c r="R196" i="12"/>
  <c r="R313" i="12"/>
  <c r="R241" i="12"/>
  <c r="R130" i="12"/>
  <c r="R207" i="12"/>
  <c r="R224" i="12"/>
  <c r="R24" i="12"/>
  <c r="R266" i="12"/>
  <c r="R390" i="12"/>
  <c r="R33" i="12"/>
  <c r="R26" i="12"/>
  <c r="R389" i="12"/>
  <c r="R249" i="12"/>
  <c r="R294" i="12"/>
  <c r="R244" i="12"/>
  <c r="R273" i="12"/>
  <c r="R96" i="12"/>
  <c r="R83" i="12"/>
  <c r="R268" i="12"/>
  <c r="R115" i="12"/>
  <c r="R379" i="12"/>
  <c r="R387" i="12"/>
  <c r="R299" i="12"/>
  <c r="R262" i="12"/>
  <c r="R219" i="12"/>
  <c r="R153" i="12"/>
  <c r="R124" i="12"/>
  <c r="R368" i="12"/>
  <c r="R181" i="12"/>
  <c r="R243" i="12"/>
  <c r="R134" i="12"/>
  <c r="R171" i="12"/>
  <c r="R103" i="12"/>
  <c r="R187" i="12"/>
  <c r="R282" i="12"/>
  <c r="R269" i="12"/>
  <c r="R231" i="12"/>
  <c r="R322" i="12"/>
  <c r="R190" i="12"/>
  <c r="R128" i="12"/>
  <c r="R287" i="12"/>
  <c r="R302" i="12"/>
  <c r="R310" i="12"/>
  <c r="R254" i="12"/>
  <c r="R117" i="12"/>
  <c r="R228" i="12"/>
  <c r="R380" i="12"/>
  <c r="R371" i="12"/>
  <c r="R237" i="12"/>
  <c r="R104" i="12"/>
  <c r="R227" i="12"/>
  <c r="R309" i="12"/>
  <c r="R125" i="12"/>
  <c r="R105" i="12"/>
  <c r="R27" i="12"/>
  <c r="R338" i="12"/>
  <c r="R156" i="12"/>
  <c r="R301" i="12"/>
  <c r="R343" i="12"/>
  <c r="R245" i="12"/>
  <c r="R306" i="12"/>
  <c r="R316" i="12"/>
  <c r="R340" i="12"/>
  <c r="R35" i="12"/>
  <c r="R82" i="12"/>
  <c r="R174" i="12"/>
  <c r="R210" i="12"/>
  <c r="R81" i="12"/>
  <c r="R351" i="12"/>
  <c r="R326" i="12"/>
  <c r="R270" i="12"/>
  <c r="R93" i="12"/>
  <c r="R29" i="12"/>
  <c r="R137" i="12"/>
  <c r="R204" i="12"/>
  <c r="R318" i="12"/>
  <c r="R100" i="12"/>
  <c r="R166" i="12"/>
  <c r="R23" i="12"/>
  <c r="R255" i="12"/>
  <c r="R271" i="12"/>
  <c r="R200" i="12"/>
  <c r="R346" i="12"/>
  <c r="R226" i="12"/>
  <c r="R91" i="12"/>
  <c r="R89" i="12"/>
  <c r="R274" i="12"/>
  <c r="R215" i="12"/>
  <c r="R333" i="12"/>
  <c r="R121" i="12"/>
  <c r="R195" i="12"/>
  <c r="R79" i="12"/>
  <c r="R385" i="12"/>
  <c r="R357" i="12"/>
  <c r="R126" i="12"/>
  <c r="R367" i="12"/>
  <c r="R355" i="12"/>
  <c r="R180" i="12"/>
  <c r="R330" i="12"/>
  <c r="R353" i="12"/>
  <c r="R225" i="12"/>
  <c r="R250" i="12"/>
  <c r="R157" i="12"/>
  <c r="R300" i="12"/>
  <c r="R136" i="12"/>
  <c r="R99" i="12"/>
  <c r="R188" i="12"/>
  <c r="R230" i="12"/>
  <c r="R337" i="12"/>
  <c r="R359" i="12"/>
  <c r="R34" i="12"/>
  <c r="R303" i="12"/>
  <c r="R395" i="12"/>
  <c r="R345" i="12"/>
  <c r="R329" i="12"/>
  <c r="R252" i="12"/>
  <c r="R25" i="12"/>
  <c r="R212" i="12"/>
  <c r="R297" i="12"/>
  <c r="R259" i="12"/>
  <c r="R165" i="12"/>
  <c r="R289" i="12"/>
  <c r="R193" i="12"/>
  <c r="R369" i="12"/>
  <c r="R339" i="12"/>
  <c r="R238" i="12"/>
  <c r="R253" i="12"/>
  <c r="R401" i="12"/>
  <c r="R260" i="12"/>
  <c r="R28" i="12"/>
  <c r="R222" i="12"/>
  <c r="R108" i="12"/>
  <c r="R198" i="12"/>
  <c r="R381" i="12"/>
  <c r="R182" i="12"/>
  <c r="R291" i="12"/>
  <c r="R247" i="12"/>
  <c r="R150" i="12"/>
  <c r="R208" i="12"/>
  <c r="R111" i="12"/>
  <c r="R31" i="12"/>
  <c r="R203" i="12"/>
  <c r="R92" i="12"/>
  <c r="R397" i="12"/>
  <c r="R308" i="12"/>
  <c r="R199" i="12"/>
  <c r="R257" i="12"/>
  <c r="R265" i="12"/>
  <c r="R179" i="12"/>
  <c r="R374" i="12"/>
  <c r="R233" i="12"/>
  <c r="R122" i="12"/>
  <c r="R194" i="12"/>
  <c r="R172" i="12"/>
  <c r="Q60" i="12" l="1"/>
  <c r="Q69" i="12"/>
  <c r="Q62" i="12"/>
  <c r="Q64" i="12"/>
  <c r="Q50" i="12"/>
  <c r="Q72" i="12"/>
  <c r="Q66" i="12"/>
  <c r="Q63" i="12"/>
  <c r="Q57" i="12"/>
  <c r="Q48" i="12"/>
  <c r="Q39" i="12"/>
  <c r="Q40" i="12"/>
  <c r="Q42" i="12"/>
  <c r="Q73" i="12"/>
  <c r="Q68" i="12"/>
  <c r="Q65" i="12"/>
  <c r="Q41" i="12"/>
  <c r="Q51" i="12"/>
  <c r="Q74" i="12"/>
  <c r="Q55" i="12"/>
  <c r="Q53" i="12"/>
  <c r="Q58" i="12"/>
  <c r="Q49" i="12"/>
  <c r="Q75" i="12"/>
  <c r="Q61" i="12"/>
  <c r="Q44" i="12"/>
  <c r="Q52" i="12"/>
  <c r="Q45" i="12"/>
  <c r="Q59" i="12"/>
  <c r="Q46" i="12"/>
  <c r="Q54" i="12"/>
  <c r="Q56" i="12"/>
  <c r="Q43" i="12"/>
  <c r="Q47" i="12"/>
  <c r="Q67" i="12"/>
  <c r="Q70" i="12"/>
  <c r="Q71" i="12"/>
  <c r="J119" i="5"/>
  <c r="J61" i="5"/>
  <c r="J74" i="5"/>
  <c r="J36" i="5"/>
  <c r="J113" i="5"/>
  <c r="J8" i="5"/>
  <c r="J21" i="5"/>
  <c r="J85" i="5"/>
  <c r="J116" i="5"/>
  <c r="J99" i="5"/>
  <c r="J3" i="5"/>
  <c r="J43" i="5"/>
  <c r="J121" i="5"/>
  <c r="J12" i="5"/>
  <c r="J86" i="5"/>
  <c r="J55" i="5"/>
  <c r="J123" i="5"/>
  <c r="J54" i="5"/>
  <c r="J31" i="5"/>
  <c r="J95" i="5"/>
  <c r="J108" i="5"/>
  <c r="J111" i="5"/>
  <c r="J102" i="5"/>
  <c r="J13" i="5"/>
  <c r="J122" i="5"/>
  <c r="J110" i="5"/>
  <c r="J51" i="5"/>
  <c r="J30" i="5"/>
  <c r="J125" i="5"/>
  <c r="J64" i="5"/>
  <c r="J68" i="5"/>
  <c r="J88" i="5"/>
  <c r="J9" i="5"/>
  <c r="J72" i="5"/>
  <c r="J18" i="5"/>
  <c r="J101" i="5"/>
  <c r="J33" i="5"/>
  <c r="J82" i="5"/>
  <c r="J84" i="5"/>
  <c r="J17" i="5"/>
  <c r="J67" i="5"/>
  <c r="J42" i="5"/>
  <c r="J112" i="5"/>
  <c r="J115" i="5"/>
  <c r="J87" i="5"/>
  <c r="J60" i="5"/>
  <c r="J45" i="5"/>
  <c r="J49" i="5"/>
  <c r="J50" i="5"/>
  <c r="J106" i="5"/>
  <c r="J70" i="5"/>
  <c r="J105" i="5"/>
  <c r="J97" i="5"/>
  <c r="J92" i="5"/>
  <c r="J56" i="5"/>
  <c r="J66" i="5"/>
  <c r="J80" i="5"/>
  <c r="J47" i="5"/>
  <c r="J48" i="5"/>
  <c r="J118" i="5"/>
  <c r="J89" i="5"/>
  <c r="J90" i="5"/>
  <c r="J23" i="5"/>
  <c r="J124" i="5"/>
  <c r="J5" i="5"/>
  <c r="J107" i="5"/>
  <c r="J22" i="5"/>
  <c r="J65" i="5"/>
  <c r="J1" i="5"/>
  <c r="J109" i="5"/>
  <c r="J2" i="5"/>
  <c r="J103" i="5"/>
  <c r="J15" i="5"/>
  <c r="J126" i="5"/>
  <c r="J52" i="5"/>
  <c r="J83" i="5"/>
  <c r="J16" i="5"/>
  <c r="J6" i="5"/>
  <c r="J20" i="5"/>
  <c r="J63" i="5"/>
  <c r="J104" i="5"/>
  <c r="J10" i="5"/>
  <c r="J32" i="5"/>
  <c r="J93" i="5"/>
  <c r="J78" i="5"/>
  <c r="J38" i="5"/>
  <c r="J35" i="5"/>
  <c r="J29" i="5"/>
  <c r="J91" i="5"/>
  <c r="J57" i="5"/>
  <c r="J37" i="5"/>
  <c r="J75" i="5"/>
  <c r="J98" i="5"/>
  <c r="J34" i="5"/>
  <c r="J96" i="5"/>
  <c r="J59" i="5"/>
  <c r="J120" i="5"/>
  <c r="J46" i="5"/>
  <c r="J94" i="5"/>
  <c r="J19" i="5"/>
  <c r="J26" i="5"/>
  <c r="J77" i="5"/>
  <c r="J24" i="5"/>
  <c r="J73" i="5"/>
  <c r="J14" i="5"/>
  <c r="J71" i="5"/>
  <c r="J117" i="5"/>
  <c r="J28" i="5"/>
  <c r="J76" i="5"/>
  <c r="J4" i="5"/>
  <c r="J100" i="5"/>
  <c r="J39" i="5"/>
  <c r="J81" i="5"/>
  <c r="J79" i="5"/>
  <c r="J25" i="5"/>
  <c r="J44" i="5"/>
  <c r="J41" i="5"/>
  <c r="J11" i="5"/>
  <c r="J69" i="5"/>
  <c r="J114" i="5"/>
  <c r="J53" i="5"/>
  <c r="J62" i="5"/>
  <c r="J7" i="5"/>
  <c r="J58" i="5"/>
  <c r="J27" i="5"/>
  <c r="J40" i="5"/>
  <c r="O337" i="12"/>
  <c r="O88" i="12"/>
  <c r="O102" i="12"/>
  <c r="R46" i="12"/>
  <c r="O252" i="12"/>
  <c r="O322" i="12"/>
  <c r="O302" i="12"/>
  <c r="R68" i="12"/>
  <c r="O148" i="12"/>
  <c r="O182" i="12"/>
  <c r="O240" i="12"/>
  <c r="O142" i="12"/>
  <c r="O112" i="12"/>
  <c r="O267" i="12"/>
  <c r="R65" i="12"/>
  <c r="O110" i="12"/>
  <c r="O141" i="12"/>
  <c r="O140" i="12"/>
  <c r="D27" i="6"/>
  <c r="O320" i="12"/>
  <c r="R41" i="12"/>
  <c r="O105" i="12"/>
  <c r="O316" i="12"/>
  <c r="O134" i="12"/>
  <c r="O338" i="12"/>
  <c r="O344" i="12"/>
  <c r="R51" i="12"/>
  <c r="O354" i="12"/>
  <c r="O188" i="12"/>
  <c r="O357" i="12"/>
  <c r="O365" i="12"/>
  <c r="R62" i="12"/>
  <c r="O372" i="12"/>
  <c r="O339" i="12"/>
  <c r="O268" i="12"/>
  <c r="O378" i="12"/>
  <c r="O117" i="12"/>
  <c r="O98" i="12"/>
  <c r="O269" i="12"/>
  <c r="S269" i="12" s="1"/>
  <c r="O305" i="12"/>
  <c r="O111" i="12"/>
  <c r="O229" i="12"/>
  <c r="O213" i="12"/>
  <c r="O377" i="12"/>
  <c r="O349" i="12"/>
  <c r="O264" i="12"/>
  <c r="R49" i="12"/>
  <c r="T20" i="12"/>
  <c r="O214" i="12"/>
  <c r="O224" i="12"/>
  <c r="O130" i="12"/>
  <c r="O286" i="12"/>
  <c r="R75" i="12"/>
  <c r="O303" i="12"/>
  <c r="O99" i="12"/>
  <c r="O97" i="12"/>
  <c r="O165" i="12"/>
  <c r="S322" i="12"/>
  <c r="O151" i="12"/>
  <c r="R61" i="12"/>
  <c r="O109" i="12"/>
  <c r="O368" i="12"/>
  <c r="O96" i="12"/>
  <c r="O198" i="12"/>
  <c r="R44" i="12"/>
  <c r="O292" i="12"/>
  <c r="O261" i="12"/>
  <c r="O170" i="12"/>
  <c r="O234" i="12"/>
  <c r="O185" i="12"/>
  <c r="R39" i="12"/>
  <c r="O186" i="12"/>
  <c r="O218" i="12"/>
  <c r="O197" i="12"/>
  <c r="O233" i="12"/>
  <c r="S267" i="12"/>
  <c r="S252" i="12"/>
  <c r="O166" i="12"/>
  <c r="R55" i="12"/>
  <c r="O106" i="12"/>
  <c r="O153" i="12"/>
  <c r="O118" i="12"/>
  <c r="R59" i="12"/>
  <c r="O335" i="12"/>
  <c r="O146" i="12"/>
  <c r="O235" i="12"/>
  <c r="T34" i="12"/>
  <c r="O243" i="12"/>
  <c r="O373" i="12"/>
  <c r="S373" i="12" s="1"/>
  <c r="O328" i="12"/>
  <c r="O333" i="12"/>
  <c r="O345" i="12"/>
  <c r="O388" i="12"/>
  <c r="O178" i="12"/>
  <c r="O161" i="12"/>
  <c r="O323" i="12"/>
  <c r="R54" i="12"/>
  <c r="O381" i="12"/>
  <c r="O250" i="12"/>
  <c r="O236" i="12"/>
  <c r="O291" i="12"/>
  <c r="S291" i="12" s="1"/>
  <c r="R56" i="12"/>
  <c r="S243" i="12"/>
  <c r="T243" i="12" s="1"/>
  <c r="O184" i="12"/>
  <c r="S184" i="12" s="1"/>
  <c r="O358" i="12"/>
  <c r="O169" i="12"/>
  <c r="R43" i="12"/>
  <c r="O329" i="12"/>
  <c r="T43" i="12"/>
  <c r="O86" i="12"/>
  <c r="O379" i="12"/>
  <c r="R47" i="12"/>
  <c r="O393" i="12"/>
  <c r="O120" i="12"/>
  <c r="O195" i="12"/>
  <c r="S97" i="12"/>
  <c r="O209" i="12"/>
  <c r="R74" i="12"/>
  <c r="O242" i="12"/>
  <c r="O360" i="12"/>
  <c r="O225" i="12"/>
  <c r="O149" i="12"/>
  <c r="O347" i="12"/>
  <c r="O220" i="12"/>
  <c r="R45" i="12"/>
  <c r="O284" i="12"/>
  <c r="O400" i="12"/>
  <c r="O361" i="12"/>
  <c r="O215" i="12"/>
  <c r="O387" i="12"/>
  <c r="R71" i="12"/>
  <c r="O401" i="12"/>
  <c r="O241" i="12"/>
  <c r="O309" i="12"/>
  <c r="O200" i="12"/>
  <c r="S333" i="12"/>
  <c r="O167" i="12"/>
  <c r="S130" i="12"/>
  <c r="T252" i="12"/>
  <c r="O181" i="12"/>
  <c r="O321" i="12"/>
  <c r="O132" i="12"/>
  <c r="O156" i="12"/>
  <c r="O353" i="12"/>
  <c r="O310" i="12"/>
  <c r="O348" i="12"/>
  <c r="O155" i="12"/>
  <c r="S155" i="12" s="1"/>
  <c r="T155" i="12" s="1"/>
  <c r="S349" i="12"/>
  <c r="O336" i="12"/>
  <c r="S336" i="12" s="1"/>
  <c r="O171" i="12"/>
  <c r="O245" i="12"/>
  <c r="S245" i="12" s="1"/>
  <c r="T245" i="12" s="1"/>
  <c r="O237" i="12"/>
  <c r="O273" i="12"/>
  <c r="O108" i="12"/>
  <c r="O89" i="12"/>
  <c r="O307" i="12"/>
  <c r="S337" i="12"/>
  <c r="S171" i="12"/>
  <c r="O394" i="12"/>
  <c r="S273" i="12"/>
  <c r="T273" i="12" s="1"/>
  <c r="S213" i="12"/>
  <c r="T213" i="12" s="1"/>
  <c r="O189" i="12"/>
  <c r="O341" i="12"/>
  <c r="S323" i="12"/>
  <c r="O159" i="12"/>
  <c r="O271" i="12"/>
  <c r="O289" i="12"/>
  <c r="S353" i="12"/>
  <c r="S86" i="12"/>
  <c r="T86" i="12" s="1"/>
  <c r="O135" i="12"/>
  <c r="O343" i="12"/>
  <c r="S344" i="12"/>
  <c r="O397" i="12"/>
  <c r="T31" i="12"/>
  <c r="O392" i="12"/>
  <c r="S392" i="12" s="1"/>
  <c r="O131" i="12"/>
  <c r="S303" i="12"/>
  <c r="S214" i="12"/>
  <c r="T214" i="12" s="1"/>
  <c r="S182" i="12"/>
  <c r="O312" i="12"/>
  <c r="R52" i="12"/>
  <c r="O143" i="12"/>
  <c r="S341" i="12"/>
  <c r="T341" i="12" s="1"/>
  <c r="O199" i="12"/>
  <c r="O299" i="12"/>
  <c r="O150" i="12"/>
  <c r="R70" i="12"/>
  <c r="O175" i="12"/>
  <c r="S105" i="12"/>
  <c r="T105" i="12" s="1"/>
  <c r="O139" i="12"/>
  <c r="O356" i="12"/>
  <c r="O125" i="12"/>
  <c r="O390" i="12"/>
  <c r="O304" i="12"/>
  <c r="O367" i="12"/>
  <c r="O205" i="12"/>
  <c r="S89" i="12"/>
  <c r="T89" i="12" s="1"/>
  <c r="O375" i="12"/>
  <c r="S343" i="12"/>
  <c r="S310" i="12"/>
  <c r="O276" i="12"/>
  <c r="S120" i="12"/>
  <c r="O244" i="12"/>
  <c r="S244" i="12" s="1"/>
  <c r="T244" i="12" s="1"/>
  <c r="O352" i="12"/>
  <c r="S352" i="12" s="1"/>
  <c r="O190" i="12"/>
  <c r="R72" i="12"/>
  <c r="O280" i="12"/>
  <c r="S280" i="12" s="1"/>
  <c r="T280" i="12" s="1"/>
  <c r="O370" i="12"/>
  <c r="O201" i="12"/>
  <c r="S201" i="12" s="1"/>
  <c r="T201" i="12" s="1"/>
  <c r="O208" i="12"/>
  <c r="O211" i="12"/>
  <c r="O126" i="12"/>
  <c r="S126" i="12" s="1"/>
  <c r="T72" i="12"/>
  <c r="O253" i="12"/>
  <c r="O101" i="12"/>
  <c r="O94" i="12"/>
  <c r="S94" i="12" s="1"/>
  <c r="O104" i="12"/>
  <c r="O176" i="12"/>
  <c r="O210" i="12"/>
  <c r="O325" i="12"/>
  <c r="S325" i="12" s="1"/>
  <c r="T325" i="12" s="1"/>
  <c r="O332" i="12"/>
  <c r="O287" i="12"/>
  <c r="S287" i="12" s="1"/>
  <c r="R73" i="12"/>
  <c r="S332" i="12"/>
  <c r="T332" i="12" s="1"/>
  <c r="O95" i="12"/>
  <c r="T22" i="12"/>
  <c r="Z25" i="12"/>
  <c r="O129" i="12"/>
  <c r="O330" i="12"/>
  <c r="O114" i="12"/>
  <c r="O334" i="12"/>
  <c r="O399" i="12"/>
  <c r="O187" i="12"/>
  <c r="S187" i="12" s="1"/>
  <c r="T187" i="12" s="1"/>
  <c r="O255" i="12"/>
  <c r="O396" i="12"/>
  <c r="Y26" i="12"/>
  <c r="O308" i="12"/>
  <c r="S132" i="12"/>
  <c r="S110" i="12"/>
  <c r="O351" i="12"/>
  <c r="T28" i="12"/>
  <c r="O145" i="12"/>
  <c r="S145" i="12" s="1"/>
  <c r="R60" i="12"/>
  <c r="T56" i="12"/>
  <c r="O315" i="12"/>
  <c r="T73" i="12"/>
  <c r="O121" i="12"/>
  <c r="O277" i="12"/>
  <c r="S277" i="12" s="1"/>
  <c r="T32" i="12"/>
  <c r="O216" i="12"/>
  <c r="R69" i="12"/>
  <c r="O272" i="12"/>
  <c r="T46" i="12"/>
  <c r="O283" i="12"/>
  <c r="O285" i="12"/>
  <c r="S285" i="12" s="1"/>
  <c r="O80" i="12"/>
  <c r="O384" i="12"/>
  <c r="S384" i="12" s="1"/>
  <c r="O293" i="12"/>
  <c r="O295" i="12"/>
  <c r="T52" i="12"/>
  <c r="O212" i="12"/>
  <c r="O294" i="12"/>
  <c r="S294" i="12" s="1"/>
  <c r="O180" i="12"/>
  <c r="O144" i="12"/>
  <c r="O147" i="12"/>
  <c r="S186" i="12"/>
  <c r="O223" i="12"/>
  <c r="O81" i="12"/>
  <c r="O164" i="12"/>
  <c r="O342" i="12"/>
  <c r="O193" i="12"/>
  <c r="O119" i="12"/>
  <c r="R50" i="12"/>
  <c r="O160" i="12"/>
  <c r="T36" i="12"/>
  <c r="D29" i="6"/>
  <c r="O383" i="12"/>
  <c r="T60" i="12"/>
  <c r="T294" i="12"/>
  <c r="O298" i="12"/>
  <c r="S197" i="12"/>
  <c r="T197" i="12" s="1"/>
  <c r="T130" i="12"/>
  <c r="T120" i="12"/>
  <c r="T285" i="12"/>
  <c r="T186" i="12"/>
  <c r="O138" i="12"/>
  <c r="S138" i="12" s="1"/>
  <c r="O359" i="12"/>
  <c r="S359" i="12" s="1"/>
  <c r="T359" i="12" s="1"/>
  <c r="R58" i="12"/>
  <c r="T58" i="12" s="1"/>
  <c r="O232" i="12"/>
  <c r="S232" i="12" s="1"/>
  <c r="O226" i="12"/>
  <c r="S226" i="12" s="1"/>
  <c r="T226" i="12" s="1"/>
  <c r="O318" i="12"/>
  <c r="O389" i="12"/>
  <c r="S389" i="12" s="1"/>
  <c r="O331" i="12"/>
  <c r="R66" i="12"/>
  <c r="O222" i="12"/>
  <c r="S222" i="12" s="1"/>
  <c r="S321" i="12"/>
  <c r="T321" i="12" s="1"/>
  <c r="S111" i="12"/>
  <c r="O82" i="12"/>
  <c r="S331" i="12"/>
  <c r="O246" i="12"/>
  <c r="S246" i="12" s="1"/>
  <c r="R63" i="12"/>
  <c r="O363" i="12"/>
  <c r="S363" i="12" s="1"/>
  <c r="O386" i="12"/>
  <c r="O256" i="12"/>
  <c r="S256" i="12" s="1"/>
  <c r="O115" i="12"/>
  <c r="S211" i="12"/>
  <c r="T110" i="12"/>
  <c r="O238" i="12"/>
  <c r="S238" i="12" s="1"/>
  <c r="R57" i="12"/>
  <c r="T57" i="12" s="1"/>
  <c r="O319" i="12"/>
  <c r="S319" i="12" s="1"/>
  <c r="O116" i="12"/>
  <c r="O123" i="12"/>
  <c r="S123" i="12" s="1"/>
  <c r="O288" i="12"/>
  <c r="S288" i="12" s="1"/>
  <c r="S237" i="12"/>
  <c r="O87" i="12"/>
  <c r="S87" i="12" s="1"/>
  <c r="T87" i="12" s="1"/>
  <c r="S116" i="12"/>
  <c r="T116" i="12" s="1"/>
  <c r="O162" i="12"/>
  <c r="R48" i="12"/>
  <c r="S330" i="12"/>
  <c r="O385" i="12"/>
  <c r="S345" i="12"/>
  <c r="T345" i="12" s="1"/>
  <c r="S292" i="12"/>
  <c r="S302" i="12"/>
  <c r="S99" i="12"/>
  <c r="S148" i="12"/>
  <c r="O259" i="12"/>
  <c r="O122" i="12"/>
  <c r="O247" i="12"/>
  <c r="S328" i="12"/>
  <c r="T328" i="12" s="1"/>
  <c r="O239" i="12"/>
  <c r="S239" i="12" s="1"/>
  <c r="O227" i="12"/>
  <c r="S227" i="12" s="1"/>
  <c r="O278" i="12"/>
  <c r="S278" i="12" s="1"/>
  <c r="S121" i="12"/>
  <c r="S178" i="12"/>
  <c r="T178" i="12" s="1"/>
  <c r="T211" i="12"/>
  <c r="O204" i="12"/>
  <c r="R64" i="12"/>
  <c r="T54" i="12"/>
  <c r="O203" i="12"/>
  <c r="S223" i="12"/>
  <c r="O274" i="12"/>
  <c r="O395" i="12"/>
  <c r="O230" i="12"/>
  <c r="R42" i="12"/>
  <c r="T42" i="12" s="1"/>
  <c r="O254" i="12"/>
  <c r="T25" i="12"/>
  <c r="O282" i="12"/>
  <c r="O275" i="12"/>
  <c r="S396" i="12"/>
  <c r="O168" i="12"/>
  <c r="O231" i="12"/>
  <c r="O265" i="12"/>
  <c r="T238" i="12"/>
  <c r="T99" i="12"/>
  <c r="D28" i="6"/>
  <c r="S372" i="12"/>
  <c r="T148" i="12"/>
  <c r="T310" i="12"/>
  <c r="T239" i="12"/>
  <c r="O124" i="12"/>
  <c r="S124" i="12" s="1"/>
  <c r="S102" i="12"/>
  <c r="T102" i="12" s="1"/>
  <c r="O266" i="12"/>
  <c r="S266" i="12" s="1"/>
  <c r="T266" i="12" s="1"/>
  <c r="O154" i="12"/>
  <c r="O107" i="12"/>
  <c r="T35" i="12"/>
  <c r="S253" i="12"/>
  <c r="O324" i="12"/>
  <c r="S381" i="12"/>
  <c r="T381" i="12" s="1"/>
  <c r="O248" i="12"/>
  <c r="S181" i="12"/>
  <c r="R40" i="12"/>
  <c r="O290" i="12"/>
  <c r="S290" i="12" s="1"/>
  <c r="O103" i="12"/>
  <c r="O228" i="12"/>
  <c r="S228" i="12" s="1"/>
  <c r="O177" i="12"/>
  <c r="O364" i="12"/>
  <c r="T330" i="12"/>
  <c r="O91" i="12"/>
  <c r="T287" i="12"/>
  <c r="T97" i="12"/>
  <c r="T228" i="12"/>
  <c r="T392" i="12"/>
  <c r="T184" i="12"/>
  <c r="O263" i="12"/>
  <c r="S263" i="12" s="1"/>
  <c r="O249" i="12"/>
  <c r="S249" i="12" s="1"/>
  <c r="O219" i="12"/>
  <c r="S219" i="12" s="1"/>
  <c r="T219" i="12" s="1"/>
  <c r="O100" i="12"/>
  <c r="O157" i="12"/>
  <c r="S329" i="12"/>
  <c r="O207" i="12"/>
  <c r="O313" i="12"/>
  <c r="O92" i="12"/>
  <c r="T30" i="12"/>
  <c r="O296" i="12"/>
  <c r="S229" i="12"/>
  <c r="O300" i="12"/>
  <c r="O217" i="12"/>
  <c r="S190" i="12"/>
  <c r="T190" i="12" s="1"/>
  <c r="S119" i="12"/>
  <c r="T119" i="12" s="1"/>
  <c r="T263" i="12"/>
  <c r="S368" i="12"/>
  <c r="T368" i="12" s="1"/>
  <c r="T343" i="12"/>
  <c r="O173" i="12"/>
  <c r="S173" i="12" s="1"/>
  <c r="O326" i="12"/>
  <c r="S326" i="12" s="1"/>
  <c r="O90" i="12"/>
  <c r="O262" i="12"/>
  <c r="S262" i="12" s="1"/>
  <c r="O127" i="12"/>
  <c r="O78" i="12"/>
  <c r="S379" i="12"/>
  <c r="S283" i="12"/>
  <c r="T283" i="12" s="1"/>
  <c r="R67" i="12"/>
  <c r="S159" i="12"/>
  <c r="O314" i="12"/>
  <c r="S314" i="12" s="1"/>
  <c r="S150" i="12"/>
  <c r="T150" i="12" s="1"/>
  <c r="O221" i="12"/>
  <c r="T64" i="12"/>
  <c r="S388" i="12"/>
  <c r="T49" i="12"/>
  <c r="S210" i="12"/>
  <c r="T352" i="12"/>
  <c r="S142" i="12"/>
  <c r="T249" i="12"/>
  <c r="T329" i="12"/>
  <c r="Z26" i="12"/>
  <c r="O311" i="12"/>
  <c r="O376" i="12"/>
  <c r="O391" i="12"/>
  <c r="S391" i="12" s="1"/>
  <c r="O191" i="12"/>
  <c r="S156" i="12"/>
  <c r="O297" i="12"/>
  <c r="S78" i="12"/>
  <c r="T78" i="12" s="1"/>
  <c r="S195" i="12"/>
  <c r="T195" i="12" s="1"/>
  <c r="O84" i="12"/>
  <c r="S264" i="12"/>
  <c r="T145" i="12"/>
  <c r="O163" i="12"/>
  <c r="O380" i="12"/>
  <c r="O251" i="12"/>
  <c r="O152" i="12"/>
  <c r="S305" i="12"/>
  <c r="T290" i="12"/>
  <c r="S204" i="12"/>
  <c r="O270" i="12"/>
  <c r="S166" i="12"/>
  <c r="S367" i="12"/>
  <c r="T367" i="12" s="1"/>
  <c r="T121" i="12"/>
  <c r="T372" i="12"/>
  <c r="T227" i="12"/>
  <c r="T142" i="12"/>
  <c r="Y27" i="12"/>
  <c r="Y28" i="12" s="1"/>
  <c r="Y29" i="12" s="1"/>
  <c r="Y30" i="12" s="1"/>
  <c r="Z30" i="12" s="1"/>
  <c r="O202" i="12"/>
  <c r="S202" i="12" s="1"/>
  <c r="O281" i="12"/>
  <c r="S281" i="12" s="1"/>
  <c r="T281" i="12" s="1"/>
  <c r="O136" i="12"/>
  <c r="O301" i="12"/>
  <c r="O374" i="12"/>
  <c r="O79" i="12"/>
  <c r="S79" i="12" s="1"/>
  <c r="T29" i="12"/>
  <c r="S154" i="12"/>
  <c r="T23" i="12"/>
  <c r="O371" i="12"/>
  <c r="S376" i="12"/>
  <c r="S100" i="12"/>
  <c r="T100" i="12" s="1"/>
  <c r="O196" i="12"/>
  <c r="S297" i="12"/>
  <c r="O83" i="12"/>
  <c r="S112" i="12"/>
  <c r="S386" i="12"/>
  <c r="T386" i="12" s="1"/>
  <c r="T322" i="12"/>
  <c r="T303" i="12"/>
  <c r="T277" i="12"/>
  <c r="T112" i="12"/>
  <c r="T253" i="12"/>
  <c r="Z27" i="12"/>
  <c r="O137" i="12"/>
  <c r="S137" i="12" s="1"/>
  <c r="O133" i="12"/>
  <c r="S133" i="12" s="1"/>
  <c r="T24" i="12"/>
  <c r="O398" i="12"/>
  <c r="S398" i="12" s="1"/>
  <c r="O350" i="12"/>
  <c r="S350" i="12" s="1"/>
  <c r="T350" i="12" s="1"/>
  <c r="T66" i="12"/>
  <c r="O355" i="12"/>
  <c r="O382" i="12"/>
  <c r="T337" i="12"/>
  <c r="S114" i="12"/>
  <c r="T114" i="12" s="1"/>
  <c r="O174" i="12"/>
  <c r="O366" i="12"/>
  <c r="S355" i="12"/>
  <c r="O257" i="12"/>
  <c r="R53" i="12"/>
  <c r="O260" i="12"/>
  <c r="S286" i="12"/>
  <c r="S351" i="12"/>
  <c r="O206" i="12"/>
  <c r="T182" i="12"/>
  <c r="T351" i="12"/>
  <c r="T353" i="12"/>
  <c r="T398" i="12"/>
  <c r="Z28" i="12"/>
  <c r="T21" i="12"/>
  <c r="S334" i="12"/>
  <c r="T334" i="12" s="1"/>
  <c r="O192" i="12"/>
  <c r="S192" i="12" s="1"/>
  <c r="T192" i="12" s="1"/>
  <c r="S240" i="12"/>
  <c r="O113" i="12"/>
  <c r="S113" i="12" s="1"/>
  <c r="T113" i="12" s="1"/>
  <c r="O85" i="12"/>
  <c r="T65" i="12"/>
  <c r="O258" i="12"/>
  <c r="T156" i="12"/>
  <c r="O93" i="12"/>
  <c r="T256" i="12"/>
  <c r="O158" i="12"/>
  <c r="S158" i="12" s="1"/>
  <c r="O317" i="12"/>
  <c r="S98" i="12"/>
  <c r="O340" i="12"/>
  <c r="T19" i="12"/>
  <c r="S357" i="12"/>
  <c r="T357" i="12" s="1"/>
  <c r="S88" i="12"/>
  <c r="T331" i="12"/>
  <c r="O172" i="12"/>
  <c r="T349" i="12"/>
  <c r="T391" i="12"/>
  <c r="T389" i="12"/>
  <c r="T154" i="12"/>
  <c r="T173" i="12"/>
  <c r="T288" i="12"/>
  <c r="T26" i="12"/>
  <c r="T33" i="12"/>
  <c r="T319" i="12"/>
  <c r="T94" i="12"/>
  <c r="O179" i="12"/>
  <c r="S179" i="12" s="1"/>
  <c r="T179" i="12" s="1"/>
  <c r="O362" i="12"/>
  <c r="O306" i="12"/>
  <c r="O327" i="12"/>
  <c r="T384" i="12"/>
  <c r="O279" i="12"/>
  <c r="O183" i="12"/>
  <c r="S183" i="12" s="1"/>
  <c r="T237" i="12"/>
  <c r="T232" i="12"/>
  <c r="S250" i="12"/>
  <c r="T250" i="12" s="1"/>
  <c r="T27" i="12"/>
  <c r="T278" i="12"/>
  <c r="Y31" i="12"/>
  <c r="O346" i="12"/>
  <c r="S346" i="12" s="1"/>
  <c r="T346" i="12" s="1"/>
  <c r="O128" i="12"/>
  <c r="T240" i="12"/>
  <c r="O194" i="12"/>
  <c r="S194" i="12" s="1"/>
  <c r="T194" i="12" s="1"/>
  <c r="T132" i="12"/>
  <c r="S216" i="12"/>
  <c r="S151" i="12"/>
  <c r="O369" i="12"/>
  <c r="S369" i="12" s="1"/>
  <c r="T369" i="12" s="1"/>
  <c r="Z31" i="12"/>
  <c r="Y32" i="12"/>
  <c r="Z32" i="12"/>
  <c r="Y33" i="12"/>
  <c r="Z33" i="12"/>
  <c r="Y34" i="12"/>
  <c r="Z34" i="12"/>
  <c r="Y35" i="12"/>
  <c r="Z35" i="12"/>
  <c r="Y36" i="12"/>
  <c r="Y37" i="12"/>
  <c r="Z36" i="12"/>
  <c r="Z37" i="12"/>
  <c r="Y38" i="12"/>
  <c r="Y39" i="12"/>
  <c r="Z38" i="12"/>
  <c r="Z39" i="12"/>
  <c r="Y40" i="12"/>
  <c r="Y41" i="12"/>
  <c r="Z40" i="12"/>
  <c r="Z41" i="12"/>
  <c r="Y42" i="12"/>
  <c r="Z42" i="12"/>
  <c r="Y43" i="12"/>
  <c r="Z43" i="12"/>
  <c r="Y44" i="12"/>
  <c r="Z44" i="12"/>
  <c r="Y45" i="12"/>
  <c r="Y46" i="12"/>
  <c r="Z45" i="12"/>
  <c r="Z46" i="12"/>
  <c r="Y47" i="12"/>
  <c r="Z47" i="12"/>
  <c r="Y48" i="12"/>
  <c r="Z48" i="12"/>
  <c r="Y49" i="12"/>
  <c r="Y50" i="12"/>
  <c r="Z49" i="12"/>
  <c r="Z50" i="12"/>
  <c r="Y51" i="12"/>
  <c r="Y52" i="12"/>
  <c r="Z51" i="12"/>
  <c r="Y53" i="12"/>
  <c r="Z52" i="12"/>
  <c r="Z53" i="12"/>
  <c r="Y54" i="12"/>
  <c r="Z54" i="12"/>
  <c r="Y55" i="12"/>
  <c r="Y56" i="12"/>
  <c r="Z55" i="12"/>
  <c r="Z56" i="12"/>
  <c r="Y57" i="12"/>
  <c r="Z57" i="12"/>
  <c r="Y58" i="12"/>
  <c r="Y59" i="12"/>
  <c r="Z58" i="12"/>
  <c r="Y60" i="12"/>
  <c r="Z59" i="12"/>
  <c r="Z60" i="12"/>
  <c r="Y61" i="12"/>
  <c r="Z61" i="12"/>
  <c r="Y62" i="12"/>
  <c r="Y63" i="12"/>
  <c r="Z62" i="12"/>
  <c r="Y64" i="12"/>
  <c r="Z63" i="12"/>
  <c r="Z64" i="12"/>
  <c r="Y65" i="12"/>
  <c r="Z65" i="12"/>
  <c r="Y66" i="12"/>
  <c r="Z66" i="12"/>
  <c r="Y67" i="12"/>
  <c r="Y68" i="12"/>
  <c r="Z67" i="12"/>
  <c r="Y69" i="12"/>
  <c r="Z68" i="12"/>
  <c r="Z69" i="12"/>
  <c r="Y70" i="12"/>
  <c r="Y71" i="12"/>
  <c r="Z70" i="12"/>
  <c r="Z71" i="12"/>
  <c r="Y72" i="12"/>
  <c r="Y73" i="12"/>
  <c r="Z72" i="12"/>
  <c r="Y74" i="12"/>
  <c r="Z73" i="12"/>
  <c r="Y75" i="12"/>
  <c r="Z74" i="12"/>
  <c r="Z75" i="12"/>
  <c r="Y76" i="12"/>
  <c r="Y77" i="12"/>
  <c r="Z76" i="12"/>
  <c r="Y78" i="12"/>
  <c r="Z77" i="12"/>
  <c r="Z78" i="12"/>
  <c r="Y79" i="12"/>
  <c r="Z79" i="12"/>
  <c r="Y80" i="12"/>
  <c r="Y81" i="12"/>
  <c r="Z80" i="12"/>
  <c r="Z81" i="12"/>
  <c r="Y82" i="12"/>
  <c r="Z82" i="12"/>
  <c r="Y83" i="12"/>
  <c r="Y84" i="12"/>
  <c r="Z83" i="12"/>
  <c r="Z84" i="12"/>
  <c r="Y85" i="12"/>
  <c r="Z85" i="12"/>
  <c r="Y86" i="12"/>
  <c r="Z86" i="12"/>
  <c r="Y87" i="12"/>
  <c r="Y88" i="12"/>
  <c r="Z87" i="12"/>
  <c r="Z88" i="12"/>
  <c r="Y89" i="12"/>
  <c r="Z89" i="12"/>
  <c r="Y90" i="12"/>
  <c r="Y91" i="12"/>
  <c r="Z90" i="12"/>
  <c r="Z91" i="12"/>
  <c r="Y92" i="12"/>
  <c r="Y93" i="12"/>
  <c r="Z92" i="12"/>
  <c r="Z93" i="12"/>
  <c r="Y94" i="12"/>
  <c r="Z94" i="12"/>
  <c r="Y95" i="12"/>
  <c r="Y96" i="12"/>
  <c r="Z95" i="12"/>
  <c r="Z96" i="12"/>
  <c r="Y97" i="12"/>
  <c r="Y98" i="12"/>
  <c r="Z97" i="12"/>
  <c r="Z98" i="12"/>
  <c r="Y99" i="12"/>
  <c r="Z99" i="12"/>
  <c r="Y100" i="12"/>
  <c r="Z100" i="12"/>
  <c r="Y101" i="12"/>
  <c r="Z101" i="12"/>
  <c r="Y102" i="12"/>
  <c r="Y103" i="12"/>
  <c r="Z102" i="12"/>
  <c r="Z103" i="12"/>
  <c r="Y104" i="12"/>
  <c r="Z104" i="12"/>
  <c r="Y105" i="12"/>
  <c r="Y106" i="12"/>
  <c r="Z105" i="12"/>
  <c r="Y107" i="12"/>
  <c r="Z106" i="12"/>
  <c r="Y108" i="12"/>
  <c r="Z107" i="12"/>
  <c r="Z108" i="12"/>
  <c r="Y109" i="12"/>
  <c r="Z109" i="12"/>
  <c r="Y110" i="12"/>
  <c r="Y111" i="12"/>
  <c r="Z110" i="12"/>
  <c r="Y112" i="12"/>
  <c r="Z111" i="12"/>
  <c r="Y113" i="12"/>
  <c r="Z112" i="12"/>
  <c r="Y114" i="12"/>
  <c r="Z113" i="12"/>
  <c r="Y115" i="12"/>
  <c r="Z114" i="12"/>
  <c r="Z115" i="12"/>
  <c r="Y116" i="12"/>
  <c r="Z116" i="12"/>
  <c r="Y117" i="12"/>
  <c r="Z117" i="12"/>
  <c r="Y118" i="12"/>
  <c r="Y119" i="12"/>
  <c r="Z118" i="12"/>
  <c r="Z119" i="12"/>
  <c r="Y120" i="12"/>
  <c r="Z120" i="12"/>
  <c r="Y121" i="12"/>
  <c r="Z121" i="12"/>
  <c r="Y122" i="12"/>
  <c r="Z122" i="12"/>
  <c r="Y123" i="12"/>
  <c r="Y124" i="12"/>
  <c r="Z123" i="12"/>
  <c r="Y125" i="12"/>
  <c r="Z124" i="12"/>
  <c r="Z125" i="12"/>
  <c r="Y126" i="12"/>
  <c r="Z126" i="12"/>
  <c r="Y127" i="12"/>
  <c r="Y128" i="12"/>
  <c r="Z127" i="12"/>
  <c r="Y129" i="12"/>
  <c r="Z128" i="12"/>
  <c r="Y130" i="12"/>
  <c r="Z129" i="12"/>
  <c r="Z130" i="12"/>
  <c r="Y131" i="12"/>
  <c r="Y132" i="12"/>
  <c r="Z131" i="12"/>
  <c r="Z132" i="12"/>
  <c r="Y133" i="12"/>
  <c r="Y134" i="12"/>
  <c r="Z133" i="12"/>
  <c r="Z134" i="12"/>
  <c r="Y135" i="12"/>
  <c r="Y136" i="12"/>
  <c r="Z135" i="12"/>
  <c r="Y137" i="12"/>
  <c r="Z136" i="12"/>
  <c r="Y138" i="12"/>
  <c r="Z137" i="12"/>
  <c r="Z138" i="12"/>
  <c r="Y139" i="12"/>
  <c r="Y140" i="12"/>
  <c r="Z139" i="12"/>
  <c r="Z140" i="12"/>
  <c r="Y141" i="12"/>
  <c r="Z141" i="12"/>
  <c r="Y142" i="12"/>
  <c r="Y143" i="12"/>
  <c r="Z142" i="12"/>
  <c r="Z143" i="12"/>
  <c r="Y144" i="12"/>
  <c r="Z144" i="12"/>
  <c r="Y145" i="12"/>
  <c r="Y146" i="12"/>
  <c r="Z145" i="12"/>
  <c r="Y147" i="12"/>
  <c r="Z146" i="12"/>
  <c r="Z147" i="12"/>
  <c r="Y148" i="12"/>
  <c r="Z148" i="12"/>
  <c r="Y149" i="12"/>
  <c r="Y150" i="12"/>
  <c r="Z149" i="12"/>
  <c r="Y151" i="12"/>
  <c r="Z150" i="12"/>
  <c r="Y152" i="12"/>
  <c r="Z151" i="12"/>
  <c r="Y153" i="12"/>
  <c r="Z152" i="12"/>
  <c r="Z153" i="12"/>
  <c r="Y154" i="12"/>
  <c r="Y155" i="12"/>
  <c r="Z154" i="12"/>
  <c r="Y156" i="12"/>
  <c r="Z155" i="12"/>
  <c r="Y157" i="12"/>
  <c r="Z156" i="12"/>
  <c r="Y158" i="12"/>
  <c r="Z157" i="12"/>
  <c r="Z158" i="12"/>
  <c r="Y159" i="12"/>
  <c r="Z159" i="12"/>
  <c r="Y160" i="12"/>
  <c r="Z160" i="12"/>
  <c r="Y161" i="12"/>
  <c r="Z161" i="12"/>
  <c r="Y162" i="12"/>
  <c r="Z162" i="12"/>
  <c r="Y163" i="12"/>
  <c r="Z163" i="12"/>
  <c r="Y164" i="12"/>
  <c r="Y165" i="12"/>
  <c r="Z164" i="12"/>
  <c r="Y166" i="12"/>
  <c r="Z165" i="12"/>
  <c r="Y167" i="12"/>
  <c r="Z166" i="12"/>
  <c r="Z167" i="12"/>
  <c r="Y168" i="12"/>
  <c r="Z168" i="12"/>
  <c r="Y169" i="12"/>
  <c r="Y170" i="12"/>
  <c r="Z169" i="12"/>
  <c r="Z170" i="12"/>
  <c r="Y171" i="12"/>
  <c r="Y172" i="12"/>
  <c r="Z171" i="12"/>
  <c r="Z172" i="12"/>
  <c r="Y173" i="12"/>
  <c r="Y174" i="12"/>
  <c r="Z173" i="12"/>
  <c r="Z174" i="12"/>
  <c r="Y175" i="12"/>
  <c r="Z175" i="12"/>
  <c r="Y176" i="12"/>
  <c r="Z176" i="12"/>
  <c r="Y177" i="12"/>
  <c r="Y178" i="12"/>
  <c r="Z177" i="12"/>
  <c r="Z178" i="12"/>
  <c r="Y179" i="12"/>
  <c r="Z179" i="12"/>
  <c r="Y180" i="12"/>
  <c r="Y181" i="12"/>
  <c r="Z180" i="12"/>
  <c r="Y182" i="12"/>
  <c r="Z181" i="12"/>
  <c r="Z182" i="12"/>
  <c r="Y183" i="12"/>
  <c r="Y184" i="12"/>
  <c r="Z183" i="12"/>
  <c r="Z184" i="12"/>
  <c r="Y185" i="12"/>
  <c r="Z185" i="12"/>
  <c r="Y186" i="12"/>
  <c r="Y187" i="12"/>
  <c r="Z186" i="12"/>
  <c r="Y188" i="12"/>
  <c r="Z187" i="12"/>
  <c r="Y189" i="12"/>
  <c r="Z188" i="12"/>
  <c r="Y190" i="12"/>
  <c r="Z189" i="12"/>
  <c r="Y191" i="12"/>
  <c r="Z190" i="12"/>
  <c r="Z191" i="12"/>
  <c r="Y192" i="12"/>
  <c r="Y193" i="12"/>
  <c r="Z192" i="12"/>
  <c r="Z193" i="12"/>
  <c r="Y194" i="12"/>
  <c r="Z194" i="12"/>
  <c r="Y195" i="12"/>
  <c r="Y196" i="12"/>
  <c r="Z195" i="12"/>
  <c r="Y197" i="12"/>
  <c r="Z196" i="12"/>
  <c r="Z197" i="12"/>
  <c r="Y198" i="12"/>
  <c r="Y199" i="12"/>
  <c r="Z198" i="12"/>
  <c r="Y200" i="12"/>
  <c r="Z199" i="12"/>
  <c r="Z200" i="12"/>
  <c r="Y201" i="12"/>
  <c r="Z201" i="12"/>
  <c r="Y202" i="12"/>
  <c r="Z202" i="12"/>
  <c r="Y203" i="12"/>
  <c r="Y204" i="12"/>
  <c r="Z203" i="12"/>
  <c r="Z204" i="12"/>
  <c r="Y205" i="12"/>
  <c r="Z205" i="12"/>
  <c r="Y206" i="12"/>
  <c r="Y207" i="12"/>
  <c r="Z206" i="12"/>
  <c r="Z207" i="12"/>
  <c r="Y208" i="12"/>
  <c r="Y209" i="12"/>
  <c r="Z208" i="12"/>
  <c r="Z209" i="12"/>
  <c r="Y210" i="12"/>
  <c r="Y211" i="12"/>
  <c r="Z210" i="12"/>
  <c r="Z211" i="12"/>
  <c r="Y212" i="12"/>
  <c r="Z212" i="12"/>
  <c r="Y213" i="12"/>
  <c r="Z213" i="12"/>
  <c r="Y214" i="12"/>
  <c r="Y215" i="12"/>
  <c r="Z214" i="12"/>
  <c r="Y216" i="12"/>
  <c r="Z215" i="12"/>
  <c r="Y217" i="12"/>
  <c r="Z216" i="12"/>
  <c r="Z217" i="12"/>
  <c r="Y218" i="12"/>
  <c r="Z218" i="12"/>
  <c r="Y219" i="12"/>
  <c r="Z219" i="12"/>
  <c r="Y220" i="12"/>
  <c r="Y221" i="12"/>
  <c r="Z220" i="12"/>
  <c r="Z221" i="12"/>
  <c r="Y222" i="12"/>
  <c r="Z222" i="12"/>
  <c r="Y223" i="12"/>
  <c r="Y224" i="12"/>
  <c r="Z223" i="12"/>
  <c r="Y225" i="12"/>
  <c r="Z224" i="12"/>
  <c r="Z225" i="12"/>
  <c r="Y226" i="12"/>
  <c r="Z226" i="12"/>
  <c r="Y227" i="12"/>
  <c r="Z227" i="12"/>
  <c r="Y228" i="12"/>
  <c r="Z228" i="12"/>
  <c r="Y229" i="12"/>
  <c r="Y230" i="12"/>
  <c r="Z229" i="12"/>
  <c r="Z230" i="12"/>
  <c r="Y231" i="12"/>
  <c r="Y232" i="12"/>
  <c r="Z231" i="12"/>
  <c r="Z232" i="12"/>
  <c r="Y233" i="12"/>
  <c r="Y234" i="12"/>
  <c r="Z233" i="12"/>
  <c r="Z234" i="12"/>
  <c r="Y235" i="12"/>
  <c r="Z235" i="12"/>
  <c r="Y236" i="12"/>
  <c r="Z236" i="12"/>
  <c r="Y237" i="12"/>
  <c r="Z237" i="12"/>
  <c r="Y238" i="12"/>
  <c r="Y239" i="12"/>
  <c r="Z238" i="12"/>
  <c r="Y240" i="12"/>
  <c r="Z239" i="12"/>
  <c r="Y241" i="12"/>
  <c r="Z240" i="12"/>
  <c r="Z241" i="12"/>
  <c r="Y242" i="12"/>
  <c r="Z242" i="12"/>
  <c r="Y243" i="12"/>
  <c r="Y244" i="12"/>
  <c r="Z243" i="12"/>
  <c r="Z244" i="12"/>
  <c r="Y245" i="12"/>
  <c r="Z245" i="12"/>
  <c r="Y246" i="12"/>
  <c r="Y247" i="12"/>
  <c r="Z246" i="12"/>
  <c r="Y248" i="12"/>
  <c r="Z247" i="12"/>
  <c r="Y249" i="12"/>
  <c r="Z248" i="12"/>
  <c r="Z249" i="12"/>
  <c r="Y250" i="12"/>
  <c r="Y251" i="12"/>
  <c r="Z250" i="12"/>
  <c r="Y252" i="12"/>
  <c r="Z251" i="12"/>
  <c r="Z252" i="12"/>
  <c r="Y253" i="12"/>
  <c r="Z253" i="12"/>
  <c r="Y254" i="12"/>
  <c r="Y255" i="12"/>
  <c r="Z254" i="12"/>
  <c r="Y256" i="12"/>
  <c r="Z255" i="12"/>
  <c r="Y257" i="12"/>
  <c r="Z256" i="12"/>
  <c r="Y258" i="12"/>
  <c r="Z257" i="12"/>
  <c r="Y259" i="12"/>
  <c r="Z258" i="12"/>
  <c r="Z259" i="12"/>
  <c r="Y260" i="12"/>
  <c r="Z260" i="12"/>
  <c r="Y261" i="12"/>
  <c r="Z261" i="12"/>
  <c r="Y262" i="12"/>
  <c r="Z262" i="12"/>
  <c r="Y263" i="12"/>
  <c r="Z263" i="12"/>
  <c r="Y264" i="12"/>
  <c r="Y265" i="12"/>
  <c r="Z264" i="12"/>
  <c r="Y266" i="12"/>
  <c r="Z265" i="12"/>
  <c r="Y267" i="12"/>
  <c r="Z266" i="12"/>
  <c r="Y268" i="12"/>
  <c r="Z267" i="12"/>
  <c r="Z268" i="12"/>
  <c r="Y269" i="12"/>
  <c r="Y270" i="12"/>
  <c r="Z269" i="12"/>
  <c r="Y271" i="12"/>
  <c r="Z270" i="12"/>
  <c r="Y272" i="12"/>
  <c r="Z271" i="12"/>
  <c r="Y273" i="12"/>
  <c r="Z272" i="12"/>
  <c r="Y274" i="12"/>
  <c r="Z273" i="12"/>
  <c r="Z274" i="12"/>
  <c r="Y275" i="12"/>
  <c r="Z275" i="12"/>
  <c r="Y276" i="12"/>
  <c r="Z276" i="12"/>
  <c r="Y277" i="12"/>
  <c r="Y278" i="12"/>
  <c r="Z277" i="12"/>
  <c r="Y279" i="12"/>
  <c r="Z278" i="12"/>
  <c r="Y280" i="12"/>
  <c r="Z279" i="12"/>
  <c r="Z280" i="12"/>
  <c r="Y281" i="12"/>
  <c r="Z281" i="12"/>
  <c r="Y282" i="12"/>
  <c r="Y283" i="12"/>
  <c r="Z282" i="12"/>
  <c r="Z283" i="12"/>
  <c r="Y284" i="12"/>
  <c r="Z284" i="12"/>
  <c r="Y285" i="12"/>
  <c r="Y286" i="12"/>
  <c r="Z285" i="12"/>
  <c r="Z286" i="12"/>
  <c r="Y287" i="12"/>
  <c r="Z287" i="12"/>
  <c r="Y288" i="12"/>
  <c r="Z288" i="12"/>
  <c r="Y289" i="12"/>
  <c r="Y290" i="12"/>
  <c r="Z289" i="12"/>
  <c r="Z290" i="12"/>
  <c r="Y291" i="12"/>
  <c r="Y292" i="12"/>
  <c r="Z291" i="12"/>
  <c r="Y293" i="12"/>
  <c r="Z292" i="12"/>
  <c r="Y294" i="12"/>
  <c r="Z293" i="12"/>
  <c r="Z294" i="12"/>
  <c r="Y295" i="12"/>
  <c r="Z295" i="12"/>
  <c r="Y296" i="12"/>
  <c r="Y297" i="12"/>
  <c r="Z296" i="12"/>
  <c r="Y298" i="12"/>
  <c r="Z297" i="12"/>
  <c r="Y299" i="12"/>
  <c r="Z298" i="12"/>
  <c r="Z299" i="12"/>
  <c r="Y300" i="12"/>
  <c r="Y301" i="12"/>
  <c r="Z300" i="12"/>
  <c r="Y302" i="12"/>
  <c r="Z301" i="12"/>
  <c r="Z302" i="12"/>
  <c r="Y303" i="12"/>
  <c r="Y304" i="12"/>
  <c r="Z303" i="12"/>
  <c r="Y305" i="12"/>
  <c r="Z304" i="12"/>
  <c r="Y306" i="12"/>
  <c r="Z305" i="12"/>
  <c r="Z306" i="12"/>
  <c r="Y307" i="12"/>
  <c r="Y308" i="12"/>
  <c r="Z307" i="12"/>
  <c r="Y309" i="12"/>
  <c r="Z308" i="12"/>
  <c r="Y310" i="12"/>
  <c r="Z309" i="12"/>
  <c r="Y311" i="12"/>
  <c r="Z310" i="12"/>
  <c r="Y312" i="12"/>
  <c r="Z311" i="12"/>
  <c r="Z312" i="12"/>
  <c r="Y313" i="12"/>
  <c r="Y314" i="12"/>
  <c r="Z313" i="12"/>
  <c r="Z314" i="12"/>
  <c r="Y315" i="12"/>
  <c r="Z315" i="12"/>
  <c r="Y316" i="12"/>
  <c r="Z316" i="12"/>
  <c r="Y317" i="12"/>
  <c r="Z317" i="12"/>
  <c r="Y318" i="12"/>
  <c r="Z318" i="12"/>
  <c r="Y319" i="12"/>
  <c r="Z319" i="12"/>
  <c r="Y320" i="12"/>
  <c r="Z320" i="12"/>
  <c r="Y321" i="12"/>
  <c r="Z321" i="12"/>
  <c r="Y322" i="12"/>
  <c r="Z322" i="12"/>
  <c r="Y323" i="12"/>
  <c r="Y324" i="12"/>
  <c r="Z323" i="12"/>
  <c r="Y325" i="12"/>
  <c r="Z324" i="12"/>
  <c r="Y326" i="12"/>
  <c r="Z325" i="12"/>
  <c r="Z326" i="12"/>
  <c r="Y327" i="12"/>
  <c r="Y328" i="12"/>
  <c r="Z327" i="12"/>
  <c r="Y329" i="12"/>
  <c r="Z328" i="12"/>
  <c r="Z329" i="12"/>
  <c r="Y330" i="12"/>
  <c r="Z330" i="12"/>
  <c r="Y331" i="12"/>
  <c r="Z331" i="12"/>
  <c r="Y332" i="12"/>
  <c r="Z332" i="12"/>
  <c r="Y333" i="12"/>
  <c r="Z333" i="12"/>
  <c r="Y334" i="12"/>
  <c r="Z334" i="12"/>
  <c r="Y335" i="12"/>
  <c r="Y336" i="12"/>
  <c r="Z335" i="12"/>
  <c r="Z336" i="12"/>
  <c r="Y337" i="12"/>
  <c r="Z337" i="12"/>
  <c r="Y338" i="12"/>
  <c r="Z338" i="12"/>
  <c r="Y339" i="12"/>
  <c r="Y340" i="12"/>
  <c r="Z339" i="12"/>
  <c r="Y341" i="12"/>
  <c r="Z340" i="12"/>
  <c r="Z341" i="12"/>
  <c r="Y342" i="12"/>
  <c r="Y343" i="12"/>
  <c r="Z342" i="12"/>
  <c r="Y344" i="12"/>
  <c r="Z343" i="12"/>
  <c r="Z344" i="12"/>
  <c r="Y345" i="12"/>
  <c r="Y346" i="12"/>
  <c r="Z345" i="12"/>
  <c r="Z346" i="12"/>
  <c r="Y347" i="12"/>
  <c r="Z347" i="12"/>
  <c r="Y348" i="12"/>
  <c r="Z348" i="12"/>
  <c r="Y349" i="12"/>
  <c r="Z349" i="12"/>
  <c r="Y350" i="12"/>
  <c r="Z350" i="12"/>
  <c r="Y351" i="12"/>
  <c r="Z351" i="12"/>
  <c r="Y352" i="12"/>
  <c r="Z352" i="12"/>
  <c r="Y353" i="12"/>
  <c r="Z353" i="12"/>
  <c r="Y354" i="12"/>
  <c r="Z354" i="12"/>
  <c r="Y355" i="12"/>
  <c r="Z355" i="12"/>
  <c r="Y356" i="12"/>
  <c r="Y357" i="12"/>
  <c r="Z356" i="12"/>
  <c r="Z357" i="12"/>
  <c r="Y358" i="12"/>
  <c r="Y359" i="12"/>
  <c r="Z358" i="12"/>
  <c r="Y360" i="12"/>
  <c r="Z359" i="12"/>
  <c r="Y361" i="12"/>
  <c r="Z360" i="12"/>
  <c r="Z361" i="12"/>
  <c r="Y362" i="12"/>
  <c r="Z362" i="12"/>
  <c r="Y363" i="12"/>
  <c r="Z363" i="12"/>
  <c r="Y364" i="12"/>
  <c r="Z364" i="12"/>
  <c r="Y365" i="12"/>
  <c r="Y366" i="12"/>
  <c r="Z365" i="12"/>
  <c r="Y367" i="12"/>
  <c r="Z366" i="12"/>
  <c r="Y368" i="12"/>
  <c r="Z367" i="12"/>
  <c r="Z368" i="12"/>
  <c r="Y369" i="12"/>
  <c r="Z369" i="12"/>
  <c r="Y370" i="12"/>
  <c r="Z370" i="12"/>
  <c r="Y371" i="12"/>
  <c r="Z371" i="12"/>
  <c r="Y372" i="12"/>
  <c r="Z372" i="12"/>
  <c r="Y373" i="12"/>
  <c r="Z373" i="12"/>
  <c r="Y374" i="12"/>
  <c r="Y375" i="12"/>
  <c r="Z374" i="12"/>
  <c r="Z375" i="12"/>
  <c r="Y376" i="12"/>
  <c r="Y377" i="12"/>
  <c r="Z376" i="12"/>
  <c r="Z377" i="12"/>
  <c r="Y378" i="12"/>
  <c r="Y379" i="12"/>
  <c r="Z378" i="12"/>
  <c r="Z379" i="12"/>
  <c r="Y380" i="12"/>
  <c r="Y381" i="12"/>
  <c r="Z380" i="12"/>
  <c r="Z381" i="12"/>
  <c r="Y382" i="12"/>
  <c r="Z382" i="12"/>
  <c r="Y383" i="12"/>
  <c r="Y384" i="12"/>
  <c r="Z383" i="12"/>
  <c r="Z384" i="12"/>
  <c r="Y385" i="12"/>
  <c r="Z385" i="12"/>
  <c r="Y386" i="12"/>
  <c r="Z386" i="12"/>
  <c r="Y387" i="12"/>
  <c r="Z387" i="12"/>
  <c r="Y388" i="12"/>
  <c r="Y389" i="12"/>
  <c r="Z388" i="12"/>
  <c r="Y390" i="12"/>
  <c r="Z389" i="12"/>
  <c r="Z390" i="12"/>
  <c r="Y391" i="12"/>
  <c r="Y392" i="12"/>
  <c r="Z391" i="12"/>
  <c r="Z392" i="12"/>
  <c r="Y393" i="12"/>
  <c r="Y394" i="12"/>
  <c r="Z393" i="12"/>
  <c r="Z394" i="12"/>
  <c r="Y395" i="12"/>
  <c r="Z395" i="12"/>
  <c r="Y396" i="12"/>
  <c r="Y397" i="12"/>
  <c r="Z396" i="12"/>
  <c r="Z397" i="12"/>
  <c r="Y398" i="12"/>
  <c r="Y399" i="12"/>
  <c r="Z398" i="12"/>
  <c r="Z399" i="12"/>
  <c r="Y400" i="12"/>
  <c r="Z400" i="12"/>
  <c r="Y401" i="12"/>
  <c r="Y402" i="12"/>
  <c r="Z401" i="12"/>
  <c r="Y403" i="12"/>
  <c r="Z402" i="12"/>
  <c r="Z403" i="12"/>
  <c r="Y404" i="12"/>
  <c r="Z404" i="12"/>
  <c r="Y405" i="12"/>
  <c r="Z405" i="12"/>
  <c r="Y406" i="12"/>
  <c r="Y407" i="12"/>
  <c r="Z406" i="12"/>
  <c r="Y408" i="12"/>
  <c r="Z407" i="12"/>
  <c r="Y409" i="12"/>
  <c r="Z408" i="12"/>
  <c r="Z409" i="12"/>
  <c r="Y410" i="12"/>
  <c r="Z410" i="12"/>
  <c r="Y411" i="12"/>
  <c r="Z411" i="12"/>
  <c r="Y412" i="12"/>
  <c r="Z412" i="12"/>
  <c r="Y413" i="12"/>
  <c r="Z413" i="12"/>
  <c r="Y414" i="12"/>
  <c r="Y415" i="12"/>
  <c r="Z414" i="12"/>
  <c r="Z415" i="12"/>
  <c r="Y416" i="12"/>
  <c r="Y417" i="12"/>
  <c r="Z416" i="12"/>
  <c r="Z417" i="12"/>
  <c r="Y418" i="12"/>
  <c r="Z418" i="12"/>
  <c r="Y419" i="12"/>
  <c r="Z419" i="12"/>
  <c r="Y420" i="12"/>
  <c r="Z420" i="12"/>
  <c r="Y421" i="12"/>
  <c r="Z421" i="12"/>
  <c r="Y422" i="12"/>
  <c r="Z422" i="12"/>
  <c r="Y423" i="12"/>
  <c r="Y424" i="12"/>
  <c r="Z423" i="12"/>
  <c r="Y425" i="12"/>
  <c r="Z424" i="12"/>
  <c r="Z425" i="12"/>
  <c r="Y426" i="12"/>
  <c r="Y427" i="12"/>
  <c r="Z426" i="12"/>
  <c r="Y428" i="12"/>
  <c r="Z427" i="12"/>
  <c r="Z428" i="12"/>
  <c r="Y429" i="12"/>
  <c r="Y430" i="12"/>
  <c r="Z429" i="12"/>
  <c r="Y431" i="12"/>
  <c r="Z430" i="12"/>
  <c r="Y432" i="12"/>
  <c r="Z431" i="12"/>
  <c r="Y433" i="12"/>
  <c r="Z432" i="12"/>
  <c r="Y434" i="12"/>
  <c r="Z433" i="12"/>
  <c r="Z434" i="12"/>
  <c r="Y435" i="12"/>
  <c r="Y436" i="12"/>
  <c r="Z435" i="12"/>
  <c r="Y437" i="12"/>
  <c r="Z436" i="12"/>
  <c r="Y438" i="12"/>
  <c r="Z437" i="12"/>
  <c r="Y439" i="12"/>
  <c r="Z438" i="12"/>
  <c r="Y440" i="12"/>
  <c r="Z439" i="12"/>
  <c r="Y441" i="12"/>
  <c r="Z440" i="12"/>
  <c r="Z441" i="12"/>
  <c r="Y442" i="12"/>
  <c r="Y443" i="12"/>
  <c r="Z442" i="12"/>
  <c r="Z443" i="12"/>
  <c r="Y444" i="12"/>
  <c r="Z444" i="12"/>
  <c r="Y445" i="12"/>
  <c r="Y446" i="12"/>
  <c r="Z445" i="12"/>
  <c r="Z446" i="12"/>
  <c r="Y447" i="12"/>
  <c r="Z447" i="12"/>
  <c r="Y448" i="12"/>
  <c r="Y449" i="12"/>
  <c r="Z448" i="12"/>
  <c r="Z449" i="12"/>
  <c r="Y450" i="12"/>
  <c r="Y451" i="12"/>
  <c r="Z450" i="12"/>
  <c r="Z451" i="12"/>
  <c r="Y452" i="12"/>
  <c r="Y453" i="12"/>
  <c r="Z452" i="12"/>
  <c r="Z453" i="12"/>
  <c r="Y454" i="12"/>
  <c r="Z454" i="12"/>
  <c r="Y455" i="12"/>
  <c r="Z455" i="12"/>
  <c r="Y456" i="12"/>
  <c r="Z456" i="12"/>
  <c r="Y457" i="12"/>
  <c r="Z457" i="12"/>
  <c r="Y458" i="12"/>
  <c r="Z458" i="12"/>
  <c r="Y459" i="12"/>
  <c r="Y460" i="12"/>
  <c r="Z459" i="12"/>
  <c r="Y461" i="12"/>
  <c r="Z460" i="12"/>
  <c r="Y462" i="12"/>
  <c r="Z461" i="12"/>
  <c r="Y463" i="12"/>
  <c r="Z462" i="12"/>
  <c r="Z463" i="12"/>
  <c r="Y464" i="12"/>
  <c r="Y465" i="12"/>
  <c r="Z464" i="12"/>
  <c r="Y466" i="12"/>
  <c r="Z465" i="12"/>
  <c r="Y467" i="12"/>
  <c r="Z466" i="12"/>
  <c r="Y468" i="12"/>
  <c r="Z467" i="12"/>
  <c r="Y469" i="12"/>
  <c r="Z468" i="12"/>
  <c r="Z469" i="12"/>
  <c r="Y470" i="12"/>
  <c r="Y471" i="12"/>
  <c r="Z470" i="12"/>
  <c r="Y472" i="12"/>
  <c r="Z471" i="12"/>
  <c r="Y473" i="12"/>
  <c r="Z472" i="12"/>
  <c r="Y474" i="12"/>
  <c r="Z473" i="12"/>
  <c r="Y475" i="12"/>
  <c r="Z474" i="12"/>
  <c r="Y476" i="12"/>
  <c r="Z475" i="12"/>
  <c r="Z476" i="12"/>
  <c r="Y477" i="12"/>
  <c r="Z477" i="12"/>
  <c r="Y478" i="12"/>
  <c r="Y479" i="12"/>
  <c r="Z478" i="12"/>
  <c r="Z479" i="12"/>
  <c r="Y480" i="12"/>
  <c r="Z480" i="12"/>
  <c r="Y481" i="12"/>
  <c r="Y482" i="12"/>
  <c r="Z481" i="12"/>
  <c r="Z482" i="12"/>
  <c r="Y483" i="12"/>
  <c r="Y484" i="12"/>
  <c r="Z483" i="12"/>
  <c r="Z484" i="12"/>
  <c r="Y485" i="12"/>
  <c r="Y486" i="12"/>
  <c r="Z485" i="12"/>
  <c r="Y487" i="12"/>
  <c r="Z486" i="12"/>
  <c r="Y488" i="12"/>
  <c r="Z487" i="12"/>
  <c r="Z488" i="12"/>
  <c r="Y489" i="12"/>
  <c r="Z489" i="12"/>
  <c r="Y490" i="12"/>
  <c r="Z490" i="12"/>
  <c r="Y491" i="12"/>
  <c r="Z491" i="12"/>
  <c r="Y492" i="12"/>
  <c r="Y493" i="12"/>
  <c r="Z492" i="12"/>
  <c r="Z493" i="12"/>
  <c r="Y494" i="12"/>
  <c r="Z494" i="12"/>
  <c r="Y495" i="12"/>
  <c r="Y496" i="12"/>
  <c r="Z495" i="12"/>
  <c r="Z496" i="12"/>
  <c r="Y497" i="12"/>
  <c r="Z497" i="12"/>
  <c r="Y498" i="12"/>
  <c r="Z498" i="12"/>
  <c r="Y499" i="12"/>
  <c r="Z499" i="12"/>
  <c r="Y500" i="12"/>
  <c r="Z500" i="12"/>
  <c r="Y501" i="12"/>
  <c r="Y502" i="12"/>
  <c r="Z501" i="12"/>
  <c r="Y503" i="12"/>
  <c r="Z502" i="12"/>
  <c r="Z503" i="12"/>
  <c r="Y504" i="12"/>
  <c r="Z504" i="12"/>
  <c r="Y505" i="12"/>
  <c r="Z505" i="12"/>
  <c r="Y506" i="12"/>
  <c r="Z506" i="12"/>
  <c r="Y507" i="12"/>
  <c r="Y508" i="12"/>
  <c r="Z507" i="12"/>
  <c r="Z508" i="12"/>
  <c r="Y509" i="12"/>
  <c r="Y510" i="12"/>
  <c r="Z509" i="12"/>
  <c r="Z510" i="12"/>
  <c r="Y511" i="12"/>
  <c r="Y512" i="12"/>
  <c r="Z511" i="12"/>
  <c r="Z512" i="12"/>
  <c r="Y513" i="12"/>
  <c r="Y514" i="12"/>
  <c r="Z513" i="12"/>
  <c r="Y515" i="12"/>
  <c r="Z514" i="12"/>
  <c r="Z515" i="12"/>
  <c r="Y516" i="12"/>
  <c r="Y517" i="12"/>
  <c r="Z516" i="12"/>
  <c r="Y518" i="12"/>
  <c r="Z517" i="12"/>
  <c r="Z518" i="12"/>
  <c r="Y519" i="12"/>
  <c r="Z519" i="12"/>
  <c r="Y520" i="12"/>
  <c r="Z520" i="12"/>
  <c r="Y521" i="12"/>
  <c r="Z521" i="12"/>
  <c r="Y522" i="12"/>
  <c r="Y523" i="12"/>
  <c r="Z522" i="12"/>
  <c r="Y524" i="12"/>
  <c r="Z523" i="12"/>
  <c r="Y525" i="12"/>
  <c r="Z524" i="12"/>
  <c r="Y526" i="12"/>
  <c r="Z525" i="12"/>
  <c r="Z526" i="12"/>
  <c r="Y527" i="12"/>
  <c r="Y528" i="12"/>
  <c r="Z527" i="12"/>
  <c r="Z528" i="12"/>
  <c r="Y529" i="12"/>
  <c r="Y530" i="12"/>
  <c r="Z529" i="12"/>
  <c r="Z530" i="12"/>
  <c r="Y531" i="12"/>
  <c r="Z531" i="12"/>
  <c r="Y532" i="12"/>
  <c r="Y533" i="12"/>
  <c r="Z532" i="12"/>
  <c r="Y534" i="12"/>
  <c r="Z533" i="12"/>
  <c r="Z534" i="12"/>
  <c r="Y535" i="12"/>
  <c r="Z535" i="12"/>
  <c r="Y536" i="12"/>
  <c r="Z536" i="12"/>
  <c r="Y537" i="12"/>
  <c r="Y538" i="12"/>
  <c r="Z537" i="12"/>
  <c r="Z538" i="12"/>
  <c r="Y539" i="12"/>
  <c r="Z539" i="12"/>
  <c r="Y540" i="12"/>
  <c r="Y541" i="12"/>
  <c r="Z540" i="12"/>
  <c r="Y542" i="12"/>
  <c r="Z541" i="12"/>
  <c r="Z542" i="12"/>
  <c r="Y543" i="12"/>
  <c r="Z543" i="12"/>
  <c r="Y544" i="12"/>
  <c r="Z544" i="12"/>
  <c r="Y545" i="12"/>
  <c r="Y546" i="12"/>
  <c r="Z545" i="12"/>
  <c r="Z546" i="12"/>
  <c r="Y547" i="12"/>
  <c r="Y548" i="12"/>
  <c r="Z547" i="12"/>
  <c r="Z548" i="12"/>
  <c r="Y549" i="12"/>
  <c r="Z549" i="12"/>
  <c r="Y550" i="12"/>
  <c r="Y551" i="12"/>
  <c r="Z550" i="12"/>
  <c r="Z551" i="12"/>
  <c r="Y552" i="12"/>
  <c r="Y553" i="12"/>
  <c r="Z552" i="12"/>
  <c r="Y554" i="12"/>
  <c r="Z553" i="12"/>
  <c r="Y555" i="12"/>
  <c r="Z554" i="12"/>
  <c r="Y556" i="12"/>
  <c r="Z555" i="12"/>
  <c r="Z556" i="12"/>
  <c r="Y557" i="12"/>
  <c r="Y558" i="12"/>
  <c r="Z557" i="12"/>
  <c r="Y559" i="12"/>
  <c r="Z558" i="12"/>
  <c r="Z559" i="12"/>
  <c r="Y560" i="12"/>
  <c r="Z560" i="12"/>
  <c r="Y561" i="12"/>
  <c r="Z561" i="12"/>
  <c r="Y562" i="12"/>
  <c r="Z562" i="12"/>
  <c r="Y563" i="12"/>
  <c r="Z563" i="12"/>
  <c r="Y564" i="12"/>
  <c r="Z564" i="12"/>
  <c r="Y565" i="12"/>
  <c r="Z565" i="12"/>
  <c r="Y566" i="12"/>
  <c r="Y567" i="12"/>
  <c r="Z566" i="12"/>
  <c r="Z567" i="12"/>
  <c r="Y568" i="12"/>
  <c r="Y569" i="12"/>
  <c r="Z568" i="12"/>
  <c r="Z569" i="12"/>
  <c r="Y570" i="12"/>
  <c r="Y571" i="12"/>
  <c r="Z570" i="12"/>
  <c r="Y572" i="12"/>
  <c r="Z571" i="12"/>
  <c r="Z572" i="12"/>
  <c r="Y573" i="12"/>
  <c r="Y574" i="12"/>
  <c r="Z573" i="12"/>
  <c r="Z574" i="12"/>
  <c r="Y575" i="12"/>
  <c r="Y576" i="12"/>
  <c r="Z575" i="12"/>
  <c r="Z576" i="12"/>
  <c r="Y577" i="12"/>
  <c r="Y578" i="12"/>
  <c r="Z577" i="12"/>
  <c r="Z578" i="12"/>
  <c r="Y579" i="12"/>
  <c r="Y580" i="12"/>
  <c r="Z579" i="12"/>
  <c r="Z580" i="12"/>
  <c r="Y581" i="12"/>
  <c r="Y582" i="12"/>
  <c r="Z581" i="12"/>
  <c r="Z582" i="12"/>
  <c r="Y583" i="12"/>
  <c r="Y584" i="12"/>
  <c r="Z583" i="12"/>
  <c r="Y585" i="12"/>
  <c r="Z584" i="12"/>
  <c r="Z585" i="12"/>
  <c r="Y586" i="12"/>
  <c r="Y587" i="12"/>
  <c r="Z586" i="12"/>
  <c r="Z587" i="12"/>
  <c r="Y588" i="12"/>
  <c r="Z588" i="12"/>
  <c r="Y589" i="12"/>
  <c r="Y590" i="12"/>
  <c r="Z589" i="12"/>
  <c r="Z590" i="12"/>
  <c r="Y591" i="12"/>
  <c r="Y592" i="12"/>
  <c r="Z591" i="12"/>
  <c r="Z592" i="12"/>
  <c r="Y593" i="12"/>
  <c r="Z593" i="12"/>
  <c r="Y594" i="12"/>
  <c r="Z594" i="12"/>
  <c r="Y595" i="12"/>
  <c r="Y596" i="12"/>
  <c r="Z595" i="12"/>
  <c r="Y597" i="12"/>
  <c r="Z596" i="12"/>
  <c r="Z597" i="12"/>
  <c r="Y598" i="12"/>
  <c r="Z598" i="12"/>
  <c r="Y599" i="12"/>
  <c r="Y600" i="12"/>
  <c r="Z599" i="12"/>
  <c r="Y601" i="12"/>
  <c r="Z600" i="12"/>
  <c r="Y602" i="12"/>
  <c r="Z601" i="12"/>
  <c r="Y603" i="12"/>
  <c r="Z602" i="12"/>
  <c r="Z603" i="12"/>
  <c r="Y604" i="12"/>
  <c r="Z604" i="12"/>
  <c r="Y605" i="12"/>
  <c r="Y606" i="12"/>
  <c r="Z605" i="12"/>
  <c r="Y607" i="12"/>
  <c r="Z606" i="12"/>
  <c r="Z607" i="12"/>
  <c r="Y608" i="12"/>
  <c r="Z608" i="12"/>
  <c r="Y609" i="12"/>
  <c r="Z609" i="12"/>
  <c r="Y610" i="12"/>
  <c r="Y611" i="12"/>
  <c r="Z610" i="12"/>
  <c r="Z611" i="12"/>
  <c r="Y612" i="12"/>
  <c r="Y613" i="12"/>
  <c r="Z612" i="12"/>
  <c r="Y614" i="12"/>
  <c r="Z613" i="12"/>
  <c r="Y615" i="12"/>
  <c r="Z614" i="12"/>
  <c r="Y616" i="12"/>
  <c r="Z615" i="12"/>
  <c r="Y617" i="12"/>
  <c r="Z616" i="12"/>
  <c r="Y618" i="12"/>
  <c r="Z617" i="12"/>
  <c r="Z618" i="12"/>
  <c r="Y619" i="12"/>
  <c r="Y620" i="12"/>
  <c r="Z619" i="12"/>
  <c r="Y621" i="12"/>
  <c r="Z620" i="12"/>
  <c r="Y622" i="12"/>
  <c r="Z621" i="12"/>
  <c r="Y623" i="12"/>
  <c r="Z622" i="12"/>
  <c r="Y624" i="12"/>
  <c r="Z623" i="12"/>
  <c r="Y625" i="12"/>
  <c r="Z624" i="12"/>
  <c r="Y626" i="12"/>
  <c r="Z625" i="12"/>
  <c r="Z626" i="12"/>
  <c r="Y627" i="12"/>
  <c r="Z627" i="12"/>
  <c r="Y628" i="12"/>
  <c r="Z628" i="12"/>
  <c r="Y629" i="12"/>
  <c r="Y630" i="12"/>
  <c r="Z629" i="12"/>
  <c r="Z630" i="12"/>
  <c r="Y631" i="12"/>
  <c r="Z631" i="12"/>
  <c r="Y632" i="12"/>
  <c r="Z632" i="12"/>
  <c r="Y633" i="12"/>
  <c r="Y634" i="12"/>
  <c r="Z633" i="12"/>
  <c r="Z634" i="12"/>
  <c r="Y635" i="12"/>
  <c r="Z635" i="12"/>
  <c r="Y636" i="12"/>
  <c r="Y637" i="12"/>
  <c r="Z636" i="12"/>
  <c r="Z637" i="12"/>
  <c r="Y638" i="12"/>
  <c r="Z638" i="12"/>
  <c r="Y639" i="12"/>
  <c r="Z639" i="12"/>
  <c r="Y640" i="12"/>
  <c r="Z640" i="12"/>
  <c r="Y641" i="12"/>
  <c r="Y642" i="12"/>
  <c r="Z641" i="12"/>
  <c r="Y643" i="12"/>
  <c r="Z642" i="12"/>
  <c r="Z643" i="12"/>
  <c r="Y644" i="12"/>
  <c r="Z644" i="12"/>
  <c r="Y645" i="12"/>
  <c r="Z645" i="12"/>
  <c r="Y646" i="12"/>
  <c r="Z646" i="12"/>
  <c r="Y647" i="12"/>
  <c r="Z647" i="12"/>
  <c r="Y648" i="12"/>
  <c r="Y649" i="12"/>
  <c r="Z648" i="12"/>
  <c r="Y650" i="12"/>
  <c r="Z649" i="12"/>
  <c r="Z650" i="12"/>
  <c r="Y651" i="12"/>
  <c r="Y652" i="12"/>
  <c r="Z651" i="12"/>
  <c r="Y653" i="12"/>
  <c r="Z652" i="12"/>
  <c r="Z653" i="12"/>
  <c r="Y654" i="12"/>
  <c r="Y655" i="12"/>
  <c r="Z654" i="12"/>
  <c r="Z655" i="12"/>
  <c r="Y656" i="12"/>
  <c r="Z656" i="12"/>
  <c r="Y657" i="12"/>
  <c r="Y658" i="12"/>
  <c r="Z657" i="12"/>
  <c r="Z658" i="12"/>
  <c r="Y659" i="12"/>
  <c r="Z659" i="12"/>
  <c r="Y660" i="12"/>
  <c r="Z660" i="12"/>
  <c r="Y661" i="12"/>
  <c r="Z661" i="12"/>
  <c r="Y662" i="12"/>
  <c r="Y663" i="12"/>
  <c r="Z662" i="12"/>
  <c r="Y664" i="12"/>
  <c r="Z663" i="12"/>
  <c r="Y665" i="12"/>
  <c r="Z664" i="12"/>
  <c r="Y666" i="12"/>
  <c r="Z665" i="12"/>
  <c r="Y667" i="12"/>
  <c r="Z666" i="12"/>
  <c r="Y668" i="12"/>
  <c r="Z667" i="12"/>
  <c r="Y669" i="12"/>
  <c r="Z668" i="12"/>
  <c r="Y670" i="12"/>
  <c r="Z669" i="12"/>
  <c r="Z670" i="12"/>
  <c r="Y671" i="12"/>
  <c r="Y672" i="12"/>
  <c r="Z671" i="12"/>
  <c r="Z672" i="12"/>
  <c r="Y673" i="12"/>
  <c r="Z673" i="12"/>
  <c r="Y674" i="12"/>
  <c r="Y675" i="12"/>
  <c r="Z674" i="12"/>
  <c r="Z675" i="12"/>
  <c r="Y676" i="12"/>
  <c r="Y677" i="12"/>
  <c r="Z676" i="12"/>
  <c r="Y678" i="12"/>
  <c r="Z677" i="12"/>
  <c r="Y679" i="12"/>
  <c r="Z678" i="12"/>
  <c r="Z679" i="12"/>
  <c r="Y680" i="12"/>
  <c r="Z680" i="12"/>
  <c r="Y681" i="12"/>
  <c r="Z681" i="12"/>
  <c r="Y682" i="12"/>
  <c r="Y683" i="12"/>
  <c r="Z682" i="12"/>
  <c r="Z683" i="12"/>
  <c r="Y684" i="12"/>
  <c r="Y685" i="12"/>
  <c r="Z684" i="12"/>
  <c r="Z685" i="12"/>
  <c r="Y686" i="12"/>
  <c r="Z686" i="12"/>
  <c r="Y687" i="12"/>
  <c r="Y688" i="12"/>
  <c r="Z687" i="12"/>
  <c r="Y689" i="12"/>
  <c r="Z688" i="12"/>
  <c r="Z689" i="12"/>
  <c r="Y690" i="12"/>
  <c r="Y691" i="12"/>
  <c r="Z690" i="12"/>
  <c r="Z691" i="12"/>
  <c r="Y692" i="12"/>
  <c r="Y693" i="12"/>
  <c r="Z692" i="12"/>
  <c r="Y694" i="12"/>
  <c r="Z693" i="12"/>
  <c r="Z694" i="12"/>
  <c r="Y695" i="12"/>
  <c r="Y696" i="12"/>
  <c r="Z695" i="12"/>
  <c r="Y697" i="12"/>
  <c r="Z696" i="12"/>
  <c r="Z697" i="12"/>
  <c r="Y698" i="12"/>
  <c r="Z698" i="12"/>
  <c r="Y699" i="12"/>
  <c r="Y700" i="12"/>
  <c r="Z699" i="12"/>
  <c r="Y701" i="12"/>
  <c r="Z700" i="12"/>
  <c r="Y702" i="12"/>
  <c r="Z701" i="12"/>
  <c r="Y703" i="12"/>
  <c r="Z702" i="12"/>
  <c r="Y704" i="12"/>
  <c r="Z703" i="12"/>
  <c r="Z704" i="12"/>
  <c r="Y705" i="12"/>
  <c r="Y706" i="12"/>
  <c r="Z705" i="12"/>
  <c r="Y707" i="12"/>
  <c r="Z706" i="12"/>
  <c r="Y708" i="12"/>
  <c r="Z707" i="12"/>
  <c r="Z708" i="12"/>
  <c r="Y709" i="12"/>
  <c r="Z709" i="12"/>
  <c r="Y710" i="12"/>
  <c r="Y711" i="12"/>
  <c r="Z710" i="12"/>
  <c r="Z711" i="12"/>
  <c r="Y712" i="12"/>
  <c r="Z712" i="12"/>
  <c r="Y713" i="12"/>
  <c r="Y714" i="12"/>
  <c r="Z713" i="12"/>
  <c r="Y715" i="12"/>
  <c r="Z714" i="12"/>
  <c r="Y716" i="12"/>
  <c r="Z715" i="12"/>
  <c r="Y717" i="12"/>
  <c r="Z716" i="12"/>
  <c r="Y718" i="12"/>
  <c r="Z717" i="12"/>
  <c r="Z718" i="12"/>
  <c r="Y719" i="12"/>
  <c r="Y720" i="12"/>
  <c r="Z719" i="12"/>
  <c r="Y721" i="12"/>
  <c r="Z720" i="12"/>
  <c r="Y722" i="12"/>
  <c r="Z721" i="12"/>
  <c r="Z722" i="12"/>
  <c r="Y723" i="12"/>
  <c r="Z723" i="12"/>
  <c r="Y724" i="12"/>
  <c r="Z724" i="12"/>
  <c r="Y725" i="12"/>
  <c r="Z725" i="12"/>
  <c r="Y726" i="12"/>
  <c r="Z726" i="12"/>
  <c r="Y727" i="12"/>
  <c r="Z727" i="12"/>
  <c r="Y728" i="12"/>
  <c r="Z728" i="12"/>
  <c r="Y729" i="12"/>
  <c r="Z729" i="12"/>
  <c r="Y730" i="12"/>
  <c r="Y731" i="12"/>
  <c r="Z730" i="12"/>
  <c r="Y732" i="12"/>
  <c r="Z731" i="12"/>
  <c r="Z732" i="12"/>
  <c r="Y733" i="12"/>
  <c r="Y734" i="12"/>
  <c r="Z733" i="12"/>
  <c r="Z734" i="12"/>
  <c r="Y735" i="12"/>
  <c r="Y736" i="12"/>
  <c r="Z735" i="12"/>
  <c r="Z736" i="12"/>
  <c r="Y737" i="12"/>
  <c r="Y738" i="12"/>
  <c r="Z737" i="12"/>
  <c r="Y739" i="12"/>
  <c r="Z738" i="12"/>
  <c r="Y740" i="12"/>
  <c r="Z739" i="12"/>
  <c r="Y741" i="12"/>
  <c r="Z740" i="12"/>
  <c r="Y742" i="12"/>
  <c r="Z741" i="12"/>
  <c r="Z742" i="12"/>
  <c r="Y743" i="12"/>
  <c r="Y744" i="12"/>
  <c r="Z743" i="12"/>
  <c r="Y745" i="12"/>
  <c r="Z744" i="12"/>
  <c r="Z745" i="12"/>
  <c r="Y746" i="12"/>
  <c r="Y747" i="12"/>
  <c r="Z746" i="12"/>
  <c r="Y748" i="12"/>
  <c r="Z747" i="12"/>
  <c r="Y749" i="12"/>
  <c r="Z748" i="12"/>
  <c r="Z749" i="12"/>
  <c r="Y750" i="12"/>
  <c r="Y751" i="12"/>
  <c r="Z750" i="12"/>
  <c r="Y752" i="12"/>
  <c r="Z751" i="12"/>
  <c r="Z752" i="12"/>
  <c r="Y753" i="12"/>
  <c r="Z753" i="12"/>
  <c r="Y754" i="12"/>
  <c r="Y755" i="12"/>
  <c r="Z754" i="12"/>
  <c r="Y756" i="12"/>
  <c r="Z755" i="12"/>
  <c r="Y757" i="12"/>
  <c r="Z756" i="12"/>
  <c r="Y758" i="12"/>
  <c r="Z757" i="12"/>
  <c r="Y759" i="12"/>
  <c r="Z758" i="12"/>
  <c r="Z759" i="12"/>
  <c r="Y760" i="12"/>
  <c r="Y761" i="12"/>
  <c r="Z760" i="12"/>
  <c r="Z761" i="12"/>
  <c r="Y762" i="12"/>
  <c r="Y763" i="12"/>
  <c r="Z762" i="12"/>
  <c r="Z763" i="12"/>
  <c r="Y764" i="12"/>
  <c r="Z764" i="12"/>
  <c r="Y765" i="12"/>
  <c r="Z765" i="12"/>
  <c r="Y766" i="12"/>
  <c r="Z766" i="12"/>
  <c r="Y767" i="12"/>
  <c r="Z767" i="12"/>
  <c r="Y768" i="12"/>
  <c r="Y769" i="12"/>
  <c r="Z768" i="12"/>
  <c r="Y770" i="12"/>
  <c r="Z769" i="12"/>
  <c r="Y771" i="12"/>
  <c r="Z770" i="12"/>
  <c r="Z771" i="12"/>
  <c r="Y772" i="12"/>
  <c r="Z772" i="12"/>
  <c r="Y773" i="12"/>
  <c r="Z773" i="12"/>
  <c r="Y774" i="12"/>
  <c r="Z774" i="12"/>
  <c r="Y775" i="12"/>
  <c r="Z775" i="12"/>
  <c r="Y776" i="12"/>
  <c r="Z776" i="12"/>
  <c r="Y777" i="12"/>
  <c r="Z777" i="12"/>
  <c r="Y778" i="12"/>
  <c r="Z778" i="12"/>
  <c r="Y779" i="12"/>
  <c r="Y780" i="12"/>
  <c r="Z779" i="12"/>
  <c r="Y781" i="12"/>
  <c r="Z780" i="12"/>
  <c r="Y782" i="12"/>
  <c r="Z781" i="12"/>
  <c r="Z782" i="12"/>
  <c r="Y783" i="12"/>
  <c r="Y784" i="12"/>
  <c r="Z783" i="12"/>
  <c r="Z784" i="12"/>
  <c r="Y785" i="12"/>
  <c r="Z785" i="12"/>
  <c r="Y786" i="12"/>
  <c r="Z786" i="12"/>
  <c r="Y787" i="12"/>
  <c r="Y788" i="12"/>
  <c r="Z787" i="12"/>
  <c r="Z788" i="12"/>
  <c r="Y789" i="12"/>
  <c r="Z789" i="12"/>
  <c r="Y790" i="12"/>
  <c r="Z790" i="12"/>
  <c r="Y791" i="12"/>
  <c r="Z791" i="12"/>
  <c r="Y792" i="12"/>
  <c r="Z792" i="12"/>
  <c r="Y793" i="12"/>
  <c r="Z793" i="12"/>
  <c r="Y794" i="12"/>
  <c r="Y795" i="12"/>
  <c r="Z794" i="12"/>
  <c r="Z795" i="12"/>
  <c r="Y796" i="12"/>
  <c r="Y797" i="12"/>
  <c r="Z796" i="12"/>
  <c r="Y798" i="12"/>
  <c r="Z797" i="12"/>
  <c r="Z798" i="12"/>
  <c r="Y799" i="12"/>
  <c r="Y800" i="12"/>
  <c r="Z799" i="12"/>
  <c r="Z800" i="12"/>
  <c r="Y801" i="12"/>
  <c r="Z801" i="12"/>
  <c r="Y802" i="12"/>
  <c r="Z802" i="12"/>
  <c r="Y803" i="12"/>
  <c r="Z803" i="12"/>
  <c r="Y804" i="12"/>
  <c r="Z804" i="12"/>
  <c r="Y805" i="12"/>
  <c r="Y806" i="12"/>
  <c r="Z805" i="12"/>
  <c r="Y807" i="12"/>
  <c r="Z806" i="12"/>
  <c r="Y808" i="12"/>
  <c r="Z807" i="12"/>
  <c r="Y809" i="12"/>
  <c r="Z808" i="12"/>
  <c r="Z809" i="12"/>
  <c r="Y810" i="12"/>
  <c r="Z810" i="12"/>
  <c r="Y811" i="12"/>
  <c r="Z811" i="12"/>
  <c r="Y812" i="12"/>
  <c r="Y813" i="12"/>
  <c r="Z812" i="12"/>
  <c r="Z813" i="12"/>
  <c r="Y814" i="12"/>
  <c r="Y815" i="12"/>
  <c r="Z814" i="12"/>
  <c r="Y816" i="12"/>
  <c r="Z815" i="12"/>
  <c r="Z816" i="12"/>
  <c r="Y817" i="12"/>
  <c r="Z817" i="12"/>
  <c r="Y818" i="12"/>
  <c r="Z818" i="12"/>
  <c r="Y819" i="12"/>
  <c r="Z819" i="12"/>
  <c r="Y820" i="12"/>
  <c r="Z820" i="12"/>
  <c r="Y821" i="12"/>
  <c r="Z821" i="12"/>
  <c r="Y822" i="12"/>
  <c r="Z822" i="12"/>
  <c r="Y823" i="12"/>
  <c r="Y824" i="12"/>
  <c r="Z823" i="12"/>
  <c r="Z824" i="12"/>
  <c r="Y825" i="12"/>
  <c r="Z825" i="12"/>
  <c r="Y826" i="12"/>
  <c r="Z826" i="12"/>
  <c r="Y827" i="12"/>
  <c r="Y828" i="12"/>
  <c r="Z827" i="12"/>
  <c r="Y829" i="12"/>
  <c r="Z828" i="12"/>
  <c r="Y830" i="12"/>
  <c r="Z829" i="12"/>
  <c r="Y831" i="12"/>
  <c r="Z830" i="12"/>
  <c r="Z831" i="12"/>
  <c r="Y832" i="12"/>
  <c r="Y833" i="12"/>
  <c r="Z832" i="12"/>
  <c r="Z833" i="12"/>
  <c r="Y834" i="12"/>
  <c r="Z834" i="12"/>
  <c r="Y835" i="12"/>
  <c r="Y836" i="12"/>
  <c r="Z835" i="12"/>
  <c r="Y837" i="12"/>
  <c r="Z836" i="12"/>
  <c r="Y838" i="12"/>
  <c r="Z837" i="12"/>
  <c r="Y839" i="12"/>
  <c r="Z838" i="12"/>
  <c r="Y840" i="12"/>
  <c r="Z839" i="12"/>
  <c r="Y841" i="12"/>
  <c r="Z840" i="12"/>
  <c r="Y842" i="12"/>
  <c r="Z841" i="12"/>
  <c r="Y843" i="12"/>
  <c r="Z842" i="12"/>
  <c r="Y844" i="12"/>
  <c r="Z843" i="12"/>
  <c r="Y845" i="12"/>
  <c r="Z844" i="12"/>
  <c r="Y846" i="12"/>
  <c r="Z845" i="12"/>
  <c r="Z846" i="12"/>
  <c r="Y847" i="12"/>
  <c r="Y848" i="12"/>
  <c r="Z847" i="12"/>
  <c r="Z848" i="12"/>
  <c r="Y849" i="12"/>
  <c r="Y850" i="12"/>
  <c r="Z849" i="12"/>
  <c r="Z850" i="12"/>
  <c r="Y851" i="12"/>
  <c r="Y852" i="12"/>
  <c r="Z851" i="12"/>
  <c r="Y853" i="12"/>
  <c r="Z852" i="12"/>
  <c r="Z853" i="12"/>
  <c r="Y854" i="12"/>
  <c r="Y855" i="12"/>
  <c r="Z854" i="12"/>
  <c r="Z855" i="12"/>
  <c r="Y856" i="12"/>
  <c r="Z856" i="12"/>
  <c r="Y857" i="12"/>
  <c r="Y858" i="12"/>
  <c r="Z857" i="12"/>
  <c r="Y859" i="12"/>
  <c r="Z858" i="12"/>
  <c r="Y860" i="12"/>
  <c r="Z859" i="12"/>
  <c r="Y861" i="12"/>
  <c r="Z860" i="12"/>
  <c r="Y862" i="12"/>
  <c r="Z861" i="12"/>
  <c r="Z862" i="12"/>
  <c r="Y863" i="12"/>
  <c r="Z863" i="12"/>
  <c r="Y864" i="12"/>
  <c r="Y865" i="12"/>
  <c r="Z864" i="12"/>
  <c r="Z865" i="12"/>
  <c r="Y866" i="12"/>
  <c r="Y867" i="12"/>
  <c r="Z866" i="12"/>
  <c r="Y868" i="12"/>
  <c r="Z867" i="12"/>
  <c r="Y869" i="12"/>
  <c r="Z868" i="12"/>
  <c r="Z869" i="12"/>
  <c r="Y870" i="12"/>
  <c r="Y871" i="12"/>
  <c r="Z870" i="12"/>
  <c r="Y872" i="12"/>
  <c r="Z871" i="12"/>
  <c r="Z872" i="12"/>
  <c r="Y873" i="12"/>
  <c r="Z873" i="12"/>
  <c r="Y874" i="12"/>
  <c r="Y875" i="12"/>
  <c r="Z874" i="12"/>
  <c r="Y876" i="12"/>
  <c r="Z875" i="12"/>
  <c r="Y877" i="12"/>
  <c r="Z876" i="12"/>
  <c r="Z877" i="12"/>
  <c r="Y878" i="12"/>
  <c r="Y879" i="12"/>
  <c r="Z878" i="12"/>
  <c r="Y880" i="12"/>
  <c r="Z879" i="12"/>
  <c r="Z880" i="12"/>
  <c r="Y881" i="12"/>
  <c r="Y882" i="12"/>
  <c r="Z881" i="12"/>
  <c r="Y883" i="12"/>
  <c r="Z882" i="12"/>
  <c r="Z883" i="12"/>
  <c r="Y884" i="12"/>
  <c r="Y885" i="12"/>
  <c r="Z884" i="12"/>
  <c r="Z885" i="12"/>
  <c r="Y886" i="12"/>
  <c r="Y887" i="12"/>
  <c r="Z886" i="12"/>
  <c r="Z887" i="12"/>
  <c r="Y888" i="12"/>
  <c r="Y889" i="12"/>
  <c r="Z888" i="12"/>
  <c r="Y890" i="12"/>
  <c r="Z889" i="12"/>
  <c r="Z890" i="12"/>
  <c r="Y891" i="12"/>
  <c r="Z891" i="12"/>
  <c r="Y892" i="12"/>
  <c r="Y893" i="12"/>
  <c r="Z892" i="12"/>
  <c r="Y894" i="12"/>
  <c r="Z893" i="12"/>
  <c r="Z894" i="12"/>
  <c r="Y895" i="12"/>
  <c r="Y896" i="12"/>
  <c r="Z895" i="12"/>
  <c r="Z896" i="12"/>
  <c r="Y897" i="12"/>
  <c r="Z897" i="12"/>
  <c r="Y898" i="12"/>
  <c r="Z898" i="12"/>
  <c r="Y899" i="12"/>
  <c r="Z899" i="12"/>
  <c r="Y900" i="12"/>
  <c r="Z900" i="12"/>
  <c r="Y901" i="12"/>
  <c r="Y902" i="12"/>
  <c r="Z901" i="12"/>
  <c r="Z902" i="12"/>
  <c r="Y903" i="12"/>
  <c r="Y904" i="12"/>
  <c r="Z903" i="12"/>
  <c r="Y905" i="12"/>
  <c r="Z904" i="12"/>
  <c r="Y906" i="12"/>
  <c r="Z905" i="12"/>
  <c r="Y907" i="12"/>
  <c r="Z906" i="12"/>
  <c r="Y908" i="12"/>
  <c r="Z907" i="12"/>
  <c r="Y909" i="12"/>
  <c r="Z908" i="12"/>
  <c r="Z909" i="12"/>
  <c r="Y910" i="12"/>
  <c r="Z910" i="12"/>
  <c r="Y911" i="12"/>
  <c r="Y912" i="12"/>
  <c r="Z911" i="12"/>
  <c r="Y913" i="12"/>
  <c r="Z912" i="12"/>
  <c r="Y914" i="12"/>
  <c r="Z913" i="12"/>
  <c r="Z914" i="12"/>
  <c r="Y915" i="12"/>
  <c r="Z915" i="12"/>
  <c r="Y916" i="12"/>
  <c r="Z916" i="12"/>
  <c r="Y917" i="12"/>
  <c r="Z917" i="12"/>
  <c r="Y918" i="12"/>
  <c r="Z918" i="12"/>
  <c r="Y919" i="12"/>
  <c r="Z919" i="12"/>
  <c r="Y920" i="12"/>
  <c r="Z920" i="12"/>
  <c r="Y921" i="12"/>
  <c r="Y922" i="12"/>
  <c r="Z921" i="12"/>
  <c r="Y923" i="12"/>
  <c r="Z922" i="12"/>
  <c r="Y924" i="12"/>
  <c r="Z923" i="12"/>
  <c r="Y925" i="12"/>
  <c r="Z924" i="12"/>
  <c r="Y926" i="12"/>
  <c r="Z925" i="12"/>
  <c r="Z926" i="12"/>
  <c r="Y927" i="12"/>
  <c r="Y928" i="12"/>
  <c r="Z927" i="12"/>
  <c r="Z928" i="12"/>
  <c r="Y929" i="12"/>
  <c r="Y930" i="12"/>
  <c r="Z929" i="12"/>
  <c r="Y931" i="12"/>
  <c r="Z930" i="12"/>
  <c r="Z931" i="12"/>
  <c r="Y932" i="12"/>
  <c r="Y933" i="12"/>
  <c r="Z932" i="12"/>
  <c r="Y934" i="12"/>
  <c r="Z933" i="12"/>
  <c r="Z934" i="12"/>
  <c r="Y935" i="12"/>
  <c r="Z935" i="12"/>
  <c r="Y936" i="12"/>
  <c r="Z936" i="12"/>
  <c r="Y937" i="12"/>
  <c r="Z937" i="12"/>
  <c r="Y938" i="12"/>
  <c r="Z938" i="12"/>
  <c r="Y939" i="12"/>
  <c r="Z939" i="12"/>
  <c r="Y940" i="12"/>
  <c r="Y941" i="12"/>
  <c r="Z940" i="12"/>
  <c r="Y942" i="12"/>
  <c r="Z941" i="12"/>
  <c r="Z942" i="12"/>
  <c r="Y943" i="12"/>
  <c r="Z943" i="12"/>
  <c r="Y944" i="12"/>
  <c r="Z944" i="12"/>
  <c r="Y945" i="12"/>
  <c r="Y946" i="12"/>
  <c r="Z945" i="12"/>
  <c r="Z946" i="12"/>
  <c r="Y947" i="12"/>
  <c r="Y948" i="12"/>
  <c r="Z947" i="12"/>
  <c r="Y949" i="12"/>
  <c r="Z948" i="12"/>
  <c r="Z949" i="12"/>
  <c r="Y950" i="12"/>
  <c r="Y951" i="12"/>
  <c r="Z950" i="12"/>
  <c r="Y952" i="12"/>
  <c r="Z951" i="12"/>
  <c r="Z952" i="12"/>
  <c r="Y953" i="12"/>
  <c r="Z953" i="12"/>
  <c r="Y954" i="12"/>
  <c r="Z954" i="12"/>
  <c r="Y955" i="12"/>
  <c r="Z955" i="12"/>
  <c r="Y956" i="12"/>
  <c r="Z956" i="12"/>
  <c r="Y957" i="12"/>
  <c r="Y958" i="12"/>
  <c r="Z957" i="12"/>
  <c r="Y959" i="12"/>
  <c r="Z958" i="12"/>
  <c r="Z959" i="12"/>
  <c r="Y960" i="12"/>
  <c r="Y961" i="12"/>
  <c r="Z960" i="12"/>
  <c r="Y962" i="12"/>
  <c r="Z961" i="12"/>
  <c r="Z962" i="12"/>
  <c r="Y963" i="12"/>
  <c r="Z963" i="12"/>
  <c r="Y964" i="12"/>
  <c r="Y965" i="12"/>
  <c r="Z964" i="12"/>
  <c r="Z965" i="12"/>
  <c r="Y966" i="12"/>
  <c r="Y967" i="12"/>
  <c r="Z966" i="12"/>
  <c r="Z967" i="12"/>
  <c r="Y968" i="12"/>
  <c r="Y969" i="12"/>
  <c r="Z968" i="12"/>
  <c r="Y970" i="12"/>
  <c r="Z969" i="12"/>
  <c r="Z970" i="12"/>
  <c r="Y971" i="12"/>
  <c r="Z971" i="12"/>
  <c r="Y972" i="12"/>
  <c r="Z972" i="12"/>
  <c r="Y973" i="12"/>
  <c r="Z973" i="12"/>
  <c r="Y974" i="12"/>
  <c r="Z974" i="12"/>
  <c r="Y975" i="12"/>
  <c r="Y976" i="12"/>
  <c r="Z975" i="12"/>
  <c r="Z976" i="12"/>
  <c r="Y977" i="12"/>
  <c r="Y978" i="12"/>
  <c r="Z977" i="12"/>
  <c r="Y979" i="12"/>
  <c r="Z978" i="12"/>
  <c r="Z979" i="12"/>
  <c r="Y980" i="12"/>
  <c r="Y981" i="12"/>
  <c r="Z980" i="12"/>
  <c r="Z981" i="12"/>
  <c r="Y982" i="12"/>
  <c r="Y983" i="12"/>
  <c r="Z982" i="12"/>
  <c r="Z983" i="12"/>
  <c r="Y984" i="12"/>
  <c r="Y985" i="12"/>
  <c r="Z984" i="12"/>
  <c r="Y986" i="12"/>
  <c r="Z985" i="12"/>
  <c r="Y987" i="12"/>
  <c r="Z986" i="12"/>
  <c r="Z987" i="12"/>
  <c r="Y988" i="12"/>
  <c r="Z988" i="12"/>
  <c r="Y989" i="12"/>
  <c r="Z989" i="12"/>
  <c r="Y990" i="12"/>
  <c r="Y991" i="12"/>
  <c r="Z990" i="12"/>
  <c r="Y992" i="12"/>
  <c r="Z991" i="12"/>
  <c r="Y993" i="12"/>
  <c r="Z992" i="12"/>
  <c r="Z993" i="12"/>
  <c r="Y994" i="12"/>
  <c r="Z994" i="12"/>
  <c r="Y995" i="12"/>
  <c r="Y996" i="12"/>
  <c r="Z995" i="12"/>
  <c r="Y997" i="12"/>
  <c r="Z996" i="12"/>
  <c r="Z997" i="12"/>
  <c r="Y998" i="12"/>
  <c r="Y999" i="12"/>
  <c r="Z998" i="12"/>
  <c r="Z999" i="12"/>
  <c r="Y1000" i="12"/>
  <c r="Z1000" i="12"/>
  <c r="Y1001" i="12"/>
  <c r="Z1001" i="12"/>
  <c r="Y1002" i="12"/>
  <c r="Y1003" i="12"/>
  <c r="Z1002" i="12"/>
  <c r="Z1003" i="12"/>
  <c r="Y1004" i="12"/>
  <c r="Z1004" i="12"/>
  <c r="Y1005" i="12"/>
  <c r="Z1005" i="12"/>
  <c r="Y1006" i="12"/>
  <c r="Y1007" i="12"/>
  <c r="Z1006" i="12"/>
  <c r="Z1007" i="12"/>
  <c r="Y1008" i="12"/>
  <c r="Y1009" i="12"/>
  <c r="Z1008" i="12"/>
  <c r="Z1009" i="12"/>
  <c r="Y1010" i="12"/>
  <c r="Z1010" i="12"/>
  <c r="Y1011" i="12"/>
  <c r="Y1012" i="12"/>
  <c r="Z1011" i="12"/>
  <c r="Z1012" i="12"/>
  <c r="Y1013" i="12"/>
  <c r="Y1014" i="12"/>
  <c r="Z1013" i="12"/>
  <c r="Z1014" i="12"/>
  <c r="Y1015" i="12"/>
  <c r="Z1015" i="12"/>
  <c r="Y1016" i="12"/>
  <c r="Z1016" i="12"/>
  <c r="Y1017" i="12"/>
  <c r="Z1017" i="12"/>
  <c r="Y1018" i="12"/>
  <c r="Z1018" i="12"/>
  <c r="Y1019" i="12"/>
  <c r="Y1020" i="12"/>
  <c r="Z1019" i="12"/>
  <c r="Z1020" i="12"/>
  <c r="Y1021" i="12"/>
  <c r="Z1021" i="12"/>
  <c r="Y1022" i="12"/>
  <c r="Y1023" i="12"/>
  <c r="Z1022" i="12"/>
  <c r="Z1023" i="12"/>
  <c r="Y1024" i="12"/>
  <c r="Y1025" i="12"/>
  <c r="Z1024" i="12"/>
  <c r="Y1026" i="12"/>
  <c r="Z1025" i="12"/>
  <c r="Z1026" i="12"/>
  <c r="Y1027" i="12"/>
  <c r="Z1027" i="12"/>
  <c r="Y1028" i="12"/>
  <c r="Y1029" i="12"/>
  <c r="Z1028" i="12"/>
  <c r="Z1029" i="12"/>
  <c r="Y1030" i="12"/>
  <c r="Z1030" i="12"/>
  <c r="Y1031" i="12"/>
  <c r="Y1032" i="12"/>
  <c r="Z1031" i="12"/>
  <c r="Z1032" i="12"/>
  <c r="Y1033" i="12"/>
  <c r="Z1033" i="12"/>
  <c r="Y1034" i="12"/>
  <c r="Y1035" i="12"/>
  <c r="Z1034" i="12"/>
  <c r="Z1035" i="12"/>
  <c r="Y1036" i="12"/>
  <c r="Y1037" i="12"/>
  <c r="Z1036" i="12"/>
  <c r="Z1037" i="12"/>
  <c r="Y1038" i="12"/>
  <c r="Y1039" i="12"/>
  <c r="Z1038" i="12"/>
  <c r="Y1040" i="12"/>
  <c r="Z1039" i="12"/>
  <c r="Y1041" i="12"/>
  <c r="Z1040" i="12"/>
  <c r="Y1042" i="12"/>
  <c r="Z1041" i="12"/>
  <c r="Y1043" i="12"/>
  <c r="Z1042" i="12"/>
  <c r="Y1044" i="12"/>
  <c r="Z1043" i="12"/>
  <c r="Y1045" i="12"/>
  <c r="Z1044" i="12"/>
  <c r="Z1045" i="12"/>
  <c r="Y1046" i="12"/>
  <c r="Z1046" i="12"/>
  <c r="Y1047" i="12"/>
  <c r="Y1048" i="12"/>
  <c r="Z1047" i="12"/>
  <c r="Y1049" i="12"/>
  <c r="Z1048" i="12"/>
  <c r="Z1049" i="12"/>
  <c r="Y1050" i="12"/>
  <c r="Y1051" i="12"/>
  <c r="Z1050" i="12"/>
  <c r="Y1052" i="12"/>
  <c r="Z1051" i="12"/>
  <c r="Z1052" i="12"/>
  <c r="Y1053" i="12"/>
  <c r="Y1054" i="12"/>
  <c r="Z1053" i="12"/>
  <c r="Z1054" i="12"/>
  <c r="Y1055" i="12"/>
  <c r="Z1055" i="12"/>
  <c r="Y1056" i="12"/>
  <c r="Z1056" i="12"/>
  <c r="Y1057" i="12"/>
  <c r="Y1058" i="12"/>
  <c r="Z1057" i="12"/>
  <c r="Y1059" i="12"/>
  <c r="Z1058" i="12"/>
  <c r="Y1060" i="12"/>
  <c r="Z1059" i="12"/>
  <c r="Z1060" i="12"/>
  <c r="Y1061" i="12"/>
  <c r="Z1061" i="12"/>
  <c r="Y1062" i="12"/>
  <c r="Y1063" i="12"/>
  <c r="Z1062" i="12"/>
  <c r="Y1064" i="12"/>
  <c r="Z1063" i="12"/>
  <c r="Z1064" i="12"/>
  <c r="Y1065" i="12"/>
  <c r="Y1066" i="12"/>
  <c r="Z1065" i="12"/>
  <c r="Y1067" i="12"/>
  <c r="Z1066" i="12"/>
  <c r="Z1067" i="12"/>
  <c r="Y1068" i="12"/>
  <c r="Y1069" i="12"/>
  <c r="Z1068" i="12"/>
  <c r="Z1069" i="12"/>
  <c r="Y1070" i="12"/>
  <c r="Y1071" i="12"/>
  <c r="Z1070" i="12"/>
  <c r="Y1072" i="12"/>
  <c r="Z1071" i="12"/>
  <c r="Z1072" i="12"/>
  <c r="Y1073" i="12"/>
  <c r="Z1073" i="12"/>
  <c r="Y1074" i="12"/>
  <c r="Y1075" i="12"/>
  <c r="Z1074" i="12"/>
  <c r="Z1075" i="12"/>
  <c r="Y1076" i="12"/>
  <c r="Y1077" i="12"/>
  <c r="Z1076" i="12"/>
  <c r="Z1077" i="12"/>
  <c r="Y1078" i="12"/>
  <c r="Z1078" i="12"/>
  <c r="Y1079" i="12"/>
  <c r="Z1079" i="12"/>
  <c r="Y1080" i="12"/>
  <c r="Z1080" i="12"/>
  <c r="Y1081" i="12"/>
  <c r="Y1082" i="12"/>
  <c r="Z1081" i="12"/>
  <c r="Z1082" i="12"/>
  <c r="Y1083" i="12"/>
  <c r="Y1084" i="12"/>
  <c r="Z1083" i="12"/>
  <c r="Z1084" i="12"/>
  <c r="Y1085" i="12"/>
  <c r="Y1086" i="12"/>
  <c r="Z1085" i="12"/>
  <c r="Z1086" i="12"/>
  <c r="Y1087" i="12"/>
  <c r="Y1088" i="12"/>
  <c r="Z1087" i="12"/>
  <c r="Z1088" i="12"/>
  <c r="Y1089" i="12"/>
  <c r="Z1089" i="12"/>
  <c r="Y1090" i="12"/>
  <c r="Z1090" i="12"/>
  <c r="Y1091" i="12"/>
  <c r="Y1092" i="12"/>
  <c r="Z1091" i="12"/>
  <c r="Z1092" i="12"/>
  <c r="Y1093" i="12"/>
  <c r="Y1094" i="12"/>
  <c r="Z1093" i="12"/>
  <c r="Z1094" i="12"/>
  <c r="Y1095" i="12"/>
  <c r="Y1096" i="12"/>
  <c r="Z1095" i="12"/>
  <c r="Z1096" i="12"/>
  <c r="Y1097" i="12"/>
  <c r="Z1097" i="12"/>
  <c r="Y1098" i="12"/>
  <c r="Z1098" i="12"/>
  <c r="Y1099" i="12"/>
  <c r="Z1099" i="12"/>
  <c r="Y1100" i="12"/>
  <c r="Y1101" i="12"/>
  <c r="Z1100" i="12"/>
  <c r="Y1102" i="12"/>
  <c r="Z1101" i="12"/>
  <c r="Y1103" i="12"/>
  <c r="Z1102" i="12"/>
  <c r="Y1104" i="12"/>
  <c r="Z1103" i="12"/>
  <c r="Y1105" i="12"/>
  <c r="Z1104" i="12"/>
  <c r="Z1105" i="12"/>
  <c r="Y1106" i="12"/>
  <c r="Y1107" i="12"/>
  <c r="Z1106" i="12"/>
  <c r="Z1107" i="12"/>
  <c r="Y1108" i="12"/>
  <c r="Z1108" i="12"/>
  <c r="Y1109" i="12"/>
  <c r="Z1109" i="12"/>
  <c r="Y1110" i="12"/>
  <c r="Z1110" i="12"/>
  <c r="Y1111" i="12"/>
  <c r="Z1111" i="12"/>
  <c r="Y1112" i="12"/>
  <c r="Y1113" i="12"/>
  <c r="Z1112" i="12"/>
  <c r="Z1113" i="12"/>
  <c r="Y1114" i="12"/>
  <c r="Z1114" i="12"/>
  <c r="Y1115" i="12"/>
  <c r="Y1116" i="12"/>
  <c r="Z1115" i="12"/>
  <c r="Y1117" i="12"/>
  <c r="Z1116" i="12"/>
  <c r="Z1117" i="12"/>
  <c r="Y1118" i="12"/>
  <c r="Y1119" i="12"/>
  <c r="Z1118" i="12"/>
  <c r="Z1119" i="12"/>
  <c r="Y1120" i="12"/>
  <c r="Y1121" i="12"/>
  <c r="Z1120" i="12"/>
  <c r="Z1121" i="12"/>
  <c r="Y1122" i="12"/>
  <c r="Z1122" i="12"/>
  <c r="Y1123" i="12"/>
  <c r="Y1124" i="12"/>
  <c r="Z1123" i="12"/>
  <c r="Y1125" i="12"/>
  <c r="Z1124" i="12"/>
  <c r="Z1125" i="12"/>
  <c r="Y1126" i="12"/>
  <c r="Y1127" i="12"/>
  <c r="Z1126" i="12"/>
  <c r="Z1127" i="12"/>
  <c r="Y1128" i="12"/>
  <c r="Y1129" i="12"/>
  <c r="Z1128" i="12"/>
  <c r="Z1129" i="12"/>
  <c r="Y1130" i="12"/>
  <c r="Z1130" i="12"/>
  <c r="Y1131" i="12"/>
  <c r="Z1131" i="12"/>
  <c r="Y1132" i="12"/>
  <c r="Y1133" i="12"/>
  <c r="Z1132" i="12"/>
  <c r="Z1133" i="12"/>
  <c r="Y1134" i="12"/>
  <c r="Y1135" i="12"/>
  <c r="Z1134" i="12"/>
  <c r="Z1135" i="12"/>
  <c r="Y1136" i="12"/>
  <c r="Y1137" i="12"/>
  <c r="Z1136" i="12"/>
  <c r="Y1138" i="12"/>
  <c r="Z1137" i="12"/>
  <c r="Y1139" i="12"/>
  <c r="Z1138" i="12"/>
  <c r="Z1139" i="12"/>
  <c r="Y1140" i="12"/>
  <c r="Z1140" i="12"/>
  <c r="Y1141" i="12"/>
  <c r="Z1141" i="12"/>
  <c r="Y1142" i="12"/>
  <c r="Z1142" i="12"/>
  <c r="Y1143" i="12"/>
  <c r="Y1144" i="12"/>
  <c r="Z1143" i="12"/>
  <c r="Y1145" i="12"/>
  <c r="Z1144" i="12"/>
  <c r="Y1146" i="12"/>
  <c r="Z1145" i="12"/>
  <c r="Z1146" i="12"/>
  <c r="Y1147" i="12"/>
  <c r="Y1148" i="12"/>
  <c r="Z1147" i="12"/>
  <c r="Y1149" i="12"/>
  <c r="Z1148" i="12"/>
  <c r="Z1149" i="12"/>
  <c r="Y1150" i="12"/>
  <c r="Z1150" i="12"/>
  <c r="Y1151" i="12"/>
  <c r="Y1152" i="12"/>
  <c r="Z1151" i="12"/>
  <c r="Z1152" i="12"/>
  <c r="Y1153" i="12"/>
  <c r="Y1154" i="12"/>
  <c r="Z1153" i="12"/>
  <c r="Y1155" i="12"/>
  <c r="Z1154" i="12"/>
  <c r="Z1155" i="12"/>
  <c r="Y1156" i="12"/>
  <c r="Y1157" i="12"/>
  <c r="Z1156" i="12"/>
  <c r="Z1157" i="12"/>
  <c r="Y1158" i="12"/>
  <c r="Y1159" i="12"/>
  <c r="Z1158" i="12"/>
  <c r="Y1160" i="12"/>
  <c r="Z1159" i="12"/>
  <c r="Z1160" i="12"/>
  <c r="Y1161" i="12"/>
  <c r="Y1162" i="12"/>
  <c r="Z1161" i="12"/>
  <c r="Y1163" i="12"/>
  <c r="Z1162" i="12"/>
  <c r="Z1163" i="12"/>
  <c r="Y1164" i="12"/>
  <c r="Y1165" i="12"/>
  <c r="Z1164" i="12"/>
  <c r="Y1166" i="12"/>
  <c r="Z1165" i="12"/>
  <c r="Y1167" i="12"/>
  <c r="Z1166" i="12"/>
  <c r="Y1168" i="12"/>
  <c r="Z1167" i="12"/>
  <c r="Z1168" i="12"/>
  <c r="Y1169" i="12"/>
  <c r="Y1170" i="12"/>
  <c r="Z1169" i="12"/>
  <c r="Y1171" i="12"/>
  <c r="Z1170" i="12"/>
  <c r="Z1171" i="12"/>
  <c r="Y1172" i="12"/>
  <c r="Z1172" i="12"/>
  <c r="Y1173" i="12"/>
  <c r="Z1173" i="12"/>
  <c r="Y1174" i="12"/>
  <c r="Y1175" i="12"/>
  <c r="Z1174" i="12"/>
  <c r="Y1176" i="12"/>
  <c r="Z1175" i="12"/>
  <c r="Y1177" i="12"/>
  <c r="Z1176" i="12"/>
  <c r="Y1178" i="12"/>
  <c r="Z1177" i="12"/>
  <c r="Z1178" i="12"/>
  <c r="Y1179" i="12"/>
  <c r="Z1179" i="12"/>
  <c r="Y1180" i="12"/>
  <c r="Z1180" i="12"/>
  <c r="Y1181" i="12"/>
  <c r="Z1181" i="12"/>
  <c r="Y1182" i="12"/>
  <c r="Y1183" i="12"/>
  <c r="Z1182" i="12"/>
  <c r="Z1183" i="12"/>
  <c r="Y1184" i="12"/>
  <c r="Z1184" i="12"/>
  <c r="Y1185" i="12"/>
  <c r="Y1186" i="12"/>
  <c r="Z1185" i="12"/>
  <c r="Y1187" i="12"/>
  <c r="Z1186" i="12"/>
  <c r="Z1187" i="12"/>
  <c r="Y1188" i="12"/>
  <c r="Z1188" i="12"/>
  <c r="Y1189" i="12"/>
  <c r="Z1189" i="12"/>
  <c r="Y1190" i="12"/>
  <c r="Y1191" i="12"/>
  <c r="Z1190" i="12"/>
  <c r="Y1192" i="12"/>
  <c r="Z1191" i="12"/>
  <c r="Z1192" i="12"/>
  <c r="Y1193" i="12"/>
  <c r="Y1194" i="12"/>
  <c r="Z1193" i="12"/>
  <c r="Y1195" i="12"/>
  <c r="Z1194" i="12"/>
  <c r="Y1196" i="12"/>
  <c r="Z1195" i="12"/>
  <c r="Y1197" i="12"/>
  <c r="Z1196" i="12"/>
  <c r="Z1197" i="12"/>
  <c r="Y1198" i="12"/>
  <c r="Y1199" i="12"/>
  <c r="Z1198" i="12"/>
  <c r="Y1200" i="12"/>
  <c r="Z1199" i="12"/>
  <c r="Y1201" i="12"/>
  <c r="Z1200" i="12"/>
  <c r="Y1202" i="12"/>
  <c r="Z1201" i="12"/>
  <c r="Y1203" i="12"/>
  <c r="Z1202" i="12"/>
  <c r="Y1204" i="12"/>
  <c r="Z1203" i="12"/>
  <c r="Z1204" i="12"/>
  <c r="Y1205" i="12"/>
  <c r="Y1206" i="12"/>
  <c r="Z1205" i="12"/>
  <c r="Z1206" i="12"/>
  <c r="Y1207" i="12"/>
  <c r="Z1207" i="12"/>
  <c r="Y1208" i="12"/>
  <c r="Z1208" i="12"/>
  <c r="Y1209" i="12"/>
  <c r="Z1209" i="12"/>
  <c r="Y1210" i="12"/>
  <c r="Y1211" i="12"/>
  <c r="Z1210" i="12"/>
  <c r="Z1211" i="12"/>
  <c r="Y1212" i="12"/>
  <c r="Y1213" i="12"/>
  <c r="Z1212" i="12"/>
  <c r="Z1213" i="12"/>
  <c r="Y1214" i="12"/>
  <c r="Z1214" i="12"/>
  <c r="Y1215" i="12"/>
  <c r="Z1215" i="12"/>
  <c r="Y1216" i="12"/>
  <c r="Z1216" i="12"/>
  <c r="Y1217" i="12"/>
  <c r="Y1218" i="12"/>
  <c r="Z1217" i="12"/>
  <c r="Z1218" i="12"/>
  <c r="Y1219" i="12"/>
  <c r="Y1220" i="12"/>
  <c r="Z1219" i="12"/>
  <c r="Y1221" i="12"/>
  <c r="Z1220" i="12"/>
  <c r="Y1222" i="12"/>
  <c r="Z1221" i="12"/>
  <c r="Z1222" i="12"/>
  <c r="Y1223" i="12"/>
  <c r="Y1224" i="12"/>
  <c r="Z1223" i="12"/>
  <c r="Z1224" i="12"/>
  <c r="Y1225" i="12"/>
  <c r="Z1225" i="12"/>
  <c r="Y1226" i="12"/>
  <c r="Z1226" i="12"/>
  <c r="Y1227" i="12"/>
  <c r="Z1227" i="12"/>
  <c r="Y1228" i="12"/>
  <c r="Z1228" i="12"/>
  <c r="Y1229" i="12"/>
  <c r="Y1230" i="12"/>
  <c r="Z1229" i="12"/>
  <c r="Z1230" i="12"/>
  <c r="Y1231" i="12"/>
  <c r="Z1231" i="12"/>
  <c r="Y1232" i="12"/>
  <c r="Z1232" i="12"/>
  <c r="Y1233" i="12"/>
  <c r="Y1234" i="12"/>
  <c r="Z1233" i="12"/>
  <c r="Y1235" i="12"/>
  <c r="Z1234" i="12"/>
  <c r="Y1236" i="12"/>
  <c r="Z1235" i="12"/>
  <c r="Z1236" i="12"/>
  <c r="Y1237" i="12"/>
  <c r="Y1238" i="12"/>
  <c r="Z1237" i="12"/>
  <c r="Z1238" i="12"/>
  <c r="Y1239" i="12"/>
  <c r="Z1239" i="12"/>
  <c r="Y1240" i="12"/>
  <c r="Z1240" i="12"/>
  <c r="Y1241" i="12"/>
  <c r="Y1242" i="12"/>
  <c r="Z1241" i="12"/>
  <c r="Y1243" i="12"/>
  <c r="Z1242" i="12"/>
  <c r="Z1243" i="12"/>
  <c r="Y1244" i="12"/>
  <c r="Z1244" i="12"/>
  <c r="Y1245" i="12"/>
  <c r="Y1246" i="12"/>
  <c r="Z1245" i="12"/>
  <c r="Y1247" i="12"/>
  <c r="Z1246" i="12"/>
  <c r="Y1248" i="12"/>
  <c r="Z1247" i="12"/>
  <c r="Z1248" i="12"/>
  <c r="Y1249" i="12"/>
  <c r="Z1249" i="12"/>
  <c r="Y1250" i="12"/>
  <c r="Z1250" i="12"/>
  <c r="Y1251" i="12"/>
  <c r="Y1252" i="12"/>
  <c r="Z1251" i="12"/>
  <c r="Y1253" i="12"/>
  <c r="Z1252" i="12"/>
  <c r="Z1253" i="12"/>
  <c r="Y1254" i="12"/>
  <c r="Z1254" i="12"/>
  <c r="Y1255" i="12"/>
  <c r="Y1256" i="12"/>
  <c r="Z1255" i="12"/>
  <c r="Y1257" i="12"/>
  <c r="Z1256" i="12"/>
  <c r="Y1258" i="12"/>
  <c r="Z1257" i="12"/>
  <c r="Y1259" i="12"/>
  <c r="Z1258" i="12"/>
  <c r="Z1259" i="12"/>
  <c r="Y1260" i="12"/>
  <c r="Y1261" i="12"/>
  <c r="Z1260" i="12"/>
  <c r="Z1261" i="12"/>
  <c r="Y1262" i="12"/>
  <c r="Z1262" i="12"/>
  <c r="Y1263" i="12"/>
  <c r="Y1264" i="12"/>
  <c r="Z1263" i="12"/>
  <c r="Y1265" i="12"/>
  <c r="Z1264" i="12"/>
  <c r="Z1265" i="12"/>
  <c r="Y1266" i="12"/>
  <c r="Z1266" i="12"/>
  <c r="Y1267" i="12"/>
  <c r="Y1268" i="12"/>
  <c r="Z1267" i="12"/>
  <c r="Y1269" i="12"/>
  <c r="Z1268" i="12"/>
  <c r="Y1270" i="12"/>
  <c r="Z1269" i="12"/>
  <c r="Y1271" i="12"/>
  <c r="Z1270" i="12"/>
  <c r="Z1271" i="12"/>
  <c r="Y1272" i="12"/>
  <c r="Y1273" i="12"/>
  <c r="Z1272" i="12"/>
  <c r="Y1274" i="12"/>
  <c r="Z1273" i="12"/>
  <c r="Z1274" i="12"/>
  <c r="Y1275" i="12"/>
  <c r="Z1275" i="12"/>
  <c r="Y1276" i="12"/>
  <c r="Y1277" i="12"/>
  <c r="Z1276" i="12"/>
  <c r="Y1278" i="12"/>
  <c r="Z1277" i="12"/>
  <c r="Z1278" i="12"/>
  <c r="Y1279" i="12"/>
  <c r="Z1279" i="12"/>
  <c r="Y1280" i="12"/>
  <c r="Z1280" i="12"/>
  <c r="Y1281" i="12"/>
  <c r="Y1282" i="12"/>
  <c r="Z1281" i="12"/>
  <c r="Z1282" i="12"/>
  <c r="Y1283" i="12"/>
  <c r="Z1283" i="12"/>
  <c r="Y1284" i="12"/>
  <c r="Z1284" i="12"/>
  <c r="Y1285" i="12"/>
  <c r="Z1285" i="12"/>
  <c r="Y1286" i="12"/>
  <c r="Z1286" i="12"/>
  <c r="Y1287" i="12"/>
  <c r="Y1288" i="12"/>
  <c r="Z1287" i="12"/>
  <c r="Y1289" i="12"/>
  <c r="Z1288" i="12"/>
  <c r="Z1289" i="12"/>
  <c r="Y1290" i="12"/>
  <c r="Z1290" i="12"/>
  <c r="Y1291" i="12"/>
  <c r="Y1292" i="12"/>
  <c r="Z1291" i="12"/>
  <c r="Y1293" i="12"/>
  <c r="Z1292" i="12"/>
  <c r="Y1294" i="12"/>
  <c r="Z1293" i="12"/>
  <c r="Y1295" i="12"/>
  <c r="Z1294" i="12"/>
  <c r="Y1296" i="12"/>
  <c r="Z1295" i="12"/>
  <c r="Z1296" i="12"/>
  <c r="Y1297" i="12"/>
  <c r="Z1297" i="12"/>
  <c r="Y1298" i="12"/>
  <c r="Z1298" i="12"/>
  <c r="Y1299" i="12"/>
  <c r="Z1299" i="12"/>
  <c r="Y1300" i="12"/>
  <c r="Y1301" i="12"/>
  <c r="Z1300" i="12"/>
  <c r="Z1301" i="12"/>
  <c r="Y1302" i="12"/>
  <c r="Y1303" i="12"/>
  <c r="Z1302" i="12"/>
  <c r="Z1303" i="12"/>
  <c r="Y1304" i="12"/>
  <c r="Z1304" i="12"/>
  <c r="Y1305" i="12"/>
  <c r="Z1305" i="12"/>
  <c r="Y1306" i="12"/>
  <c r="Z1306" i="12"/>
  <c r="Y1307" i="12"/>
  <c r="Z1307" i="12"/>
  <c r="Y1308" i="12"/>
  <c r="Z1308" i="12"/>
  <c r="Y1309" i="12"/>
  <c r="Z1309" i="12"/>
  <c r="Y1310" i="12"/>
  <c r="Y1311" i="12"/>
  <c r="Z1310" i="12"/>
  <c r="Y1312" i="12"/>
  <c r="Z1311" i="12"/>
  <c r="Y1313" i="12"/>
  <c r="Z1312" i="12"/>
  <c r="Z1313" i="12"/>
  <c r="Y1314" i="12"/>
  <c r="Y1315" i="12"/>
  <c r="Z1314" i="12"/>
  <c r="Z1315" i="12"/>
  <c r="Y1316" i="12"/>
  <c r="Y1317" i="12"/>
  <c r="Z1316" i="12"/>
  <c r="Z1317" i="12"/>
  <c r="Y1318" i="12"/>
  <c r="Z1318" i="12"/>
  <c r="Y1319" i="12"/>
  <c r="Y1320" i="12"/>
  <c r="Z1319" i="12"/>
  <c r="Y1321" i="12"/>
  <c r="Z1320" i="12"/>
  <c r="Z1321" i="12"/>
  <c r="Y1322" i="12"/>
  <c r="Z1322" i="12"/>
  <c r="Y1323" i="12"/>
  <c r="Y1324" i="12"/>
  <c r="Z1323" i="12"/>
  <c r="Y1325" i="12"/>
  <c r="Z1324" i="12"/>
  <c r="Y1326" i="12"/>
  <c r="Z1325" i="12"/>
  <c r="Y1327" i="12"/>
  <c r="Z1326" i="12"/>
  <c r="Z1327" i="12"/>
  <c r="Y1328" i="12"/>
  <c r="Z1328" i="12"/>
  <c r="Y1329" i="12"/>
  <c r="Z1329" i="12"/>
  <c r="Y1330" i="12"/>
  <c r="Y1331" i="12"/>
  <c r="Z1330" i="12"/>
  <c r="Z1331" i="12"/>
  <c r="Y1332" i="12"/>
  <c r="Z1332" i="12"/>
  <c r="Y1333" i="12"/>
  <c r="Y1334" i="12"/>
  <c r="Z1333" i="12"/>
  <c r="Z1334" i="12"/>
  <c r="Y1335" i="12"/>
  <c r="Y1336" i="12"/>
  <c r="Z1335" i="12"/>
  <c r="Z1336" i="12"/>
  <c r="Y1337" i="12"/>
  <c r="Y1338" i="12"/>
  <c r="Z1337" i="12"/>
  <c r="Y1339" i="12"/>
  <c r="Z1338" i="12"/>
  <c r="Y1340" i="12"/>
  <c r="Z1339" i="12"/>
  <c r="Z1340" i="12"/>
  <c r="Y1341" i="12"/>
  <c r="Z1341" i="12"/>
  <c r="Y1342" i="12"/>
  <c r="Z1342" i="12"/>
  <c r="Y1343" i="12"/>
  <c r="Z1343" i="12"/>
  <c r="Y1344" i="12"/>
  <c r="Y1345" i="12"/>
  <c r="Z1344" i="12"/>
  <c r="Z1345" i="12"/>
  <c r="Y1346" i="12"/>
  <c r="Y1347" i="12"/>
  <c r="Z1346" i="12"/>
  <c r="Z1347" i="12"/>
  <c r="Y1348" i="12"/>
  <c r="Y1349" i="12"/>
  <c r="Z1348" i="12"/>
  <c r="Y1350" i="12"/>
  <c r="Z1349" i="12"/>
  <c r="Z1350" i="12"/>
  <c r="Y1351" i="12"/>
  <c r="Y1352" i="12"/>
  <c r="Z1351" i="12"/>
  <c r="Z1352" i="12"/>
  <c r="Y1353" i="12"/>
  <c r="Z1353" i="12"/>
  <c r="Y1354" i="12"/>
  <c r="Y1355" i="12"/>
  <c r="Z1354" i="12"/>
  <c r="Y1356" i="12"/>
  <c r="Z1355" i="12"/>
  <c r="Z1356" i="12"/>
  <c r="Y1357" i="12"/>
  <c r="Y1358" i="12"/>
  <c r="Z1357" i="12"/>
  <c r="Y1359" i="12"/>
  <c r="Z1358" i="12"/>
  <c r="Z1359" i="12"/>
  <c r="Y1360" i="12"/>
  <c r="Y1361" i="12"/>
  <c r="Z1360" i="12"/>
  <c r="Z1361" i="12"/>
  <c r="Y1362" i="12"/>
  <c r="Z1362" i="12"/>
  <c r="Y1363" i="12"/>
  <c r="Y1364" i="12"/>
  <c r="Z1363" i="12"/>
  <c r="Y1365" i="12"/>
  <c r="Z1364" i="12"/>
  <c r="Z1365" i="12"/>
  <c r="Y1366" i="12"/>
  <c r="Y1367" i="12"/>
  <c r="Z1366" i="12"/>
  <c r="Z1367" i="12"/>
  <c r="Y1368" i="12"/>
  <c r="Y1369" i="12"/>
  <c r="Z1368" i="12"/>
  <c r="Y1370" i="12"/>
  <c r="Z1369" i="12"/>
  <c r="Z1370" i="12"/>
  <c r="Y1371" i="12"/>
  <c r="Z1371" i="12"/>
  <c r="Y1372" i="12"/>
  <c r="Z1372" i="12"/>
  <c r="Y1373" i="12"/>
  <c r="Y1374" i="12"/>
  <c r="Z1373" i="12"/>
  <c r="Z1374" i="12"/>
  <c r="Y1375" i="12"/>
  <c r="Z1375" i="12"/>
  <c r="Y1376" i="12"/>
  <c r="Z1376" i="12"/>
  <c r="Y1377" i="12"/>
  <c r="Z1377" i="12"/>
  <c r="Y1378" i="12"/>
  <c r="Y1379" i="12"/>
  <c r="Z1378" i="12"/>
  <c r="Z1379" i="12"/>
  <c r="Y1380" i="12"/>
  <c r="Y1381" i="12"/>
  <c r="Z1380" i="12"/>
  <c r="Y1382" i="12"/>
  <c r="Z1381" i="12"/>
  <c r="Z1382" i="12"/>
  <c r="Y1383" i="12"/>
  <c r="Z1383" i="12"/>
  <c r="Y1384" i="12"/>
  <c r="Y1385" i="12"/>
  <c r="Z1384" i="12"/>
  <c r="Z1385" i="12"/>
  <c r="Y1386" i="12"/>
  <c r="Y1387" i="12"/>
  <c r="Z1386" i="12"/>
  <c r="Z1387" i="12"/>
  <c r="Y1388" i="12"/>
  <c r="Y1389" i="12"/>
  <c r="Z1388" i="12"/>
  <c r="Z1389" i="12"/>
  <c r="Y1390" i="12"/>
  <c r="Z1390" i="12"/>
  <c r="Y1391" i="12"/>
  <c r="Z1391" i="12"/>
  <c r="Y1392" i="12"/>
  <c r="Z1392" i="12"/>
  <c r="Y1393" i="12"/>
  <c r="Y1394" i="12"/>
  <c r="Z1393" i="12"/>
  <c r="Z1394" i="12"/>
  <c r="Y1395" i="12"/>
  <c r="Y1396" i="12"/>
  <c r="Z1395" i="12"/>
  <c r="Y1397" i="12"/>
  <c r="Z1396" i="12"/>
  <c r="Y1398" i="12"/>
  <c r="Z1397" i="12"/>
  <c r="Y1399" i="12"/>
  <c r="Z1398" i="12"/>
  <c r="Z1399" i="12"/>
  <c r="Y1400" i="12"/>
  <c r="Y1401" i="12"/>
  <c r="Z1400" i="12"/>
  <c r="Y1402" i="12"/>
  <c r="Z1401" i="12"/>
  <c r="Z1402" i="12"/>
  <c r="Y1403" i="12"/>
  <c r="Y1404" i="12"/>
  <c r="Z1403" i="12"/>
  <c r="Z1404" i="12"/>
  <c r="Y1405" i="12"/>
  <c r="Z1405" i="12"/>
  <c r="Y1406" i="12"/>
  <c r="Z1406" i="12"/>
  <c r="Y1407" i="12"/>
  <c r="Z1407" i="12"/>
  <c r="Y1408" i="12"/>
  <c r="Z1408" i="12"/>
  <c r="Y1409" i="12"/>
  <c r="Z1409" i="12"/>
  <c r="Y1410" i="12"/>
  <c r="Y1411" i="12"/>
  <c r="Z1410" i="12"/>
  <c r="Z1411" i="12"/>
  <c r="Y1412" i="12"/>
  <c r="Y1413" i="12"/>
  <c r="Z1412" i="12"/>
  <c r="Z1413" i="12"/>
  <c r="Y1414" i="12"/>
  <c r="Y1415" i="12"/>
  <c r="Z1414" i="12"/>
  <c r="Y1416" i="12"/>
  <c r="Z1415" i="12"/>
  <c r="Y1417" i="12"/>
  <c r="Z1416" i="12"/>
  <c r="Z1417" i="12"/>
  <c r="Y1418" i="12"/>
  <c r="Z1418" i="12"/>
  <c r="Y1419" i="12"/>
  <c r="Y1420" i="12"/>
  <c r="Z1419" i="12"/>
  <c r="Y1421" i="12"/>
  <c r="Z1420" i="12"/>
  <c r="Y1422" i="12"/>
  <c r="Z1421" i="12"/>
  <c r="Z1422" i="12"/>
  <c r="Y1423" i="12"/>
  <c r="Z1423" i="12"/>
  <c r="Y1424" i="12"/>
  <c r="Y1425" i="12"/>
  <c r="Z1424" i="12"/>
  <c r="Z1425" i="12"/>
  <c r="Y1426" i="12"/>
  <c r="Z1426" i="12"/>
  <c r="Y1427" i="12"/>
  <c r="Y1428" i="12"/>
  <c r="Z1427" i="12"/>
  <c r="Y1429" i="12"/>
  <c r="Z1428" i="12"/>
  <c r="Z1429" i="12"/>
  <c r="Y1430" i="12"/>
  <c r="Y1431" i="12"/>
  <c r="Z1430" i="12"/>
  <c r="Z1431" i="12"/>
  <c r="Y1432" i="12"/>
  <c r="Z1432" i="12"/>
  <c r="Y1433" i="12"/>
  <c r="Z1433" i="12"/>
  <c r="Y1434" i="12"/>
  <c r="Y1435" i="12"/>
  <c r="Z1434" i="12"/>
  <c r="Y1436" i="12"/>
  <c r="Z1435" i="12"/>
  <c r="Z1436" i="12"/>
  <c r="Y1437" i="12"/>
  <c r="Y1438" i="12"/>
  <c r="Z1437" i="12"/>
  <c r="Y1439" i="12"/>
  <c r="Z1438" i="12"/>
  <c r="Y1440" i="12"/>
  <c r="Z1439" i="12"/>
  <c r="Z1440" i="12"/>
  <c r="Y1441" i="12"/>
  <c r="Y1442" i="12"/>
  <c r="Z1441" i="12"/>
  <c r="Y1443" i="12"/>
  <c r="Z1442" i="12"/>
  <c r="Y1444" i="12"/>
  <c r="Z1443" i="12"/>
  <c r="Y1445" i="12"/>
  <c r="Z1444" i="12"/>
  <c r="Y1446" i="12"/>
  <c r="Z1445" i="12"/>
  <c r="Z1446" i="12"/>
  <c r="Y1447" i="12"/>
  <c r="Y1448" i="12"/>
  <c r="Z1447" i="12"/>
  <c r="Z1448" i="12"/>
  <c r="Y1449" i="12"/>
  <c r="Z1449" i="12"/>
  <c r="Y1450" i="12"/>
  <c r="Y1451" i="12"/>
  <c r="Z1450" i="12"/>
  <c r="Y1452" i="12"/>
  <c r="Z1451" i="12"/>
  <c r="Y1453" i="12"/>
  <c r="Z1452" i="12"/>
  <c r="Z1453" i="12"/>
  <c r="Y1454" i="12"/>
  <c r="Z1454" i="12"/>
  <c r="Y1455" i="12"/>
  <c r="Z1455" i="12"/>
  <c r="Y1456" i="12"/>
  <c r="Y1457" i="12"/>
  <c r="Z1456" i="12"/>
  <c r="Y1458" i="12"/>
  <c r="Z1457" i="12"/>
  <c r="Z1458" i="12"/>
  <c r="Y1459" i="12"/>
  <c r="Y1460" i="12"/>
  <c r="Z1459" i="12"/>
  <c r="Z1460" i="12"/>
  <c r="Y1461" i="12"/>
  <c r="Z1461" i="12"/>
  <c r="Y1462" i="12"/>
  <c r="Z1462" i="12"/>
  <c r="Y1463" i="12"/>
  <c r="Y1464" i="12"/>
  <c r="Z1463" i="12"/>
  <c r="Y1465" i="12"/>
  <c r="Z1464" i="12"/>
  <c r="Z1465" i="12"/>
  <c r="Y1466" i="12"/>
  <c r="Z1466" i="12"/>
  <c r="Y1467" i="12"/>
  <c r="Z1467" i="12"/>
  <c r="Y1468" i="12"/>
  <c r="Z1468" i="12"/>
  <c r="Y1469" i="12"/>
  <c r="Z1469" i="12"/>
  <c r="Y1470" i="12"/>
  <c r="Z1470" i="12"/>
  <c r="Y1471" i="12"/>
  <c r="Z1471" i="12"/>
  <c r="Y1472" i="12"/>
  <c r="Y1473" i="12"/>
  <c r="Z1472" i="12"/>
  <c r="Z1473" i="12"/>
  <c r="Y1474" i="12"/>
  <c r="Y1475" i="12"/>
  <c r="Z1474" i="12"/>
  <c r="Y1476" i="12"/>
  <c r="Z1475" i="12"/>
  <c r="Y1477" i="12"/>
  <c r="Z1476" i="12"/>
  <c r="Y1478" i="12"/>
  <c r="Z1477" i="12"/>
  <c r="Y1479" i="12"/>
  <c r="Z1478" i="12"/>
  <c r="Y1480" i="12"/>
  <c r="Z1479" i="12"/>
  <c r="Z1480" i="12"/>
  <c r="Y1481" i="12"/>
  <c r="Z1481" i="12"/>
  <c r="Y1482" i="12"/>
  <c r="Z1482" i="12"/>
  <c r="Y1483" i="12"/>
  <c r="Y1484" i="12"/>
  <c r="Z1483" i="12"/>
  <c r="Y1485" i="12"/>
  <c r="Z1484" i="12"/>
  <c r="Z1485" i="12"/>
  <c r="Y1486" i="12"/>
  <c r="Z1486" i="12"/>
  <c r="Y1487" i="12"/>
  <c r="Y1488" i="12"/>
  <c r="Z1487" i="12"/>
  <c r="Y1489" i="12"/>
  <c r="Z1488" i="12"/>
  <c r="Y1490" i="12"/>
  <c r="Z1489" i="12"/>
  <c r="Y1491" i="12"/>
  <c r="Z1490" i="12"/>
  <c r="Z1491" i="12"/>
  <c r="Y1492" i="12"/>
  <c r="Y1493" i="12"/>
  <c r="Z1492" i="12"/>
  <c r="Y1494" i="12"/>
  <c r="Z1493" i="12"/>
  <c r="Z1494" i="12"/>
  <c r="Y1495" i="12"/>
  <c r="Z1495" i="12"/>
  <c r="Y1496" i="12"/>
  <c r="Y1497" i="12"/>
  <c r="Z1496" i="12"/>
  <c r="Z1497" i="12"/>
  <c r="Y1498" i="12"/>
  <c r="Y1499" i="12"/>
  <c r="Z1498" i="12"/>
  <c r="Y1500" i="12"/>
  <c r="Z1499" i="12"/>
  <c r="Y1501" i="12"/>
  <c r="Z1500" i="12"/>
  <c r="Z1501" i="12"/>
  <c r="Y1502" i="12"/>
  <c r="Y1503" i="12"/>
  <c r="Z1502" i="12"/>
  <c r="Z1503" i="12"/>
  <c r="Y1504" i="12"/>
  <c r="Z1504" i="12"/>
  <c r="Y1505" i="12"/>
  <c r="Z1505" i="12"/>
  <c r="Y1506" i="12"/>
  <c r="Y1507" i="12"/>
  <c r="Z1506" i="12"/>
  <c r="Y1508" i="12"/>
  <c r="Z1507" i="12"/>
  <c r="Y1509" i="12"/>
  <c r="Z1508" i="12"/>
  <c r="Z1509" i="12"/>
  <c r="Y1510" i="12"/>
  <c r="Z1510" i="12"/>
  <c r="Y1511" i="12"/>
  <c r="Z1511" i="12"/>
  <c r="Y1512" i="12"/>
  <c r="Z1512" i="12"/>
  <c r="Y1513" i="12"/>
  <c r="Z1513" i="12"/>
  <c r="Y1514" i="12"/>
  <c r="Y1515" i="12"/>
  <c r="Z1514" i="12"/>
  <c r="Z1515" i="12"/>
  <c r="Y1516" i="12"/>
  <c r="Z1516" i="12"/>
  <c r="Y1517" i="12"/>
  <c r="Y1518" i="12"/>
  <c r="Z1517" i="12"/>
  <c r="Y1519" i="12"/>
  <c r="Z1518" i="12"/>
  <c r="Z1519" i="12"/>
  <c r="Y1520" i="12"/>
  <c r="Y1521" i="12"/>
  <c r="Z1520" i="12"/>
  <c r="Y1522" i="12"/>
  <c r="Z1521" i="12"/>
  <c r="Z1522" i="12"/>
  <c r="Y1523" i="12"/>
  <c r="Z1523" i="12"/>
  <c r="Y1524" i="12"/>
  <c r="Y1525" i="12"/>
  <c r="Z1524" i="12"/>
  <c r="Y1526" i="12"/>
  <c r="Z1525" i="12"/>
  <c r="Z1526" i="12"/>
  <c r="Y1527" i="12"/>
  <c r="Y1528" i="12"/>
  <c r="Z1527" i="12"/>
  <c r="Y1529" i="12"/>
  <c r="Z1528" i="12"/>
  <c r="Z1529" i="12"/>
  <c r="Y1530" i="12"/>
  <c r="Z1530" i="12"/>
  <c r="Y1531" i="12"/>
  <c r="Z1531" i="12"/>
  <c r="Y1532" i="12"/>
  <c r="Z1532" i="12"/>
  <c r="Y1533" i="12"/>
  <c r="Z1533" i="12"/>
  <c r="Y1534" i="12"/>
  <c r="Z1534" i="12"/>
  <c r="Y1535" i="12"/>
  <c r="Y1536" i="12"/>
  <c r="Z1535" i="12"/>
  <c r="Y1537" i="12"/>
  <c r="Z1536" i="12"/>
  <c r="Z1537" i="12"/>
  <c r="Y1538" i="12"/>
  <c r="Y1539" i="12"/>
  <c r="Z1538" i="12"/>
  <c r="Z1539" i="12"/>
  <c r="Y1540" i="12"/>
  <c r="Y1541" i="12"/>
  <c r="Z1540" i="12"/>
  <c r="Y1542" i="12"/>
  <c r="Z1541" i="12"/>
  <c r="Z1542" i="12"/>
  <c r="Y1543" i="12"/>
  <c r="Y1544" i="12"/>
  <c r="Z1543" i="12"/>
  <c r="Z1544" i="12"/>
  <c r="Y1545" i="12"/>
  <c r="Y1546" i="12"/>
  <c r="Z1545" i="12"/>
  <c r="Y1547" i="12"/>
  <c r="Z1546" i="12"/>
  <c r="Z1547" i="12"/>
  <c r="Y1548" i="12"/>
  <c r="Y1549" i="12"/>
  <c r="Z1548" i="12"/>
  <c r="Y1550" i="12"/>
  <c r="Z1549" i="12"/>
  <c r="Y1551" i="12"/>
  <c r="Z1550" i="12"/>
  <c r="Y1552" i="12"/>
  <c r="Z1551" i="12"/>
  <c r="Z1552" i="12"/>
  <c r="Y1553" i="12"/>
  <c r="Z1553" i="12"/>
  <c r="Y1554" i="12"/>
  <c r="Y1555" i="12"/>
  <c r="Z1554" i="12"/>
  <c r="Y1556" i="12"/>
  <c r="Z1555" i="12"/>
  <c r="Y1557" i="12"/>
  <c r="Z1556" i="12"/>
  <c r="Y1558" i="12"/>
  <c r="Z1557" i="12"/>
  <c r="Z1558" i="12"/>
  <c r="Y1559" i="12"/>
  <c r="Y1560" i="12"/>
  <c r="Z1559" i="12"/>
  <c r="Y1561" i="12"/>
  <c r="Z1560" i="12"/>
  <c r="Y1562" i="12"/>
  <c r="Z1561" i="12"/>
  <c r="Z1562" i="12"/>
  <c r="Y1563" i="12"/>
  <c r="Y1564" i="12"/>
  <c r="Z1563" i="12"/>
  <c r="Z1564" i="12"/>
  <c r="Y1565" i="12"/>
  <c r="Z1565" i="12"/>
  <c r="Y1566" i="12"/>
  <c r="Y1567" i="12"/>
  <c r="Z1566" i="12"/>
  <c r="Y1568" i="12"/>
  <c r="Z1567" i="12"/>
  <c r="Y1569" i="12"/>
  <c r="Z1568" i="12"/>
  <c r="Z1569" i="12"/>
  <c r="Y1570" i="12"/>
  <c r="Y1571" i="12"/>
  <c r="Z1570" i="12"/>
  <c r="Y1572" i="12"/>
  <c r="Z1571" i="12"/>
  <c r="Z1572" i="12"/>
  <c r="Y1573" i="12"/>
  <c r="Y1574" i="12"/>
  <c r="Z1573" i="12"/>
  <c r="Z1574" i="12"/>
  <c r="Y1575" i="12"/>
  <c r="Y1576" i="12"/>
  <c r="Z1575" i="12"/>
  <c r="Z1576" i="12"/>
  <c r="Y1577" i="12"/>
  <c r="Y1578" i="12"/>
  <c r="Z1577" i="12"/>
  <c r="Y1579" i="12"/>
  <c r="Z1578" i="12"/>
  <c r="Z1579" i="12"/>
  <c r="Y1580" i="12"/>
  <c r="Z1580" i="12"/>
  <c r="Y1581" i="12"/>
  <c r="Y1582" i="12"/>
  <c r="Z1581" i="12"/>
  <c r="Z1582" i="12"/>
  <c r="Y1583" i="12"/>
  <c r="Y1584" i="12"/>
  <c r="Z1583" i="12"/>
  <c r="Y1585" i="12"/>
  <c r="Z1584" i="12"/>
  <c r="Y1586" i="12"/>
  <c r="Z1585" i="12"/>
  <c r="Z1586" i="12"/>
  <c r="Y1587" i="12"/>
  <c r="Y1588" i="12"/>
  <c r="Z1587" i="12"/>
  <c r="Y1589" i="12"/>
  <c r="Z1588" i="12"/>
  <c r="Y1590" i="12"/>
  <c r="Z1589" i="12"/>
  <c r="Z1590" i="12"/>
  <c r="Y1591" i="12"/>
  <c r="Z1591" i="12"/>
  <c r="Y1592" i="12"/>
  <c r="Z1592" i="12"/>
  <c r="Y1593" i="12"/>
  <c r="Z1593" i="12"/>
  <c r="Y1594" i="12"/>
  <c r="Z1594" i="12"/>
  <c r="Y1595" i="12"/>
  <c r="Z1595" i="12"/>
  <c r="Y1596" i="12"/>
  <c r="Z1596" i="12"/>
  <c r="Y1597" i="12"/>
  <c r="Y1598" i="12"/>
  <c r="Z1597" i="12"/>
  <c r="Z1598" i="12"/>
  <c r="Y1599" i="12"/>
  <c r="Y1600" i="12"/>
  <c r="Z1599" i="12"/>
  <c r="Y1601" i="12"/>
  <c r="Z1600" i="12"/>
  <c r="Y1602" i="12"/>
  <c r="Z1601" i="12"/>
  <c r="Z1602" i="12"/>
  <c r="Y1603" i="12"/>
  <c r="Z1603" i="12"/>
  <c r="Y1604" i="12"/>
  <c r="Y1605" i="12"/>
  <c r="Z1604" i="12"/>
  <c r="Y1606" i="12"/>
  <c r="Z1605" i="12"/>
  <c r="Z1606" i="12"/>
  <c r="Y1607" i="12"/>
  <c r="Y1608" i="12"/>
  <c r="Z1607" i="12"/>
  <c r="Z1608" i="12"/>
  <c r="Y1609" i="12"/>
  <c r="Y1610" i="12"/>
  <c r="Z1609" i="12"/>
  <c r="Z1610" i="12"/>
  <c r="Y1611" i="12"/>
  <c r="Y1612" i="12"/>
  <c r="Z1611" i="12"/>
  <c r="Z1612" i="12"/>
  <c r="Y1613" i="12"/>
  <c r="Z1613" i="12"/>
  <c r="Y1614" i="12"/>
  <c r="Z1614" i="12"/>
  <c r="Y1615" i="12"/>
  <c r="Y1616" i="12"/>
  <c r="Z1615" i="12"/>
  <c r="Z1616" i="12"/>
  <c r="Y1617" i="12"/>
  <c r="Z1617" i="12"/>
  <c r="Y1618" i="12"/>
  <c r="Z1618" i="12"/>
  <c r="Y1619" i="12"/>
  <c r="Y1620" i="12"/>
  <c r="Z1619" i="12"/>
  <c r="Y1621" i="12"/>
  <c r="Z1620" i="12"/>
  <c r="Z1621" i="12"/>
  <c r="Y1622" i="12"/>
  <c r="Y1623" i="12"/>
  <c r="Z1622" i="12"/>
  <c r="Z1623" i="12"/>
  <c r="Y1624" i="12"/>
  <c r="Y1625" i="12"/>
  <c r="Z1624" i="12"/>
  <c r="Y1626" i="12"/>
  <c r="Z1625" i="12"/>
  <c r="Y1627" i="12"/>
  <c r="Z1626" i="12"/>
  <c r="Y1628" i="12"/>
  <c r="Z1627" i="12"/>
  <c r="Y1629" i="12"/>
  <c r="Z1628" i="12"/>
  <c r="Y1630" i="12"/>
  <c r="Z1629" i="12"/>
  <c r="Z1630" i="12"/>
  <c r="Y1631" i="12"/>
  <c r="Z1631" i="12"/>
  <c r="Y1632" i="12"/>
  <c r="Z1632" i="12"/>
  <c r="Y1633" i="12"/>
  <c r="Y1634" i="12"/>
  <c r="Z1633" i="12"/>
  <c r="Z1634" i="12"/>
  <c r="Y1635" i="12"/>
  <c r="Z1635" i="12"/>
  <c r="Y1636" i="12"/>
  <c r="Y1637" i="12"/>
  <c r="Z1636" i="12"/>
  <c r="Y1638" i="12"/>
  <c r="Z1637" i="12"/>
  <c r="Y1639" i="12"/>
  <c r="Z1638" i="12"/>
  <c r="Y1640" i="12"/>
  <c r="Z1639" i="12"/>
  <c r="Z1640" i="12"/>
  <c r="Y1641" i="12"/>
  <c r="Y1642" i="12"/>
  <c r="Z1641" i="12"/>
  <c r="Z1642" i="12"/>
  <c r="Y1643" i="12"/>
  <c r="Y1644" i="12"/>
  <c r="Z1643" i="12"/>
  <c r="Y1645" i="12"/>
  <c r="Z1644" i="12"/>
  <c r="Z1645" i="12"/>
  <c r="Y1646" i="12"/>
  <c r="Y1647" i="12"/>
  <c r="Z1646" i="12"/>
  <c r="Z1647" i="12"/>
  <c r="Y1648" i="12"/>
  <c r="Z1648" i="12"/>
  <c r="Y1649" i="12"/>
  <c r="Z1649" i="12"/>
  <c r="Y1650" i="12"/>
  <c r="Z1650" i="12"/>
  <c r="Y1651" i="12"/>
  <c r="Z1651" i="12"/>
  <c r="Y1652" i="12"/>
  <c r="Y1653" i="12"/>
  <c r="Z1652" i="12"/>
  <c r="Z1653" i="12"/>
  <c r="Y1654" i="12"/>
  <c r="Z1654" i="12"/>
  <c r="Y1655" i="12"/>
  <c r="Z1655" i="12"/>
  <c r="Y1656" i="12"/>
  <c r="Y1657" i="12"/>
  <c r="Z1656" i="12"/>
  <c r="Z1657" i="12"/>
  <c r="Y1658" i="12"/>
  <c r="Z1658" i="12"/>
  <c r="Y1659" i="12"/>
  <c r="Y1660" i="12"/>
  <c r="Z1659" i="12"/>
  <c r="Z1660" i="12"/>
  <c r="Y1661" i="12"/>
  <c r="Y1662" i="12"/>
  <c r="Z1661" i="12"/>
  <c r="Z1662" i="12"/>
  <c r="Y1663" i="12"/>
  <c r="Z1663" i="12"/>
  <c r="Y1664" i="12"/>
  <c r="Z1664" i="12"/>
  <c r="Y1665" i="12"/>
  <c r="Y1666" i="12"/>
  <c r="Z1665" i="12"/>
  <c r="Z1666" i="12"/>
  <c r="Y1667" i="12"/>
  <c r="Z1667" i="12"/>
  <c r="Y1668" i="12"/>
  <c r="Y1669" i="12"/>
  <c r="Z1668" i="12"/>
  <c r="Z1669" i="12"/>
  <c r="Y1670" i="12"/>
  <c r="Y1671" i="12"/>
  <c r="Z1670" i="12"/>
  <c r="Z1671" i="12"/>
  <c r="Y1672" i="12"/>
  <c r="Z1672" i="12"/>
  <c r="Y1673" i="12"/>
  <c r="Z1673" i="12"/>
  <c r="Y1674" i="12"/>
  <c r="Y1675" i="12"/>
  <c r="Z1674" i="12"/>
  <c r="Y1676" i="12"/>
  <c r="Z1675" i="12"/>
  <c r="Y1677" i="12"/>
  <c r="Z1676" i="12"/>
  <c r="Z1677" i="12"/>
  <c r="Y1678" i="12"/>
  <c r="Y1679" i="12"/>
  <c r="Z1678" i="12"/>
  <c r="Z1679" i="12"/>
  <c r="Y1680" i="12"/>
  <c r="Z1680" i="12"/>
  <c r="Y1681" i="12"/>
  <c r="Y1682" i="12"/>
  <c r="Z1681" i="12"/>
  <c r="Z1682" i="12"/>
  <c r="Y1683" i="12"/>
  <c r="Z1683" i="12"/>
  <c r="Y1684" i="12"/>
  <c r="Z1684" i="12"/>
  <c r="Y1685" i="12"/>
  <c r="Z1685" i="12"/>
  <c r="Y1686" i="12"/>
  <c r="Z1686" i="12"/>
  <c r="Y1687" i="12"/>
  <c r="Y1688" i="12"/>
  <c r="Z1687" i="12"/>
  <c r="Y1689" i="12"/>
  <c r="Z1688" i="12"/>
  <c r="Z1689" i="12"/>
  <c r="Y1690" i="12"/>
  <c r="Y1691" i="12"/>
  <c r="Z1690" i="12"/>
  <c r="Y1692" i="12"/>
  <c r="Z1691" i="12"/>
  <c r="Y1693" i="12"/>
  <c r="Z1692" i="12"/>
  <c r="Y1694" i="12"/>
  <c r="Z1693" i="12"/>
  <c r="Y1695" i="12"/>
  <c r="Z1694" i="12"/>
  <c r="Y1696" i="12"/>
  <c r="Z1695" i="12"/>
  <c r="Y1697" i="12"/>
  <c r="Z1696" i="12"/>
  <c r="Y1698" i="12"/>
  <c r="Z1697" i="12"/>
  <c r="Z1698" i="12"/>
  <c r="Y1699" i="12"/>
  <c r="Y1700" i="12"/>
  <c r="Z1699" i="12"/>
  <c r="Z1700" i="12"/>
  <c r="Y1701" i="12"/>
  <c r="Y1702" i="12"/>
  <c r="Z1701" i="12"/>
  <c r="Z1702" i="12"/>
  <c r="Y1703" i="12"/>
  <c r="Y1704" i="12"/>
  <c r="Z1703" i="12"/>
  <c r="Y1705" i="12"/>
  <c r="Z1704" i="12"/>
  <c r="Z1705" i="12"/>
  <c r="Y1706" i="12"/>
  <c r="Y1707" i="12"/>
  <c r="Z1706" i="12"/>
  <c r="Y1708" i="12"/>
  <c r="Z1707" i="12"/>
  <c r="Z1708" i="12"/>
  <c r="Y1709" i="12"/>
  <c r="Z1709" i="12"/>
  <c r="Y1710" i="12"/>
  <c r="Z1710" i="12"/>
  <c r="Y1711" i="12"/>
  <c r="Y1712" i="12"/>
  <c r="Z1711" i="12"/>
  <c r="Z1712" i="12"/>
  <c r="Y1713" i="12"/>
  <c r="Y1714" i="12"/>
  <c r="Z1713" i="12"/>
  <c r="Y1715" i="12"/>
  <c r="Z1714" i="12"/>
  <c r="Y1716" i="12"/>
  <c r="Z1715" i="12"/>
  <c r="Y1717" i="12"/>
  <c r="Z1716" i="12"/>
  <c r="Z1717" i="12"/>
  <c r="Y1718" i="12"/>
  <c r="Y1719" i="12"/>
  <c r="Z1718" i="12"/>
  <c r="Y1720" i="12"/>
  <c r="Z1719" i="12"/>
  <c r="Y1721" i="12"/>
  <c r="Z1720" i="12"/>
  <c r="Y1722" i="12"/>
  <c r="Z1721" i="12"/>
  <c r="Y1723" i="12"/>
  <c r="Z1722" i="12"/>
  <c r="Y1724" i="12"/>
  <c r="Z1723" i="12"/>
  <c r="Y1725" i="12"/>
  <c r="Z1724" i="12"/>
  <c r="Z1725" i="12"/>
  <c r="Y1726" i="12"/>
  <c r="Y1727" i="12"/>
  <c r="Z1726" i="12"/>
  <c r="Z1727" i="12"/>
  <c r="Y1728" i="12"/>
  <c r="Z1728" i="12"/>
  <c r="Y1729" i="12"/>
  <c r="Y1730" i="12"/>
  <c r="Z1729" i="12"/>
  <c r="Y1731" i="12"/>
  <c r="Z1730" i="12"/>
  <c r="Y1732" i="12"/>
  <c r="Z1731" i="12"/>
  <c r="Z1732" i="12"/>
  <c r="Y1733" i="12"/>
  <c r="Z1733" i="12"/>
  <c r="Y1734" i="12"/>
  <c r="Y1735" i="12"/>
  <c r="Z1734" i="12"/>
  <c r="Z1735" i="12"/>
  <c r="Y1736" i="12"/>
  <c r="Z1736" i="12"/>
  <c r="Y1737" i="12"/>
  <c r="Z1737" i="12"/>
  <c r="Y1738" i="12"/>
  <c r="Y1739" i="12"/>
  <c r="Z1738" i="12"/>
  <c r="Z1739" i="12"/>
  <c r="Y1740" i="12"/>
  <c r="Y1741" i="12"/>
  <c r="Z1740" i="12"/>
  <c r="Y1742" i="12"/>
  <c r="Z1741" i="12"/>
  <c r="Y1743" i="12"/>
  <c r="Z1742" i="12"/>
  <c r="Y1744" i="12"/>
  <c r="Z1743" i="12"/>
  <c r="Y1745" i="12"/>
  <c r="Z1744" i="12"/>
  <c r="Y1746" i="12"/>
  <c r="Z1745" i="12"/>
  <c r="Y1747" i="12"/>
  <c r="Z1746" i="12"/>
  <c r="Z1747" i="12"/>
  <c r="Y1748" i="12"/>
  <c r="Y1749" i="12"/>
  <c r="Z1748" i="12"/>
  <c r="Z1749" i="12"/>
  <c r="Y1750" i="12"/>
  <c r="Y1751" i="12"/>
  <c r="Z1750" i="12"/>
  <c r="Z1751" i="12"/>
  <c r="Y1752" i="12"/>
  <c r="Z1752" i="12"/>
  <c r="Y1753" i="12"/>
  <c r="Y1754" i="12"/>
  <c r="Z1753" i="12"/>
  <c r="Y1755" i="12"/>
  <c r="Z1754" i="12"/>
  <c r="Y1756" i="12"/>
  <c r="Z1755" i="12"/>
  <c r="Y1757" i="12"/>
  <c r="Z1756" i="12"/>
  <c r="Y1758" i="12"/>
  <c r="Z1757" i="12"/>
  <c r="Y1759" i="12"/>
  <c r="Z1758" i="12"/>
  <c r="Y1760" i="12"/>
  <c r="Z1759" i="12"/>
  <c r="Z1760" i="12"/>
  <c r="Y1761" i="12"/>
  <c r="Z1761" i="12"/>
  <c r="Y1762" i="12"/>
  <c r="Z1762" i="12"/>
  <c r="Y1763" i="12"/>
  <c r="Z1763" i="12"/>
  <c r="Y1764" i="12"/>
  <c r="Z1764" i="12"/>
  <c r="Y1765" i="12"/>
  <c r="Z1765" i="12"/>
  <c r="Y1766" i="12"/>
  <c r="Z1766" i="12"/>
  <c r="Y1767" i="12"/>
  <c r="Y1768" i="12"/>
  <c r="Z1767" i="12"/>
  <c r="Y1769" i="12"/>
  <c r="Z1768" i="12"/>
  <c r="Z1769" i="12"/>
  <c r="Y1770" i="12"/>
  <c r="Z1770" i="12"/>
  <c r="Y1771" i="12"/>
  <c r="Z1771" i="12"/>
  <c r="Y1772" i="12"/>
  <c r="Z1772" i="12"/>
  <c r="Y1773" i="12"/>
  <c r="Y1774" i="12"/>
  <c r="Z1773" i="12"/>
  <c r="Z1774" i="12"/>
  <c r="Y1775" i="12"/>
  <c r="Z1775" i="12"/>
  <c r="Y1776" i="12"/>
  <c r="Y1777" i="12"/>
  <c r="Z1776" i="12"/>
  <c r="Z1777" i="12"/>
  <c r="Y1778" i="12"/>
  <c r="Z1778" i="12"/>
  <c r="Y1779" i="12"/>
  <c r="Y1780" i="12"/>
  <c r="Z1779" i="12"/>
  <c r="Z1780" i="12"/>
  <c r="Y1781" i="12"/>
  <c r="Y1782" i="12"/>
  <c r="Z1781" i="12"/>
  <c r="Z1782" i="12"/>
  <c r="Y1783" i="12"/>
  <c r="Y1784" i="12"/>
  <c r="Z1783" i="12"/>
  <c r="Y1785" i="12"/>
  <c r="Z1784" i="12"/>
  <c r="Z1785" i="12"/>
  <c r="Y1786" i="12"/>
  <c r="Z1786" i="12"/>
  <c r="Y1787" i="12"/>
  <c r="Y1788" i="12"/>
  <c r="Z1787" i="12"/>
  <c r="Z1788" i="12"/>
  <c r="Y1789" i="12"/>
  <c r="Y1790" i="12"/>
  <c r="Z1789" i="12"/>
  <c r="Z1790" i="12"/>
  <c r="Y1791" i="12"/>
  <c r="Y1792" i="12"/>
  <c r="Z1791" i="12"/>
  <c r="Z1792" i="12"/>
  <c r="Y1793" i="12"/>
  <c r="Y1794" i="12"/>
  <c r="Z1793" i="12"/>
  <c r="Y1795" i="12"/>
  <c r="Z1794" i="12"/>
  <c r="Y1796" i="12"/>
  <c r="Z1795" i="12"/>
  <c r="Z1796" i="12"/>
  <c r="Y1797" i="12"/>
  <c r="Z1797" i="12"/>
  <c r="Y1798" i="12"/>
  <c r="Y1799" i="12"/>
  <c r="Z1798" i="12"/>
  <c r="Z1799" i="12"/>
  <c r="Y1800" i="12"/>
  <c r="Y1801" i="12"/>
  <c r="Z1800" i="12"/>
  <c r="Y1802" i="12"/>
  <c r="Z1801" i="12"/>
  <c r="Z1802" i="12"/>
  <c r="Y1803" i="12"/>
  <c r="Y1804" i="12"/>
  <c r="Z1803" i="12"/>
  <c r="Y1805" i="12"/>
  <c r="Z1804" i="12"/>
  <c r="Y1806" i="12"/>
  <c r="Z1805" i="12"/>
  <c r="Z1806" i="12"/>
  <c r="Y1807" i="12"/>
  <c r="Y1808" i="12"/>
  <c r="Z1807" i="12"/>
  <c r="Y1809" i="12"/>
  <c r="Z1808" i="12"/>
  <c r="Y1810" i="12"/>
  <c r="Z1809" i="12"/>
  <c r="Y1811" i="12"/>
  <c r="Z1810" i="12"/>
  <c r="Z1811" i="12"/>
  <c r="Y1812" i="12"/>
  <c r="Y1813" i="12"/>
  <c r="Z1812" i="12"/>
  <c r="Z1813" i="12"/>
  <c r="Y1814" i="12"/>
  <c r="Y1815" i="12"/>
  <c r="Z1814" i="12"/>
  <c r="Y1816" i="12"/>
  <c r="Z1815" i="12"/>
  <c r="Y1817" i="12"/>
  <c r="Z1816" i="12"/>
  <c r="Z1817" i="12"/>
  <c r="Y1818" i="12"/>
  <c r="Y1819" i="12"/>
  <c r="Z1818" i="12"/>
  <c r="Y1820" i="12"/>
  <c r="Z1819" i="12"/>
  <c r="Y1821" i="12"/>
  <c r="Z1820" i="12"/>
  <c r="Y1822" i="12"/>
  <c r="Z1821" i="12"/>
  <c r="Y1823" i="12"/>
  <c r="Z1822" i="12"/>
  <c r="Z1823" i="12"/>
  <c r="Y1824" i="12"/>
  <c r="Y1825" i="12"/>
  <c r="Z1824" i="12"/>
  <c r="Y1826" i="12"/>
  <c r="Z1825" i="12"/>
  <c r="Y1827" i="12"/>
  <c r="Z1826" i="12"/>
  <c r="Z1827" i="12"/>
  <c r="Y1828" i="12"/>
  <c r="Z1828" i="12"/>
  <c r="Y1829" i="12"/>
  <c r="Z1829" i="12"/>
  <c r="Y1830" i="12"/>
  <c r="Z1830" i="12"/>
  <c r="Y1831" i="12"/>
  <c r="Y1832" i="12"/>
  <c r="Z1831" i="12"/>
  <c r="Z1832" i="12"/>
  <c r="Y1833" i="12"/>
  <c r="Y1834" i="12"/>
  <c r="Z1833" i="12"/>
  <c r="Z1834" i="12"/>
  <c r="Y1835" i="12"/>
  <c r="Z1835" i="12"/>
  <c r="Y1836" i="12"/>
  <c r="Z1836" i="12"/>
  <c r="Y1837" i="12"/>
  <c r="Y1838" i="12"/>
  <c r="Z1837" i="12"/>
  <c r="Y1839" i="12"/>
  <c r="Z1838" i="12"/>
  <c r="Y1840" i="12"/>
  <c r="Z1839" i="12"/>
  <c r="Z1840" i="12"/>
  <c r="Y1841" i="12"/>
  <c r="Z1841" i="12"/>
  <c r="Y1842" i="12"/>
  <c r="Z1842" i="12"/>
  <c r="Y1843" i="12"/>
  <c r="Z1843" i="12"/>
  <c r="Y1844" i="12"/>
  <c r="Z1844" i="12"/>
  <c r="Y1845" i="12"/>
  <c r="Z1845" i="12"/>
  <c r="Y1846" i="12"/>
  <c r="Y1847" i="12"/>
  <c r="Z1846" i="12"/>
  <c r="Y1848" i="12"/>
  <c r="Z1847" i="12"/>
  <c r="Y1849" i="12"/>
  <c r="Z1848" i="12"/>
  <c r="Y1850" i="12"/>
  <c r="Z1849" i="12"/>
  <c r="Y1851" i="12"/>
  <c r="Z1850" i="12"/>
  <c r="Z1851" i="12"/>
  <c r="Y1852" i="12"/>
  <c r="Y1853" i="12"/>
  <c r="Z1852" i="12"/>
  <c r="Y1854" i="12"/>
  <c r="Z1853" i="12"/>
  <c r="Z1854" i="12"/>
  <c r="Y1855" i="12"/>
  <c r="Y1856" i="12"/>
  <c r="Z1855" i="12"/>
  <c r="Z1856" i="12"/>
  <c r="Y1857" i="12"/>
  <c r="Z1857" i="12"/>
  <c r="Y1858" i="12"/>
  <c r="Y1859" i="12"/>
  <c r="Z1858" i="12"/>
  <c r="Z1859" i="12"/>
  <c r="Y1860" i="12"/>
  <c r="Z1860" i="12"/>
  <c r="Y1861" i="12"/>
  <c r="Y1862" i="12"/>
  <c r="Z1861" i="12"/>
  <c r="Z1862" i="12"/>
  <c r="Y1863" i="12"/>
  <c r="Y1864" i="12"/>
  <c r="Z1863" i="12"/>
  <c r="Z1864" i="12"/>
  <c r="Y1865" i="12"/>
  <c r="Y1866" i="12"/>
  <c r="Z1865" i="12"/>
  <c r="Z1866" i="12"/>
  <c r="Y1867" i="12"/>
  <c r="Y1868" i="12"/>
  <c r="Z1867" i="12"/>
  <c r="Z1868" i="12"/>
  <c r="Y1869" i="12"/>
  <c r="Y1870" i="12"/>
  <c r="Z1869" i="12"/>
  <c r="Z1870" i="12"/>
  <c r="Y1871" i="12"/>
  <c r="Y1872" i="12"/>
  <c r="Z1871" i="12"/>
  <c r="Z1872" i="12"/>
  <c r="Y1873" i="12"/>
  <c r="Y1874" i="12"/>
  <c r="Z1873" i="12"/>
  <c r="Z1874" i="12"/>
  <c r="Y1875" i="12"/>
  <c r="Y1876" i="12"/>
  <c r="Z1875" i="12"/>
  <c r="Y1877" i="12"/>
  <c r="Z1876" i="12"/>
  <c r="Z1877" i="12"/>
  <c r="Y1878" i="12"/>
  <c r="Z1878" i="12"/>
  <c r="Y1879" i="12"/>
  <c r="Z1879" i="12"/>
  <c r="Y1880" i="12"/>
  <c r="Z1880" i="12"/>
  <c r="Y1881" i="12"/>
  <c r="Z1881" i="12"/>
  <c r="Y1882" i="12"/>
  <c r="Y1883" i="12"/>
  <c r="Z1882" i="12"/>
  <c r="Z1883" i="12"/>
  <c r="Y1884" i="12"/>
  <c r="Z1884" i="12"/>
  <c r="Y1885" i="12"/>
  <c r="Z1885" i="12"/>
  <c r="Y1886" i="12"/>
  <c r="Y1887" i="12"/>
  <c r="Z1886" i="12"/>
  <c r="Y1888" i="12"/>
  <c r="Z1887" i="12"/>
  <c r="Z1888" i="12"/>
  <c r="Y1889" i="12"/>
  <c r="Z1889" i="12"/>
  <c r="Y1890" i="12"/>
  <c r="Y1891" i="12"/>
  <c r="Z1890" i="12"/>
  <c r="Y1892" i="12"/>
  <c r="Z1891" i="12"/>
  <c r="Z1892" i="12"/>
  <c r="Y1893" i="12"/>
  <c r="Y1894" i="12"/>
  <c r="Z1893" i="12"/>
  <c r="Y1895" i="12"/>
  <c r="Z1894" i="12"/>
  <c r="Z1895" i="12"/>
  <c r="Y1896" i="12"/>
  <c r="Z1896" i="12"/>
  <c r="Y1897" i="12"/>
  <c r="Y1898" i="12"/>
  <c r="Z1897" i="12"/>
  <c r="Y1899" i="12"/>
  <c r="Z1898" i="12"/>
  <c r="Y1900" i="12"/>
  <c r="Z1899" i="12"/>
  <c r="Z1900" i="12"/>
  <c r="Y1901" i="12"/>
  <c r="Z1901" i="12"/>
  <c r="Y1902" i="12"/>
  <c r="Y1903" i="12"/>
  <c r="Z1902" i="12"/>
  <c r="Y1904" i="12"/>
  <c r="Z1903" i="12"/>
  <c r="Y1905" i="12"/>
  <c r="Z1904" i="12"/>
  <c r="Y1906" i="12"/>
  <c r="Z1905" i="12"/>
  <c r="Y1907" i="12"/>
  <c r="Z1906" i="12"/>
  <c r="Y1908" i="12"/>
  <c r="Z1907" i="12"/>
  <c r="Y1909" i="12"/>
  <c r="Z1908" i="12"/>
  <c r="Z1909" i="12"/>
  <c r="Y1910" i="12"/>
  <c r="Y1911" i="12"/>
  <c r="Z1910" i="12"/>
  <c r="Y1912" i="12"/>
  <c r="Z1911" i="12"/>
  <c r="Y1913" i="12"/>
  <c r="Z1912" i="12"/>
  <c r="Y1914" i="12"/>
  <c r="Z1913" i="12"/>
  <c r="Y1915" i="12"/>
  <c r="Z1914" i="12"/>
  <c r="Z1915" i="12"/>
  <c r="Y1916" i="12"/>
  <c r="Y1917" i="12"/>
  <c r="Z1916" i="12"/>
  <c r="Z1917" i="12"/>
  <c r="Y1918" i="12"/>
  <c r="Z1918" i="12"/>
  <c r="Y1919" i="12"/>
  <c r="Z1919" i="12"/>
  <c r="Y1920" i="12"/>
  <c r="Z1920" i="12"/>
  <c r="Y1921" i="12"/>
  <c r="Y1922" i="12"/>
  <c r="Z1921" i="12"/>
  <c r="Y1923" i="12"/>
  <c r="Z1922" i="12"/>
  <c r="Y1924" i="12"/>
  <c r="Z1923" i="12"/>
  <c r="Y1925" i="12"/>
  <c r="Z1924" i="12"/>
  <c r="Z1925" i="12"/>
  <c r="Y1926" i="12"/>
  <c r="Z1926" i="12"/>
  <c r="Y1927" i="12"/>
  <c r="Y1928" i="12"/>
  <c r="Z1927" i="12"/>
  <c r="Y1929" i="12"/>
  <c r="Z1928" i="12"/>
  <c r="Z1929" i="12"/>
  <c r="Y1930" i="12"/>
  <c r="Z1930" i="12"/>
  <c r="Y1931" i="12"/>
  <c r="Z1931" i="12"/>
  <c r="Y1932" i="12"/>
  <c r="Z1932" i="12"/>
  <c r="Y1933" i="12"/>
  <c r="Z1933" i="12"/>
  <c r="Y1934" i="12"/>
  <c r="Z1934" i="12"/>
  <c r="Y1935" i="12"/>
  <c r="Z1935" i="12"/>
  <c r="Y1936" i="12"/>
  <c r="Y1937" i="12"/>
  <c r="Z1936" i="12"/>
  <c r="Y1938" i="12"/>
  <c r="Z1937" i="12"/>
  <c r="Y1939" i="12"/>
  <c r="Z1938" i="12"/>
  <c r="Z1939" i="12"/>
  <c r="Y1940" i="12"/>
  <c r="Z1940" i="12"/>
  <c r="Y1941" i="12"/>
  <c r="Y1942" i="12"/>
  <c r="Z1941" i="12"/>
  <c r="Y1943" i="12"/>
  <c r="Z1942" i="12"/>
  <c r="Z1943" i="12"/>
  <c r="Y1944" i="12"/>
  <c r="Z1944" i="12"/>
  <c r="Y1945" i="12"/>
  <c r="Y1946" i="12"/>
  <c r="Z1945" i="12"/>
  <c r="Z1946" i="12"/>
  <c r="Y1947" i="12"/>
  <c r="Y1948" i="12"/>
  <c r="Z1947" i="12"/>
  <c r="Y1949" i="12"/>
  <c r="Z1948" i="12"/>
  <c r="Z1949" i="12"/>
  <c r="Y1950" i="12"/>
  <c r="Y1951" i="12"/>
  <c r="Z1950" i="12"/>
  <c r="Z1951" i="12"/>
  <c r="Y1952" i="12"/>
  <c r="Y1953" i="12"/>
  <c r="Z1952" i="12"/>
  <c r="Z1953" i="12"/>
  <c r="Y1954" i="12"/>
  <c r="Z1954" i="12"/>
  <c r="Y1955" i="12"/>
  <c r="Z1955" i="12"/>
  <c r="Y1956" i="12"/>
  <c r="Z1956" i="12"/>
  <c r="Y1957" i="12"/>
  <c r="Y1958" i="12"/>
  <c r="Z1957" i="12"/>
  <c r="Z1958" i="12"/>
  <c r="Y1959" i="12"/>
  <c r="Z1959" i="12"/>
  <c r="Y1960" i="12"/>
  <c r="Y1961" i="12"/>
  <c r="Z1960" i="12"/>
  <c r="Z1961" i="12"/>
  <c r="Y1962" i="12"/>
  <c r="Z1962" i="12"/>
  <c r="Y1963" i="12"/>
  <c r="Y1964" i="12"/>
  <c r="Z1963" i="12"/>
  <c r="Z1964" i="12"/>
  <c r="Y1965" i="12"/>
  <c r="Z1965" i="12"/>
  <c r="Y1966" i="12"/>
  <c r="Y1967" i="12"/>
  <c r="Z1966" i="12"/>
  <c r="Y1968" i="12"/>
  <c r="Z1967" i="12"/>
  <c r="Z1968" i="12"/>
  <c r="Y1969" i="12"/>
  <c r="Z1969" i="12"/>
  <c r="Y1970" i="12"/>
  <c r="Y1971" i="12"/>
  <c r="Z1970" i="12"/>
  <c r="Z1971" i="12"/>
  <c r="Y1972" i="12"/>
  <c r="Z1972" i="12"/>
  <c r="Y1973" i="12"/>
  <c r="Y1974" i="12"/>
  <c r="Z1973" i="12"/>
  <c r="Y1975" i="12"/>
  <c r="Z1974" i="12"/>
  <c r="Z1975" i="12"/>
  <c r="Y1976" i="12"/>
  <c r="Z1976" i="12"/>
  <c r="Y1977" i="12"/>
  <c r="Y1978" i="12"/>
  <c r="Z1977" i="12"/>
  <c r="Y1979" i="12"/>
  <c r="Z1978" i="12"/>
  <c r="Y1980" i="12"/>
  <c r="Z1979" i="12"/>
  <c r="Y1981" i="12"/>
  <c r="Z1980" i="12"/>
  <c r="Z1981" i="12"/>
  <c r="Y1982" i="12"/>
  <c r="Y1983" i="12"/>
  <c r="Z1982" i="12"/>
  <c r="Z1983" i="12"/>
  <c r="Y1984" i="12"/>
  <c r="Y1985" i="12"/>
  <c r="Z1984" i="12"/>
  <c r="Z1985" i="12"/>
  <c r="Y1986" i="12"/>
  <c r="Z1986" i="12"/>
  <c r="Y1987" i="12"/>
  <c r="Z1987" i="12"/>
  <c r="Y1988" i="12"/>
  <c r="Y1989" i="12"/>
  <c r="Z1988" i="12"/>
  <c r="Z1989" i="12"/>
  <c r="Y1990" i="12"/>
  <c r="Y1991" i="12"/>
  <c r="Z1990" i="12"/>
  <c r="Y1992" i="12"/>
  <c r="Z1991" i="12"/>
  <c r="Z1992" i="12"/>
  <c r="Y1993" i="12"/>
  <c r="Z1993" i="12"/>
  <c r="Y1994" i="12"/>
  <c r="Y1995" i="12"/>
  <c r="Z1994" i="12"/>
  <c r="Y1996" i="12"/>
  <c r="Z1995" i="12"/>
  <c r="Y1997" i="12"/>
  <c r="Z1996" i="12"/>
  <c r="Z1997" i="12"/>
  <c r="Y1998" i="12"/>
  <c r="Y1999" i="12"/>
  <c r="Z1998" i="12"/>
  <c r="Y2000" i="12"/>
  <c r="Z1999" i="12"/>
  <c r="Z2000" i="12"/>
  <c r="Y2001" i="12"/>
  <c r="Z2001" i="12"/>
  <c r="Y2002" i="12"/>
  <c r="Z2002" i="12"/>
  <c r="Y2003" i="12"/>
  <c r="Y2004" i="12"/>
  <c r="Z2003" i="12"/>
  <c r="Z2004" i="12"/>
  <c r="Y2005" i="12"/>
  <c r="Z2005" i="12"/>
  <c r="Y2006" i="12"/>
  <c r="Y2007" i="12"/>
  <c r="Z2006" i="12"/>
  <c r="Y2008" i="12"/>
  <c r="Z2007" i="12"/>
  <c r="Y2009" i="12"/>
  <c r="Z2008" i="12"/>
  <c r="Z2009" i="12"/>
  <c r="Y2010" i="12"/>
  <c r="Z2010" i="12"/>
  <c r="Y2011" i="12"/>
  <c r="Y2012" i="12"/>
  <c r="Z2011" i="12"/>
  <c r="Y2013" i="12"/>
  <c r="Z2012" i="12"/>
  <c r="Z2013" i="12"/>
  <c r="Y2014" i="12"/>
  <c r="Z2014" i="12"/>
  <c r="Y2015" i="12"/>
  <c r="Z2015" i="12"/>
  <c r="Y2016" i="12"/>
  <c r="Y2017" i="12"/>
  <c r="Z2016" i="12"/>
  <c r="Z2017" i="12"/>
  <c r="Y2018" i="12"/>
  <c r="Y2019" i="12"/>
  <c r="Z2018" i="12"/>
  <c r="Z2019" i="12"/>
  <c r="Y2020" i="12"/>
  <c r="Z2020" i="12"/>
  <c r="Y2021" i="12"/>
  <c r="Y2022" i="12"/>
  <c r="Z2021" i="12"/>
  <c r="Z2022" i="12"/>
  <c r="Y2023" i="12"/>
  <c r="Y2024" i="12"/>
  <c r="Z2023" i="12"/>
  <c r="Z2024" i="12"/>
  <c r="Y2025" i="12"/>
  <c r="Y2026" i="12"/>
  <c r="Z2025" i="12"/>
  <c r="Y2027" i="12"/>
  <c r="Z2026" i="12"/>
  <c r="Z2027" i="12"/>
  <c r="Y2028" i="12"/>
  <c r="Y2029" i="12"/>
  <c r="Z2028" i="12"/>
  <c r="Z2029" i="12"/>
  <c r="Y2030" i="12"/>
  <c r="Z2030" i="12"/>
  <c r="Y2031" i="12"/>
  <c r="Y2032" i="12"/>
  <c r="Z2031" i="12"/>
  <c r="Y2033" i="12"/>
  <c r="Z2032" i="12"/>
  <c r="Z2033" i="12"/>
  <c r="Y2034" i="12"/>
  <c r="Z2034" i="12"/>
  <c r="Y2035" i="12"/>
  <c r="Z2035" i="12"/>
  <c r="Y2036" i="12"/>
  <c r="Z2036" i="12"/>
  <c r="Y2037" i="12"/>
  <c r="Z2037" i="12"/>
  <c r="Y2038" i="12"/>
  <c r="Y2039" i="12"/>
  <c r="Z2038" i="12"/>
  <c r="Y2040" i="12"/>
  <c r="Z2039" i="12"/>
  <c r="Y2041" i="12"/>
  <c r="Z2040" i="12"/>
  <c r="Z2041" i="12"/>
  <c r="Y2042" i="12"/>
  <c r="Y2043" i="12"/>
  <c r="Z2042" i="12"/>
  <c r="Y2044" i="12"/>
  <c r="Z2043" i="12"/>
  <c r="Y2045" i="12"/>
  <c r="Z2044" i="12"/>
  <c r="Y2046" i="12"/>
  <c r="Z2045" i="12"/>
  <c r="Y2047" i="12"/>
  <c r="Z2046" i="12"/>
  <c r="Y2048" i="12"/>
  <c r="Z2047" i="12"/>
  <c r="Z2048" i="12"/>
  <c r="Y2049" i="12"/>
  <c r="Y2050" i="12"/>
  <c r="Z2049" i="12"/>
  <c r="Y2051" i="12"/>
  <c r="Z2050" i="12"/>
  <c r="Y2052" i="12"/>
  <c r="Z2051" i="12"/>
  <c r="Y2053" i="12"/>
  <c r="Z2052" i="12"/>
  <c r="Z2053" i="12"/>
  <c r="Y2054" i="12"/>
  <c r="Z2054" i="12"/>
  <c r="Y2055" i="12"/>
  <c r="Z2055" i="12"/>
  <c r="Y2056" i="12"/>
  <c r="Z2056" i="12"/>
  <c r="Y2057" i="12"/>
  <c r="Y2058" i="12"/>
  <c r="Z2057" i="12"/>
  <c r="Z2058" i="12"/>
  <c r="Y2059" i="12"/>
  <c r="Y2060" i="12"/>
  <c r="Z2059" i="12"/>
  <c r="Z2060" i="12"/>
  <c r="Y2061" i="12"/>
  <c r="Y2062" i="12"/>
  <c r="Z2061" i="12"/>
  <c r="Z2062" i="12"/>
  <c r="Y2063" i="12"/>
  <c r="Z2063" i="12"/>
  <c r="Y2064" i="12"/>
  <c r="Z2064" i="12"/>
  <c r="Y2065" i="12"/>
  <c r="Y2066" i="12"/>
  <c r="Z2065" i="12"/>
  <c r="Z2066" i="12"/>
  <c r="Y2067" i="12"/>
  <c r="Y2068" i="12"/>
  <c r="Z2067" i="12"/>
  <c r="Z2068" i="12"/>
  <c r="Y2069" i="12"/>
  <c r="Y2070" i="12"/>
  <c r="Z2069" i="12"/>
  <c r="Z2070" i="12"/>
  <c r="Y2071" i="12"/>
  <c r="Y2072" i="12"/>
  <c r="Z2071" i="12"/>
  <c r="Z2072" i="12"/>
  <c r="Y2073" i="12"/>
  <c r="Z2073" i="12"/>
  <c r="Y2074" i="12"/>
  <c r="Z2074" i="12"/>
  <c r="Y2075" i="12"/>
  <c r="Y2076" i="12"/>
  <c r="Z2075" i="12"/>
  <c r="Y2077" i="12"/>
  <c r="Z2076" i="12"/>
  <c r="Y2078" i="12"/>
  <c r="Z2077" i="12"/>
  <c r="Y2079" i="12"/>
  <c r="Z2078" i="12"/>
  <c r="Y2080" i="12"/>
  <c r="Z2079" i="12"/>
  <c r="Z2080" i="12"/>
  <c r="Y2081" i="12"/>
  <c r="Z2081" i="12"/>
  <c r="Y2082" i="12"/>
  <c r="Z2082" i="12"/>
  <c r="Y2083" i="12"/>
  <c r="Y2084" i="12"/>
  <c r="Z2083" i="12"/>
  <c r="Y2085" i="12"/>
  <c r="Z2084" i="12"/>
  <c r="Z2085" i="12"/>
  <c r="Y2086" i="12"/>
  <c r="Z2086" i="12"/>
  <c r="Y2087" i="12"/>
  <c r="Z2087" i="12"/>
  <c r="Y2088" i="12"/>
  <c r="Z2088" i="12"/>
  <c r="Y2089" i="12"/>
  <c r="Z2089" i="12"/>
  <c r="Y2090" i="12"/>
  <c r="Z2090" i="12"/>
  <c r="Y2091" i="12"/>
  <c r="Y2092" i="12"/>
  <c r="Z2091" i="12"/>
  <c r="Z2092" i="12"/>
  <c r="Y2093" i="12"/>
  <c r="Y2094" i="12"/>
  <c r="Z2093" i="12"/>
  <c r="Z2094" i="12"/>
  <c r="Y2095" i="12"/>
  <c r="Y2096" i="12"/>
  <c r="Z2095" i="12"/>
  <c r="Z2096" i="12"/>
  <c r="Y2097" i="12"/>
  <c r="Z2097" i="12"/>
  <c r="Y2098" i="12"/>
  <c r="Z2098" i="12"/>
  <c r="Y2099" i="12"/>
  <c r="Z2099" i="12"/>
  <c r="Y2100" i="12"/>
  <c r="Y2101" i="12"/>
  <c r="Z2100" i="12"/>
  <c r="Y2102" i="12"/>
  <c r="Z2101" i="12"/>
  <c r="Y2103" i="12"/>
  <c r="Z2102" i="12"/>
  <c r="Y2104" i="12"/>
  <c r="Z2103" i="12"/>
  <c r="Y2105" i="12"/>
  <c r="Z2104" i="12"/>
  <c r="Z2105" i="12"/>
  <c r="Y2106" i="12"/>
  <c r="Y2107" i="12"/>
  <c r="Z2106" i="12"/>
  <c r="Z2107" i="12"/>
  <c r="Y2108" i="12"/>
  <c r="Y2109" i="12"/>
  <c r="Z2108" i="12"/>
  <c r="Y2110" i="12"/>
  <c r="Z2109" i="12"/>
  <c r="Z2110" i="12"/>
  <c r="Y2111" i="12"/>
  <c r="Y2112" i="12"/>
  <c r="Z2111" i="12"/>
  <c r="Y2113" i="12"/>
  <c r="Z2112" i="12"/>
  <c r="Z2113" i="12"/>
  <c r="Y2114" i="12"/>
  <c r="Y2115" i="12"/>
  <c r="Z2114" i="12"/>
  <c r="Y2116" i="12"/>
  <c r="Z2115" i="12"/>
  <c r="Z2116" i="12"/>
  <c r="Y2117" i="12"/>
  <c r="Z2117" i="12"/>
  <c r="Y2118" i="12"/>
  <c r="Y2119" i="12"/>
  <c r="Z2118" i="12"/>
  <c r="Y2120" i="12"/>
  <c r="Z2119" i="12"/>
  <c r="Y2121" i="12"/>
  <c r="Z2120" i="12"/>
  <c r="Z2121" i="12"/>
  <c r="Y2122" i="12"/>
  <c r="Z2122" i="12"/>
  <c r="Y2123" i="12"/>
  <c r="Y2124" i="12"/>
  <c r="Z2123" i="12"/>
  <c r="Z2124" i="12"/>
  <c r="Y2125" i="12"/>
  <c r="Y2126" i="12"/>
  <c r="Z2125" i="12"/>
  <c r="Y2127" i="12"/>
  <c r="Z2126" i="12"/>
  <c r="Z2127" i="12"/>
  <c r="Y2128" i="12"/>
  <c r="Z2128" i="12"/>
  <c r="Y2129" i="12"/>
  <c r="Z2129" i="12"/>
  <c r="Y2130" i="12"/>
  <c r="Z2130" i="12"/>
  <c r="Y2131" i="12"/>
  <c r="Z2131" i="12"/>
  <c r="Y2132" i="12"/>
  <c r="Z2132" i="12"/>
  <c r="Y2133" i="12"/>
  <c r="Y2134" i="12"/>
  <c r="Z2133" i="12"/>
  <c r="Z2134" i="12"/>
  <c r="Y2135" i="12"/>
  <c r="Y2136" i="12"/>
  <c r="Z2135" i="12"/>
  <c r="Z2136" i="12"/>
  <c r="Y2137" i="12"/>
  <c r="Z2137" i="12"/>
  <c r="Y2138" i="12"/>
  <c r="Z2138" i="12"/>
  <c r="Y2139" i="12"/>
  <c r="Y2140" i="12"/>
  <c r="Z2139" i="12"/>
  <c r="Y2141" i="12"/>
  <c r="Z2140" i="12"/>
  <c r="Y2142" i="12"/>
  <c r="Z2141" i="12"/>
  <c r="Z2142" i="12"/>
  <c r="Y2143" i="12"/>
  <c r="Y2144" i="12"/>
  <c r="Z2143" i="12"/>
  <c r="Y2145" i="12"/>
  <c r="Z2144" i="12"/>
  <c r="Y2146" i="12"/>
  <c r="Z2145" i="12"/>
  <c r="Z2146" i="12"/>
  <c r="Y2147" i="12"/>
  <c r="Z2147" i="12"/>
  <c r="Y2148" i="12"/>
  <c r="Y2149" i="12"/>
  <c r="Z2148" i="12"/>
  <c r="Z2149" i="12"/>
  <c r="Y2150" i="12"/>
  <c r="Z2150" i="12"/>
  <c r="Y2151" i="12"/>
  <c r="Y2152" i="12"/>
  <c r="Z2151" i="12"/>
  <c r="Z2152" i="12"/>
  <c r="Y2153" i="12"/>
  <c r="Z2153" i="12"/>
  <c r="Y2154" i="12"/>
  <c r="Y2155" i="12"/>
  <c r="Z2154" i="12"/>
  <c r="Z2155" i="12"/>
  <c r="Y2156" i="12"/>
  <c r="Z2156" i="12"/>
  <c r="Y2157" i="12"/>
  <c r="Z2157" i="12"/>
  <c r="Y2158" i="12"/>
  <c r="Z2158" i="12"/>
  <c r="Y2159" i="12"/>
  <c r="Y2160" i="12"/>
  <c r="Z2159" i="12"/>
  <c r="Y2161" i="12"/>
  <c r="Z2160" i="12"/>
  <c r="Y2162" i="12"/>
  <c r="Z2161" i="12"/>
  <c r="Y2163" i="12"/>
  <c r="Z2162" i="12"/>
  <c r="Z2163" i="12"/>
  <c r="Y2164" i="12"/>
  <c r="Z2164" i="12"/>
  <c r="Y2165" i="12"/>
  <c r="Y2166" i="12"/>
  <c r="Z2165" i="12"/>
  <c r="Y2167" i="12"/>
  <c r="Z2166" i="12"/>
  <c r="Z2167" i="12"/>
  <c r="Y2168" i="12"/>
  <c r="Y2169" i="12"/>
  <c r="Z2168" i="12"/>
  <c r="Z2169" i="12"/>
  <c r="Y2170" i="12"/>
  <c r="Z2170" i="12"/>
  <c r="Y2171" i="12"/>
  <c r="Z2171" i="12"/>
  <c r="Y2172" i="12"/>
  <c r="Z2172" i="12"/>
  <c r="Y2173" i="12"/>
  <c r="Z2173" i="12"/>
  <c r="Y2174" i="12"/>
  <c r="Y2175" i="12"/>
  <c r="Z2174" i="12"/>
  <c r="Z2175" i="12"/>
  <c r="Y2176" i="12"/>
  <c r="Z2176" i="12"/>
  <c r="Y2177" i="12"/>
  <c r="Z2177" i="12"/>
  <c r="Y2178" i="12"/>
  <c r="Y2179" i="12"/>
  <c r="Z2178" i="12"/>
  <c r="Z2179" i="12"/>
  <c r="Y2180" i="12"/>
  <c r="Y2181" i="12"/>
  <c r="Z2180" i="12"/>
  <c r="Y2182" i="12"/>
  <c r="Z2181" i="12"/>
  <c r="Y2183" i="12"/>
  <c r="Z2182" i="12"/>
  <c r="Y2184" i="12"/>
  <c r="Z2183" i="12"/>
  <c r="Y2185" i="12"/>
  <c r="Z2184" i="12"/>
  <c r="Z2185" i="12"/>
  <c r="Y2186" i="12"/>
  <c r="Y2187" i="12"/>
  <c r="Z2186" i="12"/>
  <c r="Y2188" i="12"/>
  <c r="Z2187" i="12"/>
  <c r="Z2188" i="12"/>
  <c r="Y2189" i="12"/>
  <c r="Z2189" i="12"/>
  <c r="Y2190" i="12"/>
  <c r="Y2191" i="12"/>
  <c r="Z2190" i="12"/>
  <c r="Z2191" i="12"/>
  <c r="Y2192" i="12"/>
  <c r="Y2193" i="12"/>
  <c r="Z2192" i="12"/>
  <c r="Z2193" i="12"/>
  <c r="Y2194" i="12"/>
  <c r="Y2195" i="12"/>
  <c r="Z2194" i="12"/>
  <c r="Z2195" i="12"/>
  <c r="Y2196" i="12"/>
  <c r="Y2197" i="12"/>
  <c r="Z2196" i="12"/>
  <c r="Z2197" i="12"/>
  <c r="Y2198" i="12"/>
  <c r="Z2198" i="12"/>
  <c r="Y2199" i="12"/>
  <c r="Y2200" i="12"/>
  <c r="Z2199" i="12"/>
  <c r="Z2200" i="12"/>
  <c r="Y2201" i="12"/>
  <c r="Z2201" i="12"/>
  <c r="Y2202" i="12"/>
  <c r="Y2203" i="12"/>
  <c r="Z2202" i="12"/>
  <c r="Z2203" i="12"/>
  <c r="Y2204" i="12"/>
  <c r="Y2205" i="12"/>
  <c r="Z2204" i="12"/>
  <c r="Y2206" i="12"/>
  <c r="Z2205" i="12"/>
  <c r="Y2207" i="12"/>
  <c r="Z2206" i="12"/>
  <c r="Y2208" i="12"/>
  <c r="Z2207" i="12"/>
  <c r="Z2208" i="12"/>
  <c r="Y2209" i="12"/>
  <c r="Z2209" i="12"/>
  <c r="Y2210" i="12"/>
  <c r="Y2211" i="12"/>
  <c r="Z2210" i="12"/>
  <c r="Z2211" i="12"/>
  <c r="Y2212" i="12"/>
  <c r="Z2212" i="12"/>
  <c r="Y2213" i="12"/>
  <c r="Y2214" i="12"/>
  <c r="Z2213" i="12"/>
  <c r="Y2215" i="12"/>
  <c r="Z2214" i="12"/>
  <c r="Z2215" i="12"/>
  <c r="Y2216" i="12"/>
  <c r="Y2217" i="12"/>
  <c r="Z2216" i="12"/>
  <c r="Y2218" i="12"/>
  <c r="Z2217" i="12"/>
  <c r="Y2219" i="12"/>
  <c r="Z2218" i="12"/>
  <c r="Y2220" i="12"/>
  <c r="Z2219" i="12"/>
  <c r="Z2220" i="12"/>
  <c r="Y2221" i="12"/>
  <c r="Z2221" i="12"/>
  <c r="Y2222" i="12"/>
  <c r="Z2222" i="12"/>
  <c r="Y2223" i="12"/>
  <c r="Z2223" i="12"/>
  <c r="Y2224" i="12"/>
  <c r="Y2225" i="12"/>
  <c r="Z2224" i="12"/>
  <c r="Y2226" i="12"/>
  <c r="Z2225" i="12"/>
  <c r="Y2227" i="12"/>
  <c r="Z2226" i="12"/>
  <c r="Y2228" i="12"/>
  <c r="Z2227" i="12"/>
  <c r="Y2229" i="12"/>
  <c r="Z2228" i="12"/>
  <c r="Z2229" i="12"/>
  <c r="Y2230" i="12"/>
  <c r="Y2231" i="12"/>
  <c r="Z2230" i="12"/>
  <c r="Z2231" i="12"/>
  <c r="Y2232" i="12"/>
  <c r="Z2232" i="12"/>
  <c r="Y2233" i="12"/>
  <c r="Y2234" i="12"/>
  <c r="Z2233" i="12"/>
  <c r="Z2234" i="12"/>
  <c r="Y2235" i="12"/>
  <c r="Z2235" i="12"/>
  <c r="Y2236" i="12"/>
  <c r="Y2237" i="12"/>
  <c r="Z2236" i="12"/>
  <c r="Y2238" i="12"/>
  <c r="Z2237" i="12"/>
  <c r="Y2239" i="12"/>
  <c r="Z2238" i="12"/>
  <c r="Z2239" i="12"/>
  <c r="Y2240" i="12"/>
  <c r="Z2240" i="12"/>
  <c r="Y2241" i="12"/>
  <c r="Z2241" i="12"/>
  <c r="Y2242" i="12"/>
  <c r="Y2243" i="12"/>
  <c r="Z2242" i="12"/>
  <c r="Z2243" i="12"/>
  <c r="Y2244" i="12"/>
  <c r="Y2245" i="12"/>
  <c r="Z2244" i="12"/>
  <c r="Y2246" i="12"/>
  <c r="Z2245" i="12"/>
  <c r="Z2246" i="12"/>
  <c r="Y2247" i="12"/>
  <c r="Z2247" i="12"/>
  <c r="Y2248" i="12"/>
  <c r="Z2248" i="12"/>
  <c r="Y2249" i="12"/>
  <c r="Y2250" i="12"/>
  <c r="Z2249" i="12"/>
  <c r="Z2250" i="12"/>
  <c r="Y2251" i="12"/>
  <c r="Z2251" i="12"/>
  <c r="Y2252" i="12"/>
  <c r="Y2253" i="12"/>
  <c r="Z2252" i="12"/>
  <c r="Z2253" i="12"/>
  <c r="Y2254" i="12"/>
  <c r="Y2255" i="12"/>
  <c r="Z2254" i="12"/>
  <c r="Y2256" i="12"/>
  <c r="Z2255" i="12"/>
  <c r="Y2257" i="12"/>
  <c r="Z2256" i="12"/>
  <c r="Z2257" i="12"/>
  <c r="Y2258" i="12"/>
  <c r="Z2258" i="12"/>
  <c r="Y2259" i="12"/>
  <c r="Z2259" i="12"/>
  <c r="Y2260" i="12"/>
  <c r="Y2261" i="12"/>
  <c r="Z2260" i="12"/>
  <c r="Y2262" i="12"/>
  <c r="Z2261" i="12"/>
  <c r="Y2263" i="12"/>
  <c r="Z2262" i="12"/>
  <c r="Y2264" i="12"/>
  <c r="Z2263" i="12"/>
  <c r="Z2264" i="12"/>
  <c r="Y2265" i="12"/>
  <c r="Y2266" i="12"/>
  <c r="Z2265" i="12"/>
  <c r="Y2267" i="12"/>
  <c r="Z2266" i="12"/>
  <c r="Z2267" i="12"/>
  <c r="Y2268" i="12"/>
  <c r="Z2268" i="12"/>
  <c r="Y2269" i="12"/>
  <c r="Y2270" i="12"/>
  <c r="Z2269" i="12"/>
  <c r="Z2270" i="12"/>
  <c r="Y2271" i="12"/>
  <c r="Z2271" i="12"/>
  <c r="Y2272" i="12"/>
  <c r="Y2273" i="12"/>
  <c r="Z2272" i="12"/>
  <c r="Z2273" i="12"/>
  <c r="Y2274" i="12"/>
  <c r="Y2275" i="12"/>
  <c r="Z2274" i="12"/>
  <c r="Z2275" i="12"/>
  <c r="Y2276" i="12"/>
  <c r="Z2276" i="12"/>
  <c r="Y2277" i="12"/>
  <c r="Z2277" i="12"/>
  <c r="Y2278" i="12"/>
  <c r="Y2279" i="12"/>
  <c r="Z2278" i="12"/>
  <c r="Y2280" i="12"/>
  <c r="Z2279" i="12"/>
  <c r="Z2280" i="12"/>
  <c r="Y2281" i="12"/>
  <c r="Y2282" i="12"/>
  <c r="Z2281" i="12"/>
  <c r="Z2282" i="12"/>
  <c r="Y2283" i="12"/>
  <c r="Y2284" i="12"/>
  <c r="Z2283" i="12"/>
  <c r="Y2285" i="12"/>
  <c r="Z2284" i="12"/>
  <c r="Z2285" i="12"/>
  <c r="Y2286" i="12"/>
  <c r="Z2286" i="12"/>
  <c r="Y2287" i="12"/>
  <c r="Y2288" i="12"/>
  <c r="Z2287" i="12"/>
  <c r="Y2289" i="12"/>
  <c r="Z2288" i="12"/>
  <c r="Y2290" i="12"/>
  <c r="Z2289" i="12"/>
  <c r="Z2290" i="12"/>
  <c r="Y2291" i="12"/>
  <c r="Z2291" i="12"/>
  <c r="Y2292" i="12"/>
  <c r="Y2293" i="12"/>
  <c r="Z2292" i="12"/>
  <c r="Y2294" i="12"/>
  <c r="Z2293" i="12"/>
  <c r="Y2295" i="12"/>
  <c r="Z2294" i="12"/>
  <c r="Z2295" i="12"/>
  <c r="Y2296" i="12"/>
  <c r="Y2297" i="12"/>
  <c r="Z2296" i="12"/>
  <c r="Y2298" i="12"/>
  <c r="Z2297" i="12"/>
  <c r="Z2298" i="12"/>
  <c r="Y2299" i="12"/>
  <c r="Y2300" i="12"/>
  <c r="Z2299" i="12"/>
  <c r="Y2301" i="12"/>
  <c r="Z2300" i="12"/>
  <c r="Y2302" i="12"/>
  <c r="Z2301" i="12"/>
  <c r="Y2303" i="12"/>
  <c r="Z2302" i="12"/>
  <c r="Z2303" i="12"/>
  <c r="Y2304" i="12"/>
  <c r="Y2305" i="12"/>
  <c r="Z2304" i="12"/>
  <c r="Y2306" i="12"/>
  <c r="Z2305" i="12"/>
  <c r="Z2306" i="12"/>
  <c r="Y2307" i="12"/>
  <c r="Z2307" i="12"/>
  <c r="Y2308" i="12"/>
  <c r="Y2309" i="12"/>
  <c r="Z2308" i="12"/>
  <c r="Z2309" i="12"/>
  <c r="Y2310" i="12"/>
  <c r="Z2310" i="12"/>
  <c r="Y2311" i="12"/>
  <c r="Z2311" i="12"/>
  <c r="Y2312" i="12"/>
  <c r="Z2312" i="12"/>
  <c r="Y2313" i="12"/>
  <c r="Y2314" i="12"/>
  <c r="Z2313" i="12"/>
  <c r="Y2315" i="12"/>
  <c r="Z2314" i="12"/>
  <c r="Z2315" i="12"/>
  <c r="Y2316" i="12"/>
  <c r="Z2316" i="12"/>
  <c r="Y2317" i="12"/>
  <c r="Y2318" i="12"/>
  <c r="Z2317" i="12"/>
  <c r="Z2318" i="12"/>
  <c r="Y2319" i="12"/>
  <c r="Z2319" i="12"/>
  <c r="Y2320" i="12"/>
  <c r="Z2320" i="12"/>
  <c r="Y2321" i="12"/>
  <c r="Y2322" i="12"/>
  <c r="Z2321" i="12"/>
  <c r="Z2322" i="12"/>
  <c r="Y2323" i="12"/>
  <c r="Y2324" i="12"/>
  <c r="Z2323" i="12"/>
  <c r="Y2325" i="12"/>
  <c r="Z2324" i="12"/>
  <c r="Z2325" i="12"/>
  <c r="Y2326" i="12"/>
  <c r="Z2326" i="12"/>
  <c r="Y2327" i="12"/>
  <c r="Z2327" i="12"/>
  <c r="Y2328" i="12"/>
  <c r="Y2329" i="12"/>
  <c r="Z2328" i="12"/>
  <c r="Z2329" i="12"/>
  <c r="Y2330" i="12"/>
  <c r="Z2330" i="12"/>
  <c r="Y2331" i="12"/>
  <c r="Y2332" i="12"/>
  <c r="Z2331" i="12"/>
  <c r="Y2333" i="12"/>
  <c r="Z2332" i="12"/>
  <c r="Y2334" i="12"/>
  <c r="Z2333" i="12"/>
  <c r="Z2334" i="12"/>
  <c r="Y2335" i="12"/>
  <c r="Y2336" i="12"/>
  <c r="Z2335" i="12"/>
  <c r="Y2337" i="12"/>
  <c r="Z2336" i="12"/>
  <c r="Y2338" i="12"/>
  <c r="Z2337" i="12"/>
  <c r="Z2338" i="12"/>
  <c r="Y2339" i="12"/>
  <c r="Z2339" i="12"/>
  <c r="Y2340" i="12"/>
  <c r="Y2341" i="12"/>
  <c r="Z2340" i="12"/>
  <c r="Y2342" i="12"/>
  <c r="Z2341" i="12"/>
  <c r="Y2343" i="12"/>
  <c r="Z2342" i="12"/>
  <c r="Z2343" i="12"/>
  <c r="Y2344" i="12"/>
  <c r="Z2344" i="12"/>
  <c r="Y2345" i="12"/>
  <c r="Z2345" i="12"/>
  <c r="Y2346" i="12"/>
  <c r="Y2347" i="12"/>
  <c r="Z2346" i="12"/>
  <c r="Y2348" i="12"/>
  <c r="Z2347" i="12"/>
  <c r="Z2348" i="12"/>
  <c r="Y2349" i="12"/>
  <c r="Y2350" i="12"/>
  <c r="Z2349" i="12"/>
  <c r="Z2350" i="12"/>
  <c r="Y2351" i="12"/>
  <c r="Y2352" i="12"/>
  <c r="Z2351" i="12"/>
  <c r="Y2353" i="12"/>
  <c r="Z2352" i="12"/>
  <c r="Y2354" i="12"/>
  <c r="Z2353" i="12"/>
  <c r="Z2354" i="12"/>
  <c r="Y2355" i="12"/>
  <c r="Z2355" i="12"/>
  <c r="Y2356" i="12"/>
  <c r="Z2356" i="12"/>
  <c r="Y2357" i="12"/>
  <c r="Z2357" i="12"/>
  <c r="Y2358" i="12"/>
  <c r="Z2358" i="12"/>
  <c r="Y2359" i="12"/>
  <c r="Y2360" i="12"/>
  <c r="Z2359" i="12"/>
  <c r="Z2360" i="12"/>
  <c r="Y2361" i="12"/>
  <c r="Z2361" i="12"/>
  <c r="Y2362" i="12"/>
  <c r="Y2363" i="12"/>
  <c r="Z2362" i="12"/>
  <c r="Y2364" i="12"/>
  <c r="Z2363" i="12"/>
  <c r="Y2365" i="12"/>
  <c r="Z2364" i="12"/>
  <c r="Y2366" i="12"/>
  <c r="Z2365" i="12"/>
  <c r="Z2366" i="12"/>
  <c r="Y2367" i="12"/>
  <c r="Y2368" i="12"/>
  <c r="Z2367" i="12"/>
  <c r="Z2368" i="12"/>
  <c r="Y2369" i="12"/>
  <c r="Z2369" i="12"/>
  <c r="Y2370" i="12"/>
  <c r="Z2370" i="12"/>
  <c r="Y2371" i="12"/>
  <c r="Y2372" i="12"/>
  <c r="Z2371" i="12"/>
  <c r="Z2372" i="12"/>
  <c r="Y2373" i="12"/>
  <c r="Y2374" i="12"/>
  <c r="Z2373" i="12"/>
  <c r="Z2374" i="12"/>
  <c r="Y2375" i="12"/>
  <c r="Y2376" i="12"/>
  <c r="Z2375" i="12"/>
  <c r="Z2376" i="12"/>
  <c r="Y2377" i="12"/>
  <c r="Z2377" i="12"/>
  <c r="Y2378" i="12"/>
  <c r="Z2378" i="12"/>
  <c r="Y2379" i="12"/>
  <c r="Y2380" i="12"/>
  <c r="Z2379" i="12"/>
  <c r="Z2380" i="12"/>
  <c r="Y2381" i="12"/>
  <c r="Y2382" i="12"/>
  <c r="Z2381" i="12"/>
  <c r="Y2383" i="12"/>
  <c r="Z2382" i="12"/>
  <c r="Y2384" i="12"/>
  <c r="Z2383" i="12"/>
  <c r="Y2385" i="12"/>
  <c r="Z2384" i="12"/>
  <c r="Y2386" i="12"/>
  <c r="Z2385" i="12"/>
  <c r="Z2386" i="12"/>
  <c r="Y2387" i="12"/>
  <c r="Z2387" i="12"/>
  <c r="Y2388" i="12"/>
  <c r="Z2388" i="12"/>
  <c r="Y2389" i="12"/>
  <c r="Z2389" i="12"/>
  <c r="Y2390" i="12"/>
  <c r="Y2391" i="12"/>
  <c r="Z2390" i="12"/>
  <c r="Y2392" i="12"/>
  <c r="Z2391" i="12"/>
  <c r="Y2393" i="12"/>
  <c r="Z2392" i="12"/>
  <c r="Y2394" i="12"/>
  <c r="Z2393" i="12"/>
  <c r="Y2395" i="12"/>
  <c r="Z2394" i="12"/>
  <c r="Z2395" i="12"/>
  <c r="Y2396" i="12"/>
  <c r="Z2396" i="12"/>
  <c r="Y2397" i="12"/>
  <c r="Y2398" i="12"/>
  <c r="Z2397" i="12"/>
  <c r="Y2399" i="12"/>
  <c r="Z2398" i="12"/>
  <c r="Y2400" i="12"/>
  <c r="Z2399" i="12"/>
  <c r="Y2401" i="12"/>
  <c r="Z2400" i="12"/>
  <c r="Y2402" i="12"/>
  <c r="Z2401" i="12"/>
  <c r="Z2402" i="12"/>
  <c r="Y2403" i="12"/>
  <c r="Y2404" i="12"/>
  <c r="Z2403" i="12"/>
  <c r="Y2405" i="12"/>
  <c r="Z2404" i="12"/>
  <c r="Z2405" i="12"/>
  <c r="Y2406" i="12"/>
  <c r="Z2406" i="12"/>
  <c r="Y2407" i="12"/>
  <c r="Z2407" i="12"/>
  <c r="Y2408" i="12"/>
  <c r="Z2408" i="12"/>
  <c r="Y2409" i="12"/>
  <c r="Y2410" i="12"/>
  <c r="Z2409" i="12"/>
  <c r="Z2410" i="12"/>
  <c r="Y2411" i="12"/>
  <c r="Z2411" i="12"/>
  <c r="Y2412" i="12"/>
  <c r="Z2412" i="12"/>
  <c r="Y2413" i="12"/>
  <c r="Z2413" i="12"/>
  <c r="Y2414" i="12"/>
  <c r="Y2415" i="12"/>
  <c r="Z2414" i="12"/>
  <c r="Z2415" i="12"/>
  <c r="Y2416" i="12"/>
  <c r="Y2417" i="12"/>
  <c r="Z2416" i="12"/>
  <c r="Y2418" i="12"/>
  <c r="Z2417" i="12"/>
  <c r="Y2419" i="12"/>
  <c r="Z2418" i="12"/>
  <c r="Z2419" i="12"/>
  <c r="Y2420" i="12"/>
  <c r="Y2421" i="12"/>
  <c r="Z2420" i="12"/>
  <c r="Z2421" i="12"/>
  <c r="Y2422" i="12"/>
  <c r="Y2423" i="12"/>
  <c r="Z2422" i="12"/>
  <c r="Y2424" i="12"/>
  <c r="Z2423" i="12"/>
  <c r="Z2424" i="12"/>
  <c r="Y2425" i="12"/>
  <c r="Z2425" i="12"/>
  <c r="Y2426" i="12"/>
  <c r="Z2426" i="12"/>
  <c r="Y2427" i="12"/>
  <c r="Z2427" i="12"/>
  <c r="Y2428" i="12"/>
  <c r="Z2428" i="12"/>
  <c r="Y2429" i="12"/>
  <c r="Y2430" i="12"/>
  <c r="Z2429" i="12"/>
  <c r="Y2431" i="12"/>
  <c r="Z2430" i="12"/>
  <c r="Y2432" i="12"/>
  <c r="Z2431" i="12"/>
  <c r="Y2433" i="12"/>
  <c r="Z2432" i="12"/>
  <c r="Y2434" i="12"/>
  <c r="Z2433" i="12"/>
  <c r="Z2434" i="12"/>
  <c r="Y2435" i="12"/>
  <c r="Z2435" i="12"/>
  <c r="Y2436" i="12"/>
  <c r="Z2436" i="12"/>
  <c r="Y2437" i="12"/>
  <c r="Y2438" i="12"/>
  <c r="Z2437" i="12"/>
  <c r="Y2439" i="12"/>
  <c r="Z2438" i="12"/>
  <c r="Y2440" i="12"/>
  <c r="Z2439" i="12"/>
  <c r="Y2441" i="12"/>
  <c r="Z2440" i="12"/>
  <c r="Z2441" i="12"/>
  <c r="Y2442" i="12"/>
  <c r="Y2443" i="12"/>
  <c r="Z2442" i="12"/>
  <c r="Y2444" i="12"/>
  <c r="Z2443" i="12"/>
  <c r="Y2445" i="12"/>
  <c r="Z2444" i="12"/>
  <c r="Y2446" i="12"/>
  <c r="Z2445" i="12"/>
  <c r="Y2447" i="12"/>
  <c r="Z2446" i="12"/>
  <c r="Y2448" i="12"/>
  <c r="Z2447" i="12"/>
  <c r="Y2449" i="12"/>
  <c r="Z2448" i="12"/>
  <c r="Z2449" i="12"/>
  <c r="Y2450" i="12"/>
  <c r="Y2451" i="12"/>
  <c r="Z2450" i="12"/>
  <c r="Y2452" i="12"/>
  <c r="Z2451" i="12"/>
  <c r="Z2452" i="12"/>
  <c r="Y2453" i="12"/>
  <c r="Y2454" i="12"/>
  <c r="Z2453" i="12"/>
  <c r="Y2455" i="12"/>
  <c r="Z2454" i="12"/>
  <c r="Z2455" i="12"/>
  <c r="Y2456" i="12"/>
  <c r="Z2456" i="12"/>
  <c r="Y2457" i="12"/>
  <c r="Y2458" i="12"/>
  <c r="Z2457" i="12"/>
  <c r="Z2458" i="12"/>
  <c r="Y2459" i="12"/>
  <c r="Y2460" i="12"/>
  <c r="Z2459" i="12"/>
  <c r="Y2461" i="12"/>
  <c r="Z2460" i="12"/>
  <c r="Z2461" i="12"/>
  <c r="Y2462" i="12"/>
  <c r="Z2462" i="12"/>
  <c r="Y2463" i="12"/>
  <c r="Y2464" i="12"/>
  <c r="Z2463" i="12"/>
  <c r="Z2464" i="12"/>
  <c r="Y2465" i="12"/>
  <c r="Y2466" i="12"/>
  <c r="Z2465" i="12"/>
  <c r="Z2466" i="12"/>
  <c r="Y2467" i="12"/>
  <c r="Z2467" i="12"/>
  <c r="Y2468" i="12"/>
  <c r="Z2468" i="12"/>
  <c r="Y2469" i="12"/>
  <c r="Z2469" i="12"/>
  <c r="Y2470" i="12"/>
  <c r="Y2471" i="12"/>
  <c r="Z2470" i="12"/>
  <c r="Z2471" i="12"/>
  <c r="Y2472" i="12"/>
  <c r="Z2472" i="12"/>
  <c r="Y2473" i="12"/>
  <c r="Z2473" i="12"/>
  <c r="Y2474" i="12"/>
  <c r="Z2474" i="12"/>
  <c r="Y2475" i="12"/>
  <c r="Y2476" i="12"/>
  <c r="Z2475" i="12"/>
  <c r="Z2476" i="12"/>
  <c r="Y2477" i="12"/>
  <c r="Y2478" i="12"/>
  <c r="Z2477" i="12"/>
  <c r="Y2479" i="12"/>
  <c r="Z2478" i="12"/>
  <c r="Y2480" i="12"/>
  <c r="Z2479" i="12"/>
  <c r="Z2480" i="12"/>
  <c r="Y2481" i="12"/>
  <c r="Y2482" i="12"/>
  <c r="Z2481" i="12"/>
  <c r="Y2483" i="12"/>
  <c r="Z2482" i="12"/>
  <c r="Y2484" i="12"/>
  <c r="Z2483" i="12"/>
  <c r="Z2484" i="12"/>
  <c r="Y2485" i="12"/>
  <c r="Y2486" i="12"/>
  <c r="Z2485" i="12"/>
  <c r="Z2486" i="12"/>
  <c r="Y2487" i="12"/>
  <c r="Z2487" i="12"/>
  <c r="Y2488" i="12"/>
  <c r="Y2489" i="12"/>
  <c r="Z2488" i="12"/>
  <c r="Y2490" i="12"/>
  <c r="Z2489" i="12"/>
  <c r="Y2491" i="12"/>
  <c r="Z2490" i="12"/>
  <c r="Y2492" i="12"/>
  <c r="Z2491" i="12"/>
  <c r="Y2493" i="12"/>
  <c r="Z2492" i="12"/>
  <c r="Z2493" i="12"/>
  <c r="Y2494" i="12"/>
  <c r="Z2494" i="12"/>
  <c r="Y2495" i="12"/>
  <c r="Y2496" i="12"/>
  <c r="Z2495" i="12"/>
  <c r="Y2497" i="12"/>
  <c r="Z2496" i="12"/>
  <c r="Z2497" i="12"/>
  <c r="Y2498" i="12"/>
  <c r="Y2499" i="12"/>
  <c r="Z2498" i="12"/>
  <c r="Z2499" i="12"/>
  <c r="Y2500" i="12"/>
  <c r="Y2501" i="12"/>
  <c r="Z2500" i="12"/>
  <c r="Y2502" i="12"/>
  <c r="Z2501" i="12"/>
  <c r="Z2502" i="12"/>
  <c r="Y2503" i="12"/>
  <c r="Z2503" i="12"/>
  <c r="Y2504" i="12"/>
  <c r="Y2505" i="12"/>
  <c r="Z2504" i="12"/>
  <c r="Y2506" i="12"/>
  <c r="Z2505" i="12"/>
  <c r="Y2507" i="12"/>
  <c r="Z2506" i="12"/>
  <c r="Y2508" i="12"/>
  <c r="Z2507" i="12"/>
  <c r="Y2509" i="12"/>
  <c r="Z2508" i="12"/>
  <c r="Z2509" i="12"/>
  <c r="Y2510" i="12"/>
  <c r="Y2511" i="12"/>
  <c r="Z2510" i="12"/>
  <c r="Z2511" i="12"/>
  <c r="Y2512" i="12"/>
  <c r="Z2512" i="12"/>
  <c r="Y2513" i="12"/>
  <c r="Y2514" i="12"/>
  <c r="Z2513" i="12"/>
  <c r="Z2514" i="12"/>
  <c r="Y2515" i="12"/>
  <c r="Y2516" i="12"/>
  <c r="Z2515" i="12"/>
  <c r="Z2516" i="12"/>
  <c r="Y2517" i="12"/>
  <c r="Z2517" i="12"/>
  <c r="Y2518" i="12"/>
  <c r="Y2519" i="12"/>
  <c r="Z2518" i="12"/>
  <c r="Z2519" i="12"/>
  <c r="Y2520" i="12"/>
  <c r="Z2520" i="12"/>
  <c r="Y2521" i="12"/>
  <c r="Y2522" i="12"/>
  <c r="Z2521" i="12"/>
  <c r="Z2522" i="12"/>
  <c r="Y2523" i="12"/>
  <c r="Y2524" i="12"/>
  <c r="Z2523" i="12"/>
  <c r="Y2525" i="12"/>
  <c r="Z2524" i="12"/>
  <c r="Y2526" i="12"/>
  <c r="Z2525" i="12"/>
  <c r="Z2526" i="12"/>
  <c r="Y2527" i="12"/>
  <c r="Y2528" i="12"/>
  <c r="Z2527" i="12"/>
  <c r="Z2528" i="12"/>
  <c r="Y2529" i="12"/>
  <c r="Z2529" i="12"/>
  <c r="Y2530" i="12"/>
  <c r="Y2531" i="12"/>
  <c r="Z2530" i="12"/>
  <c r="Y2532" i="12"/>
  <c r="Z2531" i="12"/>
  <c r="Z2532" i="12"/>
  <c r="Y2533" i="12"/>
  <c r="Y2534" i="12"/>
  <c r="Z2533" i="12"/>
  <c r="Y2535" i="12"/>
  <c r="Z2534" i="12"/>
  <c r="Y2536" i="12"/>
  <c r="Z2535" i="12"/>
  <c r="Z2536" i="12"/>
  <c r="Y2537" i="12"/>
  <c r="Z2537" i="12"/>
  <c r="Y2538" i="12"/>
  <c r="Y2539" i="12"/>
  <c r="Z2538" i="12"/>
  <c r="Z2539" i="12"/>
  <c r="Y2540" i="12"/>
  <c r="Z2540" i="12"/>
  <c r="Y2541" i="12"/>
  <c r="Z2541" i="12"/>
  <c r="Y2542" i="12"/>
  <c r="Z2542" i="12"/>
  <c r="Y2543" i="12"/>
  <c r="Z2543" i="12"/>
  <c r="Y2544" i="12"/>
  <c r="Y2545" i="12"/>
  <c r="Z2544" i="12"/>
  <c r="Y2546" i="12"/>
  <c r="Z2545" i="12"/>
  <c r="Z2546" i="12"/>
  <c r="Y2547" i="12"/>
  <c r="Y2548" i="12"/>
  <c r="Z2547" i="12"/>
  <c r="Y2549" i="12"/>
  <c r="Z2548" i="12"/>
  <c r="Y2550" i="12"/>
  <c r="Z2549" i="12"/>
  <c r="Z2550" i="12"/>
  <c r="Y2551" i="12"/>
  <c r="Z2551" i="12"/>
  <c r="Y2552" i="12"/>
  <c r="Z2552" i="12"/>
  <c r="Y2553" i="12"/>
  <c r="Z2553" i="12"/>
  <c r="Y2554" i="12"/>
  <c r="Z2554" i="12"/>
  <c r="Y2555" i="12"/>
  <c r="Z2555" i="12"/>
  <c r="Y2556" i="12"/>
  <c r="Y2557" i="12"/>
  <c r="Z2556" i="12"/>
  <c r="Y2558" i="12"/>
  <c r="Z2557" i="12"/>
  <c r="Y2559" i="12"/>
  <c r="Z2558" i="12"/>
  <c r="Y2560" i="12"/>
  <c r="Z2559" i="12"/>
  <c r="Y2561" i="12"/>
  <c r="Z2560" i="12"/>
  <c r="Z2561" i="12"/>
  <c r="Y2562" i="12"/>
  <c r="Z2562" i="12"/>
  <c r="Y2563" i="12"/>
  <c r="Z2563" i="12"/>
  <c r="Y2564" i="12"/>
  <c r="Y2565" i="12"/>
  <c r="Z2564" i="12"/>
  <c r="Z2565" i="12"/>
  <c r="Y2566" i="12"/>
  <c r="Z2566" i="12"/>
  <c r="Y2567" i="12"/>
  <c r="Z2567" i="12"/>
  <c r="Y2568" i="12"/>
  <c r="Z2568" i="12"/>
  <c r="Y2569" i="12"/>
  <c r="Y2570" i="12"/>
  <c r="Z2569" i="12"/>
  <c r="Y2571" i="12"/>
  <c r="Z2570" i="12"/>
  <c r="Y2572" i="12"/>
  <c r="Z2571" i="12"/>
  <c r="Z2572" i="12"/>
  <c r="Y2573" i="12"/>
  <c r="Y2574" i="12"/>
  <c r="Z2573" i="12"/>
  <c r="Z2574" i="12"/>
  <c r="Y2575" i="12"/>
  <c r="Y2576" i="12"/>
  <c r="Z2575" i="12"/>
  <c r="Y2577" i="12"/>
  <c r="Z2576" i="12"/>
  <c r="Z2577" i="12"/>
  <c r="Y2578" i="12"/>
  <c r="Z2578" i="12"/>
  <c r="Y2579" i="12"/>
  <c r="Z2579" i="12"/>
  <c r="Y2580" i="12"/>
  <c r="Y2581" i="12"/>
  <c r="Z2580" i="12"/>
  <c r="Z2581" i="12"/>
  <c r="Y2582" i="12"/>
  <c r="Z2582" i="12"/>
  <c r="Y2583" i="12"/>
  <c r="Y2584" i="12"/>
  <c r="Z2583" i="12"/>
  <c r="Y2585" i="12"/>
  <c r="Z2584" i="12"/>
  <c r="Y2586" i="12"/>
  <c r="Z2585" i="12"/>
  <c r="Y2587" i="12"/>
  <c r="Z2586" i="12"/>
  <c r="Z2587" i="12"/>
  <c r="Y2588" i="12"/>
  <c r="Y2589" i="12"/>
  <c r="Z2588" i="12"/>
  <c r="Z2589" i="12"/>
  <c r="Y2590" i="12"/>
  <c r="Z2590" i="12"/>
  <c r="Y2591" i="12"/>
  <c r="Y2592" i="12"/>
  <c r="Z2591" i="12"/>
  <c r="Y2593" i="12"/>
  <c r="Z2592" i="12"/>
  <c r="Z2593" i="12"/>
  <c r="Y2594" i="12"/>
  <c r="Y2595" i="12"/>
  <c r="Z2594" i="12"/>
  <c r="Z2595" i="12"/>
  <c r="Y2596" i="12"/>
  <c r="Z2596" i="12"/>
  <c r="Y2597" i="12"/>
  <c r="Z2597" i="12"/>
  <c r="Y2598" i="12"/>
  <c r="Z2598" i="12"/>
  <c r="Y2599" i="12"/>
  <c r="Y2600" i="12"/>
  <c r="Z2599" i="12"/>
  <c r="Y2601" i="12"/>
  <c r="Z2600" i="12"/>
  <c r="Y2602" i="12"/>
  <c r="Z2601" i="12"/>
  <c r="Y2603" i="12"/>
  <c r="Z2602" i="12"/>
  <c r="Y2604" i="12"/>
  <c r="Z2603" i="12"/>
  <c r="Y2605" i="12"/>
  <c r="Z2604" i="12"/>
  <c r="Z2605" i="12"/>
  <c r="Y2606" i="12"/>
  <c r="Z2606" i="12"/>
  <c r="Y2607" i="12"/>
  <c r="Z2607" i="12"/>
  <c r="Y2608" i="12"/>
  <c r="Z2608" i="12"/>
  <c r="Y2609" i="12"/>
  <c r="Y2610" i="12"/>
  <c r="Z2609" i="12"/>
  <c r="Y2611" i="12"/>
  <c r="Z2610" i="12"/>
  <c r="Y2612" i="12"/>
  <c r="Z2611" i="12"/>
  <c r="Z2612" i="12"/>
  <c r="Y2613" i="12"/>
  <c r="Z2613" i="12"/>
  <c r="Y2614" i="12"/>
  <c r="Z2614" i="12"/>
  <c r="Y2615" i="12"/>
  <c r="Y2616" i="12"/>
  <c r="Z2615" i="12"/>
  <c r="Y2617" i="12"/>
  <c r="Z2616" i="12"/>
  <c r="Z2617" i="12"/>
  <c r="Y2618" i="12"/>
  <c r="Y2619" i="12"/>
  <c r="Z2618" i="12"/>
  <c r="Z2619" i="12"/>
  <c r="Y2620" i="12"/>
  <c r="Y2621" i="12"/>
  <c r="Z2620" i="12"/>
  <c r="Y2622" i="12"/>
  <c r="Z2621" i="12"/>
  <c r="Y2623" i="12"/>
  <c r="Z2622" i="12"/>
  <c r="Y2624" i="12"/>
  <c r="Z2623" i="12"/>
  <c r="Z2624" i="12"/>
  <c r="Y2625" i="12"/>
  <c r="Y2626" i="12"/>
  <c r="Z2625" i="12"/>
  <c r="Z2626" i="12"/>
  <c r="Y2627" i="12"/>
  <c r="Z2627" i="12"/>
  <c r="Y2628" i="12"/>
  <c r="Z2628" i="12"/>
  <c r="Y2629" i="12"/>
  <c r="Y2630" i="12"/>
  <c r="Z2629" i="12"/>
  <c r="Z2630" i="12"/>
  <c r="Y2631" i="12"/>
  <c r="Z2631" i="12"/>
  <c r="Y2632" i="12"/>
  <c r="Y2633" i="12"/>
  <c r="Z2632" i="12"/>
  <c r="Z2633" i="12"/>
  <c r="Y2634" i="12"/>
  <c r="Y2635" i="12"/>
  <c r="Z2634" i="12"/>
  <c r="Y2636" i="12"/>
  <c r="Z2635" i="12"/>
  <c r="Y2637" i="12"/>
  <c r="Z2636" i="12"/>
  <c r="Y2638" i="12"/>
  <c r="Z2637" i="12"/>
  <c r="Y2639" i="12"/>
  <c r="Z2638" i="12"/>
  <c r="Z2639" i="12"/>
  <c r="Y2640" i="12"/>
  <c r="Z2640" i="12"/>
  <c r="Y2641" i="12"/>
  <c r="Z2641" i="12"/>
  <c r="Y2642" i="12"/>
  <c r="Z2642" i="12"/>
  <c r="Y2643" i="12"/>
  <c r="Y2644" i="12"/>
  <c r="Z2643" i="12"/>
  <c r="Z2644" i="12"/>
  <c r="Y2645" i="12"/>
  <c r="Z2645" i="12"/>
  <c r="Y2646" i="12"/>
  <c r="Y2647" i="12"/>
  <c r="Z2646" i="12"/>
  <c r="Y2648" i="12"/>
  <c r="Z2647" i="12"/>
  <c r="Z2648" i="12"/>
  <c r="Y2649" i="12"/>
  <c r="Z2649" i="12"/>
  <c r="Y2650" i="12"/>
  <c r="Y2651" i="12"/>
  <c r="Z2650" i="12"/>
  <c r="Y2652" i="12"/>
  <c r="Z2651" i="12"/>
  <c r="Y2653" i="12"/>
  <c r="Z2652" i="12"/>
  <c r="Y2654" i="12"/>
  <c r="Z2653" i="12"/>
  <c r="Z2654" i="12"/>
  <c r="Y2655" i="12"/>
  <c r="Z2655" i="12"/>
  <c r="Y2656" i="12"/>
  <c r="Z2656" i="12"/>
  <c r="Y2657" i="12"/>
  <c r="Z2657" i="12"/>
  <c r="Y2658" i="12"/>
  <c r="Y2659" i="12"/>
  <c r="Z2658" i="12"/>
  <c r="Y2660" i="12"/>
  <c r="Z2659" i="12"/>
  <c r="Z2660" i="12"/>
  <c r="Y2661" i="12"/>
  <c r="Y2662" i="12"/>
  <c r="Z2661" i="12"/>
  <c r="Y2663" i="12"/>
  <c r="Z2662" i="12"/>
  <c r="Z2663" i="12"/>
  <c r="Y2664" i="12"/>
  <c r="Y2665" i="12"/>
  <c r="Z2664" i="12"/>
  <c r="Y2666" i="12"/>
  <c r="Z2665" i="12"/>
  <c r="Z2666" i="12"/>
  <c r="Y2667" i="12"/>
  <c r="Y2668" i="12"/>
  <c r="Z2667" i="12"/>
  <c r="Y2669" i="12"/>
  <c r="Z2668" i="12"/>
  <c r="Z2669" i="12"/>
  <c r="Y2670" i="12"/>
  <c r="Z2670" i="12"/>
  <c r="Y2671" i="12"/>
  <c r="Z2671" i="12"/>
  <c r="Y2672" i="12"/>
  <c r="Z2672" i="12"/>
  <c r="Y2673" i="12"/>
  <c r="Y2674" i="12"/>
  <c r="Z2673" i="12"/>
  <c r="Z2674" i="12"/>
  <c r="Y2675" i="12"/>
  <c r="Z2675" i="12"/>
  <c r="Y2676" i="12"/>
  <c r="Y2677" i="12"/>
  <c r="Z2676" i="12"/>
  <c r="Y2678" i="12"/>
  <c r="Z2677" i="12"/>
  <c r="Y2679" i="12"/>
  <c r="Z2678" i="12"/>
  <c r="Y2680" i="12"/>
  <c r="Z2679" i="12"/>
  <c r="Z2680" i="12"/>
  <c r="Y2681" i="12"/>
  <c r="Y2682" i="12"/>
  <c r="Z2681" i="12"/>
  <c r="Y2683" i="12"/>
  <c r="Z2682" i="12"/>
  <c r="Z2683" i="12"/>
  <c r="Y2684" i="12"/>
  <c r="Z2684" i="12"/>
  <c r="Y2685" i="12"/>
  <c r="Y2686" i="12"/>
  <c r="Z2685" i="12"/>
  <c r="Z2686" i="12"/>
  <c r="Y2687" i="12"/>
  <c r="Y2688" i="12"/>
  <c r="Z2687" i="12"/>
  <c r="Z2688" i="12"/>
  <c r="Y2689" i="12"/>
  <c r="Y2690" i="12"/>
  <c r="Z2689" i="12"/>
  <c r="Y2691" i="12"/>
  <c r="Z2690" i="12"/>
  <c r="Z2691" i="12"/>
  <c r="Y2692" i="12"/>
  <c r="Z2692" i="12"/>
  <c r="Y2693" i="12"/>
  <c r="Z2693" i="12"/>
  <c r="Y2694" i="12"/>
  <c r="Y2695" i="12"/>
  <c r="Z2694" i="12"/>
  <c r="Y2696" i="12"/>
  <c r="Z2695" i="12"/>
  <c r="Y2697" i="12"/>
  <c r="Z2696" i="12"/>
  <c r="Y2698" i="12"/>
  <c r="Z2697" i="12"/>
  <c r="Z2698" i="12"/>
  <c r="Y2699" i="12"/>
  <c r="Y2700" i="12"/>
  <c r="Z2699" i="12"/>
  <c r="Y2701" i="12"/>
  <c r="Z2700" i="12"/>
  <c r="Y2702" i="12"/>
  <c r="Z2701" i="12"/>
  <c r="Z2702" i="12"/>
  <c r="Y2703" i="12"/>
  <c r="Z2703" i="12"/>
  <c r="Y2704" i="12"/>
  <c r="Z2704" i="12"/>
  <c r="Y2705" i="12"/>
  <c r="Y2706" i="12"/>
  <c r="Z2705" i="12"/>
  <c r="Z2706" i="12"/>
  <c r="Y2707" i="12"/>
  <c r="Z2707" i="12"/>
  <c r="Y2708" i="12"/>
  <c r="Y2709" i="12"/>
  <c r="Z2708" i="12"/>
  <c r="Y2710" i="12"/>
  <c r="Z2709" i="12"/>
  <c r="Y2711" i="12"/>
  <c r="Z2710" i="12"/>
  <c r="Y2712" i="12"/>
  <c r="Z2711" i="12"/>
  <c r="Z2712" i="12"/>
  <c r="Y2713" i="12"/>
  <c r="Z2713" i="12"/>
  <c r="Y2714" i="12"/>
  <c r="Z2714" i="12"/>
  <c r="Y2715" i="12"/>
  <c r="Z2715" i="12"/>
  <c r="Y2716" i="12"/>
  <c r="Y2717" i="12"/>
  <c r="Z2716" i="12"/>
  <c r="Z2717" i="12"/>
  <c r="Y2718" i="12"/>
  <c r="Z2718" i="12"/>
  <c r="Y2719" i="12"/>
  <c r="Y2720" i="12"/>
  <c r="Z2719" i="12"/>
  <c r="Y2721" i="12"/>
  <c r="Z2720" i="12"/>
  <c r="Z2721" i="12"/>
  <c r="Y2722" i="12"/>
  <c r="Z2722" i="12"/>
  <c r="Y2723" i="12"/>
  <c r="Y2724" i="12"/>
  <c r="Z2723" i="12"/>
  <c r="Z2724" i="12"/>
  <c r="Y2725" i="12"/>
  <c r="Z2725" i="12"/>
  <c r="Y2726" i="12"/>
  <c r="Y2727" i="12"/>
  <c r="Z2726" i="12"/>
  <c r="Y2728" i="12"/>
  <c r="Z2727" i="12"/>
  <c r="Y2729" i="12"/>
  <c r="Z2728" i="12"/>
  <c r="Z2729" i="12"/>
  <c r="Y2730" i="12"/>
  <c r="Z2730" i="12"/>
  <c r="Y2731" i="12"/>
  <c r="Z2731" i="12"/>
  <c r="Y2732" i="12"/>
  <c r="Y2733" i="12"/>
  <c r="Z2732" i="12"/>
  <c r="Z2733" i="12"/>
  <c r="Y2734" i="12"/>
  <c r="Y2735" i="12"/>
  <c r="Z2734" i="12"/>
  <c r="Y2736" i="12"/>
  <c r="Z2735" i="12"/>
  <c r="Z2736" i="12"/>
  <c r="Y2737" i="12"/>
  <c r="Z2737" i="12"/>
  <c r="Y2738" i="12"/>
  <c r="Y2739" i="12"/>
  <c r="Z2738" i="12"/>
  <c r="Z2739" i="12"/>
  <c r="Y2740" i="12"/>
  <c r="Z2740" i="12"/>
  <c r="Y2741" i="12"/>
  <c r="Y2742" i="12"/>
  <c r="Z2741" i="12"/>
  <c r="Y2743" i="12"/>
  <c r="Z2742" i="12"/>
  <c r="Y2744" i="12"/>
  <c r="Z2743" i="12"/>
  <c r="Z2744" i="12"/>
  <c r="Y2745" i="12"/>
  <c r="Z2745" i="12"/>
  <c r="Y2746" i="12"/>
  <c r="Z2746" i="12"/>
  <c r="Y2747" i="12"/>
  <c r="Z2747" i="12"/>
  <c r="Y2748" i="12"/>
  <c r="Y2749" i="12"/>
  <c r="Z2748" i="12"/>
  <c r="Y2750" i="12"/>
  <c r="Z2749" i="12"/>
  <c r="Z2750" i="12"/>
  <c r="Y2751" i="12"/>
  <c r="Z2751" i="12"/>
  <c r="Y2752" i="12"/>
  <c r="Y2753" i="12"/>
  <c r="Z2752" i="12"/>
  <c r="Y2754" i="12"/>
  <c r="Z2753" i="12"/>
  <c r="Z2754" i="12"/>
  <c r="Y2755" i="12"/>
  <c r="Y2756" i="12"/>
  <c r="Z2755" i="12"/>
  <c r="Y2757" i="12"/>
  <c r="Z2756" i="12"/>
  <c r="Y2758" i="12"/>
  <c r="Z2757" i="12"/>
  <c r="Z2758" i="12"/>
  <c r="Y2759" i="12"/>
  <c r="Y2760" i="12"/>
  <c r="Z2759" i="12"/>
  <c r="Z2760" i="12"/>
  <c r="Y2761" i="12"/>
  <c r="Y2762" i="12"/>
  <c r="Z2761" i="12"/>
  <c r="Z2762" i="12"/>
  <c r="Y2763" i="12"/>
  <c r="Z2763" i="12"/>
  <c r="Y2764" i="12"/>
  <c r="Y2765" i="12"/>
  <c r="Z2764" i="12"/>
  <c r="Z2765" i="12"/>
  <c r="Y2766" i="12"/>
  <c r="Z2766" i="12"/>
  <c r="Y2767" i="12"/>
  <c r="Y2768" i="12"/>
  <c r="Z2767" i="12"/>
  <c r="Y2769" i="12"/>
  <c r="Z2768" i="12"/>
  <c r="Z2769" i="12"/>
  <c r="Y2770" i="12"/>
  <c r="Y2771" i="12"/>
  <c r="Z2770" i="12"/>
  <c r="Z2771" i="12"/>
  <c r="Y2772" i="12"/>
  <c r="Y2773" i="12"/>
  <c r="Z2772" i="12"/>
  <c r="Y2774" i="12"/>
  <c r="Z2773" i="12"/>
  <c r="Y2775" i="12"/>
  <c r="Z2774" i="12"/>
  <c r="Y2776" i="12"/>
  <c r="Z2775" i="12"/>
  <c r="Z2776" i="12"/>
  <c r="Y2777" i="12"/>
  <c r="Z2777" i="12"/>
  <c r="Y2778" i="12"/>
  <c r="Z2778" i="12"/>
  <c r="Y2779" i="12"/>
  <c r="Y2780" i="12"/>
  <c r="Z2779" i="12"/>
  <c r="Y2781" i="12"/>
  <c r="Z2780" i="12"/>
  <c r="Y2782" i="12"/>
  <c r="Z2781" i="12"/>
  <c r="Z2782" i="12"/>
  <c r="Y2783" i="12"/>
  <c r="Y2784" i="12"/>
  <c r="Z2783" i="12"/>
  <c r="Y2785" i="12"/>
  <c r="Z2784" i="12"/>
  <c r="Z2785" i="12"/>
  <c r="Y2786" i="12"/>
  <c r="Y2787" i="12"/>
  <c r="Z2786" i="12"/>
  <c r="Z2787" i="12"/>
  <c r="Y2788" i="12"/>
  <c r="Z2788" i="12"/>
  <c r="Y2789" i="12"/>
  <c r="Y2790" i="12"/>
  <c r="Z2789" i="12"/>
  <c r="Z2790" i="12"/>
  <c r="Y2791" i="12"/>
  <c r="Y2792" i="12"/>
  <c r="Z2791" i="12"/>
  <c r="Z2792" i="12"/>
  <c r="Y2793" i="12"/>
  <c r="Y2794" i="12"/>
  <c r="Z2793" i="12"/>
  <c r="Y2795" i="12"/>
  <c r="Z2794" i="12"/>
  <c r="Y2796" i="12"/>
  <c r="Z2795" i="12"/>
  <c r="Y2797" i="12"/>
  <c r="Z2796" i="12"/>
  <c r="Y2798" i="12"/>
  <c r="Z2797" i="12"/>
  <c r="Z2798" i="12"/>
  <c r="Y2799" i="12"/>
  <c r="Z2799" i="12"/>
  <c r="Y2800" i="12"/>
  <c r="Y2801" i="12"/>
  <c r="Z2800" i="12"/>
  <c r="Z2801" i="12"/>
  <c r="Y2802" i="12"/>
  <c r="Z2802" i="12"/>
  <c r="Y2803" i="12"/>
  <c r="Y2804" i="12"/>
  <c r="Z2803" i="12"/>
  <c r="Z2804" i="12"/>
  <c r="Y2805" i="12"/>
  <c r="Y2806" i="12"/>
  <c r="Z2805" i="12"/>
  <c r="Z2806" i="12"/>
  <c r="Y2807" i="12"/>
  <c r="Z2807" i="12"/>
  <c r="Y2808" i="12"/>
  <c r="Y2809" i="12"/>
  <c r="Z2808" i="12"/>
  <c r="Y2810" i="12"/>
  <c r="Z2809" i="12"/>
  <c r="Z2810" i="12"/>
  <c r="Y2811" i="12"/>
  <c r="Y2812" i="12"/>
  <c r="Z2811" i="12"/>
  <c r="Z2812" i="12"/>
  <c r="Y2813" i="12"/>
  <c r="Z2813" i="12"/>
  <c r="Y2814" i="12"/>
  <c r="Z2814" i="12"/>
  <c r="Y2815" i="12"/>
  <c r="Y2816" i="12"/>
  <c r="Z2815" i="12"/>
  <c r="Y2817" i="12"/>
  <c r="Z2816" i="12"/>
  <c r="Y2818" i="12"/>
  <c r="Z2817" i="12"/>
  <c r="Z2818" i="12"/>
  <c r="Y2819" i="12"/>
  <c r="Z2819" i="12"/>
  <c r="Y2820" i="12"/>
  <c r="Z2820" i="12"/>
  <c r="Y2821" i="12"/>
  <c r="Y2822" i="12"/>
  <c r="Z2821" i="12"/>
  <c r="Z2822" i="12"/>
  <c r="Y2823" i="12"/>
  <c r="Z2823" i="12"/>
  <c r="Y2824" i="12"/>
  <c r="Z2824" i="12"/>
  <c r="Y2825" i="12"/>
  <c r="Z2825" i="12"/>
  <c r="Y2826" i="12"/>
  <c r="Z2826" i="12"/>
  <c r="Y2827" i="12"/>
  <c r="Y2828" i="12"/>
  <c r="Z2827" i="12"/>
  <c r="Y2829" i="12"/>
  <c r="Z2828" i="12"/>
  <c r="Y2830" i="12"/>
  <c r="Z2829" i="12"/>
  <c r="Y2831" i="12"/>
  <c r="Z2830" i="12"/>
  <c r="Z2831" i="12"/>
  <c r="Y2832" i="12"/>
  <c r="Y2833" i="12"/>
  <c r="Z2832" i="12"/>
  <c r="Y2834" i="12"/>
  <c r="Z2833" i="12"/>
  <c r="Y2835" i="12"/>
  <c r="Z2834" i="12"/>
  <c r="Z2835" i="12"/>
  <c r="Y2836" i="12"/>
  <c r="Y2837" i="12"/>
  <c r="Z2836" i="12"/>
  <c r="Z2837" i="12"/>
  <c r="Y2838" i="12"/>
  <c r="Z2838" i="12"/>
  <c r="Y2839" i="12"/>
  <c r="Z2839" i="12"/>
  <c r="Y2840" i="12"/>
  <c r="Y2841" i="12"/>
  <c r="Z2840" i="12"/>
  <c r="Y2842" i="12"/>
  <c r="Z2841" i="12"/>
  <c r="Y2843" i="12"/>
  <c r="Z2842" i="12"/>
  <c r="Z2843" i="12"/>
  <c r="Y2844" i="12"/>
  <c r="Y2845" i="12"/>
  <c r="Z2844" i="12"/>
  <c r="Z2845" i="12"/>
  <c r="Y2846" i="12"/>
  <c r="Y2847" i="12"/>
  <c r="Z2846" i="12"/>
  <c r="Z2847" i="12"/>
  <c r="Y2848" i="12"/>
  <c r="Y2849" i="12"/>
  <c r="Z2848" i="12"/>
  <c r="Z2849" i="12"/>
  <c r="Y2850" i="12"/>
  <c r="Z2850" i="12"/>
  <c r="Y2851" i="12"/>
  <c r="Y2852" i="12"/>
  <c r="Z2851" i="12"/>
  <c r="Z2852" i="12"/>
  <c r="Y2853" i="12"/>
  <c r="Z2853" i="12"/>
  <c r="Y2854" i="12"/>
  <c r="Z2854" i="12"/>
  <c r="Y2855" i="12"/>
  <c r="Z2855" i="12"/>
  <c r="Y2856" i="12"/>
  <c r="Z2856" i="12"/>
  <c r="Y2857" i="12"/>
  <c r="Z2857" i="12"/>
  <c r="Y2858" i="12"/>
  <c r="Z2858" i="12"/>
  <c r="Y2859" i="12"/>
  <c r="Y2860" i="12"/>
  <c r="Z2859" i="12"/>
  <c r="Y2861" i="12"/>
  <c r="Z2860" i="12"/>
  <c r="Y2862" i="12"/>
  <c r="Z2861" i="12"/>
  <c r="Y2863" i="12"/>
  <c r="Z2862" i="12"/>
  <c r="Y2864" i="12"/>
  <c r="Z2863" i="12"/>
  <c r="Y2865" i="12"/>
  <c r="Z2864" i="12"/>
  <c r="Z2865" i="12"/>
  <c r="Y2866" i="12"/>
  <c r="Y2867" i="12"/>
  <c r="Z2866" i="12"/>
  <c r="Z2867" i="12"/>
  <c r="Y2868" i="12"/>
  <c r="Y2869" i="12"/>
  <c r="Z2868" i="12"/>
  <c r="Z2869" i="12"/>
  <c r="Y2870" i="12"/>
  <c r="Z2870" i="12"/>
  <c r="Y2871" i="12"/>
  <c r="Z2871" i="12"/>
  <c r="Y2872" i="12"/>
  <c r="Z2872" i="12"/>
  <c r="Y2873" i="12"/>
  <c r="Y2874" i="12"/>
  <c r="Z2873" i="12"/>
  <c r="Y2875" i="12"/>
  <c r="Z2874" i="12"/>
  <c r="Z2875" i="12"/>
  <c r="Y2876" i="12"/>
  <c r="Y2877" i="12"/>
  <c r="Z2876" i="12"/>
  <c r="Y2878" i="12"/>
  <c r="Z2877" i="12"/>
  <c r="Z2878" i="12"/>
  <c r="Y2879" i="12"/>
  <c r="Z2879" i="12"/>
  <c r="Y2880" i="12"/>
  <c r="Z2880" i="12"/>
  <c r="Y2881" i="12"/>
  <c r="Y2882" i="12"/>
  <c r="Z2881" i="12"/>
  <c r="Y2883" i="12"/>
  <c r="Z2882" i="12"/>
  <c r="Z2883" i="12"/>
  <c r="Y2884" i="12"/>
  <c r="Z2884" i="12"/>
  <c r="Y2885" i="12"/>
  <c r="Y2886" i="12"/>
  <c r="Z2885" i="12"/>
  <c r="Y2887" i="12"/>
  <c r="Z2886" i="12"/>
  <c r="Z2887" i="12"/>
  <c r="Y2888" i="12"/>
  <c r="Z2888" i="12"/>
  <c r="Y2889" i="12"/>
  <c r="Z2889" i="12"/>
  <c r="Y2890" i="12"/>
  <c r="Y2891" i="12"/>
  <c r="Z2890" i="12"/>
  <c r="Y2892" i="12"/>
  <c r="Z2891" i="12"/>
  <c r="Z2892" i="12"/>
  <c r="Y2893" i="12"/>
  <c r="Z2893" i="12"/>
  <c r="Y2894" i="12"/>
  <c r="Y2895" i="12"/>
  <c r="Z2894" i="12"/>
  <c r="Z2895" i="12"/>
  <c r="Y2896" i="12"/>
  <c r="Z2896" i="12"/>
  <c r="Y2897" i="12"/>
  <c r="Z2897" i="12"/>
  <c r="Y2898" i="12"/>
  <c r="Y2899" i="12"/>
  <c r="Z2898" i="12"/>
  <c r="Z2899" i="12"/>
  <c r="Y2900" i="12"/>
  <c r="Z2900" i="12"/>
  <c r="Y2901" i="12"/>
  <c r="Z2901" i="12"/>
  <c r="Y2902" i="12"/>
  <c r="Y2903" i="12"/>
  <c r="Z2902" i="12"/>
  <c r="Y2904" i="12"/>
  <c r="Z2903" i="12"/>
  <c r="Y2905" i="12"/>
  <c r="Z2904" i="12"/>
  <c r="Z2905" i="12"/>
  <c r="Y2906" i="12"/>
  <c r="Z2906" i="12"/>
  <c r="Y2907" i="12"/>
  <c r="Z2907" i="12"/>
  <c r="Y2908" i="12"/>
  <c r="Z2908" i="12"/>
  <c r="Y2909" i="12"/>
  <c r="Y2910" i="12"/>
  <c r="Z2909" i="12"/>
  <c r="Y2911" i="12"/>
  <c r="Z2910" i="12"/>
  <c r="Z2911" i="12"/>
  <c r="Y2912" i="12"/>
  <c r="Z2912" i="12"/>
  <c r="Y2913" i="12"/>
  <c r="Y2914" i="12"/>
  <c r="Z2913" i="12"/>
  <c r="Y2915" i="12"/>
  <c r="Z2914" i="12"/>
  <c r="Y2916" i="12"/>
  <c r="Z2915" i="12"/>
  <c r="Y2917" i="12"/>
  <c r="Z2916" i="12"/>
  <c r="Y2918" i="12"/>
  <c r="Z2917" i="12"/>
  <c r="Y2919" i="12"/>
  <c r="Z2918" i="12"/>
  <c r="Z2919" i="12"/>
  <c r="Y2920" i="12"/>
  <c r="Z2920" i="12"/>
  <c r="Y2921" i="12"/>
  <c r="Z2921" i="12"/>
  <c r="Y2922" i="12"/>
  <c r="Z2922" i="12"/>
  <c r="Y2923" i="12"/>
  <c r="Y2924" i="12"/>
  <c r="Z2923" i="12"/>
  <c r="Z2924" i="12"/>
  <c r="Y2925" i="12"/>
  <c r="Z2925" i="12"/>
  <c r="Y2926" i="12"/>
  <c r="Y2927" i="12"/>
  <c r="Z2926" i="12"/>
  <c r="Y2928" i="12"/>
  <c r="Z2927" i="12"/>
  <c r="Y2929" i="12"/>
  <c r="Z2928" i="12"/>
  <c r="Z2929" i="12"/>
  <c r="Y2930" i="12"/>
  <c r="Y2931" i="12"/>
  <c r="Z2930" i="12"/>
  <c r="Z2931" i="12"/>
  <c r="Y2932" i="12"/>
  <c r="Z2932" i="12"/>
  <c r="Y2933" i="12"/>
  <c r="Y2934" i="12"/>
  <c r="Z2933" i="12"/>
  <c r="Y2935" i="12"/>
  <c r="Z2934" i="12"/>
  <c r="Z2935" i="12"/>
  <c r="Y2936" i="12"/>
  <c r="Z2936" i="12"/>
  <c r="Y2937" i="12"/>
  <c r="Y2938" i="12"/>
  <c r="Z2937" i="12"/>
  <c r="Y2939" i="12"/>
  <c r="Z2938" i="12"/>
  <c r="Y2940" i="12"/>
  <c r="Z2939" i="12"/>
  <c r="Y2941" i="12"/>
  <c r="Z2940" i="12"/>
  <c r="Z2941" i="12"/>
  <c r="Y2942" i="12"/>
  <c r="Y2943" i="12"/>
  <c r="Z2942" i="12"/>
  <c r="Y2944" i="12"/>
  <c r="Z2943" i="12"/>
  <c r="Y2945" i="12"/>
  <c r="Z2944" i="12"/>
  <c r="Y2946" i="12"/>
  <c r="Z2945" i="12"/>
  <c r="Z2946" i="12"/>
  <c r="Y2947" i="12"/>
  <c r="Y2948" i="12"/>
  <c r="Z2947" i="12"/>
  <c r="Z2948" i="12"/>
  <c r="Y2949" i="12"/>
  <c r="Y2950" i="12"/>
  <c r="Z2949" i="12"/>
  <c r="Y2951" i="12"/>
  <c r="Z2950" i="12"/>
  <c r="Z2951" i="12"/>
  <c r="Y2952" i="12"/>
  <c r="Z2952" i="12"/>
  <c r="Y2953" i="12"/>
  <c r="Y2954" i="12"/>
  <c r="Z2953" i="12"/>
  <c r="Z2954" i="12"/>
  <c r="Y2955" i="12"/>
  <c r="Y2956" i="12"/>
  <c r="Z2955" i="12"/>
  <c r="Y2957" i="12"/>
  <c r="Z2956" i="12"/>
  <c r="Z2957" i="12"/>
  <c r="Y2958" i="12"/>
  <c r="Y2959" i="12"/>
  <c r="Z2958" i="12"/>
  <c r="Y2960" i="12"/>
  <c r="Z2959" i="12"/>
  <c r="Z2960" i="12"/>
  <c r="Y2961" i="12"/>
  <c r="Y2962" i="12"/>
  <c r="Z2961" i="12"/>
  <c r="Z2962" i="12"/>
  <c r="Y2963" i="12"/>
  <c r="Z2963" i="12"/>
  <c r="Y2964" i="12"/>
  <c r="Y2965" i="12"/>
  <c r="Z2964" i="12"/>
  <c r="Y2966" i="12"/>
  <c r="Z2965" i="12"/>
  <c r="Y2967" i="12"/>
  <c r="Z2966" i="12"/>
  <c r="Z2967" i="12"/>
  <c r="Y2968" i="12"/>
  <c r="Y2969" i="12"/>
  <c r="Z2968" i="12"/>
  <c r="Y2970" i="12"/>
  <c r="Z2969" i="12"/>
  <c r="Y2971" i="12"/>
  <c r="Z2970" i="12"/>
  <c r="Y2972" i="12"/>
  <c r="Z2971" i="12"/>
  <c r="Y2973" i="12"/>
  <c r="Z2972" i="12"/>
  <c r="Z2973" i="12"/>
  <c r="Y2974" i="12"/>
  <c r="Y2975" i="12"/>
  <c r="Z2974" i="12"/>
  <c r="Y2976" i="12"/>
  <c r="Z2975" i="12"/>
  <c r="Y2977" i="12"/>
  <c r="Z2976" i="12"/>
  <c r="Z2977" i="12"/>
  <c r="Y2978" i="12"/>
  <c r="Y2979" i="12"/>
  <c r="Z2978" i="12"/>
  <c r="Y2980" i="12"/>
  <c r="Z2979" i="12"/>
  <c r="Y2981" i="12"/>
  <c r="Z2980" i="12"/>
  <c r="Z2981" i="12"/>
  <c r="Y2982" i="12"/>
  <c r="Z2982" i="12"/>
  <c r="Y2983" i="12"/>
  <c r="Z2983" i="12"/>
  <c r="Y2984" i="12"/>
  <c r="Z2984" i="12"/>
  <c r="Y2985" i="12"/>
  <c r="Y2986" i="12"/>
  <c r="Z2985" i="12"/>
  <c r="Z2986" i="12"/>
  <c r="Y2987" i="12"/>
  <c r="Z2987" i="12"/>
  <c r="Y2988" i="12"/>
  <c r="Z2988" i="12"/>
  <c r="Y2989" i="12"/>
  <c r="Z2989" i="12"/>
  <c r="Y2990" i="12"/>
  <c r="Y2991" i="12"/>
  <c r="Z2990" i="12"/>
  <c r="Z2991" i="12"/>
  <c r="Y2992" i="12"/>
  <c r="Z2992" i="12"/>
  <c r="Y2993" i="12"/>
  <c r="Y2994" i="12"/>
  <c r="Z2993" i="12"/>
  <c r="Z2994" i="12"/>
  <c r="Y2995" i="12"/>
  <c r="Y2996" i="12"/>
  <c r="Z2995" i="12"/>
  <c r="Z2996" i="12"/>
  <c r="Y2997" i="12"/>
  <c r="Z2997" i="12"/>
  <c r="Y2998" i="12"/>
  <c r="Z2998" i="12"/>
  <c r="Y2999" i="12"/>
  <c r="Z2999" i="12"/>
  <c r="Y3000" i="12"/>
  <c r="Z3000" i="12"/>
  <c r="Y3001" i="12"/>
  <c r="Z3001" i="12"/>
  <c r="Y3002" i="12"/>
  <c r="Y3003" i="12"/>
  <c r="Z3002" i="12"/>
  <c r="Z3003" i="12"/>
  <c r="Y3004" i="12"/>
  <c r="Z3004" i="12"/>
  <c r="Y3005" i="12"/>
  <c r="Z3005" i="12"/>
  <c r="Y3006" i="12"/>
  <c r="Y3007" i="12"/>
  <c r="Z3006" i="12"/>
  <c r="Z3007" i="12"/>
  <c r="Y3008" i="12"/>
  <c r="Y3009" i="12"/>
  <c r="Z3008" i="12"/>
  <c r="Z3009" i="12"/>
  <c r="Y3010" i="12"/>
  <c r="Z3010" i="12"/>
  <c r="Y3011" i="12"/>
  <c r="Y3012" i="12"/>
  <c r="Z3011" i="12"/>
  <c r="Z3012" i="12"/>
  <c r="Y3013" i="12"/>
  <c r="Y3014" i="12"/>
  <c r="Z3013" i="12"/>
  <c r="Z3014" i="12"/>
  <c r="Y3015" i="12"/>
  <c r="Z3015" i="12"/>
  <c r="Y3016" i="12"/>
  <c r="Y3017" i="12"/>
  <c r="Z3016" i="12"/>
  <c r="Y3018" i="12"/>
  <c r="Z3017" i="12"/>
  <c r="Z3018" i="12"/>
  <c r="Y3019" i="12"/>
  <c r="Y3020" i="12"/>
  <c r="Z3019" i="12"/>
  <c r="Z3020" i="12"/>
  <c r="Y3021" i="12"/>
  <c r="Z3021" i="12"/>
  <c r="Y3022" i="12"/>
  <c r="Y3023" i="12"/>
  <c r="Z3022" i="12"/>
  <c r="Z3023" i="12"/>
  <c r="Y3024" i="12"/>
  <c r="Z3024" i="12"/>
  <c r="Y3025" i="12"/>
  <c r="Y3026" i="12"/>
  <c r="Z3025" i="12"/>
  <c r="Y3027" i="12"/>
  <c r="Z3026" i="12"/>
  <c r="Z3027" i="12"/>
  <c r="Y3028" i="12"/>
  <c r="Z3028" i="12"/>
  <c r="Y3029" i="12"/>
  <c r="Y3030" i="12"/>
  <c r="Z3029" i="12"/>
  <c r="Z3030" i="12"/>
  <c r="Y3031" i="12"/>
  <c r="Y3032" i="12"/>
  <c r="Z3031" i="12"/>
  <c r="Y3033" i="12"/>
  <c r="Z3032" i="12"/>
  <c r="Y3034" i="12"/>
  <c r="Z3033" i="12"/>
  <c r="Z3034" i="12"/>
  <c r="Y3035" i="12"/>
  <c r="Z3035" i="12"/>
  <c r="Y3036" i="12"/>
  <c r="Y3037" i="12"/>
  <c r="Z3036" i="12"/>
  <c r="Z3037" i="12"/>
  <c r="Y3038" i="12"/>
  <c r="Y3039" i="12"/>
  <c r="Z3038" i="12"/>
  <c r="Y3040" i="12"/>
  <c r="Z3039" i="12"/>
  <c r="Z3040" i="12"/>
  <c r="Y3041" i="12"/>
  <c r="Y3042" i="12"/>
  <c r="Z3041" i="12"/>
  <c r="Y3043" i="12"/>
  <c r="Z3042" i="12"/>
  <c r="Z3043" i="12"/>
  <c r="Y3044" i="12"/>
  <c r="Z3044" i="12"/>
  <c r="Y3045" i="12"/>
  <c r="Z3045" i="12"/>
  <c r="Y3046" i="12"/>
  <c r="Y3047" i="12"/>
  <c r="Z3046" i="12"/>
  <c r="Z3047" i="12"/>
  <c r="Y3048" i="12"/>
  <c r="Z3048" i="12"/>
  <c r="Y3049" i="12"/>
  <c r="Z3049" i="12"/>
  <c r="Y3050" i="12"/>
  <c r="Y3051" i="12"/>
  <c r="Z3050" i="12"/>
  <c r="Z3051" i="12"/>
  <c r="Y3052" i="12"/>
  <c r="Z3052" i="12"/>
  <c r="Y3053" i="12"/>
  <c r="Y3054" i="12"/>
  <c r="Z3053" i="12"/>
  <c r="Z3054" i="12"/>
  <c r="Y3055" i="12"/>
  <c r="Y3056" i="12"/>
  <c r="Z3055" i="12"/>
  <c r="Z3056" i="12"/>
  <c r="Y3057" i="12"/>
  <c r="Z3057" i="12"/>
  <c r="Y3058" i="12"/>
  <c r="Y3059" i="12"/>
  <c r="Z3058" i="12"/>
  <c r="Z3059" i="12"/>
  <c r="Y3060" i="12"/>
  <c r="Y3061" i="12"/>
  <c r="Z3060" i="12"/>
  <c r="Z3061" i="12"/>
  <c r="Y3062" i="12"/>
  <c r="Z3062" i="12"/>
  <c r="Y3063" i="12"/>
  <c r="Z3063" i="12"/>
  <c r="Y3064" i="12"/>
  <c r="Z3064" i="12"/>
  <c r="Y3065" i="12"/>
  <c r="Y3066" i="12"/>
  <c r="Z3065" i="12"/>
  <c r="Y3067" i="12"/>
  <c r="Z3066" i="12"/>
  <c r="Z3067" i="12"/>
  <c r="Y3068" i="12"/>
  <c r="Y3069" i="12"/>
  <c r="Z3068" i="12"/>
  <c r="Z3069" i="12"/>
  <c r="Y3070" i="12"/>
  <c r="Z3070" i="12"/>
  <c r="Y3071" i="12"/>
  <c r="Z3071" i="12"/>
  <c r="Y3072" i="12"/>
  <c r="Z3072" i="12"/>
  <c r="Y3073" i="12"/>
  <c r="Z3073" i="12"/>
  <c r="Y3074" i="12"/>
  <c r="Z3074" i="12"/>
  <c r="Y3075" i="12"/>
  <c r="Z3075" i="12"/>
  <c r="Y3076" i="12"/>
  <c r="Y3077" i="12"/>
  <c r="Z3076" i="12"/>
  <c r="Z3077" i="12"/>
  <c r="Y3078" i="12"/>
  <c r="Z3078" i="12"/>
  <c r="Y3079" i="12"/>
  <c r="Y3080" i="12"/>
  <c r="Z3079" i="12"/>
  <c r="Y3081" i="12"/>
  <c r="Z3080" i="12"/>
  <c r="Y3082" i="12"/>
  <c r="Z3081" i="12"/>
  <c r="Y3083" i="12"/>
  <c r="Z3082" i="12"/>
  <c r="Y3084" i="12"/>
  <c r="Z3083" i="12"/>
  <c r="Y3085" i="12"/>
  <c r="Z3084" i="12"/>
  <c r="Y3086" i="12"/>
  <c r="Z3085" i="12"/>
  <c r="Y3087" i="12"/>
  <c r="Z3086" i="12"/>
  <c r="Y3088" i="12"/>
  <c r="Z3087" i="12"/>
  <c r="Y3089" i="12"/>
  <c r="Z3088" i="12"/>
  <c r="Z3089" i="12"/>
  <c r="Y3090" i="12"/>
  <c r="Z3090" i="12"/>
  <c r="Y3091" i="12"/>
  <c r="Z3091" i="12"/>
  <c r="Y3092" i="12"/>
  <c r="Y3093" i="12"/>
  <c r="Z3092" i="12"/>
  <c r="Y3094" i="12"/>
  <c r="Z3093" i="12"/>
  <c r="Z3094" i="12"/>
  <c r="Y3095" i="12"/>
  <c r="Y3096" i="12"/>
  <c r="Z3095" i="12"/>
  <c r="Y3097" i="12"/>
  <c r="Z3096" i="12"/>
  <c r="Z3097" i="12"/>
  <c r="Y3098" i="12"/>
  <c r="Y3099" i="12"/>
  <c r="Z3098" i="12"/>
  <c r="Y3100" i="12"/>
  <c r="Z3099" i="12"/>
  <c r="Z3100" i="12"/>
  <c r="Y3101" i="12"/>
  <c r="Z3101" i="12"/>
  <c r="Y3102" i="12"/>
  <c r="Z3102" i="12"/>
  <c r="Y3103" i="12"/>
  <c r="Y3104" i="12"/>
  <c r="Z3103" i="12"/>
  <c r="Y3105" i="12"/>
  <c r="Z3104" i="12"/>
  <c r="Z3105" i="12"/>
  <c r="Y3106" i="12"/>
  <c r="Z3106" i="12"/>
  <c r="Y3107" i="12"/>
  <c r="Z3107" i="12"/>
  <c r="Y3108" i="12"/>
  <c r="Z3108" i="12"/>
  <c r="Y3109" i="12"/>
  <c r="Y3110" i="12"/>
  <c r="Z3109" i="12"/>
  <c r="Z3110" i="12"/>
  <c r="Y3111" i="12"/>
  <c r="Y3112" i="12"/>
  <c r="Z3111" i="12"/>
  <c r="Z3112" i="12"/>
  <c r="Y3113" i="12"/>
  <c r="Z3113" i="12"/>
  <c r="Y3114" i="12"/>
  <c r="Z3114" i="12"/>
  <c r="Y3115" i="12"/>
  <c r="Z3115" i="12"/>
  <c r="Y3116" i="12"/>
  <c r="Y3117" i="12"/>
  <c r="Z3116" i="12"/>
  <c r="Z3117" i="12"/>
  <c r="Y3118" i="12"/>
  <c r="Y3119" i="12"/>
  <c r="Z3118" i="12"/>
  <c r="Z3119" i="12"/>
  <c r="Y3120" i="12"/>
  <c r="Z3120" i="12"/>
  <c r="Y3121" i="12"/>
  <c r="Z3121" i="12"/>
  <c r="Y3122" i="12"/>
  <c r="Y3123" i="12"/>
  <c r="Z3122" i="12"/>
  <c r="Z3123" i="12"/>
  <c r="Y3124" i="12"/>
  <c r="Y3125" i="12"/>
  <c r="Z3124" i="12"/>
  <c r="Y3126" i="12"/>
  <c r="Z3125" i="12"/>
  <c r="Y3127" i="12"/>
  <c r="Z3126" i="12"/>
  <c r="Z3127" i="12"/>
  <c r="Y3128" i="12"/>
  <c r="Y3129" i="12"/>
  <c r="Z3128" i="12"/>
  <c r="Z3129" i="12"/>
  <c r="Y3130" i="12"/>
  <c r="Z3130" i="12"/>
  <c r="Y3131" i="12"/>
  <c r="Y3132" i="12"/>
  <c r="Z3131" i="12"/>
  <c r="Z3132" i="12"/>
  <c r="Y3133" i="12"/>
  <c r="Z3133" i="12"/>
  <c r="Y3134" i="12"/>
  <c r="Z3134" i="12"/>
  <c r="Y3135" i="12"/>
  <c r="Z3135" i="12"/>
  <c r="Y3136" i="12"/>
  <c r="Z3136" i="12"/>
  <c r="Y3137" i="12"/>
  <c r="Z3137" i="12"/>
  <c r="Y3138" i="12"/>
  <c r="Z3138" i="12"/>
  <c r="Y3139" i="12"/>
  <c r="Z3139" i="12"/>
  <c r="Y3140" i="12"/>
  <c r="Y3141" i="12"/>
  <c r="Z3140" i="12"/>
  <c r="Y3142" i="12"/>
  <c r="Z3141" i="12"/>
  <c r="Y3143" i="12"/>
  <c r="Z3142" i="12"/>
  <c r="Y3144" i="12"/>
  <c r="Z3143" i="12"/>
  <c r="Z3144" i="12"/>
  <c r="Y3145" i="12"/>
  <c r="Z3145" i="12"/>
  <c r="Y3146" i="12"/>
  <c r="Y3147" i="12"/>
  <c r="Z3146" i="12"/>
  <c r="Z3147" i="12"/>
  <c r="Y3148" i="12"/>
  <c r="Z3148" i="12"/>
  <c r="Y3149" i="12"/>
  <c r="Z3149" i="12"/>
  <c r="Y3150" i="12"/>
  <c r="Z3150" i="12"/>
  <c r="Y3151" i="12"/>
  <c r="Z3151" i="12"/>
  <c r="Y3152" i="12"/>
  <c r="Z3152" i="12"/>
  <c r="Y3153" i="12"/>
  <c r="Z3153" i="12"/>
  <c r="Y3154" i="12"/>
  <c r="Y3155" i="12"/>
  <c r="Z3154" i="12"/>
  <c r="Z3155" i="12"/>
  <c r="Y3156" i="12"/>
  <c r="Z3156" i="12"/>
  <c r="Y3157" i="12"/>
  <c r="Z3157" i="12"/>
  <c r="Y3158" i="12"/>
  <c r="Z3158" i="12"/>
  <c r="Y3159" i="12"/>
  <c r="Y3160" i="12"/>
  <c r="Z3159" i="12"/>
  <c r="Z3160" i="12"/>
  <c r="Y3161" i="12"/>
  <c r="Z3161" i="12"/>
  <c r="Y3162" i="12"/>
  <c r="Z3162" i="12"/>
  <c r="Y3163" i="12"/>
  <c r="Y3164" i="12"/>
  <c r="Z3163" i="12"/>
  <c r="Y3165" i="12"/>
  <c r="Z3164" i="12"/>
  <c r="Y3166" i="12"/>
  <c r="Z3165" i="12"/>
  <c r="Y3167" i="12"/>
  <c r="Z3166" i="12"/>
  <c r="Y3168" i="12"/>
  <c r="Z3167" i="12"/>
  <c r="Z3168" i="12"/>
  <c r="Y3169" i="12"/>
  <c r="Z3169" i="12"/>
  <c r="Y3170" i="12"/>
  <c r="Y3171" i="12"/>
  <c r="Z3170" i="12"/>
  <c r="Y3172" i="12"/>
  <c r="Z3171" i="12"/>
  <c r="Y3173" i="12"/>
  <c r="Z3172" i="12"/>
  <c r="Z3173" i="12"/>
  <c r="Y3174" i="12"/>
  <c r="Y3175" i="12"/>
  <c r="Z3174" i="12"/>
  <c r="Y3176" i="12"/>
  <c r="Z3175" i="12"/>
  <c r="Y3177" i="12"/>
  <c r="Z3176" i="12"/>
  <c r="Y3178" i="12"/>
  <c r="Z3177" i="12"/>
  <c r="Z3178" i="12"/>
  <c r="Y3179" i="12"/>
  <c r="Z3179" i="12"/>
  <c r="Y3180" i="12"/>
  <c r="Z3180" i="12"/>
  <c r="Y3181" i="12"/>
  <c r="Y3182" i="12"/>
  <c r="Z3181" i="12"/>
  <c r="Y3183" i="12"/>
  <c r="Z3182" i="12"/>
  <c r="Y3184" i="12"/>
  <c r="Z3183" i="12"/>
  <c r="Z3184" i="12"/>
  <c r="Y3185" i="12"/>
  <c r="Z3185" i="12"/>
  <c r="Y3186" i="12"/>
  <c r="Y3187" i="12"/>
  <c r="Z3186" i="12"/>
  <c r="Z3187" i="12"/>
  <c r="Y3188" i="12"/>
  <c r="Z3188" i="12"/>
  <c r="Y3189" i="12"/>
  <c r="Y3190" i="12"/>
  <c r="Z3189" i="12"/>
  <c r="Z3190" i="12"/>
  <c r="Y3191" i="12"/>
  <c r="Y3192" i="12"/>
  <c r="Z3191" i="12"/>
  <c r="Y3193" i="12"/>
  <c r="Z3192" i="12"/>
  <c r="Y3194" i="12"/>
  <c r="Z3193" i="12"/>
  <c r="Y3195" i="12"/>
  <c r="Z3194" i="12"/>
  <c r="Z3195" i="12"/>
  <c r="Y3196" i="12"/>
  <c r="Z3196" i="12"/>
  <c r="Y3197" i="12"/>
  <c r="Z3197" i="12"/>
  <c r="Y3198" i="12"/>
  <c r="Y3199" i="12"/>
  <c r="Z3198" i="12"/>
  <c r="Z3199" i="12"/>
  <c r="Y3200" i="12"/>
  <c r="Y3201" i="12"/>
  <c r="Z3200" i="12"/>
  <c r="Y3202" i="12"/>
  <c r="Z3201" i="12"/>
  <c r="Y3203" i="12"/>
  <c r="Z3202" i="12"/>
  <c r="Z3203" i="12"/>
  <c r="Y3204" i="12"/>
  <c r="Y3205" i="12"/>
  <c r="Z3204" i="12"/>
  <c r="Z3205" i="12"/>
  <c r="Y3206" i="12"/>
  <c r="Z3206" i="12"/>
  <c r="Y3207" i="12"/>
  <c r="Y3208" i="12"/>
  <c r="Z3207" i="12"/>
  <c r="Z3208" i="12"/>
  <c r="Y3209" i="12"/>
  <c r="Z3209" i="12"/>
  <c r="Y3210" i="12"/>
  <c r="Z3210" i="12"/>
  <c r="Y3211" i="12"/>
  <c r="Y3212" i="12"/>
  <c r="Z3211" i="12"/>
  <c r="Y3213" i="12"/>
  <c r="Z3212" i="12"/>
  <c r="Y3214" i="12"/>
  <c r="Z3213" i="12"/>
  <c r="Y3215" i="12"/>
  <c r="Z3214" i="12"/>
  <c r="Z3215" i="12"/>
  <c r="Y3216" i="12"/>
  <c r="Y3217" i="12"/>
  <c r="Z3216" i="12"/>
  <c r="Z3217" i="12"/>
  <c r="Y3218" i="12"/>
  <c r="Z3218" i="12"/>
  <c r="Y3219" i="12"/>
  <c r="Z3219" i="12"/>
  <c r="Y3220" i="12"/>
  <c r="Y3221" i="12"/>
  <c r="Z3220" i="12"/>
  <c r="Z3221" i="12"/>
  <c r="Y3222" i="12"/>
  <c r="Y3223" i="12"/>
  <c r="Z3222" i="12"/>
  <c r="Y3224" i="12"/>
  <c r="Z3223" i="12"/>
  <c r="Z3224" i="12"/>
  <c r="Y3225" i="12"/>
  <c r="Z3225" i="12"/>
  <c r="Y3226" i="12"/>
  <c r="Y3227" i="12"/>
  <c r="Z3226" i="12"/>
  <c r="Z3227" i="12"/>
  <c r="Y3228" i="12"/>
  <c r="Y3229" i="12"/>
  <c r="Z3228" i="12"/>
  <c r="Z3229" i="12"/>
  <c r="Y3230" i="12"/>
  <c r="Z3230" i="12"/>
  <c r="Y3231" i="12"/>
  <c r="Z3231" i="12"/>
  <c r="Y3232" i="12"/>
  <c r="Z3232" i="12"/>
  <c r="Y3233" i="12"/>
  <c r="Z3233" i="12"/>
  <c r="Y3234" i="12"/>
  <c r="Y3235" i="12"/>
  <c r="Z3234" i="12"/>
  <c r="Z3235" i="12"/>
  <c r="Y3236" i="12"/>
  <c r="Z3236" i="12"/>
  <c r="Y3237" i="12"/>
  <c r="Z3237" i="12"/>
  <c r="Y3238" i="12"/>
  <c r="Y3239" i="12"/>
  <c r="Z3238" i="12"/>
  <c r="Y3240" i="12"/>
  <c r="Z3239" i="12"/>
  <c r="Z3240" i="12"/>
  <c r="Y3241" i="12"/>
  <c r="Z3241" i="12"/>
  <c r="Y3242" i="12"/>
  <c r="Y3243" i="12"/>
  <c r="Z3242" i="12"/>
  <c r="Y3244" i="12"/>
  <c r="Z3243" i="12"/>
  <c r="Z3244" i="12"/>
  <c r="Y3245" i="12"/>
  <c r="Y3246" i="12"/>
  <c r="Z3245" i="12"/>
  <c r="Z3246" i="12"/>
  <c r="Y3247" i="12"/>
  <c r="Y3248" i="12"/>
  <c r="Z3247" i="12"/>
  <c r="Z3248" i="12"/>
  <c r="Y3249" i="12"/>
  <c r="Z3249" i="12"/>
  <c r="Y3250" i="12"/>
  <c r="Z3250" i="12"/>
  <c r="Y3251" i="12"/>
  <c r="Y3252" i="12"/>
  <c r="Z3251" i="12"/>
  <c r="Z3252" i="12"/>
  <c r="Y3253" i="12"/>
  <c r="Y3254" i="12"/>
  <c r="Z3253" i="12"/>
  <c r="Y3255" i="12"/>
  <c r="Z3254" i="12"/>
  <c r="Y3256" i="12"/>
  <c r="Z3255" i="12"/>
  <c r="Y3257" i="12"/>
  <c r="Z3256" i="12"/>
  <c r="Z3257" i="12"/>
  <c r="Y3258" i="12"/>
  <c r="Y3259" i="12"/>
  <c r="Z3258" i="12"/>
  <c r="Z3259" i="12"/>
  <c r="Y3260" i="12"/>
  <c r="Y3261" i="12"/>
  <c r="Z3260" i="12"/>
  <c r="Z3261" i="12"/>
  <c r="Y3262" i="12"/>
  <c r="Z3262" i="12"/>
  <c r="Y3263" i="12"/>
  <c r="Z3263" i="12"/>
  <c r="Y3264" i="12"/>
  <c r="Z3264" i="12"/>
  <c r="Y3265" i="12"/>
  <c r="Y3266" i="12"/>
  <c r="Z3265" i="12"/>
  <c r="Z3266" i="12"/>
  <c r="Y3267" i="12"/>
  <c r="Y3268" i="12"/>
  <c r="Z3267" i="12"/>
  <c r="Z3268" i="12"/>
  <c r="Y3269" i="12"/>
  <c r="Z3269" i="12"/>
  <c r="Y3270" i="12"/>
  <c r="Z3270" i="12"/>
  <c r="Y3271" i="12"/>
  <c r="Z3271" i="12"/>
  <c r="Y3272" i="12"/>
  <c r="Y3273" i="12"/>
  <c r="Z3272" i="12"/>
  <c r="Y3274" i="12"/>
  <c r="Z3273" i="12"/>
  <c r="Y3275" i="12"/>
  <c r="Z3274" i="12"/>
  <c r="Z3275" i="12"/>
  <c r="Y3276" i="12"/>
  <c r="Y3277" i="12"/>
  <c r="Z3276" i="12"/>
  <c r="Z3277" i="12"/>
  <c r="Y3278" i="12"/>
  <c r="Z3278" i="12"/>
  <c r="Y3279" i="12"/>
  <c r="Z3279" i="12"/>
  <c r="Y3280" i="12"/>
  <c r="Z3280" i="12"/>
  <c r="Y3281" i="12"/>
  <c r="Y3282" i="12"/>
  <c r="Z3281" i="12"/>
  <c r="Y3283" i="12"/>
  <c r="Z3282" i="12"/>
  <c r="Y3284" i="12"/>
  <c r="Z3283" i="12"/>
  <c r="Y3285" i="12"/>
  <c r="Z3284" i="12"/>
  <c r="Z3285" i="12"/>
  <c r="Y3286" i="12"/>
  <c r="Y3287" i="12"/>
  <c r="Z3286" i="12"/>
  <c r="Y3288" i="12"/>
  <c r="Z3287" i="12"/>
  <c r="Y3289" i="12"/>
  <c r="Z3288" i="12"/>
  <c r="Y3290" i="12"/>
  <c r="Z3289" i="12"/>
  <c r="Y3291" i="12"/>
  <c r="Z3290" i="12"/>
  <c r="Y3292" i="12"/>
  <c r="Z3291" i="12"/>
  <c r="Z3292" i="12"/>
  <c r="Y3293" i="12"/>
  <c r="Y3294" i="12"/>
  <c r="Z3293" i="12"/>
  <c r="Z3294" i="12"/>
  <c r="Y3295" i="12"/>
  <c r="Z3295" i="12"/>
  <c r="Y3296" i="12"/>
  <c r="Y3297" i="12"/>
  <c r="Z3296" i="12"/>
  <c r="Y3298" i="12"/>
  <c r="Z3297" i="12"/>
  <c r="Y3299" i="12"/>
  <c r="Z3298" i="12"/>
  <c r="Y3300" i="12"/>
  <c r="Z3299" i="12"/>
  <c r="Y3301" i="12"/>
  <c r="Z3300" i="12"/>
  <c r="Z3301" i="12"/>
  <c r="Y3302" i="12"/>
  <c r="Z3302" i="12"/>
  <c r="Y3303" i="12"/>
  <c r="Y3304" i="12"/>
  <c r="Z3303" i="12"/>
  <c r="Z3304" i="12"/>
  <c r="Y3305" i="12"/>
  <c r="Z3305" i="12"/>
  <c r="Y3306" i="12"/>
  <c r="Z3306" i="12"/>
  <c r="Y3307" i="12"/>
  <c r="Y3308" i="12"/>
  <c r="Z3307" i="12"/>
  <c r="Y3309" i="12"/>
  <c r="Z3308" i="12"/>
  <c r="Y3310" i="12"/>
  <c r="Z3309" i="12"/>
  <c r="Z3310" i="12"/>
  <c r="Y3311" i="12"/>
  <c r="Z3311" i="12"/>
  <c r="Y3312" i="12"/>
  <c r="Z3312" i="12"/>
  <c r="Y3313" i="12"/>
  <c r="Z3313" i="12"/>
  <c r="Y3314" i="12"/>
  <c r="Z3314" i="12"/>
  <c r="Y3315" i="12"/>
  <c r="Z3315" i="12"/>
  <c r="Y3316" i="12"/>
  <c r="Z3316" i="12"/>
  <c r="Y3317" i="12"/>
  <c r="Y3318" i="12"/>
  <c r="Z3317" i="12"/>
  <c r="Z3318" i="12"/>
  <c r="Y3319" i="12"/>
  <c r="Y3320" i="12"/>
  <c r="Z3319" i="12"/>
  <c r="Z3320" i="12"/>
  <c r="Y3321" i="12"/>
  <c r="Y3322" i="12"/>
  <c r="Z3321" i="12"/>
  <c r="Z3322" i="12"/>
  <c r="Y3323" i="12"/>
  <c r="Z3323" i="12"/>
  <c r="Y3324" i="12"/>
  <c r="Z3324" i="12"/>
  <c r="Y3325" i="12"/>
  <c r="Y3326" i="12"/>
  <c r="Z3325" i="12"/>
  <c r="Z3326" i="12"/>
  <c r="Y3327" i="12"/>
  <c r="Z3327" i="12"/>
  <c r="Y3328" i="12"/>
  <c r="Y3329" i="12"/>
  <c r="Z3328" i="12"/>
  <c r="Y3330" i="12"/>
  <c r="Z3329" i="12"/>
  <c r="Y3331" i="12"/>
  <c r="Z3330" i="12"/>
  <c r="Z3331" i="12"/>
  <c r="Y3332" i="12"/>
  <c r="Y3333" i="12"/>
  <c r="Z3332" i="12"/>
  <c r="Y3334" i="12"/>
  <c r="Z3333" i="12"/>
  <c r="Z3334" i="12"/>
  <c r="Y3335" i="12"/>
  <c r="Y3336" i="12"/>
  <c r="Z3335" i="12"/>
  <c r="Z3336" i="12"/>
  <c r="Y3337" i="12"/>
  <c r="Y3338" i="12"/>
  <c r="Z3337" i="12"/>
  <c r="Z3338" i="12"/>
  <c r="Y3339" i="12"/>
  <c r="Y3340" i="12"/>
  <c r="Z3339" i="12"/>
  <c r="Z3340" i="12"/>
  <c r="Y3341" i="12"/>
  <c r="Z3341" i="12"/>
  <c r="Y3342" i="12"/>
  <c r="Y3343" i="12"/>
  <c r="Z3342" i="12"/>
  <c r="Z3343" i="12"/>
  <c r="Y3344" i="12"/>
  <c r="Z3344" i="12"/>
  <c r="Y3345" i="12"/>
  <c r="Y3346" i="12"/>
  <c r="Z3345" i="12"/>
  <c r="Y3347" i="12"/>
  <c r="Z3346" i="12"/>
  <c r="Z3347" i="12"/>
  <c r="Y3348" i="12"/>
  <c r="Z3348" i="12"/>
  <c r="Y3349" i="12"/>
  <c r="Z3349" i="12"/>
  <c r="Y3350" i="12"/>
  <c r="Z3350" i="12"/>
  <c r="Y3351" i="12"/>
  <c r="Z3351" i="12"/>
  <c r="Y3352" i="12"/>
  <c r="Y3353" i="12"/>
  <c r="Z3352" i="12"/>
  <c r="Z3353" i="12"/>
  <c r="Y3354" i="12"/>
  <c r="Z3354" i="12"/>
  <c r="Y3355" i="12"/>
  <c r="Z3355" i="12"/>
  <c r="Y3356" i="12"/>
  <c r="Y3357" i="12"/>
  <c r="Z3356" i="12"/>
  <c r="Z3357" i="12"/>
  <c r="Y3358" i="12"/>
  <c r="Y3359" i="12"/>
  <c r="Z3358" i="12"/>
  <c r="Z3359" i="12"/>
  <c r="Y3360" i="12"/>
  <c r="Z3360" i="12"/>
  <c r="Y3361" i="12"/>
  <c r="Z3361" i="12"/>
  <c r="Y3362" i="12"/>
  <c r="Y3363" i="12"/>
  <c r="Z3362" i="12"/>
  <c r="Y3364" i="12"/>
  <c r="Z3363" i="12"/>
  <c r="Y3365" i="12"/>
  <c r="Z3364" i="12"/>
  <c r="Z3365" i="12"/>
  <c r="Y3366" i="12"/>
  <c r="Z3366" i="12"/>
  <c r="Y3367" i="12"/>
  <c r="Z3367" i="12"/>
  <c r="Y3368" i="12"/>
  <c r="Z3368" i="12"/>
  <c r="Y3369" i="12"/>
  <c r="Y3370" i="12"/>
  <c r="Z3369" i="12"/>
  <c r="Y3371" i="12"/>
  <c r="Z3370" i="12"/>
  <c r="Y3372" i="12"/>
  <c r="Z3371" i="12"/>
  <c r="Z3372" i="12"/>
  <c r="Y3373" i="12"/>
  <c r="Y3374" i="12"/>
  <c r="Z3373" i="12"/>
  <c r="Y3375" i="12"/>
  <c r="Z3374" i="12"/>
  <c r="Y3376" i="12"/>
  <c r="Z3375" i="12"/>
  <c r="Z3376" i="12"/>
  <c r="Y3377" i="12"/>
  <c r="Z3377" i="12"/>
  <c r="Y3378" i="12"/>
  <c r="Y3379" i="12"/>
  <c r="Z3378" i="12"/>
  <c r="Z3379" i="12"/>
  <c r="Y3380" i="12"/>
  <c r="Y3381" i="12"/>
  <c r="Z3380" i="12"/>
  <c r="Z3381" i="12"/>
  <c r="Y3382" i="12"/>
  <c r="Z3382" i="12"/>
  <c r="Y3383" i="12"/>
  <c r="Y3384" i="12"/>
  <c r="Z3383" i="12"/>
  <c r="Y3385" i="12"/>
  <c r="Z3384" i="12"/>
  <c r="Z3385" i="12"/>
  <c r="Y3386" i="12"/>
  <c r="Y3387" i="12"/>
  <c r="Z3386" i="12"/>
  <c r="Y3388" i="12"/>
  <c r="Z3387" i="12"/>
  <c r="Z3388" i="12"/>
  <c r="Y3389" i="12"/>
  <c r="Z3389" i="12"/>
  <c r="Y3390" i="12"/>
  <c r="Y3391" i="12"/>
  <c r="Z3390" i="12"/>
  <c r="Z3391" i="12"/>
  <c r="Y3392" i="12"/>
  <c r="Z3392" i="12"/>
  <c r="Y3393" i="12"/>
  <c r="Z3393" i="12"/>
  <c r="Y3394" i="12"/>
  <c r="Y3395" i="12"/>
  <c r="Z3394" i="12"/>
  <c r="Z3395" i="12"/>
  <c r="Y3396" i="12"/>
  <c r="Z3396" i="12"/>
  <c r="Y3397" i="12"/>
  <c r="Y3398" i="12"/>
  <c r="Z3397" i="12"/>
  <c r="Z3398" i="12"/>
  <c r="Y3399" i="12"/>
  <c r="Z3399" i="12"/>
  <c r="Y3400" i="12"/>
  <c r="Z3400" i="12"/>
  <c r="Y3401" i="12"/>
  <c r="Y3402" i="12"/>
  <c r="Z3401" i="12"/>
  <c r="Z3402" i="12"/>
  <c r="Y3403" i="12"/>
  <c r="Z3403" i="12"/>
  <c r="Y3404" i="12"/>
  <c r="Y3405" i="12"/>
  <c r="Z3404" i="12"/>
  <c r="Z3405" i="12"/>
  <c r="Y3406" i="12"/>
  <c r="Y3407" i="12"/>
  <c r="Z3406" i="12"/>
  <c r="Z3407" i="12"/>
  <c r="Y3408" i="12"/>
  <c r="Y3409" i="12"/>
  <c r="Z3408" i="12"/>
  <c r="Y3410" i="12"/>
  <c r="Z3409" i="12"/>
  <c r="Y3411" i="12"/>
  <c r="Z3410" i="12"/>
  <c r="Z3411" i="12"/>
  <c r="Y3412" i="12"/>
  <c r="Z3412" i="12"/>
  <c r="Y3413" i="12"/>
  <c r="Z3413" i="12"/>
  <c r="Y3414" i="12"/>
  <c r="Y3415" i="12"/>
  <c r="Z3414" i="12"/>
  <c r="Y3416" i="12"/>
  <c r="Z3415" i="12"/>
  <c r="Z3416" i="12"/>
  <c r="Y3417" i="12"/>
  <c r="Y3418" i="12"/>
  <c r="Z3417" i="12"/>
  <c r="Z3418" i="12"/>
  <c r="Y3419" i="12"/>
  <c r="Y3420" i="12"/>
  <c r="Z3419" i="12"/>
  <c r="Y3421" i="12"/>
  <c r="Z3420" i="12"/>
  <c r="Z3421" i="12"/>
  <c r="Y3422" i="12"/>
  <c r="Y3423" i="12"/>
  <c r="Z3422" i="12"/>
  <c r="Y3424" i="12"/>
  <c r="Z3423" i="12"/>
  <c r="Z3424" i="12"/>
  <c r="Y3425" i="12"/>
  <c r="Y3426" i="12"/>
  <c r="Z3425" i="12"/>
  <c r="Z3426" i="12"/>
  <c r="Y3427" i="12"/>
  <c r="Y3428" i="12"/>
  <c r="Z3427" i="12"/>
  <c r="Z3428" i="12"/>
  <c r="Y3429" i="12"/>
  <c r="Z3429" i="12"/>
  <c r="Y3430" i="12"/>
  <c r="Z3430" i="12"/>
  <c r="Y3431" i="12"/>
  <c r="Z3431" i="12"/>
  <c r="Y3432" i="12"/>
  <c r="Y3433" i="12"/>
  <c r="Z3432" i="12"/>
  <c r="Z3433" i="12"/>
  <c r="Y3434" i="12"/>
  <c r="Z3434" i="12"/>
  <c r="Y3435" i="12"/>
  <c r="Y3436" i="12"/>
  <c r="Z3435" i="12"/>
  <c r="Z3436" i="12"/>
  <c r="Y3437" i="12"/>
  <c r="Y3438" i="12"/>
  <c r="Z3437" i="12"/>
  <c r="Z3438" i="12"/>
  <c r="Y3439" i="12"/>
  <c r="Y3440" i="12"/>
  <c r="Z3439" i="12"/>
  <c r="Z3440" i="12"/>
  <c r="Y3441" i="12"/>
  <c r="Y3442" i="12"/>
  <c r="Z3441" i="12"/>
  <c r="Y3443" i="12"/>
  <c r="Z3442" i="12"/>
  <c r="Z3443" i="12"/>
  <c r="Y3444" i="12"/>
  <c r="Y3445" i="12"/>
  <c r="Z3444" i="12"/>
  <c r="Z3445" i="12"/>
  <c r="Y3446" i="12"/>
  <c r="Z3446" i="12"/>
  <c r="Y3447" i="12"/>
  <c r="Z3447" i="12"/>
  <c r="Y3448" i="12"/>
  <c r="Y3449" i="12"/>
  <c r="Z3448" i="12"/>
  <c r="Y3450" i="12"/>
  <c r="Z3449" i="12"/>
  <c r="Y3451" i="12"/>
  <c r="Z3450" i="12"/>
  <c r="Z3451" i="12"/>
  <c r="Y3452" i="12"/>
  <c r="Y3453" i="12"/>
  <c r="Z3452" i="12"/>
  <c r="Z3453" i="12"/>
  <c r="Y3454" i="12"/>
  <c r="Y3455" i="12"/>
  <c r="Z3454" i="12"/>
  <c r="Y3456" i="12"/>
  <c r="Z3455" i="12"/>
  <c r="Y3457" i="12"/>
  <c r="Z3456" i="12"/>
  <c r="Z3457" i="12"/>
  <c r="Y3458" i="12"/>
  <c r="Z3458" i="12"/>
  <c r="Y3459" i="12"/>
  <c r="Y3460" i="12"/>
  <c r="Z3459" i="12"/>
  <c r="Z3460" i="12"/>
  <c r="Y3461" i="12"/>
  <c r="Y3462" i="12"/>
  <c r="Z3461" i="12"/>
  <c r="Z3462" i="12"/>
  <c r="Y3463" i="12"/>
  <c r="Y3464" i="12"/>
  <c r="Z3463" i="12"/>
  <c r="Z3464" i="12"/>
  <c r="Y3465" i="12"/>
  <c r="Z3465" i="12"/>
  <c r="Y3466" i="12"/>
  <c r="Z3466" i="12"/>
  <c r="Y3467" i="12"/>
  <c r="Z3467" i="12"/>
  <c r="Y3468" i="12"/>
  <c r="Z3468" i="12"/>
  <c r="Y3469" i="12"/>
  <c r="Z3469" i="12"/>
  <c r="Y3470" i="12"/>
  <c r="Z3470" i="12"/>
  <c r="Y3471" i="12"/>
  <c r="Z3471" i="12"/>
  <c r="Y3472" i="12"/>
  <c r="Y3473" i="12"/>
  <c r="Z3472" i="12"/>
  <c r="Y3474" i="12"/>
  <c r="Z3473" i="12"/>
  <c r="Y3475" i="12"/>
  <c r="Z3474" i="12"/>
  <c r="Y3476" i="12"/>
  <c r="Z3475" i="12"/>
  <c r="Z3476" i="12"/>
  <c r="Y3477" i="12"/>
  <c r="Y3478" i="12"/>
  <c r="Z3477" i="12"/>
  <c r="Y3479" i="12"/>
  <c r="Z3478" i="12"/>
  <c r="Z3479" i="12"/>
  <c r="Y3480" i="12"/>
  <c r="Z3480" i="12"/>
  <c r="Y3481" i="12"/>
  <c r="Z3481" i="12"/>
  <c r="Y3482" i="12"/>
  <c r="Z3482" i="12"/>
  <c r="Y3483" i="12"/>
  <c r="Y3484" i="12"/>
  <c r="Z3483" i="12"/>
  <c r="Z3484" i="12"/>
  <c r="Y3485" i="12"/>
  <c r="Y3486" i="12"/>
  <c r="Z3485" i="12"/>
  <c r="Z3486" i="12"/>
  <c r="Y3487" i="12"/>
  <c r="Z3487" i="12"/>
  <c r="Y3488" i="12"/>
  <c r="Y3489" i="12"/>
  <c r="Z3488" i="12"/>
  <c r="Y3490" i="12"/>
  <c r="Z3489" i="12"/>
  <c r="Z3490" i="12"/>
  <c r="Y3491" i="12"/>
  <c r="Z3491" i="12"/>
  <c r="Y3492" i="12"/>
  <c r="Z3492" i="12"/>
  <c r="Y3493" i="12"/>
  <c r="Y3494" i="12"/>
  <c r="Z3493" i="12"/>
  <c r="Z3494" i="12"/>
  <c r="Y3495" i="12"/>
  <c r="Y3496" i="12"/>
  <c r="Z3495" i="12"/>
  <c r="Y3497" i="12"/>
  <c r="Z3496" i="12"/>
  <c r="Z3497" i="12"/>
  <c r="Y3498" i="12"/>
  <c r="Y3499" i="12"/>
  <c r="Z3498" i="12"/>
  <c r="Y3500" i="12"/>
  <c r="Z3499" i="12"/>
  <c r="Y3501" i="12"/>
  <c r="Z3500" i="12"/>
  <c r="Y3502" i="12"/>
  <c r="Z3501" i="12"/>
  <c r="Y3503" i="12"/>
  <c r="Z3502" i="12"/>
  <c r="Y3504" i="12"/>
  <c r="Z3503" i="12"/>
  <c r="Z3504" i="12"/>
  <c r="Y3505" i="12"/>
  <c r="Y3506" i="12"/>
  <c r="Z3505" i="12"/>
  <c r="Z3506" i="12"/>
  <c r="Y3507" i="12"/>
  <c r="Z3507" i="12"/>
  <c r="Y3508" i="12"/>
  <c r="Y3509" i="12"/>
  <c r="Z3508" i="12"/>
  <c r="Z3509" i="12"/>
  <c r="Y3510" i="12"/>
  <c r="Z3510" i="12"/>
  <c r="Y3511" i="12"/>
  <c r="Z3511" i="12"/>
  <c r="Y3512" i="12"/>
  <c r="Y3513" i="12"/>
  <c r="Z3512" i="12"/>
  <c r="Z3513" i="12"/>
  <c r="Y3514" i="12"/>
  <c r="Y3515" i="12"/>
  <c r="Z3514" i="12"/>
  <c r="Z3515" i="12"/>
  <c r="Y3516" i="12"/>
  <c r="Z3516" i="12"/>
  <c r="Y3517" i="12"/>
  <c r="Z3517" i="12"/>
  <c r="Y3518" i="12"/>
  <c r="Z3518" i="12"/>
  <c r="Y3519" i="12"/>
  <c r="Y3520" i="12"/>
  <c r="Z3519" i="12"/>
  <c r="Y3521" i="12"/>
  <c r="Z3520" i="12"/>
  <c r="Y3522" i="12"/>
  <c r="Z3521" i="12"/>
  <c r="Y3523" i="12"/>
  <c r="Z3522" i="12"/>
  <c r="Z3523" i="12"/>
  <c r="Y3524" i="12"/>
  <c r="Y3525" i="12"/>
  <c r="Z3524" i="12"/>
  <c r="Z3525" i="12"/>
  <c r="Y3526" i="12"/>
  <c r="Y3527" i="12"/>
  <c r="Z3526" i="12"/>
  <c r="Y3528" i="12"/>
  <c r="Z3527" i="12"/>
  <c r="Z3528" i="12"/>
  <c r="Y3529" i="12"/>
  <c r="Z3529" i="12"/>
  <c r="Y3530" i="12"/>
  <c r="Z3530" i="12"/>
  <c r="Y3531" i="12"/>
  <c r="Z3531" i="12"/>
  <c r="Y3532" i="12"/>
  <c r="Z3532" i="12"/>
  <c r="Y3533" i="12"/>
  <c r="Z3533" i="12"/>
  <c r="Y3534" i="12"/>
  <c r="Z3534" i="12"/>
  <c r="Y3535" i="12"/>
  <c r="Y3536" i="12"/>
  <c r="Z3535" i="12"/>
  <c r="Y3537" i="12"/>
  <c r="Z3536" i="12"/>
  <c r="Y3538" i="12"/>
  <c r="Z3537" i="12"/>
  <c r="Y3539" i="12"/>
  <c r="Z3538" i="12"/>
  <c r="Z3539" i="12"/>
  <c r="Y3540" i="12"/>
  <c r="Z3540" i="12"/>
  <c r="Y3541" i="12"/>
  <c r="Z3541" i="12"/>
  <c r="Y3542" i="12"/>
  <c r="Z3542" i="12"/>
  <c r="Y3543" i="12"/>
  <c r="Y3544" i="12"/>
  <c r="Z3543" i="12"/>
  <c r="Y3545" i="12"/>
  <c r="Z3544" i="12"/>
  <c r="Z3545" i="12"/>
  <c r="Y3546" i="12"/>
  <c r="Y3547" i="12"/>
  <c r="Z3546" i="12"/>
  <c r="Y3548" i="12"/>
  <c r="Z3547" i="12"/>
  <c r="Z3548" i="12"/>
  <c r="Y3549" i="12"/>
  <c r="Y3550" i="12"/>
  <c r="Z3549" i="12"/>
  <c r="Y3551" i="12"/>
  <c r="Z3550" i="12"/>
  <c r="Z3551" i="12"/>
  <c r="Y3552" i="12"/>
  <c r="AA19" i="12" a="1"/>
  <c r="Z3552" i="12"/>
  <c r="AA3195" i="12" l="1"/>
  <c r="AA423" i="12"/>
  <c r="AA2501" i="12"/>
  <c r="AA1724" i="12"/>
  <c r="AA1343" i="12"/>
  <c r="AA2159" i="12"/>
  <c r="AA1986" i="12"/>
  <c r="AA3179" i="12"/>
  <c r="AA2032" i="12"/>
  <c r="AA1856" i="12"/>
  <c r="AA3480" i="12"/>
  <c r="AA3418" i="12"/>
  <c r="AA2849" i="12"/>
  <c r="AA3531" i="12"/>
  <c r="AA709" i="12"/>
  <c r="AA3281" i="12"/>
  <c r="AA1761" i="12"/>
  <c r="AA3101" i="12"/>
  <c r="AA664" i="12"/>
  <c r="AA3343" i="12"/>
  <c r="AA2303" i="12"/>
  <c r="AA1818" i="12"/>
  <c r="AA1038" i="12"/>
  <c r="AA3309" i="12"/>
  <c r="AA2548" i="12"/>
  <c r="AA41" i="12"/>
  <c r="AA464" i="12"/>
  <c r="AA2011" i="12"/>
  <c r="AA1394" i="12"/>
  <c r="AA789" i="12"/>
  <c r="AA127" i="12"/>
  <c r="AA362" i="12"/>
  <c r="AA3428" i="12"/>
  <c r="AA1697" i="12"/>
  <c r="AA3049" i="12"/>
  <c r="AA725" i="12"/>
  <c r="AA2922" i="12"/>
  <c r="AA2262" i="12"/>
  <c r="AA2257" i="12"/>
  <c r="AA1261" i="12"/>
  <c r="AA3385" i="12"/>
  <c r="AA412" i="12"/>
  <c r="AA554" i="12"/>
  <c r="AA2115" i="12"/>
  <c r="AA2555" i="12"/>
  <c r="AA287" i="12"/>
  <c r="AA774" i="12"/>
  <c r="AA3273" i="12"/>
  <c r="AA1584" i="12"/>
  <c r="AA3324" i="12"/>
  <c r="AA2802" i="12"/>
  <c r="AA1409" i="12"/>
  <c r="AA1278" i="12"/>
  <c r="AA2380" i="12"/>
  <c r="AA2477" i="12"/>
  <c r="AA2721" i="12"/>
  <c r="AA3503" i="12"/>
  <c r="AA1137" i="12"/>
  <c r="AA1860" i="12"/>
  <c r="AA3192" i="12"/>
  <c r="AA1651" i="12"/>
  <c r="AA3465" i="12"/>
  <c r="AA2732" i="12"/>
  <c r="AA3350" i="12"/>
  <c r="AA103" i="12"/>
  <c r="AA167" i="12"/>
  <c r="AA2704" i="12"/>
  <c r="AA2765" i="12"/>
  <c r="AA2522" i="12"/>
  <c r="AA3409" i="12"/>
  <c r="AA2632" i="12"/>
  <c r="AA2984" i="12"/>
  <c r="AA1754" i="12"/>
  <c r="AA3310" i="12"/>
  <c r="AA1223" i="12"/>
  <c r="AA1975" i="12"/>
  <c r="AA3488" i="12"/>
  <c r="AA2985" i="12"/>
  <c r="AA2856" i="12"/>
  <c r="AA622" i="12"/>
  <c r="AA238" i="12"/>
  <c r="AA938" i="12"/>
  <c r="AA91" i="12"/>
  <c r="AA2584" i="12"/>
  <c r="AA1145" i="12"/>
  <c r="AA3529" i="12"/>
  <c r="AA933" i="12"/>
  <c r="AA2421" i="12"/>
  <c r="AA1566" i="12"/>
  <c r="AA3220" i="12"/>
  <c r="AA2813" i="12"/>
  <c r="AA2336" i="12"/>
  <c r="AA2476" i="12"/>
  <c r="AA2188" i="12"/>
  <c r="AA2083" i="12"/>
  <c r="AA2284" i="12"/>
  <c r="AA562" i="12"/>
  <c r="AA733" i="12"/>
  <c r="AA2979" i="12"/>
  <c r="AA2868" i="12"/>
  <c r="AA432" i="12"/>
  <c r="AA2991" i="12"/>
  <c r="AA1543" i="12"/>
  <c r="AA1712" i="12"/>
  <c r="AA48" i="12"/>
  <c r="AA2025" i="12"/>
  <c r="AA556" i="12"/>
  <c r="AA2951" i="12"/>
  <c r="AA1853" i="12"/>
  <c r="AA1514" i="12"/>
  <c r="AA2516" i="12"/>
  <c r="AA3360" i="12"/>
  <c r="AA143" i="12"/>
  <c r="AA1467" i="12"/>
  <c r="AA1224" i="12"/>
  <c r="AA1239" i="12"/>
  <c r="AA2830" i="12"/>
  <c r="AA616" i="12"/>
  <c r="AA634" i="12"/>
  <c r="AA1806" i="12"/>
  <c r="AA97" i="12"/>
  <c r="AA2535" i="12"/>
  <c r="AA896" i="12"/>
  <c r="AA2851" i="12"/>
  <c r="AA3292" i="12"/>
  <c r="AA1229" i="12"/>
  <c r="AA1133" i="12"/>
  <c r="AA1652" i="12"/>
  <c r="AA1387" i="12"/>
  <c r="AA2974" i="12"/>
  <c r="AA1667" i="12"/>
  <c r="AA377" i="12"/>
  <c r="AA719" i="12"/>
  <c r="AA1978" i="12"/>
  <c r="AA1462" i="12"/>
  <c r="AA3178" i="12"/>
  <c r="AA1691" i="12"/>
  <c r="AA1957" i="12"/>
  <c r="AA3475" i="12"/>
  <c r="AA223" i="12"/>
  <c r="AA1628" i="12"/>
  <c r="AA2054" i="12"/>
  <c r="AA1489" i="12"/>
  <c r="AA1242" i="12"/>
  <c r="AA2633" i="12"/>
  <c r="AA1082" i="12"/>
  <c r="AA1469" i="12"/>
  <c r="AA3134" i="12"/>
  <c r="AA2520" i="12"/>
  <c r="AA3519" i="12"/>
  <c r="AA1066" i="12"/>
  <c r="AA2545" i="12"/>
  <c r="AA956" i="12"/>
  <c r="AA1952" i="12"/>
  <c r="AA1649" i="12"/>
  <c r="AA849" i="12"/>
  <c r="AA384" i="12"/>
  <c r="AA602" i="12"/>
  <c r="AA873" i="12"/>
  <c r="AA145" i="12"/>
  <c r="AA2221" i="12"/>
  <c r="AA2028" i="12"/>
  <c r="AA403" i="12"/>
  <c r="AA844" i="12"/>
  <c r="AA2448" i="12"/>
  <c r="AA3432" i="12"/>
  <c r="AA534" i="12"/>
  <c r="AA30" i="12"/>
  <c r="AA3018" i="12"/>
  <c r="AA474" i="12"/>
  <c r="AA1630" i="12"/>
  <c r="AA176" i="12"/>
  <c r="AA2837" i="12"/>
  <c r="AA1031" i="12"/>
  <c r="AA2414" i="12"/>
  <c r="AA2158" i="12"/>
  <c r="AA2934" i="12"/>
  <c r="AA766" i="12"/>
  <c r="AA305" i="12"/>
  <c r="AA2898" i="12"/>
  <c r="AA2498" i="12"/>
  <c r="AA1666" i="12"/>
  <c r="AA2635" i="12"/>
  <c r="AA3110" i="12"/>
  <c r="AA1029" i="12"/>
  <c r="AA27" i="12"/>
  <c r="AA1040" i="12"/>
  <c r="AA3346" i="12"/>
  <c r="AA296" i="12"/>
  <c r="AA803" i="12"/>
  <c r="AA3011" i="12"/>
  <c r="AA2014" i="12"/>
  <c r="AA1722" i="12"/>
  <c r="AA1559" i="12"/>
  <c r="AA2191" i="12"/>
  <c r="AA2529" i="12"/>
  <c r="AA547" i="12"/>
  <c r="AA1521" i="12"/>
  <c r="AA1379" i="12"/>
  <c r="AA515" i="12"/>
  <c r="AA2591" i="12"/>
  <c r="AA3304" i="12"/>
  <c r="AA1187" i="12"/>
  <c r="AA1030" i="12"/>
  <c r="AA1286" i="12"/>
  <c r="AA1250" i="12"/>
  <c r="AA3037" i="12"/>
  <c r="AA1610" i="12"/>
  <c r="AA533" i="12"/>
  <c r="AA1001" i="12"/>
  <c r="AA1147" i="12"/>
  <c r="AA1449" i="12"/>
  <c r="AA2124" i="12"/>
  <c r="AA1888" i="12"/>
  <c r="AA1212" i="12"/>
  <c r="AA137" i="12"/>
  <c r="AA180" i="12"/>
  <c r="AA752" i="12"/>
  <c r="AA2431" i="12"/>
  <c r="AA585" i="12"/>
  <c r="AA2639" i="12"/>
  <c r="AA349" i="12"/>
  <c r="AA2874" i="12"/>
  <c r="AA3207" i="12"/>
  <c r="AA955" i="12"/>
  <c r="AA2885" i="12"/>
  <c r="AA3449" i="12"/>
  <c r="AA1423" i="12"/>
  <c r="AA2527" i="12"/>
  <c r="AA2382" i="12"/>
  <c r="AA2530" i="12"/>
  <c r="AA2148" i="12"/>
  <c r="AA323" i="12"/>
  <c r="AA3026" i="12"/>
  <c r="AA1695" i="12"/>
  <c r="AA348" i="12"/>
  <c r="AA3323" i="12"/>
  <c r="AA3003" i="12"/>
  <c r="AA822" i="12"/>
  <c r="AA2170" i="12"/>
  <c r="AA2341" i="12"/>
  <c r="AA586" i="12"/>
  <c r="AA1009" i="12"/>
  <c r="AA1832" i="12"/>
  <c r="AA418" i="12"/>
  <c r="AA2076" i="12"/>
  <c r="AA796" i="12"/>
  <c r="AA1160" i="12"/>
  <c r="AA2044" i="12"/>
  <c r="AA3461" i="12"/>
  <c r="AA1090" i="12"/>
  <c r="AA1287" i="12"/>
  <c r="AA2840" i="12"/>
  <c r="AA870" i="12"/>
  <c r="AA2738" i="12"/>
  <c r="AA2346" i="12"/>
  <c r="AA40" i="12"/>
  <c r="AA69" i="12"/>
  <c r="AA1622" i="12"/>
  <c r="AA2809" i="12"/>
  <c r="AA735" i="12"/>
  <c r="AA1600" i="12"/>
  <c r="AA1913" i="12"/>
  <c r="AA3126" i="12"/>
  <c r="AA197" i="12"/>
  <c r="AA79" i="12"/>
  <c r="AA353" i="12"/>
  <c r="AA1110" i="12"/>
  <c r="AA1616" i="12"/>
  <c r="AA2926" i="12"/>
  <c r="AA56" i="12"/>
  <c r="AA1709" i="12"/>
  <c r="AA742" i="12"/>
  <c r="AA2340" i="12"/>
  <c r="AA352" i="12"/>
  <c r="AA1180" i="12"/>
  <c r="AA1907" i="12"/>
  <c r="AA2763" i="12"/>
  <c r="AA1829" i="12"/>
  <c r="AA986" i="12"/>
  <c r="AA202" i="12"/>
  <c r="AA1871" i="12"/>
  <c r="AA839" i="12"/>
  <c r="AA1312" i="12"/>
  <c r="AA1526" i="12"/>
  <c r="AA1524" i="12"/>
  <c r="AA2315" i="12"/>
  <c r="AA717" i="12"/>
  <c r="AA3202" i="12"/>
  <c r="AA2940" i="12"/>
  <c r="AA1466" i="12"/>
  <c r="AA2348" i="12"/>
  <c r="AA1618" i="12"/>
  <c r="AA1152" i="12"/>
  <c r="AA3014" i="12"/>
  <c r="AA445" i="12"/>
  <c r="AA1037" i="12"/>
  <c r="AA1340" i="12"/>
  <c r="AA970" i="12"/>
  <c r="AA1213" i="12"/>
  <c r="AA1824" i="12"/>
  <c r="AA2055" i="12"/>
  <c r="AA3525" i="12"/>
  <c r="AA2061" i="12"/>
  <c r="AA2224" i="12"/>
  <c r="AA2258" i="12"/>
  <c r="AA2752" i="12"/>
  <c r="AA2442" i="12"/>
  <c r="AA2867" i="12"/>
  <c r="AA2031" i="12"/>
  <c r="AA1161" i="12"/>
  <c r="AA2232" i="12"/>
  <c r="AA2144" i="12"/>
  <c r="AA1590" i="12"/>
  <c r="AA215" i="12"/>
  <c r="AA920" i="12"/>
  <c r="AA1472" i="12"/>
  <c r="AA3333" i="12"/>
  <c r="AA798" i="12"/>
  <c r="AA244" i="12"/>
  <c r="AA2469" i="12"/>
  <c r="AA734" i="12"/>
  <c r="AA161" i="12"/>
  <c r="AA2909" i="12"/>
  <c r="AA1483" i="12"/>
  <c r="AA1203" i="12"/>
  <c r="AA2468" i="12"/>
  <c r="AA628" i="12"/>
  <c r="AA1801" i="12"/>
  <c r="AA3524" i="12"/>
  <c r="AA1635" i="12"/>
  <c r="AA1165" i="12"/>
  <c r="AA1168" i="12"/>
  <c r="AA3314" i="12"/>
  <c r="AA836" i="12"/>
  <c r="AA528" i="12"/>
  <c r="AA853" i="12"/>
  <c r="AA360" i="12"/>
  <c r="AA2246" i="12"/>
  <c r="AA3139" i="12"/>
  <c r="AA1979" i="12"/>
  <c r="AA583" i="12"/>
  <c r="AA2304" i="12"/>
  <c r="AA2260" i="12"/>
  <c r="AA1485" i="12"/>
  <c r="AA1534" i="12"/>
  <c r="AA2354" i="12"/>
  <c r="AA713" i="12"/>
  <c r="AA2528" i="12"/>
  <c r="AA3245" i="12"/>
  <c r="AA2946" i="12"/>
  <c r="AA2009" i="12"/>
  <c r="AA3303" i="12"/>
  <c r="AA2842" i="12"/>
  <c r="AA905" i="12"/>
  <c r="AA129" i="12"/>
  <c r="AA1201" i="12"/>
  <c r="AA1576" i="12"/>
  <c r="AA2487" i="12"/>
  <c r="AA2663" i="12"/>
  <c r="AA928" i="12"/>
  <c r="AA1641" i="12"/>
  <c r="AA3308" i="12"/>
  <c r="AA221" i="12"/>
  <c r="AA67" i="12"/>
  <c r="AA1704" i="12"/>
  <c r="AA66" i="12"/>
  <c r="AA2676" i="12"/>
  <c r="AA1076" i="12"/>
  <c r="AA2996" i="12"/>
  <c r="AA3307" i="12"/>
  <c r="AA1682" i="12"/>
  <c r="AA828" i="12"/>
  <c r="AA341" i="12"/>
  <c r="AA2904" i="12"/>
  <c r="AA2687" i="12"/>
  <c r="AA3116" i="12"/>
  <c r="AA546" i="12"/>
  <c r="AA618" i="12"/>
  <c r="AA3120" i="12"/>
  <c r="AA2892" i="12"/>
  <c r="AA968" i="12"/>
  <c r="AA1837" i="12"/>
  <c r="AA2588" i="12"/>
  <c r="AA2790" i="12"/>
  <c r="AA2910" i="12"/>
  <c r="AA458" i="12"/>
  <c r="AA1646" i="12"/>
  <c r="AA2511" i="12"/>
  <c r="AA812" i="12"/>
  <c r="AA442" i="12"/>
  <c r="AA1752" i="12"/>
  <c r="AA2917" i="12"/>
  <c r="AA1653" i="12"/>
  <c r="AA2983" i="12"/>
  <c r="AA3069" i="12"/>
  <c r="AA261" i="12"/>
  <c r="AA2677" i="12"/>
  <c r="AA667" i="12"/>
  <c r="AA2265" i="12"/>
  <c r="AA1331" i="12"/>
  <c r="AA2393" i="12"/>
  <c r="AA2725" i="12"/>
  <c r="AA2785" i="12"/>
  <c r="AA3345" i="12"/>
  <c r="AA2627" i="12"/>
  <c r="AA232" i="12"/>
  <c r="AA311" i="12"/>
  <c r="AA2035" i="12"/>
  <c r="AA954" i="12"/>
  <c r="AA751" i="12"/>
  <c r="AA1910" i="12"/>
  <c r="AA2342" i="12"/>
  <c r="AA2307" i="12"/>
  <c r="AA52" i="12"/>
  <c r="AA395" i="12"/>
  <c r="AA3145" i="12"/>
  <c r="AA1442" i="12"/>
  <c r="AA3518" i="12"/>
  <c r="AA2905" i="12"/>
  <c r="AA3365" i="12"/>
  <c r="AA2084" i="12"/>
  <c r="AA184" i="12"/>
  <c r="AA1296" i="12"/>
  <c r="AA701" i="12"/>
  <c r="AA246" i="12"/>
  <c r="AA2134" i="12"/>
  <c r="AA1416" i="12"/>
  <c r="AA833" i="12"/>
  <c r="AA2737" i="12"/>
  <c r="AA2523" i="12"/>
  <c r="AA3197" i="12"/>
  <c r="AA2120" i="12"/>
  <c r="AA2818" i="12"/>
  <c r="AA841" i="12"/>
  <c r="AA2869" i="12"/>
  <c r="AA2993" i="12"/>
  <c r="AA2395" i="12"/>
  <c r="AA2941" i="12"/>
  <c r="AA979" i="12"/>
  <c r="AA3006" i="12"/>
  <c r="AA218" i="12"/>
  <c r="AA3321" i="12"/>
  <c r="AA3359" i="12"/>
  <c r="AA306" i="12"/>
  <c r="AA3316" i="12"/>
  <c r="AA2256" i="12"/>
  <c r="AA2960" i="12"/>
  <c r="AA714" i="12"/>
  <c r="AA2338" i="12"/>
  <c r="AA1020" i="12"/>
  <c r="AA1058" i="12"/>
  <c r="AA2827" i="12"/>
  <c r="AA1344" i="12"/>
  <c r="AA227" i="12"/>
  <c r="AA689" i="12"/>
  <c r="AA2062" i="12"/>
  <c r="AA2356" i="12"/>
  <c r="AA2003" i="12"/>
  <c r="AA883" i="12"/>
  <c r="AA1663" i="12"/>
  <c r="AA582" i="12"/>
  <c r="AA3435" i="12"/>
  <c r="AA469" i="12"/>
  <c r="AA183" i="12"/>
  <c r="AA1125" i="12"/>
  <c r="AA2386" i="12"/>
  <c r="AA1650" i="12"/>
  <c r="AA1748" i="12"/>
  <c r="AA2589" i="12"/>
  <c r="AA3189" i="12"/>
  <c r="AA2608" i="12"/>
  <c r="AA68" i="12"/>
  <c r="AA1643" i="12"/>
  <c r="AA1989" i="12"/>
  <c r="AA3028" i="12"/>
  <c r="AA1196" i="12"/>
  <c r="AA663" i="12"/>
  <c r="AA810" i="12"/>
  <c r="AA2264" i="12"/>
  <c r="AA2587" i="12"/>
  <c r="AA565" i="12"/>
  <c r="AA2961" i="12"/>
  <c r="AA3451" i="12"/>
  <c r="AA3406" i="12"/>
  <c r="AA37" i="12"/>
  <c r="AA2301" i="12"/>
  <c r="AA387" i="12"/>
  <c r="AA2178" i="12"/>
  <c r="AA762" i="12"/>
  <c r="AA2008" i="12"/>
  <c r="AA1591" i="12"/>
  <c r="AA304" i="12"/>
  <c r="AA2226" i="12"/>
  <c r="AA727" i="12"/>
  <c r="AA1005" i="12"/>
  <c r="AA561" i="12"/>
  <c r="AA1639" i="12"/>
  <c r="AA3237" i="12"/>
  <c r="AA2039" i="12"/>
  <c r="AA996" i="12"/>
  <c r="AA1325" i="12"/>
  <c r="AA80" i="12"/>
  <c r="AA475" i="12"/>
  <c r="AA2036" i="12"/>
  <c r="AA543" i="12"/>
  <c r="AA759" i="12"/>
  <c r="AA2339" i="12"/>
  <c r="AA2893" i="12"/>
  <c r="AA1362" i="12"/>
  <c r="AA2282" i="12"/>
  <c r="AA2835" i="12"/>
  <c r="AA1925" i="12"/>
  <c r="AA2169" i="12"/>
  <c r="AA478" i="12"/>
  <c r="AA2199" i="12"/>
  <c r="AA173" i="12"/>
  <c r="AA656" i="12"/>
  <c r="AA2796" i="12"/>
  <c r="AA1303" i="12"/>
  <c r="AA892" i="12"/>
  <c r="AA2784" i="12"/>
  <c r="AA1805" i="12"/>
  <c r="AA263" i="12"/>
  <c r="AA2929" i="12"/>
  <c r="AA3340" i="12"/>
  <c r="AA1140" i="12"/>
  <c r="AA2129" i="12"/>
  <c r="AA2422" i="12"/>
  <c r="AA329" i="12"/>
  <c r="AA2954" i="12"/>
  <c r="AA1342" i="12"/>
  <c r="AA3219" i="12"/>
  <c r="AA914" i="12"/>
  <c r="AA2108" i="12"/>
  <c r="AA930" i="12"/>
  <c r="AA455" i="12"/>
  <c r="AA936" i="12"/>
  <c r="AA1473" i="12"/>
  <c r="AA2460" i="12"/>
  <c r="AA987" i="12"/>
  <c r="AA2216" i="12"/>
  <c r="AA2175" i="12"/>
  <c r="AA2781" i="12"/>
  <c r="AA368" i="12"/>
  <c r="AA2470" i="12"/>
  <c r="AA921" i="12"/>
  <c r="AA1769" i="12"/>
  <c r="AA708" i="12"/>
  <c r="AA186" i="12"/>
  <c r="AA2010" i="12"/>
  <c r="AA3397" i="12"/>
  <c r="AA901" i="12"/>
  <c r="AA2203" i="12"/>
  <c r="AA1929" i="12"/>
  <c r="AA1397" i="12"/>
  <c r="AA1506" i="12"/>
  <c r="AA3263" i="12"/>
  <c r="AA1731" i="12"/>
  <c r="AA3004" i="12"/>
  <c r="AA1703" i="12"/>
  <c r="AA639" i="12"/>
  <c r="AA2294" i="12"/>
  <c r="AA1455" i="12"/>
  <c r="AA3211" i="12"/>
  <c r="AA2594" i="12"/>
  <c r="AA1912" i="12"/>
  <c r="AA2027" i="12"/>
  <c r="AA2662" i="12"/>
  <c r="AA1599" i="12"/>
  <c r="AA1921" i="12"/>
  <c r="AA2967" i="12"/>
  <c r="AA3162" i="12"/>
  <c r="AA1032" i="12"/>
  <c r="AA2843" i="12"/>
  <c r="AA2400" i="12"/>
  <c r="AA880" i="12"/>
  <c r="AA1345" i="12"/>
  <c r="AA3495" i="12"/>
  <c r="AA2114" i="12"/>
  <c r="AA1995" i="12"/>
  <c r="AA878" i="12"/>
  <c r="AA1932" i="12"/>
  <c r="AA1742" i="12"/>
  <c r="AA818" i="12"/>
  <c r="AA2452" i="12"/>
  <c r="AA1363" i="12"/>
  <c r="AA32" i="12"/>
  <c r="AA1158" i="12"/>
  <c r="AA281" i="12"/>
  <c r="AA787" i="12"/>
  <c r="AA2107" i="12"/>
  <c r="AA882" i="12"/>
  <c r="AA414" i="12"/>
  <c r="AA3331" i="12"/>
  <c r="AA1350" i="12"/>
  <c r="AA206" i="12"/>
  <c r="AA318" i="12"/>
  <c r="AA2101" i="12"/>
  <c r="AA694" i="12"/>
  <c r="AA337" i="12"/>
  <c r="AA809" i="12"/>
  <c r="AA3523" i="12"/>
  <c r="AA1232" i="12"/>
  <c r="AA902" i="12"/>
  <c r="AA1527" i="12"/>
  <c r="AA436" i="12"/>
  <c r="AA2858" i="12"/>
  <c r="AA657" i="12"/>
  <c r="AA1307" i="12"/>
  <c r="AA731" i="12"/>
  <c r="AA934" i="12"/>
  <c r="AA359" i="12"/>
  <c r="AA1796" i="12"/>
  <c r="AA1484" i="12"/>
  <c r="AA342" i="12"/>
  <c r="AA3107" i="12"/>
  <c r="AA3009" i="12"/>
  <c r="AA2497" i="12"/>
  <c r="AA278" i="12"/>
  <c r="AA2554" i="12"/>
  <c r="AA2097" i="12"/>
  <c r="AA1189" i="12"/>
  <c r="AA1896" i="12"/>
  <c r="AA405" i="12"/>
  <c r="AA1149" i="12"/>
  <c r="AA1963" i="12"/>
  <c r="AA2296" i="12"/>
  <c r="AA2537" i="12"/>
  <c r="AA669" i="12"/>
  <c r="AA780" i="12"/>
  <c r="AA1533" i="12"/>
  <c r="AA3458" i="12"/>
  <c r="AA430" i="12"/>
  <c r="AA2290" i="12"/>
  <c r="AA3447" i="12"/>
  <c r="AA3232" i="12"/>
  <c r="AA3153" i="12"/>
  <c r="AA960" i="12"/>
  <c r="AA3474" i="12"/>
  <c r="AA3168" i="12"/>
  <c r="AA815" i="12"/>
  <c r="AA941" i="12"/>
  <c r="AA1638" i="12"/>
  <c r="AA2075" i="12"/>
  <c r="AA269" i="12"/>
  <c r="AA2280" i="12"/>
  <c r="AA3322" i="12"/>
  <c r="AA1294" i="12"/>
  <c r="AA134" i="12"/>
  <c r="AA1787" i="12"/>
  <c r="AA2789" i="12"/>
  <c r="AA2538" i="12"/>
  <c r="AA1619" i="12"/>
  <c r="AA135" i="12"/>
  <c r="AA2357" i="12"/>
  <c r="AA2130" i="12"/>
  <c r="AA185" i="12"/>
  <c r="AA1439" i="12"/>
  <c r="AA772" i="12"/>
  <c r="AA1210" i="12"/>
  <c r="AA739" i="12"/>
  <c r="AA42" i="12"/>
  <c r="AA85" i="12"/>
  <c r="AA2325" i="12"/>
  <c r="AA1479" i="12"/>
  <c r="AA1872" i="12"/>
  <c r="AA845" i="12"/>
  <c r="AA671" i="12"/>
  <c r="AA2577" i="12"/>
  <c r="AA604" i="12"/>
  <c r="AA1760" i="12"/>
  <c r="AA2751" i="12"/>
  <c r="AA1094" i="12"/>
  <c r="AA128" i="12"/>
  <c r="AA2410" i="12"/>
  <c r="AA2456" i="12"/>
  <c r="AA3227" i="12"/>
  <c r="AA76" i="12"/>
  <c r="AA2948" i="12"/>
  <c r="AA70" i="12"/>
  <c r="AA1084" i="12"/>
  <c r="AA1701" i="12"/>
  <c r="AA3087" i="12"/>
  <c r="AA476" i="12"/>
  <c r="AA89" i="12"/>
  <c r="AA1835" i="12"/>
  <c r="AA2742" i="12"/>
  <c r="AA2852" i="12"/>
  <c r="AA642" i="12"/>
  <c r="AA1692" i="12"/>
  <c r="AA366" i="12"/>
  <c r="AA165" i="12"/>
  <c r="AA653" i="12"/>
  <c r="AA420" i="12"/>
  <c r="AA465" i="12"/>
  <c r="AA1174" i="12"/>
  <c r="AA1621" i="12"/>
  <c r="AA2000" i="12"/>
  <c r="AA54" i="12"/>
  <c r="AA3372" i="12"/>
  <c r="AA1129" i="12"/>
  <c r="AA2215" i="12"/>
  <c r="AA409" i="12"/>
  <c r="AA3325" i="12"/>
  <c r="AA1069" i="12"/>
  <c r="AA2374" i="12"/>
  <c r="AA791" i="12"/>
  <c r="AA2366" i="12"/>
  <c r="AA1431" i="12"/>
  <c r="AA1503" i="12"/>
  <c r="AA1500" i="12"/>
  <c r="AA3066" i="12"/>
  <c r="AA201" i="12"/>
  <c r="AA1354" i="12"/>
  <c r="AA3545" i="12"/>
  <c r="AA2566" i="12"/>
  <c r="AA729" i="12"/>
  <c r="AA2638" i="12"/>
  <c r="AA98" i="12"/>
  <c r="AA3501" i="12"/>
  <c r="AA3487" i="12"/>
  <c r="AA3251" i="12"/>
  <c r="AA865" i="12"/>
  <c r="AA2343" i="12"/>
  <c r="AA795" i="12"/>
  <c r="AA2278" i="12"/>
  <c r="AA2768" i="12"/>
  <c r="AA2562" i="12"/>
  <c r="AA2376" i="12"/>
  <c r="AA1452" i="12"/>
  <c r="AA3149" i="12"/>
  <c r="AA3005" i="12"/>
  <c r="AA2959" i="12"/>
  <c r="AA2682" i="12"/>
  <c r="AA757" i="12"/>
  <c r="AA702" i="12"/>
  <c r="AA1356" i="12"/>
  <c r="AA736" i="12"/>
  <c r="AA2255" i="12"/>
  <c r="AA39" i="12"/>
  <c r="AA3257" i="12"/>
  <c r="AA2901" i="12"/>
  <c r="AA1041" i="12"/>
  <c r="AA2088" i="12"/>
  <c r="AA2363" i="12"/>
  <c r="AA1700" i="12"/>
  <c r="AA877" i="12"/>
  <c r="AA92" i="12"/>
  <c r="AA1766" i="12"/>
  <c r="AA1725" i="12"/>
  <c r="AA3133" i="12"/>
  <c r="AA136" i="12"/>
  <c r="AA3485" i="12"/>
  <c r="AA355" i="12"/>
  <c r="AA2154" i="12"/>
  <c r="AA25" i="12"/>
  <c r="AA1771" i="12"/>
  <c r="AA776" i="12"/>
  <c r="AA1445" i="12"/>
  <c r="AA2375" i="12"/>
  <c r="AA1176" i="12"/>
  <c r="AA2337" i="12"/>
  <c r="AA3452" i="12"/>
  <c r="AA1705" i="12"/>
  <c r="AA670" i="12"/>
  <c r="AA3225" i="12"/>
  <c r="AA3022" i="12"/>
  <c r="AA1197" i="12"/>
  <c r="AA2534" i="12"/>
  <c r="AA3505" i="12"/>
  <c r="AA2586" i="12"/>
  <c r="AA2289" i="12"/>
  <c r="AA2795" i="12"/>
  <c r="AA1171" i="12"/>
  <c r="AA1166" i="12"/>
  <c r="AA2030" i="12"/>
  <c r="AA2210" i="12"/>
  <c r="AA3084" i="12"/>
  <c r="AA483" i="12"/>
  <c r="AA228" i="12"/>
  <c r="AA2306" i="12"/>
  <c r="AA3092" i="12"/>
  <c r="AA3236" i="12"/>
  <c r="AA154" i="12"/>
  <c r="AA722" i="12"/>
  <c r="AA273" i="12"/>
  <c r="AA1163" i="12"/>
  <c r="AA2900" i="12"/>
  <c r="AA3106" i="12"/>
  <c r="AA374" i="12"/>
  <c r="AA2201" i="12"/>
  <c r="AA424" i="12"/>
  <c r="AA1966" i="12"/>
  <c r="AA3421" i="12"/>
  <c r="AA3052" i="12"/>
  <c r="AA1329" i="12"/>
  <c r="AA3190" i="12"/>
  <c r="AA2513" i="12"/>
  <c r="AA3025" i="12"/>
  <c r="AA2593" i="12"/>
  <c r="AA654" i="12"/>
  <c r="AA1601" i="12"/>
  <c r="AA852" i="12"/>
  <c r="AA2139" i="12"/>
  <c r="AA1193" i="12"/>
  <c r="AA2454" i="12"/>
  <c r="AA1179" i="12"/>
  <c r="AA2636" i="12"/>
  <c r="AA2841" i="12"/>
  <c r="AA1509" i="12"/>
  <c r="AA2330" i="12"/>
  <c r="AA171" i="12"/>
  <c r="AA2823" i="12"/>
  <c r="AA1185" i="12"/>
  <c r="AA661" i="12"/>
  <c r="AA2968" i="12"/>
  <c r="AA506" i="12"/>
  <c r="AA3187" i="12"/>
  <c r="AA851" i="12"/>
  <c r="AA2958" i="12"/>
  <c r="AA1807" i="12"/>
  <c r="AA1406" i="12"/>
  <c r="AA1926" i="12"/>
  <c r="AA1333" i="12"/>
  <c r="AA2073" i="12"/>
  <c r="AA1498" i="12"/>
  <c r="AA3429" i="12"/>
  <c r="AA2865" i="12"/>
  <c r="AA2703" i="12"/>
  <c r="AA2231" i="12"/>
  <c r="AA3286" i="12"/>
  <c r="AA1555" i="12"/>
  <c r="AA1341" i="12"/>
  <c r="AA2987" i="12"/>
  <c r="AA2122" i="12"/>
  <c r="AA35" i="12"/>
  <c r="AA1320" i="12"/>
  <c r="AA2787" i="12"/>
  <c r="AA2992" i="12"/>
  <c r="AA2896" i="12"/>
  <c r="AA1101" i="12"/>
  <c r="AA1790" i="12"/>
  <c r="AA1391" i="12"/>
  <c r="AA3171" i="12"/>
  <c r="AA1035" i="12"/>
  <c r="AA2560" i="12"/>
  <c r="AA2099" i="12"/>
  <c r="AA2060" i="12"/>
  <c r="AA2310" i="12"/>
  <c r="AA1606" i="12"/>
  <c r="AA2671" i="12"/>
  <c r="AA2493" i="12"/>
  <c r="AA1167" i="12"/>
  <c r="AA1190" i="12"/>
  <c r="AA2089" i="12"/>
  <c r="AA2308" i="12"/>
  <c r="AA1448" i="12"/>
  <c r="AA2451" i="12"/>
  <c r="AA2728" i="12"/>
  <c r="AA1056" i="12"/>
  <c r="AA1540" i="12"/>
  <c r="AA1808" i="12"/>
  <c r="AA1408" i="12"/>
  <c r="AA1352" i="12"/>
  <c r="AA3271" i="12"/>
  <c r="AA2878" i="12"/>
  <c r="AA502" i="12"/>
  <c r="AA710" i="12"/>
  <c r="AA3482" i="12"/>
  <c r="AA3369" i="12"/>
  <c r="AA1950" i="12"/>
  <c r="AA2474" i="12"/>
  <c r="AA1855" i="12"/>
  <c r="AA1123" i="12"/>
  <c r="AA3477" i="12"/>
  <c r="AA2094" i="12"/>
  <c r="AA1240" i="12"/>
  <c r="AA1684" i="12"/>
  <c r="AA2250" i="12"/>
  <c r="AA2661" i="12"/>
  <c r="AA1516" i="12"/>
  <c r="AA2714" i="12"/>
  <c r="AA3538" i="12"/>
  <c r="AA1823" i="12"/>
  <c r="AA1411" i="12"/>
  <c r="AA3280" i="12"/>
  <c r="AA1625" i="12"/>
  <c r="AA2571" i="12"/>
  <c r="AA2319" i="12"/>
  <c r="AA51" i="12"/>
  <c r="AA2500" i="12"/>
  <c r="AA2322" i="12"/>
  <c r="AA1107" i="12"/>
  <c r="AA3019" i="12"/>
  <c r="AA1828" i="12"/>
  <c r="AA109" i="12"/>
  <c r="AA1917" i="12"/>
  <c r="AA1436" i="12"/>
  <c r="AA2185" i="12"/>
  <c r="AA575" i="12"/>
  <c r="AA2377" i="12"/>
  <c r="AA3042" i="12"/>
  <c r="AA1471" i="12"/>
  <c r="AA1859" i="12"/>
  <c r="AA2425" i="12"/>
  <c r="AA3229" i="12"/>
  <c r="AA2063" i="12"/>
  <c r="AA1680" i="12"/>
  <c r="AA2481" i="12"/>
  <c r="AA2597" i="12"/>
  <c r="AA44" i="12"/>
  <c r="AA2759" i="12"/>
  <c r="AA1838" i="12"/>
  <c r="AA2977" i="12"/>
  <c r="AA1642" i="12"/>
  <c r="AA650" i="12"/>
  <c r="AA1904" i="12"/>
  <c r="AA1541" i="12"/>
  <c r="AA906" i="12"/>
  <c r="AA1873" i="12"/>
  <c r="AA2611" i="12"/>
  <c r="AA2605" i="12"/>
  <c r="AA1934" i="12"/>
  <c r="AA182" i="12"/>
  <c r="AA1064" i="12"/>
  <c r="AA2112" i="12"/>
  <c r="AA105" i="12"/>
  <c r="AA763" i="12"/>
  <c r="AA1662" i="12"/>
  <c r="AA1763" i="12"/>
  <c r="AA438" i="12"/>
  <c r="AA2850" i="12"/>
  <c r="AA2352" i="12"/>
  <c r="AA3511" i="12"/>
  <c r="AA77" i="12"/>
  <c r="AA526" i="12"/>
  <c r="AA1870" i="12"/>
  <c r="AA2229" i="12"/>
  <c r="AA87" i="12"/>
  <c r="AA106" i="12"/>
  <c r="AA1734" i="12"/>
  <c r="AA916" i="12"/>
  <c r="AA3074" i="12"/>
  <c r="AA158" i="12"/>
  <c r="AA716" i="12"/>
  <c r="AA1720" i="12"/>
  <c r="AA467" i="12"/>
  <c r="AA451" i="12"/>
  <c r="AA1588" i="12"/>
  <c r="AA181" i="12"/>
  <c r="AA923" i="12"/>
  <c r="AA285" i="12"/>
  <c r="AA760" i="12"/>
  <c r="AA3277" i="12"/>
  <c r="AA2261" i="12"/>
  <c r="AA2334" i="12"/>
  <c r="AA392" i="12"/>
  <c r="AA2581" i="12"/>
  <c r="AA3420" i="12"/>
  <c r="AA321" i="12"/>
  <c r="AA1658" i="12"/>
  <c r="AA2925" i="12"/>
  <c r="AA2299" i="12"/>
  <c r="AA3434" i="12"/>
  <c r="AA2881" i="12"/>
  <c r="AA3352" i="12"/>
  <c r="AA711" i="12"/>
  <c r="AA100" i="12"/>
  <c r="AA335" i="12"/>
  <c r="AA3241" i="12"/>
  <c r="AA910" i="12"/>
  <c r="AA3300" i="12"/>
  <c r="AA991" i="12"/>
  <c r="AA1998" i="12"/>
  <c r="AA2123" i="12"/>
  <c r="AA755" i="12"/>
  <c r="AA2362" i="12"/>
  <c r="AA2040" i="12"/>
  <c r="AA138" i="12"/>
  <c r="AA1827" i="12"/>
  <c r="AA1099" i="12"/>
  <c r="AA1087" i="12"/>
  <c r="AA1817" i="12"/>
  <c r="AA620" i="12"/>
  <c r="AA2016" i="12"/>
  <c r="AA1388" i="12"/>
  <c r="AA3329" i="12"/>
  <c r="AA3492" i="12"/>
  <c r="AA3010" i="12"/>
  <c r="AA2819" i="12"/>
  <c r="AA2155" i="12"/>
  <c r="AA3183" i="12"/>
  <c r="AA1777" i="12"/>
  <c r="AA3068" i="12"/>
  <c r="AA3539" i="12"/>
  <c r="AA2798" i="12"/>
  <c r="AA1045" i="12"/>
  <c r="AA151" i="12"/>
  <c r="AA1494" i="12"/>
  <c r="AA1218" i="12"/>
  <c r="AA1816" i="12"/>
  <c r="AA1219" i="12"/>
  <c r="AA1403" i="12"/>
  <c r="AA988" i="12"/>
  <c r="AA2657" i="12"/>
  <c r="AA2436" i="12"/>
  <c r="AA2317" i="12"/>
  <c r="AA1866" i="12"/>
  <c r="AA1301" i="12"/>
  <c r="AA3448" i="12"/>
  <c r="AA2495" i="12"/>
  <c r="AA291" i="12"/>
  <c r="AA3403" i="12"/>
  <c r="AA1208" i="12"/>
  <c r="AA1620" i="12"/>
  <c r="AA1177" i="12"/>
  <c r="AA3513" i="12"/>
  <c r="AA2488" i="12"/>
  <c r="AA2222" i="12"/>
  <c r="AA2145" i="12"/>
  <c r="AA101" i="12"/>
  <c r="AA1785" i="12"/>
  <c r="AA1211" i="12"/>
  <c r="AA1464" i="12"/>
  <c r="AA1073" i="12"/>
  <c r="AA3244" i="12"/>
  <c r="AA3440" i="12"/>
  <c r="AA2020" i="12"/>
  <c r="AA858" i="12"/>
  <c r="AA1502" i="12"/>
  <c r="AA3543" i="12"/>
  <c r="AA1243" i="12"/>
  <c r="AA364" i="12"/>
  <c r="AA2127" i="12"/>
  <c r="AA1567" i="12"/>
  <c r="AA425" i="12"/>
  <c r="AA2623" i="12"/>
  <c r="AA1314" i="12"/>
  <c r="AA1793" i="12"/>
  <c r="AA2041" i="12"/>
  <c r="AA1898" i="12"/>
  <c r="AA864" i="12"/>
  <c r="AA2859" i="12"/>
  <c r="AA2720" i="12"/>
  <c r="AA1257" i="12"/>
  <c r="AA2253" i="12"/>
  <c r="AA252" i="12"/>
  <c r="AA2658" i="12"/>
  <c r="AA3376" i="12"/>
  <c r="AA297" i="12"/>
  <c r="AA332" i="12"/>
  <c r="AA58" i="12"/>
  <c r="AA1395" i="12"/>
  <c r="AA147" i="12"/>
  <c r="AA3151" i="12"/>
  <c r="AA1669" i="12"/>
  <c r="AA1373" i="12"/>
  <c r="AA1247" i="12"/>
  <c r="AA3454" i="12"/>
  <c r="AA1776" i="12"/>
  <c r="AA2794" i="12"/>
  <c r="AA2005" i="12"/>
  <c r="AA3542" i="12"/>
  <c r="AA1565" i="12"/>
  <c r="AA2365" i="12"/>
  <c r="AA724" i="12"/>
  <c r="AA3196" i="12"/>
  <c r="AA1432" i="12"/>
  <c r="AA1750" i="12"/>
  <c r="AA2103" i="12"/>
  <c r="AA598" i="12"/>
  <c r="AA391" i="12"/>
  <c r="AA247" i="12"/>
  <c r="AA250" i="12"/>
  <c r="AA2691" i="12"/>
  <c r="AA2618" i="12"/>
  <c r="AA1120" i="12"/>
  <c r="AA2551" i="12"/>
  <c r="AA2378" i="12"/>
  <c r="AA1456" i="12"/>
  <c r="AA2921" i="12"/>
  <c r="AA1708" i="12"/>
  <c r="AA2585" i="12"/>
  <c r="AA633" i="12"/>
  <c r="AA1865" i="12"/>
  <c r="AA130" i="12"/>
  <c r="AA3534" i="12"/>
  <c r="AA1438" i="12"/>
  <c r="AA1057" i="12"/>
  <c r="AA1611" i="12"/>
  <c r="AA1402" i="12"/>
  <c r="AA1499" i="12"/>
  <c r="AA2978" i="12"/>
  <c r="AA1428" i="12"/>
  <c r="AA2491" i="12"/>
  <c r="AA1819" i="12"/>
  <c r="AA2186" i="12"/>
  <c r="AA435" i="12"/>
  <c r="AA564" i="12"/>
  <c r="AA402" i="12"/>
  <c r="AA2316" i="12"/>
  <c r="AA1225" i="12"/>
  <c r="AA2457" i="12"/>
  <c r="AA1380" i="12"/>
  <c r="AA3551" i="12"/>
  <c r="AA1450" i="12"/>
  <c r="AA690" i="12"/>
  <c r="AA121" i="12"/>
  <c r="AA1931" i="12"/>
  <c r="AA879" i="12"/>
  <c r="AA2972" i="12"/>
  <c r="AA3218" i="12"/>
  <c r="AA550" i="12"/>
  <c r="AA1623" i="12"/>
  <c r="AA3384" i="12"/>
  <c r="AA1024" i="12"/>
  <c r="AA1586" i="12"/>
  <c r="AA3298" i="12"/>
  <c r="AA1383" i="12"/>
  <c r="AA2046" i="12"/>
  <c r="AA2174" i="12"/>
  <c r="AA2233" i="12"/>
  <c r="AA2116" i="12"/>
  <c r="AA2335" i="12"/>
  <c r="AA2806" i="12"/>
  <c r="AA553" i="12"/>
  <c r="AA2907" i="12"/>
  <c r="AA1209" i="12"/>
  <c r="AA2153" i="12"/>
  <c r="AA150" i="12"/>
  <c r="AA832" i="12"/>
  <c r="AA1072" i="12"/>
  <c r="AA2156" i="12"/>
  <c r="AA2741" i="12"/>
  <c r="AA3034" i="12"/>
  <c r="AA3468" i="12"/>
  <c r="AA1378" i="12"/>
  <c r="AA3164" i="12"/>
  <c r="AA3222" i="12"/>
  <c r="AA1164" i="12"/>
  <c r="AA3398" i="12"/>
  <c r="AA573" i="12"/>
  <c r="AA885" i="12"/>
  <c r="AA1289" i="12"/>
  <c r="AA157" i="12"/>
  <c r="AA2192" i="12"/>
  <c r="AA2776" i="12"/>
  <c r="AA3361" i="12"/>
  <c r="AA1915" i="12"/>
  <c r="AA1453" i="12"/>
  <c r="AA1291" i="12"/>
  <c r="AA340" i="12"/>
  <c r="AA3194" i="12"/>
  <c r="AA499" i="12"/>
  <c r="AA2320" i="12"/>
  <c r="AA3479" i="12"/>
  <c r="AA1834" i="12"/>
  <c r="AA1412" i="12"/>
  <c r="AA1392" i="12"/>
  <c r="AA1836" i="12"/>
  <c r="AA1863" i="12"/>
  <c r="AA1634" i="12"/>
  <c r="AA1014" i="12"/>
  <c r="AA1375" i="12"/>
  <c r="AA3128" i="12"/>
  <c r="AA1021" i="12"/>
  <c r="AA1088" i="12"/>
  <c r="AA644" i="12"/>
  <c r="AA2173" i="12"/>
  <c r="AA225" i="12"/>
  <c r="AA3311" i="12"/>
  <c r="AA1157" i="12"/>
  <c r="AA778" i="12"/>
  <c r="AA2690" i="12"/>
  <c r="AA2754" i="12"/>
  <c r="AA2848" i="12"/>
  <c r="AA978" i="12"/>
  <c r="AA258" i="12"/>
  <c r="AA732" i="12"/>
  <c r="AA2279" i="12"/>
  <c r="AA3270" i="12"/>
  <c r="AA1756" i="12"/>
  <c r="AA850" i="12"/>
  <c r="AA931" i="12"/>
  <c r="AA2838" i="12"/>
  <c r="AA3431" i="12"/>
  <c r="AA3048" i="12"/>
  <c r="AA20" i="12"/>
  <c r="AA610" i="12"/>
  <c r="AA1542" i="12"/>
  <c r="AA1010" i="12"/>
  <c r="AA3494" i="12"/>
  <c r="AA90" i="12"/>
  <c r="AA2603" i="12"/>
  <c r="AA2705" i="12"/>
  <c r="AA1103" i="12"/>
  <c r="AA2019" i="12"/>
  <c r="AA1050" i="12"/>
  <c r="AA1184" i="12"/>
  <c r="AA591" i="12"/>
  <c r="AA2142" i="12"/>
  <c r="AA2252" i="12"/>
  <c r="AA1939" i="12"/>
  <c r="AA286" i="12"/>
  <c r="AA1688" i="12"/>
  <c r="AA2875" i="12"/>
  <c r="AA720" i="12"/>
  <c r="AA1324" i="12"/>
  <c r="AA1977" i="12"/>
  <c r="AA2004" i="12"/>
  <c r="AA2355" i="12"/>
  <c r="AA1820" i="12"/>
  <c r="AA1437" i="12"/>
  <c r="AA584" i="12"/>
  <c r="AA1994" i="12"/>
  <c r="AA3374" i="12"/>
  <c r="AA1881" i="12"/>
  <c r="AA571" i="12"/>
  <c r="AA837" i="12"/>
  <c r="AA1730" i="12"/>
  <c r="AA3411" i="12"/>
  <c r="AA946" i="12"/>
  <c r="AA3344" i="12"/>
  <c r="AA2579" i="12"/>
  <c r="AA1961" i="12"/>
  <c r="AA3043" i="12"/>
  <c r="AA2397" i="12"/>
  <c r="AA1936" i="12"/>
  <c r="AA2272" i="12"/>
  <c r="AA2402" i="12"/>
  <c r="AA2743" i="12"/>
  <c r="AA230" i="12"/>
  <c r="AA3188" i="12"/>
  <c r="AA825" i="12"/>
  <c r="AA893" i="12"/>
  <c r="AA2800" i="12"/>
  <c r="AA2729" i="12"/>
  <c r="AA2642" i="12"/>
  <c r="AA2034" i="12"/>
  <c r="AA2125" i="12"/>
  <c r="AA1844" i="12"/>
  <c r="AA566" i="12"/>
  <c r="AA3260" i="12"/>
  <c r="AA764" i="12"/>
  <c r="AA1415" i="12"/>
  <c r="AA1146" i="12"/>
  <c r="AA1106" i="12"/>
  <c r="AA249" i="12"/>
  <c r="AA1889" i="12"/>
  <c r="AA1071" i="12"/>
  <c r="AA3279" i="12"/>
  <c r="AA1675" i="12"/>
  <c r="AA855" i="12"/>
  <c r="AA1061" i="12"/>
  <c r="AA1990" i="12"/>
  <c r="AA1918" i="12"/>
  <c r="AA1440" i="12"/>
  <c r="AA43" i="12"/>
  <c r="AA856" i="12"/>
  <c r="AA1965" i="12"/>
  <c r="AA113" i="12"/>
  <c r="AA1644" i="12"/>
  <c r="AA1580" i="12"/>
  <c r="AA1427" i="12"/>
  <c r="AA2072" i="12"/>
  <c r="AA2218" i="12"/>
  <c r="AA737" i="12"/>
  <c r="AA2416" i="12"/>
  <c r="AA1425" i="12"/>
  <c r="AA594" i="12"/>
  <c r="AA2709" i="12"/>
  <c r="AA1897" i="12"/>
  <c r="AA86" i="12"/>
  <c r="AA2384" i="12"/>
  <c r="AA2963" i="12"/>
  <c r="AA1023" i="12"/>
  <c r="AA793" i="12"/>
  <c r="AA2146" i="12"/>
  <c r="AA2540" i="12"/>
  <c r="AA1220" i="12"/>
  <c r="AA567" i="12"/>
  <c r="AA1062" i="12"/>
  <c r="AA3438" i="12"/>
  <c r="AA1714" i="12"/>
  <c r="AA2888" i="12"/>
  <c r="AA1234" i="12"/>
  <c r="AA3053" i="12"/>
  <c r="AA605" i="12"/>
  <c r="AA1016" i="12"/>
  <c r="AA239" i="12"/>
  <c r="AA2113" i="12"/>
  <c r="AA1245" i="12"/>
  <c r="AA1226" i="12"/>
  <c r="AA1195" i="12"/>
  <c r="AA1659" i="12"/>
  <c r="AA152" i="12"/>
  <c r="AA1665" i="12"/>
  <c r="AA2697" i="12"/>
  <c r="AA3446" i="12"/>
  <c r="AA3065" i="12"/>
  <c r="AA3166" i="12"/>
  <c r="AA909" i="12"/>
  <c r="AA1868" i="12"/>
  <c r="AA2184" i="12"/>
  <c r="AA1594" i="12"/>
  <c r="AA226" i="12"/>
  <c r="AA1674" i="12"/>
  <c r="AA1551" i="12"/>
  <c r="AA248" i="12"/>
  <c r="AA2223" i="12"/>
  <c r="AA1554" i="12"/>
  <c r="AA275" i="12"/>
  <c r="AA1933" i="12"/>
  <c r="AA1971" i="12"/>
  <c r="AA3057" i="12"/>
  <c r="AA876" i="12"/>
  <c r="AA2708" i="12"/>
  <c r="AA1538" i="12"/>
  <c r="AA2298" i="12"/>
  <c r="AA439" i="12"/>
  <c r="AA1007" i="12"/>
  <c r="AA3381" i="12"/>
  <c r="AA243" i="12"/>
  <c r="AA1685" i="12"/>
  <c r="AA3456" i="12"/>
  <c r="AA1784" i="12"/>
  <c r="AA2085" i="12"/>
  <c r="AA1736" i="12"/>
  <c r="AA3268" i="12"/>
  <c r="AA985" i="12"/>
  <c r="AA1292" i="12"/>
  <c r="AA95" i="12"/>
  <c r="AA1065" i="12"/>
  <c r="AA421" i="12"/>
  <c r="AA3080" i="12"/>
  <c r="AA862" i="12"/>
  <c r="AA2090" i="12"/>
  <c r="AA271" i="12"/>
  <c r="AA2228" i="12"/>
  <c r="AA489" i="12"/>
  <c r="AA1492" i="12"/>
  <c r="AA2853" i="12"/>
  <c r="AA2251" i="12"/>
  <c r="AA3173" i="12"/>
  <c r="AA2919" i="12"/>
  <c r="AA194" i="12"/>
  <c r="AA1517" i="12"/>
  <c r="AA2575" i="12"/>
  <c r="AA1033" i="12"/>
  <c r="AA31" i="12"/>
  <c r="AA2517" i="12"/>
  <c r="AA1528" i="12"/>
  <c r="AA1204" i="12"/>
  <c r="AA3367" i="12"/>
  <c r="AA3119" i="12"/>
  <c r="AA179" i="12"/>
  <c r="AA2277" i="12"/>
  <c r="AA2894" i="12"/>
  <c r="AA3155" i="12"/>
  <c r="AA2966" i="12"/>
  <c r="AA603" i="12"/>
  <c r="AA2532" i="12"/>
  <c r="AA1804" i="12"/>
  <c r="AA120" i="12"/>
  <c r="AA1461" i="12"/>
  <c r="AA3266" i="12"/>
  <c r="AA36" i="12"/>
  <c r="AA3390" i="12"/>
  <c r="AA2405" i="12"/>
  <c r="AA1589" i="12"/>
  <c r="AA971" i="12"/>
  <c r="AA2140" i="12"/>
  <c r="AA3033" i="12"/>
  <c r="AA744" i="12"/>
  <c r="AA63" i="12"/>
  <c r="AA3226" i="12"/>
  <c r="AA823" i="12"/>
  <c r="AA229" i="12"/>
  <c r="AA28" i="12"/>
  <c r="AA1251" i="12"/>
  <c r="AA740" i="12"/>
  <c r="AA658" i="12"/>
  <c r="AA2266" i="12"/>
  <c r="AA112" i="12"/>
  <c r="AA1696" i="12"/>
  <c r="AA2767" i="12"/>
  <c r="AA2572" i="12"/>
  <c r="AA3443" i="12"/>
  <c r="AA473" i="12"/>
  <c r="AA2932" i="12"/>
  <c r="AA3234" i="12"/>
  <c r="AA1267" i="12"/>
  <c r="AA372" i="12"/>
  <c r="AA570" i="12"/>
  <c r="AA2273" i="12"/>
  <c r="AA2245" i="12"/>
  <c r="AA1372" i="12"/>
  <c r="AA2305" i="12"/>
  <c r="AA2001" i="12"/>
  <c r="AA2981" i="12"/>
  <c r="AA3297" i="12"/>
  <c r="AA3213" i="12"/>
  <c r="AA356" i="12"/>
  <c r="AA1875" i="12"/>
  <c r="AA2722" i="12"/>
  <c r="AA2480" i="12"/>
  <c r="AA1727" i="12"/>
  <c r="AA2772" i="12"/>
  <c r="AA2889" i="12"/>
  <c r="AA251" i="12"/>
  <c r="AA2957" i="12"/>
  <c r="AA908" i="12"/>
  <c r="AA2557" i="12"/>
  <c r="AA2396" i="12"/>
  <c r="AA1128" i="12"/>
  <c r="AA2385" i="12"/>
  <c r="AA746" i="12"/>
  <c r="AA141" i="12"/>
  <c r="AA2240" i="12"/>
  <c r="AA198" i="12"/>
  <c r="AA2128" i="12"/>
  <c r="AA1570" i="12"/>
  <c r="AA1426" i="12"/>
  <c r="AA1614" i="12"/>
  <c r="AA110" i="12"/>
  <c r="AA3506" i="12"/>
  <c r="AA2200" i="12"/>
  <c r="AA625" i="12"/>
  <c r="AA1018" i="12"/>
  <c r="AA699" i="12"/>
  <c r="AA599" i="12"/>
  <c r="AA3047" i="12"/>
  <c r="AA2187" i="12"/>
  <c r="AA3230" i="12"/>
  <c r="AA1529" i="12"/>
  <c r="AA2672" i="12"/>
  <c r="AA328" i="12"/>
  <c r="AA2485" i="12"/>
  <c r="AA649" i="12"/>
  <c r="AA3353" i="12"/>
  <c r="AA1376" i="12"/>
  <c r="AA1951" i="12"/>
  <c r="AA1198" i="12"/>
  <c r="AA756" i="12"/>
  <c r="AA935" i="12"/>
  <c r="AA378" i="12"/>
  <c r="AA1443" i="12"/>
  <c r="AA707" i="12"/>
  <c r="AA3417" i="12"/>
  <c r="AA294" i="12"/>
  <c r="AA749" i="12"/>
  <c r="AA1393" i="12"/>
  <c r="AA915" i="12"/>
  <c r="AA1470" i="12"/>
  <c r="AA2207" i="12"/>
  <c r="AA648" i="12"/>
  <c r="AA2988" i="12"/>
  <c r="AA927" i="12"/>
  <c r="AA3348" i="12"/>
  <c r="AA2022" i="12"/>
  <c r="AA897" i="12"/>
  <c r="AA2689" i="12"/>
  <c r="AA619" i="12"/>
  <c r="AA2755" i="12"/>
  <c r="AA1560" i="12"/>
  <c r="AA3095" i="12"/>
  <c r="AA3090" i="12"/>
  <c r="AA1400" i="12"/>
  <c r="AA3122" i="12"/>
  <c r="AA1252" i="12"/>
  <c r="AA2190" i="12"/>
  <c r="AA203" i="12"/>
  <c r="AA1039" i="12"/>
  <c r="AA2558" i="12"/>
  <c r="AA3105" i="12"/>
  <c r="AA2241" i="12"/>
  <c r="AA992" i="12"/>
  <c r="AA1495" i="12"/>
  <c r="AA2964" i="12"/>
  <c r="AA2626" i="12"/>
  <c r="AA220" i="12"/>
  <c r="AA1930" i="12"/>
  <c r="AA2670" i="12"/>
  <c r="AA1992" i="12"/>
  <c r="AA2679" i="12"/>
  <c r="AA1444" i="12"/>
  <c r="AA1556" i="12"/>
  <c r="AA2407" i="12"/>
  <c r="AA2157" i="12"/>
  <c r="AA415" i="12"/>
  <c r="AA3375" i="12"/>
  <c r="AA544" i="12"/>
  <c r="AA1319" i="12"/>
  <c r="AA3546" i="12"/>
  <c r="AA1574" i="12"/>
  <c r="AA3424" i="12"/>
  <c r="AA3414" i="12"/>
  <c r="AA2549" i="12"/>
  <c r="AA3030" i="12"/>
  <c r="AA922" i="12"/>
  <c r="AA2669" i="12"/>
  <c r="AA125" i="12"/>
  <c r="AA452" i="12"/>
  <c r="AA88" i="12"/>
  <c r="AA1532" i="12"/>
  <c r="AA408" i="12"/>
  <c r="AA2573" i="12"/>
  <c r="AA580" i="12"/>
  <c r="AA1052" i="12"/>
  <c r="AA1706" i="12"/>
  <c r="AA3088" i="12"/>
  <c r="AA2928" i="12"/>
  <c r="AA1941" i="12"/>
  <c r="AA777" i="12"/>
  <c r="AA1347" i="12"/>
  <c r="AA2568" i="12"/>
  <c r="AA484" i="12"/>
  <c r="AA1794" i="12"/>
  <c r="AA1879" i="12"/>
  <c r="AA2515" i="12"/>
  <c r="AA1108" i="12"/>
  <c r="AA854" i="12"/>
  <c r="AA624" i="12"/>
  <c r="AA196" i="12"/>
  <c r="AA695" i="12"/>
  <c r="AA1046" i="12"/>
  <c r="AA431" i="12"/>
  <c r="AA2291" i="12"/>
  <c r="AA2770" i="12"/>
  <c r="AA3023" i="12"/>
  <c r="AA3109" i="12"/>
  <c r="AA2360" i="12"/>
  <c r="AA519" i="12"/>
  <c r="AA1615" i="12"/>
  <c r="AA3412" i="12"/>
  <c r="AA681" i="12"/>
  <c r="AA679" i="12"/>
  <c r="AA2193" i="12"/>
  <c r="AA1054" i="12"/>
  <c r="AA1474" i="12"/>
  <c r="AA728" i="12"/>
  <c r="AA50" i="12"/>
  <c r="AA2936" i="12"/>
  <c r="AA2196" i="12"/>
  <c r="AA449" i="12"/>
  <c r="AA640" i="12"/>
  <c r="AA190" i="12"/>
  <c r="AA3002" i="12"/>
  <c r="AA3017" i="12"/>
  <c r="AA636" i="12"/>
  <c r="AA981" i="12"/>
  <c r="AA443" i="12"/>
  <c r="AA406" i="12"/>
  <c r="AA1003" i="12"/>
  <c r="AA1480" i="12"/>
  <c r="AA462" i="12"/>
  <c r="AA2524" i="12"/>
  <c r="AA767" i="12"/>
  <c r="AA3169" i="12"/>
  <c r="AA2886" i="12"/>
  <c r="AA501" i="12"/>
  <c r="AA2449" i="12"/>
  <c r="AA3148" i="12"/>
  <c r="AA2368" i="12"/>
  <c r="AA919" i="12"/>
  <c r="AA510" i="12"/>
  <c r="AA652" i="12"/>
  <c r="AA149" i="12"/>
  <c r="AA2980" i="12"/>
  <c r="AA1079" i="12"/>
  <c r="AA1867" i="12"/>
  <c r="AA3038" i="12"/>
  <c r="AA1702" i="12"/>
  <c r="AA3362" i="12"/>
  <c r="AA481" i="12"/>
  <c r="AA3305" i="12"/>
  <c r="AA2631" i="12"/>
  <c r="AA3248" i="12"/>
  <c r="AA785" i="12"/>
  <c r="AA417" i="12"/>
  <c r="AA2831" i="12"/>
  <c r="AA59" i="12"/>
  <c r="AA140" i="12"/>
  <c r="AA1295" i="12"/>
  <c r="AA299" i="12"/>
  <c r="AA588" i="12"/>
  <c r="AA2815" i="12"/>
  <c r="AA2649" i="12"/>
  <c r="AA2086" i="12"/>
  <c r="AA1877" i="12"/>
  <c r="AA983" i="12"/>
  <c r="AA1280" i="12"/>
  <c r="AA769" i="12"/>
  <c r="AA3552" i="12"/>
  <c r="AA1943" i="12"/>
  <c r="AA2939" i="12"/>
  <c r="AA3130" i="12"/>
  <c r="AA2104" i="12"/>
  <c r="AA998" i="12"/>
  <c r="AA3205" i="12"/>
  <c r="AA3522" i="12"/>
  <c r="AA336" i="12"/>
  <c r="AA270" i="12"/>
  <c r="AA3137" i="12"/>
  <c r="AA1290" i="12"/>
  <c r="AA1063" i="12"/>
  <c r="AA961" i="12"/>
  <c r="AA1346" i="12"/>
  <c r="AA2007" i="12"/>
  <c r="AA957" i="12"/>
  <c r="AA2017" i="12"/>
  <c r="AA1221" i="12"/>
  <c r="AA530" i="12"/>
  <c r="AA3073" i="12"/>
  <c r="AA2117" i="12"/>
  <c r="AA2828" i="12"/>
  <c r="AA303" i="12"/>
  <c r="AA868" i="12"/>
  <c r="AA1631" i="12"/>
  <c r="AA1883" i="12"/>
  <c r="AA3500" i="12"/>
  <c r="AA1830" i="12"/>
  <c r="AA1454" i="12"/>
  <c r="AA3238" i="12"/>
  <c r="AA2002" i="12"/>
  <c r="AA2131" i="12"/>
  <c r="AA193" i="12"/>
  <c r="AA2220" i="12"/>
  <c r="AA326" i="12"/>
  <c r="AA886" i="12"/>
  <c r="AA1741" i="12"/>
  <c r="AA1175" i="12"/>
  <c r="AA2176" i="12"/>
  <c r="AA3378" i="12"/>
  <c r="AA3172" i="12"/>
  <c r="AA2629" i="12"/>
  <c r="AA2411" i="12"/>
  <c r="AA814" i="12"/>
  <c r="AA693" i="12"/>
  <c r="AA1733" i="12"/>
  <c r="AA1359" i="12"/>
  <c r="AA1753" i="12"/>
  <c r="AA917" i="12"/>
  <c r="AA2976" i="12"/>
  <c r="AA3159" i="12"/>
  <c r="AA2614" i="12"/>
  <c r="AA788" i="12"/>
  <c r="AA1049" i="12"/>
  <c r="AA1773" i="12"/>
  <c r="AA967" i="12"/>
  <c r="AA2650" i="12"/>
  <c r="AA2435" i="12"/>
  <c r="AA3466" i="12"/>
  <c r="AA2683" i="12"/>
  <c r="AA3064" i="12"/>
  <c r="AA2665" i="12"/>
  <c r="AA373" i="12"/>
  <c r="AA3442" i="12"/>
  <c r="AA848" i="12"/>
  <c r="AA2023" i="12"/>
  <c r="AA2254" i="12"/>
  <c r="AA1792" i="12"/>
  <c r="AA210" i="12"/>
  <c r="AA2782" i="12"/>
  <c r="AA2675" i="12"/>
  <c r="AA3158" i="12"/>
  <c r="AA2821" i="12"/>
  <c r="AA698" i="12"/>
  <c r="AA999" i="12"/>
  <c r="AA1645" i="12"/>
  <c r="AA2119" i="12"/>
  <c r="AA3093" i="12"/>
  <c r="AA1636" i="12"/>
  <c r="AA2318" i="12"/>
  <c r="AA1121" i="12"/>
  <c r="AA1847" i="12"/>
  <c r="AA899" i="12"/>
  <c r="AA1775" i="12"/>
  <c r="AA1012" i="12"/>
  <c r="AA1693" i="12"/>
  <c r="AA315" i="12"/>
  <c r="AA495" i="12"/>
  <c r="AA1093" i="12"/>
  <c r="AA2805" i="12"/>
  <c r="AA2091" i="12"/>
  <c r="AA3306" i="12"/>
  <c r="AA2757" i="12"/>
  <c r="AA102" i="12"/>
  <c r="AA3540" i="12"/>
  <c r="AA579" i="12"/>
  <c r="AA2461" i="12"/>
  <c r="AA3141" i="12"/>
  <c r="AA2482" i="12"/>
  <c r="AA3395" i="12"/>
  <c r="AA3351" i="12"/>
  <c r="AA3391" i="12"/>
  <c r="AA153" i="12"/>
  <c r="AA863" i="12"/>
  <c r="AA2138" i="12"/>
  <c r="AA969" i="12"/>
  <c r="AA1664" i="12"/>
  <c r="AA3509" i="12"/>
  <c r="AA824" i="12"/>
  <c r="AA207" i="12"/>
  <c r="AA1130" i="12"/>
  <c r="AA1850" i="12"/>
  <c r="AA1583" i="12"/>
  <c r="AA74" i="12"/>
  <c r="AA1025" i="12"/>
  <c r="AA1535" i="12"/>
  <c r="AA2771" i="12"/>
  <c r="AA2845" i="12"/>
  <c r="AA1885" i="12"/>
  <c r="AA236" i="12"/>
  <c r="AA2519" i="12"/>
  <c r="AA2685" i="12"/>
  <c r="AA1656" i="12"/>
  <c r="AA1795" i="12"/>
  <c r="AA1903" i="12"/>
  <c r="AA3103" i="12"/>
  <c r="AA1047" i="12"/>
  <c r="AA82" i="12"/>
  <c r="AA2908" i="12"/>
  <c r="AA2619" i="12"/>
  <c r="AA2870" i="12"/>
  <c r="AA944" i="12"/>
  <c r="AA1900" i="12"/>
  <c r="AA1067" i="12"/>
  <c r="AA2816" i="12"/>
  <c r="AA2379" i="12"/>
  <c r="AA2891" i="12"/>
  <c r="AA1222" i="12"/>
  <c r="AA437" i="12"/>
  <c r="AA381" i="12"/>
  <c r="AA166" i="12"/>
  <c r="AA641" i="12"/>
  <c r="AA1981" i="12"/>
  <c r="AA1122" i="12"/>
  <c r="AA1585" i="12"/>
  <c r="AA1127" i="12"/>
  <c r="AA1689" i="12"/>
  <c r="AA2699" i="12"/>
  <c r="AA959" i="12"/>
  <c r="AA316" i="12"/>
  <c r="AA1779" i="12"/>
  <c r="AA500" i="12"/>
  <c r="AA1115" i="12"/>
  <c r="AA2292" i="12"/>
  <c r="AA1895" i="12"/>
  <c r="AA1491" i="12"/>
  <c r="AA1228" i="12"/>
  <c r="AA3490" i="12"/>
  <c r="AA2164" i="12"/>
  <c r="AA2694" i="12"/>
  <c r="AA2547" i="12"/>
  <c r="AA3285" i="12"/>
  <c r="AA2749" i="12"/>
  <c r="AA2141" i="12"/>
  <c r="AA2643" i="12"/>
  <c r="AA576" i="12"/>
  <c r="AA790" i="12"/>
  <c r="AA456" i="12"/>
  <c r="AA2350" i="12"/>
  <c r="AA370" i="12"/>
  <c r="AA235" i="12"/>
  <c r="AA2249" i="12"/>
  <c r="AA3027" i="12"/>
  <c r="AA1202" i="12"/>
  <c r="AA1384" i="12"/>
  <c r="AA1518" i="12"/>
  <c r="AA1747" i="12"/>
  <c r="AA2526" i="12"/>
  <c r="AA700" i="12"/>
  <c r="AA26" i="12"/>
  <c r="AA2734" i="12"/>
  <c r="AA1361" i="12"/>
  <c r="AA3097" i="12"/>
  <c r="AA231" i="12"/>
  <c r="AA93" i="12"/>
  <c r="AA1683" i="12"/>
  <c r="AA1237" i="12"/>
  <c r="AA948" i="12"/>
  <c r="AA1604" i="12"/>
  <c r="AA2321" i="12"/>
  <c r="AA1852" i="12"/>
  <c r="AA665" i="12"/>
  <c r="AA3072" i="12"/>
  <c r="AA428" i="12"/>
  <c r="AA1579" i="12"/>
  <c r="AA492" i="12"/>
  <c r="AA1648" i="12"/>
  <c r="AA535" i="12"/>
  <c r="AA2640" i="12"/>
  <c r="AA900" i="12"/>
  <c r="AA1596" i="12"/>
  <c r="AA2994" i="12"/>
  <c r="AA980" i="12"/>
  <c r="AA3354" i="12"/>
  <c r="AA164" i="12"/>
  <c r="AA1607" i="12"/>
  <c r="AA3301" i="12"/>
  <c r="AA320" i="12"/>
  <c r="AA730" i="12"/>
  <c r="AA1074" i="12"/>
  <c r="AA276" i="12"/>
  <c r="AA3108" i="12"/>
  <c r="AA2074" i="12"/>
  <c r="AA1326" i="12"/>
  <c r="AA952" i="12"/>
  <c r="AA1468" i="12"/>
  <c r="AA2712" i="12"/>
  <c r="AA2744" i="12"/>
  <c r="AA3001" i="12"/>
  <c r="AA2773" i="12"/>
  <c r="AA2328" i="12"/>
  <c r="AA1803" i="12"/>
  <c r="AA590" i="12"/>
  <c r="AA2269" i="12"/>
  <c r="AA1188" i="12"/>
  <c r="AA1100" i="12"/>
  <c r="AA2820" i="12"/>
  <c r="AA1013" i="12"/>
  <c r="AA1348" i="12"/>
  <c r="AA133" i="12"/>
  <c r="AA712" i="12"/>
  <c r="AA2428" i="12"/>
  <c r="AA480" i="12"/>
  <c r="AA1283" i="12"/>
  <c r="AA1119" i="12"/>
  <c r="AA1668" i="12"/>
  <c r="AA2731" i="12"/>
  <c r="AA1869" i="12"/>
  <c r="AA23" i="12"/>
  <c r="AA309" i="12"/>
  <c r="AA1729" i="12"/>
  <c r="AA2610" i="12"/>
  <c r="AA2295" i="12"/>
  <c r="AA1259" i="12"/>
  <c r="AA1993" i="12"/>
  <c r="AA419" i="12"/>
  <c r="AA1497" i="12"/>
  <c r="AA1275" i="12"/>
  <c r="AA521" i="12"/>
  <c r="AA2392" i="12"/>
  <c r="AA2048" i="12"/>
  <c r="AA2300" i="12"/>
  <c r="AA1405" i="12"/>
  <c r="AA2808" i="12"/>
  <c r="AA2506" i="12"/>
  <c r="AA3282" i="12"/>
  <c r="AA918" i="12"/>
  <c r="AA2613" i="12"/>
  <c r="AA1949" i="12"/>
  <c r="AA750" i="12"/>
  <c r="AA890" i="12"/>
  <c r="AA3379" i="12"/>
  <c r="AA2070" i="12"/>
  <c r="AA398" i="12"/>
  <c r="AA2897" i="12"/>
  <c r="AA3078" i="12"/>
  <c r="AA831" i="12"/>
  <c r="AA3233" i="12"/>
  <c r="AA1825" i="12"/>
  <c r="AA3455" i="12"/>
  <c r="AA2109" i="12"/>
  <c r="AA830" i="12"/>
  <c r="AA2239" i="12"/>
  <c r="AA3287" i="12"/>
  <c r="AA2135" i="12"/>
  <c r="AA977" i="12"/>
  <c r="AA1214" i="12"/>
  <c r="AA2804" i="12"/>
  <c r="AA3221" i="12"/>
  <c r="AA1882" i="12"/>
  <c r="AA3055" i="12"/>
  <c r="AA1985" i="12"/>
  <c r="AA2271" i="12"/>
  <c r="AA1328" i="12"/>
  <c r="AA3160" i="12"/>
  <c r="AA108" i="12"/>
  <c r="AA1770" i="12"/>
  <c r="AA1260" i="12"/>
  <c r="AA2106" i="12"/>
  <c r="AA2202" i="12"/>
  <c r="AA531" i="12"/>
  <c r="AA2313" i="12"/>
  <c r="AA643" i="12"/>
  <c r="AA1263" i="12"/>
  <c r="AA410" i="12"/>
  <c r="AA887" i="12"/>
  <c r="AA775" i="12"/>
  <c r="AA808" i="12"/>
  <c r="AA3156" i="12"/>
  <c r="AA2043" i="12"/>
  <c r="AA2824" i="12"/>
  <c r="AA3117" i="12"/>
  <c r="AA548" i="12"/>
  <c r="AA1284" i="12"/>
  <c r="AA1914" i="12"/>
  <c r="AA3147" i="12"/>
  <c r="AA208" i="12"/>
  <c r="AA107" i="12"/>
  <c r="AA1330" i="12"/>
  <c r="AA3184" i="12"/>
  <c r="AA2945" i="12"/>
  <c r="AA2807" i="12"/>
  <c r="AA96" i="12"/>
  <c r="AA3039" i="12"/>
  <c r="AA3533" i="12"/>
  <c r="AA1845" i="12"/>
  <c r="AA1336" i="12"/>
  <c r="AA3508" i="12"/>
  <c r="AA1424" i="12"/>
  <c r="AA835" i="12"/>
  <c r="AA3044" i="12"/>
  <c r="AA647" i="12"/>
  <c r="AA433" i="12"/>
  <c r="AA926" i="12"/>
  <c r="AA1463" i="12"/>
  <c r="AA64" i="12"/>
  <c r="AA783" i="12"/>
  <c r="AA2302" i="12"/>
  <c r="AA684" i="12"/>
  <c r="AA1104" i="12"/>
  <c r="AA376" i="12"/>
  <c r="AA517" i="12"/>
  <c r="AA1924" i="12"/>
  <c r="AA350" i="12"/>
  <c r="AA2183" i="12"/>
  <c r="AA3154" i="12"/>
  <c r="AA177" i="12"/>
  <c r="AA2166" i="12"/>
  <c r="AA3115" i="12"/>
  <c r="AA3288" i="12"/>
  <c r="AA2165" i="12"/>
  <c r="AA2580" i="12"/>
  <c r="AA331" i="12"/>
  <c r="AA2364" i="12"/>
  <c r="AA3007" i="12"/>
  <c r="AA2066" i="12"/>
  <c r="AA1321" i="12"/>
  <c r="AA454" i="12"/>
  <c r="AA688" i="12"/>
  <c r="AA155" i="12"/>
  <c r="AA3491" i="12"/>
  <c r="AA3393" i="12"/>
  <c r="AA2863" i="12"/>
  <c r="AA3427" i="12"/>
  <c r="AA674" i="12"/>
  <c r="AA2595" i="12"/>
  <c r="AA209" i="12"/>
  <c r="AA2999" i="12"/>
  <c r="AA635" i="12"/>
  <c r="AA3129" i="12"/>
  <c r="AA1525" i="12"/>
  <c r="AA2419" i="12"/>
  <c r="AA2189" i="12"/>
  <c r="AA3210" i="12"/>
  <c r="AA2194" i="12"/>
  <c r="AA606" i="12"/>
  <c r="AA3112" i="12"/>
  <c r="AA672" i="12"/>
  <c r="AA1434" i="12"/>
  <c r="AA119" i="12"/>
  <c r="AA211" i="12"/>
  <c r="AA224" i="12"/>
  <c r="AA1178" i="12"/>
  <c r="AA1015" i="12"/>
  <c r="AA254" i="12"/>
  <c r="AA2208" i="12"/>
  <c r="AA338" i="12"/>
  <c r="AA2430" i="12"/>
  <c r="AA539" i="12"/>
  <c r="AA1715" i="12"/>
  <c r="AA1848" i="12"/>
  <c r="AA1948" i="12"/>
  <c r="AA3512" i="12"/>
  <c r="AA3410" i="12"/>
  <c r="AA552" i="12"/>
  <c r="AA2423" i="12"/>
  <c r="AA1878" i="12"/>
  <c r="AA380" i="12"/>
  <c r="AA2624" i="12"/>
  <c r="AA2656" i="12"/>
  <c r="AA1086" i="12"/>
  <c r="AA2924" i="12"/>
  <c r="AA1575" i="12"/>
  <c r="AA1048" i="12"/>
  <c r="AA1513" i="12"/>
  <c r="AA2095" i="12"/>
  <c r="AA3217" i="12"/>
  <c r="AA1988" i="12"/>
  <c r="AA846" i="12"/>
  <c r="AA2933" i="12"/>
  <c r="AA3358" i="12"/>
  <c r="AA685" i="12"/>
  <c r="AA3054" i="12"/>
  <c r="AA3299" i="12"/>
  <c r="AA3401" i="12"/>
  <c r="AA2779" i="12"/>
  <c r="AA1008" i="12"/>
  <c r="AA859" i="12"/>
  <c r="AA344" i="12"/>
  <c r="AA3339" i="12"/>
  <c r="AA1131" i="12"/>
  <c r="AA1477" i="12"/>
  <c r="AA2707" i="12"/>
  <c r="AA2427" i="12"/>
  <c r="AA932" i="12"/>
  <c r="AA280" i="12"/>
  <c r="AA2553" i="12"/>
  <c r="AA2388" i="12"/>
  <c r="AA1545" i="12"/>
  <c r="AA118" i="12"/>
  <c r="AA3532" i="12"/>
  <c r="AA3041" i="12"/>
  <c r="AA327" i="12"/>
  <c r="AA678" i="12"/>
  <c r="AA1522" i="12"/>
  <c r="AA2890" i="12"/>
  <c r="AA1490" i="12"/>
  <c r="AA2026" i="12"/>
  <c r="AA676" i="12"/>
  <c r="AA3550" i="12"/>
  <c r="AA3327" i="12"/>
  <c r="AA1549" i="12"/>
  <c r="AA3473" i="12"/>
  <c r="AA3315" i="12"/>
  <c r="AA1488" i="12"/>
  <c r="AA1546" i="12"/>
  <c r="AA2071" i="12"/>
  <c r="AA2464" i="12"/>
  <c r="AA1927" i="12"/>
  <c r="AA2110" i="12"/>
  <c r="AA3318" i="12"/>
  <c r="AA1781" i="12"/>
  <c r="AA1846" i="12"/>
  <c r="AA1302" i="12"/>
  <c r="AA2839" i="12"/>
  <c r="AA563" i="12"/>
  <c r="AA834" i="12"/>
  <c r="AA2970" i="12"/>
  <c r="AA1382" i="12"/>
  <c r="AA1677" i="12"/>
  <c r="AA2674" i="12"/>
  <c r="AA1757" i="12"/>
  <c r="AA2739" i="12"/>
  <c r="AA2381" i="12"/>
  <c r="AA1268" i="12"/>
  <c r="AA1231" i="12"/>
  <c r="AA1132" i="12"/>
  <c r="AA1327" i="12"/>
  <c r="AA2096" i="12"/>
  <c r="AA1772" i="12"/>
  <c r="AA2045" i="12"/>
  <c r="AA2727" i="12"/>
  <c r="AA1141" i="12"/>
  <c r="AA1465" i="12"/>
  <c r="AA1812" i="12"/>
  <c r="AA2440" i="12"/>
  <c r="AA507" i="12"/>
  <c r="AA2791" i="12"/>
  <c r="AA3341" i="12"/>
  <c r="AA1389" i="12"/>
  <c r="AA779" i="12"/>
  <c r="AA3089" i="12"/>
  <c r="AA2539" i="12"/>
  <c r="AA491" i="12"/>
  <c r="AA3463" i="12"/>
  <c r="AA3283" i="12"/>
  <c r="AA953" i="12"/>
  <c r="AA2390" i="12"/>
  <c r="AA706" i="12"/>
  <c r="AA745" i="12"/>
  <c r="AA1864" i="12"/>
  <c r="AA1253" i="12"/>
  <c r="AA434" i="12"/>
  <c r="AA3493" i="12"/>
  <c r="AA1315" i="12"/>
  <c r="AA1810" i="12"/>
  <c r="AA3214" i="12"/>
  <c r="AA124" i="12"/>
  <c r="AA3516" i="12"/>
  <c r="AA3021" i="12"/>
  <c r="AA3076" i="12"/>
  <c r="AA1982" i="12"/>
  <c r="AA2931" i="12"/>
  <c r="AA2844" i="12"/>
  <c r="AA3389" i="12"/>
  <c r="AA3402" i="12"/>
  <c r="AA3242" i="12"/>
  <c r="AA3521" i="12"/>
  <c r="AA3383" i="12"/>
  <c r="AA2195" i="12"/>
  <c r="AA2064" i="12"/>
  <c r="AA2394" i="12"/>
  <c r="AA2323" i="12"/>
  <c r="AA867" i="12"/>
  <c r="AA2053" i="12"/>
  <c r="AA144" i="12"/>
  <c r="AA1433" i="12"/>
  <c r="AA2059" i="12"/>
  <c r="AA1901" i="12"/>
  <c r="AA19" i="12"/>
  <c r="AA1386" i="12"/>
  <c r="AA2445" i="12"/>
  <c r="AA784" i="12"/>
  <c r="AA2621" i="12"/>
  <c r="AA572" i="12"/>
  <c r="AA827" i="12"/>
  <c r="AA1413" i="12"/>
  <c r="AA319" i="12"/>
  <c r="AA46" i="12"/>
  <c r="AA191" i="12"/>
  <c r="AA3223" i="12"/>
  <c r="AA2747" i="12"/>
  <c r="AA2238" i="12"/>
  <c r="AA3294" i="12"/>
  <c r="AA1802" i="12"/>
  <c r="AA2872" i="12"/>
  <c r="AA615" i="12"/>
  <c r="AA857" i="12"/>
  <c r="AA57" i="12"/>
  <c r="AA2799" i="12"/>
  <c r="AA895" i="12"/>
  <c r="AA1789" i="12"/>
  <c r="AA3096" i="12"/>
  <c r="AA65" i="12"/>
  <c r="AA1905" i="12"/>
  <c r="AA290" i="12"/>
  <c r="AA3061" i="12"/>
  <c r="AA799" i="12"/>
  <c r="AA1255" i="12"/>
  <c r="AA1183" i="12"/>
  <c r="AA861" i="12"/>
  <c r="AA1767" i="12"/>
  <c r="AA427" i="12"/>
  <c r="AA3249" i="12"/>
  <c r="AA195" i="12"/>
  <c r="AA2952" i="12"/>
  <c r="AA1246" i="12"/>
  <c r="AA2268" i="12"/>
  <c r="AA2161" i="12"/>
  <c r="AA3422" i="12"/>
  <c r="AA2947" i="12"/>
  <c r="AA301" i="12"/>
  <c r="AA3547" i="12"/>
  <c r="AA2225" i="12"/>
  <c r="AA274" i="12"/>
  <c r="AA2100" i="12"/>
  <c r="AA393" i="12"/>
  <c r="AA2514" i="12"/>
  <c r="AA3497" i="12"/>
  <c r="AA2942" i="12"/>
  <c r="AA2293" i="12"/>
  <c r="AA38" i="12"/>
  <c r="AA3483" i="12"/>
  <c r="AA1968" i="12"/>
  <c r="AA1562" i="12"/>
  <c r="AA2793" i="12"/>
  <c r="AA1791" i="12"/>
  <c r="AA2609" i="12"/>
  <c r="AA2049" i="12"/>
  <c r="AA241" i="12"/>
  <c r="AA2899" i="12"/>
  <c r="AA1839" i="12"/>
  <c r="AA272" i="12"/>
  <c r="AA2774" i="12"/>
  <c r="AA2550" i="12"/>
  <c r="AA1401" i="12"/>
  <c r="AA3146" i="12"/>
  <c r="AA3373" i="12"/>
  <c r="AA609" i="12"/>
  <c r="AA820" i="12"/>
  <c r="AA1083" i="12"/>
  <c r="AA2093" i="12"/>
  <c r="AA1172" i="12"/>
  <c r="AA429" i="12"/>
  <c r="AA2263" i="12"/>
  <c r="AA592" i="12"/>
  <c r="AA1563" i="12"/>
  <c r="AA441" i="12"/>
  <c r="AA1603" i="12"/>
  <c r="AA3063" i="12"/>
  <c r="AA3170" i="12"/>
  <c r="AA1557" i="12"/>
  <c r="AA3077" i="12"/>
  <c r="AA1078" i="12"/>
  <c r="AA1558" i="12"/>
  <c r="AA595" i="12"/>
  <c r="AA361" i="12"/>
  <c r="AA390" i="12"/>
  <c r="AA894" i="12"/>
  <c r="AA1831" i="12"/>
  <c r="AA1306" i="12"/>
  <c r="AA871" i="12"/>
  <c r="AA1811" i="12"/>
  <c r="AA2556" i="12"/>
  <c r="AA1661" i="12"/>
  <c r="AA345" i="12"/>
  <c r="AA3368" i="12"/>
  <c r="AA1593" i="12"/>
  <c r="AA1612" i="12"/>
  <c r="AA2473" i="12"/>
  <c r="AA1962" i="12"/>
  <c r="AA1956" i="12"/>
  <c r="AA2163" i="12"/>
  <c r="AA83" i="12"/>
  <c r="AA611" i="12"/>
  <c r="AA524" i="12"/>
  <c r="AA2696" i="12"/>
  <c r="AA3502" i="12"/>
  <c r="AA1150" i="12"/>
  <c r="AA2475" i="12"/>
  <c r="AA1421" i="12"/>
  <c r="AA383" i="12"/>
  <c r="AA3098" i="12"/>
  <c r="AA382" i="12"/>
  <c r="AA924" i="12"/>
  <c r="AA574" i="12"/>
  <c r="AA527" i="12"/>
  <c r="AA2740" i="12"/>
  <c r="AA3425" i="12"/>
  <c r="AA2429" i="12"/>
  <c r="AA2441" i="12"/>
  <c r="AA559" i="12"/>
  <c r="AA1717" i="12"/>
  <c r="AA2817" i="12"/>
  <c r="AA493" i="12"/>
  <c r="AA3104" i="12"/>
  <c r="AA898" i="12"/>
  <c r="AA2219" i="12"/>
  <c r="AA3167" i="12"/>
  <c r="AA1360" i="12"/>
  <c r="AA2902" i="12"/>
  <c r="AA1323" i="12"/>
  <c r="AA3335" i="12"/>
  <c r="AA131" i="12"/>
  <c r="AA1552" i="12"/>
  <c r="AA2637" i="12"/>
  <c r="AA950" i="12"/>
  <c r="AA3062" i="12"/>
  <c r="AA142" i="12"/>
  <c r="AA974" i="12"/>
  <c r="AA911" i="12"/>
  <c r="AA3284" i="12"/>
  <c r="AA761" i="12"/>
  <c r="AA3504" i="12"/>
  <c r="AA312" i="12"/>
  <c r="AA1854" i="12"/>
  <c r="AA1241" i="12"/>
  <c r="AA904" i="12"/>
  <c r="AA2198" i="12"/>
  <c r="AA2098" i="12"/>
  <c r="AA2956" i="12"/>
  <c r="AA1418" i="12"/>
  <c r="AA233" i="12"/>
  <c r="AA1568" i="12"/>
  <c r="AA1482" i="12"/>
  <c r="AA371" i="12"/>
  <c r="AA1169" i="12"/>
  <c r="AA485" i="12"/>
  <c r="AA2788" i="12"/>
  <c r="AA2803" i="12"/>
  <c r="AA1858" i="12"/>
  <c r="AA523" i="12"/>
  <c r="AA388" i="12"/>
  <c r="AA2654" i="12"/>
  <c r="AA1564" i="12"/>
  <c r="AA1876" i="12"/>
  <c r="AA817" i="12"/>
  <c r="AA540" i="12"/>
  <c r="AA1353" i="12"/>
  <c r="AA1686" i="12"/>
  <c r="AA3200" i="12"/>
  <c r="AA1095" i="12"/>
  <c r="AA1972" i="12"/>
  <c r="AA2724" i="12"/>
  <c r="AA2655" i="12"/>
  <c r="AA55" i="12"/>
  <c r="AA1060" i="12"/>
  <c r="AA3396" i="12"/>
  <c r="AA219" i="12"/>
  <c r="AA2693" i="12"/>
  <c r="AA2700" i="12"/>
  <c r="AA2692" i="12"/>
  <c r="AA2051" i="12"/>
  <c r="AA631" i="12"/>
  <c r="AA2489" i="12"/>
  <c r="AA3526" i="12"/>
  <c r="AA3256" i="12"/>
  <c r="AA802" i="12"/>
  <c r="AA1493" i="12"/>
  <c r="AA1235" i="12"/>
  <c r="AA2494" i="12"/>
  <c r="AA146" i="12"/>
  <c r="AA1262" i="12"/>
  <c r="AA677" i="12"/>
  <c r="AA3247" i="12"/>
  <c r="AA3070" i="12"/>
  <c r="AA2408" i="12"/>
  <c r="AA2641" i="12"/>
  <c r="AA1051" i="12"/>
  <c r="AA2801" i="12"/>
  <c r="AA2673" i="12"/>
  <c r="AA3259" i="12"/>
  <c r="AA3355" i="12"/>
  <c r="AA2717" i="12"/>
  <c r="AA1205" i="12"/>
  <c r="AA1355" i="12"/>
  <c r="AA1841" i="12"/>
  <c r="AA1002" i="12"/>
  <c r="AA47" i="12"/>
  <c r="AA1276" i="12"/>
  <c r="AA2762" i="12"/>
  <c r="AA3445" i="12"/>
  <c r="AA3535" i="12"/>
  <c r="AA1273" i="12"/>
  <c r="AA3296" i="12"/>
  <c r="AA2711" i="12"/>
  <c r="AA1000" i="12"/>
  <c r="AA2270" i="12"/>
  <c r="AA1670" i="12"/>
  <c r="AA1991" i="12"/>
  <c r="AA3415" i="12"/>
  <c r="AA396" i="12"/>
  <c r="AA400" i="12"/>
  <c r="AA1765" i="12"/>
  <c r="AA3209" i="12"/>
  <c r="AA557" i="12"/>
  <c r="AA545" i="12"/>
  <c r="AA205" i="12"/>
  <c r="AA1578" i="12"/>
  <c r="AA3012" i="12"/>
  <c r="AA838" i="12"/>
  <c r="AA2080" i="12"/>
  <c r="AA1313" i="12"/>
  <c r="AA343" i="12"/>
  <c r="AA3394" i="12"/>
  <c r="AA3291" i="12"/>
  <c r="AA2628" i="12"/>
  <c r="AA3250" i="12"/>
  <c r="AA973" i="12"/>
  <c r="AA2472" i="12"/>
  <c r="AA2433" i="12"/>
  <c r="AA1351" i="12"/>
  <c r="AA1298" i="12"/>
  <c r="AA1022" i="12"/>
  <c r="AA536" i="12"/>
  <c r="AA2150" i="12"/>
  <c r="AA1687" i="12"/>
  <c r="AA1751" i="12"/>
  <c r="AA645" i="12"/>
  <c r="AA3174" i="12"/>
  <c r="AA1508" i="12"/>
  <c r="AA413" i="12"/>
  <c r="AA1699" i="12"/>
  <c r="AA560" i="12"/>
  <c r="AA1744" i="12"/>
  <c r="AA3536" i="12"/>
  <c r="AA1004" i="12"/>
  <c r="AA440" i="12"/>
  <c r="AA73" i="12"/>
  <c r="AA111" i="12"/>
  <c r="AA1126" i="12"/>
  <c r="AA966" i="12"/>
  <c r="AA2182" i="12"/>
  <c r="AA1459" i="12"/>
  <c r="AA45" i="12"/>
  <c r="AA1317" i="12"/>
  <c r="AA2543" i="12"/>
  <c r="AA486" i="12"/>
  <c r="AA2332" i="12"/>
  <c r="AA551" i="12"/>
  <c r="AA3423" i="12"/>
  <c r="AA3380" i="12"/>
  <c r="AA1681" i="12"/>
  <c r="AA2211" i="12"/>
  <c r="AA1256" i="12"/>
  <c r="AA3124" i="12"/>
  <c r="AA2646" i="12"/>
  <c r="AA995" i="12"/>
  <c r="AA3441" i="12"/>
  <c r="AA1371" i="12"/>
  <c r="AA866" i="12"/>
  <c r="AA1851" i="12"/>
  <c r="AA1422" i="12"/>
  <c r="AA600" i="12"/>
  <c r="AA1385" i="12"/>
  <c r="AA2541" i="12"/>
  <c r="AA512" i="12"/>
  <c r="AA1435" i="12"/>
  <c r="AA2507" i="12"/>
  <c r="AA1909" i="12"/>
  <c r="AA903" i="12"/>
  <c r="AA608" i="12"/>
  <c r="AA2567" i="12"/>
  <c r="AA1478" i="12"/>
  <c r="AA3313" i="12"/>
  <c r="AA2227" i="12"/>
  <c r="AA1964" i="12"/>
  <c r="AA2171" i="12"/>
  <c r="AA3486" i="12"/>
  <c r="AA2832" i="12"/>
  <c r="AA1028" i="12"/>
  <c r="AA1034" i="12"/>
  <c r="AA347" i="12"/>
  <c r="AA692" i="12"/>
  <c r="AA840" i="12"/>
  <c r="AA2668" i="12"/>
  <c r="AA3426" i="12"/>
  <c r="AA741" i="12"/>
  <c r="AA2499" i="12"/>
  <c r="AA962" i="12"/>
  <c r="AA2944" i="12"/>
  <c r="AA1944" i="12"/>
  <c r="AA2052" i="12"/>
  <c r="AA2833" i="12"/>
  <c r="AA2288" i="12"/>
  <c r="AA245" i="12"/>
  <c r="AA1116" i="12"/>
  <c r="AA2214" i="12"/>
  <c r="AA937" i="12"/>
  <c r="AA3212" i="12"/>
  <c r="AA630" i="12"/>
  <c r="AA2372" i="12"/>
  <c r="AA1113" i="12"/>
  <c r="AA1947" i="12"/>
  <c r="AA2486" i="12"/>
  <c r="AA2716" i="12"/>
  <c r="AA607" i="12"/>
  <c r="AA1997" i="12"/>
  <c r="AA2622" i="12"/>
  <c r="AA3312" i="12"/>
  <c r="AA984" i="12"/>
  <c r="AA3140" i="12"/>
  <c r="AA2681" i="12"/>
  <c r="AA2353" i="12"/>
  <c r="AA1694" i="12"/>
  <c r="AA2079" i="12"/>
  <c r="AA2078" i="12"/>
  <c r="AA2015" i="12"/>
  <c r="AA2871" i="12"/>
  <c r="AA365" i="12"/>
  <c r="AA1519" i="12"/>
  <c r="AA3320" i="12"/>
  <c r="AA2012" i="12"/>
  <c r="AA2935" i="12"/>
  <c r="AA2478" i="12"/>
  <c r="AA2204" i="12"/>
  <c r="AA3453" i="12"/>
  <c r="AA3499" i="12"/>
  <c r="AA1322" i="12"/>
  <c r="AA626" i="12"/>
  <c r="AA1097" i="12"/>
  <c r="AA2723" i="12"/>
  <c r="AA3357" i="12"/>
  <c r="AA3182" i="12"/>
  <c r="AA3094" i="12"/>
  <c r="AA3142" i="12"/>
  <c r="AA869" i="12"/>
  <c r="AA1092" i="12"/>
  <c r="AA1627" i="12"/>
  <c r="AA2105" i="12"/>
  <c r="AA2758" i="12"/>
  <c r="AA1676" i="12"/>
  <c r="AA2329" i="12"/>
  <c r="AA3051" i="12"/>
  <c r="AA951" i="12"/>
  <c r="AA3302" i="12"/>
  <c r="AA3269" i="12"/>
  <c r="AA3127" i="12"/>
  <c r="AA3489" i="12"/>
  <c r="AA1536" i="12"/>
  <c r="AA317" i="12"/>
  <c r="AA982" i="12"/>
  <c r="AA2102" i="12"/>
  <c r="AA2065" i="12"/>
  <c r="AA2349" i="12"/>
  <c r="AA3138" i="12"/>
  <c r="AA2038" i="12"/>
  <c r="AA1081" i="12"/>
  <c r="AA1357" i="12"/>
  <c r="AA1136" i="12"/>
  <c r="AA2417" i="12"/>
  <c r="AA1874" i="12"/>
  <c r="AA1293" i="12"/>
  <c r="AA2879" i="12"/>
  <c r="AA1609" i="12"/>
  <c r="AA2937" i="12"/>
  <c r="AA357" i="12"/>
  <c r="AA2331" i="12"/>
  <c r="AA2042" i="12"/>
  <c r="AA3405" i="12"/>
  <c r="AA1496" i="12"/>
  <c r="AA1457" i="12"/>
  <c r="AA1316" i="12"/>
  <c r="AA3013" i="12"/>
  <c r="AA1192" i="12"/>
  <c r="AA2719" i="12"/>
  <c r="AA2599" i="12"/>
  <c r="AA940" i="12"/>
  <c r="AA3548" i="12"/>
  <c r="AA2281" i="12"/>
  <c r="AA300" i="12"/>
  <c r="AA1244" i="12"/>
  <c r="AA964" i="12"/>
  <c r="AA3527" i="12"/>
  <c r="AA2276" i="12"/>
  <c r="AA1953" i="12"/>
  <c r="AA811" i="12"/>
  <c r="AA3086" i="12"/>
  <c r="AA829" i="12"/>
  <c r="AA2111" i="12"/>
  <c r="AA597" i="12"/>
  <c r="AA289" i="12"/>
  <c r="AA2920" i="12"/>
  <c r="AA1441" i="12"/>
  <c r="AA705" i="12"/>
  <c r="AA1419" i="12"/>
  <c r="AA963" i="12"/>
  <c r="AA2327" i="12"/>
  <c r="AA1299" i="12"/>
  <c r="AA1916" i="12"/>
  <c r="AA60" i="12"/>
  <c r="AA2877" i="12"/>
  <c r="AA333" i="12"/>
  <c r="AA2895" i="12"/>
  <c r="AA1230" i="12"/>
  <c r="AA2437" i="12"/>
  <c r="AA3530" i="12"/>
  <c r="AA816" i="12"/>
  <c r="AA1740" i="12"/>
  <c r="AA459" i="12"/>
  <c r="AA3430" i="12"/>
  <c r="AA2660" i="12"/>
  <c r="AA2197" i="12"/>
  <c r="AA1759" i="12"/>
  <c r="AA593" i="12"/>
  <c r="AA1723" i="12"/>
  <c r="AA3204" i="12"/>
  <c r="AA1788" i="12"/>
  <c r="AA277" i="12"/>
  <c r="AA1410" i="12"/>
  <c r="AA2702" i="12"/>
  <c r="AA929" i="12"/>
  <c r="AA805" i="12"/>
  <c r="AA1969" i="12"/>
  <c r="AA178" i="12"/>
  <c r="AA422" i="12"/>
  <c r="AA1911" i="12"/>
  <c r="AA2846" i="12"/>
  <c r="AA3016" i="12"/>
  <c r="AA2706" i="12"/>
  <c r="AA819" i="12"/>
  <c r="AA2861" i="12"/>
  <c r="AA1550" i="12"/>
  <c r="AA116" i="12"/>
  <c r="AA659" i="12"/>
  <c r="AA1200" i="12"/>
  <c r="AA1117" i="12"/>
  <c r="AA3338" i="12"/>
  <c r="AA1833" i="12"/>
  <c r="AA2236" i="12"/>
  <c r="AA1089" i="12"/>
  <c r="AA3469" i="12"/>
  <c r="AA1698" i="12"/>
  <c r="AA1592" i="12"/>
  <c r="AA3045" i="12"/>
  <c r="AA2056" i="12"/>
  <c r="AA943" i="12"/>
  <c r="AA2151" i="12"/>
  <c r="AA3276" i="12"/>
  <c r="AA2829" i="12"/>
  <c r="AA3075" i="12"/>
  <c r="AA2371" i="12"/>
  <c r="AA2439" i="12"/>
  <c r="AA2748" i="12"/>
  <c r="AA267" i="12"/>
  <c r="AA1501" i="12"/>
  <c r="AA3478" i="12"/>
  <c r="AA1523" i="12"/>
  <c r="AA2205" i="12"/>
  <c r="AA2326" i="12"/>
  <c r="AA2013" i="12"/>
  <c r="AA2953" i="12"/>
  <c r="AA872" i="12"/>
  <c r="AA2857" i="12"/>
  <c r="AA889" i="12"/>
  <c r="AA3118" i="12"/>
  <c r="AA1481" i="12"/>
  <c r="AA2647" i="12"/>
  <c r="AA623" i="12"/>
  <c r="AA1987" i="12"/>
  <c r="AA3144" i="12"/>
  <c r="AA939" i="12"/>
  <c r="AA505" i="12"/>
  <c r="AA1266" i="12"/>
  <c r="AA81" i="12"/>
  <c r="AA470" i="12"/>
  <c r="AA2736" i="12"/>
  <c r="AA1105" i="12"/>
  <c r="AA330" i="12"/>
  <c r="AA826" i="12"/>
  <c r="AA2168" i="12"/>
  <c r="AA1892" i="12"/>
  <c r="AA3382" i="12"/>
  <c r="AA159" i="12"/>
  <c r="AA1447" i="12"/>
  <c r="AA139" i="12"/>
  <c r="AA2826" i="12"/>
  <c r="AA1305" i="12"/>
  <c r="AA662" i="12"/>
  <c r="AA2286" i="12"/>
  <c r="AA568" i="12"/>
  <c r="AA1679" i="12"/>
  <c r="AA3400" i="12"/>
  <c r="AA3258" i="12"/>
  <c r="AA354" i="12"/>
  <c r="AA1718" i="12"/>
  <c r="AA949" i="12"/>
  <c r="AA1446" i="12"/>
  <c r="AA1216" i="12"/>
  <c r="AA1300" i="12"/>
  <c r="AA3433" i="12"/>
  <c r="AA61" i="12"/>
  <c r="AA282" i="12"/>
  <c r="AA3136" i="12"/>
  <c r="AA2444" i="12"/>
  <c r="AA2718" i="12"/>
  <c r="AA2426" i="12"/>
  <c r="AA2370" i="12"/>
  <c r="AA758" i="12"/>
  <c r="AA542" i="12"/>
  <c r="AA468" i="12"/>
  <c r="AA3262" i="12"/>
  <c r="AA3100" i="12"/>
  <c r="AA2750" i="12"/>
  <c r="AA3083" i="12"/>
  <c r="AA1044" i="12"/>
  <c r="AA1264" i="12"/>
  <c r="AA3099" i="12"/>
  <c r="AA1920" i="12"/>
  <c r="AA1080" i="12"/>
  <c r="AA1134" i="12"/>
  <c r="AA2283" i="12"/>
  <c r="AA773" i="12"/>
  <c r="AA691" i="12"/>
  <c r="AA3157" i="12"/>
  <c r="AA2811" i="12"/>
  <c r="AA621" i="12"/>
  <c r="AA1758" i="12"/>
  <c r="AA2358" i="12"/>
  <c r="AA3274" i="12"/>
  <c r="AA2764" i="12"/>
  <c r="AA1737" i="12"/>
  <c r="AA2077" i="12"/>
  <c r="AA3275" i="12"/>
  <c r="AA1311" i="12"/>
  <c r="AA2418" i="12"/>
  <c r="AA3135" i="12"/>
  <c r="AA704" i="12"/>
  <c r="AA508" i="12"/>
  <c r="AA3150" i="12"/>
  <c r="AA1595" i="12"/>
  <c r="AA2645" i="12"/>
  <c r="AA2037" i="12"/>
  <c r="AA806" i="12"/>
  <c r="AA723" i="12"/>
  <c r="AA1626" i="12"/>
  <c r="AA369" i="12"/>
  <c r="AA1282" i="12"/>
  <c r="AA1657" i="12"/>
  <c r="AA1304" i="12"/>
  <c r="AA2653" i="12"/>
  <c r="AA3046" i="12"/>
  <c r="AA2598" i="12"/>
  <c r="AA29" i="12"/>
  <c r="AA1815" i="12"/>
  <c r="AA33" i="12"/>
  <c r="AA2578" i="12"/>
  <c r="AA1118" i="12"/>
  <c r="AA3363" i="12"/>
  <c r="AA1337" i="12"/>
  <c r="AA1640" i="12"/>
  <c r="AA1367" i="12"/>
  <c r="AA3439" i="12"/>
  <c r="AA3289" i="12"/>
  <c r="AA1937" i="12"/>
  <c r="AA1249" i="12"/>
  <c r="AA1111" i="12"/>
  <c r="AA990" i="12"/>
  <c r="AA581" i="12"/>
  <c r="AA2230" i="12"/>
  <c r="AA2069" i="12"/>
  <c r="AA3000" i="12"/>
  <c r="AA958" i="12"/>
  <c r="AA2695" i="12"/>
  <c r="AA1728" i="12"/>
  <c r="AA753" i="12"/>
  <c r="AA2761" i="12"/>
  <c r="AA2361" i="12"/>
  <c r="AA2923" i="12"/>
  <c r="AA2997" i="12"/>
  <c r="AA2467" i="12"/>
  <c r="AA747" i="12"/>
  <c r="AA1980" i="12"/>
  <c r="AA1148" i="12"/>
  <c r="AA256" i="12"/>
  <c r="AA1678" i="12"/>
  <c r="AA1597" i="12"/>
  <c r="AA200" i="12"/>
  <c r="AA1248" i="12"/>
  <c r="AA260" i="12"/>
  <c r="AA1277" i="12"/>
  <c r="AA2404" i="12"/>
  <c r="AA466" i="12"/>
  <c r="AA2359" i="12"/>
  <c r="AA2466" i="12"/>
  <c r="AA293" i="12"/>
  <c r="AA1959" i="12"/>
  <c r="AA457" i="12"/>
  <c r="AA1217" i="12"/>
  <c r="AA288" i="12"/>
  <c r="AA3203" i="12"/>
  <c r="AA2162" i="12"/>
  <c r="AA2351" i="12"/>
  <c r="AA1191" i="12"/>
  <c r="AA1572" i="12"/>
  <c r="AA2403" i="12"/>
  <c r="AA627" i="12"/>
  <c r="AA3460" i="12"/>
  <c r="AA2825" i="12"/>
  <c r="AA22" i="12"/>
  <c r="AA1743" i="12"/>
  <c r="AA1091" i="12"/>
  <c r="AA1520" i="12"/>
  <c r="AA3181" i="12"/>
  <c r="AA163" i="12"/>
  <c r="AA217" i="12"/>
  <c r="AA490" i="12"/>
  <c r="AA94" i="12"/>
  <c r="AA1070" i="12"/>
  <c r="AA2132" i="12"/>
  <c r="AA2121" i="12"/>
  <c r="AA1515" i="12"/>
  <c r="AA1238" i="12"/>
  <c r="AA2797" i="12"/>
  <c r="AA2930" i="12"/>
  <c r="AA3228" i="12"/>
  <c r="AA1258" i="12"/>
  <c r="AA1908" i="12"/>
  <c r="AA448" i="12"/>
  <c r="AA2713" i="12"/>
  <c r="AA2760" i="12"/>
  <c r="AA3008" i="12"/>
  <c r="AA1738" i="12"/>
  <c r="AA3347" i="12"/>
  <c r="AA1368" i="12"/>
  <c r="AA1199" i="12"/>
  <c r="AA1940" i="12"/>
  <c r="AA748" i="12"/>
  <c r="AA1617" i="12"/>
  <c r="AA800" i="12"/>
  <c r="AA1762" i="12"/>
  <c r="AA84" i="12"/>
  <c r="AA2625" i="12"/>
  <c r="AA169" i="12"/>
  <c r="AA1512" i="12"/>
  <c r="AA989" i="12"/>
  <c r="AA1902" i="12"/>
  <c r="AA1334" i="12"/>
  <c r="AA1960" i="12"/>
  <c r="AA192" i="12"/>
  <c r="AA1285" i="12"/>
  <c r="AA2463" i="12"/>
  <c r="AA3498" i="12"/>
  <c r="AA3231" i="12"/>
  <c r="AA1571" i="12"/>
  <c r="AA416" i="12"/>
  <c r="AA2234" i="12"/>
  <c r="AA2913" i="12"/>
  <c r="AA3152" i="12"/>
  <c r="AA1582" i="12"/>
  <c r="AA2792" i="12"/>
  <c r="AA2777" i="12"/>
  <c r="AA782" i="12"/>
  <c r="AA538" i="12"/>
  <c r="AA2753" i="12"/>
  <c r="AA1774" i="12"/>
  <c r="AA49" i="12"/>
  <c r="AA945" i="12"/>
  <c r="AA1027" i="12"/>
  <c r="AA668" i="12"/>
  <c r="AA3517" i="12"/>
  <c r="AA2648" i="12"/>
  <c r="AA2432" i="12"/>
  <c r="AA2606" i="12"/>
  <c r="AA1840" i="12"/>
  <c r="AA132" i="12"/>
  <c r="AA2982" i="12"/>
  <c r="AA1633" i="12"/>
  <c r="AA2810" i="12"/>
  <c r="AA1732" i="12"/>
  <c r="AA1713" i="12"/>
  <c r="AA907" i="12"/>
  <c r="AA2137" i="12"/>
  <c r="AA411" i="12"/>
  <c r="AA3404" i="12"/>
  <c r="AA1842" i="12"/>
  <c r="AA3143" i="12"/>
  <c r="AA1504" i="12"/>
  <c r="AA242" i="12"/>
  <c r="AA2267" i="12"/>
  <c r="AA3459" i="12"/>
  <c r="AA1142" i="12"/>
  <c r="AA1055" i="12"/>
  <c r="AA3235" i="12"/>
  <c r="AA389" i="12"/>
  <c r="AA2462" i="12"/>
  <c r="AA1783" i="12"/>
  <c r="AA2884" i="12"/>
  <c r="AA2600" i="12"/>
  <c r="AA2822" i="12"/>
  <c r="AA2601" i="12"/>
  <c r="AA3436" i="12"/>
  <c r="AA541" i="12"/>
  <c r="AA2287" i="12"/>
  <c r="AA2058" i="12"/>
  <c r="AA997" i="12"/>
  <c r="AA1417" i="12"/>
  <c r="AA1809" i="12"/>
  <c r="AA2582" i="12"/>
  <c r="AA1786" i="12"/>
  <c r="AA3252" i="12"/>
  <c r="AA2420" i="12"/>
  <c r="AA3416" i="12"/>
  <c r="AA472" i="12"/>
  <c r="AA1102" i="12"/>
  <c r="AA2590" i="12"/>
  <c r="AA471" i="12"/>
  <c r="AA1946" i="12"/>
  <c r="AA3165" i="12"/>
  <c r="AA1958" i="12"/>
  <c r="AA1139" i="12"/>
  <c r="AA3015" i="12"/>
  <c r="AA3246" i="12"/>
  <c r="AA1632" i="12"/>
  <c r="AA2916" i="12"/>
  <c r="AA1690" i="12"/>
  <c r="AA1799" i="12"/>
  <c r="AA2883" i="12"/>
  <c r="AA279" i="12"/>
  <c r="AA2504" i="12"/>
  <c r="AA3253" i="12"/>
  <c r="AA3319" i="12"/>
  <c r="AA2237" i="12"/>
  <c r="AA3261" i="12"/>
  <c r="AA3484" i="12"/>
  <c r="AA3224" i="12"/>
  <c r="AA2179" i="12"/>
  <c r="AA2465" i="12"/>
  <c r="AA1270" i="12"/>
  <c r="AA875" i="12"/>
  <c r="AA497" i="12"/>
  <c r="AA2057" i="12"/>
  <c r="AA1970" i="12"/>
  <c r="AA2324" i="12"/>
  <c r="AA2680" i="12"/>
  <c r="AA3336" i="12"/>
  <c r="AA1746" i="12"/>
  <c r="AA310" i="12"/>
  <c r="AA3370" i="12"/>
  <c r="AA1890" i="12"/>
  <c r="AA1112" i="12"/>
  <c r="AA715" i="12"/>
  <c r="AA2247" i="12"/>
  <c r="AA3111" i="12"/>
  <c r="AA994" i="12"/>
  <c r="AA1671" i="12"/>
  <c r="AA2347" i="12"/>
  <c r="AA1605" i="12"/>
  <c r="AA2998" i="12"/>
  <c r="AA738" i="12"/>
  <c r="AA2876" i="12"/>
  <c r="AA3059" i="12"/>
  <c r="AA3123" i="12"/>
  <c r="AA2398" i="12"/>
  <c r="AA2180" i="12"/>
  <c r="AA99" i="12"/>
  <c r="AA283" i="12"/>
  <c r="AA188" i="12"/>
  <c r="AA2212" i="12"/>
  <c r="AA2564" i="12"/>
  <c r="AA358" i="12"/>
  <c r="AA3290" i="12"/>
  <c r="AA2561" i="12"/>
  <c r="AA2453" i="12"/>
  <c r="AA460" i="12"/>
  <c r="AA2285" i="12"/>
  <c r="AA912" i="12"/>
  <c r="AA3031" i="12"/>
  <c r="AA339" i="12"/>
  <c r="AA2415" i="12"/>
  <c r="AA1154" i="12"/>
  <c r="AA386" i="12"/>
  <c r="AA516" i="12"/>
  <c r="AA1800" i="12"/>
  <c r="AA2903" i="12"/>
  <c r="AA549" i="12"/>
  <c r="AA1973" i="12"/>
  <c r="AA3216" i="12"/>
  <c r="AA3467" i="12"/>
  <c r="AA2479" i="12"/>
  <c r="AA2726" i="12"/>
  <c r="AA1206" i="12"/>
  <c r="AA2391" i="12"/>
  <c r="AA2018" i="12"/>
  <c r="AA696" i="12"/>
  <c r="AA2483" i="12"/>
  <c r="AA488" i="12"/>
  <c r="AA1768" i="12"/>
  <c r="AA1655" i="12"/>
  <c r="AA1194" i="12"/>
  <c r="AA655" i="12"/>
  <c r="AA3392" i="12"/>
  <c r="AA1186" i="12"/>
  <c r="AA1151" i="12"/>
  <c r="AA771" i="12"/>
  <c r="AA1984" i="12"/>
  <c r="AA3186" i="12"/>
  <c r="AA2126" i="12"/>
  <c r="AA3040" i="12"/>
  <c r="AA1159" i="12"/>
  <c r="AA1880" i="12"/>
  <c r="AA2167" i="12"/>
  <c r="AA587" i="12"/>
  <c r="AA325" i="12"/>
  <c r="AA3024" i="12"/>
  <c r="AA1182" i="12"/>
  <c r="AA3079" i="12"/>
  <c r="AA993" i="12"/>
  <c r="AA162" i="12"/>
  <c r="AA117" i="12"/>
  <c r="AA3408" i="12"/>
  <c r="AA2847" i="12"/>
  <c r="AA494" i="12"/>
  <c r="AA1673" i="12"/>
  <c r="AA1755" i="12"/>
  <c r="AA3399" i="12"/>
  <c r="AA821" i="12"/>
  <c r="AA2854" i="12"/>
  <c r="AA75" i="12"/>
  <c r="AA2067" i="12"/>
  <c r="AA1265" i="12"/>
  <c r="AA2259" i="12"/>
  <c r="AA2544" i="12"/>
  <c r="AA199" i="12"/>
  <c r="AA1919" i="12"/>
  <c r="AA1369" i="12"/>
  <c r="AA1955" i="12"/>
  <c r="AA1637" i="12"/>
  <c r="AA891" i="12"/>
  <c r="AA2616" i="12"/>
  <c r="AA1821" i="12"/>
  <c r="AA204" i="12"/>
  <c r="AA3050" i="12"/>
  <c r="AA3208" i="12"/>
  <c r="AA2989" i="12"/>
  <c r="AA589" i="12"/>
  <c r="AA2918" i="12"/>
  <c r="AA2383" i="12"/>
  <c r="AA1660" i="12"/>
  <c r="AA3364" i="12"/>
  <c r="AA2367" i="12"/>
  <c r="AA651" i="12"/>
  <c r="AA3386" i="12"/>
  <c r="AA2862" i="12"/>
  <c r="AA324" i="12"/>
  <c r="AA3060" i="12"/>
  <c r="AA2503" i="12"/>
  <c r="AA913" i="12"/>
  <c r="AA2565" i="12"/>
  <c r="AA2217" i="12"/>
  <c r="AA2880" i="12"/>
  <c r="AA612" i="12"/>
  <c r="AA3510" i="12"/>
  <c r="AA2973" i="12"/>
  <c r="AA1399" i="12"/>
  <c r="AA2912" i="12"/>
  <c r="AA2149" i="12"/>
  <c r="AA1726" i="12"/>
  <c r="AA264" i="12"/>
  <c r="AA3113" i="12"/>
  <c r="AA24" i="12"/>
  <c r="AA3193" i="12"/>
  <c r="AA847" i="12"/>
  <c r="AA2975" i="12"/>
  <c r="AA1886" i="12"/>
  <c r="AA2518" i="12"/>
  <c r="AA3058" i="12"/>
  <c r="AA1370" i="12"/>
  <c r="AA3549" i="12"/>
  <c r="AA2492" i="12"/>
  <c r="AA3177" i="12"/>
  <c r="AA444" i="12"/>
  <c r="AA1624" i="12"/>
  <c r="AA1548" i="12"/>
  <c r="AA259" i="12"/>
  <c r="AA3254" i="12"/>
  <c r="AA189" i="12"/>
  <c r="AA2490" i="12"/>
  <c r="AA2651" i="12"/>
  <c r="AA2667" i="12"/>
  <c r="AA172" i="12"/>
  <c r="AA558" i="12"/>
  <c r="AA2552" i="12"/>
  <c r="AA1269" i="12"/>
  <c r="AA168" i="12"/>
  <c r="AA3243" i="12"/>
  <c r="AA295" i="12"/>
  <c r="AA2446" i="12"/>
  <c r="AA2496" i="12"/>
  <c r="AA2834" i="12"/>
  <c r="AA1544" i="12"/>
  <c r="AA2659" i="12"/>
  <c r="AA222" i="12"/>
  <c r="AA2710" i="12"/>
  <c r="AA1487" i="12"/>
  <c r="AA379" i="12"/>
  <c r="AA1976" i="12"/>
  <c r="AA3330" i="12"/>
  <c r="AA498" i="12"/>
  <c r="AA446" i="12"/>
  <c r="AA477" i="12"/>
  <c r="AA2664" i="12"/>
  <c r="AA1404" i="12"/>
  <c r="AA884" i="12"/>
  <c r="AA2333" i="12"/>
  <c r="AA3541" i="12"/>
  <c r="AA976" i="12"/>
  <c r="AA1377" i="12"/>
  <c r="AA503" i="12"/>
  <c r="AA2634" i="12"/>
  <c r="AA2136" i="12"/>
  <c r="AA2563" i="12"/>
  <c r="AA1279" i="12"/>
  <c r="AA3520" i="12"/>
  <c r="AA3176" i="12"/>
  <c r="AA3056" i="12"/>
  <c r="AA1143" i="12"/>
  <c r="AA2914" i="12"/>
  <c r="AA2243" i="12"/>
  <c r="AA3191" i="12"/>
  <c r="AA114" i="12"/>
  <c r="AA53" i="12"/>
  <c r="AA3293" i="12"/>
  <c r="AA1707" i="12"/>
  <c r="AA2068" i="12"/>
  <c r="AA1374" i="12"/>
  <c r="AA682" i="12"/>
  <c r="AA1332" i="12"/>
  <c r="AA2143" i="12"/>
  <c r="AA3161" i="12"/>
  <c r="AA3272" i="12"/>
  <c r="AA2181" i="12"/>
  <c r="AA3444" i="12"/>
  <c r="AA2596" i="12"/>
  <c r="AA2248" i="12"/>
  <c r="AA2235" i="12"/>
  <c r="AA482" i="12"/>
  <c r="AA2118" i="12"/>
  <c r="AA518" i="12"/>
  <c r="AA666" i="12"/>
  <c r="AA1749" i="12"/>
  <c r="AA265" i="12"/>
  <c r="AA2244" i="12"/>
  <c r="AA1511" i="12"/>
  <c r="AA520" i="12"/>
  <c r="AA3239" i="12"/>
  <c r="AA313" i="12"/>
  <c r="AA3198" i="12"/>
  <c r="AA881" i="12"/>
  <c r="AA2147" i="12"/>
  <c r="AA1227" i="12"/>
  <c r="AA1358" i="12"/>
  <c r="AA807" i="12"/>
  <c r="AA2133" i="12"/>
  <c r="AA2780" i="12"/>
  <c r="AA1569" i="12"/>
  <c r="AA187" i="12"/>
  <c r="AA21" i="12"/>
  <c r="AA3366" i="12"/>
  <c r="AA2775" i="12"/>
  <c r="AA504" i="12"/>
  <c r="AA2160" i="12"/>
  <c r="AA721" i="12"/>
  <c r="AA1236" i="12"/>
  <c r="AA1899" i="12"/>
  <c r="AA1114" i="12"/>
  <c r="AA1581" i="12"/>
  <c r="AA3121" i="12"/>
  <c r="AA3437" i="12"/>
  <c r="AA1573" i="12"/>
  <c r="AA1420" i="12"/>
  <c r="AA2509" i="12"/>
  <c r="AA175" i="12"/>
  <c r="AA801" i="12"/>
  <c r="AA613" i="12"/>
  <c r="AA3334" i="12"/>
  <c r="AA1764" i="12"/>
  <c r="AA629" i="12"/>
  <c r="AA525" i="12"/>
  <c r="AA2733" i="12"/>
  <c r="AA1271" i="12"/>
  <c r="AA407" i="12"/>
  <c r="AA3476" i="12"/>
  <c r="AA2087" i="12"/>
  <c r="AA2177" i="12"/>
  <c r="AA1144" i="12"/>
  <c r="AA1647" i="12"/>
  <c r="AA2756" i="12"/>
  <c r="AA1059" i="12"/>
  <c r="AA2559" i="12"/>
  <c r="AA1942" i="12"/>
  <c r="AA2029" i="12"/>
  <c r="AA2604" i="12"/>
  <c r="AA1716" i="12"/>
  <c r="AA1672" i="12"/>
  <c r="AA3332" i="12"/>
  <c r="AA2715" i="12"/>
  <c r="AA2172" i="12"/>
  <c r="AA1629" i="12"/>
  <c r="AA874" i="12"/>
  <c r="AA1281" i="12"/>
  <c r="AA2459" i="12"/>
  <c r="AA1843" i="12"/>
  <c r="AA797" i="12"/>
  <c r="AA2943" i="12"/>
  <c r="AA1451" i="12"/>
  <c r="AA2570" i="12"/>
  <c r="AA3515" i="12"/>
  <c r="AA71" i="12"/>
  <c r="AA532" i="12"/>
  <c r="AA1967" i="12"/>
  <c r="AA104" i="12"/>
  <c r="AA3199" i="12"/>
  <c r="AA2450" i="12"/>
  <c r="AA1721" i="12"/>
  <c r="AA1539" i="12"/>
  <c r="AA3472" i="12"/>
  <c r="AA3240" i="12"/>
  <c r="AA3496" i="12"/>
  <c r="AA1719" i="12"/>
  <c r="AA1381" i="12"/>
  <c r="AA1884" i="12"/>
  <c r="AA1999" i="12"/>
  <c r="AA2024" i="12"/>
  <c r="AA1124" i="12"/>
  <c r="AA1233" i="12"/>
  <c r="AA322" i="12"/>
  <c r="AA1894" i="12"/>
  <c r="AA334" i="12"/>
  <c r="AA2033" i="12"/>
  <c r="AA3471" i="12"/>
  <c r="AA62" i="12"/>
  <c r="AA2047" i="12"/>
  <c r="AA842" i="12"/>
  <c r="AA174" i="12"/>
  <c r="AA3450" i="12"/>
  <c r="AA726" i="12"/>
  <c r="AA637" i="12"/>
  <c r="AA578" i="12"/>
  <c r="AA1510" i="12"/>
  <c r="AA2569" i="12"/>
  <c r="AA2766" i="12"/>
  <c r="AA308" i="12"/>
  <c r="AA2484" i="12"/>
  <c r="AA3082" i="12"/>
  <c r="AA2399" i="12"/>
  <c r="AA1587" i="12"/>
  <c r="AA3407" i="12"/>
  <c r="AA3528" i="12"/>
  <c r="AA2583" i="12"/>
  <c r="AA404" i="12"/>
  <c r="AA2345" i="12"/>
  <c r="AA2510" i="12"/>
  <c r="AA1098" i="12"/>
  <c r="AA126" i="12"/>
  <c r="AA1390" i="12"/>
  <c r="AA2814" i="12"/>
  <c r="AA397" i="12"/>
  <c r="AA1735" i="12"/>
  <c r="AA2607" i="12"/>
  <c r="AA888" i="12"/>
  <c r="AA401" i="12"/>
  <c r="AA1318" i="12"/>
  <c r="AA3537" i="12"/>
  <c r="AA1782" i="12"/>
  <c r="AA148" i="12"/>
  <c r="AA3337" i="12"/>
  <c r="AA3131" i="12"/>
  <c r="AA686" i="12"/>
  <c r="AA3413" i="12"/>
  <c r="AA509" i="12"/>
  <c r="AA268" i="12"/>
  <c r="AA2812" i="12"/>
  <c r="AA2938" i="12"/>
  <c r="AA3255" i="12"/>
  <c r="AA975" i="12"/>
  <c r="AA2546" i="12"/>
  <c r="AA214" i="12"/>
  <c r="AA1996" i="12"/>
  <c r="AA1207" i="12"/>
  <c r="AA2990" i="12"/>
  <c r="AA3036" i="12"/>
  <c r="AA2424" i="12"/>
  <c r="AA2911" i="12"/>
  <c r="AA2274" i="12"/>
  <c r="AA2006" i="12"/>
  <c r="AA3091" i="12"/>
  <c r="AA1429" i="12"/>
  <c r="AA1531" i="12"/>
  <c r="AA447" i="12"/>
  <c r="AA768" i="12"/>
  <c r="AA1857" i="12"/>
  <c r="AA511" i="12"/>
  <c r="AA2206" i="12"/>
  <c r="AA1398" i="12"/>
  <c r="AA1780" i="12"/>
  <c r="AA2401" i="12"/>
  <c r="AA1366" i="12"/>
  <c r="AA925" i="12"/>
  <c r="AA1396" i="12"/>
  <c r="AA3328" i="12"/>
  <c r="AA632" i="12"/>
  <c r="AA2209" i="12"/>
  <c r="AA2531" i="12"/>
  <c r="AA942" i="12"/>
  <c r="AA487" i="12"/>
  <c r="AA529" i="12"/>
  <c r="AA687" i="12"/>
  <c r="AA2836" i="12"/>
  <c r="AA638" i="12"/>
  <c r="AA351" i="12"/>
  <c r="AA453" i="12"/>
  <c r="AA2882" i="12"/>
  <c r="AA1288" i="12"/>
  <c r="AA1053" i="12"/>
  <c r="AA1710" i="12"/>
  <c r="AA1530" i="12"/>
  <c r="AA123" i="12"/>
  <c r="AA1274" i="12"/>
  <c r="AA1923" i="12"/>
  <c r="AA3349" i="12"/>
  <c r="AA346" i="12"/>
  <c r="AA2971" i="12"/>
  <c r="AA2502" i="12"/>
  <c r="AA2574" i="12"/>
  <c r="AA1476" i="12"/>
  <c r="AA1745" i="12"/>
  <c r="AA2915" i="12"/>
  <c r="AA1042" i="12"/>
  <c r="AA3215" i="12"/>
  <c r="AA257" i="12"/>
  <c r="AA1309" i="12"/>
  <c r="AA2373" i="12"/>
  <c r="AA2525" i="12"/>
  <c r="AA3029" i="12"/>
  <c r="AA216" i="12"/>
  <c r="AA1945" i="12"/>
  <c r="AA2443" i="12"/>
  <c r="AA513" i="12"/>
  <c r="AA3317" i="12"/>
  <c r="AA1019" i="12"/>
  <c r="AA3163" i="12"/>
  <c r="AA2906" i="12"/>
  <c r="AA1826" i="12"/>
  <c r="AA399" i="12"/>
  <c r="AA2242" i="12"/>
  <c r="AA2512" i="12"/>
  <c r="AA794" i="12"/>
  <c r="AA683" i="12"/>
  <c r="AA1460" i="12"/>
  <c r="AA3125" i="12"/>
  <c r="AA860" i="12"/>
  <c r="AA1215" i="12"/>
  <c r="AA2786" i="12"/>
  <c r="AA1475" i="12"/>
  <c r="AA1922" i="12"/>
  <c r="AA843" i="12"/>
  <c r="AA1537" i="12"/>
  <c r="AA3081" i="12"/>
  <c r="AA3514" i="12"/>
  <c r="AA2745" i="12"/>
  <c r="AA718" i="12"/>
  <c r="AA2860" i="12"/>
  <c r="AA3020" i="12"/>
  <c r="AA617" i="12"/>
  <c r="AA947" i="12"/>
  <c r="AA2986" i="12"/>
  <c r="AA673" i="12"/>
  <c r="AA781" i="12"/>
  <c r="AA2369" i="12"/>
  <c r="AA1181" i="12"/>
  <c r="AA2592" i="12"/>
  <c r="AA569" i="12"/>
  <c r="AA1935" i="12"/>
  <c r="AA1983" i="12"/>
  <c r="AA1153" i="12"/>
  <c r="AA2873" i="12"/>
  <c r="AA1043" i="12"/>
  <c r="AA298" i="12"/>
  <c r="AA2082" i="12"/>
  <c r="AA1547" i="12"/>
  <c r="AA2769" i="12"/>
  <c r="AA2949" i="12"/>
  <c r="AA3278" i="12"/>
  <c r="AA3457" i="12"/>
  <c r="AA2081" i="12"/>
  <c r="AA2962" i="12"/>
  <c r="AA1974" i="12"/>
  <c r="AA2684" i="12"/>
  <c r="AA3371" i="12"/>
  <c r="AA1297" i="12"/>
  <c r="AA2412" i="12"/>
  <c r="AA1339" i="12"/>
  <c r="AA754" i="12"/>
  <c r="AA3481" i="12"/>
  <c r="AA972" i="12"/>
  <c r="AA1849" i="12"/>
  <c r="AA3035" i="12"/>
  <c r="AA2092" i="12"/>
  <c r="AA2312" i="12"/>
  <c r="AA3265" i="12"/>
  <c r="AA1458" i="12"/>
  <c r="AA1026" i="12"/>
  <c r="AA555" i="12"/>
  <c r="AA1170" i="12"/>
  <c r="AA2542" i="12"/>
  <c r="AA1608" i="12"/>
  <c r="AA2995" i="12"/>
  <c r="AA213" i="12"/>
  <c r="AA2455" i="12"/>
  <c r="AA479" i="12"/>
  <c r="AA3102" i="12"/>
  <c r="AA1162" i="12"/>
  <c r="AA1011" i="12"/>
  <c r="AA34" i="12"/>
  <c r="AA212" i="12"/>
  <c r="AA1862" i="12"/>
  <c r="AA2438" i="12"/>
  <c r="AA2617" i="12"/>
  <c r="AA3462" i="12"/>
  <c r="AA743" i="12"/>
  <c r="AA3470" i="12"/>
  <c r="AA292" i="12"/>
  <c r="AA2505" i="12"/>
  <c r="AA2735" i="12"/>
  <c r="AA160" i="12"/>
  <c r="AA1006" i="12"/>
  <c r="AA2615" i="12"/>
  <c r="AA1272" i="12"/>
  <c r="AA2686" i="12"/>
  <c r="AA697" i="12"/>
  <c r="AA596" i="12"/>
  <c r="AA680" i="12"/>
  <c r="AA1797" i="12"/>
  <c r="AA1561" i="12"/>
  <c r="AA1938" i="12"/>
  <c r="AA2406" i="12"/>
  <c r="AA1739" i="12"/>
  <c r="AA2955" i="12"/>
  <c r="AA646" i="12"/>
  <c r="AA2213" i="12"/>
  <c r="AA3387" i="12"/>
  <c r="AA2698" i="12"/>
  <c r="AA1887" i="12"/>
  <c r="AA2533" i="12"/>
  <c r="AA3264" i="12"/>
  <c r="AA2275" i="12"/>
  <c r="AA234" i="12"/>
  <c r="AA1077" i="12"/>
  <c r="AA1085" i="12"/>
  <c r="AA614" i="12"/>
  <c r="AA1711" i="12"/>
  <c r="AA3085" i="12"/>
  <c r="AA2576" i="12"/>
  <c r="AA1798" i="12"/>
  <c r="AA675" i="12"/>
  <c r="AA3175" i="12"/>
  <c r="AA1813" i="12"/>
  <c r="AA156" i="12"/>
  <c r="AA1109" i="12"/>
  <c r="AA375" i="12"/>
  <c r="AA394" i="12"/>
  <c r="AA2458" i="12"/>
  <c r="AA2778" i="12"/>
  <c r="AA786" i="12"/>
  <c r="AA3180" i="12"/>
  <c r="AA3071" i="12"/>
  <c r="AA1891" i="12"/>
  <c r="AA237" i="12"/>
  <c r="AA3356" i="12"/>
  <c r="AA2309" i="12"/>
  <c r="AA522" i="12"/>
  <c r="AA1414" i="12"/>
  <c r="AA284" i="12"/>
  <c r="AA1310" i="12"/>
  <c r="AA1430" i="12"/>
  <c r="AA2050" i="12"/>
  <c r="AA1577" i="12"/>
  <c r="AA2447" i="12"/>
  <c r="AA2297" i="12"/>
  <c r="AA1928" i="12"/>
  <c r="AA122" i="12"/>
  <c r="AA2521" i="12"/>
  <c r="AA2508" i="12"/>
  <c r="AA2630" i="12"/>
  <c r="AA1075" i="12"/>
  <c r="AA1068" i="12"/>
  <c r="AA1349" i="12"/>
  <c r="AA3067" i="12"/>
  <c r="AA1155" i="12"/>
  <c r="AA266" i="12"/>
  <c r="AA2969" i="12"/>
  <c r="AA2666" i="12"/>
  <c r="AA1156" i="12"/>
  <c r="AA3388" i="12"/>
  <c r="AA3544" i="12"/>
  <c r="AA2387" i="12"/>
  <c r="AA2950" i="12"/>
  <c r="AA367" i="12"/>
  <c r="AA1893" i="12"/>
  <c r="AA450" i="12"/>
  <c r="AA463" i="12"/>
  <c r="AA3419" i="12"/>
  <c r="AA2688" i="12"/>
  <c r="AA385" i="12"/>
  <c r="AA3507" i="12"/>
  <c r="AA2866" i="12"/>
  <c r="AA2602" i="12"/>
  <c r="AA2471" i="12"/>
  <c r="AA2021" i="12"/>
  <c r="AA514" i="12"/>
  <c r="AA1553" i="12"/>
  <c r="AA1036" i="12"/>
  <c r="AA813" i="12"/>
  <c r="AA3342" i="12"/>
  <c r="AA2965" i="12"/>
  <c r="AA2927" i="12"/>
  <c r="AA115" i="12"/>
  <c r="AA792" i="12"/>
  <c r="AA2434" i="12"/>
  <c r="AA2413" i="12"/>
  <c r="AA1906" i="12"/>
  <c r="AA3464" i="12"/>
  <c r="AA765" i="12"/>
  <c r="AA2730" i="12"/>
  <c r="AA302" i="12"/>
  <c r="AA1135" i="12"/>
  <c r="AA1822" i="12"/>
  <c r="AA1138" i="12"/>
  <c r="AA255" i="12"/>
  <c r="AA1254" i="12"/>
  <c r="AA3267" i="12"/>
  <c r="AA363" i="12"/>
  <c r="AA2311" i="12"/>
  <c r="AA1778" i="12"/>
  <c r="AA2152" i="12"/>
  <c r="AA1173" i="12"/>
  <c r="AA78" i="12"/>
  <c r="AA2887" i="12"/>
  <c r="AA1338" i="12"/>
  <c r="AA240" i="12"/>
  <c r="AA1505" i="12"/>
  <c r="AA170" i="12"/>
  <c r="AA804" i="12"/>
  <c r="AA72" i="12"/>
  <c r="AA1364" i="12"/>
  <c r="AA3201" i="12"/>
  <c r="AA2314" i="12"/>
  <c r="AA1861" i="12"/>
  <c r="AA1613" i="12"/>
  <c r="AA1954" i="12"/>
  <c r="AA2783" i="12"/>
  <c r="AA2746" i="12"/>
  <c r="AA3326" i="12"/>
  <c r="AA601" i="12"/>
  <c r="AA496" i="12"/>
  <c r="AA307" i="12"/>
  <c r="AA537" i="12"/>
  <c r="AA314" i="12"/>
  <c r="AA1407" i="12"/>
  <c r="AA2678" i="12"/>
  <c r="AA2864" i="12"/>
  <c r="AA1486" i="12"/>
  <c r="AA262" i="12"/>
  <c r="AA1507" i="12"/>
  <c r="AA703" i="12"/>
  <c r="AA1365" i="12"/>
  <c r="AA1654" i="12"/>
  <c r="AA2644" i="12"/>
  <c r="AA3185" i="12"/>
  <c r="AA2536" i="12"/>
  <c r="AA461" i="12"/>
  <c r="AA2612" i="12"/>
  <c r="AA253" i="12"/>
  <c r="AA3377" i="12"/>
  <c r="AA426" i="12"/>
  <c r="AA2389" i="12"/>
  <c r="AA2701" i="12"/>
  <c r="AA3132" i="12"/>
  <c r="AA2652" i="12"/>
  <c r="AA1308" i="12"/>
  <c r="AA2409" i="12"/>
  <c r="AA660" i="12"/>
  <c r="AA1814" i="12"/>
  <c r="AA2344" i="12"/>
  <c r="AA3295" i="12"/>
  <c r="AA770" i="12"/>
  <c r="AA3032" i="12"/>
  <c r="AA1096" i="12"/>
  <c r="AA2620" i="12"/>
  <c r="AA3206" i="12"/>
  <c r="AA577" i="12"/>
  <c r="AA1335" i="12"/>
  <c r="AA1602" i="12"/>
  <c r="AA965" i="12"/>
  <c r="AA1017" i="12"/>
  <c r="AA3114" i="12"/>
  <c r="AA1598" i="12"/>
  <c r="AA2855" i="12"/>
  <c r="U288" i="12"/>
  <c r="U232" i="12"/>
  <c r="U245" i="12"/>
  <c r="U398" i="12"/>
  <c r="U239" i="12"/>
  <c r="U253" i="12"/>
  <c r="U142" i="12"/>
  <c r="U329" i="12"/>
  <c r="U252" i="12"/>
  <c r="U283" i="12"/>
  <c r="U310" i="12"/>
  <c r="U186" i="12"/>
  <c r="U184" i="12"/>
  <c r="U173" i="12"/>
  <c r="U384" i="12"/>
  <c r="U353" i="12"/>
  <c r="U195" i="12"/>
  <c r="U266" i="12"/>
  <c r="U219" i="12"/>
  <c r="U154" i="12"/>
  <c r="U213" i="12"/>
  <c r="U214" i="12"/>
  <c r="U192" i="12"/>
  <c r="U112" i="12"/>
  <c r="U113" i="12"/>
  <c r="U155" i="12"/>
  <c r="U86" i="12"/>
  <c r="U386" i="12"/>
  <c r="U389" i="12"/>
  <c r="U94" i="12"/>
  <c r="U367" i="12"/>
  <c r="U285" i="12"/>
  <c r="U277" i="12"/>
  <c r="U369" i="12"/>
  <c r="U249" i="12"/>
  <c r="U392" i="12"/>
  <c r="U391" i="12"/>
  <c r="U351" i="12"/>
  <c r="U120" i="12"/>
  <c r="U303" i="12"/>
  <c r="U227" i="12"/>
  <c r="U178" i="12"/>
  <c r="U368" i="12"/>
  <c r="U228" i="12"/>
  <c r="U349" i="12"/>
  <c r="U87" i="12"/>
  <c r="U372" i="12"/>
  <c r="U148" i="12"/>
  <c r="U116" i="12"/>
  <c r="U240" i="12"/>
  <c r="U273" i="12"/>
  <c r="U346" i="12"/>
  <c r="U121" i="12"/>
  <c r="U350" i="12"/>
  <c r="U197" i="12"/>
  <c r="U97" i="12"/>
  <c r="U278" i="12"/>
  <c r="U201" i="12"/>
  <c r="U182" i="12"/>
  <c r="U130" i="12"/>
  <c r="U322" i="12"/>
  <c r="U187" i="12"/>
  <c r="U287" i="12"/>
  <c r="U237" i="12"/>
  <c r="U359" i="12"/>
  <c r="U352" i="12"/>
  <c r="U250" i="12"/>
  <c r="U343" i="12"/>
  <c r="U150" i="12"/>
  <c r="U105" i="12"/>
  <c r="U331" i="12"/>
  <c r="U100" i="12"/>
  <c r="U341" i="12"/>
  <c r="U114" i="12"/>
  <c r="U357" i="12"/>
  <c r="U330" i="12"/>
  <c r="U78" i="12"/>
  <c r="U99" i="12"/>
  <c r="U381" i="12"/>
  <c r="U119" i="12"/>
  <c r="U34" i="12"/>
  <c r="U238" i="12"/>
  <c r="U190" i="12"/>
  <c r="U263" i="12"/>
  <c r="U89" i="12"/>
  <c r="U319" i="12"/>
  <c r="U294" i="12"/>
  <c r="U290" i="12"/>
  <c r="U280" i="12"/>
  <c r="U49" i="12"/>
  <c r="U60" i="12"/>
  <c r="U57" i="12"/>
  <c r="U19" i="12"/>
  <c r="U25" i="12"/>
  <c r="U36" i="12"/>
  <c r="U64" i="12"/>
  <c r="U42" i="12"/>
  <c r="U27" i="12"/>
  <c r="U54" i="12"/>
  <c r="U211" i="12"/>
  <c r="U145" i="12"/>
  <c r="U328" i="12"/>
  <c r="U345" i="12"/>
  <c r="U281" i="12"/>
  <c r="U102" i="12"/>
  <c r="U256" i="12"/>
  <c r="U58" i="12"/>
  <c r="U30" i="12"/>
  <c r="U33" i="12"/>
  <c r="U23" i="12"/>
  <c r="U52" i="12"/>
  <c r="U156" i="12"/>
  <c r="U132" i="12"/>
  <c r="U179" i="12"/>
  <c r="U194" i="12"/>
  <c r="U337" i="12"/>
  <c r="U332" i="12"/>
  <c r="U29" i="12"/>
  <c r="U31" i="12"/>
  <c r="U46" i="12"/>
  <c r="U65" i="12"/>
  <c r="U325" i="12"/>
  <c r="U226" i="12"/>
  <c r="U32" i="12"/>
  <c r="U66" i="12"/>
  <c r="U43" i="12"/>
  <c r="U73" i="12"/>
  <c r="U35" i="12"/>
  <c r="U56" i="12"/>
  <c r="U243" i="12"/>
  <c r="U110" i="12"/>
  <c r="U28" i="12"/>
  <c r="U24" i="12"/>
  <c r="U321" i="12"/>
  <c r="U334" i="12"/>
  <c r="U26" i="12"/>
  <c r="U20" i="12"/>
  <c r="U72" i="12"/>
  <c r="U244" i="12"/>
  <c r="U22" i="12"/>
  <c r="U21" i="12"/>
  <c r="T151" i="12"/>
  <c r="S172" i="12"/>
  <c r="T172" i="12" s="1"/>
  <c r="T286" i="12"/>
  <c r="S83" i="12"/>
  <c r="T83" i="12" s="1"/>
  <c r="T166" i="12"/>
  <c r="T264" i="12"/>
  <c r="T159" i="12"/>
  <c r="T229" i="12"/>
  <c r="T40" i="12"/>
  <c r="T396" i="12"/>
  <c r="S122" i="12"/>
  <c r="T122" i="12" s="1"/>
  <c r="T363" i="12"/>
  <c r="S160" i="12"/>
  <c r="T160" i="12" s="1"/>
  <c r="S295" i="12"/>
  <c r="T295" i="12" s="1"/>
  <c r="S176" i="12"/>
  <c r="T176" i="12" s="1"/>
  <c r="S175" i="12"/>
  <c r="T175" i="12" s="1"/>
  <c r="S135" i="12"/>
  <c r="T135" i="12" s="1"/>
  <c r="T336" i="12"/>
  <c r="S215" i="12"/>
  <c r="T215" i="12" s="1"/>
  <c r="S242" i="12"/>
  <c r="T242" i="12" s="1"/>
  <c r="T373" i="12"/>
  <c r="T267" i="12"/>
  <c r="S198" i="12"/>
  <c r="S339" i="12"/>
  <c r="T339" i="12" s="1"/>
  <c r="S320" i="12"/>
  <c r="T320" i="12" s="1"/>
  <c r="S180" i="12"/>
  <c r="S274" i="12"/>
  <c r="S265" i="12"/>
  <c r="S354" i="12"/>
  <c r="S95" i="12"/>
  <c r="S224" i="12"/>
  <c r="S140" i="12"/>
  <c r="S217" i="12"/>
  <c r="T217" i="12" s="1"/>
  <c r="S203" i="12"/>
  <c r="T203" i="12" s="1"/>
  <c r="T138" i="12"/>
  <c r="S356" i="12"/>
  <c r="S307" i="12"/>
  <c r="S358" i="12"/>
  <c r="T358" i="12" s="1"/>
  <c r="S378" i="12"/>
  <c r="T378" i="12" s="1"/>
  <c r="S93" i="12"/>
  <c r="S134" i="12"/>
  <c r="T216" i="12"/>
  <c r="T88" i="12"/>
  <c r="S260" i="12"/>
  <c r="T297" i="12"/>
  <c r="S270" i="12"/>
  <c r="T270" i="12" s="1"/>
  <c r="S84" i="12"/>
  <c r="T67" i="12"/>
  <c r="S296" i="12"/>
  <c r="T296" i="12" s="1"/>
  <c r="T181" i="12"/>
  <c r="S282" i="12"/>
  <c r="T282" i="12" s="1"/>
  <c r="S259" i="12"/>
  <c r="T63" i="12"/>
  <c r="T50" i="12"/>
  <c r="S293" i="12"/>
  <c r="T126" i="12"/>
  <c r="T70" i="12"/>
  <c r="S289" i="12"/>
  <c r="T289" i="12" s="1"/>
  <c r="S167" i="12"/>
  <c r="T167" i="12" s="1"/>
  <c r="S400" i="12"/>
  <c r="T400" i="12" s="1"/>
  <c r="T74" i="12"/>
  <c r="S235" i="12"/>
  <c r="T235" i="12" s="1"/>
  <c r="S218" i="12"/>
  <c r="S109" i="12"/>
  <c r="T109" i="12" s="1"/>
  <c r="T62" i="12"/>
  <c r="S141" i="12"/>
  <c r="T141" i="12" s="1"/>
  <c r="S85" i="12"/>
  <c r="S221" i="12"/>
  <c r="T221" i="12" s="1"/>
  <c r="S177" i="12"/>
  <c r="T177" i="12" s="1"/>
  <c r="S162" i="12"/>
  <c r="S399" i="12"/>
  <c r="T399" i="12" s="1"/>
  <c r="T71" i="12"/>
  <c r="S261" i="12"/>
  <c r="T261" i="12" s="1"/>
  <c r="S370" i="12"/>
  <c r="S275" i="12"/>
  <c r="S128" i="12"/>
  <c r="T128" i="12" s="1"/>
  <c r="S340" i="12"/>
  <c r="T340" i="12" s="1"/>
  <c r="T53" i="12"/>
  <c r="S196" i="12"/>
  <c r="T196" i="12" s="1"/>
  <c r="T204" i="12"/>
  <c r="S191" i="12"/>
  <c r="T191" i="12" s="1"/>
  <c r="T379" i="12"/>
  <c r="S92" i="12"/>
  <c r="T92" i="12" s="1"/>
  <c r="S248" i="12"/>
  <c r="T248" i="12" s="1"/>
  <c r="S254" i="12"/>
  <c r="T254" i="12" s="1"/>
  <c r="T302" i="12"/>
  <c r="T246" i="12"/>
  <c r="S193" i="12"/>
  <c r="T193" i="12" s="1"/>
  <c r="S272" i="12"/>
  <c r="T272" i="12" s="1"/>
  <c r="S205" i="12"/>
  <c r="T205" i="12" s="1"/>
  <c r="S299" i="12"/>
  <c r="S271" i="12"/>
  <c r="T271" i="12" s="1"/>
  <c r="T333" i="12"/>
  <c r="S284" i="12"/>
  <c r="T284" i="12" s="1"/>
  <c r="S209" i="12"/>
  <c r="T209" i="12" s="1"/>
  <c r="S146" i="12"/>
  <c r="T39" i="12"/>
  <c r="T61" i="12"/>
  <c r="S365" i="12"/>
  <c r="T365" i="12" s="1"/>
  <c r="T68" i="12"/>
  <c r="S233" i="12"/>
  <c r="S208" i="12"/>
  <c r="S136" i="12"/>
  <c r="S361" i="12"/>
  <c r="Z29" i="12"/>
  <c r="S401" i="12"/>
  <c r="S301" i="12"/>
  <c r="T301" i="12" s="1"/>
  <c r="T183" i="12"/>
  <c r="T98" i="12"/>
  <c r="T355" i="12"/>
  <c r="T376" i="12"/>
  <c r="T305" i="12"/>
  <c r="S311" i="12"/>
  <c r="T311" i="12" s="1"/>
  <c r="T262" i="12"/>
  <c r="S207" i="12"/>
  <c r="T207" i="12" s="1"/>
  <c r="S324" i="12"/>
  <c r="T324" i="12" s="1"/>
  <c r="S230" i="12"/>
  <c r="T292" i="12"/>
  <c r="S82" i="12"/>
  <c r="T82" i="12" s="1"/>
  <c r="S342" i="12"/>
  <c r="T342" i="12" s="1"/>
  <c r="T69" i="12"/>
  <c r="S304" i="12"/>
  <c r="S199" i="12"/>
  <c r="T199" i="12" s="1"/>
  <c r="T323" i="12"/>
  <c r="S200" i="12"/>
  <c r="T200" i="12" s="1"/>
  <c r="T45" i="12"/>
  <c r="S393" i="12"/>
  <c r="T393" i="12" s="1"/>
  <c r="S335" i="12"/>
  <c r="S185" i="12"/>
  <c r="S165" i="12"/>
  <c r="T165" i="12" s="1"/>
  <c r="S188" i="12"/>
  <c r="T188" i="12" s="1"/>
  <c r="S397" i="12"/>
  <c r="S313" i="12"/>
  <c r="S161" i="12"/>
  <c r="S144" i="12"/>
  <c r="S257" i="12"/>
  <c r="S117" i="12"/>
  <c r="T133" i="12"/>
  <c r="S279" i="12"/>
  <c r="T279" i="12" s="1"/>
  <c r="S317" i="12"/>
  <c r="T317" i="12" s="1"/>
  <c r="S366" i="12"/>
  <c r="S371" i="12"/>
  <c r="T371" i="12" s="1"/>
  <c r="S152" i="12"/>
  <c r="T210" i="12"/>
  <c r="S90" i="12"/>
  <c r="T90" i="12" s="1"/>
  <c r="S157" i="12"/>
  <c r="S107" i="12"/>
  <c r="T107" i="12" s="1"/>
  <c r="S395" i="12"/>
  <c r="T395" i="12" s="1"/>
  <c r="S385" i="12"/>
  <c r="T385" i="12" s="1"/>
  <c r="T111" i="12"/>
  <c r="S164" i="12"/>
  <c r="T164" i="12" s="1"/>
  <c r="S315" i="12"/>
  <c r="S390" i="12"/>
  <c r="S143" i="12"/>
  <c r="T143" i="12" s="1"/>
  <c r="S189" i="12"/>
  <c r="T189" i="12" s="1"/>
  <c r="S309" i="12"/>
  <c r="S220" i="12"/>
  <c r="T47" i="12"/>
  <c r="T59" i="12"/>
  <c r="S234" i="12"/>
  <c r="T234" i="12" s="1"/>
  <c r="T75" i="12"/>
  <c r="T51" i="12"/>
  <c r="S127" i="12"/>
  <c r="S318" i="12"/>
  <c r="S101" i="12"/>
  <c r="S96" i="12"/>
  <c r="S255" i="12"/>
  <c r="S80" i="12"/>
  <c r="S258" i="12"/>
  <c r="T258" i="12" s="1"/>
  <c r="S327" i="12"/>
  <c r="T327" i="12" s="1"/>
  <c r="T158" i="12"/>
  <c r="S174" i="12"/>
  <c r="T174" i="12" s="1"/>
  <c r="T79" i="12"/>
  <c r="S251" i="12"/>
  <c r="T251" i="12" s="1"/>
  <c r="T388" i="12"/>
  <c r="T326" i="12"/>
  <c r="S91" i="12"/>
  <c r="T91" i="12" s="1"/>
  <c r="T124" i="12"/>
  <c r="T223" i="12"/>
  <c r="T48" i="12"/>
  <c r="T222" i="12"/>
  <c r="S81" i="12"/>
  <c r="S308" i="12"/>
  <c r="T308" i="12" s="1"/>
  <c r="S125" i="12"/>
  <c r="T125" i="12" s="1"/>
  <c r="S312" i="12"/>
  <c r="T312" i="12" s="1"/>
  <c r="T171" i="12"/>
  <c r="S241" i="12"/>
  <c r="T241" i="12" s="1"/>
  <c r="S347" i="12"/>
  <c r="T347" i="12" s="1"/>
  <c r="S169" i="12"/>
  <c r="T169" i="12" s="1"/>
  <c r="S118" i="12"/>
  <c r="T118" i="12" s="1"/>
  <c r="S170" i="12"/>
  <c r="T170" i="12" s="1"/>
  <c r="T269" i="12"/>
  <c r="S338" i="12"/>
  <c r="T338" i="12" s="1"/>
  <c r="S236" i="12"/>
  <c r="S394" i="12"/>
  <c r="S374" i="12"/>
  <c r="S276" i="12"/>
  <c r="S377" i="12"/>
  <c r="S306" i="12"/>
  <c r="T306" i="12" s="1"/>
  <c r="S362" i="12"/>
  <c r="T362" i="12" s="1"/>
  <c r="S206" i="12"/>
  <c r="T206" i="12" s="1"/>
  <c r="T137" i="12"/>
  <c r="T202" i="12"/>
  <c r="S163" i="12"/>
  <c r="T163" i="12" s="1"/>
  <c r="T314" i="12"/>
  <c r="S300" i="12"/>
  <c r="S103" i="12"/>
  <c r="S168" i="12"/>
  <c r="T168" i="12" s="1"/>
  <c r="S247" i="12"/>
  <c r="T247" i="12" s="1"/>
  <c r="T123" i="12"/>
  <c r="S298" i="12"/>
  <c r="T298" i="12" s="1"/>
  <c r="S212" i="12"/>
  <c r="T212" i="12" s="1"/>
  <c r="S129" i="12"/>
  <c r="T129" i="12" s="1"/>
  <c r="S139" i="12"/>
  <c r="T139" i="12" s="1"/>
  <c r="T344" i="12"/>
  <c r="S108" i="12"/>
  <c r="T108" i="12" s="1"/>
  <c r="S387" i="12"/>
  <c r="S360" i="12"/>
  <c r="T360" i="12" s="1"/>
  <c r="T291" i="12"/>
  <c r="T55" i="12"/>
  <c r="T44" i="12"/>
  <c r="S268" i="12"/>
  <c r="T268" i="12" s="1"/>
  <c r="T41" i="12"/>
  <c r="S149" i="12"/>
  <c r="S375" i="12"/>
  <c r="S348" i="12"/>
  <c r="S382" i="12"/>
  <c r="S104" i="12"/>
  <c r="S383" i="12"/>
  <c r="S153" i="12"/>
  <c r="S364" i="12"/>
  <c r="S380" i="12"/>
  <c r="T380" i="12" s="1"/>
  <c r="S231" i="12"/>
  <c r="T231" i="12" s="1"/>
  <c r="S147" i="12"/>
  <c r="T147" i="12" s="1"/>
  <c r="S131" i="12"/>
  <c r="S225" i="12"/>
  <c r="S106" i="12"/>
  <c r="T106" i="12" s="1"/>
  <c r="S316" i="12"/>
  <c r="T316" i="12" s="1"/>
  <c r="S115" i="12"/>
  <c r="V19" i="12" l="1"/>
  <c r="U316" i="12"/>
  <c r="U106" i="12"/>
  <c r="U147" i="12"/>
  <c r="U231" i="12"/>
  <c r="U380" i="12"/>
  <c r="U41" i="12"/>
  <c r="U268" i="12"/>
  <c r="U44" i="12"/>
  <c r="U55" i="12"/>
  <c r="U291" i="12"/>
  <c r="U360" i="12"/>
  <c r="U108" i="12"/>
  <c r="U344" i="12"/>
  <c r="U139" i="12"/>
  <c r="U129" i="12"/>
  <c r="U212" i="12"/>
  <c r="U298" i="12"/>
  <c r="U123" i="12"/>
  <c r="U247" i="12"/>
  <c r="U168" i="12"/>
  <c r="U314" i="12"/>
  <c r="U163" i="12"/>
  <c r="U202" i="12"/>
  <c r="U137" i="12"/>
  <c r="U206" i="12"/>
  <c r="U362" i="12"/>
  <c r="U306" i="12"/>
  <c r="U338" i="12"/>
  <c r="U269" i="12"/>
  <c r="U170" i="12"/>
  <c r="U118" i="12"/>
  <c r="U169" i="12"/>
  <c r="U347" i="12"/>
  <c r="U241" i="12"/>
  <c r="U171" i="12"/>
  <c r="U312" i="12"/>
  <c r="U125" i="12"/>
  <c r="U308" i="12"/>
  <c r="U222" i="12"/>
  <c r="U48" i="12"/>
  <c r="U223" i="12"/>
  <c r="U124" i="12"/>
  <c r="U91" i="12"/>
  <c r="U326" i="12"/>
  <c r="U388" i="12"/>
  <c r="U251" i="12"/>
  <c r="U79" i="12"/>
  <c r="U174" i="12"/>
  <c r="U158" i="12"/>
  <c r="U327" i="12"/>
  <c r="U258" i="12"/>
  <c r="U51" i="12"/>
  <c r="U75" i="12"/>
  <c r="U234" i="12"/>
  <c r="U59" i="12"/>
  <c r="U47" i="12"/>
  <c r="U189" i="12"/>
  <c r="U143" i="12"/>
  <c r="U164" i="12"/>
  <c r="U111" i="12"/>
  <c r="U385" i="12"/>
  <c r="U395" i="12"/>
  <c r="U107" i="12"/>
  <c r="U90" i="12"/>
  <c r="U210" i="12"/>
  <c r="U371" i="12"/>
  <c r="U317" i="12"/>
  <c r="U279" i="12"/>
  <c r="U133" i="12"/>
  <c r="U188" i="12"/>
  <c r="U165" i="12"/>
  <c r="U393" i="12"/>
  <c r="U45" i="12"/>
  <c r="V44" i="12" s="1"/>
  <c r="U200" i="12"/>
  <c r="U323" i="12"/>
  <c r="U199" i="12"/>
  <c r="U69" i="12"/>
  <c r="U342" i="12"/>
  <c r="U82" i="12"/>
  <c r="U292" i="12"/>
  <c r="U324" i="12"/>
  <c r="U207" i="12"/>
  <c r="U262" i="12"/>
  <c r="U311" i="12"/>
  <c r="U305" i="12"/>
  <c r="U376" i="12"/>
  <c r="U355" i="12"/>
  <c r="U98" i="12"/>
  <c r="U183" i="12"/>
  <c r="U301" i="12"/>
  <c r="U68" i="12"/>
  <c r="U365" i="12"/>
  <c r="U61" i="12"/>
  <c r="U39" i="12"/>
  <c r="U209" i="12"/>
  <c r="U284" i="12"/>
  <c r="U333" i="12"/>
  <c r="U271" i="12"/>
  <c r="U205" i="12"/>
  <c r="U272" i="12"/>
  <c r="U193" i="12"/>
  <c r="U246" i="12"/>
  <c r="U302" i="12"/>
  <c r="U254" i="12"/>
  <c r="U248" i="12"/>
  <c r="U92" i="12"/>
  <c r="U379" i="12"/>
  <c r="U191" i="12"/>
  <c r="U204" i="12"/>
  <c r="U196" i="12"/>
  <c r="U53" i="12"/>
  <c r="U340" i="12"/>
  <c r="U128" i="12"/>
  <c r="U261" i="12"/>
  <c r="U71" i="12"/>
  <c r="U399" i="12"/>
  <c r="U177" i="12"/>
  <c r="U221" i="12"/>
  <c r="U141" i="12"/>
  <c r="U62" i="12"/>
  <c r="U109" i="12"/>
  <c r="U235" i="12"/>
  <c r="U74" i="12"/>
  <c r="U400" i="12"/>
  <c r="U167" i="12"/>
  <c r="U289" i="12"/>
  <c r="U70" i="12"/>
  <c r="U126" i="12"/>
  <c r="U50" i="12"/>
  <c r="U63" i="12"/>
  <c r="U282" i="12"/>
  <c r="U181" i="12"/>
  <c r="U296" i="12"/>
  <c r="U67" i="12"/>
  <c r="U270" i="12"/>
  <c r="U297" i="12"/>
  <c r="U88" i="12"/>
  <c r="U216" i="12"/>
  <c r="U378" i="12"/>
  <c r="U358" i="12"/>
  <c r="U138" i="12"/>
  <c r="U203" i="12"/>
  <c r="U217" i="12"/>
  <c r="U320" i="12"/>
  <c r="U339" i="12"/>
  <c r="U267" i="12"/>
  <c r="U373" i="12"/>
  <c r="U242" i="12"/>
  <c r="U215" i="12"/>
  <c r="U336" i="12"/>
  <c r="U135" i="12"/>
  <c r="U175" i="12"/>
  <c r="U176" i="12"/>
  <c r="U295" i="12"/>
  <c r="U160" i="12"/>
  <c r="U363" i="12"/>
  <c r="U122" i="12"/>
  <c r="U396" i="12"/>
  <c r="U40" i="12"/>
  <c r="U229" i="12"/>
  <c r="U159" i="12"/>
  <c r="U264" i="12"/>
  <c r="U166" i="12"/>
  <c r="U83" i="12"/>
  <c r="U286" i="12"/>
  <c r="U172" i="12"/>
  <c r="U151" i="12"/>
  <c r="T115" i="12"/>
  <c r="T364" i="12"/>
  <c r="T103" i="12"/>
  <c r="T255" i="12"/>
  <c r="T152" i="12"/>
  <c r="T144" i="12"/>
  <c r="T136" i="12"/>
  <c r="T218" i="12"/>
  <c r="T293" i="12"/>
  <c r="T84" i="12"/>
  <c r="T224" i="12"/>
  <c r="T198" i="12"/>
  <c r="T153" i="12"/>
  <c r="T300" i="12"/>
  <c r="T377" i="12"/>
  <c r="T81" i="12"/>
  <c r="T96" i="12"/>
  <c r="T161" i="12"/>
  <c r="T208" i="12"/>
  <c r="T162" i="12"/>
  <c r="T95" i="12"/>
  <c r="T383" i="12"/>
  <c r="T276" i="12"/>
  <c r="T101" i="12"/>
  <c r="T220" i="12"/>
  <c r="T366" i="12"/>
  <c r="T313" i="12"/>
  <c r="T230" i="12"/>
  <c r="T233" i="12"/>
  <c r="T307" i="12"/>
  <c r="T354" i="12"/>
  <c r="T225" i="12"/>
  <c r="T104" i="12"/>
  <c r="T374" i="12"/>
  <c r="T318" i="12"/>
  <c r="T309" i="12"/>
  <c r="T397" i="12"/>
  <c r="T259" i="12"/>
  <c r="T260" i="12"/>
  <c r="T356" i="12"/>
  <c r="T265" i="12"/>
  <c r="T131" i="12"/>
  <c r="T382" i="12"/>
  <c r="T394" i="12"/>
  <c r="T127" i="12"/>
  <c r="T299" i="12"/>
  <c r="T275" i="12"/>
  <c r="T85" i="12"/>
  <c r="T274" i="12"/>
  <c r="T348" i="12"/>
  <c r="T236" i="12"/>
  <c r="T157" i="12"/>
  <c r="T304" i="12"/>
  <c r="T401" i="12"/>
  <c r="T370" i="12"/>
  <c r="T180" i="12"/>
  <c r="T375" i="12"/>
  <c r="T387" i="12"/>
  <c r="T390" i="12"/>
  <c r="T117" i="12"/>
  <c r="T185" i="12"/>
  <c r="AB19" i="12" a="1"/>
  <c r="T134" i="12"/>
  <c r="T149" i="12"/>
  <c r="T80" i="12"/>
  <c r="T315" i="12"/>
  <c r="T257" i="12"/>
  <c r="T335" i="12"/>
  <c r="T361" i="12"/>
  <c r="T146" i="12"/>
  <c r="T93" i="12"/>
  <c r="T140" i="12"/>
  <c r="U140" i="12" l="1"/>
  <c r="U93" i="12"/>
  <c r="U146" i="12"/>
  <c r="U361" i="12"/>
  <c r="U335" i="12"/>
  <c r="U257" i="12"/>
  <c r="U315" i="12"/>
  <c r="U80" i="12"/>
  <c r="U149" i="12"/>
  <c r="U134" i="12"/>
  <c r="AB638" i="12"/>
  <c r="AB266" i="12"/>
  <c r="AB2460" i="12"/>
  <c r="AB3128" i="12"/>
  <c r="AB797" i="12"/>
  <c r="AB2653" i="12"/>
  <c r="AB695" i="12"/>
  <c r="AB3274" i="12"/>
  <c r="AB890" i="12"/>
  <c r="AB2151" i="12"/>
  <c r="AB2723" i="12"/>
  <c r="AB3544" i="12"/>
  <c r="AB3509" i="12"/>
  <c r="AB943" i="12"/>
  <c r="AB284" i="12"/>
  <c r="AB3390" i="12"/>
  <c r="AB3351" i="12"/>
  <c r="AB566" i="12"/>
  <c r="AB1203" i="12"/>
  <c r="AB1611" i="12"/>
  <c r="AB1517" i="12"/>
  <c r="AB1256" i="12"/>
  <c r="AB1011" i="12"/>
  <c r="AB238" i="12"/>
  <c r="AB335" i="12"/>
  <c r="AB2530" i="12"/>
  <c r="AB1829" i="12"/>
  <c r="AB2413" i="12"/>
  <c r="AB2884" i="12"/>
  <c r="AB1670" i="12"/>
  <c r="AB43" i="12"/>
  <c r="AB1017" i="12"/>
  <c r="AB1372" i="12"/>
  <c r="AB3020" i="12"/>
  <c r="AB2572" i="12"/>
  <c r="AB717" i="12"/>
  <c r="AB1571" i="12"/>
  <c r="AB2996" i="12"/>
  <c r="AB3178" i="12"/>
  <c r="AB1737" i="12"/>
  <c r="AB871" i="12"/>
  <c r="AB3499" i="12"/>
  <c r="AB2973" i="12"/>
  <c r="AB2808" i="12"/>
  <c r="AB525" i="12"/>
  <c r="AB734" i="12"/>
  <c r="AB385" i="12"/>
  <c r="AB2888" i="12"/>
  <c r="AB3226" i="12"/>
  <c r="AB3341" i="12"/>
  <c r="AB2535" i="12"/>
  <c r="AB1525" i="12"/>
  <c r="AB2695" i="12"/>
  <c r="AB3201" i="12"/>
  <c r="AB866" i="12"/>
  <c r="AB360" i="12"/>
  <c r="AB850" i="12"/>
  <c r="AB1257" i="12"/>
  <c r="AB1710" i="12"/>
  <c r="AB1432" i="12"/>
  <c r="AB3285" i="12"/>
  <c r="AB906" i="12"/>
  <c r="AB57" i="12"/>
  <c r="AB3164" i="12"/>
  <c r="AB1008" i="12"/>
  <c r="AB2897" i="12"/>
  <c r="AB1907" i="12"/>
  <c r="AB2362" i="12"/>
  <c r="AB3066" i="12"/>
  <c r="AB2570" i="12"/>
  <c r="AB1815" i="12"/>
  <c r="AB436" i="12"/>
  <c r="AB3352" i="12"/>
  <c r="AB608" i="12"/>
  <c r="AB659" i="12"/>
  <c r="AB3485" i="12"/>
  <c r="AB1055" i="12"/>
  <c r="AB2569" i="12"/>
  <c r="AB3191" i="12"/>
  <c r="AB2819" i="12"/>
  <c r="AB88" i="12"/>
  <c r="AB3530" i="12"/>
  <c r="AB2746" i="12"/>
  <c r="AB3400" i="12"/>
  <c r="AB3076" i="12"/>
  <c r="AB1962" i="12"/>
  <c r="AB853" i="12"/>
  <c r="AB2573" i="12"/>
  <c r="AB2171" i="12"/>
  <c r="AB2092" i="12"/>
  <c r="AB660" i="12"/>
  <c r="AB1062" i="12"/>
  <c r="AB1730" i="12"/>
  <c r="AB3442" i="12"/>
  <c r="AB572" i="12"/>
  <c r="AB19" i="12"/>
  <c r="AB2055" i="12"/>
  <c r="AB1158" i="12"/>
  <c r="AB2894" i="12"/>
  <c r="AB1765" i="12"/>
  <c r="AB184" i="12"/>
  <c r="AB1019" i="12"/>
  <c r="AB420" i="12"/>
  <c r="AB593" i="12"/>
  <c r="AB3391" i="12"/>
  <c r="AB1234" i="12"/>
  <c r="AB2547" i="12"/>
  <c r="AB1413" i="12"/>
  <c r="AB2638" i="12"/>
  <c r="AB1874" i="12"/>
  <c r="AB2451" i="12"/>
  <c r="AB2580" i="12"/>
  <c r="AB1579" i="12"/>
  <c r="AB1999" i="12"/>
  <c r="AB2422" i="12"/>
  <c r="AB1226" i="12"/>
  <c r="AB1847" i="12"/>
  <c r="AB1437" i="12"/>
  <c r="AB429" i="12"/>
  <c r="AB3172" i="12"/>
  <c r="AB815" i="12"/>
  <c r="AB2077" i="12"/>
  <c r="AB3287" i="12"/>
  <c r="AB1657" i="12"/>
  <c r="AB2926" i="12"/>
  <c r="AB868" i="12"/>
  <c r="AB2384" i="12"/>
  <c r="AB1389" i="12"/>
  <c r="AB1454" i="12"/>
  <c r="AB306" i="12"/>
  <c r="AB3231" i="12"/>
  <c r="AB3459" i="12"/>
  <c r="AB1119" i="12"/>
  <c r="AB3037" i="12"/>
  <c r="AB388" i="12"/>
  <c r="AB1909" i="12"/>
  <c r="AB2994" i="12"/>
  <c r="AB571" i="12"/>
  <c r="AB242" i="12"/>
  <c r="AB141" i="12"/>
  <c r="AB606" i="12"/>
  <c r="AB1376" i="12"/>
  <c r="AB1258" i="12"/>
  <c r="AB123" i="12"/>
  <c r="AB1495" i="12"/>
  <c r="AB2836" i="12"/>
  <c r="AB1890" i="12"/>
  <c r="AB3531" i="12"/>
  <c r="AB1725" i="12"/>
  <c r="AB205" i="12"/>
  <c r="AB299" i="12"/>
  <c r="AB3115" i="12"/>
  <c r="AB2439" i="12"/>
  <c r="AB112" i="12"/>
  <c r="AB1403" i="12"/>
  <c r="AB2551" i="12"/>
  <c r="AB2430" i="12"/>
  <c r="AB1233" i="12"/>
  <c r="AB555" i="12"/>
  <c r="AB2297" i="12"/>
  <c r="AB1334" i="12"/>
  <c r="AB1319" i="12"/>
  <c r="AB409" i="12"/>
  <c r="AB3277" i="12"/>
  <c r="AB2896" i="12"/>
  <c r="AB104" i="12"/>
  <c r="AB1174" i="12"/>
  <c r="AB3550" i="12"/>
  <c r="AB2477" i="12"/>
  <c r="AB3163" i="12"/>
  <c r="AB1397" i="12"/>
  <c r="AB2444" i="12"/>
  <c r="AB2500" i="12"/>
  <c r="AB2597" i="12"/>
  <c r="AB2545" i="12"/>
  <c r="AB840" i="12"/>
  <c r="AB1178" i="12"/>
  <c r="AB2024" i="12"/>
  <c r="AB1059" i="12"/>
  <c r="AB2448" i="12"/>
  <c r="AB2725" i="12"/>
  <c r="AB208" i="12"/>
  <c r="AB3028" i="12"/>
  <c r="AB609" i="12"/>
  <c r="AB1395" i="12"/>
  <c r="AB1277" i="12"/>
  <c r="AB3101" i="12"/>
  <c r="AB2982" i="12"/>
  <c r="AB2568" i="12"/>
  <c r="AB2537" i="12"/>
  <c r="AB1637" i="12"/>
  <c r="AB1833" i="12"/>
  <c r="AB1402" i="12"/>
  <c r="AB3059" i="12"/>
  <c r="AB582" i="12"/>
  <c r="AB1369" i="12"/>
  <c r="AB794" i="12"/>
  <c r="AB2467" i="12"/>
  <c r="AB1886" i="12"/>
  <c r="AB3307" i="12"/>
  <c r="AB1697" i="12"/>
  <c r="AB835" i="12"/>
  <c r="AB510" i="12"/>
  <c r="AB2269" i="12"/>
  <c r="AB1421" i="12"/>
  <c r="AB812" i="12"/>
  <c r="AB1614" i="12"/>
  <c r="AB2906" i="12"/>
  <c r="AB1000" i="12"/>
  <c r="AB1926" i="12"/>
  <c r="AB1150" i="12"/>
  <c r="AB3189" i="12"/>
  <c r="AB1296" i="12"/>
  <c r="AB1220" i="12"/>
  <c r="AB202" i="12"/>
  <c r="AB2365" i="12"/>
  <c r="AB3212" i="12"/>
  <c r="AB2112" i="12"/>
  <c r="AB612" i="12"/>
  <c r="AB3398" i="12"/>
  <c r="AB103" i="12"/>
  <c r="AB414" i="12"/>
  <c r="AB22" i="12"/>
  <c r="AB1252" i="12"/>
  <c r="AB2247" i="12"/>
  <c r="AB3446" i="12"/>
  <c r="AB1080" i="12"/>
  <c r="AB1876" i="12"/>
  <c r="AB2488" i="12"/>
  <c r="AB2684" i="12"/>
  <c r="AB1681" i="12"/>
  <c r="AB2286" i="12"/>
  <c r="AB2111" i="12"/>
  <c r="AB599" i="12"/>
  <c r="AB384" i="12"/>
  <c r="AB254" i="12"/>
  <c r="AB3323" i="12"/>
  <c r="AB1526" i="12"/>
  <c r="AB714" i="12"/>
  <c r="AB2308" i="12"/>
  <c r="AB2359" i="12"/>
  <c r="AB2250" i="12"/>
  <c r="AB1024" i="12"/>
  <c r="AB2012" i="12"/>
  <c r="AB490" i="12"/>
  <c r="AB3223" i="12"/>
  <c r="AB2219" i="12"/>
  <c r="AB3533" i="12"/>
  <c r="AB2504" i="12"/>
  <c r="AB1022" i="12"/>
  <c r="AB2046" i="12"/>
  <c r="AB1126" i="12"/>
  <c r="AB212" i="12"/>
  <c r="AB1950" i="12"/>
  <c r="AB3377" i="12"/>
  <c r="AB283" i="12"/>
  <c r="AB1446" i="12"/>
  <c r="AB3239" i="12"/>
  <c r="AB28" i="12"/>
  <c r="AB844" i="12"/>
  <c r="AB2515" i="12"/>
  <c r="AB1309" i="12"/>
  <c r="AB2729" i="12"/>
  <c r="AB3235" i="12"/>
  <c r="AB368" i="12"/>
  <c r="AB3271" i="12"/>
  <c r="AB1980" i="12"/>
  <c r="AB1253" i="12"/>
  <c r="AB2732" i="12"/>
  <c r="AB1652" i="12"/>
  <c r="AB21" i="12"/>
  <c r="AB535" i="12"/>
  <c r="AB879" i="12"/>
  <c r="AB1588" i="12"/>
  <c r="AB509" i="12"/>
  <c r="AB320" i="12"/>
  <c r="AB3482" i="12"/>
  <c r="AB1885" i="12"/>
  <c r="AB35" i="12"/>
  <c r="AB2760" i="12"/>
  <c r="AB646" i="12"/>
  <c r="AB430" i="12"/>
  <c r="AB550" i="12"/>
  <c r="AB3257" i="12"/>
  <c r="AB2333" i="12"/>
  <c r="AB1168" i="12"/>
  <c r="AB2323" i="12"/>
  <c r="AB1248" i="12"/>
  <c r="AB3008" i="12"/>
  <c r="AB1133" i="12"/>
  <c r="AB1263" i="12"/>
  <c r="AB1512" i="12"/>
  <c r="AB1891" i="12"/>
  <c r="AB1852" i="12"/>
  <c r="AB2958" i="12"/>
  <c r="AB3498" i="12"/>
  <c r="AB1872" i="12"/>
  <c r="AB3451" i="12"/>
  <c r="AB1913" i="12"/>
  <c r="AB2814" i="12"/>
  <c r="AB1124" i="12"/>
  <c r="AB2023" i="12"/>
  <c r="AB2264" i="12"/>
  <c r="AB975" i="12"/>
  <c r="AB801" i="12"/>
  <c r="AB489" i="12"/>
  <c r="AB658" i="12"/>
  <c r="AB2909" i="12"/>
  <c r="AB39" i="12"/>
  <c r="AB3546" i="12"/>
  <c r="AB2401" i="12"/>
  <c r="AB2724" i="12"/>
  <c r="AB1583" i="12"/>
  <c r="AB3105" i="12"/>
  <c r="AB2069" i="12"/>
  <c r="AB1930" i="12"/>
  <c r="AB2825" i="12"/>
  <c r="AB2090" i="12"/>
  <c r="AB2916" i="12"/>
  <c r="AB2769" i="12"/>
  <c r="AB615" i="12"/>
  <c r="AB1058" i="12"/>
  <c r="AB1206" i="12"/>
  <c r="AB3532" i="12"/>
  <c r="AB3073" i="12"/>
  <c r="AB3407" i="12"/>
  <c r="AB3033" i="12"/>
  <c r="AB926" i="12"/>
  <c r="AB2709" i="12"/>
  <c r="AB145" i="12"/>
  <c r="AB2474" i="12"/>
  <c r="AB1317" i="12"/>
  <c r="AB2634" i="12"/>
  <c r="AB2396" i="12"/>
  <c r="AB2311" i="12"/>
  <c r="AB1485" i="12"/>
  <c r="AB1826" i="12"/>
  <c r="AB3083" i="12"/>
  <c r="AB2180" i="12"/>
  <c r="AB1445" i="12"/>
  <c r="AB3541" i="12"/>
  <c r="AB2924" i="12"/>
  <c r="AB2955" i="12"/>
  <c r="AB3104" i="12"/>
  <c r="AB2739" i="12"/>
  <c r="AB1200" i="12"/>
  <c r="AB1409" i="12"/>
  <c r="AB2813" i="12"/>
  <c r="AB624" i="12"/>
  <c r="AB3276" i="12"/>
  <c r="AB2148" i="12"/>
  <c r="AB2757" i="12"/>
  <c r="AB3342" i="12"/>
  <c r="AB95" i="12"/>
  <c r="AB106" i="12"/>
  <c r="AB86" i="12"/>
  <c r="AB466" i="12"/>
  <c r="AB2049" i="12"/>
  <c r="AB2755" i="12"/>
  <c r="AB3213" i="12"/>
  <c r="AB3099" i="12"/>
  <c r="AB3174" i="12"/>
  <c r="AB1041" i="12"/>
  <c r="AB3260" i="12"/>
  <c r="AB2162" i="12"/>
  <c r="AB764" i="12"/>
  <c r="AB2506" i="12"/>
  <c r="AB878" i="12"/>
  <c r="AB1143" i="12"/>
  <c r="AB3119" i="12"/>
  <c r="AB630" i="12"/>
  <c r="AB2679" i="12"/>
  <c r="AB2550" i="12"/>
  <c r="AB1455" i="12"/>
  <c r="AB602" i="12"/>
  <c r="AB2459" i="12"/>
  <c r="AB516" i="12"/>
  <c r="AB241" i="12"/>
  <c r="AB726" i="12"/>
  <c r="AB1660" i="12"/>
  <c r="AB2822" i="12"/>
  <c r="AB2387" i="12"/>
  <c r="AB1137" i="12"/>
  <c r="AB413" i="12"/>
  <c r="AB1648" i="12"/>
  <c r="AB2643" i="12"/>
  <c r="AB138" i="12"/>
  <c r="AB2607" i="12"/>
  <c r="AB1288" i="12"/>
  <c r="AB1594" i="12"/>
  <c r="AB3518" i="12"/>
  <c r="AB98" i="12"/>
  <c r="AB1552" i="12"/>
  <c r="AB806" i="12"/>
  <c r="AB2928" i="12"/>
  <c r="AB3214" i="12"/>
  <c r="AB1564" i="12"/>
  <c r="AB1020" i="12"/>
  <c r="AB1332" i="12"/>
  <c r="AB346" i="12"/>
  <c r="AB1141" i="12"/>
  <c r="AB2855" i="12"/>
  <c r="AB1668" i="12"/>
  <c r="AB3041" i="12"/>
  <c r="AB2137" i="12"/>
  <c r="AB3294" i="12"/>
  <c r="AB2845" i="12"/>
  <c r="AB228" i="12"/>
  <c r="AB942" i="12"/>
  <c r="AB616" i="12"/>
  <c r="AB233" i="12"/>
  <c r="AB2304" i="12"/>
  <c r="AB277" i="12"/>
  <c r="AB2588" i="12"/>
  <c r="AB2866" i="12"/>
  <c r="AB2141" i="12"/>
  <c r="AB708" i="12"/>
  <c r="AB3418" i="12"/>
  <c r="AB298" i="12"/>
  <c r="AB3349" i="12"/>
  <c r="AB2288" i="12"/>
  <c r="AB1843" i="12"/>
  <c r="AB271" i="12"/>
  <c r="AB2102" i="12"/>
  <c r="AB1157" i="12"/>
  <c r="AB811" i="12"/>
  <c r="AB2244" i="12"/>
  <c r="AB1641" i="12"/>
  <c r="AB2800" i="12"/>
  <c r="AB395" i="12"/>
  <c r="AB2999" i="12"/>
  <c r="AB818" i="12"/>
  <c r="AB613" i="12"/>
  <c r="AB2970" i="12"/>
  <c r="AB2017" i="12"/>
  <c r="AB2523" i="12"/>
  <c r="AB319" i="12"/>
  <c r="AB1501" i="12"/>
  <c r="AB3208" i="12"/>
  <c r="AB958" i="12"/>
  <c r="AB83" i="12"/>
  <c r="AB1194" i="12"/>
  <c r="AB3441" i="12"/>
  <c r="AB1223" i="12"/>
  <c r="AB424" i="12"/>
  <c r="AB1989" i="12"/>
  <c r="AB3249" i="12"/>
  <c r="AB2202" i="12"/>
  <c r="AB1916" i="12"/>
  <c r="AB2632" i="12"/>
  <c r="AB2380" i="12"/>
  <c r="AB1640" i="12"/>
  <c r="AB1037" i="12"/>
  <c r="AB1093" i="12"/>
  <c r="AB622" i="12"/>
  <c r="AB647" i="12"/>
  <c r="AB819" i="12"/>
  <c r="AB688" i="12"/>
  <c r="AB2405" i="12"/>
  <c r="AB1658" i="12"/>
  <c r="AB2432" i="12"/>
  <c r="AB3030" i="12"/>
  <c r="AB1945" i="12"/>
  <c r="AB398" i="12"/>
  <c r="AB3448" i="12"/>
  <c r="AB1401" i="12"/>
  <c r="AB2668" i="12"/>
  <c r="AB2409" i="12"/>
  <c r="AB1283" i="12"/>
  <c r="AB3425" i="12"/>
  <c r="AB1275" i="12"/>
  <c r="AB1265" i="12"/>
  <c r="AB557" i="12"/>
  <c r="AB1911" i="12"/>
  <c r="AB1330" i="12"/>
  <c r="AB1620" i="12"/>
  <c r="AB3157" i="12"/>
  <c r="AB452" i="12"/>
  <c r="AB2759" i="12"/>
  <c r="AB2610" i="12"/>
  <c r="AB585" i="12"/>
  <c r="AB3417" i="12"/>
  <c r="AB518" i="12"/>
  <c r="AB2807" i="12"/>
  <c r="AB3262" i="12"/>
  <c r="AB1731" i="12"/>
  <c r="AB1897" i="12"/>
  <c r="AB1426" i="12"/>
  <c r="AB580" i="12"/>
  <c r="AB3416" i="12"/>
  <c r="AB1498" i="12"/>
  <c r="AB91" i="12"/>
  <c r="AB220" i="12"/>
  <c r="AB2471" i="12"/>
  <c r="AB996" i="12"/>
  <c r="AB3504" i="12"/>
  <c r="AB745" i="12"/>
  <c r="AB2727" i="12"/>
  <c r="AB1235" i="12"/>
  <c r="AB1778" i="12"/>
  <c r="AB971" i="12"/>
  <c r="AB245" i="12"/>
  <c r="AB586" i="12"/>
  <c r="AB1770" i="12"/>
  <c r="AB2834" i="12"/>
  <c r="AB130" i="12"/>
  <c r="AB1287" i="12"/>
  <c r="AB1111" i="12"/>
  <c r="AB3467" i="12"/>
  <c r="AB3444" i="12"/>
  <c r="AB2114" i="12"/>
  <c r="AB2309" i="12"/>
  <c r="AB2790" i="12"/>
  <c r="AB239" i="12"/>
  <c r="AB2083" i="12"/>
  <c r="AB1504" i="12"/>
  <c r="AB1361" i="12"/>
  <c r="AB3435" i="12"/>
  <c r="AB1541" i="12"/>
  <c r="AB2088" i="12"/>
  <c r="AB3120" i="12"/>
  <c r="AB3051" i="12"/>
  <c r="AB826" i="12"/>
  <c r="AB3380" i="12"/>
  <c r="AB2159" i="12"/>
  <c r="AB2121" i="12"/>
  <c r="AB3370" i="12"/>
  <c r="AB2608" i="12"/>
  <c r="AB2827" i="12"/>
  <c r="AB441" i="12"/>
  <c r="AB1056" i="12"/>
  <c r="AB1881" i="12"/>
  <c r="AB2354" i="12"/>
  <c r="AB3479" i="12"/>
  <c r="AB240" i="12"/>
  <c r="AB2910" i="12"/>
  <c r="AB2113" i="12"/>
  <c r="AB3539" i="12"/>
  <c r="AB515" i="12"/>
  <c r="AB2874" i="12"/>
  <c r="AB1924" i="12"/>
  <c r="AB2235" i="12"/>
  <c r="AB2160" i="12"/>
  <c r="AB1736" i="12"/>
  <c r="AB1722" i="12"/>
  <c r="AB1941" i="12"/>
  <c r="AB2166" i="12"/>
  <c r="AB1644" i="12"/>
  <c r="AB1755" i="12"/>
  <c r="AB189" i="12"/>
  <c r="AB460" i="12"/>
  <c r="AB3068" i="12"/>
  <c r="AB2516" i="12"/>
  <c r="AB2340" i="12"/>
  <c r="AB2397" i="12"/>
  <c r="AB2246" i="12"/>
  <c r="AB1581" i="12"/>
  <c r="AB2367" i="12"/>
  <c r="AB693" i="12"/>
  <c r="AB825" i="12"/>
  <c r="AB898" i="12"/>
  <c r="AB291" i="12"/>
  <c r="AB3126" i="12"/>
  <c r="AB3093" i="12"/>
  <c r="AB3220" i="12"/>
  <c r="AB991" i="12"/>
  <c r="AB749" i="12"/>
  <c r="AB2747" i="12"/>
  <c r="AB3145" i="12"/>
  <c r="AB3144" i="12"/>
  <c r="AB1303" i="12"/>
  <c r="AB3502" i="12"/>
  <c r="AB2710" i="12"/>
  <c r="AB2698" i="12"/>
  <c r="AB3478" i="12"/>
  <c r="AB101" i="12"/>
  <c r="AB857" i="12"/>
  <c r="AB3331" i="12"/>
  <c r="AB1868" i="12"/>
  <c r="AB1767" i="12"/>
  <c r="AB2880" i="12"/>
  <c r="AB1785" i="12"/>
  <c r="AB653" i="12"/>
  <c r="AB2738" i="12"/>
  <c r="AB2104" i="12"/>
  <c r="AB226" i="12"/>
  <c r="AB984" i="12"/>
  <c r="AB1570" i="12"/>
  <c r="AB62" i="12"/>
  <c r="AB2158" i="12"/>
  <c r="AB2701" i="12"/>
  <c r="AB3186" i="12"/>
  <c r="AB3067" i="12"/>
  <c r="AB1071" i="12"/>
  <c r="AB3332" i="12"/>
  <c r="AB3319" i="12"/>
  <c r="AB3463" i="12"/>
  <c r="AB684" i="12"/>
  <c r="AB3149" i="12"/>
  <c r="AB1371" i="12"/>
  <c r="AB3402" i="12"/>
  <c r="AB1350" i="12"/>
  <c r="AB2815" i="12"/>
  <c r="AB417" i="12"/>
  <c r="AB533" i="12"/>
  <c r="AB1016" i="12"/>
  <c r="AB2183" i="12"/>
  <c r="AB1191" i="12"/>
  <c r="AB836" i="12"/>
  <c r="AB2131" i="12"/>
  <c r="AB1720" i="12"/>
  <c r="AB1232" i="12"/>
  <c r="AB2748" i="12"/>
  <c r="AB1513" i="12"/>
  <c r="AB2744" i="12"/>
  <c r="AB2481" i="12"/>
  <c r="AB348" i="12"/>
  <c r="AB741" i="12"/>
  <c r="AB2522" i="12"/>
  <c r="AB2594" i="12"/>
  <c r="AB159" i="12"/>
  <c r="AB185" i="12"/>
  <c r="AB3097" i="12"/>
  <c r="AB591" i="12"/>
  <c r="AB1201" i="12"/>
  <c r="AB1943" i="12"/>
  <c r="AB1271" i="12"/>
  <c r="AB2260" i="12"/>
  <c r="AB1653" i="12"/>
  <c r="AB2256" i="12"/>
  <c r="AB279" i="12"/>
  <c r="AB1476" i="12"/>
  <c r="AB167" i="12"/>
  <c r="AB697" i="12"/>
  <c r="AB2053" i="12"/>
  <c r="AB2501" i="12"/>
  <c r="AB2421" i="12"/>
  <c r="AB831" i="12"/>
  <c r="AB1083" i="12"/>
  <c r="AB2552" i="12"/>
  <c r="AB2681" i="12"/>
  <c r="AB1131" i="12"/>
  <c r="AB2531" i="12"/>
  <c r="AB115" i="12"/>
  <c r="AB1470" i="12"/>
  <c r="AB451" i="12"/>
  <c r="AB522" i="12"/>
  <c r="AB2596" i="12"/>
  <c r="AB1741" i="12"/>
  <c r="AB1460" i="12"/>
  <c r="AB1864" i="12"/>
  <c r="AB2330" i="12"/>
  <c r="AB1832" i="12"/>
  <c r="AB2532" i="12"/>
  <c r="AB1956" i="12"/>
  <c r="AB2355" i="12"/>
  <c r="AB2199" i="12"/>
  <c r="AB337" i="12"/>
  <c r="AB1156" i="12"/>
  <c r="AB1992" i="12"/>
  <c r="AB2195" i="12"/>
  <c r="AB935" i="12"/>
  <c r="AB1084" i="12"/>
  <c r="AB1382" i="12"/>
  <c r="AB2025" i="12"/>
  <c r="AB1209" i="12"/>
  <c r="AB1279" i="12"/>
  <c r="AB2688" i="12"/>
  <c r="AB882" i="12"/>
  <c r="AB619" i="12"/>
  <c r="AB2582" i="12"/>
  <c r="AB3325" i="12"/>
  <c r="AB2750" i="12"/>
  <c r="AB2673" i="12"/>
  <c r="AB3168" i="12"/>
  <c r="AB3452" i="12"/>
  <c r="AB3515" i="12"/>
  <c r="AB386" i="12"/>
  <c r="AB3551" i="12"/>
  <c r="AB1602" i="12"/>
  <c r="AB896" i="12"/>
  <c r="AB527" i="12"/>
  <c r="AB2795" i="12"/>
  <c r="AB1792" i="12"/>
  <c r="AB1742" i="12"/>
  <c r="AB3012" i="12"/>
  <c r="AB1862" i="12"/>
  <c r="AB642" i="12"/>
  <c r="AB1018" i="12"/>
  <c r="AB972" i="12"/>
  <c r="AB2611" i="12"/>
  <c r="AB1490" i="12"/>
  <c r="AB89" i="12"/>
  <c r="AB3176" i="12"/>
  <c r="AB2913" i="12"/>
  <c r="AB2155" i="12"/>
  <c r="AB1678" i="12"/>
  <c r="AB84" i="12"/>
  <c r="AB1173" i="12"/>
  <c r="AB290" i="12"/>
  <c r="AB252" i="12"/>
  <c r="AB3433" i="12"/>
  <c r="AB2182" i="12"/>
  <c r="AB832" i="12"/>
  <c r="AB791" i="12"/>
  <c r="AB1336" i="12"/>
  <c r="AB3132" i="12"/>
  <c r="AB3534" i="12"/>
  <c r="AB497" i="12"/>
  <c r="AB2203" i="12"/>
  <c r="AB2862" i="12"/>
  <c r="AB2534" i="12"/>
  <c r="AB3471" i="12"/>
  <c r="AB747" i="12"/>
  <c r="AB1951" i="12"/>
  <c r="AB1187" i="12"/>
  <c r="AB987" i="12"/>
  <c r="AB2585" i="12"/>
  <c r="AB800" i="12"/>
  <c r="AB2765" i="12"/>
  <c r="AB318" i="12"/>
  <c r="AB3278" i="12"/>
  <c r="AB2048" i="12"/>
  <c r="AB1666" i="12"/>
  <c r="AB969" i="12"/>
  <c r="AB49" i="12"/>
  <c r="AB3330" i="12"/>
  <c r="AB3386" i="12"/>
  <c r="AB1021" i="12"/>
  <c r="AB2987" i="12"/>
  <c r="AB2487" i="12"/>
  <c r="AB102" i="12"/>
  <c r="AB2287" i="12"/>
  <c r="AB1779" i="12"/>
  <c r="AB3401" i="12"/>
  <c r="AB1129" i="12"/>
  <c r="AB1280" i="12"/>
  <c r="AB2946" i="12"/>
  <c r="AB253" i="12"/>
  <c r="AB1633" i="12"/>
  <c r="AB1616" i="12"/>
  <c r="AB2511" i="12"/>
  <c r="AB322" i="12"/>
  <c r="AB2908" i="12"/>
  <c r="AB3032" i="12"/>
  <c r="AB1488" i="12"/>
  <c r="AB1673" i="12"/>
  <c r="AB3049" i="12"/>
  <c r="AB762" i="12"/>
  <c r="AB379" i="12"/>
  <c r="AB1798" i="12"/>
  <c r="AB373" i="12"/>
  <c r="AB488" i="12"/>
  <c r="AB1775" i="12"/>
  <c r="AB710" i="12"/>
  <c r="AB1631" i="12"/>
  <c r="AB1177" i="12"/>
  <c r="AB2222" i="12"/>
  <c r="AB2031" i="12"/>
  <c r="AB1734" i="12"/>
  <c r="AB2185" i="12"/>
  <c r="AB1589" i="12"/>
  <c r="AB2977" i="12"/>
  <c r="AB1245" i="12"/>
  <c r="AB919" i="12"/>
  <c r="AB3313" i="12"/>
  <c r="AB1153" i="12"/>
  <c r="AB513" i="12"/>
  <c r="AB1081" i="12"/>
  <c r="AB139" i="12"/>
  <c r="AB895" i="12"/>
  <c r="AB2832" i="12"/>
  <c r="AB2229" i="12"/>
  <c r="AB655" i="12"/>
  <c r="AB3383" i="12"/>
  <c r="AB140" i="12"/>
  <c r="AB512" i="12"/>
  <c r="AB544" i="12"/>
  <c r="AB396" i="12"/>
  <c r="AB2856" i="12"/>
  <c r="AB2950" i="12"/>
  <c r="AB2332" i="12"/>
  <c r="AB1638" i="12"/>
  <c r="AB154" i="12"/>
  <c r="AB716" i="12"/>
  <c r="AB2978" i="12"/>
  <c r="AB1603" i="12"/>
  <c r="AB2157" i="12"/>
  <c r="AB2128" i="12"/>
  <c r="AB2647" i="12"/>
  <c r="AB1632" i="12"/>
  <c r="AB1291" i="12"/>
  <c r="AB1184" i="12"/>
  <c r="AB870" i="12"/>
  <c r="AB1385" i="12"/>
  <c r="AB1873" i="12"/>
  <c r="AB3072" i="12"/>
  <c r="AB289" i="12"/>
  <c r="AB690" i="12"/>
  <c r="AB528" i="12"/>
  <c r="AB2052" i="12"/>
  <c r="AB1281" i="12"/>
  <c r="AB885" i="12"/>
  <c r="AB3394" i="12"/>
  <c r="AB1536" i="12"/>
  <c r="AB793" i="12"/>
  <c r="AB3337" i="12"/>
  <c r="AB944" i="12"/>
  <c r="AB1175" i="12"/>
  <c r="AB3424" i="12"/>
  <c r="AB1113" i="12"/>
  <c r="AB2499" i="12"/>
  <c r="AB1436" i="12"/>
  <c r="AB1630" i="12"/>
  <c r="AB2039" i="12"/>
  <c r="AB2212" i="12"/>
  <c r="AB2279" i="12"/>
  <c r="AB3292" i="12"/>
  <c r="AB663" i="12"/>
  <c r="AB931" i="12"/>
  <c r="AB3202" i="12"/>
  <c r="AB1676" i="12"/>
  <c r="AB1308" i="12"/>
  <c r="AB822" i="12"/>
  <c r="AB1360" i="12"/>
  <c r="AB2216" i="12"/>
  <c r="AB2672" i="12"/>
  <c r="AB845" i="12"/>
  <c r="AB1108" i="12"/>
  <c r="AB634" i="12"/>
  <c r="AB2005" i="12"/>
  <c r="AB2172" i="12"/>
  <c r="AB2833" i="12"/>
  <c r="AB2051" i="12"/>
  <c r="AB2954" i="12"/>
  <c r="AB990" i="12"/>
  <c r="AB1760" i="12"/>
  <c r="AB2305" i="12"/>
  <c r="AB90" i="12"/>
  <c r="AB77" i="12"/>
  <c r="AB1045" i="12"/>
  <c r="AB3343" i="12"/>
  <c r="AB1740" i="12"/>
  <c r="AB1345" i="12"/>
  <c r="AB2339" i="12"/>
  <c r="AB792" i="12"/>
  <c r="AB250" i="12"/>
  <c r="AB2556" i="12"/>
  <c r="AB342" i="12"/>
  <c r="AB1687" i="12"/>
  <c r="AB2742" i="12"/>
  <c r="AB671" i="12"/>
  <c r="AB1101" i="12"/>
  <c r="AB31" i="12"/>
  <c r="AB1983" i="12"/>
  <c r="AB1278" i="12"/>
  <c r="AB696" i="12"/>
  <c r="AB1428" i="12"/>
  <c r="AB2706" i="12"/>
  <c r="AB1500" i="12"/>
  <c r="AB1883" i="12"/>
  <c r="AB334" i="12"/>
  <c r="AB2395" i="12"/>
  <c r="AB2919" i="12"/>
  <c r="AB1144" i="12"/>
  <c r="AB2463" i="12"/>
  <c r="AB2915" i="12"/>
  <c r="AB34" i="12"/>
  <c r="AB1032" i="12"/>
  <c r="AB1721" i="12"/>
  <c r="AB631" i="12"/>
  <c r="AB399" i="12"/>
  <c r="AB2274" i="12"/>
  <c r="AB3007" i="12"/>
  <c r="AB155" i="12"/>
  <c r="AB743" i="12"/>
  <c r="AB2416" i="12"/>
  <c r="AB3217" i="12"/>
  <c r="AB997" i="12"/>
  <c r="AB1818" i="12"/>
  <c r="AB1294" i="12"/>
  <c r="AB2502" i="12"/>
  <c r="AB1593" i="12"/>
  <c r="AB3070" i="12"/>
  <c r="AB2267" i="12"/>
  <c r="AB1070" i="12"/>
  <c r="AB2124" i="12"/>
  <c r="AB1452" i="12"/>
  <c r="AB118" i="12"/>
  <c r="AB428" i="12"/>
  <c r="AB2745" i="12"/>
  <c r="AB2960" i="12"/>
  <c r="AB669" i="12"/>
  <c r="AB2605" i="12"/>
  <c r="AB1388" i="12"/>
  <c r="AB2821" i="12"/>
  <c r="AB3422" i="12"/>
  <c r="AB1171" i="12"/>
  <c r="AB1259" i="12"/>
  <c r="AB2623" i="12"/>
  <c r="AB2811" i="12"/>
  <c r="AB2951" i="12"/>
  <c r="AB3196" i="12"/>
  <c r="AB3473" i="12"/>
  <c r="AB2070" i="12"/>
  <c r="AB1780" i="12"/>
  <c r="AB3414" i="12"/>
  <c r="AB3356" i="12"/>
  <c r="AB2652" i="12"/>
  <c r="AB160" i="12"/>
  <c r="AB1607" i="12"/>
  <c r="AB3438" i="12"/>
  <c r="AB1458" i="12"/>
  <c r="AB1744" i="12"/>
  <c r="AB769" i="12"/>
  <c r="AB1179" i="12"/>
  <c r="AB2774" i="12"/>
  <c r="AB2612" i="12"/>
  <c r="AB2841" i="12"/>
  <c r="AB3449" i="12"/>
  <c r="AB691" i="12"/>
  <c r="AB2003" i="12"/>
  <c r="AB2329" i="12"/>
  <c r="AB255" i="12"/>
  <c r="AB924" i="12"/>
  <c r="AB961" i="12"/>
  <c r="AB2574" i="12"/>
  <c r="AB2558" i="12"/>
  <c r="AB1560" i="12"/>
  <c r="AB1879" i="12"/>
  <c r="AB281" i="12"/>
  <c r="AB3460" i="12"/>
  <c r="AB2177" i="12"/>
  <c r="AB1597" i="12"/>
  <c r="AB1976" i="12"/>
  <c r="AB1127" i="12"/>
  <c r="AB135" i="12"/>
  <c r="AB904" i="12"/>
  <c r="AB1875" i="12"/>
  <c r="AB40" i="12"/>
  <c r="AB1472" i="12"/>
  <c r="AB1328" i="12"/>
  <c r="AB2385" i="12"/>
  <c r="AB30" i="12"/>
  <c r="AB3514" i="12"/>
  <c r="AB113" i="12"/>
  <c r="AB1793" i="12"/>
  <c r="AB2266" i="12"/>
  <c r="AB1398" i="12"/>
  <c r="AB1155" i="12"/>
  <c r="AB3087" i="12"/>
  <c r="AB305" i="12"/>
  <c r="AB1065" i="12"/>
  <c r="AB3282" i="12"/>
  <c r="AB1489" i="12"/>
  <c r="AB2513" i="12"/>
  <c r="AB1997" i="12"/>
  <c r="AB1001" i="12"/>
  <c r="AB1497" i="12"/>
  <c r="AB3472" i="12"/>
  <c r="AB1871" i="12"/>
  <c r="AB3091" i="12"/>
  <c r="AB1433" i="12"/>
  <c r="AB1289" i="12"/>
  <c r="AB304" i="12"/>
  <c r="AB2879" i="12"/>
  <c r="AB2939" i="12"/>
  <c r="AB1202" i="12"/>
  <c r="AB1747" i="12"/>
  <c r="AB1286" i="12"/>
  <c r="AB128" i="12"/>
  <c r="AB1756" i="12"/>
  <c r="AB1400" i="12"/>
  <c r="AB3137" i="12"/>
  <c r="AB519" i="12"/>
  <c r="AB1380" i="12"/>
  <c r="AB1247" i="12"/>
  <c r="AB709" i="12"/>
  <c r="AB2011" i="12"/>
  <c r="AB2021" i="12"/>
  <c r="AB2002" i="12"/>
  <c r="AB1547" i="12"/>
  <c r="AB2997" i="12"/>
  <c r="AB3154" i="12"/>
  <c r="AB1100" i="12"/>
  <c r="AB2875" i="12"/>
  <c r="AB1282" i="12"/>
  <c r="AB3219" i="12"/>
  <c r="AB1957" i="12"/>
  <c r="AB3455" i="12"/>
  <c r="AB2377" i="12"/>
  <c r="AB2369" i="12"/>
  <c r="AB2144" i="12"/>
  <c r="AB532" i="12"/>
  <c r="AB796" i="12"/>
  <c r="AB1297" i="12"/>
  <c r="AB2456" i="12"/>
  <c r="AB751" i="12"/>
  <c r="AB651" i="12"/>
  <c r="AB475" i="12"/>
  <c r="AB2490" i="12"/>
  <c r="AB1646" i="12"/>
  <c r="AB2110" i="12"/>
  <c r="AB3540" i="12"/>
  <c r="AB2917" i="12"/>
  <c r="AB1715" i="12"/>
  <c r="AB1474" i="12"/>
  <c r="AB808" i="12"/>
  <c r="AB1219" i="12"/>
  <c r="AB2225" i="12"/>
  <c r="AB1404" i="12"/>
  <c r="AB2353" i="12"/>
  <c r="AB371" i="12"/>
  <c r="AB2497" i="12"/>
  <c r="AB1311" i="12"/>
  <c r="AB2912" i="12"/>
  <c r="AB1865" i="12"/>
  <c r="AB339" i="12"/>
  <c r="AB2740" i="12"/>
  <c r="AB1705" i="12"/>
  <c r="AB3167" i="12"/>
  <c r="AB203" i="12"/>
  <c r="AB858" i="12"/>
  <c r="AB2741" i="12"/>
  <c r="AB1316" i="12"/>
  <c r="AB759" i="12"/>
  <c r="AB1605" i="12"/>
  <c r="AB869" i="12"/>
  <c r="AB1539" i="12"/>
  <c r="AB278" i="12"/>
  <c r="AB1053" i="12"/>
  <c r="AB3348" i="12"/>
  <c r="AB2215" i="12"/>
  <c r="AB1204" i="12"/>
  <c r="AB1613" i="12"/>
  <c r="AB2268" i="12"/>
  <c r="AB3542" i="12"/>
  <c r="AB468" i="12"/>
  <c r="AB2037" i="12"/>
  <c r="AB824" i="12"/>
  <c r="AB1845" i="12"/>
  <c r="AB3523" i="12"/>
  <c r="AB1491" i="12"/>
  <c r="AB922" i="12"/>
  <c r="AB2058" i="12"/>
  <c r="AB3111" i="12"/>
  <c r="AB1039" i="12"/>
  <c r="AB2882" i="12"/>
  <c r="AB117" i="12"/>
  <c r="AB206" i="12"/>
  <c r="AB1971" i="12"/>
  <c r="AB2228" i="12"/>
  <c r="AB1448" i="12"/>
  <c r="AB3506" i="12"/>
  <c r="AB2510" i="12"/>
  <c r="AB2920" i="12"/>
  <c r="AB2214" i="12"/>
  <c r="AB1800" i="12"/>
  <c r="AB494" i="12"/>
  <c r="AB682" i="12"/>
  <c r="AB3371" i="12"/>
  <c r="AB2626" i="12"/>
  <c r="AB2644" i="12"/>
  <c r="AB860" i="12"/>
  <c r="AB2601" i="12"/>
  <c r="AB2234" i="12"/>
  <c r="AB217" i="12"/>
  <c r="AB2854" i="12"/>
  <c r="AB1114" i="12"/>
  <c r="AB2079" i="12"/>
  <c r="AB376" i="12"/>
  <c r="AB2178" i="12"/>
  <c r="AB945" i="12"/>
  <c r="AB2468" i="12"/>
  <c r="AB986" i="12"/>
  <c r="AB249" i="12"/>
  <c r="AB2103" i="12"/>
  <c r="AB80" i="12"/>
  <c r="AB2885" i="12"/>
  <c r="AB20" i="12"/>
  <c r="AB1268" i="12"/>
  <c r="AB2004" i="12"/>
  <c r="AB3134" i="12"/>
  <c r="AB2217" i="12"/>
  <c r="AB910" i="12"/>
  <c r="AB1251" i="12"/>
  <c r="AB2437" i="12"/>
  <c r="AB53" i="12"/>
  <c r="AB1920" i="12"/>
  <c r="AB568" i="12"/>
  <c r="AB2152" i="12"/>
  <c r="AB215" i="12"/>
  <c r="AB680" i="12"/>
  <c r="AB1148" i="12"/>
  <c r="AB181" i="12"/>
  <c r="AB1502" i="12"/>
  <c r="AB1356" i="12"/>
  <c r="AB2242" i="12"/>
  <c r="AB3194" i="12"/>
  <c r="AB1231" i="12"/>
  <c r="AB1964" i="12"/>
  <c r="AB1855" i="12"/>
  <c r="AB1973" i="12"/>
  <c r="AB3074" i="12"/>
  <c r="AB1717" i="12"/>
  <c r="AB2868" i="12"/>
  <c r="AB2318" i="12"/>
  <c r="AB190" i="12"/>
  <c r="AB2181" i="12"/>
  <c r="AB2686" i="12"/>
  <c r="AB3468" i="12"/>
  <c r="AB2851" i="12"/>
  <c r="AB3158" i="12"/>
  <c r="AB1211" i="12"/>
  <c r="AB3054" i="12"/>
  <c r="AB3484" i="12"/>
  <c r="AB2798" i="12"/>
  <c r="AB100" i="12"/>
  <c r="AB2147" i="12"/>
  <c r="AB2461" i="12"/>
  <c r="AB903" i="12"/>
  <c r="AB2838" i="12"/>
  <c r="AB1925" i="12"/>
  <c r="AB2364" i="12"/>
  <c r="AB2376" i="12"/>
  <c r="AB3256" i="12"/>
  <c r="AB1441" i="12"/>
  <c r="AB248" i="12"/>
  <c r="AB1186" i="12"/>
  <c r="AB294" i="12"/>
  <c r="AB1393" i="12"/>
  <c r="AB921" i="12"/>
  <c r="AB3305" i="12"/>
  <c r="AB760" i="12"/>
  <c r="AB601" i="12"/>
  <c r="AB1273" i="12"/>
  <c r="AB1919" i="12"/>
  <c r="AB1295" i="12"/>
  <c r="AB3505" i="12"/>
  <c r="AB3043" i="12"/>
  <c r="AB1797" i="12"/>
  <c r="AB1563" i="12"/>
  <c r="AB2877" i="12"/>
  <c r="AB2671" i="12"/>
  <c r="AB2923" i="12"/>
  <c r="AB1585" i="12"/>
  <c r="AB1680" i="12"/>
  <c r="AB2957" i="12"/>
  <c r="AB3245" i="12"/>
  <c r="AB1034" i="12"/>
  <c r="AB3336" i="12"/>
  <c r="AB754" i="12"/>
  <c r="AB823" i="12"/>
  <c r="AB2205" i="12"/>
  <c r="AB2324" i="12"/>
  <c r="AB214" i="12"/>
  <c r="AB939" i="12"/>
  <c r="AB1712" i="12"/>
  <c r="AB3038" i="12"/>
  <c r="AB1622" i="12"/>
  <c r="AB639" i="12"/>
  <c r="AB1910" i="12"/>
  <c r="AB3409" i="12"/>
  <c r="AB2494" i="12"/>
  <c r="AB234" i="12"/>
  <c r="AB2571" i="12"/>
  <c r="AB2859" i="12"/>
  <c r="AB1505" i="12"/>
  <c r="AB643" i="12"/>
  <c r="AB1996" i="12"/>
  <c r="AB3063" i="12"/>
  <c r="AB1160" i="12"/>
  <c r="AB3403" i="12"/>
  <c r="AB605" i="12"/>
  <c r="AB1190" i="12"/>
  <c r="AB1276" i="12"/>
  <c r="AB3146" i="12"/>
  <c r="AB1840" i="12"/>
  <c r="AB416" i="12"/>
  <c r="AB3327" i="12"/>
  <c r="AB821" i="12"/>
  <c r="AB3195" i="12"/>
  <c r="AB1010" i="12"/>
  <c r="AB3537" i="12"/>
  <c r="AB2566" i="12"/>
  <c r="AB2129" i="12"/>
  <c r="AB1902" i="12"/>
  <c r="AB1761" i="12"/>
  <c r="AB1132" i="12"/>
  <c r="AB3335" i="12"/>
  <c r="AB3234" i="12"/>
  <c r="AB2366" i="12"/>
  <c r="AB2557" i="12"/>
  <c r="AB1664" i="12"/>
  <c r="AB2667" i="12"/>
  <c r="AB2493" i="12"/>
  <c r="AB2190" i="12"/>
  <c r="AB640" i="12"/>
  <c r="AB2326" i="12"/>
  <c r="AB3476" i="12"/>
  <c r="AB1138" i="12"/>
  <c r="AB2312" i="12"/>
  <c r="AB3240" i="12"/>
  <c r="AB1625" i="12"/>
  <c r="AB3338" i="12"/>
  <c r="AB1546" i="12"/>
  <c r="AB730" i="12"/>
  <c r="AB889" i="12"/>
  <c r="AB1482" i="12"/>
  <c r="AB121" i="12"/>
  <c r="AB648" i="12"/>
  <c r="AB2278" i="12"/>
  <c r="AB1367" i="12"/>
  <c r="AB1481" i="12"/>
  <c r="AB2161" i="12"/>
  <c r="AB1806" i="12"/>
  <c r="AB2135" i="12"/>
  <c r="AB2184" i="12"/>
  <c r="AB752" i="12"/>
  <c r="AB1677" i="12"/>
  <c r="AB148" i="12"/>
  <c r="AB2843" i="12"/>
  <c r="AB287" i="12"/>
  <c r="AB1555" i="12"/>
  <c r="AB3135" i="12"/>
  <c r="AB3355" i="12"/>
  <c r="AB3375" i="12"/>
  <c r="AB1429" i="12"/>
  <c r="AB1205" i="12"/>
  <c r="AB3085" i="12"/>
  <c r="AB1122" i="12"/>
  <c r="AB403" i="12"/>
  <c r="AB927" i="12"/>
  <c r="AB2378" i="12"/>
  <c r="AB978" i="12"/>
  <c r="AB1928" i="12"/>
  <c r="AB2464" i="12"/>
  <c r="AB1005" i="12"/>
  <c r="AB1075" i="12"/>
  <c r="AB243" i="12"/>
  <c r="AB3415" i="12"/>
  <c r="AB1784" i="12"/>
  <c r="AB1074" i="12"/>
  <c r="AB1236" i="12"/>
  <c r="AB2539" i="12"/>
  <c r="AB1487" i="12"/>
  <c r="AB3545" i="12"/>
  <c r="AB1477" i="12"/>
  <c r="AB1341" i="12"/>
  <c r="AB1029" i="12"/>
  <c r="AB2639" i="12"/>
  <c r="AB1418" i="12"/>
  <c r="AB3086" i="12"/>
  <c r="AB3346" i="12"/>
  <c r="AB2403" i="12"/>
  <c r="AB2411" i="12"/>
  <c r="AB3081" i="12"/>
  <c r="AB711" i="12"/>
  <c r="AB1691" i="12"/>
  <c r="AB1270" i="12"/>
  <c r="AB1298" i="12"/>
  <c r="AB2542" i="12"/>
  <c r="AB400" i="12"/>
  <c r="AB1963" i="12"/>
  <c r="AB394" i="12"/>
  <c r="AB1362" i="12"/>
  <c r="AB1363" i="12"/>
  <c r="AB3522" i="12"/>
  <c r="AB70" i="12"/>
  <c r="AB433" i="12"/>
  <c r="AB280" i="12"/>
  <c r="AB3019" i="12"/>
  <c r="AB1935" i="12"/>
  <c r="AB3016" i="12"/>
  <c r="AB3255" i="12"/>
  <c r="AB2918" i="12"/>
  <c r="AB75" i="12"/>
  <c r="AB2991" i="12"/>
  <c r="AB3487" i="12"/>
  <c r="AB584" i="12"/>
  <c r="AB331" i="12"/>
  <c r="AB325" i="12"/>
  <c r="AB1493" i="12"/>
  <c r="AB3000" i="12"/>
  <c r="AB2563" i="12"/>
  <c r="AB1550" i="12"/>
  <c r="AB2035" i="12"/>
  <c r="AB236" i="12"/>
  <c r="AB2680" i="12"/>
  <c r="AB590" i="12"/>
  <c r="AB2932" i="12"/>
  <c r="AB382" i="12"/>
  <c r="AB2299" i="12"/>
  <c r="AB41" i="12"/>
  <c r="AB2631" i="12"/>
  <c r="AB731" i="12"/>
  <c r="AB880" i="12"/>
  <c r="AB1102" i="12"/>
  <c r="AB309" i="12"/>
  <c r="AB71" i="12"/>
  <c r="AB3304" i="12"/>
  <c r="AB2763" i="12"/>
  <c r="AB3169" i="12"/>
  <c r="AB256" i="12"/>
  <c r="AB1249" i="12"/>
  <c r="AB756" i="12"/>
  <c r="AB2176" i="12"/>
  <c r="AB2265" i="12"/>
  <c r="AB1782" i="12"/>
  <c r="AB63" i="12"/>
  <c r="AB573" i="12"/>
  <c r="AB3365" i="12"/>
  <c r="AB3250" i="12"/>
  <c r="AB3426" i="12"/>
  <c r="AB1870" i="12"/>
  <c r="AB955" i="12"/>
  <c r="AB790" i="12"/>
  <c r="AB1895" i="12"/>
  <c r="AB784" i="12"/>
  <c r="AB925" i="12"/>
  <c r="AB2008" i="12"/>
  <c r="AB199" i="12"/>
  <c r="AB340" i="12"/>
  <c r="AB3527" i="12"/>
  <c r="AB3347" i="12"/>
  <c r="AB411" i="12"/>
  <c r="AB3320" i="12"/>
  <c r="AB3517" i="12"/>
  <c r="AB1142" i="12"/>
  <c r="AB232" i="12"/>
  <c r="AB2328" i="12"/>
  <c r="AB2602" i="12"/>
  <c r="AB2130" i="12"/>
  <c r="AB1284" i="12"/>
  <c r="AB1327" i="12"/>
  <c r="AB2721" i="12"/>
  <c r="AB2812" i="12"/>
  <c r="AB1949" i="12"/>
  <c r="AB2275" i="12"/>
  <c r="AB560" i="12"/>
  <c r="AB2132" i="12"/>
  <c r="AB481" i="12"/>
  <c r="AB3283" i="12"/>
  <c r="AB329" i="12"/>
  <c r="AB1867" i="12"/>
  <c r="AB2661" i="12"/>
  <c r="AB478" i="12"/>
  <c r="AB1537" i="12"/>
  <c r="AB1661" i="12"/>
  <c r="AB763" i="12"/>
  <c r="AB3432" i="12"/>
  <c r="AB2782" i="12"/>
  <c r="AB1788" i="12"/>
  <c r="AB2314" i="12"/>
  <c r="AB2543" i="12"/>
  <c r="AB2374" i="12"/>
  <c r="AB1729" i="12"/>
  <c r="AB1357" i="12"/>
  <c r="AB3535" i="12"/>
  <c r="AB1396" i="12"/>
  <c r="AB1442" i="12"/>
  <c r="AB2828" i="12"/>
  <c r="AB1608" i="12"/>
  <c r="AB1693" i="12"/>
  <c r="AB1515" i="12"/>
  <c r="AB2027" i="12"/>
  <c r="AB2787" i="12"/>
  <c r="AB641" i="12"/>
  <c r="AB3205" i="12"/>
  <c r="AB2625" i="12"/>
  <c r="AB789" i="12"/>
  <c r="AB3359" i="12"/>
  <c r="AB2143" i="12"/>
  <c r="AB553" i="12"/>
  <c r="AB3525" i="12"/>
  <c r="AB3447" i="12"/>
  <c r="AB2347" i="12"/>
  <c r="AB363" i="12"/>
  <c r="AB2320" i="12"/>
  <c r="AB3238" i="12"/>
  <c r="AB1082" i="12"/>
  <c r="AB3549" i="12"/>
  <c r="AB2284" i="12"/>
  <c r="AB1091" i="12"/>
  <c r="AB2200" i="12"/>
  <c r="AB200" i="12"/>
  <c r="AB758" i="12"/>
  <c r="AB1532" i="12"/>
  <c r="AB1931" i="12"/>
  <c r="AB977" i="12"/>
  <c r="AB1207" i="12"/>
  <c r="AB2419" i="12"/>
  <c r="AB2974" i="12"/>
  <c r="AB2561" i="12"/>
  <c r="AB786" i="12"/>
  <c r="AB2420" i="12"/>
  <c r="AB2936" i="12"/>
  <c r="AB1322" i="12"/>
  <c r="AB965" i="12"/>
  <c r="AB257" i="12"/>
  <c r="AB2683" i="12"/>
  <c r="AB1643" i="12"/>
  <c r="AB1917" i="12"/>
  <c r="AB1104" i="12"/>
  <c r="AB947" i="12"/>
  <c r="AB1152" i="12"/>
  <c r="AB720" i="12"/>
  <c r="AB1064" i="12"/>
  <c r="AB1896" i="12"/>
  <c r="AB506" i="12"/>
  <c r="AB378" i="12"/>
  <c r="AB529" i="12"/>
  <c r="AB908" i="12"/>
  <c r="AB2116" i="12"/>
  <c r="AB2019" i="12"/>
  <c r="AB913" i="12"/>
  <c r="AB2735" i="12"/>
  <c r="AB2358" i="12"/>
  <c r="AB2922" i="12"/>
  <c r="AB798" i="12"/>
  <c r="AB1558" i="12"/>
  <c r="AB2446" i="12"/>
  <c r="AB783" i="12"/>
  <c r="AB3160" i="12"/>
  <c r="AB1859" i="12"/>
  <c r="AB2883" i="12"/>
  <c r="AB1635" i="12"/>
  <c r="AB2791" i="12"/>
  <c r="AB1224" i="12"/>
  <c r="AB2590" i="12"/>
  <c r="AB2911" i="12"/>
  <c r="AB1783" i="12"/>
  <c r="AB56" i="12"/>
  <c r="AB1210" i="12"/>
  <c r="AB1854" i="12"/>
  <c r="AB1698" i="12"/>
  <c r="AB2208" i="12"/>
  <c r="AB3306" i="12"/>
  <c r="AB2526" i="12"/>
  <c r="AB2056" i="12"/>
  <c r="AB873" i="12"/>
  <c r="AB3110" i="12"/>
  <c r="AB2989" i="12"/>
  <c r="AB3228" i="12"/>
  <c r="AB2959" i="12"/>
  <c r="AB1683" i="12"/>
  <c r="AB3203" i="12"/>
  <c r="AB353" i="12"/>
  <c r="AB2289" i="12"/>
  <c r="AB1086" i="12"/>
  <c r="AB3491" i="12"/>
  <c r="AB974" i="12"/>
  <c r="AB3247" i="12"/>
  <c r="AB2927" i="12"/>
  <c r="AB504" i="12"/>
  <c r="AB1995" i="12"/>
  <c r="AB2009" i="12"/>
  <c r="AB3184" i="12"/>
  <c r="AB3015" i="12"/>
  <c r="AB2637" i="12"/>
  <c r="AB3427" i="12"/>
  <c r="AB1763" i="12"/>
  <c r="AB1118" i="12"/>
  <c r="AB1733" i="12"/>
  <c r="AB2770" i="12"/>
  <c r="AB1165" i="12"/>
  <c r="AB1484" i="12"/>
  <c r="AB3428" i="12"/>
  <c r="AB3133" i="12"/>
  <c r="AB2768" i="12"/>
  <c r="AB3112" i="12"/>
  <c r="AB657" i="12"/>
  <c r="AB1675" i="12"/>
  <c r="AB137" i="12"/>
  <c r="AB491" i="12"/>
  <c r="AB766" i="12"/>
  <c r="AB2442" i="12"/>
  <c r="AB1188" i="12"/>
  <c r="AB1922" i="12"/>
  <c r="AB1318" i="12"/>
  <c r="AB1682" i="12"/>
  <c r="AB431" i="12"/>
  <c r="AB3399" i="12"/>
  <c r="AB1856" i="12"/>
  <c r="AB3284" i="12"/>
  <c r="AB3503" i="12"/>
  <c r="AB2984" i="12"/>
  <c r="AB2428" i="12"/>
  <c r="AB3513" i="12"/>
  <c r="AB505" i="12"/>
  <c r="AB2901" i="12"/>
  <c r="AB737" i="12"/>
  <c r="AB1595" i="12"/>
  <c r="AB2840" i="12"/>
  <c r="AB2564" i="12"/>
  <c r="AB1250" i="12"/>
  <c r="AB2484" i="12"/>
  <c r="AB2415" i="12"/>
  <c r="AB2445" i="12"/>
  <c r="AB1953" i="12"/>
  <c r="AB3358" i="12"/>
  <c r="AB2213" i="12"/>
  <c r="AB1228" i="12"/>
  <c r="AB2961" i="12"/>
  <c r="AB2536" i="12"/>
  <c r="AB1955" i="12"/>
  <c r="AB166" i="12"/>
  <c r="AB1239" i="12"/>
  <c r="AB920" i="12"/>
  <c r="AB251" i="12"/>
  <c r="AB2230" i="12"/>
  <c r="AB2348" i="12"/>
  <c r="AB3009" i="12"/>
  <c r="AB357" i="12"/>
  <c r="AB2302" i="12"/>
  <c r="AB1346" i="12"/>
  <c r="AB3048" i="12"/>
  <c r="AB883" i="12"/>
  <c r="AB541" i="12"/>
  <c r="AB2440" i="12"/>
  <c r="AB1146" i="12"/>
  <c r="AB916" i="12"/>
  <c r="AB2656" i="12"/>
  <c r="AB2642" i="12"/>
  <c r="AB1936" i="12"/>
  <c r="AB418" i="12"/>
  <c r="AB2548" i="12"/>
  <c r="AB2636" i="12"/>
  <c r="AB2315" i="12"/>
  <c r="AB2649" i="12"/>
  <c r="AB2457" i="12"/>
  <c r="AB3185" i="12"/>
  <c r="AB2743" i="12"/>
  <c r="AB391" i="12"/>
  <c r="AB1292" i="12"/>
  <c r="AB1674" i="12"/>
  <c r="AB3039" i="12"/>
  <c r="AB514" i="12"/>
  <c r="AB2489" i="12"/>
  <c r="AB2726" i="12"/>
  <c r="AB1610" i="12"/>
  <c r="AB523" i="12"/>
  <c r="AB2893" i="12"/>
  <c r="AB1164" i="12"/>
  <c r="AB1939" i="12"/>
  <c r="AB2514" i="12"/>
  <c r="AB2254" i="12"/>
  <c r="AB2273" i="12"/>
  <c r="AB2283" i="12"/>
  <c r="AB1799" i="12"/>
  <c r="AB153" i="12"/>
  <c r="AB33" i="12"/>
  <c r="AB946" i="12"/>
  <c r="AB2210" i="12"/>
  <c r="AB1929" i="12"/>
  <c r="AB2657" i="12"/>
  <c r="AB548" i="12"/>
  <c r="AB2789" i="12"/>
  <c r="AB23" i="12"/>
  <c r="AB2379" i="12"/>
  <c r="AB364" i="12"/>
  <c r="AB2756" i="12"/>
  <c r="AB632" i="12"/>
  <c r="AB3218" i="12"/>
  <c r="AB1667" i="12"/>
  <c r="AB1739" i="12"/>
  <c r="AB2720" i="12"/>
  <c r="AB1390" i="12"/>
  <c r="AB406" i="12"/>
  <c r="AB3396" i="12"/>
  <c r="AB3241" i="12"/>
  <c r="AB52" i="12"/>
  <c r="AB2383" i="12"/>
  <c r="AB187" i="12"/>
  <c r="AB2272" i="12"/>
  <c r="AB94" i="12"/>
  <c r="AB2248" i="12"/>
  <c r="AB3204" i="12"/>
  <c r="AB2508" i="12"/>
  <c r="AB1237" i="12"/>
  <c r="AB1655" i="12"/>
  <c r="AB2363" i="12"/>
  <c r="AB676" i="12"/>
  <c r="AB2525" i="12"/>
  <c r="AB2045" i="12"/>
  <c r="AB2658" i="12"/>
  <c r="AB1464" i="12"/>
  <c r="AB1743" i="12"/>
  <c r="AB703" i="12"/>
  <c r="AB358" i="12"/>
  <c r="AB2983" i="12"/>
  <c r="AB1972" i="12"/>
  <c r="AB1135" i="12"/>
  <c r="AB894" i="12"/>
  <c r="AB1802" i="12"/>
  <c r="AB2105" i="12"/>
  <c r="AB1461" i="12"/>
  <c r="AB2581" i="12"/>
  <c r="AB1379" i="12"/>
  <c r="AB861" i="12"/>
  <c r="AB907" i="12"/>
  <c r="AB2809" i="12"/>
  <c r="AB1198" i="12"/>
  <c r="AB2282" i="12"/>
  <c r="AB2345" i="12"/>
  <c r="AB2020" i="12"/>
  <c r="AB2470" i="12"/>
  <c r="AB2316" i="12"/>
  <c r="AB2169" i="12"/>
  <c r="AB2771" i="12"/>
  <c r="AB1894" i="12"/>
  <c r="AB941" i="12"/>
  <c r="AB1510" i="12"/>
  <c r="AB901" i="12"/>
  <c r="AB1791" i="12"/>
  <c r="AB3321" i="12"/>
  <c r="AB1582" i="12"/>
  <c r="AB79" i="12"/>
  <c r="AB1882" i="12"/>
  <c r="AB1451" i="12"/>
  <c r="AB1076" i="12"/>
  <c r="AB1181" i="12"/>
  <c r="AB336" i="12"/>
  <c r="AB1598" i="12"/>
  <c r="AB788" i="12"/>
  <c r="AB1820" i="12"/>
  <c r="AB574" i="12"/>
  <c r="AB1534" i="12"/>
  <c r="AB1757" i="12"/>
  <c r="AB369" i="12"/>
  <c r="AB2400" i="12"/>
  <c r="AB2257" i="12"/>
  <c r="AB2890" i="12"/>
  <c r="AB718" i="12"/>
  <c r="AB2032" i="12"/>
  <c r="AB855" i="12"/>
  <c r="AB2864" i="12"/>
  <c r="AB1506" i="12"/>
  <c r="AB2375" i="12"/>
  <c r="AB1553" i="12"/>
  <c r="AB912" i="12"/>
  <c r="AB936" i="12"/>
  <c r="AB1827" i="12"/>
  <c r="AB3477" i="12"/>
  <c r="AB1419" i="12"/>
  <c r="AB3254" i="12"/>
  <c r="AB1766" i="12"/>
  <c r="AB521" i="12"/>
  <c r="AB3316" i="12"/>
  <c r="AB3350" i="12"/>
  <c r="AB3405" i="12"/>
  <c r="AB675" i="12"/>
  <c r="AB3263" i="12"/>
  <c r="AB2258" i="12"/>
  <c r="AB2078" i="12"/>
  <c r="AB3138" i="12"/>
  <c r="AB1771" i="12"/>
  <c r="AB799" i="12"/>
  <c r="AB3293" i="12"/>
  <c r="AB3251" i="12"/>
  <c r="AB3140" i="12"/>
  <c r="AB2133" i="12"/>
  <c r="AB3088" i="12"/>
  <c r="AB1305" i="12"/>
  <c r="AB1831" i="12"/>
  <c r="AB2507" i="12"/>
  <c r="AB389" i="12"/>
  <c r="AB569" i="12"/>
  <c r="AB269" i="12"/>
  <c r="AB50" i="12"/>
  <c r="AB3005" i="12"/>
  <c r="AB443" i="12"/>
  <c r="AB152" i="12"/>
  <c r="AB702" i="12"/>
  <c r="AB3344" i="12"/>
  <c r="AB1695" i="12"/>
  <c r="AB3193" i="12"/>
  <c r="AB665" i="12"/>
  <c r="AB2108" i="12"/>
  <c r="AB2319" i="12"/>
  <c r="AB928" i="12"/>
  <c r="AB1937" i="12"/>
  <c r="AB579" i="12"/>
  <c r="AB2902" i="12"/>
  <c r="AB848" i="12"/>
  <c r="AB1906" i="12"/>
  <c r="AB500" i="12"/>
  <c r="AB2337" i="12"/>
  <c r="AB2081" i="12"/>
  <c r="AB746" i="12"/>
  <c r="AB3548" i="12"/>
  <c r="AB1241" i="12"/>
  <c r="AB1998" i="12"/>
  <c r="AB1853" i="12"/>
  <c r="AB618" i="12"/>
  <c r="AB534" i="12"/>
  <c r="AB877" i="12"/>
  <c r="AB1947" i="12"/>
  <c r="AB2704" i="12"/>
  <c r="AB3497" i="12"/>
  <c r="AB2717" i="12"/>
  <c r="AB58" i="12"/>
  <c r="AB531" i="12"/>
  <c r="AB583" i="12"/>
  <c r="AB1216" i="12"/>
  <c r="AB1066" i="12"/>
  <c r="AB2125" i="12"/>
  <c r="AB1140" i="12"/>
  <c r="AB178" i="12"/>
  <c r="AB1803" i="12"/>
  <c r="AB465" i="12"/>
  <c r="AB3489" i="12"/>
  <c r="AB2453" i="12"/>
  <c r="AB412" i="12"/>
  <c r="AB2170" i="12"/>
  <c r="AB988" i="12"/>
  <c r="AB2682" i="12"/>
  <c r="AB979" i="12"/>
  <c r="AB3419" i="12"/>
  <c r="AB3387" i="12"/>
  <c r="AB1422" i="12"/>
  <c r="AB164" i="12"/>
  <c r="AB1804" i="12"/>
  <c r="AB2303" i="12"/>
  <c r="AB2361" i="12"/>
  <c r="AB1592" i="12"/>
  <c r="AB387" i="12"/>
  <c r="AB915" i="12"/>
  <c r="AB2519" i="12"/>
  <c r="AB1003" i="12"/>
  <c r="AB3528" i="12"/>
  <c r="AB3230" i="12"/>
  <c r="AB3297" i="12"/>
  <c r="AB1942" i="12"/>
  <c r="AB3092" i="12"/>
  <c r="AB1940" i="12"/>
  <c r="AB1353" i="12"/>
  <c r="AB1858" i="12"/>
  <c r="AB2492" i="12"/>
  <c r="AB3288" i="12"/>
  <c r="AB2249" i="12"/>
  <c r="AB2327" i="12"/>
  <c r="AB3242" i="12"/>
  <c r="AB1324" i="12"/>
  <c r="AB3124" i="12"/>
  <c r="AB2469" i="12"/>
  <c r="AB2255" i="12"/>
  <c r="AB1790" i="12"/>
  <c r="AB196" i="12"/>
  <c r="AB350" i="12"/>
  <c r="AB561" i="12"/>
  <c r="AB1261" i="12"/>
  <c r="AB2979" i="12"/>
  <c r="AB2728" i="12"/>
  <c r="AB222" i="12"/>
  <c r="AB3040" i="12"/>
  <c r="AB2472" i="12"/>
  <c r="AB1159" i="12"/>
  <c r="AB2276" i="12"/>
  <c r="AB2937" i="12"/>
  <c r="AB2905" i="12"/>
  <c r="AB1728" i="12"/>
  <c r="AB2196" i="12"/>
  <c r="AB715" i="12"/>
  <c r="AB2925" i="12"/>
  <c r="AB1580" i="12"/>
  <c r="AB1503" i="12"/>
  <c r="AB2402" i="12"/>
  <c r="AB2627" i="12"/>
  <c r="AB2018" i="12"/>
  <c r="AB2342" i="12"/>
  <c r="AB2433" i="12"/>
  <c r="AB3388" i="12"/>
  <c r="AB2156" i="12"/>
  <c r="AB1839" i="12"/>
  <c r="AB1764" i="12"/>
  <c r="AB1543" i="12"/>
  <c r="AB314" i="12"/>
  <c r="AB1304" i="12"/>
  <c r="AB2041" i="12"/>
  <c r="AB3200" i="12"/>
  <c r="AB1243" i="12"/>
  <c r="AB2220" i="12"/>
  <c r="AB1700" i="12"/>
  <c r="AB595" i="12"/>
  <c r="AB1073" i="12"/>
  <c r="AB1229" i="12"/>
  <c r="AB2509" i="12"/>
  <c r="AB146" i="12"/>
  <c r="AB275" i="12"/>
  <c r="AB44" i="12"/>
  <c r="AB3243" i="12"/>
  <c r="AB738" i="12"/>
  <c r="AB1789" i="12"/>
  <c r="AB176" i="12"/>
  <c r="AB108" i="12"/>
  <c r="AB721" i="12"/>
  <c r="AB1313" i="12"/>
  <c r="AB1391" i="12"/>
  <c r="AB435" i="12"/>
  <c r="AB2806" i="12"/>
  <c r="AB1094" i="12"/>
  <c r="AB486" i="12"/>
  <c r="AB2368" i="12"/>
  <c r="AB447" i="12"/>
  <c r="AB1748" i="12"/>
  <c r="AB2796" i="12"/>
  <c r="AB437" i="12"/>
  <c r="AB701" i="12"/>
  <c r="AB2351" i="12"/>
  <c r="AB1819" i="12"/>
  <c r="AB1857" i="12"/>
  <c r="AB410" i="12"/>
  <c r="AB2338" i="12"/>
  <c r="AB581" i="12"/>
  <c r="AB1908" i="12"/>
  <c r="AB3431" i="12"/>
  <c r="AB917" i="12"/>
  <c r="AB1850" i="12"/>
  <c r="AB3281" i="12"/>
  <c r="AB2076" i="12"/>
  <c r="AB1979" i="12"/>
  <c r="AB872" i="12"/>
  <c r="AB1584" i="12"/>
  <c r="AB479" i="12"/>
  <c r="AB2016" i="12"/>
  <c r="AB864" i="12"/>
  <c r="AB74" i="12"/>
  <c r="AB742" i="12"/>
  <c r="AB3384" i="12"/>
  <c r="AB540" i="12"/>
  <c r="AB1375" i="12"/>
  <c r="AB1425" i="12"/>
  <c r="AB3075" i="12"/>
  <c r="AB2971" i="12"/>
  <c r="AB1672" i="12"/>
  <c r="AB2831" i="12"/>
  <c r="AB2054" i="12"/>
  <c r="AB2904" i="12"/>
  <c r="AB774" i="12"/>
  <c r="AB1377" i="12"/>
  <c r="AB2271" i="12"/>
  <c r="AB712" i="12"/>
  <c r="AB1027" i="12"/>
  <c r="AB2026" i="12"/>
  <c r="AB96" i="12"/>
  <c r="AB3246" i="12"/>
  <c r="AB3216" i="12"/>
  <c r="AB2140" i="12"/>
  <c r="AB2115" i="12"/>
  <c r="AB2708" i="12"/>
  <c r="AB2663" i="12"/>
  <c r="AB633" i="12"/>
  <c r="AB2591" i="12"/>
  <c r="AB496" i="12"/>
  <c r="AB99" i="12"/>
  <c r="AB1860" i="12"/>
  <c r="AB477" i="12"/>
  <c r="AB3300" i="12"/>
  <c r="AB1606" i="12"/>
  <c r="AB667" i="12"/>
  <c r="AB332" i="12"/>
  <c r="AB454" i="12"/>
  <c r="AB589" i="12"/>
  <c r="AB1266" i="12"/>
  <c r="AB2475" i="12"/>
  <c r="AB2589" i="12"/>
  <c r="AB3430" i="12"/>
  <c r="AB728" i="12"/>
  <c r="AB1301" i="12"/>
  <c r="AB2995" i="12"/>
  <c r="AB1098" i="12"/>
  <c r="AB3022" i="12"/>
  <c r="AB2198" i="12"/>
  <c r="AB539" i="12"/>
  <c r="AB2858" i="12"/>
  <c r="AB438" i="12"/>
  <c r="AB3310" i="12"/>
  <c r="AB2164" i="12"/>
  <c r="AB3508" i="12"/>
  <c r="AB2773" i="12"/>
  <c r="AB772" i="12"/>
  <c r="AB1927" i="12"/>
  <c r="AB3474" i="12"/>
  <c r="AB957" i="12"/>
  <c r="AB3412" i="12"/>
  <c r="AB2689" i="12"/>
  <c r="AB1260" i="12"/>
  <c r="AB2586" i="12"/>
  <c r="AB649" i="12"/>
  <c r="AB782" i="12"/>
  <c r="AB1078" i="12"/>
  <c r="AB2050" i="12"/>
  <c r="AB1719" i="12"/>
  <c r="AB29" i="12"/>
  <c r="AB1617" i="12"/>
  <c r="AB69" i="12"/>
  <c r="AB1727" i="12"/>
  <c r="AB3421" i="12"/>
  <c r="AB2431" i="12"/>
  <c r="AB2802" i="12"/>
  <c r="AB2307" i="12"/>
  <c r="AB3324" i="12"/>
  <c r="AB2941" i="12"/>
  <c r="AB2014" i="12"/>
  <c r="AB2527" i="12"/>
  <c r="AB2881" i="12"/>
  <c r="AB524" i="12"/>
  <c r="AB1628" i="12"/>
  <c r="AB324" i="12"/>
  <c r="AB2675" i="12"/>
  <c r="AB439" i="12"/>
  <c r="AB765" i="12"/>
  <c r="AB201" i="12"/>
  <c r="AB301" i="12"/>
  <c r="AB706" i="12"/>
  <c r="AB2473" i="12"/>
  <c r="AB937" i="12"/>
  <c r="AB1985" i="12"/>
  <c r="AB652" i="12"/>
  <c r="AB1420" i="12"/>
  <c r="AB2321" i="12"/>
  <c r="AB3058" i="12"/>
  <c r="AB2449" i="12"/>
  <c r="AB302" i="12"/>
  <c r="AB404" i="12"/>
  <c r="AB2197" i="12"/>
  <c r="AB2846" i="12"/>
  <c r="AB656" i="12"/>
  <c r="AB2767" i="12"/>
  <c r="AB470" i="12"/>
  <c r="AB333" i="12"/>
  <c r="AB3050" i="12"/>
  <c r="AB1863" i="12"/>
  <c r="AB2344" i="12"/>
  <c r="AB3139" i="12"/>
  <c r="AB231" i="12"/>
  <c r="AB3116" i="12"/>
  <c r="AB2584" i="12"/>
  <c r="AB1975" i="12"/>
  <c r="AB2824" i="12"/>
  <c r="AB2281" i="12"/>
  <c r="AB1647" i="12"/>
  <c r="AB3466" i="12"/>
  <c r="AB1411" i="12"/>
  <c r="AB1609" i="12"/>
  <c r="AB3229" i="12"/>
  <c r="AB2848" i="12"/>
  <c r="AB3456" i="12"/>
  <c r="AB3108" i="12"/>
  <c r="AB1562" i="12"/>
  <c r="AB1381" i="12"/>
  <c r="AB3244" i="12"/>
  <c r="AB3221" i="12"/>
  <c r="AB2189" i="12"/>
  <c r="AB3107" i="12"/>
  <c r="AB2863" i="12"/>
  <c r="AB1272" i="12"/>
  <c r="AB932" i="12"/>
  <c r="AB795" i="12"/>
  <c r="AB2865" i="12"/>
  <c r="AB473" i="12"/>
  <c r="AB2603" i="12"/>
  <c r="AB2645" i="12"/>
  <c r="AB1529" i="12"/>
  <c r="AB2895" i="12"/>
  <c r="AB370" i="12"/>
  <c r="AB884" i="12"/>
  <c r="AB3098" i="12"/>
  <c r="AB2930" i="12"/>
  <c r="AB2794" i="12"/>
  <c r="AB780" i="12"/>
  <c r="AB940" i="12"/>
  <c r="AB64" i="12"/>
  <c r="AB3089" i="12"/>
  <c r="AB2127" i="12"/>
  <c r="AB3062" i="12"/>
  <c r="AB2227" i="12"/>
  <c r="AB2754" i="12"/>
  <c r="AB1600" i="12"/>
  <c r="AB1511" i="12"/>
  <c r="AB2986" i="12"/>
  <c r="AB1105" i="12"/>
  <c r="AB2651" i="12"/>
  <c r="AB3511" i="12"/>
  <c r="AB3436" i="12"/>
  <c r="AB422" i="12"/>
  <c r="AB183" i="12"/>
  <c r="AB1079" i="12"/>
  <c r="AB1033" i="12"/>
  <c r="AB2777" i="12"/>
  <c r="AB225" i="12"/>
  <c r="AB1934" i="12"/>
  <c r="AB805" i="12"/>
  <c r="AB2084" i="12"/>
  <c r="AB3206" i="12"/>
  <c r="AB1048" i="12"/>
  <c r="AB308" i="12"/>
  <c r="AB1809" i="12"/>
  <c r="AB664" i="12"/>
  <c r="AB1347" i="12"/>
  <c r="AB2857" i="12"/>
  <c r="AB627" i="12"/>
  <c r="AB2261" i="12"/>
  <c r="AB2670" i="12"/>
  <c r="AB3136" i="12"/>
  <c r="AB2818" i="12"/>
  <c r="AB1573" i="12"/>
  <c r="AB1518" i="12"/>
  <c r="AB2047" i="12"/>
  <c r="AB2718" i="12"/>
  <c r="AB1787" i="12"/>
  <c r="AB2553" i="12"/>
  <c r="AB3340" i="12"/>
  <c r="AB1524" i="12"/>
  <c r="AB1586" i="12"/>
  <c r="AB125" i="12"/>
  <c r="AB25" i="12"/>
  <c r="AB1578" i="12"/>
  <c r="AB2123" i="12"/>
  <c r="AB2028" i="12"/>
  <c r="AB3122" i="12"/>
  <c r="AB2640" i="12"/>
  <c r="AB3524" i="12"/>
  <c r="AB1535" i="12"/>
  <c r="AB1591" i="12"/>
  <c r="AB1109" i="12"/>
  <c r="AB2659" i="12"/>
  <c r="AB345" i="12"/>
  <c r="AB3023" i="12"/>
  <c r="AB218" i="12"/>
  <c r="AB565" i="12"/>
  <c r="AB3501" i="12"/>
  <c r="AB455" i="12"/>
  <c r="AB887" i="12"/>
  <c r="AB2038" i="12"/>
  <c r="AB2188" i="12"/>
  <c r="AB2887" i="12"/>
  <c r="AB1892" i="12"/>
  <c r="AB1828" i="12"/>
  <c r="AB2549" i="12"/>
  <c r="AB2697" i="12"/>
  <c r="AB1848" i="12"/>
  <c r="AB1214" i="12"/>
  <c r="AB330" i="12"/>
  <c r="AB2633" i="12"/>
  <c r="AB3002" i="12"/>
  <c r="AB1626" i="12"/>
  <c r="AB2107" i="12"/>
  <c r="AB3308" i="12"/>
  <c r="AB1685" i="12"/>
  <c r="AB3044" i="12"/>
  <c r="AB129" i="12"/>
  <c r="AB1459" i="12"/>
  <c r="AB1621" i="12"/>
  <c r="AB1568" i="12"/>
  <c r="AB2993" i="12"/>
  <c r="AB3273" i="12"/>
  <c r="AB1040" i="12"/>
  <c r="AB2270" i="12"/>
  <c r="AB526" i="12"/>
  <c r="AB1759" i="12"/>
  <c r="AB1825" i="12"/>
  <c r="AB2703" i="12"/>
  <c r="AB1866" i="12"/>
  <c r="AB2712" i="12"/>
  <c r="AB1835" i="12"/>
  <c r="AB1663" i="12"/>
  <c r="AB3190" i="12"/>
  <c r="AB1012" i="12"/>
  <c r="AB1619" i="12"/>
  <c r="AB186" i="12"/>
  <c r="AB3311" i="12"/>
  <c r="AB2702" i="12"/>
  <c r="AB2998" i="12"/>
  <c r="AB2417" i="12"/>
  <c r="AB493" i="12"/>
  <c r="AB60" i="12"/>
  <c r="AB1314" i="12"/>
  <c r="AB1197" i="12"/>
  <c r="AB778" i="12"/>
  <c r="AB1794" i="12"/>
  <c r="AB3268" i="12"/>
  <c r="AB2872" i="12"/>
  <c r="AB3183" i="12"/>
  <c r="AB2360" i="12"/>
  <c r="AB817" i="12"/>
  <c r="AB1572" i="12"/>
  <c r="AB1952" i="12"/>
  <c r="AB3464" i="12"/>
  <c r="AB2990" i="12"/>
  <c r="AB2805" i="12"/>
  <c r="AB1335" i="12"/>
  <c r="AB1838" i="12"/>
  <c r="AB3382" i="12"/>
  <c r="AB229" i="12"/>
  <c r="AB2617" i="12"/>
  <c r="AB3248" i="12"/>
  <c r="AB2007" i="12"/>
  <c r="AB3071" i="12"/>
  <c r="AB3372" i="12"/>
  <c r="AB1061" i="12"/>
  <c r="AB2685" i="12"/>
  <c r="AB982" i="12"/>
  <c r="AB1749" i="12"/>
  <c r="AB1424" i="12"/>
  <c r="AB3488" i="12"/>
  <c r="AB3290" i="12"/>
  <c r="AB194" i="12"/>
  <c r="AB247" i="12"/>
  <c r="AB3025" i="12"/>
  <c r="AB2410" i="12"/>
  <c r="AB463" i="12"/>
  <c r="AB985" i="12"/>
  <c r="AB427" i="12"/>
  <c r="AB1077" i="12"/>
  <c r="AB551" i="12"/>
  <c r="AB2716" i="12"/>
  <c r="AB262" i="12"/>
  <c r="AB2949" i="12"/>
  <c r="AB374" i="12"/>
  <c r="AB2414" i="12"/>
  <c r="AB1359" i="12"/>
  <c r="AB1796" i="12"/>
  <c r="AB359" i="12"/>
  <c r="AB902" i="12"/>
  <c r="AB1036" i="12"/>
  <c r="AB1968" i="12"/>
  <c r="AB210" i="12"/>
  <c r="AB1242" i="12"/>
  <c r="AB132" i="12"/>
  <c r="AB2064" i="12"/>
  <c r="AB2886" i="12"/>
  <c r="AB361" i="12"/>
  <c r="AB1669" i="12"/>
  <c r="AB1810" i="12"/>
  <c r="AB2817" i="12"/>
  <c r="AB2797" i="12"/>
  <c r="AB2992" i="12"/>
  <c r="AB1274" i="12"/>
  <c r="AB909" i="12"/>
  <c r="AB3454" i="12"/>
  <c r="AB1960" i="12"/>
  <c r="AB2080" i="12"/>
  <c r="AB270" i="12"/>
  <c r="AB2033" i="12"/>
  <c r="AB1351" i="12"/>
  <c r="AB1089" i="12"/>
  <c r="AB1130" i="12"/>
  <c r="AB1566" i="12"/>
  <c r="AB552" i="12"/>
  <c r="AB2486" i="12"/>
  <c r="AB670" i="12"/>
  <c r="AB3045" i="12"/>
  <c r="AB914" i="12"/>
  <c r="AB3171" i="12"/>
  <c r="AB328" i="12"/>
  <c r="AB1097" i="12"/>
  <c r="AB1238" i="12"/>
  <c r="AB625" i="12"/>
  <c r="AB2613" i="12"/>
  <c r="AB2614" i="12"/>
  <c r="AB3127" i="12"/>
  <c r="AB51" i="12"/>
  <c r="AB3334" i="12"/>
  <c r="AB2237" i="12"/>
  <c r="AB458" i="12"/>
  <c r="AB450" i="12"/>
  <c r="AB2892" i="12"/>
  <c r="AB344" i="12"/>
  <c r="AB1944" i="12"/>
  <c r="AB2945" i="12"/>
  <c r="AB3322" i="12"/>
  <c r="AB327" i="12"/>
  <c r="AB1514" i="12"/>
  <c r="AB1479" i="12"/>
  <c r="AB1123" i="12"/>
  <c r="AB1822" i="12"/>
  <c r="AB297" i="12"/>
  <c r="AB286" i="12"/>
  <c r="AB2067" i="12"/>
  <c r="AB1492" i="12"/>
  <c r="AB677" i="12"/>
  <c r="AB930" i="12"/>
  <c r="AB2595" i="12"/>
  <c r="AB107" i="12"/>
  <c r="AB1738" i="12"/>
  <c r="AB1321" i="12"/>
  <c r="AB230" i="12"/>
  <c r="AB3439" i="12"/>
  <c r="AB292" i="12"/>
  <c r="AB2427" i="12"/>
  <c r="AB2373" i="12"/>
  <c r="AB1751" i="12"/>
  <c r="AB1574" i="12"/>
  <c r="AB611" i="12"/>
  <c r="AB707" i="12"/>
  <c r="AB355" i="12"/>
  <c r="AB1180" i="12"/>
  <c r="AB3408" i="12"/>
  <c r="AB432" i="12"/>
  <c r="AB2944" i="12"/>
  <c r="AB3389" i="12"/>
  <c r="AB1921" i="12"/>
  <c r="AB2153" i="12"/>
  <c r="AB415" i="12"/>
  <c r="AB1567" i="12"/>
  <c r="AB3055" i="12"/>
  <c r="AB375" i="12"/>
  <c r="AB321" i="12"/>
  <c r="AB3053" i="12"/>
  <c r="AB755" i="12"/>
  <c r="AB2560" i="12"/>
  <c r="AB2163" i="12"/>
  <c r="AB3156" i="12"/>
  <c r="AB2646" i="12"/>
  <c r="AB1849" i="12"/>
  <c r="AB326" i="12"/>
  <c r="AB3237" i="12"/>
  <c r="AB2780" i="12"/>
  <c r="AB2240" i="12"/>
  <c r="AB1134" i="12"/>
  <c r="AB2714" i="12"/>
  <c r="AB1527" i="12"/>
  <c r="AB2609" i="12"/>
  <c r="AB2677" i="12"/>
  <c r="AB1417" i="12"/>
  <c r="AB1494" i="12"/>
  <c r="AB673" i="12"/>
  <c r="AB2775" i="12"/>
  <c r="AB1554" i="12"/>
  <c r="AB699" i="12"/>
  <c r="AB3036" i="12"/>
  <c r="AB732" i="12"/>
  <c r="AB2145" i="12"/>
  <c r="AB170" i="12"/>
  <c r="AB37" i="12"/>
  <c r="AB76" i="12"/>
  <c r="AB2253" i="12"/>
  <c r="AB1244" i="12"/>
  <c r="AB3121" i="12"/>
  <c r="AB158" i="12"/>
  <c r="AB1240" i="12"/>
  <c r="AB175" i="12"/>
  <c r="AB216" i="12"/>
  <c r="AB198" i="12"/>
  <c r="AB1772" i="12"/>
  <c r="AB85" i="12"/>
  <c r="AB1044" i="12"/>
  <c r="AB3279" i="12"/>
  <c r="AB2628" i="12"/>
  <c r="AB2150" i="12"/>
  <c r="AB484" i="12"/>
  <c r="AB3082" i="12"/>
  <c r="AB207" i="12"/>
  <c r="AB1723" i="12"/>
  <c r="AB2761" i="12"/>
  <c r="AB856" i="12"/>
  <c r="AB124" i="12"/>
  <c r="AB1323" i="12"/>
  <c r="AB2336" i="12"/>
  <c r="AB2674" i="12"/>
  <c r="AB3393" i="12"/>
  <c r="AB2665" i="12"/>
  <c r="AB1903" i="12"/>
  <c r="AB2356" i="12"/>
  <c r="AB951" i="12"/>
  <c r="AB577" i="12"/>
  <c r="AB1043" i="12"/>
  <c r="AB3077" i="12"/>
  <c r="AB343" i="12"/>
  <c r="AB2236" i="12"/>
  <c r="AB1342" i="12"/>
  <c r="AB1812" i="12"/>
  <c r="AB1110" i="12"/>
  <c r="AB3521" i="12"/>
  <c r="AB3483" i="12"/>
  <c r="AB662" i="12"/>
  <c r="AB2793" i="12"/>
  <c r="AB2699" i="12"/>
  <c r="AB204" i="12"/>
  <c r="AB1982" i="12"/>
  <c r="AB1967" i="12"/>
  <c r="AB1162" i="12"/>
  <c r="AB1801" i="12"/>
  <c r="AB520" i="12"/>
  <c r="AB2929" i="12"/>
  <c r="AB3258" i="12"/>
  <c r="AB1777" i="12"/>
  <c r="AB3552" i="12"/>
  <c r="AB2847" i="12"/>
  <c r="AB2118" i="12"/>
  <c r="AB66" i="12"/>
  <c r="AB449" i="12"/>
  <c r="AB3392" i="12"/>
  <c r="AB1984" i="12"/>
  <c r="AB3453" i="12"/>
  <c r="AB105" i="12"/>
  <c r="AB2138" i="12"/>
  <c r="AB2346" i="12"/>
  <c r="AB2861" i="12"/>
  <c r="AB3143" i="12"/>
  <c r="AB620" i="12"/>
  <c r="AB367" i="12"/>
  <c r="AB393" i="12"/>
  <c r="AB3367" i="12"/>
  <c r="AB1030" i="12"/>
  <c r="AB2938" i="12"/>
  <c r="AB841" i="12"/>
  <c r="AB1750" i="12"/>
  <c r="AB1230" i="12"/>
  <c r="AB2968" i="12"/>
  <c r="AB2956" i="12"/>
  <c r="AB2425" i="12"/>
  <c r="AB949" i="12"/>
  <c r="AB3339" i="12"/>
  <c r="AB182" i="12"/>
  <c r="AB694" i="12"/>
  <c r="AB87" i="12"/>
  <c r="AB1161" i="12"/>
  <c r="AB1914" i="12"/>
  <c r="AB313" i="12"/>
  <c r="AB3458" i="12"/>
  <c r="AB1042" i="12"/>
  <c r="AB1339" i="12"/>
  <c r="AB2870" i="12"/>
  <c r="AB1696" i="12"/>
  <c r="AB2391" i="12"/>
  <c r="AB116" i="12"/>
  <c r="AB905" i="12"/>
  <c r="AB3052" i="12"/>
  <c r="AB244" i="12"/>
  <c r="AB962" i="12"/>
  <c r="AB2621" i="12"/>
  <c r="AB2042" i="12"/>
  <c r="AB2462" i="12"/>
  <c r="AB854" i="12"/>
  <c r="AB54" i="12"/>
  <c r="AB556" i="12"/>
  <c r="AB1331" i="12"/>
  <c r="AB2251" i="12"/>
  <c r="AB179" i="12"/>
  <c r="AB964" i="12"/>
  <c r="AB2388" i="12"/>
  <c r="AB1615" i="12"/>
  <c r="AB2096" i="12"/>
  <c r="AB626" i="12"/>
  <c r="AB888" i="12"/>
  <c r="AB444" i="12"/>
  <c r="AB1519" i="12"/>
  <c r="AB1516" i="12"/>
  <c r="AB3180" i="12"/>
  <c r="AB739" i="12"/>
  <c r="AB2544" i="12"/>
  <c r="AB1054" i="12"/>
  <c r="AB1561" i="12"/>
  <c r="AB3411" i="12"/>
  <c r="AB859" i="12"/>
  <c r="AB3500" i="12"/>
  <c r="AB2622" i="12"/>
  <c r="AB1974" i="12"/>
  <c r="AB735" i="12"/>
  <c r="AB224" i="12"/>
  <c r="AB2593" i="12"/>
  <c r="AB736" i="12"/>
  <c r="AB970" i="12"/>
  <c r="AB1708" i="12"/>
  <c r="AB543" i="12"/>
  <c r="AB2853" i="12"/>
  <c r="AB47" i="12"/>
  <c r="AB1642" i="12"/>
  <c r="AB3312" i="12"/>
  <c r="AB828" i="12"/>
  <c r="AB2705" i="12"/>
  <c r="AB2322" i="12"/>
  <c r="AB750" i="12"/>
  <c r="AB2980" i="12"/>
  <c r="AB354" i="12"/>
  <c r="AB851" i="12"/>
  <c r="AB562" i="12"/>
  <c r="AB1540" i="12"/>
  <c r="AB554" i="12"/>
  <c r="AB1596" i="12"/>
  <c r="AB1115" i="12"/>
  <c r="AB1414" i="12"/>
  <c r="AB1634" i="12"/>
  <c r="AB2443" i="12"/>
  <c r="AB264" i="12"/>
  <c r="AB311" i="12"/>
  <c r="AB2562" i="12"/>
  <c r="AB1521" i="12"/>
  <c r="AB2349" i="12"/>
  <c r="AB846" i="12"/>
  <c r="AB2962" i="12"/>
  <c r="AB3289" i="12"/>
  <c r="AB2722" i="12"/>
  <c r="AB3492" i="12"/>
  <c r="AB3493" i="12"/>
  <c r="AB1302" i="12"/>
  <c r="AB617" i="12"/>
  <c r="AB1221" i="12"/>
  <c r="AB776" i="12"/>
  <c r="AB1166" i="12"/>
  <c r="AB401" i="12"/>
  <c r="AB2641" i="12"/>
  <c r="AB1990" i="12"/>
  <c r="AB2715" i="12"/>
  <c r="AB2341" i="12"/>
  <c r="AB704" i="12"/>
  <c r="AB2541" i="12"/>
  <c r="AB285" i="12"/>
  <c r="AB3021" i="12"/>
  <c r="AB1225" i="12"/>
  <c r="AB3295" i="12"/>
  <c r="AB2952" i="12"/>
  <c r="AB1821" i="12"/>
  <c r="AB2619" i="12"/>
  <c r="AB2119" i="12"/>
  <c r="AB863" i="12"/>
  <c r="AB1954" i="12"/>
  <c r="AB24" i="12"/>
  <c r="AB1463" i="12"/>
  <c r="AB2707" i="12"/>
  <c r="AB1185" i="12"/>
  <c r="AB3462" i="12"/>
  <c r="AB1475" i="12"/>
  <c r="AB293" i="12"/>
  <c r="AB1959" i="12"/>
  <c r="AB2149" i="12"/>
  <c r="AB349" i="12"/>
  <c r="AB777" i="12"/>
  <c r="AB1103" i="12"/>
  <c r="AB1499" i="12"/>
  <c r="AB93" i="12"/>
  <c r="AB3267" i="12"/>
  <c r="AB495" i="12"/>
  <c r="AB2061" i="12"/>
  <c r="AB380" i="12"/>
  <c r="AB2852" i="12"/>
  <c r="AB2576" i="12"/>
  <c r="AB1300" i="12"/>
  <c r="AB2792" i="12"/>
  <c r="AB2207" i="12"/>
  <c r="AB1255" i="12"/>
  <c r="AB748" i="12"/>
  <c r="AB1456" i="12"/>
  <c r="AB267" i="12"/>
  <c r="AB237" i="12"/>
  <c r="AB2546" i="12"/>
  <c r="AB2820" i="12"/>
  <c r="AB689" i="12"/>
  <c r="AB2406" i="12"/>
  <c r="AB810" i="12"/>
  <c r="AB2942" i="12"/>
  <c r="AB2424" i="12"/>
  <c r="AB2694" i="12"/>
  <c r="AB1415" i="12"/>
  <c r="AB192" i="12"/>
  <c r="AB637" i="12"/>
  <c r="AB1933" i="12"/>
  <c r="AB852" i="12"/>
  <c r="AB2533" i="12"/>
  <c r="AB1443" i="12"/>
  <c r="AB2678" i="12"/>
  <c r="AB1612" i="12"/>
  <c r="AB136" i="12"/>
  <c r="AB3264" i="12"/>
  <c r="AB227" i="12"/>
  <c r="AB1718" i="12"/>
  <c r="AB1900" i="12"/>
  <c r="AB1851" i="12"/>
  <c r="AB998" i="12"/>
  <c r="AB1450" i="12"/>
  <c r="AB1447" i="12"/>
  <c r="AB2503" i="12"/>
  <c r="AB2357" i="12"/>
  <c r="AB1002" i="12"/>
  <c r="AB1650" i="12"/>
  <c r="AB2306" i="12"/>
  <c r="AB771" i="12"/>
  <c r="AB2567" i="12"/>
  <c r="AB3450" i="12"/>
  <c r="AB2226" i="12"/>
  <c r="AB2615" i="12"/>
  <c r="AB3095" i="12"/>
  <c r="AB2167" i="12"/>
  <c r="AB2398" i="12"/>
  <c r="AB2966" i="12"/>
  <c r="AB1125" i="12"/>
  <c r="AB2624" i="12"/>
  <c r="AB636" i="12"/>
  <c r="AB807" i="12"/>
  <c r="AB911" i="12"/>
  <c r="AB482" i="12"/>
  <c r="AB317" i="12"/>
  <c r="AB994" i="12"/>
  <c r="AB316" i="12"/>
  <c r="AB1834" i="12"/>
  <c r="AB3192" i="12"/>
  <c r="AB508" i="12"/>
  <c r="AB1781" i="12"/>
  <c r="AB980" i="12"/>
  <c r="AB1958" i="12"/>
  <c r="AB48" i="12"/>
  <c r="AB3519" i="12"/>
  <c r="AB2331" i="12"/>
  <c r="AB1808" i="12"/>
  <c r="AB1193" i="12"/>
  <c r="AB2669" i="12"/>
  <c r="AB1365" i="12"/>
  <c r="AB2060" i="12"/>
  <c r="AB3385" i="12"/>
  <c r="AB661" i="12"/>
  <c r="AB462" i="12"/>
  <c r="AB1912" i="12"/>
  <c r="AB1349" i="12"/>
  <c r="AB929" i="12"/>
  <c r="AB3118" i="12"/>
  <c r="AB770" i="12"/>
  <c r="AB1915" i="12"/>
  <c r="AB1811" i="12"/>
  <c r="AB678" i="12"/>
  <c r="AB1528" i="12"/>
  <c r="AB3233" i="12"/>
  <c r="AB1068" i="12"/>
  <c r="AB2434" i="12"/>
  <c r="AB781" i="12"/>
  <c r="AB2179" i="12"/>
  <c r="AB1726" i="12"/>
  <c r="AB3173" i="12"/>
  <c r="AB445" i="12"/>
  <c r="AB3420" i="12"/>
  <c r="AB2578" i="12"/>
  <c r="AB3100" i="12"/>
  <c r="AB681" i="12"/>
  <c r="AB2898" i="12"/>
  <c r="AB2788" i="12"/>
  <c r="AB1466" i="12"/>
  <c r="AB2778" i="12"/>
  <c r="AB804" i="12"/>
  <c r="AB570" i="12"/>
  <c r="AB1471" i="12"/>
  <c r="AB1649" i="12"/>
  <c r="AB3227" i="12"/>
  <c r="AB886" i="12"/>
  <c r="AB1096" i="12"/>
  <c r="AB3494" i="12"/>
  <c r="AB1469" i="12"/>
  <c r="AB3440" i="12"/>
  <c r="AB3141" i="12"/>
  <c r="AB1128" i="12"/>
  <c r="AB976" i="12"/>
  <c r="AB2899" i="12"/>
  <c r="AB3270" i="12"/>
  <c r="AB992" i="12"/>
  <c r="AB2660" i="12"/>
  <c r="AB127" i="12"/>
  <c r="AB36" i="12"/>
  <c r="AB1299" i="12"/>
  <c r="AB1060" i="12"/>
  <c r="AB1690" i="12"/>
  <c r="AB2801" i="12"/>
  <c r="AB1901" i="12"/>
  <c r="AB2370" i="12"/>
  <c r="AB3315" i="12"/>
  <c r="AB948" i="12"/>
  <c r="AB2168" i="12"/>
  <c r="AB1293" i="12"/>
  <c r="AB1773" i="12"/>
  <c r="AB315" i="12"/>
  <c r="AB1035" i="12"/>
  <c r="AB3406" i="12"/>
  <c r="AB773" i="12"/>
  <c r="AB3125" i="12"/>
  <c r="AB2426" i="12"/>
  <c r="AB2072" i="12"/>
  <c r="AB1599" i="12"/>
  <c r="AB1654" i="12"/>
  <c r="AB3378" i="12"/>
  <c r="AB407" i="12"/>
  <c r="AB1348" i="12"/>
  <c r="AB1046" i="12"/>
  <c r="AB956" i="12"/>
  <c r="AB900" i="12"/>
  <c r="AB1090" i="12"/>
  <c r="AB2934" i="12"/>
  <c r="AB268" i="12"/>
  <c r="AB950" i="12"/>
  <c r="AB761" i="12"/>
  <c r="AB2711" i="12"/>
  <c r="AB723" i="12"/>
  <c r="AB3364" i="12"/>
  <c r="AB3291" i="12"/>
  <c r="AB3069" i="12"/>
  <c r="AB1315" i="12"/>
  <c r="AB1704" i="12"/>
  <c r="AB2730" i="12"/>
  <c r="AB1905" i="12"/>
  <c r="AB2826" i="12"/>
  <c r="AB1213" i="12"/>
  <c r="AB2438" i="12"/>
  <c r="AB1139" i="12"/>
  <c r="AB434" i="12"/>
  <c r="AB3368" i="12"/>
  <c r="AB891" i="12"/>
  <c r="AB3129" i="12"/>
  <c r="AB2491" i="12"/>
  <c r="AB1846" i="12"/>
  <c r="AB2117" i="12"/>
  <c r="AB1887" i="12"/>
  <c r="AB2842" i="12"/>
  <c r="AB3369" i="12"/>
  <c r="AB73" i="12"/>
  <c r="AB3328" i="12"/>
  <c r="AB2187" i="12"/>
  <c r="AB3333" i="12"/>
  <c r="AB157" i="12"/>
  <c r="AB1707" i="12"/>
  <c r="AB839" i="12"/>
  <c r="AB2764" i="12"/>
  <c r="AB3210" i="12"/>
  <c r="AB502" i="12"/>
  <c r="AB492" i="12"/>
  <c r="AB352" i="12"/>
  <c r="AB3018" i="12"/>
  <c r="AB448" i="12"/>
  <c r="AB1932" i="12"/>
  <c r="AB1340" i="12"/>
  <c r="AB592" i="12"/>
  <c r="AB3345" i="12"/>
  <c r="AB1453" i="12"/>
  <c r="AB3465" i="12"/>
  <c r="AB3269" i="12"/>
  <c r="AB1013" i="12"/>
  <c r="AB2293" i="12"/>
  <c r="AB1085" i="12"/>
  <c r="AB1758" i="12"/>
  <c r="AB1107" i="12"/>
  <c r="AB1565" i="12"/>
  <c r="AB405" i="12"/>
  <c r="AB211" i="12"/>
  <c r="AB3309" i="12"/>
  <c r="AB3272" i="12"/>
  <c r="AB2692" i="12"/>
  <c r="AB2452" i="12"/>
  <c r="AB1028" i="12"/>
  <c r="AB1399" i="12"/>
  <c r="AB3152" i="12"/>
  <c r="AB2458" i="12"/>
  <c r="AB498" i="12"/>
  <c r="AB440" i="12"/>
  <c r="AB81" i="12"/>
  <c r="AB2600" i="12"/>
  <c r="AB3166" i="12"/>
  <c r="AB1440" i="12"/>
  <c r="AB2335" i="12"/>
  <c r="AB700" i="12"/>
  <c r="AB2243" i="12"/>
  <c r="AB1337" i="12"/>
  <c r="AB2223" i="12"/>
  <c r="AB2947" i="12"/>
  <c r="AB2635" i="12"/>
  <c r="AB623" i="12"/>
  <c r="AB2737" i="12"/>
  <c r="AB3357" i="12"/>
  <c r="AB3024" i="12"/>
  <c r="AB705" i="12"/>
  <c r="AB2071" i="12"/>
  <c r="AB3011" i="12"/>
  <c r="AB1713" i="12"/>
  <c r="AB1709" i="12"/>
  <c r="AB3496" i="12"/>
  <c r="AB1618" i="12"/>
  <c r="AB2218" i="12"/>
  <c r="AB2436" i="12"/>
  <c r="AB1038" i="12"/>
  <c r="AB1659" i="12"/>
  <c r="AB2734" i="12"/>
  <c r="AB2630" i="12"/>
  <c r="AB1745" i="12"/>
  <c r="AB692" i="12"/>
  <c r="AB3187" i="12"/>
  <c r="AB2654" i="12"/>
  <c r="AB2521" i="12"/>
  <c r="AB134" i="12"/>
  <c r="AB163" i="12"/>
  <c r="AB2245" i="12"/>
  <c r="AB3410" i="12"/>
  <c r="AB1269" i="12"/>
  <c r="AB1656" i="12"/>
  <c r="AB672" i="12"/>
  <c r="AB3404" i="12"/>
  <c r="AB785" i="12"/>
  <c r="AB474" i="12"/>
  <c r="AB471" i="12"/>
  <c r="AB2447" i="12"/>
  <c r="AB1264" i="12"/>
  <c r="AB1888" i="12"/>
  <c r="AB3547" i="12"/>
  <c r="AB668" i="12"/>
  <c r="AB2981" i="12"/>
  <c r="AB2731" i="12"/>
  <c r="AB3317" i="12"/>
  <c r="AB967" i="12"/>
  <c r="AB2120" i="12"/>
  <c r="AB1624" i="12"/>
  <c r="AB1577" i="12"/>
  <c r="AB2010" i="12"/>
  <c r="AB1823" i="12"/>
  <c r="AB2975" i="12"/>
  <c r="AB2389" i="12"/>
  <c r="AB1378" i="12"/>
  <c r="AB1364" i="12"/>
  <c r="AB1383" i="12"/>
  <c r="AB1533" i="12"/>
  <c r="AB966" i="12"/>
  <c r="AB604" i="12"/>
  <c r="AB3130" i="12"/>
  <c r="AB2146" i="12"/>
  <c r="AB2317" i="12"/>
  <c r="AB1439" i="12"/>
  <c r="AB1344" i="12"/>
  <c r="AB3026" i="12"/>
  <c r="AB341" i="12"/>
  <c r="AB2676" i="12"/>
  <c r="AB1978" i="12"/>
  <c r="AB999" i="12"/>
  <c r="AB1015" i="12"/>
  <c r="AB2903" i="12"/>
  <c r="AB483" i="12"/>
  <c r="AB2091" i="12"/>
  <c r="AB3078" i="12"/>
  <c r="AB338" i="12"/>
  <c r="AB1817" i="12"/>
  <c r="AB2921" i="12"/>
  <c r="AB2878" i="12"/>
  <c r="AB260" i="12"/>
  <c r="AB744" i="12"/>
  <c r="AB968" i="12"/>
  <c r="AB1991" i="12"/>
  <c r="AB446" i="12"/>
  <c r="AB1508" i="12"/>
  <c r="AB1099" i="12"/>
  <c r="AB1167" i="12"/>
  <c r="AB1136" i="12"/>
  <c r="AB3224" i="12"/>
  <c r="AB2693" i="12"/>
  <c r="AB2891" i="12"/>
  <c r="AB933" i="12"/>
  <c r="AB1692" i="12"/>
  <c r="AB3046" i="12"/>
  <c r="AB307" i="12"/>
  <c r="AB753" i="12"/>
  <c r="AB3199" i="12"/>
  <c r="AB295" i="12"/>
  <c r="AB1981" i="12"/>
  <c r="AB2604" i="12"/>
  <c r="AB1841" i="12"/>
  <c r="AB3236" i="12"/>
  <c r="AB2450" i="12"/>
  <c r="AB2296" i="12"/>
  <c r="AB1117" i="12"/>
  <c r="AB2142" i="12"/>
  <c r="AB72" i="12"/>
  <c r="AB740" i="12"/>
  <c r="AB679" i="12"/>
  <c r="AB607" i="12"/>
  <c r="AB2310" i="12"/>
  <c r="AB2953" i="12"/>
  <c r="AB1025" i="12"/>
  <c r="AB834" i="12"/>
  <c r="AB1623" i="12"/>
  <c r="AB1918" i="12"/>
  <c r="AB588" i="12"/>
  <c r="AB897" i="12"/>
  <c r="AB1407" i="12"/>
  <c r="AB1009" i="12"/>
  <c r="AB530" i="12"/>
  <c r="AB1993" i="12"/>
  <c r="AB3207" i="12"/>
  <c r="AB1189" i="12"/>
  <c r="AB67" i="12"/>
  <c r="AB3151" i="12"/>
  <c r="AB3443" i="12"/>
  <c r="AB1387" i="12"/>
  <c r="AB3302" i="12"/>
  <c r="AB2860" i="12"/>
  <c r="AB2648" i="12"/>
  <c r="AB1837" i="12"/>
  <c r="AB1684" i="12"/>
  <c r="AB3006" i="12"/>
  <c r="AB3360" i="12"/>
  <c r="AB2165" i="12"/>
  <c r="AB1172" i="12"/>
  <c r="AB1987" i="12"/>
  <c r="AB683" i="12"/>
  <c r="AB3117" i="12"/>
  <c r="AB1805" i="12"/>
  <c r="AB2241" i="12"/>
  <c r="AB263" i="12"/>
  <c r="AB265" i="12"/>
  <c r="AB1969" i="12"/>
  <c r="AB3064" i="12"/>
  <c r="AB2381" i="12"/>
  <c r="AB1246" i="12"/>
  <c r="AB820" i="12"/>
  <c r="AB2783" i="12"/>
  <c r="AB3102" i="12"/>
  <c r="AB1067" i="12"/>
  <c r="AB2262" i="12"/>
  <c r="AB1007" i="12"/>
  <c r="AB3181" i="12"/>
  <c r="AB2485" i="12"/>
  <c r="AB1601" i="12"/>
  <c r="AB2666" i="12"/>
  <c r="AB1145" i="12"/>
  <c r="AB2231" i="12"/>
  <c r="AB459" i="12"/>
  <c r="AB425" i="12"/>
  <c r="AB546" i="12"/>
  <c r="AB2505" i="12"/>
  <c r="AB1569" i="12"/>
  <c r="AB2713" i="12"/>
  <c r="AB1169" i="12"/>
  <c r="AB2606" i="12"/>
  <c r="AB177" i="12"/>
  <c r="AB1310" i="12"/>
  <c r="AB377" i="12"/>
  <c r="AB2555" i="12"/>
  <c r="AB501" i="12"/>
  <c r="AB1427" i="12"/>
  <c r="AB2616" i="12"/>
  <c r="AB1844" i="12"/>
  <c r="AB1406" i="12"/>
  <c r="AB2940" i="12"/>
  <c r="AB2691" i="12"/>
  <c r="AB2259" i="12"/>
  <c r="AB2126" i="12"/>
  <c r="AB1842" i="12"/>
  <c r="AB3029" i="12"/>
  <c r="AB2844" i="12"/>
  <c r="AB2029" i="12"/>
  <c r="AB1467" i="12"/>
  <c r="AB1112" i="12"/>
  <c r="AB1329" i="12"/>
  <c r="AB2907" i="12"/>
  <c r="AB1262" i="12"/>
  <c r="AB2095" i="12"/>
  <c r="AB3175" i="12"/>
  <c r="AB419" i="12"/>
  <c r="AB3034" i="12"/>
  <c r="AB995" i="12"/>
  <c r="AB563" i="12"/>
  <c r="AB827" i="12"/>
  <c r="AB1946" i="12"/>
  <c r="AB1215" i="12"/>
  <c r="AB1711" i="12"/>
  <c r="AB2629" i="12"/>
  <c r="AB1218" i="12"/>
  <c r="AB111" i="12"/>
  <c r="AB2664" i="12"/>
  <c r="AB686" i="12"/>
  <c r="AB310" i="12"/>
  <c r="AB1116" i="12"/>
  <c r="AB2931" i="12"/>
  <c r="AB1948" i="12"/>
  <c r="AB3170" i="12"/>
  <c r="AB536" i="12"/>
  <c r="AB3003" i="12"/>
  <c r="AB1768" i="12"/>
  <c r="AB3373" i="12"/>
  <c r="AB2204" i="12"/>
  <c r="AB3142" i="12"/>
  <c r="AB300" i="12"/>
  <c r="AB2192" i="12"/>
  <c r="AB78" i="12"/>
  <c r="AB1977" i="12"/>
  <c r="AB867" i="12"/>
  <c r="AB1904" i="12"/>
  <c r="AB1050" i="12"/>
  <c r="AB2065" i="12"/>
  <c r="AB1549" i="12"/>
  <c r="AB3090" i="12"/>
  <c r="AB1195" i="12"/>
  <c r="AB3529" i="12"/>
  <c r="AB960" i="12"/>
  <c r="AB1069" i="12"/>
  <c r="AB629" i="12"/>
  <c r="AB3481" i="12"/>
  <c r="AB402" i="12"/>
  <c r="AB2399" i="12"/>
  <c r="AB2209" i="12"/>
  <c r="AB2136" i="12"/>
  <c r="AB2186" i="12"/>
  <c r="AB2098" i="12"/>
  <c r="AB1520" i="12"/>
  <c r="AB1051" i="12"/>
  <c r="AB934" i="12"/>
  <c r="AB3536" i="12"/>
  <c r="AB2194" i="12"/>
  <c r="AB3042" i="12"/>
  <c r="AB3265" i="12"/>
  <c r="AB838" i="12"/>
  <c r="AB1026" i="12"/>
  <c r="AB2122" i="12"/>
  <c r="AB1878" i="12"/>
  <c r="AB1752" i="12"/>
  <c r="AB727" i="12"/>
  <c r="AB1438" i="12"/>
  <c r="AB893" i="12"/>
  <c r="AB1716" i="12"/>
  <c r="AB587" i="12"/>
  <c r="AB3123" i="12"/>
  <c r="AB2086" i="12"/>
  <c r="AB2044" i="12"/>
  <c r="AB959" i="12"/>
  <c r="AB142" i="12"/>
  <c r="AB274" i="12"/>
  <c r="AB3261" i="12"/>
  <c r="AB303" i="12"/>
  <c r="AB2313" i="12"/>
  <c r="AB3510" i="12"/>
  <c r="AB775" i="12"/>
  <c r="AB1120" i="12"/>
  <c r="AB876" i="12"/>
  <c r="AB767" i="12"/>
  <c r="AB2252" i="12"/>
  <c r="AB3354" i="12"/>
  <c r="AB830" i="12"/>
  <c r="AB1486" i="12"/>
  <c r="AB1227" i="12"/>
  <c r="AB654" i="12"/>
  <c r="AB842" i="12"/>
  <c r="AB3014" i="12"/>
  <c r="AB3429" i="12"/>
  <c r="AB829" i="12"/>
  <c r="AB3197" i="12"/>
  <c r="AB635" i="12"/>
  <c r="AB2093" i="12"/>
  <c r="AB1538" i="12"/>
  <c r="AB547" i="12"/>
  <c r="AB954" i="12"/>
  <c r="AB938" i="12"/>
  <c r="AB1548" i="12"/>
  <c r="AB235" i="12"/>
  <c r="AB538" i="12"/>
  <c r="AB258" i="12"/>
  <c r="AB351" i="12"/>
  <c r="AB1435" i="12"/>
  <c r="AB3222" i="12"/>
  <c r="AB2030" i="12"/>
  <c r="AB246" i="12"/>
  <c r="AB2412" i="12"/>
  <c r="AB61" i="12"/>
  <c r="AB156" i="12"/>
  <c r="AB674" i="12"/>
  <c r="AB3280" i="12"/>
  <c r="AB2465" i="12"/>
  <c r="AB1523" i="12"/>
  <c r="AB2386" i="12"/>
  <c r="AB3211" i="12"/>
  <c r="AB2784" i="12"/>
  <c r="AB1063" i="12"/>
  <c r="AB2057" i="12"/>
  <c r="AB1072" i="12"/>
  <c r="AB2435" i="12"/>
  <c r="AB511" i="12"/>
  <c r="AB2300" i="12"/>
  <c r="AB2496" i="12"/>
  <c r="AB2238" i="12"/>
  <c r="AB576" i="12"/>
  <c r="AB2837" i="12"/>
  <c r="AB3461" i="12"/>
  <c r="AB261" i="12"/>
  <c r="AB2869" i="12"/>
  <c r="AB3543" i="12"/>
  <c r="AB1192" i="12"/>
  <c r="AB2441" i="12"/>
  <c r="AB288" i="12"/>
  <c r="AB122" i="12"/>
  <c r="AB2587" i="12"/>
  <c r="AB2810" i="12"/>
  <c r="AB3301" i="12"/>
  <c r="AB1212" i="12"/>
  <c r="AB2277" i="12"/>
  <c r="AB3209" i="12"/>
  <c r="AB162" i="12"/>
  <c r="AB347" i="12"/>
  <c r="AB2292" i="12"/>
  <c r="AB1154" i="12"/>
  <c r="AB2298" i="12"/>
  <c r="AB3470" i="12"/>
  <c r="AB1384" i="12"/>
  <c r="AB362" i="12"/>
  <c r="AB408" i="12"/>
  <c r="AB2350" i="12"/>
  <c r="AB282" i="12"/>
  <c r="AB3486" i="12"/>
  <c r="AB1531" i="12"/>
  <c r="AB1686" i="12"/>
  <c r="AB1590" i="12"/>
  <c r="AB2517" i="12"/>
  <c r="AB2036" i="12"/>
  <c r="AB2592" i="12"/>
  <c r="AB666" i="12"/>
  <c r="AB2013" i="12"/>
  <c r="AB68" i="12"/>
  <c r="AB3161" i="12"/>
  <c r="AB2799" i="12"/>
  <c r="AB133" i="12"/>
  <c r="AB1961" i="12"/>
  <c r="AB3434" i="12"/>
  <c r="AB1986" i="12"/>
  <c r="AB1830" i="12"/>
  <c r="AB1092" i="12"/>
  <c r="AB296" i="12"/>
  <c r="AB598" i="12"/>
  <c r="AB981" i="12"/>
  <c r="AB476" i="12"/>
  <c r="AB3061" i="12"/>
  <c r="AB372" i="12"/>
  <c r="AB3490" i="12"/>
  <c r="AB1786" i="12"/>
  <c r="AB719" i="12"/>
  <c r="AB1869" i="12"/>
  <c r="AB2599" i="12"/>
  <c r="AB109" i="12"/>
  <c r="AB1776" i="12"/>
  <c r="AB594" i="12"/>
  <c r="AB3303" i="12"/>
  <c r="AB2687" i="12"/>
  <c r="AB273" i="12"/>
  <c r="AB173" i="12"/>
  <c r="AB2454" i="12"/>
  <c r="AB2498" i="12"/>
  <c r="AB1014" i="12"/>
  <c r="AB1430" i="12"/>
  <c r="AB2087" i="12"/>
  <c r="AB1636" i="12"/>
  <c r="AB542" i="12"/>
  <c r="AB892" i="12"/>
  <c r="AB2804" i="12"/>
  <c r="AB1671" i="12"/>
  <c r="AB2372" i="12"/>
  <c r="AB3010" i="12"/>
  <c r="AB3445" i="12"/>
  <c r="AB2075" i="12"/>
  <c r="AB1735" i="12"/>
  <c r="AB1457" i="12"/>
  <c r="AB3253" i="12"/>
  <c r="AB2577" i="12"/>
  <c r="AB3423" i="12"/>
  <c r="AB564" i="12"/>
  <c r="AB2830" i="12"/>
  <c r="AB1149" i="12"/>
  <c r="AB1386" i="12"/>
  <c r="AB713" i="12"/>
  <c r="AB197" i="12"/>
  <c r="AB149" i="12"/>
  <c r="AB3329" i="12"/>
  <c r="AB2393" i="12"/>
  <c r="AB2066" i="12"/>
  <c r="AB2538" i="12"/>
  <c r="AB397" i="12"/>
  <c r="AB2967" i="12"/>
  <c r="AB3480" i="12"/>
  <c r="AB2371" i="12"/>
  <c r="AB381" i="12"/>
  <c r="AB2294" i="12"/>
  <c r="AB862" i="12"/>
  <c r="AB2850" i="12"/>
  <c r="AB2753" i="12"/>
  <c r="AB1254" i="12"/>
  <c r="AB1662" i="12"/>
  <c r="AB1405" i="12"/>
  <c r="AB2835" i="12"/>
  <c r="AB2565" i="12"/>
  <c r="AB2429" i="12"/>
  <c r="AB3079" i="12"/>
  <c r="AB2873" i="12"/>
  <c r="AB600" i="12"/>
  <c r="AB875" i="12"/>
  <c r="AB2015" i="12"/>
  <c r="AB1724" i="12"/>
  <c r="AB779" i="12"/>
  <c r="AB3397" i="12"/>
  <c r="AB1884" i="12"/>
  <c r="AB2758" i="12"/>
  <c r="AB2554" i="12"/>
  <c r="AB2620" i="12"/>
  <c r="AB2191" i="12"/>
  <c r="AB2943" i="12"/>
  <c r="AB2520" i="12"/>
  <c r="AB1923" i="12"/>
  <c r="AB645" i="12"/>
  <c r="AB3215" i="12"/>
  <c r="AB467" i="12"/>
  <c r="AB2766" i="12"/>
  <c r="AB191" i="12"/>
  <c r="AB2295" i="12"/>
  <c r="AB610" i="12"/>
  <c r="AB171" i="12"/>
  <c r="AB3165" i="12"/>
  <c r="AB3475" i="12"/>
  <c r="AB3106" i="12"/>
  <c r="AB537" i="12"/>
  <c r="AB2100" i="12"/>
  <c r="AB847" i="12"/>
  <c r="AB1394" i="12"/>
  <c r="AB1688" i="12"/>
  <c r="AB1889" i="12"/>
  <c r="AB3495" i="12"/>
  <c r="AB2034" i="12"/>
  <c r="AB2512" i="12"/>
  <c r="AB1651" i="12"/>
  <c r="AB3177" i="12"/>
  <c r="AB2781" i="12"/>
  <c r="AB1480" i="12"/>
  <c r="AB923" i="12"/>
  <c r="AB1893" i="12"/>
  <c r="AB1183" i="12"/>
  <c r="AB3027" i="12"/>
  <c r="AB3131" i="12"/>
  <c r="AB2752" i="12"/>
  <c r="AB837" i="12"/>
  <c r="AB614" i="12"/>
  <c r="AB426" i="12"/>
  <c r="AB1665" i="12"/>
  <c r="AB2343" i="12"/>
  <c r="AB38" i="12"/>
  <c r="AB223" i="12"/>
  <c r="AB2206" i="12"/>
  <c r="AB1412" i="12"/>
  <c r="AB2849" i="12"/>
  <c r="AB3198" i="12"/>
  <c r="AB2392" i="12"/>
  <c r="AB1325" i="12"/>
  <c r="AB899" i="12"/>
  <c r="AB2933" i="12"/>
  <c r="AB2935" i="12"/>
  <c r="AB1285" i="12"/>
  <c r="AB802" i="12"/>
  <c r="AB2876" i="12"/>
  <c r="AB1530" i="12"/>
  <c r="AB120" i="12"/>
  <c r="AB272" i="12"/>
  <c r="AB1762" i="12"/>
  <c r="AB2816" i="12"/>
  <c r="AB65" i="12"/>
  <c r="AB2301" i="12"/>
  <c r="AB1199" i="12"/>
  <c r="AB3225" i="12"/>
  <c r="AB1023" i="12"/>
  <c r="AB2211" i="12"/>
  <c r="AB456" i="12"/>
  <c r="AB2175" i="12"/>
  <c r="AB2871" i="12"/>
  <c r="AB2829" i="12"/>
  <c r="AB2059" i="12"/>
  <c r="AB2193" i="12"/>
  <c r="AB2290" i="12"/>
  <c r="AB2579" i="12"/>
  <c r="AB3413" i="12"/>
  <c r="AB685" i="12"/>
  <c r="AB2382" i="12"/>
  <c r="AB193" i="12"/>
  <c r="AB126" i="12"/>
  <c r="AB2068" i="12"/>
  <c r="AB2867" i="12"/>
  <c r="AB3188" i="12"/>
  <c r="AB687" i="12"/>
  <c r="AB2001" i="12"/>
  <c r="AB3469" i="12"/>
  <c r="AB1087" i="12"/>
  <c r="AB3266" i="12"/>
  <c r="AB2063" i="12"/>
  <c r="AB2483" i="12"/>
  <c r="AB2106" i="12"/>
  <c r="AB27" i="12"/>
  <c r="AB161" i="12"/>
  <c r="AB2736" i="12"/>
  <c r="AB621" i="12"/>
  <c r="AB1507" i="12"/>
  <c r="AB1163" i="12"/>
  <c r="AB3114" i="12"/>
  <c r="AB3013" i="12"/>
  <c r="AB3374" i="12"/>
  <c r="AB42" i="12"/>
  <c r="AB1557" i="12"/>
  <c r="AB3065" i="12"/>
  <c r="AB3047" i="12"/>
  <c r="AB1551" i="12"/>
  <c r="AB1410" i="12"/>
  <c r="AB2948" i="12"/>
  <c r="AB725" i="12"/>
  <c r="AB1703" i="12"/>
  <c r="AB180" i="12"/>
  <c r="AB423" i="12"/>
  <c r="AB575" i="12"/>
  <c r="AB3060" i="12"/>
  <c r="AB2965" i="12"/>
  <c r="AB2988" i="12"/>
  <c r="AB3286" i="12"/>
  <c r="AB644" i="12"/>
  <c r="AB993" i="12"/>
  <c r="AB2233" i="12"/>
  <c r="AB1338" i="12"/>
  <c r="AB722" i="12"/>
  <c r="AB26" i="12"/>
  <c r="AB1462" i="12"/>
  <c r="AB1938" i="12"/>
  <c r="AB2495" i="12"/>
  <c r="AB2000" i="12"/>
  <c r="AB1170" i="12"/>
  <c r="AB2291" i="12"/>
  <c r="AB3326" i="12"/>
  <c r="AB1217" i="12"/>
  <c r="AB464" i="12"/>
  <c r="AB2455" i="12"/>
  <c r="AB1370" i="12"/>
  <c r="AB1795" i="12"/>
  <c r="AB559" i="12"/>
  <c r="AB457" i="12"/>
  <c r="AB2006" i="12"/>
  <c r="AB2749" i="12"/>
  <c r="AB2662" i="12"/>
  <c r="AB3148" i="12"/>
  <c r="AB2466" i="12"/>
  <c r="AB2352" i="12"/>
  <c r="AB814" i="12"/>
  <c r="AB1816" i="12"/>
  <c r="AB3232" i="12"/>
  <c r="AB195" i="12"/>
  <c r="AB3103" i="12"/>
  <c r="AB366" i="12"/>
  <c r="AB1176" i="12"/>
  <c r="AB1368" i="12"/>
  <c r="AB3153" i="12"/>
  <c r="AB3004" i="12"/>
  <c r="AB578" i="12"/>
  <c r="AB1106" i="12"/>
  <c r="AB3113" i="12"/>
  <c r="AB2232" i="12"/>
  <c r="AB787" i="12"/>
  <c r="AB2040" i="12"/>
  <c r="AB733" i="12"/>
  <c r="AB1544" i="12"/>
  <c r="AB259" i="12"/>
  <c r="AB1813" i="12"/>
  <c r="AB1473" i="12"/>
  <c r="AB2803" i="12"/>
  <c r="AB2540" i="12"/>
  <c r="AB2839" i="12"/>
  <c r="AB3512" i="12"/>
  <c r="AB3362" i="12"/>
  <c r="AB147" i="12"/>
  <c r="AB1754" i="12"/>
  <c r="AB2823" i="12"/>
  <c r="AB1416" i="12"/>
  <c r="AB558" i="12"/>
  <c r="AB803" i="12"/>
  <c r="AB383" i="12"/>
  <c r="AB323" i="12"/>
  <c r="AB2518" i="12"/>
  <c r="AB276" i="12"/>
  <c r="AB1899" i="12"/>
  <c r="AB356" i="12"/>
  <c r="AB3109" i="12"/>
  <c r="AB1196" i="12"/>
  <c r="AB1575" i="12"/>
  <c r="AB3314" i="12"/>
  <c r="AB549" i="12"/>
  <c r="AB221" i="12"/>
  <c r="AB2043" i="12"/>
  <c r="AB1147" i="12"/>
  <c r="AB596" i="12"/>
  <c r="AB1836" i="12"/>
  <c r="AB3299" i="12"/>
  <c r="AB1483" i="12"/>
  <c r="AB597" i="12"/>
  <c r="AB1366" i="12"/>
  <c r="AB1408" i="12"/>
  <c r="AB2575" i="12"/>
  <c r="AB365" i="12"/>
  <c r="AB2089" i="12"/>
  <c r="AB3096" i="12"/>
  <c r="AB2201" i="12"/>
  <c r="AB168" i="12"/>
  <c r="AB144" i="12"/>
  <c r="AB2479" i="12"/>
  <c r="AB2101" i="12"/>
  <c r="AB143" i="12"/>
  <c r="AB3507" i="12"/>
  <c r="AB1627" i="12"/>
  <c r="AB3080" i="12"/>
  <c r="AB3035" i="12"/>
  <c r="AB1006" i="12"/>
  <c r="AB874" i="12"/>
  <c r="AB3366" i="12"/>
  <c r="AB2528" i="12"/>
  <c r="AB219" i="12"/>
  <c r="AB963" i="12"/>
  <c r="AB1031" i="12"/>
  <c r="AB3526" i="12"/>
  <c r="AB918" i="12"/>
  <c r="AB809" i="12"/>
  <c r="AB1699" i="12"/>
  <c r="AB2779" i="12"/>
  <c r="AB3150" i="12"/>
  <c r="AB724" i="12"/>
  <c r="AB1706" i="12"/>
  <c r="AB2394" i="12"/>
  <c r="AB2969" i="12"/>
  <c r="AB2762" i="12"/>
  <c r="AB1306" i="12"/>
  <c r="AB1679" i="12"/>
  <c r="AB2476" i="12"/>
  <c r="AB3252" i="12"/>
  <c r="AB2154" i="12"/>
  <c r="AB2139" i="12"/>
  <c r="AB650" i="12"/>
  <c r="AB1701" i="12"/>
  <c r="AB3162" i="12"/>
  <c r="AB983" i="12"/>
  <c r="AB92" i="12"/>
  <c r="AB1576" i="12"/>
  <c r="AB2174" i="12"/>
  <c r="AB1994" i="12"/>
  <c r="AB390" i="12"/>
  <c r="AB213" i="12"/>
  <c r="AB1352" i="12"/>
  <c r="AB768" i="12"/>
  <c r="AB1732" i="12"/>
  <c r="AB1049" i="12"/>
  <c r="AB517" i="12"/>
  <c r="AB2390" i="12"/>
  <c r="AB2733" i="12"/>
  <c r="AB2559" i="12"/>
  <c r="AB1320" i="12"/>
  <c r="AB2062" i="12"/>
  <c r="AB1052" i="12"/>
  <c r="AB55" i="12"/>
  <c r="AB2408" i="12"/>
  <c r="AB2325" i="12"/>
  <c r="AB2772" i="12"/>
  <c r="AB46" i="12"/>
  <c r="AB1880" i="12"/>
  <c r="AB1312" i="12"/>
  <c r="AB1496" i="12"/>
  <c r="AB1645" i="12"/>
  <c r="AB172" i="12"/>
  <c r="AB3538" i="12"/>
  <c r="AB2972" i="12"/>
  <c r="AB2224" i="12"/>
  <c r="AB1898" i="12"/>
  <c r="AB1774" i="12"/>
  <c r="AB2134" i="12"/>
  <c r="AB1694" i="12"/>
  <c r="AB2690" i="12"/>
  <c r="AB698" i="12"/>
  <c r="AB603" i="12"/>
  <c r="AB2407" i="12"/>
  <c r="AB2221" i="12"/>
  <c r="AB3275" i="12"/>
  <c r="AB2650" i="12"/>
  <c r="AB1343" i="12"/>
  <c r="AB1449" i="12"/>
  <c r="AB2751" i="12"/>
  <c r="AB3147" i="12"/>
  <c r="AB97" i="12"/>
  <c r="AB1290" i="12"/>
  <c r="AB2700" i="12"/>
  <c r="AB3437" i="12"/>
  <c r="AB1392" i="12"/>
  <c r="AB2976" i="12"/>
  <c r="AB2482" i="12"/>
  <c r="AB1988" i="12"/>
  <c r="AB150" i="12"/>
  <c r="AB757" i="12"/>
  <c r="AB865" i="12"/>
  <c r="AB1753" i="12"/>
  <c r="AB3516" i="12"/>
  <c r="AB32" i="12"/>
  <c r="AB2022" i="12"/>
  <c r="AB2423" i="12"/>
  <c r="AB2285" i="12"/>
  <c r="AB1587" i="12"/>
  <c r="AB2334" i="12"/>
  <c r="AB1965" i="12"/>
  <c r="AB2963" i="12"/>
  <c r="AB2404" i="12"/>
  <c r="AB1057" i="12"/>
  <c r="AB3155" i="12"/>
  <c r="AB1182" i="12"/>
  <c r="AB174" i="12"/>
  <c r="AB151" i="12"/>
  <c r="AB503" i="12"/>
  <c r="AB1545" i="12"/>
  <c r="AB2109" i="12"/>
  <c r="AB82" i="12"/>
  <c r="AB2598" i="12"/>
  <c r="AB499" i="12"/>
  <c r="AB833" i="12"/>
  <c r="AB45" i="12"/>
  <c r="AB3182" i="12"/>
  <c r="AB188" i="12"/>
  <c r="AB2239" i="12"/>
  <c r="AB1468" i="12"/>
  <c r="AB1542" i="12"/>
  <c r="AB2785" i="12"/>
  <c r="AB3318" i="12"/>
  <c r="AB1807" i="12"/>
  <c r="AB3159" i="12"/>
  <c r="AB169" i="12"/>
  <c r="AB3381" i="12"/>
  <c r="AB1769" i="12"/>
  <c r="AB628" i="12"/>
  <c r="AB3017" i="12"/>
  <c r="AB1307" i="12"/>
  <c r="AB131" i="12"/>
  <c r="AB209" i="12"/>
  <c r="AB1556" i="12"/>
  <c r="AB2900" i="12"/>
  <c r="AB813" i="12"/>
  <c r="AB1689" i="12"/>
  <c r="AB1047" i="12"/>
  <c r="AB2985" i="12"/>
  <c r="AB2478" i="12"/>
  <c r="AB2776" i="12"/>
  <c r="AB3457" i="12"/>
  <c r="AB312" i="12"/>
  <c r="AB3363" i="12"/>
  <c r="AB485" i="12"/>
  <c r="AB1639" i="12"/>
  <c r="AB953" i="12"/>
  <c r="AB3094" i="12"/>
  <c r="AB59" i="12"/>
  <c r="AB2524" i="12"/>
  <c r="AB952" i="12"/>
  <c r="AB2263" i="12"/>
  <c r="AB2074" i="12"/>
  <c r="AB1702" i="12"/>
  <c r="AB165" i="12"/>
  <c r="AB2655" i="12"/>
  <c r="AB2964" i="12"/>
  <c r="AB2618" i="12"/>
  <c r="AB3296" i="12"/>
  <c r="AB114" i="12"/>
  <c r="AB2099" i="12"/>
  <c r="AB1877" i="12"/>
  <c r="AB1746" i="12"/>
  <c r="AB119" i="12"/>
  <c r="AB1374" i="12"/>
  <c r="AB3353" i="12"/>
  <c r="AB3520" i="12"/>
  <c r="AB1478" i="12"/>
  <c r="AB1824" i="12"/>
  <c r="AB1095" i="12"/>
  <c r="AB2085" i="12"/>
  <c r="AB1267" i="12"/>
  <c r="AB2786" i="12"/>
  <c r="AB881" i="12"/>
  <c r="AB1522" i="12"/>
  <c r="AB421" i="12"/>
  <c r="AB487" i="12"/>
  <c r="AB2914" i="12"/>
  <c r="AB1222" i="12"/>
  <c r="AB2719" i="12"/>
  <c r="AB1970" i="12"/>
  <c r="AB110" i="12"/>
  <c r="AB453" i="12"/>
  <c r="AB1604" i="12"/>
  <c r="AB1444" i="12"/>
  <c r="AB2082" i="12"/>
  <c r="AB469" i="12"/>
  <c r="AB1509" i="12"/>
  <c r="AB2094" i="12"/>
  <c r="AB1121" i="12"/>
  <c r="AB3179" i="12"/>
  <c r="AB973" i="12"/>
  <c r="AB816" i="12"/>
  <c r="AB2696" i="12"/>
  <c r="AB1714" i="12"/>
  <c r="AB1333" i="12"/>
  <c r="AB989" i="12"/>
  <c r="AB3298" i="12"/>
  <c r="AB1629" i="12"/>
  <c r="AB1088" i="12"/>
  <c r="AB843" i="12"/>
  <c r="AB2583" i="12"/>
  <c r="AB3056" i="12"/>
  <c r="AB1358" i="12"/>
  <c r="AB3001" i="12"/>
  <c r="AB2173" i="12"/>
  <c r="AB3395" i="12"/>
  <c r="AB3084" i="12"/>
  <c r="AB3057" i="12"/>
  <c r="AB3259" i="12"/>
  <c r="AB2280" i="12"/>
  <c r="AB1559" i="12"/>
  <c r="AB2889" i="12"/>
  <c r="AB392" i="12"/>
  <c r="AB729" i="12"/>
  <c r="AB849" i="12"/>
  <c r="AB1373" i="12"/>
  <c r="AB1208" i="12"/>
  <c r="AB3379" i="12"/>
  <c r="AB1354" i="12"/>
  <c r="AB1423" i="12"/>
  <c r="AB1355" i="12"/>
  <c r="AB567" i="12"/>
  <c r="AB545" i="12"/>
  <c r="AB2073" i="12"/>
  <c r="AB3376" i="12"/>
  <c r="AB1465" i="12"/>
  <c r="AB3361" i="12"/>
  <c r="AB1004" i="12"/>
  <c r="AB480" i="12"/>
  <c r="AB461" i="12"/>
  <c r="AB1434" i="12"/>
  <c r="AB507" i="12"/>
  <c r="AB1861" i="12"/>
  <c r="AB1326" i="12"/>
  <c r="AB1966" i="12"/>
  <c r="AB1431" i="12"/>
  <c r="AB1814" i="12"/>
  <c r="AB3031" i="12"/>
  <c r="AB1151" i="12"/>
  <c r="AB2529" i="12"/>
  <c r="AB2418" i="12"/>
  <c r="AB2480" i="12"/>
  <c r="AB472" i="12"/>
  <c r="AB2097" i="12"/>
  <c r="AB442" i="12"/>
  <c r="U185" i="12"/>
  <c r="U117" i="12"/>
  <c r="U390" i="12"/>
  <c r="U387" i="12"/>
  <c r="U375" i="12"/>
  <c r="U180" i="12"/>
  <c r="U370" i="12"/>
  <c r="U401" i="12"/>
  <c r="U304" i="12"/>
  <c r="U157" i="12"/>
  <c r="U236" i="12"/>
  <c r="U348" i="12"/>
  <c r="U274" i="12"/>
  <c r="U85" i="12"/>
  <c r="U275" i="12"/>
  <c r="U299" i="12"/>
  <c r="U127" i="12"/>
  <c r="U394" i="12"/>
  <c r="U382" i="12"/>
  <c r="U131" i="12"/>
  <c r="U265" i="12"/>
  <c r="U356" i="12"/>
  <c r="U260" i="12"/>
  <c r="U259" i="12"/>
  <c r="U397" i="12"/>
  <c r="U309" i="12"/>
  <c r="U318" i="12"/>
  <c r="U374" i="12"/>
  <c r="U104" i="12"/>
  <c r="U225" i="12"/>
  <c r="U354" i="12"/>
  <c r="U307" i="12"/>
  <c r="U233" i="12"/>
  <c r="U230" i="12"/>
  <c r="U313" i="12"/>
  <c r="U366" i="12"/>
  <c r="U220" i="12"/>
  <c r="U101" i="12"/>
  <c r="U276" i="12"/>
  <c r="U383" i="12"/>
  <c r="U95" i="12"/>
  <c r="U162" i="12"/>
  <c r="U208" i="12"/>
  <c r="U161" i="12"/>
  <c r="U96" i="12"/>
  <c r="U81" i="12"/>
  <c r="U377" i="12"/>
  <c r="U300" i="12"/>
  <c r="U153" i="12"/>
  <c r="U198" i="12"/>
  <c r="U224" i="12"/>
  <c r="U84" i="12"/>
  <c r="U293" i="12"/>
  <c r="U218" i="12"/>
  <c r="U136" i="12"/>
  <c r="U144" i="12"/>
  <c r="U152" i="12"/>
  <c r="U255" i="12"/>
  <c r="U103" i="12"/>
  <c r="U364" i="12"/>
  <c r="U115" i="12"/>
  <c r="V78" i="12"/>
  <c r="J5" i="12" l="1"/>
  <c r="J3" i="12"/>
  <c r="J11" i="12"/>
  <c r="K9" i="12"/>
  <c r="J16" i="12"/>
  <c r="J4" i="12"/>
  <c r="J12" i="12"/>
  <c r="J10" i="12"/>
  <c r="K14" i="12"/>
  <c r="K6" i="12"/>
  <c r="J9" i="12"/>
  <c r="J7" i="12"/>
  <c r="J13" i="12"/>
  <c r="K5" i="12"/>
  <c r="K11" i="12"/>
  <c r="K13" i="12"/>
  <c r="K16" i="12"/>
  <c r="K3" i="12"/>
  <c r="K15" i="12"/>
  <c r="K7" i="12"/>
  <c r="J6" i="12"/>
  <c r="J8" i="12"/>
  <c r="K8" i="12"/>
  <c r="K12" i="12"/>
  <c r="J14" i="12"/>
  <c r="J15" i="12"/>
  <c r="K10" i="12"/>
  <c r="K4" i="12"/>
  <c r="H4" i="12" l="1"/>
  <c r="H10" i="12"/>
  <c r="G15" i="12"/>
  <c r="G14" i="12"/>
  <c r="H12" i="12"/>
  <c r="H8" i="12"/>
  <c r="G8" i="12"/>
  <c r="G6" i="12"/>
  <c r="H7" i="12"/>
  <c r="H15" i="12"/>
  <c r="H3" i="12"/>
  <c r="H16" i="12"/>
  <c r="H13" i="12"/>
  <c r="H11" i="12"/>
  <c r="I11" i="12" s="1"/>
  <c r="H5" i="12"/>
  <c r="G13" i="12"/>
  <c r="G7" i="12"/>
  <c r="G9" i="12"/>
  <c r="H6" i="12"/>
  <c r="H14" i="12"/>
  <c r="I14" i="12" s="1"/>
  <c r="G10" i="12"/>
  <c r="I10" i="12" s="1"/>
  <c r="G12" i="12"/>
  <c r="I12" i="12" s="1"/>
  <c r="G4" i="12"/>
  <c r="G16" i="12"/>
  <c r="H9" i="12"/>
  <c r="G11" i="12"/>
  <c r="G3" i="12"/>
  <c r="G5" i="12"/>
  <c r="I8" i="12" l="1"/>
  <c r="I13" i="12"/>
  <c r="I5" i="12"/>
  <c r="I16" i="12"/>
  <c r="I6" i="12"/>
  <c r="I3" i="12"/>
  <c r="I15" i="12"/>
  <c r="I9" i="12"/>
  <c r="I7" i="12"/>
  <c r="I4"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<sst xmlns="http://schemas.openxmlformats.org/spreadsheetml/2006/main" count="1927" uniqueCount="174">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</sst>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sz val="8"/>
      <color theme="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4"/>
        <bgColor indexed="64"/>
      </patternFill>
    </fill>
  </fills>
  <borders count="51">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8"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1" fillId="0" borderId="0" applyFont="0" applyFill="0" applyBorder="0" applyAlignment="0" applyProtection="0"/>
    <xf numFmtId="177" fontId="21" fillId="0" borderId="0" applyFont="0" applyFill="0" applyBorder="0" applyAlignment="0" applyProtection="0"/>
    <xf numFmtId="0" fontId="21" fillId="0" borderId="0"/>
    <xf numFmtId="9" fontId="1" fillId="0" borderId="0" applyFont="0" applyFill="0" applyBorder="0" applyAlignment="0" applyProtection="0"/>
  </cellStyleXfs>
  <cellXfs count="336">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2" fillId="2" borderId="12" xfId="1" applyFont="1" applyFill="1" applyBorder="1"/>
    <xf numFmtId="0" fontId="2" fillId="2" borderId="11"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3" xfId="1" applyFont="1" applyFill="1" applyBorder="1"/>
    <xf numFmtId="0" fontId="2" fillId="2" borderId="14" xfId="1" applyFont="1" applyFill="1" applyBorder="1"/>
    <xf numFmtId="0" fontId="2" fillId="2" borderId="1" xfId="1" applyNumberFormat="1" applyFont="1" applyFill="1" applyBorder="1" applyAlignment="1">
      <alignment horizontal="left"/>
    </xf>
    <xf numFmtId="172" fontId="2" fillId="2" borderId="25" xfId="1" applyNumberFormat="1" applyFont="1" applyFill="1" applyBorder="1" applyAlignment="1"/>
    <xf numFmtId="0" fontId="2" fillId="2" borderId="15" xfId="1" applyFont="1" applyFill="1" applyBorder="1" applyAlignment="1">
      <alignment horizontal="center"/>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5" xfId="1" applyFont="1" applyFill="1" applyBorder="1"/>
    <xf numFmtId="0" fontId="1" fillId="2" borderId="11" xfId="1" applyFill="1" applyBorder="1"/>
    <xf numFmtId="0" fontId="1" fillId="2" borderId="12" xfId="1" applyFill="1" applyBorder="1"/>
    <xf numFmtId="0" fontId="1" fillId="2" borderId="13" xfId="1" applyFill="1" applyBorder="1"/>
    <xf numFmtId="0" fontId="17" fillId="2" borderId="14"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5"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1" xfId="1" applyFont="1" applyFill="1" applyBorder="1"/>
    <xf numFmtId="0" fontId="12" fillId="2" borderId="12" xfId="1" applyFont="1" applyFill="1" applyBorder="1"/>
    <xf numFmtId="0" fontId="12" fillId="2" borderId="13" xfId="1" applyFont="1" applyFill="1" applyBorder="1"/>
    <xf numFmtId="15" fontId="12" fillId="2" borderId="14" xfId="1" applyNumberFormat="1" applyFont="1" applyFill="1" applyBorder="1"/>
    <xf numFmtId="0" fontId="12" fillId="5" borderId="9" xfId="1" applyNumberFormat="1" applyFont="1" applyFill="1" applyBorder="1"/>
    <xf numFmtId="0" fontId="12" fillId="2" borderId="15" xfId="1" applyFont="1" applyFill="1" applyBorder="1"/>
    <xf numFmtId="170" fontId="12" fillId="4" borderId="10" xfId="1" quotePrefix="1" applyNumberFormat="1" applyFont="1" applyFill="1" applyBorder="1" applyAlignment="1" applyProtection="1">
      <alignment horizontal="left"/>
    </xf>
    <xf numFmtId="0" fontId="12" fillId="2" borderId="14" xfId="1" applyFont="1" applyFill="1" applyBorder="1"/>
    <xf numFmtId="0" fontId="12" fillId="2" borderId="0" xfId="1" applyFont="1" applyFill="1" applyBorder="1"/>
    <xf numFmtId="0" fontId="5" fillId="0" borderId="0" xfId="1" applyFont="1" applyAlignment="1">
      <alignment horizontal="left"/>
    </xf>
    <xf numFmtId="0" fontId="2" fillId="2" borderId="30" xfId="1" applyFont="1" applyFill="1" applyBorder="1" applyAlignment="1">
      <alignment horizontal="left"/>
    </xf>
    <xf numFmtId="0" fontId="2" fillId="2" borderId="30" xfId="1" applyFont="1" applyFill="1" applyBorder="1"/>
    <xf numFmtId="0" fontId="11" fillId="4" borderId="4" xfId="1" applyNumberFormat="1" applyFont="1" applyFill="1" applyBorder="1" applyAlignment="1" applyProtection="1"/>
    <xf numFmtId="0" fontId="2" fillId="2" borderId="26" xfId="1" applyNumberFormat="1" applyFont="1" applyFill="1" applyBorder="1" applyAlignment="1">
      <alignment horizontal="left"/>
    </xf>
    <xf numFmtId="0" fontId="2" fillId="2" borderId="26"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7" xfId="1" applyNumberFormat="1" applyFont="1" applyFill="1" applyBorder="1" applyAlignment="1" applyProtection="1">
      <alignment horizontal="center" vertical="center"/>
    </xf>
    <xf numFmtId="0" fontId="13" fillId="2" borderId="27" xfId="1" applyFont="1" applyFill="1" applyBorder="1" applyAlignment="1">
      <alignment horizontal="center" vertical="center"/>
    </xf>
    <xf numFmtId="0" fontId="3" fillId="2" borderId="27"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7" xfId="1" applyFont="1" applyFill="1" applyBorder="1" applyAlignment="1">
      <alignment horizontal="center"/>
    </xf>
    <xf numFmtId="0" fontId="2" fillId="2" borderId="28" xfId="1" applyFont="1" applyFill="1" applyBorder="1"/>
    <xf numFmtId="0" fontId="5" fillId="0" borderId="31" xfId="1" applyFont="1" applyBorder="1" applyAlignment="1">
      <alignment horizontal="center"/>
    </xf>
    <xf numFmtId="0" fontId="2" fillId="2" borderId="31" xfId="1" applyFont="1" applyFill="1" applyBorder="1" applyAlignment="1">
      <alignment horizontal="center"/>
    </xf>
    <xf numFmtId="0" fontId="2" fillId="2" borderId="31" xfId="1" applyFont="1" applyFill="1" applyBorder="1"/>
    <xf numFmtId="0" fontId="1" fillId="0" borderId="0" xfId="1" applyAlignment="1">
      <alignment horizontal="left"/>
    </xf>
    <xf numFmtId="0" fontId="2" fillId="2" borderId="11" xfId="1" applyFont="1" applyFill="1" applyBorder="1" applyAlignment="1">
      <alignment horizontal="left"/>
    </xf>
    <xf numFmtId="0" fontId="2" fillId="2" borderId="12" xfId="1" applyFont="1" applyFill="1" applyBorder="1" applyAlignment="1">
      <alignment horizontal="left"/>
    </xf>
    <xf numFmtId="0" fontId="19" fillId="2" borderId="14" xfId="1" applyFont="1" applyFill="1" applyBorder="1"/>
    <xf numFmtId="0" fontId="12" fillId="4" borderId="9" xfId="1" applyNumberFormat="1" applyFont="1" applyFill="1" applyBorder="1" applyAlignment="1" applyProtection="1">
      <alignment horizontal="left" vertical="center"/>
    </xf>
    <xf numFmtId="0" fontId="2" fillId="2" borderId="25" xfId="1" applyFont="1" applyFill="1" applyBorder="1" applyAlignment="1"/>
    <xf numFmtId="0" fontId="2" fillId="2" borderId="25" xfId="1" applyFont="1" applyFill="1" applyBorder="1" applyAlignment="1">
      <alignment horizontal="center"/>
    </xf>
    <xf numFmtId="0" fontId="2" fillId="0" borderId="11" xfId="1" applyFont="1" applyBorder="1" applyAlignment="1">
      <alignment horizontal="center"/>
    </xf>
    <xf numFmtId="0" fontId="2" fillId="0" borderId="12" xfId="1" applyFont="1" applyBorder="1" applyAlignment="1">
      <alignment horizontal="center"/>
    </xf>
    <xf numFmtId="0" fontId="2" fillId="0" borderId="13" xfId="1" applyFont="1" applyBorder="1"/>
    <xf numFmtId="0" fontId="2" fillId="0" borderId="14" xfId="1" applyFont="1" applyBorder="1" applyAlignment="1">
      <alignment horizontal="center"/>
    </xf>
    <xf numFmtId="0" fontId="2" fillId="0" borderId="0" xfId="1" applyFont="1" applyBorder="1" applyAlignment="1">
      <alignment horizontal="center"/>
    </xf>
    <xf numFmtId="0" fontId="2" fillId="0" borderId="15" xfId="1" applyFont="1" applyBorder="1"/>
    <xf numFmtId="0" fontId="2" fillId="0" borderId="28" xfId="1" applyFont="1" applyBorder="1" applyAlignment="1">
      <alignment horizontal="center"/>
    </xf>
    <xf numFmtId="0" fontId="2" fillId="0" borderId="31" xfId="1" applyFont="1" applyBorder="1" applyAlignment="1">
      <alignment horizontal="center"/>
    </xf>
    <xf numFmtId="0" fontId="2" fillId="0" borderId="29" xfId="1" applyFont="1" applyBorder="1"/>
    <xf numFmtId="0" fontId="20" fillId="2" borderId="14"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28" xfId="1" applyFont="1" applyFill="1" applyBorder="1"/>
    <xf numFmtId="0" fontId="2" fillId="2" borderId="29" xfId="1" applyFont="1" applyFill="1" applyBorder="1" applyAlignment="1">
      <alignment horizontal="left"/>
    </xf>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2" fillId="2" borderId="25" xfId="1" applyNumberFormat="1" applyFont="1" applyFill="1" applyBorder="1" applyAlignment="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4"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22" fillId="13" borderId="5" xfId="0" applyFont="1" applyFill="1" applyBorder="1"/>
    <xf numFmtId="0" fontId="22" fillId="13" borderId="44" xfId="0" applyFont="1" applyFill="1" applyBorder="1"/>
    <xf numFmtId="0" fontId="22"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22" fillId="13" borderId="26" xfId="0" applyNumberFormat="1" applyFont="1" applyFill="1" applyBorder="1"/>
    <xf numFmtId="10" fontId="22"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6" fillId="0" borderId="0" xfId="1" applyNumberFormat="1" applyFont="1"/>
    <xf numFmtId="165" fontId="2" fillId="2" borderId="27" xfId="1" applyNumberFormat="1" applyFont="1" applyFill="1" applyBorder="1" applyAlignment="1"/>
    <xf numFmtId="0" fontId="2" fillId="2" borderId="27" xfId="1" applyFont="1" applyFill="1" applyBorder="1" applyAlignment="1"/>
    <xf numFmtId="0" fontId="2" fillId="2" borderId="27" xfId="1" applyNumberFormat="1" applyFont="1" applyFill="1" applyBorder="1" applyAlignment="1"/>
    <xf numFmtId="0" fontId="12" fillId="4" borderId="27" xfId="1" applyNumberFormat="1" applyFont="1" applyFill="1" applyBorder="1" applyAlignment="1" applyProtection="1">
      <alignment horizontal="left" vertical="center"/>
    </xf>
    <xf numFmtId="0" fontId="2" fillId="2" borderId="26" xfId="1" applyFont="1" applyFill="1" applyBorder="1" applyAlignment="1">
      <alignment horizontal="center"/>
    </xf>
    <xf numFmtId="165" fontId="2" fillId="2" borderId="26" xfId="1" applyNumberFormat="1" applyFont="1" applyFill="1" applyBorder="1" applyAlignment="1"/>
    <xf numFmtId="0" fontId="2" fillId="2" borderId="26" xfId="1" applyFont="1" applyFill="1" applyBorder="1" applyAlignment="1"/>
    <xf numFmtId="0" fontId="2" fillId="2" borderId="26" xfId="1" applyNumberFormat="1" applyFont="1" applyFill="1" applyBorder="1" applyAlignment="1"/>
    <xf numFmtId="0" fontId="12" fillId="4" borderId="26" xfId="1" applyNumberFormat="1" applyFont="1" applyFill="1" applyBorder="1" applyAlignment="1" applyProtection="1">
      <alignment horizontal="left" vertical="center"/>
    </xf>
    <xf numFmtId="0" fontId="2" fillId="2" borderId="25" xfId="1" applyNumberFormat="1" applyFont="1" applyFill="1" applyBorder="1" applyAlignment="1">
      <alignment horizontal="center"/>
    </xf>
    <xf numFmtId="165" fontId="2" fillId="2" borderId="25" xfId="1" applyNumberFormat="1" applyFont="1" applyFill="1" applyBorder="1" applyAlignment="1"/>
    <xf numFmtId="0" fontId="12" fillId="4" borderId="25" xfId="1" applyNumberFormat="1" applyFont="1" applyFill="1" applyBorder="1" applyAlignment="1" applyProtection="1">
      <alignment horizontal="left" vertical="center"/>
    </xf>
    <xf numFmtId="165" fontId="1" fillId="0" borderId="0" xfId="10"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0" fontId="27" fillId="14" borderId="47" xfId="0" applyFont="1" applyFill="1" applyBorder="1" applyAlignment="1">
      <alignment wrapText="1"/>
    </xf>
    <xf numFmtId="167" fontId="22" fillId="0" borderId="48" xfId="0" applyNumberFormat="1" applyFont="1" applyBorder="1"/>
    <xf numFmtId="0" fontId="27" fillId="14" borderId="49" xfId="0" applyFont="1" applyFill="1" applyBorder="1" applyAlignment="1">
      <alignment wrapText="1"/>
    </xf>
    <xf numFmtId="0" fontId="27" fillId="14" borderId="47" xfId="0" applyFont="1" applyFill="1" applyBorder="1" applyAlignment="1">
      <alignment horizontal="center" vertical="center" wrapText="1"/>
    </xf>
    <xf numFmtId="167" fontId="22" fillId="0" borderId="50" xfId="0" applyNumberFormat="1" applyFont="1" applyBorder="1" applyAlignment="1">
      <alignment vertical="center"/>
    </xf>
    <xf numFmtId="172" fontId="2" fillId="2" borderId="27" xfId="1" applyNumberFormat="1" applyFont="1" applyFill="1" applyBorder="1" applyAlignment="1"/>
    <xf numFmtId="171" fontId="11" fillId="4" borderId="6" xfId="1" applyNumberFormat="1" applyFont="1" applyFill="1" applyBorder="1" applyAlignment="1" applyProtection="1">
      <alignment horizontal="left"/>
    </xf>
    <xf numFmtId="0" fontId="3" fillId="2" borderId="5" xfId="1" applyFont="1" applyFill="1" applyBorder="1" applyAlignment="1">
      <alignment horizontal="center"/>
    </xf>
    <xf numFmtId="172" fontId="2" fillId="2" borderId="26" xfId="1" applyNumberFormat="1" applyFont="1" applyFill="1" applyBorder="1" applyAlignment="1"/>
    <xf numFmtId="171" fontId="11" fillId="4" borderId="4" xfId="1" applyNumberFormat="1" applyFont="1" applyFill="1" applyBorder="1" applyAlignment="1" applyProtection="1">
      <alignment horizontal="left"/>
    </xf>
    <xf numFmtId="0" fontId="3" fillId="2" borderId="3" xfId="1" applyFont="1" applyFill="1" applyBorder="1" applyAlignment="1">
      <alignment horizontal="center"/>
    </xf>
    <xf numFmtId="171" fontId="11" fillId="4" borderId="1" xfId="1" applyNumberFormat="1" applyFont="1" applyFill="1" applyBorder="1" applyAlignment="1" applyProtection="1">
      <alignment horizontal="left"/>
    </xf>
    <xf numFmtId="172" fontId="2" fillId="10" borderId="27" xfId="1" applyNumberFormat="1" applyFont="1" applyFill="1" applyBorder="1" applyAlignment="1">
      <alignment horizontal="left"/>
    </xf>
    <xf numFmtId="172" fontId="2" fillId="10" borderId="26" xfId="1" applyNumberFormat="1" applyFont="1" applyFill="1" applyBorder="1" applyAlignment="1">
      <alignment horizontal="left"/>
    </xf>
    <xf numFmtId="172" fontId="2" fillId="10" borderId="25" xfId="1" applyNumberFormat="1" applyFont="1" applyFill="1" applyBorder="1" applyAlignment="1">
      <alignment horizontal="left"/>
    </xf>
    <xf numFmtId="178" fontId="22" fillId="13" borderId="27" xfId="0" applyNumberFormat="1" applyFont="1" applyFill="1" applyBorder="1"/>
    <xf numFmtId="178" fontId="22" fillId="13" borderId="26" xfId="0" applyNumberFormat="1" applyFont="1" applyFill="1" applyBorder="1"/>
    <xf numFmtId="178" fontId="22" fillId="13" borderId="25" xfId="0" applyNumberFormat="1" applyFont="1" applyFill="1" applyBorder="1"/>
    <xf numFmtId="0" fontId="22" fillId="10" borderId="0" xfId="0" applyFont="1" applyFill="1"/>
    <xf numFmtId="0" fontId="22" fillId="10" borderId="0" xfId="0" applyFont="1" applyFill="1" applyBorder="1"/>
    <xf numFmtId="0" fontId="22" fillId="10" borderId="14" xfId="0" applyFont="1" applyFill="1" applyBorder="1"/>
    <xf numFmtId="0" fontId="22" fillId="10" borderId="12" xfId="0" applyFont="1" applyFill="1" applyBorder="1"/>
    <xf numFmtId="0" fontId="22" fillId="10" borderId="11" xfId="0" applyFont="1" applyFill="1" applyBorder="1"/>
    <xf numFmtId="0" fontId="22" fillId="10" borderId="27" xfId="0" applyFont="1" applyFill="1" applyBorder="1"/>
    <xf numFmtId="167" fontId="22" fillId="10" borderId="27" xfId="0" applyNumberFormat="1" applyFont="1" applyFill="1" applyBorder="1"/>
    <xf numFmtId="178" fontId="22" fillId="10" borderId="27" xfId="0" applyNumberFormat="1" applyFont="1" applyFill="1" applyBorder="1"/>
    <xf numFmtId="0" fontId="22" fillId="10" borderId="26" xfId="0" applyFont="1" applyFill="1" applyBorder="1"/>
    <xf numFmtId="167" fontId="22" fillId="10" borderId="26" xfId="0" applyNumberFormat="1" applyFont="1" applyFill="1" applyBorder="1"/>
    <xf numFmtId="178" fontId="22" fillId="10" borderId="26" xfId="0" applyNumberFormat="1" applyFont="1" applyFill="1" applyBorder="1"/>
    <xf numFmtId="0" fontId="22" fillId="10" borderId="25" xfId="0" applyFont="1" applyFill="1" applyBorder="1"/>
    <xf numFmtId="167" fontId="22" fillId="10" borderId="25" xfId="0" applyNumberFormat="1" applyFont="1" applyFill="1" applyBorder="1"/>
    <xf numFmtId="178" fontId="22" fillId="10" borderId="25" xfId="0" applyNumberFormat="1" applyFont="1" applyFill="1" applyBorder="1"/>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spPr>
            <a:ln>
              <a:noFill/>
            </a:ln>
          </c:spPr>
          <c:marker>
            <c:symbol val="square"/>
            <c:size val="2"/>
            <c:spPr>
              <a:solidFill>
                <a:schemeClr val="accent1"/>
              </a:solidFill>
            </c:spPr>
          </c:marker>
          <c:cat>
            <c:numRef>
              <c:f>Monitor!$Z$19:$Z$3552</c:f>
              <c:numCache>
                <c:formatCode>ddd\,\ dd\-mmm\-yyyy</c:formatCode>
                <c:ptCount val="3534"/>
                <c:pt idx="0">
                  <c:v>42087</c:v>
                </c:pt>
                <c:pt idx="1">
                  <c:v>42088</c:v>
                </c:pt>
                <c:pt idx="2">
                  <c:v>42089</c:v>
                </c:pt>
                <c:pt idx="3">
                  <c:v>42090</c:v>
                </c:pt>
                <c:pt idx="4">
                  <c:v>42093</c:v>
                </c:pt>
                <c:pt idx="5">
                  <c:v>42094</c:v>
                </c:pt>
                <c:pt idx="6">
                  <c:v>42095</c:v>
                </c:pt>
                <c:pt idx="7">
                  <c:v>42096</c:v>
                </c:pt>
                <c:pt idx="8">
                  <c:v>42101</c:v>
                </c:pt>
                <c:pt idx="9">
                  <c:v>42102</c:v>
                </c:pt>
                <c:pt idx="10">
                  <c:v>42103</c:v>
                </c:pt>
                <c:pt idx="11">
                  <c:v>42104</c:v>
                </c:pt>
                <c:pt idx="12">
                  <c:v>42107</c:v>
                </c:pt>
                <c:pt idx="13">
                  <c:v>42108</c:v>
                </c:pt>
                <c:pt idx="14">
                  <c:v>42109</c:v>
                </c:pt>
                <c:pt idx="15">
                  <c:v>42110</c:v>
                </c:pt>
                <c:pt idx="16">
                  <c:v>42111</c:v>
                </c:pt>
                <c:pt idx="17">
                  <c:v>42114</c:v>
                </c:pt>
                <c:pt idx="18">
                  <c:v>42115</c:v>
                </c:pt>
                <c:pt idx="19">
                  <c:v>42116</c:v>
                </c:pt>
                <c:pt idx="20">
                  <c:v>42117</c:v>
                </c:pt>
                <c:pt idx="21">
                  <c:v>42118</c:v>
                </c:pt>
                <c:pt idx="22">
                  <c:v>42121</c:v>
                </c:pt>
                <c:pt idx="23">
                  <c:v>42122</c:v>
                </c:pt>
                <c:pt idx="24">
                  <c:v>42123</c:v>
                </c:pt>
                <c:pt idx="25">
                  <c:v>42124</c:v>
                </c:pt>
                <c:pt idx="26">
                  <c:v>42128</c:v>
                </c:pt>
                <c:pt idx="27">
                  <c:v>42129</c:v>
                </c:pt>
                <c:pt idx="28">
                  <c:v>42130</c:v>
                </c:pt>
                <c:pt idx="29">
                  <c:v>42131</c:v>
                </c:pt>
                <c:pt idx="30">
                  <c:v>42132</c:v>
                </c:pt>
                <c:pt idx="31">
                  <c:v>42135</c:v>
                </c:pt>
                <c:pt idx="32">
                  <c:v>42136</c:v>
                </c:pt>
                <c:pt idx="33">
                  <c:v>42137</c:v>
                </c:pt>
                <c:pt idx="34">
                  <c:v>42138</c:v>
                </c:pt>
                <c:pt idx="35">
                  <c:v>42139</c:v>
                </c:pt>
                <c:pt idx="36">
                  <c:v>42142</c:v>
                </c:pt>
                <c:pt idx="37">
                  <c:v>42143</c:v>
                </c:pt>
                <c:pt idx="38">
                  <c:v>42144</c:v>
                </c:pt>
                <c:pt idx="39">
                  <c:v>42145</c:v>
                </c:pt>
                <c:pt idx="40">
                  <c:v>42146</c:v>
                </c:pt>
                <c:pt idx="41">
                  <c:v>42149</c:v>
                </c:pt>
                <c:pt idx="42">
                  <c:v>42150</c:v>
                </c:pt>
                <c:pt idx="43">
                  <c:v>42151</c:v>
                </c:pt>
                <c:pt idx="44">
                  <c:v>42152</c:v>
                </c:pt>
                <c:pt idx="45">
                  <c:v>42153</c:v>
                </c:pt>
                <c:pt idx="46">
                  <c:v>42156</c:v>
                </c:pt>
                <c:pt idx="47">
                  <c:v>42157</c:v>
                </c:pt>
                <c:pt idx="48">
                  <c:v>42158</c:v>
                </c:pt>
                <c:pt idx="49">
                  <c:v>42159</c:v>
                </c:pt>
                <c:pt idx="50">
                  <c:v>42160</c:v>
                </c:pt>
                <c:pt idx="51">
                  <c:v>42163</c:v>
                </c:pt>
                <c:pt idx="52">
                  <c:v>42164</c:v>
                </c:pt>
                <c:pt idx="53">
                  <c:v>42165</c:v>
                </c:pt>
                <c:pt idx="54">
                  <c:v>42166</c:v>
                </c:pt>
                <c:pt idx="55">
                  <c:v>42167</c:v>
                </c:pt>
                <c:pt idx="56">
                  <c:v>42170</c:v>
                </c:pt>
                <c:pt idx="57">
                  <c:v>42171</c:v>
                </c:pt>
                <c:pt idx="58">
                  <c:v>42172</c:v>
                </c:pt>
                <c:pt idx="59">
                  <c:v>42173</c:v>
                </c:pt>
                <c:pt idx="60">
                  <c:v>42174</c:v>
                </c:pt>
                <c:pt idx="61">
                  <c:v>42177</c:v>
                </c:pt>
                <c:pt idx="62">
                  <c:v>42178</c:v>
                </c:pt>
                <c:pt idx="63">
                  <c:v>42179</c:v>
                </c:pt>
                <c:pt idx="64">
                  <c:v>42180</c:v>
                </c:pt>
                <c:pt idx="65">
                  <c:v>42181</c:v>
                </c:pt>
                <c:pt idx="66">
                  <c:v>42184</c:v>
                </c:pt>
                <c:pt idx="67">
                  <c:v>42185</c:v>
                </c:pt>
                <c:pt idx="68">
                  <c:v>42186</c:v>
                </c:pt>
                <c:pt idx="69">
                  <c:v>42187</c:v>
                </c:pt>
                <c:pt idx="70">
                  <c:v>42188</c:v>
                </c:pt>
                <c:pt idx="71">
                  <c:v>42191</c:v>
                </c:pt>
                <c:pt idx="72">
                  <c:v>42192</c:v>
                </c:pt>
                <c:pt idx="73">
                  <c:v>42193</c:v>
                </c:pt>
                <c:pt idx="74">
                  <c:v>42194</c:v>
                </c:pt>
                <c:pt idx="75">
                  <c:v>42195</c:v>
                </c:pt>
                <c:pt idx="76">
                  <c:v>42198</c:v>
                </c:pt>
                <c:pt idx="77">
                  <c:v>42199</c:v>
                </c:pt>
                <c:pt idx="78">
                  <c:v>42200</c:v>
                </c:pt>
                <c:pt idx="79">
                  <c:v>42201</c:v>
                </c:pt>
                <c:pt idx="80">
                  <c:v>42202</c:v>
                </c:pt>
                <c:pt idx="81">
                  <c:v>42205</c:v>
                </c:pt>
                <c:pt idx="82">
                  <c:v>42206</c:v>
                </c:pt>
                <c:pt idx="83">
                  <c:v>42207</c:v>
                </c:pt>
                <c:pt idx="84">
                  <c:v>42208</c:v>
                </c:pt>
                <c:pt idx="85">
                  <c:v>42209</c:v>
                </c:pt>
                <c:pt idx="86">
                  <c:v>42212</c:v>
                </c:pt>
                <c:pt idx="87">
                  <c:v>42213</c:v>
                </c:pt>
                <c:pt idx="88">
                  <c:v>42214</c:v>
                </c:pt>
                <c:pt idx="89">
                  <c:v>42215</c:v>
                </c:pt>
                <c:pt idx="90">
                  <c:v>42216</c:v>
                </c:pt>
                <c:pt idx="91">
                  <c:v>42219</c:v>
                </c:pt>
                <c:pt idx="92">
                  <c:v>42220</c:v>
                </c:pt>
                <c:pt idx="93">
                  <c:v>42221</c:v>
                </c:pt>
                <c:pt idx="94">
                  <c:v>42222</c:v>
                </c:pt>
                <c:pt idx="95">
                  <c:v>42223</c:v>
                </c:pt>
                <c:pt idx="96">
                  <c:v>42226</c:v>
                </c:pt>
                <c:pt idx="97">
                  <c:v>42227</c:v>
                </c:pt>
                <c:pt idx="98">
                  <c:v>42228</c:v>
                </c:pt>
                <c:pt idx="99">
                  <c:v>42229</c:v>
                </c:pt>
                <c:pt idx="100">
                  <c:v>42230</c:v>
                </c:pt>
                <c:pt idx="101">
                  <c:v>42233</c:v>
                </c:pt>
                <c:pt idx="102">
                  <c:v>42234</c:v>
                </c:pt>
                <c:pt idx="103">
                  <c:v>42235</c:v>
                </c:pt>
                <c:pt idx="104">
                  <c:v>42236</c:v>
                </c:pt>
                <c:pt idx="105">
                  <c:v>42237</c:v>
                </c:pt>
                <c:pt idx="106">
                  <c:v>42240</c:v>
                </c:pt>
                <c:pt idx="107">
                  <c:v>42241</c:v>
                </c:pt>
                <c:pt idx="108">
                  <c:v>42242</c:v>
                </c:pt>
                <c:pt idx="109">
                  <c:v>42243</c:v>
                </c:pt>
                <c:pt idx="110">
                  <c:v>42244</c:v>
                </c:pt>
                <c:pt idx="111">
                  <c:v>42247</c:v>
                </c:pt>
                <c:pt idx="112">
                  <c:v>42248</c:v>
                </c:pt>
                <c:pt idx="113">
                  <c:v>42249</c:v>
                </c:pt>
                <c:pt idx="114">
                  <c:v>42250</c:v>
                </c:pt>
                <c:pt idx="115">
                  <c:v>42251</c:v>
                </c:pt>
                <c:pt idx="116">
                  <c:v>42254</c:v>
                </c:pt>
                <c:pt idx="117">
                  <c:v>42255</c:v>
                </c:pt>
                <c:pt idx="118">
                  <c:v>42256</c:v>
                </c:pt>
                <c:pt idx="119">
                  <c:v>42257</c:v>
                </c:pt>
                <c:pt idx="120">
                  <c:v>42258</c:v>
                </c:pt>
                <c:pt idx="121">
                  <c:v>42261</c:v>
                </c:pt>
                <c:pt idx="122">
                  <c:v>42262</c:v>
                </c:pt>
                <c:pt idx="123">
                  <c:v>42263</c:v>
                </c:pt>
                <c:pt idx="124">
                  <c:v>42264</c:v>
                </c:pt>
                <c:pt idx="125">
                  <c:v>42265</c:v>
                </c:pt>
                <c:pt idx="126">
                  <c:v>42268</c:v>
                </c:pt>
                <c:pt idx="127">
                  <c:v>42269</c:v>
                </c:pt>
                <c:pt idx="128">
                  <c:v>42270</c:v>
                </c:pt>
                <c:pt idx="129">
                  <c:v>42271</c:v>
                </c:pt>
                <c:pt idx="130">
                  <c:v>42272</c:v>
                </c:pt>
                <c:pt idx="131">
                  <c:v>42275</c:v>
                </c:pt>
                <c:pt idx="132">
                  <c:v>42276</c:v>
                </c:pt>
                <c:pt idx="133">
                  <c:v>42277</c:v>
                </c:pt>
                <c:pt idx="134">
                  <c:v>42278</c:v>
                </c:pt>
                <c:pt idx="135">
                  <c:v>42279</c:v>
                </c:pt>
                <c:pt idx="136">
                  <c:v>42282</c:v>
                </c:pt>
                <c:pt idx="137">
                  <c:v>42283</c:v>
                </c:pt>
                <c:pt idx="138">
                  <c:v>42284</c:v>
                </c:pt>
                <c:pt idx="139">
                  <c:v>42285</c:v>
                </c:pt>
                <c:pt idx="140">
                  <c:v>42286</c:v>
                </c:pt>
                <c:pt idx="141">
                  <c:v>42289</c:v>
                </c:pt>
                <c:pt idx="142">
                  <c:v>42290</c:v>
                </c:pt>
                <c:pt idx="143">
                  <c:v>42291</c:v>
                </c:pt>
                <c:pt idx="144">
                  <c:v>42292</c:v>
                </c:pt>
                <c:pt idx="145">
                  <c:v>42293</c:v>
                </c:pt>
                <c:pt idx="146">
                  <c:v>42296</c:v>
                </c:pt>
                <c:pt idx="147">
                  <c:v>42297</c:v>
                </c:pt>
                <c:pt idx="148">
                  <c:v>42298</c:v>
                </c:pt>
                <c:pt idx="149">
                  <c:v>42299</c:v>
                </c:pt>
                <c:pt idx="150">
                  <c:v>42300</c:v>
                </c:pt>
                <c:pt idx="151">
                  <c:v>42303</c:v>
                </c:pt>
                <c:pt idx="152">
                  <c:v>42304</c:v>
                </c:pt>
                <c:pt idx="153">
                  <c:v>42305</c:v>
                </c:pt>
                <c:pt idx="154">
                  <c:v>42306</c:v>
                </c:pt>
                <c:pt idx="155">
                  <c:v>42307</c:v>
                </c:pt>
                <c:pt idx="156">
                  <c:v>42310</c:v>
                </c:pt>
                <c:pt idx="157">
                  <c:v>42311</c:v>
                </c:pt>
                <c:pt idx="158">
                  <c:v>42312</c:v>
                </c:pt>
                <c:pt idx="159">
                  <c:v>42313</c:v>
                </c:pt>
                <c:pt idx="160">
                  <c:v>42314</c:v>
                </c:pt>
                <c:pt idx="161">
                  <c:v>42317</c:v>
                </c:pt>
                <c:pt idx="162">
                  <c:v>42318</c:v>
                </c:pt>
                <c:pt idx="163">
                  <c:v>42319</c:v>
                </c:pt>
                <c:pt idx="164">
                  <c:v>42320</c:v>
                </c:pt>
                <c:pt idx="165">
                  <c:v>42321</c:v>
                </c:pt>
                <c:pt idx="166">
                  <c:v>42324</c:v>
                </c:pt>
                <c:pt idx="167">
                  <c:v>42325</c:v>
                </c:pt>
                <c:pt idx="168">
                  <c:v>42326</c:v>
                </c:pt>
                <c:pt idx="169">
                  <c:v>42327</c:v>
                </c:pt>
                <c:pt idx="170">
                  <c:v>42328</c:v>
                </c:pt>
                <c:pt idx="171">
                  <c:v>42331</c:v>
                </c:pt>
                <c:pt idx="172">
                  <c:v>42332</c:v>
                </c:pt>
                <c:pt idx="173">
                  <c:v>42333</c:v>
                </c:pt>
                <c:pt idx="174">
                  <c:v>42334</c:v>
                </c:pt>
                <c:pt idx="175">
                  <c:v>42335</c:v>
                </c:pt>
                <c:pt idx="176">
                  <c:v>42338</c:v>
                </c:pt>
                <c:pt idx="177">
                  <c:v>42339</c:v>
                </c:pt>
                <c:pt idx="178">
                  <c:v>42340</c:v>
                </c:pt>
                <c:pt idx="179">
                  <c:v>42341</c:v>
                </c:pt>
                <c:pt idx="180">
                  <c:v>42342</c:v>
                </c:pt>
                <c:pt idx="181">
                  <c:v>42345</c:v>
                </c:pt>
                <c:pt idx="182">
                  <c:v>42346</c:v>
                </c:pt>
                <c:pt idx="183">
                  <c:v>42347</c:v>
                </c:pt>
                <c:pt idx="184">
                  <c:v>42348</c:v>
                </c:pt>
                <c:pt idx="185">
                  <c:v>42349</c:v>
                </c:pt>
                <c:pt idx="186">
                  <c:v>42352</c:v>
                </c:pt>
                <c:pt idx="187">
                  <c:v>42353</c:v>
                </c:pt>
                <c:pt idx="188">
                  <c:v>42354</c:v>
                </c:pt>
                <c:pt idx="189">
                  <c:v>42355</c:v>
                </c:pt>
                <c:pt idx="190">
                  <c:v>42356</c:v>
                </c:pt>
                <c:pt idx="191">
                  <c:v>42359</c:v>
                </c:pt>
                <c:pt idx="192">
                  <c:v>42360</c:v>
                </c:pt>
                <c:pt idx="193">
                  <c:v>42361</c:v>
                </c:pt>
                <c:pt idx="194">
                  <c:v>42362</c:v>
                </c:pt>
                <c:pt idx="195">
                  <c:v>42366</c:v>
                </c:pt>
                <c:pt idx="196">
                  <c:v>42367</c:v>
                </c:pt>
                <c:pt idx="197">
                  <c:v>42368</c:v>
                </c:pt>
                <c:pt idx="198">
                  <c:v>42369</c:v>
                </c:pt>
                <c:pt idx="199">
                  <c:v>42373</c:v>
                </c:pt>
                <c:pt idx="200">
                  <c:v>42374</c:v>
                </c:pt>
                <c:pt idx="201">
                  <c:v>42375</c:v>
                </c:pt>
                <c:pt idx="202">
                  <c:v>42376</c:v>
                </c:pt>
                <c:pt idx="203">
                  <c:v>42377</c:v>
                </c:pt>
                <c:pt idx="204">
                  <c:v>42380</c:v>
                </c:pt>
                <c:pt idx="205">
                  <c:v>42381</c:v>
                </c:pt>
                <c:pt idx="206">
                  <c:v>42382</c:v>
                </c:pt>
                <c:pt idx="207">
                  <c:v>42383</c:v>
                </c:pt>
                <c:pt idx="208">
                  <c:v>42384</c:v>
                </c:pt>
                <c:pt idx="209">
                  <c:v>42387</c:v>
                </c:pt>
                <c:pt idx="210">
                  <c:v>42388</c:v>
                </c:pt>
                <c:pt idx="211">
                  <c:v>42389</c:v>
                </c:pt>
                <c:pt idx="212">
                  <c:v>42390</c:v>
                </c:pt>
                <c:pt idx="213">
                  <c:v>42391</c:v>
                </c:pt>
                <c:pt idx="214">
                  <c:v>42394</c:v>
                </c:pt>
                <c:pt idx="215">
                  <c:v>42395</c:v>
                </c:pt>
                <c:pt idx="216">
                  <c:v>42396</c:v>
                </c:pt>
                <c:pt idx="217">
                  <c:v>42397</c:v>
                </c:pt>
                <c:pt idx="218">
                  <c:v>42398</c:v>
                </c:pt>
                <c:pt idx="219">
                  <c:v>42401</c:v>
                </c:pt>
                <c:pt idx="220">
                  <c:v>42402</c:v>
                </c:pt>
                <c:pt idx="221">
                  <c:v>42403</c:v>
                </c:pt>
                <c:pt idx="222">
                  <c:v>42404</c:v>
                </c:pt>
                <c:pt idx="223">
                  <c:v>42405</c:v>
                </c:pt>
                <c:pt idx="224">
                  <c:v>42408</c:v>
                </c:pt>
                <c:pt idx="225">
                  <c:v>42409</c:v>
                </c:pt>
                <c:pt idx="226">
                  <c:v>42410</c:v>
                </c:pt>
                <c:pt idx="227">
                  <c:v>42411</c:v>
                </c:pt>
                <c:pt idx="228">
                  <c:v>42412</c:v>
                </c:pt>
                <c:pt idx="229">
                  <c:v>42415</c:v>
                </c:pt>
                <c:pt idx="230">
                  <c:v>42416</c:v>
                </c:pt>
                <c:pt idx="231">
                  <c:v>42417</c:v>
                </c:pt>
                <c:pt idx="232">
                  <c:v>42418</c:v>
                </c:pt>
                <c:pt idx="233">
                  <c:v>42419</c:v>
                </c:pt>
                <c:pt idx="234">
                  <c:v>42422</c:v>
                </c:pt>
                <c:pt idx="235">
                  <c:v>42423</c:v>
                </c:pt>
                <c:pt idx="236">
                  <c:v>42424</c:v>
                </c:pt>
                <c:pt idx="237">
                  <c:v>42425</c:v>
                </c:pt>
                <c:pt idx="238">
                  <c:v>42426</c:v>
                </c:pt>
                <c:pt idx="239">
                  <c:v>42429</c:v>
                </c:pt>
                <c:pt idx="240">
                  <c:v>42430</c:v>
                </c:pt>
                <c:pt idx="241">
                  <c:v>42431</c:v>
                </c:pt>
                <c:pt idx="242">
                  <c:v>42432</c:v>
                </c:pt>
                <c:pt idx="243">
                  <c:v>42433</c:v>
                </c:pt>
                <c:pt idx="244">
                  <c:v>42436</c:v>
                </c:pt>
                <c:pt idx="245">
                  <c:v>42437</c:v>
                </c:pt>
                <c:pt idx="246">
                  <c:v>42438</c:v>
                </c:pt>
                <c:pt idx="247">
                  <c:v>42439</c:v>
                </c:pt>
                <c:pt idx="248">
                  <c:v>42440</c:v>
                </c:pt>
                <c:pt idx="249">
                  <c:v>42443</c:v>
                </c:pt>
                <c:pt idx="250">
                  <c:v>42444</c:v>
                </c:pt>
                <c:pt idx="251">
                  <c:v>42445</c:v>
                </c:pt>
                <c:pt idx="252">
                  <c:v>42446</c:v>
                </c:pt>
                <c:pt idx="253">
                  <c:v>42447</c:v>
                </c:pt>
                <c:pt idx="254">
                  <c:v>42450</c:v>
                </c:pt>
                <c:pt idx="255">
                  <c:v>42451</c:v>
                </c:pt>
                <c:pt idx="256">
                  <c:v>42452</c:v>
                </c:pt>
                <c:pt idx="257">
                  <c:v>42453</c:v>
                </c:pt>
                <c:pt idx="258">
                  <c:v>42458</c:v>
                </c:pt>
                <c:pt idx="259">
                  <c:v>42459</c:v>
                </c:pt>
                <c:pt idx="260">
                  <c:v>42460</c:v>
                </c:pt>
                <c:pt idx="261">
                  <c:v>42461</c:v>
                </c:pt>
                <c:pt idx="262">
                  <c:v>42464</c:v>
                </c:pt>
                <c:pt idx="263">
                  <c:v>42465</c:v>
                </c:pt>
                <c:pt idx="264">
                  <c:v>42466</c:v>
                </c:pt>
                <c:pt idx="265">
                  <c:v>42467</c:v>
                </c:pt>
                <c:pt idx="266">
                  <c:v>42468</c:v>
                </c:pt>
                <c:pt idx="267">
                  <c:v>42471</c:v>
                </c:pt>
                <c:pt idx="268">
                  <c:v>42472</c:v>
                </c:pt>
                <c:pt idx="269">
                  <c:v>42473</c:v>
                </c:pt>
                <c:pt idx="270">
                  <c:v>42474</c:v>
                </c:pt>
                <c:pt idx="271">
                  <c:v>42475</c:v>
                </c:pt>
                <c:pt idx="272">
                  <c:v>42478</c:v>
                </c:pt>
                <c:pt idx="273">
                  <c:v>42479</c:v>
                </c:pt>
                <c:pt idx="274">
                  <c:v>42480</c:v>
                </c:pt>
                <c:pt idx="275">
                  <c:v>42481</c:v>
                </c:pt>
                <c:pt idx="276">
                  <c:v>42482</c:v>
                </c:pt>
                <c:pt idx="277">
                  <c:v>42485</c:v>
                </c:pt>
                <c:pt idx="278">
                  <c:v>42486</c:v>
                </c:pt>
                <c:pt idx="279">
                  <c:v>42487</c:v>
                </c:pt>
                <c:pt idx="280">
                  <c:v>42488</c:v>
                </c:pt>
                <c:pt idx="281">
                  <c:v>42489</c:v>
                </c:pt>
                <c:pt idx="282">
                  <c:v>42492</c:v>
                </c:pt>
                <c:pt idx="283">
                  <c:v>42493</c:v>
                </c:pt>
                <c:pt idx="284">
                  <c:v>42494</c:v>
                </c:pt>
                <c:pt idx="285">
                  <c:v>42495</c:v>
                </c:pt>
                <c:pt idx="286">
                  <c:v>42496</c:v>
                </c:pt>
                <c:pt idx="287">
                  <c:v>42499</c:v>
                </c:pt>
                <c:pt idx="288">
                  <c:v>42500</c:v>
                </c:pt>
                <c:pt idx="289">
                  <c:v>42501</c:v>
                </c:pt>
                <c:pt idx="290">
                  <c:v>42502</c:v>
                </c:pt>
                <c:pt idx="291">
                  <c:v>42503</c:v>
                </c:pt>
                <c:pt idx="292">
                  <c:v>42506</c:v>
                </c:pt>
                <c:pt idx="293">
                  <c:v>42507</c:v>
                </c:pt>
                <c:pt idx="294">
                  <c:v>42508</c:v>
                </c:pt>
                <c:pt idx="295">
                  <c:v>42509</c:v>
                </c:pt>
                <c:pt idx="296">
                  <c:v>42510</c:v>
                </c:pt>
                <c:pt idx="297">
                  <c:v>42513</c:v>
                </c:pt>
                <c:pt idx="298">
                  <c:v>42514</c:v>
                </c:pt>
                <c:pt idx="299">
                  <c:v>42515</c:v>
                </c:pt>
                <c:pt idx="300">
                  <c:v>42516</c:v>
                </c:pt>
                <c:pt idx="301">
                  <c:v>42517</c:v>
                </c:pt>
                <c:pt idx="302">
                  <c:v>42520</c:v>
                </c:pt>
                <c:pt idx="303">
                  <c:v>42521</c:v>
                </c:pt>
                <c:pt idx="304">
                  <c:v>42522</c:v>
                </c:pt>
                <c:pt idx="305">
                  <c:v>42523</c:v>
                </c:pt>
                <c:pt idx="306">
                  <c:v>42524</c:v>
                </c:pt>
                <c:pt idx="307">
                  <c:v>42527</c:v>
                </c:pt>
                <c:pt idx="308">
                  <c:v>42528</c:v>
                </c:pt>
                <c:pt idx="309">
                  <c:v>42529</c:v>
                </c:pt>
                <c:pt idx="310">
                  <c:v>42530</c:v>
                </c:pt>
                <c:pt idx="311">
                  <c:v>42531</c:v>
                </c:pt>
                <c:pt idx="312">
                  <c:v>42534</c:v>
                </c:pt>
                <c:pt idx="313">
                  <c:v>42535</c:v>
                </c:pt>
                <c:pt idx="314">
                  <c:v>42536</c:v>
                </c:pt>
                <c:pt idx="315">
                  <c:v>42537</c:v>
                </c:pt>
                <c:pt idx="316">
                  <c:v>42538</c:v>
                </c:pt>
                <c:pt idx="317">
                  <c:v>42541</c:v>
                </c:pt>
                <c:pt idx="318">
                  <c:v>42542</c:v>
                </c:pt>
                <c:pt idx="319">
                  <c:v>42543</c:v>
                </c:pt>
                <c:pt idx="320">
                  <c:v>42544</c:v>
                </c:pt>
                <c:pt idx="321">
                  <c:v>42545</c:v>
                </c:pt>
                <c:pt idx="322">
                  <c:v>42548</c:v>
                </c:pt>
                <c:pt idx="323">
                  <c:v>42549</c:v>
                </c:pt>
                <c:pt idx="324">
                  <c:v>42550</c:v>
                </c:pt>
                <c:pt idx="325">
                  <c:v>42551</c:v>
                </c:pt>
                <c:pt idx="326">
                  <c:v>42552</c:v>
                </c:pt>
                <c:pt idx="327">
                  <c:v>42555</c:v>
                </c:pt>
                <c:pt idx="328">
                  <c:v>42556</c:v>
                </c:pt>
                <c:pt idx="329">
                  <c:v>42557</c:v>
                </c:pt>
                <c:pt idx="330">
                  <c:v>42558</c:v>
                </c:pt>
                <c:pt idx="331">
                  <c:v>42559</c:v>
                </c:pt>
                <c:pt idx="332">
                  <c:v>42562</c:v>
                </c:pt>
                <c:pt idx="333">
                  <c:v>42563</c:v>
                </c:pt>
                <c:pt idx="334">
                  <c:v>42564</c:v>
                </c:pt>
                <c:pt idx="335">
                  <c:v>42565</c:v>
                </c:pt>
                <c:pt idx="336">
                  <c:v>42566</c:v>
                </c:pt>
                <c:pt idx="337">
                  <c:v>42569</c:v>
                </c:pt>
                <c:pt idx="338">
                  <c:v>42570</c:v>
                </c:pt>
                <c:pt idx="339">
                  <c:v>42571</c:v>
                </c:pt>
                <c:pt idx="340">
                  <c:v>42572</c:v>
                </c:pt>
                <c:pt idx="341">
                  <c:v>42573</c:v>
                </c:pt>
                <c:pt idx="342">
                  <c:v>42576</c:v>
                </c:pt>
                <c:pt idx="343">
                  <c:v>42577</c:v>
                </c:pt>
                <c:pt idx="344">
                  <c:v>42578</c:v>
                </c:pt>
                <c:pt idx="345">
                  <c:v>42579</c:v>
                </c:pt>
                <c:pt idx="346">
                  <c:v>42580</c:v>
                </c:pt>
                <c:pt idx="347">
                  <c:v>42583</c:v>
                </c:pt>
                <c:pt idx="348">
                  <c:v>42584</c:v>
                </c:pt>
                <c:pt idx="349">
                  <c:v>42585</c:v>
                </c:pt>
                <c:pt idx="350">
                  <c:v>42586</c:v>
                </c:pt>
                <c:pt idx="351">
                  <c:v>42587</c:v>
                </c:pt>
                <c:pt idx="352">
                  <c:v>42590</c:v>
                </c:pt>
                <c:pt idx="353">
                  <c:v>42591</c:v>
                </c:pt>
                <c:pt idx="354">
                  <c:v>42592</c:v>
                </c:pt>
                <c:pt idx="355">
                  <c:v>42593</c:v>
                </c:pt>
                <c:pt idx="356">
                  <c:v>42594</c:v>
                </c:pt>
                <c:pt idx="357">
                  <c:v>42597</c:v>
                </c:pt>
                <c:pt idx="358">
                  <c:v>42598</c:v>
                </c:pt>
                <c:pt idx="359">
                  <c:v>42599</c:v>
                </c:pt>
                <c:pt idx="360">
                  <c:v>42600</c:v>
                </c:pt>
                <c:pt idx="361">
                  <c:v>42601</c:v>
                </c:pt>
                <c:pt idx="362">
                  <c:v>42604</c:v>
                </c:pt>
                <c:pt idx="363">
                  <c:v>42605</c:v>
                </c:pt>
                <c:pt idx="364">
                  <c:v>42606</c:v>
                </c:pt>
                <c:pt idx="365">
                  <c:v>42607</c:v>
                </c:pt>
                <c:pt idx="366">
                  <c:v>42608</c:v>
                </c:pt>
                <c:pt idx="367">
                  <c:v>42611</c:v>
                </c:pt>
                <c:pt idx="368">
                  <c:v>42612</c:v>
                </c:pt>
                <c:pt idx="369">
                  <c:v>42613</c:v>
                </c:pt>
                <c:pt idx="370">
                  <c:v>42614</c:v>
                </c:pt>
                <c:pt idx="371">
                  <c:v>42615</c:v>
                </c:pt>
                <c:pt idx="372">
                  <c:v>42618</c:v>
                </c:pt>
                <c:pt idx="373">
                  <c:v>42619</c:v>
                </c:pt>
                <c:pt idx="374">
                  <c:v>42620</c:v>
                </c:pt>
                <c:pt idx="375">
                  <c:v>42621</c:v>
                </c:pt>
                <c:pt idx="376">
                  <c:v>42622</c:v>
                </c:pt>
                <c:pt idx="377">
                  <c:v>42625</c:v>
                </c:pt>
                <c:pt idx="378">
                  <c:v>42626</c:v>
                </c:pt>
                <c:pt idx="379">
                  <c:v>42627</c:v>
                </c:pt>
                <c:pt idx="380">
                  <c:v>42628</c:v>
                </c:pt>
                <c:pt idx="381">
                  <c:v>42629</c:v>
                </c:pt>
                <c:pt idx="382">
                  <c:v>42632</c:v>
                </c:pt>
                <c:pt idx="383">
                  <c:v>42633</c:v>
                </c:pt>
                <c:pt idx="384">
                  <c:v>42634</c:v>
                </c:pt>
                <c:pt idx="385">
                  <c:v>42635</c:v>
                </c:pt>
                <c:pt idx="386">
                  <c:v>42636</c:v>
                </c:pt>
                <c:pt idx="387">
                  <c:v>42639</c:v>
                </c:pt>
                <c:pt idx="388">
                  <c:v>42640</c:v>
                </c:pt>
                <c:pt idx="389">
                  <c:v>42641</c:v>
                </c:pt>
                <c:pt idx="390">
                  <c:v>42642</c:v>
                </c:pt>
                <c:pt idx="391">
                  <c:v>42643</c:v>
                </c:pt>
                <c:pt idx="392">
                  <c:v>42646</c:v>
                </c:pt>
                <c:pt idx="393">
                  <c:v>42647</c:v>
                </c:pt>
                <c:pt idx="394">
                  <c:v>42648</c:v>
                </c:pt>
                <c:pt idx="395">
                  <c:v>42649</c:v>
                </c:pt>
                <c:pt idx="396">
                  <c:v>42650</c:v>
                </c:pt>
                <c:pt idx="397">
                  <c:v>42653</c:v>
                </c:pt>
                <c:pt idx="398">
                  <c:v>42654</c:v>
                </c:pt>
                <c:pt idx="399">
                  <c:v>42655</c:v>
                </c:pt>
                <c:pt idx="400">
                  <c:v>42656</c:v>
                </c:pt>
                <c:pt idx="401">
                  <c:v>42657</c:v>
                </c:pt>
                <c:pt idx="402">
                  <c:v>42660</c:v>
                </c:pt>
                <c:pt idx="403">
                  <c:v>42661</c:v>
                </c:pt>
                <c:pt idx="404">
                  <c:v>42662</c:v>
                </c:pt>
                <c:pt idx="405">
                  <c:v>42663</c:v>
                </c:pt>
                <c:pt idx="406">
                  <c:v>42664</c:v>
                </c:pt>
                <c:pt idx="407">
                  <c:v>42667</c:v>
                </c:pt>
                <c:pt idx="408">
                  <c:v>42668</c:v>
                </c:pt>
                <c:pt idx="409">
                  <c:v>42669</c:v>
                </c:pt>
                <c:pt idx="410">
                  <c:v>42670</c:v>
                </c:pt>
                <c:pt idx="411">
                  <c:v>42671</c:v>
                </c:pt>
                <c:pt idx="412">
                  <c:v>42674</c:v>
                </c:pt>
                <c:pt idx="413">
                  <c:v>42675</c:v>
                </c:pt>
                <c:pt idx="414">
                  <c:v>42676</c:v>
                </c:pt>
                <c:pt idx="415">
                  <c:v>42677</c:v>
                </c:pt>
                <c:pt idx="416">
                  <c:v>42678</c:v>
                </c:pt>
                <c:pt idx="417">
                  <c:v>42681</c:v>
                </c:pt>
                <c:pt idx="418">
                  <c:v>42682</c:v>
                </c:pt>
                <c:pt idx="419">
                  <c:v>42683</c:v>
                </c:pt>
                <c:pt idx="420">
                  <c:v>42684</c:v>
                </c:pt>
                <c:pt idx="421">
                  <c:v>42685</c:v>
                </c:pt>
                <c:pt idx="422">
                  <c:v>42688</c:v>
                </c:pt>
                <c:pt idx="423">
                  <c:v>42689</c:v>
                </c:pt>
                <c:pt idx="424">
                  <c:v>42690</c:v>
                </c:pt>
                <c:pt idx="425">
                  <c:v>42691</c:v>
                </c:pt>
                <c:pt idx="426">
                  <c:v>42692</c:v>
                </c:pt>
                <c:pt idx="427">
                  <c:v>42695</c:v>
                </c:pt>
                <c:pt idx="428">
                  <c:v>42696</c:v>
                </c:pt>
                <c:pt idx="429">
                  <c:v>42697</c:v>
                </c:pt>
                <c:pt idx="430">
                  <c:v>42698</c:v>
                </c:pt>
                <c:pt idx="431">
                  <c:v>42699</c:v>
                </c:pt>
                <c:pt idx="432">
                  <c:v>42702</c:v>
                </c:pt>
                <c:pt idx="433">
                  <c:v>42703</c:v>
                </c:pt>
                <c:pt idx="434">
                  <c:v>42704</c:v>
                </c:pt>
                <c:pt idx="435">
                  <c:v>42705</c:v>
                </c:pt>
                <c:pt idx="436">
                  <c:v>42706</c:v>
                </c:pt>
                <c:pt idx="437">
                  <c:v>42709</c:v>
                </c:pt>
                <c:pt idx="438">
                  <c:v>42710</c:v>
                </c:pt>
                <c:pt idx="439">
                  <c:v>42711</c:v>
                </c:pt>
                <c:pt idx="440">
                  <c:v>42712</c:v>
                </c:pt>
                <c:pt idx="441">
                  <c:v>42713</c:v>
                </c:pt>
                <c:pt idx="442">
                  <c:v>42716</c:v>
                </c:pt>
                <c:pt idx="443">
                  <c:v>42717</c:v>
                </c:pt>
                <c:pt idx="444">
                  <c:v>42718</c:v>
                </c:pt>
                <c:pt idx="445">
                  <c:v>42719</c:v>
                </c:pt>
                <c:pt idx="446">
                  <c:v>42720</c:v>
                </c:pt>
                <c:pt idx="447">
                  <c:v>42723</c:v>
                </c:pt>
                <c:pt idx="448">
                  <c:v>42724</c:v>
                </c:pt>
                <c:pt idx="449">
                  <c:v>42725</c:v>
                </c:pt>
                <c:pt idx="450">
                  <c:v>42726</c:v>
                </c:pt>
                <c:pt idx="451">
                  <c:v>42727</c:v>
                </c:pt>
                <c:pt idx="452">
                  <c:v>42731</c:v>
                </c:pt>
                <c:pt idx="453">
                  <c:v>42732</c:v>
                </c:pt>
                <c:pt idx="454">
                  <c:v>42733</c:v>
                </c:pt>
                <c:pt idx="455">
                  <c:v>42734</c:v>
                </c:pt>
                <c:pt idx="456">
                  <c:v>42737</c:v>
                </c:pt>
                <c:pt idx="457">
                  <c:v>42738</c:v>
                </c:pt>
                <c:pt idx="458">
                  <c:v>42739</c:v>
                </c:pt>
                <c:pt idx="459">
                  <c:v>42740</c:v>
                </c:pt>
                <c:pt idx="460">
                  <c:v>42741</c:v>
                </c:pt>
                <c:pt idx="461">
                  <c:v>42744</c:v>
                </c:pt>
                <c:pt idx="462">
                  <c:v>42745</c:v>
                </c:pt>
                <c:pt idx="463">
                  <c:v>42746</c:v>
                </c:pt>
                <c:pt idx="464">
                  <c:v>42747</c:v>
                </c:pt>
                <c:pt idx="465">
                  <c:v>42748</c:v>
                </c:pt>
                <c:pt idx="466">
                  <c:v>42751</c:v>
                </c:pt>
                <c:pt idx="467">
                  <c:v>42752</c:v>
                </c:pt>
                <c:pt idx="468">
                  <c:v>42753</c:v>
                </c:pt>
                <c:pt idx="469">
                  <c:v>42754</c:v>
                </c:pt>
                <c:pt idx="470">
                  <c:v>42755</c:v>
                </c:pt>
                <c:pt idx="471">
                  <c:v>42758</c:v>
                </c:pt>
                <c:pt idx="472">
                  <c:v>42759</c:v>
                </c:pt>
                <c:pt idx="473">
                  <c:v>42760</c:v>
                </c:pt>
                <c:pt idx="474">
                  <c:v>42761</c:v>
                </c:pt>
                <c:pt idx="475">
                  <c:v>42762</c:v>
                </c:pt>
                <c:pt idx="476">
                  <c:v>42765</c:v>
                </c:pt>
                <c:pt idx="477">
                  <c:v>42766</c:v>
                </c:pt>
                <c:pt idx="478">
                  <c:v>42767</c:v>
                </c:pt>
                <c:pt idx="479">
                  <c:v>42768</c:v>
                </c:pt>
                <c:pt idx="480">
                  <c:v>42769</c:v>
                </c:pt>
                <c:pt idx="481">
                  <c:v>42772</c:v>
                </c:pt>
                <c:pt idx="482">
                  <c:v>42773</c:v>
                </c:pt>
                <c:pt idx="483">
                  <c:v>42774</c:v>
                </c:pt>
                <c:pt idx="484">
                  <c:v>42775</c:v>
                </c:pt>
                <c:pt idx="485">
                  <c:v>42776</c:v>
                </c:pt>
                <c:pt idx="486">
                  <c:v>42779</c:v>
                </c:pt>
                <c:pt idx="487">
                  <c:v>42780</c:v>
                </c:pt>
                <c:pt idx="488">
                  <c:v>42781</c:v>
                </c:pt>
                <c:pt idx="489">
                  <c:v>42782</c:v>
                </c:pt>
                <c:pt idx="490">
                  <c:v>42783</c:v>
                </c:pt>
                <c:pt idx="491">
                  <c:v>42786</c:v>
                </c:pt>
                <c:pt idx="492">
                  <c:v>42787</c:v>
                </c:pt>
                <c:pt idx="493">
                  <c:v>42788</c:v>
                </c:pt>
                <c:pt idx="494">
                  <c:v>42789</c:v>
                </c:pt>
                <c:pt idx="495">
                  <c:v>42790</c:v>
                </c:pt>
                <c:pt idx="496">
                  <c:v>42793</c:v>
                </c:pt>
                <c:pt idx="497">
                  <c:v>42794</c:v>
                </c:pt>
                <c:pt idx="498">
                  <c:v>42795</c:v>
                </c:pt>
                <c:pt idx="499">
                  <c:v>42796</c:v>
                </c:pt>
                <c:pt idx="500">
                  <c:v>42797</c:v>
                </c:pt>
                <c:pt idx="501">
                  <c:v>42800</c:v>
                </c:pt>
                <c:pt idx="502">
                  <c:v>42801</c:v>
                </c:pt>
                <c:pt idx="503">
                  <c:v>42802</c:v>
                </c:pt>
                <c:pt idx="504">
                  <c:v>42803</c:v>
                </c:pt>
                <c:pt idx="505">
                  <c:v>42804</c:v>
                </c:pt>
                <c:pt idx="506">
                  <c:v>42807</c:v>
                </c:pt>
                <c:pt idx="507">
                  <c:v>42808</c:v>
                </c:pt>
                <c:pt idx="508">
                  <c:v>42809</c:v>
                </c:pt>
                <c:pt idx="509">
                  <c:v>42810</c:v>
                </c:pt>
                <c:pt idx="510">
                  <c:v>42811</c:v>
                </c:pt>
                <c:pt idx="511">
                  <c:v>42814</c:v>
                </c:pt>
                <c:pt idx="512">
                  <c:v>42815</c:v>
                </c:pt>
                <c:pt idx="513">
                  <c:v>42816</c:v>
                </c:pt>
                <c:pt idx="514">
                  <c:v>42817</c:v>
                </c:pt>
                <c:pt idx="515">
                  <c:v>42818</c:v>
                </c:pt>
                <c:pt idx="516">
                  <c:v>42821</c:v>
                </c:pt>
                <c:pt idx="517">
                  <c:v>42822</c:v>
                </c:pt>
                <c:pt idx="518">
                  <c:v>42829</c:v>
                </c:pt>
                <c:pt idx="519">
                  <c:v>42836</c:v>
                </c:pt>
                <c:pt idx="520">
                  <c:v>42845</c:v>
                </c:pt>
                <c:pt idx="521">
                  <c:v>42852</c:v>
                </c:pt>
                <c:pt idx="522">
                  <c:v>42859</c:v>
                </c:pt>
                <c:pt idx="523">
                  <c:v>42866</c:v>
                </c:pt>
                <c:pt idx="524">
                  <c:v>42873</c:v>
                </c:pt>
                <c:pt idx="525">
                  <c:v>42880</c:v>
                </c:pt>
                <c:pt idx="526">
                  <c:v>42887</c:v>
                </c:pt>
                <c:pt idx="527">
                  <c:v>42894</c:v>
                </c:pt>
                <c:pt idx="528">
                  <c:v>42901</c:v>
                </c:pt>
                <c:pt idx="529">
                  <c:v>42908</c:v>
                </c:pt>
                <c:pt idx="530">
                  <c:v>42915</c:v>
                </c:pt>
                <c:pt idx="531">
                  <c:v>42922</c:v>
                </c:pt>
                <c:pt idx="532">
                  <c:v>42929</c:v>
                </c:pt>
                <c:pt idx="533">
                  <c:v>42936</c:v>
                </c:pt>
                <c:pt idx="534">
                  <c:v>42943</c:v>
                </c:pt>
                <c:pt idx="535">
                  <c:v>42950</c:v>
                </c:pt>
                <c:pt idx="536">
                  <c:v>42957</c:v>
                </c:pt>
                <c:pt idx="537">
                  <c:v>42964</c:v>
                </c:pt>
                <c:pt idx="538">
                  <c:v>42971</c:v>
                </c:pt>
                <c:pt idx="539">
                  <c:v>42978</c:v>
                </c:pt>
                <c:pt idx="540">
                  <c:v>42985</c:v>
                </c:pt>
                <c:pt idx="541">
                  <c:v>42992</c:v>
                </c:pt>
                <c:pt idx="542">
                  <c:v>42999</c:v>
                </c:pt>
                <c:pt idx="543">
                  <c:v>43006</c:v>
                </c:pt>
                <c:pt idx="544">
                  <c:v>43013</c:v>
                </c:pt>
                <c:pt idx="545">
                  <c:v>43020</c:v>
                </c:pt>
                <c:pt idx="546">
                  <c:v>43027</c:v>
                </c:pt>
                <c:pt idx="547">
                  <c:v>43034</c:v>
                </c:pt>
                <c:pt idx="548">
                  <c:v>43041</c:v>
                </c:pt>
                <c:pt idx="549">
                  <c:v>43048</c:v>
                </c:pt>
                <c:pt idx="550">
                  <c:v>43055</c:v>
                </c:pt>
                <c:pt idx="551">
                  <c:v>43062</c:v>
                </c:pt>
                <c:pt idx="552">
                  <c:v>43069</c:v>
                </c:pt>
                <c:pt idx="553">
                  <c:v>43076</c:v>
                </c:pt>
                <c:pt idx="554">
                  <c:v>43083</c:v>
                </c:pt>
                <c:pt idx="555">
                  <c:v>43090</c:v>
                </c:pt>
                <c:pt idx="556">
                  <c:v>43098</c:v>
                </c:pt>
                <c:pt idx="557">
                  <c:v>43105</c:v>
                </c:pt>
                <c:pt idx="558">
                  <c:v>43112</c:v>
                </c:pt>
                <c:pt idx="559">
                  <c:v>43119</c:v>
                </c:pt>
                <c:pt idx="560">
                  <c:v>43126</c:v>
                </c:pt>
                <c:pt idx="561">
                  <c:v>43133</c:v>
                </c:pt>
                <c:pt idx="562">
                  <c:v>43140</c:v>
                </c:pt>
                <c:pt idx="563">
                  <c:v>43147</c:v>
                </c:pt>
                <c:pt idx="564">
                  <c:v>43154</c:v>
                </c:pt>
                <c:pt idx="565">
                  <c:v>43161</c:v>
                </c:pt>
                <c:pt idx="566">
                  <c:v>43168</c:v>
                </c:pt>
                <c:pt idx="567">
                  <c:v>43175</c:v>
                </c:pt>
                <c:pt idx="568">
                  <c:v>43182</c:v>
                </c:pt>
                <c:pt idx="569">
                  <c:v>43193</c:v>
                </c:pt>
                <c:pt idx="570">
                  <c:v>43196</c:v>
                </c:pt>
                <c:pt idx="571">
                  <c:v>43203</c:v>
                </c:pt>
                <c:pt idx="572">
                  <c:v>43210</c:v>
                </c:pt>
                <c:pt idx="573">
                  <c:v>43217</c:v>
                </c:pt>
                <c:pt idx="574">
                  <c:v>43224</c:v>
                </c:pt>
                <c:pt idx="575">
                  <c:v>43231</c:v>
                </c:pt>
                <c:pt idx="576">
                  <c:v>43238</c:v>
                </c:pt>
                <c:pt idx="577">
                  <c:v>43245</c:v>
                </c:pt>
                <c:pt idx="578">
                  <c:v>43252</c:v>
                </c:pt>
                <c:pt idx="579">
                  <c:v>43259</c:v>
                </c:pt>
                <c:pt idx="580">
                  <c:v>43266</c:v>
                </c:pt>
                <c:pt idx="581">
                  <c:v>43273</c:v>
                </c:pt>
                <c:pt idx="582">
                  <c:v>43280</c:v>
                </c:pt>
                <c:pt idx="583">
                  <c:v>43287</c:v>
                </c:pt>
                <c:pt idx="584">
                  <c:v>43294</c:v>
                </c:pt>
                <c:pt idx="585">
                  <c:v>43301</c:v>
                </c:pt>
                <c:pt idx="586">
                  <c:v>43308</c:v>
                </c:pt>
                <c:pt idx="587">
                  <c:v>43315</c:v>
                </c:pt>
                <c:pt idx="588">
                  <c:v>43322</c:v>
                </c:pt>
                <c:pt idx="589">
                  <c:v>43329</c:v>
                </c:pt>
                <c:pt idx="590">
                  <c:v>43336</c:v>
                </c:pt>
                <c:pt idx="591">
                  <c:v>43343</c:v>
                </c:pt>
                <c:pt idx="592">
                  <c:v>43350</c:v>
                </c:pt>
                <c:pt idx="593">
                  <c:v>43357</c:v>
                </c:pt>
                <c:pt idx="594">
                  <c:v>43364</c:v>
                </c:pt>
                <c:pt idx="595">
                  <c:v>43371</c:v>
                </c:pt>
                <c:pt idx="596">
                  <c:v>43378</c:v>
                </c:pt>
                <c:pt idx="597">
                  <c:v>43385</c:v>
                </c:pt>
                <c:pt idx="598">
                  <c:v>43392</c:v>
                </c:pt>
                <c:pt idx="599">
                  <c:v>43399</c:v>
                </c:pt>
                <c:pt idx="600">
                  <c:v>43406</c:v>
                </c:pt>
                <c:pt idx="601">
                  <c:v>43413</c:v>
                </c:pt>
                <c:pt idx="602">
                  <c:v>43420</c:v>
                </c:pt>
                <c:pt idx="603">
                  <c:v>43427</c:v>
                </c:pt>
                <c:pt idx="604">
                  <c:v>43434</c:v>
                </c:pt>
                <c:pt idx="605">
                  <c:v>43441</c:v>
                </c:pt>
                <c:pt idx="606">
                  <c:v>43448</c:v>
                </c:pt>
                <c:pt idx="607">
                  <c:v>43455</c:v>
                </c:pt>
                <c:pt idx="608">
                  <c:v>43465</c:v>
                </c:pt>
                <c:pt idx="609">
                  <c:v>43472</c:v>
                </c:pt>
                <c:pt idx="610">
                  <c:v>43479</c:v>
                </c:pt>
                <c:pt idx="611">
                  <c:v>43486</c:v>
                </c:pt>
                <c:pt idx="612">
                  <c:v>43493</c:v>
                </c:pt>
                <c:pt idx="613">
                  <c:v>43500</c:v>
                </c:pt>
                <c:pt idx="614">
                  <c:v>43507</c:v>
                </c:pt>
                <c:pt idx="615">
                  <c:v>43514</c:v>
                </c:pt>
                <c:pt idx="616">
                  <c:v>43521</c:v>
                </c:pt>
                <c:pt idx="617">
                  <c:v>43528</c:v>
                </c:pt>
                <c:pt idx="618">
                  <c:v>43535</c:v>
                </c:pt>
                <c:pt idx="619">
                  <c:v>43542</c:v>
                </c:pt>
                <c:pt idx="620">
                  <c:v>43549</c:v>
                </c:pt>
                <c:pt idx="621">
                  <c:v>43556</c:v>
                </c:pt>
                <c:pt idx="622">
                  <c:v>43563</c:v>
                </c:pt>
                <c:pt idx="623">
                  <c:v>43570</c:v>
                </c:pt>
                <c:pt idx="624">
                  <c:v>43579</c:v>
                </c:pt>
                <c:pt idx="625">
                  <c:v>43584</c:v>
                </c:pt>
                <c:pt idx="626">
                  <c:v>43591</c:v>
                </c:pt>
                <c:pt idx="627">
                  <c:v>43598</c:v>
                </c:pt>
                <c:pt idx="628">
                  <c:v>43605</c:v>
                </c:pt>
                <c:pt idx="629">
                  <c:v>43612</c:v>
                </c:pt>
                <c:pt idx="630">
                  <c:v>43619</c:v>
                </c:pt>
                <c:pt idx="631">
                  <c:v>43626</c:v>
                </c:pt>
                <c:pt idx="632">
                  <c:v>43633</c:v>
                </c:pt>
                <c:pt idx="633">
                  <c:v>43640</c:v>
                </c:pt>
                <c:pt idx="634">
                  <c:v>43647</c:v>
                </c:pt>
                <c:pt idx="635">
                  <c:v>43654</c:v>
                </c:pt>
                <c:pt idx="636">
                  <c:v>43661</c:v>
                </c:pt>
                <c:pt idx="637">
                  <c:v>43668</c:v>
                </c:pt>
                <c:pt idx="638">
                  <c:v>43675</c:v>
                </c:pt>
                <c:pt idx="639">
                  <c:v>43682</c:v>
                </c:pt>
                <c:pt idx="640">
                  <c:v>43689</c:v>
                </c:pt>
                <c:pt idx="641">
                  <c:v>43696</c:v>
                </c:pt>
                <c:pt idx="642">
                  <c:v>43703</c:v>
                </c:pt>
                <c:pt idx="643">
                  <c:v>43710</c:v>
                </c:pt>
                <c:pt idx="644">
                  <c:v>43717</c:v>
                </c:pt>
                <c:pt idx="645">
                  <c:v>43724</c:v>
                </c:pt>
                <c:pt idx="646">
                  <c:v>43731</c:v>
                </c:pt>
                <c:pt idx="647">
                  <c:v>43738</c:v>
                </c:pt>
                <c:pt idx="648">
                  <c:v>43745</c:v>
                </c:pt>
                <c:pt idx="649">
                  <c:v>43752</c:v>
                </c:pt>
                <c:pt idx="650">
                  <c:v>43759</c:v>
                </c:pt>
                <c:pt idx="651">
                  <c:v>43766</c:v>
                </c:pt>
                <c:pt idx="652">
                  <c:v>43773</c:v>
                </c:pt>
                <c:pt idx="653">
                  <c:v>43780</c:v>
                </c:pt>
                <c:pt idx="654">
                  <c:v>43787</c:v>
                </c:pt>
                <c:pt idx="655">
                  <c:v>43794</c:v>
                </c:pt>
                <c:pt idx="656">
                  <c:v>43801</c:v>
                </c:pt>
                <c:pt idx="657">
                  <c:v>43808</c:v>
                </c:pt>
                <c:pt idx="658">
                  <c:v>43815</c:v>
                </c:pt>
                <c:pt idx="659">
                  <c:v>43822</c:v>
                </c:pt>
                <c:pt idx="660">
                  <c:v>43830</c:v>
                </c:pt>
                <c:pt idx="661">
                  <c:v>43837</c:v>
                </c:pt>
                <c:pt idx="662">
                  <c:v>43844</c:v>
                </c:pt>
                <c:pt idx="663">
                  <c:v>43851</c:v>
                </c:pt>
                <c:pt idx="664">
                  <c:v>43858</c:v>
                </c:pt>
                <c:pt idx="665">
                  <c:v>43865</c:v>
                </c:pt>
                <c:pt idx="666">
                  <c:v>43872</c:v>
                </c:pt>
                <c:pt idx="667">
                  <c:v>43879</c:v>
                </c:pt>
                <c:pt idx="668">
                  <c:v>43886</c:v>
                </c:pt>
                <c:pt idx="669">
                  <c:v>43893</c:v>
                </c:pt>
                <c:pt idx="670">
                  <c:v>43900</c:v>
                </c:pt>
                <c:pt idx="671">
                  <c:v>43907</c:v>
                </c:pt>
                <c:pt idx="672">
                  <c:v>43914</c:v>
                </c:pt>
                <c:pt idx="673">
                  <c:v>43921</c:v>
                </c:pt>
                <c:pt idx="674">
                  <c:v>43928</c:v>
                </c:pt>
                <c:pt idx="675">
                  <c:v>43937</c:v>
                </c:pt>
                <c:pt idx="676">
                  <c:v>43944</c:v>
                </c:pt>
                <c:pt idx="677">
                  <c:v>43951</c:v>
                </c:pt>
                <c:pt idx="678">
                  <c:v>43958</c:v>
                </c:pt>
                <c:pt idx="679">
                  <c:v>43965</c:v>
                </c:pt>
                <c:pt idx="680">
                  <c:v>43972</c:v>
                </c:pt>
                <c:pt idx="681">
                  <c:v>43979</c:v>
                </c:pt>
                <c:pt idx="682">
                  <c:v>43986</c:v>
                </c:pt>
                <c:pt idx="683">
                  <c:v>43993</c:v>
                </c:pt>
                <c:pt idx="684">
                  <c:v>44000</c:v>
                </c:pt>
                <c:pt idx="685">
                  <c:v>44007</c:v>
                </c:pt>
                <c:pt idx="686">
                  <c:v>44014</c:v>
                </c:pt>
                <c:pt idx="687">
                  <c:v>44021</c:v>
                </c:pt>
                <c:pt idx="688">
                  <c:v>44028</c:v>
                </c:pt>
                <c:pt idx="689">
                  <c:v>44035</c:v>
                </c:pt>
                <c:pt idx="690">
                  <c:v>44042</c:v>
                </c:pt>
                <c:pt idx="691">
                  <c:v>44049</c:v>
                </c:pt>
                <c:pt idx="692">
                  <c:v>44056</c:v>
                </c:pt>
                <c:pt idx="693">
                  <c:v>44063</c:v>
                </c:pt>
                <c:pt idx="694">
                  <c:v>44070</c:v>
                </c:pt>
                <c:pt idx="695">
                  <c:v>44077</c:v>
                </c:pt>
                <c:pt idx="696">
                  <c:v>44084</c:v>
                </c:pt>
                <c:pt idx="697">
                  <c:v>44091</c:v>
                </c:pt>
                <c:pt idx="698">
                  <c:v>44098</c:v>
                </c:pt>
                <c:pt idx="699">
                  <c:v>44105</c:v>
                </c:pt>
                <c:pt idx="700">
                  <c:v>44112</c:v>
                </c:pt>
                <c:pt idx="701">
                  <c:v>44119</c:v>
                </c:pt>
                <c:pt idx="702">
                  <c:v>44126</c:v>
                </c:pt>
                <c:pt idx="703">
                  <c:v>44133</c:v>
                </c:pt>
                <c:pt idx="704">
                  <c:v>44140</c:v>
                </c:pt>
                <c:pt idx="705">
                  <c:v>44147</c:v>
                </c:pt>
                <c:pt idx="706">
                  <c:v>44154</c:v>
                </c:pt>
                <c:pt idx="707">
                  <c:v>44161</c:v>
                </c:pt>
                <c:pt idx="708">
                  <c:v>44168</c:v>
                </c:pt>
                <c:pt idx="709">
                  <c:v>44175</c:v>
                </c:pt>
                <c:pt idx="710">
                  <c:v>44182</c:v>
                </c:pt>
                <c:pt idx="711">
                  <c:v>44189</c:v>
                </c:pt>
                <c:pt idx="712">
                  <c:v>44196</c:v>
                </c:pt>
                <c:pt idx="713">
                  <c:v>44203</c:v>
                </c:pt>
                <c:pt idx="714">
                  <c:v>44210</c:v>
                </c:pt>
                <c:pt idx="715">
                  <c:v>44217</c:v>
                </c:pt>
                <c:pt idx="716">
                  <c:v>44224</c:v>
                </c:pt>
                <c:pt idx="717">
                  <c:v>44231</c:v>
                </c:pt>
                <c:pt idx="718">
                  <c:v>44238</c:v>
                </c:pt>
                <c:pt idx="719">
                  <c:v>44245</c:v>
                </c:pt>
                <c:pt idx="720">
                  <c:v>44252</c:v>
                </c:pt>
                <c:pt idx="721">
                  <c:v>44259</c:v>
                </c:pt>
                <c:pt idx="722">
                  <c:v>44266</c:v>
                </c:pt>
                <c:pt idx="723">
                  <c:v>44273</c:v>
                </c:pt>
                <c:pt idx="724">
                  <c:v>44280</c:v>
                </c:pt>
                <c:pt idx="725">
                  <c:v>44287</c:v>
                </c:pt>
                <c:pt idx="726">
                  <c:v>44294</c:v>
                </c:pt>
                <c:pt idx="727">
                  <c:v>44301</c:v>
                </c:pt>
                <c:pt idx="728">
                  <c:v>44308</c:v>
                </c:pt>
                <c:pt idx="729">
                  <c:v>44315</c:v>
                </c:pt>
                <c:pt idx="730">
                  <c:v>44322</c:v>
                </c:pt>
                <c:pt idx="731">
                  <c:v>44329</c:v>
                </c:pt>
                <c:pt idx="732">
                  <c:v>44336</c:v>
                </c:pt>
                <c:pt idx="733">
                  <c:v>44343</c:v>
                </c:pt>
                <c:pt idx="734">
                  <c:v>44350</c:v>
                </c:pt>
                <c:pt idx="735">
                  <c:v>44357</c:v>
                </c:pt>
                <c:pt idx="736">
                  <c:v>44364</c:v>
                </c:pt>
                <c:pt idx="737">
                  <c:v>44371</c:v>
                </c:pt>
                <c:pt idx="738">
                  <c:v>44378</c:v>
                </c:pt>
                <c:pt idx="739">
                  <c:v>44385</c:v>
                </c:pt>
                <c:pt idx="740">
                  <c:v>44392</c:v>
                </c:pt>
                <c:pt idx="741">
                  <c:v>44399</c:v>
                </c:pt>
                <c:pt idx="742">
                  <c:v>44406</c:v>
                </c:pt>
                <c:pt idx="743">
                  <c:v>44413</c:v>
                </c:pt>
                <c:pt idx="744">
                  <c:v>44420</c:v>
                </c:pt>
                <c:pt idx="745">
                  <c:v>44427</c:v>
                </c:pt>
                <c:pt idx="746">
                  <c:v>44434</c:v>
                </c:pt>
                <c:pt idx="747">
                  <c:v>44441</c:v>
                </c:pt>
                <c:pt idx="748">
                  <c:v>44448</c:v>
                </c:pt>
                <c:pt idx="749">
                  <c:v>44455</c:v>
                </c:pt>
                <c:pt idx="750">
                  <c:v>44462</c:v>
                </c:pt>
                <c:pt idx="751">
                  <c:v>44469</c:v>
                </c:pt>
                <c:pt idx="752">
                  <c:v>44476</c:v>
                </c:pt>
                <c:pt idx="753">
                  <c:v>44483</c:v>
                </c:pt>
                <c:pt idx="754">
                  <c:v>44490</c:v>
                </c:pt>
                <c:pt idx="755">
                  <c:v>44497</c:v>
                </c:pt>
                <c:pt idx="756">
                  <c:v>44504</c:v>
                </c:pt>
                <c:pt idx="757">
                  <c:v>44511</c:v>
                </c:pt>
                <c:pt idx="758">
                  <c:v>44518</c:v>
                </c:pt>
                <c:pt idx="759">
                  <c:v>44525</c:v>
                </c:pt>
                <c:pt idx="760">
                  <c:v>44532</c:v>
                </c:pt>
                <c:pt idx="761">
                  <c:v>44539</c:v>
                </c:pt>
                <c:pt idx="762">
                  <c:v>44546</c:v>
                </c:pt>
                <c:pt idx="763">
                  <c:v>44553</c:v>
                </c:pt>
                <c:pt idx="764">
                  <c:v>44560</c:v>
                </c:pt>
                <c:pt idx="765">
                  <c:v>44567</c:v>
                </c:pt>
                <c:pt idx="766">
                  <c:v>44574</c:v>
                </c:pt>
                <c:pt idx="767">
                  <c:v>44581</c:v>
                </c:pt>
                <c:pt idx="768">
                  <c:v>44588</c:v>
                </c:pt>
                <c:pt idx="769">
                  <c:v>44595</c:v>
                </c:pt>
                <c:pt idx="770">
                  <c:v>44602</c:v>
                </c:pt>
                <c:pt idx="771">
                  <c:v>44609</c:v>
                </c:pt>
                <c:pt idx="772">
                  <c:v>44616</c:v>
                </c:pt>
                <c:pt idx="773">
                  <c:v>44623</c:v>
                </c:pt>
                <c:pt idx="774">
                  <c:v>44630</c:v>
                </c:pt>
                <c:pt idx="775">
                  <c:v>44637</c:v>
                </c:pt>
                <c:pt idx="776">
                  <c:v>44644</c:v>
                </c:pt>
                <c:pt idx="777">
                  <c:v>44651</c:v>
                </c:pt>
                <c:pt idx="778">
                  <c:v>44658</c:v>
                </c:pt>
                <c:pt idx="779">
                  <c:v>44665</c:v>
                </c:pt>
                <c:pt idx="780">
                  <c:v>44672</c:v>
                </c:pt>
                <c:pt idx="781">
                  <c:v>44679</c:v>
                </c:pt>
                <c:pt idx="782">
                  <c:v>44686</c:v>
                </c:pt>
                <c:pt idx="783">
                  <c:v>44693</c:v>
                </c:pt>
                <c:pt idx="784">
                  <c:v>44700</c:v>
                </c:pt>
                <c:pt idx="785">
                  <c:v>44707</c:v>
                </c:pt>
                <c:pt idx="786">
                  <c:v>44714</c:v>
                </c:pt>
                <c:pt idx="787">
                  <c:v>44721</c:v>
                </c:pt>
                <c:pt idx="788">
                  <c:v>44728</c:v>
                </c:pt>
                <c:pt idx="789">
                  <c:v>44735</c:v>
                </c:pt>
                <c:pt idx="790">
                  <c:v>44742</c:v>
                </c:pt>
                <c:pt idx="791">
                  <c:v>44749</c:v>
                </c:pt>
                <c:pt idx="792">
                  <c:v>44756</c:v>
                </c:pt>
                <c:pt idx="793">
                  <c:v>44763</c:v>
                </c:pt>
                <c:pt idx="794">
                  <c:v>44770</c:v>
                </c:pt>
                <c:pt idx="795">
                  <c:v>44777</c:v>
                </c:pt>
                <c:pt idx="796">
                  <c:v>44784</c:v>
                </c:pt>
                <c:pt idx="797">
                  <c:v>44791</c:v>
                </c:pt>
                <c:pt idx="798">
                  <c:v>44798</c:v>
                </c:pt>
                <c:pt idx="799">
                  <c:v>44805</c:v>
                </c:pt>
                <c:pt idx="800">
                  <c:v>44812</c:v>
                </c:pt>
                <c:pt idx="801">
                  <c:v>44819</c:v>
                </c:pt>
                <c:pt idx="802">
                  <c:v>44826</c:v>
                </c:pt>
                <c:pt idx="803">
                  <c:v>44833</c:v>
                </c:pt>
                <c:pt idx="804">
                  <c:v>44840</c:v>
                </c:pt>
                <c:pt idx="805">
                  <c:v>44847</c:v>
                </c:pt>
                <c:pt idx="806">
                  <c:v>44854</c:v>
                </c:pt>
                <c:pt idx="807">
                  <c:v>44861</c:v>
                </c:pt>
                <c:pt idx="808">
                  <c:v>44868</c:v>
                </c:pt>
                <c:pt idx="809">
                  <c:v>44875</c:v>
                </c:pt>
                <c:pt idx="810">
                  <c:v>44882</c:v>
                </c:pt>
                <c:pt idx="811">
                  <c:v>44889</c:v>
                </c:pt>
                <c:pt idx="812">
                  <c:v>44896</c:v>
                </c:pt>
                <c:pt idx="813">
                  <c:v>44903</c:v>
                </c:pt>
                <c:pt idx="814">
                  <c:v>44910</c:v>
                </c:pt>
                <c:pt idx="815">
                  <c:v>44917</c:v>
                </c:pt>
                <c:pt idx="816">
                  <c:v>44924</c:v>
                </c:pt>
                <c:pt idx="817">
                  <c:v>44931</c:v>
                </c:pt>
                <c:pt idx="818">
                  <c:v>44938</c:v>
                </c:pt>
                <c:pt idx="819">
                  <c:v>44945</c:v>
                </c:pt>
                <c:pt idx="820">
                  <c:v>44952</c:v>
                </c:pt>
                <c:pt idx="821">
                  <c:v>44959</c:v>
                </c:pt>
                <c:pt idx="822">
                  <c:v>44966</c:v>
                </c:pt>
                <c:pt idx="823">
                  <c:v>44973</c:v>
                </c:pt>
                <c:pt idx="824">
                  <c:v>44980</c:v>
                </c:pt>
                <c:pt idx="825">
                  <c:v>44987</c:v>
                </c:pt>
                <c:pt idx="826">
                  <c:v>44994</c:v>
                </c:pt>
                <c:pt idx="827">
                  <c:v>45001</c:v>
                </c:pt>
                <c:pt idx="828">
                  <c:v>45008</c:v>
                </c:pt>
                <c:pt idx="829">
                  <c:v>45015</c:v>
                </c:pt>
                <c:pt idx="830">
                  <c:v>45022</c:v>
                </c:pt>
                <c:pt idx="831">
                  <c:v>45029</c:v>
                </c:pt>
                <c:pt idx="832">
                  <c:v>45036</c:v>
                </c:pt>
                <c:pt idx="833">
                  <c:v>45043</c:v>
                </c:pt>
                <c:pt idx="834">
                  <c:v>45050</c:v>
                </c:pt>
                <c:pt idx="835">
                  <c:v>45057</c:v>
                </c:pt>
                <c:pt idx="836">
                  <c:v>45064</c:v>
                </c:pt>
                <c:pt idx="837">
                  <c:v>45071</c:v>
                </c:pt>
                <c:pt idx="838">
                  <c:v>45078</c:v>
                </c:pt>
                <c:pt idx="839">
                  <c:v>45085</c:v>
                </c:pt>
                <c:pt idx="840">
                  <c:v>45092</c:v>
                </c:pt>
                <c:pt idx="841">
                  <c:v>45099</c:v>
                </c:pt>
                <c:pt idx="842">
                  <c:v>45106</c:v>
                </c:pt>
                <c:pt idx="843">
                  <c:v>45113</c:v>
                </c:pt>
                <c:pt idx="844">
                  <c:v>45120</c:v>
                </c:pt>
                <c:pt idx="845">
                  <c:v>45127</c:v>
                </c:pt>
                <c:pt idx="846">
                  <c:v>45134</c:v>
                </c:pt>
                <c:pt idx="847">
                  <c:v>45141</c:v>
                </c:pt>
                <c:pt idx="848">
                  <c:v>45148</c:v>
                </c:pt>
                <c:pt idx="849">
                  <c:v>45155</c:v>
                </c:pt>
                <c:pt idx="850">
                  <c:v>45162</c:v>
                </c:pt>
                <c:pt idx="851">
                  <c:v>45169</c:v>
                </c:pt>
                <c:pt idx="852">
                  <c:v>45176</c:v>
                </c:pt>
                <c:pt idx="853">
                  <c:v>45183</c:v>
                </c:pt>
                <c:pt idx="854">
                  <c:v>45190</c:v>
                </c:pt>
                <c:pt idx="855">
                  <c:v>45197</c:v>
                </c:pt>
                <c:pt idx="856">
                  <c:v>45204</c:v>
                </c:pt>
                <c:pt idx="857">
                  <c:v>45211</c:v>
                </c:pt>
                <c:pt idx="858">
                  <c:v>45218</c:v>
                </c:pt>
                <c:pt idx="859">
                  <c:v>45225</c:v>
                </c:pt>
                <c:pt idx="860">
                  <c:v>45232</c:v>
                </c:pt>
                <c:pt idx="861">
                  <c:v>45239</c:v>
                </c:pt>
                <c:pt idx="862">
                  <c:v>45246</c:v>
                </c:pt>
                <c:pt idx="863">
                  <c:v>45253</c:v>
                </c:pt>
                <c:pt idx="864">
                  <c:v>45260</c:v>
                </c:pt>
                <c:pt idx="865">
                  <c:v>45267</c:v>
                </c:pt>
                <c:pt idx="866">
                  <c:v>45274</c:v>
                </c:pt>
                <c:pt idx="867">
                  <c:v>45281</c:v>
                </c:pt>
                <c:pt idx="868">
                  <c:v>45289</c:v>
                </c:pt>
                <c:pt idx="869">
                  <c:v>45296</c:v>
                </c:pt>
                <c:pt idx="870">
                  <c:v>45303</c:v>
                </c:pt>
                <c:pt idx="871">
                  <c:v>45310</c:v>
                </c:pt>
                <c:pt idx="872">
                  <c:v>45317</c:v>
                </c:pt>
                <c:pt idx="873">
                  <c:v>45324</c:v>
                </c:pt>
                <c:pt idx="874">
                  <c:v>45331</c:v>
                </c:pt>
                <c:pt idx="875">
                  <c:v>45338</c:v>
                </c:pt>
                <c:pt idx="876">
                  <c:v>45345</c:v>
                </c:pt>
                <c:pt idx="877">
                  <c:v>45352</c:v>
                </c:pt>
                <c:pt idx="878">
                  <c:v>45359</c:v>
                </c:pt>
                <c:pt idx="879">
                  <c:v>45366</c:v>
                </c:pt>
                <c:pt idx="880">
                  <c:v>45373</c:v>
                </c:pt>
                <c:pt idx="881">
                  <c:v>45384</c:v>
                </c:pt>
                <c:pt idx="882">
                  <c:v>45387</c:v>
                </c:pt>
                <c:pt idx="883">
                  <c:v>45394</c:v>
                </c:pt>
                <c:pt idx="884">
                  <c:v>45401</c:v>
                </c:pt>
                <c:pt idx="885">
                  <c:v>45408</c:v>
                </c:pt>
                <c:pt idx="886">
                  <c:v>45418</c:v>
                </c:pt>
                <c:pt idx="887">
                  <c:v>45425</c:v>
                </c:pt>
                <c:pt idx="888">
                  <c:v>45432</c:v>
                </c:pt>
                <c:pt idx="889">
                  <c:v>45439</c:v>
                </c:pt>
                <c:pt idx="890">
                  <c:v>45446</c:v>
                </c:pt>
                <c:pt idx="891">
                  <c:v>45453</c:v>
                </c:pt>
                <c:pt idx="892">
                  <c:v>45460</c:v>
                </c:pt>
                <c:pt idx="893">
                  <c:v>45467</c:v>
                </c:pt>
                <c:pt idx="894">
                  <c:v>45474</c:v>
                </c:pt>
                <c:pt idx="895">
                  <c:v>45481</c:v>
                </c:pt>
                <c:pt idx="896">
                  <c:v>45488</c:v>
                </c:pt>
                <c:pt idx="897">
                  <c:v>45495</c:v>
                </c:pt>
                <c:pt idx="898">
                  <c:v>45502</c:v>
                </c:pt>
                <c:pt idx="899">
                  <c:v>45509</c:v>
                </c:pt>
                <c:pt idx="900">
                  <c:v>45516</c:v>
                </c:pt>
                <c:pt idx="901">
                  <c:v>45523</c:v>
                </c:pt>
                <c:pt idx="902">
                  <c:v>45530</c:v>
                </c:pt>
                <c:pt idx="903">
                  <c:v>45537</c:v>
                </c:pt>
                <c:pt idx="904">
                  <c:v>45544</c:v>
                </c:pt>
                <c:pt idx="905">
                  <c:v>45551</c:v>
                </c:pt>
                <c:pt idx="906">
                  <c:v>45558</c:v>
                </c:pt>
                <c:pt idx="907">
                  <c:v>45565</c:v>
                </c:pt>
                <c:pt idx="908">
                  <c:v>45572</c:v>
                </c:pt>
                <c:pt idx="909">
                  <c:v>45579</c:v>
                </c:pt>
                <c:pt idx="910">
                  <c:v>45586</c:v>
                </c:pt>
                <c:pt idx="911">
                  <c:v>45593</c:v>
                </c:pt>
                <c:pt idx="912">
                  <c:v>45600</c:v>
                </c:pt>
                <c:pt idx="913">
                  <c:v>45607</c:v>
                </c:pt>
                <c:pt idx="914">
                  <c:v>45614</c:v>
                </c:pt>
                <c:pt idx="915">
                  <c:v>45621</c:v>
                </c:pt>
                <c:pt idx="916">
                  <c:v>45628</c:v>
                </c:pt>
                <c:pt idx="917">
                  <c:v>45635</c:v>
                </c:pt>
                <c:pt idx="918">
                  <c:v>45642</c:v>
                </c:pt>
                <c:pt idx="919">
                  <c:v>45649</c:v>
                </c:pt>
                <c:pt idx="920">
                  <c:v>45657</c:v>
                </c:pt>
                <c:pt idx="921">
                  <c:v>45664</c:v>
                </c:pt>
                <c:pt idx="922">
                  <c:v>45671</c:v>
                </c:pt>
                <c:pt idx="923">
                  <c:v>45678</c:v>
                </c:pt>
                <c:pt idx="924">
                  <c:v>45685</c:v>
                </c:pt>
                <c:pt idx="925">
                  <c:v>45692</c:v>
                </c:pt>
                <c:pt idx="926">
                  <c:v>45699</c:v>
                </c:pt>
                <c:pt idx="927">
                  <c:v>45706</c:v>
                </c:pt>
                <c:pt idx="928">
                  <c:v>45713</c:v>
                </c:pt>
                <c:pt idx="929">
                  <c:v>45720</c:v>
                </c:pt>
                <c:pt idx="930">
                  <c:v>45727</c:v>
                </c:pt>
                <c:pt idx="931">
                  <c:v>45734</c:v>
                </c:pt>
                <c:pt idx="932">
                  <c:v>45741</c:v>
                </c:pt>
                <c:pt idx="933">
                  <c:v>45748</c:v>
                </c:pt>
                <c:pt idx="934">
                  <c:v>45755</c:v>
                </c:pt>
                <c:pt idx="935">
                  <c:v>45762</c:v>
                </c:pt>
                <c:pt idx="936">
                  <c:v>45771</c:v>
                </c:pt>
                <c:pt idx="937">
                  <c:v>45779</c:v>
                </c:pt>
                <c:pt idx="938">
                  <c:v>45785</c:v>
                </c:pt>
                <c:pt idx="939">
                  <c:v>45792</c:v>
                </c:pt>
                <c:pt idx="940">
                  <c:v>45799</c:v>
                </c:pt>
                <c:pt idx="941">
                  <c:v>45806</c:v>
                </c:pt>
                <c:pt idx="942">
                  <c:v>45813</c:v>
                </c:pt>
                <c:pt idx="943">
                  <c:v>45820</c:v>
                </c:pt>
                <c:pt idx="944">
                  <c:v>45827</c:v>
                </c:pt>
                <c:pt idx="945">
                  <c:v>45834</c:v>
                </c:pt>
                <c:pt idx="946">
                  <c:v>45841</c:v>
                </c:pt>
                <c:pt idx="947">
                  <c:v>45848</c:v>
                </c:pt>
                <c:pt idx="948">
                  <c:v>45855</c:v>
                </c:pt>
                <c:pt idx="949">
                  <c:v>45862</c:v>
                </c:pt>
                <c:pt idx="950">
                  <c:v>45869</c:v>
                </c:pt>
                <c:pt idx="951">
                  <c:v>45876</c:v>
                </c:pt>
                <c:pt idx="952">
                  <c:v>45883</c:v>
                </c:pt>
                <c:pt idx="953">
                  <c:v>45890</c:v>
                </c:pt>
                <c:pt idx="954">
                  <c:v>45897</c:v>
                </c:pt>
                <c:pt idx="955">
                  <c:v>45904</c:v>
                </c:pt>
                <c:pt idx="956">
                  <c:v>45911</c:v>
                </c:pt>
                <c:pt idx="957">
                  <c:v>45918</c:v>
                </c:pt>
                <c:pt idx="958">
                  <c:v>45925</c:v>
                </c:pt>
                <c:pt idx="959">
                  <c:v>45932</c:v>
                </c:pt>
                <c:pt idx="960">
                  <c:v>45939</c:v>
                </c:pt>
                <c:pt idx="961">
                  <c:v>45946</c:v>
                </c:pt>
                <c:pt idx="962">
                  <c:v>45953</c:v>
                </c:pt>
                <c:pt idx="963">
                  <c:v>45960</c:v>
                </c:pt>
                <c:pt idx="964">
                  <c:v>45967</c:v>
                </c:pt>
                <c:pt idx="965">
                  <c:v>45974</c:v>
                </c:pt>
                <c:pt idx="966">
                  <c:v>45981</c:v>
                </c:pt>
                <c:pt idx="967">
                  <c:v>45988</c:v>
                </c:pt>
                <c:pt idx="968">
                  <c:v>45995</c:v>
                </c:pt>
                <c:pt idx="969">
                  <c:v>46002</c:v>
                </c:pt>
                <c:pt idx="970">
                  <c:v>46009</c:v>
                </c:pt>
                <c:pt idx="971">
                  <c:v>46020</c:v>
                </c:pt>
                <c:pt idx="972">
                  <c:v>46024</c:v>
                </c:pt>
                <c:pt idx="973">
                  <c:v>46030</c:v>
                </c:pt>
                <c:pt idx="974">
                  <c:v>46037</c:v>
                </c:pt>
                <c:pt idx="975">
                  <c:v>46044</c:v>
                </c:pt>
                <c:pt idx="976">
                  <c:v>46051</c:v>
                </c:pt>
                <c:pt idx="977">
                  <c:v>46058</c:v>
                </c:pt>
                <c:pt idx="978">
                  <c:v>46065</c:v>
                </c:pt>
                <c:pt idx="979">
                  <c:v>46072</c:v>
                </c:pt>
                <c:pt idx="980">
                  <c:v>46079</c:v>
                </c:pt>
                <c:pt idx="981">
                  <c:v>46086</c:v>
                </c:pt>
                <c:pt idx="982">
                  <c:v>46093</c:v>
                </c:pt>
                <c:pt idx="983">
                  <c:v>46100</c:v>
                </c:pt>
                <c:pt idx="984">
                  <c:v>46107</c:v>
                </c:pt>
                <c:pt idx="985">
                  <c:v>46114</c:v>
                </c:pt>
                <c:pt idx="986">
                  <c:v>46121</c:v>
                </c:pt>
                <c:pt idx="987">
                  <c:v>46128</c:v>
                </c:pt>
                <c:pt idx="988">
                  <c:v>46135</c:v>
                </c:pt>
                <c:pt idx="989">
                  <c:v>46142</c:v>
                </c:pt>
                <c:pt idx="990">
                  <c:v>46149</c:v>
                </c:pt>
                <c:pt idx="991">
                  <c:v>46156</c:v>
                </c:pt>
                <c:pt idx="992">
                  <c:v>46163</c:v>
                </c:pt>
                <c:pt idx="993">
                  <c:v>46170</c:v>
                </c:pt>
                <c:pt idx="994">
                  <c:v>46177</c:v>
                </c:pt>
                <c:pt idx="995">
                  <c:v>46184</c:v>
                </c:pt>
                <c:pt idx="996">
                  <c:v>46191</c:v>
                </c:pt>
                <c:pt idx="997">
                  <c:v>46198</c:v>
                </c:pt>
                <c:pt idx="998">
                  <c:v>46205</c:v>
                </c:pt>
                <c:pt idx="999">
                  <c:v>46212</c:v>
                </c:pt>
                <c:pt idx="1000">
                  <c:v>46219</c:v>
                </c:pt>
                <c:pt idx="1001">
                  <c:v>46226</c:v>
                </c:pt>
                <c:pt idx="1002">
                  <c:v>46233</c:v>
                </c:pt>
                <c:pt idx="1003">
                  <c:v>46240</c:v>
                </c:pt>
                <c:pt idx="1004">
                  <c:v>46247</c:v>
                </c:pt>
                <c:pt idx="1005">
                  <c:v>46254</c:v>
                </c:pt>
                <c:pt idx="1006">
                  <c:v>46261</c:v>
                </c:pt>
                <c:pt idx="1007">
                  <c:v>46268</c:v>
                </c:pt>
                <c:pt idx="1008">
                  <c:v>46275</c:v>
                </c:pt>
                <c:pt idx="1009">
                  <c:v>46282</c:v>
                </c:pt>
                <c:pt idx="1010">
                  <c:v>46289</c:v>
                </c:pt>
                <c:pt idx="1011">
                  <c:v>46296</c:v>
                </c:pt>
                <c:pt idx="1012">
                  <c:v>46303</c:v>
                </c:pt>
                <c:pt idx="1013">
                  <c:v>46310</c:v>
                </c:pt>
                <c:pt idx="1014">
                  <c:v>46317</c:v>
                </c:pt>
                <c:pt idx="1015">
                  <c:v>46324</c:v>
                </c:pt>
                <c:pt idx="1016">
                  <c:v>46331</c:v>
                </c:pt>
                <c:pt idx="1017">
                  <c:v>46338</c:v>
                </c:pt>
                <c:pt idx="1018">
                  <c:v>46345</c:v>
                </c:pt>
                <c:pt idx="1019">
                  <c:v>46352</c:v>
                </c:pt>
                <c:pt idx="1020">
                  <c:v>46359</c:v>
                </c:pt>
                <c:pt idx="1021">
                  <c:v>46366</c:v>
                </c:pt>
                <c:pt idx="1022">
                  <c:v>46373</c:v>
                </c:pt>
                <c:pt idx="1023">
                  <c:v>46380</c:v>
                </c:pt>
                <c:pt idx="1024">
                  <c:v>46387</c:v>
                </c:pt>
                <c:pt idx="1025">
                  <c:v>46394</c:v>
                </c:pt>
                <c:pt idx="1026">
                  <c:v>46401</c:v>
                </c:pt>
                <c:pt idx="1027">
                  <c:v>46408</c:v>
                </c:pt>
                <c:pt idx="1028">
                  <c:v>46415</c:v>
                </c:pt>
                <c:pt idx="1029">
                  <c:v>46422</c:v>
                </c:pt>
                <c:pt idx="1030">
                  <c:v>46429</c:v>
                </c:pt>
                <c:pt idx="1031">
                  <c:v>46436</c:v>
                </c:pt>
                <c:pt idx="1032">
                  <c:v>46443</c:v>
                </c:pt>
                <c:pt idx="1033">
                  <c:v>46450</c:v>
                </c:pt>
                <c:pt idx="1034">
                  <c:v>46457</c:v>
                </c:pt>
                <c:pt idx="1035">
                  <c:v>46464</c:v>
                </c:pt>
                <c:pt idx="1036">
                  <c:v>46471</c:v>
                </c:pt>
                <c:pt idx="1037">
                  <c:v>46478</c:v>
                </c:pt>
                <c:pt idx="1038">
                  <c:v>46485</c:v>
                </c:pt>
                <c:pt idx="1039">
                  <c:v>46492</c:v>
                </c:pt>
                <c:pt idx="1040">
                  <c:v>46499</c:v>
                </c:pt>
                <c:pt idx="1041">
                  <c:v>46506</c:v>
                </c:pt>
                <c:pt idx="1042">
                  <c:v>46513</c:v>
                </c:pt>
                <c:pt idx="1043">
                  <c:v>46520</c:v>
                </c:pt>
                <c:pt idx="1044">
                  <c:v>46527</c:v>
                </c:pt>
                <c:pt idx="1045">
                  <c:v>46534</c:v>
                </c:pt>
                <c:pt idx="1046">
                  <c:v>46541</c:v>
                </c:pt>
                <c:pt idx="1047">
                  <c:v>46548</c:v>
                </c:pt>
                <c:pt idx="1048">
                  <c:v>46555</c:v>
                </c:pt>
                <c:pt idx="1049">
                  <c:v>46562</c:v>
                </c:pt>
                <c:pt idx="1050">
                  <c:v>46569</c:v>
                </c:pt>
                <c:pt idx="1051">
                  <c:v>46576</c:v>
                </c:pt>
                <c:pt idx="1052">
                  <c:v>46583</c:v>
                </c:pt>
                <c:pt idx="1053">
                  <c:v>46590</c:v>
                </c:pt>
                <c:pt idx="1054">
                  <c:v>46597</c:v>
                </c:pt>
                <c:pt idx="1055">
                  <c:v>46604</c:v>
                </c:pt>
                <c:pt idx="1056">
                  <c:v>46611</c:v>
                </c:pt>
                <c:pt idx="1057">
                  <c:v>46618</c:v>
                </c:pt>
                <c:pt idx="1058">
                  <c:v>46625</c:v>
                </c:pt>
                <c:pt idx="1059">
                  <c:v>46632</c:v>
                </c:pt>
                <c:pt idx="1060">
                  <c:v>46639</c:v>
                </c:pt>
                <c:pt idx="1061">
                  <c:v>46646</c:v>
                </c:pt>
                <c:pt idx="1062">
                  <c:v>46653</c:v>
                </c:pt>
                <c:pt idx="1063">
                  <c:v>46660</c:v>
                </c:pt>
                <c:pt idx="1064">
                  <c:v>46667</c:v>
                </c:pt>
                <c:pt idx="1065">
                  <c:v>46674</c:v>
                </c:pt>
                <c:pt idx="1066">
                  <c:v>46681</c:v>
                </c:pt>
                <c:pt idx="1067">
                  <c:v>46688</c:v>
                </c:pt>
                <c:pt idx="1068">
                  <c:v>46695</c:v>
                </c:pt>
                <c:pt idx="1069">
                  <c:v>46702</c:v>
                </c:pt>
                <c:pt idx="1070">
                  <c:v>46709</c:v>
                </c:pt>
                <c:pt idx="1071">
                  <c:v>46716</c:v>
                </c:pt>
                <c:pt idx="1072">
                  <c:v>46723</c:v>
                </c:pt>
                <c:pt idx="1073">
                  <c:v>46730</c:v>
                </c:pt>
                <c:pt idx="1074">
                  <c:v>46737</c:v>
                </c:pt>
                <c:pt idx="1075">
                  <c:v>46744</c:v>
                </c:pt>
                <c:pt idx="1076">
                  <c:v>46751</c:v>
                </c:pt>
                <c:pt idx="1077">
                  <c:v>46758</c:v>
                </c:pt>
                <c:pt idx="1078">
                  <c:v>46765</c:v>
                </c:pt>
                <c:pt idx="1079">
                  <c:v>46772</c:v>
                </c:pt>
                <c:pt idx="1080">
                  <c:v>46779</c:v>
                </c:pt>
                <c:pt idx="1081">
                  <c:v>46786</c:v>
                </c:pt>
                <c:pt idx="1082">
                  <c:v>46793</c:v>
                </c:pt>
                <c:pt idx="1083">
                  <c:v>46800</c:v>
                </c:pt>
                <c:pt idx="1084">
                  <c:v>46807</c:v>
                </c:pt>
                <c:pt idx="1085">
                  <c:v>46814</c:v>
                </c:pt>
                <c:pt idx="1086">
                  <c:v>46821</c:v>
                </c:pt>
                <c:pt idx="1087">
                  <c:v>46828</c:v>
                </c:pt>
                <c:pt idx="1088">
                  <c:v>46835</c:v>
                </c:pt>
                <c:pt idx="1089">
                  <c:v>46842</c:v>
                </c:pt>
                <c:pt idx="1090">
                  <c:v>46849</c:v>
                </c:pt>
                <c:pt idx="1091">
                  <c:v>46856</c:v>
                </c:pt>
                <c:pt idx="1092">
                  <c:v>46863</c:v>
                </c:pt>
                <c:pt idx="1093">
                  <c:v>46870</c:v>
                </c:pt>
                <c:pt idx="1094">
                  <c:v>46877</c:v>
                </c:pt>
                <c:pt idx="1095">
                  <c:v>46884</c:v>
                </c:pt>
                <c:pt idx="1096">
                  <c:v>46891</c:v>
                </c:pt>
                <c:pt idx="1097">
                  <c:v>46898</c:v>
                </c:pt>
                <c:pt idx="1098">
                  <c:v>46905</c:v>
                </c:pt>
                <c:pt idx="1099">
                  <c:v>46912</c:v>
                </c:pt>
                <c:pt idx="1100">
                  <c:v>46919</c:v>
                </c:pt>
                <c:pt idx="1101">
                  <c:v>46926</c:v>
                </c:pt>
                <c:pt idx="1102">
                  <c:v>46933</c:v>
                </c:pt>
                <c:pt idx="1103">
                  <c:v>46940</c:v>
                </c:pt>
                <c:pt idx="1104">
                  <c:v>46947</c:v>
                </c:pt>
                <c:pt idx="1105">
                  <c:v>46954</c:v>
                </c:pt>
                <c:pt idx="1106">
                  <c:v>46961</c:v>
                </c:pt>
                <c:pt idx="1107">
                  <c:v>46968</c:v>
                </c:pt>
                <c:pt idx="1108">
                  <c:v>46975</c:v>
                </c:pt>
                <c:pt idx="1109">
                  <c:v>46982</c:v>
                </c:pt>
                <c:pt idx="1110">
                  <c:v>46989</c:v>
                </c:pt>
                <c:pt idx="1111">
                  <c:v>46996</c:v>
                </c:pt>
                <c:pt idx="1112">
                  <c:v>47003</c:v>
                </c:pt>
                <c:pt idx="1113">
                  <c:v>47010</c:v>
                </c:pt>
                <c:pt idx="1114">
                  <c:v>47017</c:v>
                </c:pt>
                <c:pt idx="1115">
                  <c:v>47024</c:v>
                </c:pt>
                <c:pt idx="1116">
                  <c:v>47031</c:v>
                </c:pt>
                <c:pt idx="1117">
                  <c:v>47038</c:v>
                </c:pt>
                <c:pt idx="1118">
                  <c:v>47045</c:v>
                </c:pt>
                <c:pt idx="1119">
                  <c:v>47052</c:v>
                </c:pt>
                <c:pt idx="1120">
                  <c:v>47059</c:v>
                </c:pt>
                <c:pt idx="1121">
                  <c:v>47066</c:v>
                </c:pt>
                <c:pt idx="1122">
                  <c:v>47073</c:v>
                </c:pt>
                <c:pt idx="1123">
                  <c:v>47080</c:v>
                </c:pt>
                <c:pt idx="1124">
                  <c:v>47087</c:v>
                </c:pt>
                <c:pt idx="1125">
                  <c:v>47094</c:v>
                </c:pt>
                <c:pt idx="1126">
                  <c:v>47101</c:v>
                </c:pt>
                <c:pt idx="1127">
                  <c:v>47108</c:v>
                </c:pt>
                <c:pt idx="1128">
                  <c:v>47116</c:v>
                </c:pt>
                <c:pt idx="1129">
                  <c:v>47123</c:v>
                </c:pt>
                <c:pt idx="1130">
                  <c:v>47130</c:v>
                </c:pt>
                <c:pt idx="1131">
                  <c:v>47137</c:v>
                </c:pt>
                <c:pt idx="1132">
                  <c:v>47144</c:v>
                </c:pt>
                <c:pt idx="1133">
                  <c:v>47151</c:v>
                </c:pt>
                <c:pt idx="1134">
                  <c:v>47158</c:v>
                </c:pt>
                <c:pt idx="1135">
                  <c:v>47165</c:v>
                </c:pt>
                <c:pt idx="1136">
                  <c:v>47172</c:v>
                </c:pt>
                <c:pt idx="1137">
                  <c:v>47179</c:v>
                </c:pt>
                <c:pt idx="1138">
                  <c:v>47186</c:v>
                </c:pt>
                <c:pt idx="1139">
                  <c:v>47193</c:v>
                </c:pt>
                <c:pt idx="1140">
                  <c:v>47200</c:v>
                </c:pt>
                <c:pt idx="1141">
                  <c:v>47211</c:v>
                </c:pt>
                <c:pt idx="1142">
                  <c:v>47214</c:v>
                </c:pt>
                <c:pt idx="1143">
                  <c:v>47221</c:v>
                </c:pt>
                <c:pt idx="1144">
                  <c:v>47228</c:v>
                </c:pt>
                <c:pt idx="1145">
                  <c:v>47235</c:v>
                </c:pt>
                <c:pt idx="1146">
                  <c:v>47242</c:v>
                </c:pt>
                <c:pt idx="1147">
                  <c:v>47249</c:v>
                </c:pt>
                <c:pt idx="1148">
                  <c:v>47256</c:v>
                </c:pt>
                <c:pt idx="1149">
                  <c:v>47263</c:v>
                </c:pt>
                <c:pt idx="1150">
                  <c:v>47270</c:v>
                </c:pt>
                <c:pt idx="1151">
                  <c:v>47277</c:v>
                </c:pt>
                <c:pt idx="1152">
                  <c:v>47284</c:v>
                </c:pt>
                <c:pt idx="1153">
                  <c:v>47291</c:v>
                </c:pt>
                <c:pt idx="1154">
                  <c:v>47298</c:v>
                </c:pt>
                <c:pt idx="1155">
                  <c:v>47305</c:v>
                </c:pt>
                <c:pt idx="1156">
                  <c:v>47312</c:v>
                </c:pt>
                <c:pt idx="1157">
                  <c:v>47319</c:v>
                </c:pt>
                <c:pt idx="1158">
                  <c:v>47326</c:v>
                </c:pt>
                <c:pt idx="1159">
                  <c:v>47333</c:v>
                </c:pt>
                <c:pt idx="1160">
                  <c:v>47340</c:v>
                </c:pt>
                <c:pt idx="1161">
                  <c:v>47347</c:v>
                </c:pt>
                <c:pt idx="1162">
                  <c:v>47354</c:v>
                </c:pt>
                <c:pt idx="1163">
                  <c:v>47361</c:v>
                </c:pt>
                <c:pt idx="1164">
                  <c:v>47368</c:v>
                </c:pt>
                <c:pt idx="1165">
                  <c:v>47375</c:v>
                </c:pt>
                <c:pt idx="1166">
                  <c:v>47382</c:v>
                </c:pt>
                <c:pt idx="1167">
                  <c:v>47389</c:v>
                </c:pt>
                <c:pt idx="1168">
                  <c:v>47396</c:v>
                </c:pt>
                <c:pt idx="1169">
                  <c:v>47403</c:v>
                </c:pt>
                <c:pt idx="1170">
                  <c:v>47410</c:v>
                </c:pt>
                <c:pt idx="1171">
                  <c:v>47417</c:v>
                </c:pt>
                <c:pt idx="1172">
                  <c:v>47424</c:v>
                </c:pt>
                <c:pt idx="1173">
                  <c:v>47431</c:v>
                </c:pt>
                <c:pt idx="1174">
                  <c:v>47438</c:v>
                </c:pt>
                <c:pt idx="1175">
                  <c:v>47445</c:v>
                </c:pt>
                <c:pt idx="1176">
                  <c:v>47452</c:v>
                </c:pt>
                <c:pt idx="1177">
                  <c:v>47459</c:v>
                </c:pt>
                <c:pt idx="1178">
                  <c:v>47466</c:v>
                </c:pt>
                <c:pt idx="1179">
                  <c:v>47473</c:v>
                </c:pt>
                <c:pt idx="1180">
                  <c:v>47483</c:v>
                </c:pt>
                <c:pt idx="1181">
                  <c:v>47490</c:v>
                </c:pt>
                <c:pt idx="1182">
                  <c:v>47497</c:v>
                </c:pt>
                <c:pt idx="1183">
                  <c:v>47504</c:v>
                </c:pt>
                <c:pt idx="1184">
                  <c:v>47511</c:v>
                </c:pt>
                <c:pt idx="1185">
                  <c:v>47518</c:v>
                </c:pt>
                <c:pt idx="1186">
                  <c:v>47525</c:v>
                </c:pt>
                <c:pt idx="1187">
                  <c:v>47532</c:v>
                </c:pt>
                <c:pt idx="1188">
                  <c:v>47539</c:v>
                </c:pt>
                <c:pt idx="1189">
                  <c:v>47546</c:v>
                </c:pt>
                <c:pt idx="1190">
                  <c:v>47553</c:v>
                </c:pt>
                <c:pt idx="1191">
                  <c:v>47560</c:v>
                </c:pt>
                <c:pt idx="1192">
                  <c:v>47567</c:v>
                </c:pt>
                <c:pt idx="1193">
                  <c:v>47574</c:v>
                </c:pt>
                <c:pt idx="1194">
                  <c:v>47581</c:v>
                </c:pt>
                <c:pt idx="1195">
                  <c:v>47588</c:v>
                </c:pt>
                <c:pt idx="1196">
                  <c:v>47597</c:v>
                </c:pt>
                <c:pt idx="1197">
                  <c:v>47602</c:v>
                </c:pt>
                <c:pt idx="1198">
                  <c:v>47609</c:v>
                </c:pt>
                <c:pt idx="1199">
                  <c:v>47616</c:v>
                </c:pt>
                <c:pt idx="1200">
                  <c:v>47623</c:v>
                </c:pt>
                <c:pt idx="1201">
                  <c:v>47630</c:v>
                </c:pt>
                <c:pt idx="1202">
                  <c:v>47637</c:v>
                </c:pt>
                <c:pt idx="1203">
                  <c:v>47644</c:v>
                </c:pt>
                <c:pt idx="1204">
                  <c:v>47651</c:v>
                </c:pt>
                <c:pt idx="1205">
                  <c:v>47658</c:v>
                </c:pt>
                <c:pt idx="1206">
                  <c:v>47665</c:v>
                </c:pt>
                <c:pt idx="1207">
                  <c:v>47672</c:v>
                </c:pt>
                <c:pt idx="1208">
                  <c:v>47679</c:v>
                </c:pt>
                <c:pt idx="1209">
                  <c:v>47686</c:v>
                </c:pt>
                <c:pt idx="1210">
                  <c:v>47693</c:v>
                </c:pt>
                <c:pt idx="1211">
                  <c:v>47700</c:v>
                </c:pt>
                <c:pt idx="1212">
                  <c:v>47707</c:v>
                </c:pt>
                <c:pt idx="1213">
                  <c:v>47714</c:v>
                </c:pt>
                <c:pt idx="1214">
                  <c:v>47721</c:v>
                </c:pt>
                <c:pt idx="1215">
                  <c:v>47728</c:v>
                </c:pt>
                <c:pt idx="1216">
                  <c:v>47735</c:v>
                </c:pt>
                <c:pt idx="1217">
                  <c:v>47742</c:v>
                </c:pt>
                <c:pt idx="1218">
                  <c:v>47749</c:v>
                </c:pt>
                <c:pt idx="1219">
                  <c:v>47756</c:v>
                </c:pt>
                <c:pt idx="1220">
                  <c:v>47763</c:v>
                </c:pt>
                <c:pt idx="1221">
                  <c:v>47770</c:v>
                </c:pt>
                <c:pt idx="1222">
                  <c:v>47777</c:v>
                </c:pt>
                <c:pt idx="1223">
                  <c:v>47784</c:v>
                </c:pt>
                <c:pt idx="1224">
                  <c:v>47791</c:v>
                </c:pt>
                <c:pt idx="1225">
                  <c:v>47798</c:v>
                </c:pt>
                <c:pt idx="1226">
                  <c:v>47805</c:v>
                </c:pt>
                <c:pt idx="1227">
                  <c:v>47812</c:v>
                </c:pt>
                <c:pt idx="1228">
                  <c:v>47819</c:v>
                </c:pt>
                <c:pt idx="1229">
                  <c:v>47826</c:v>
                </c:pt>
                <c:pt idx="1230">
                  <c:v>47833</c:v>
                </c:pt>
                <c:pt idx="1231">
                  <c:v>47840</c:v>
                </c:pt>
                <c:pt idx="1232">
                  <c:v>47848</c:v>
                </c:pt>
                <c:pt idx="1233">
                  <c:v>47855</c:v>
                </c:pt>
                <c:pt idx="1234">
                  <c:v>47862</c:v>
                </c:pt>
                <c:pt idx="1235">
                  <c:v>47869</c:v>
                </c:pt>
                <c:pt idx="1236">
                  <c:v>47876</c:v>
                </c:pt>
                <c:pt idx="1237">
                  <c:v>47883</c:v>
                </c:pt>
                <c:pt idx="1238">
                  <c:v>47890</c:v>
                </c:pt>
                <c:pt idx="1239">
                  <c:v>47897</c:v>
                </c:pt>
                <c:pt idx="1240">
                  <c:v>47904</c:v>
                </c:pt>
                <c:pt idx="1241">
                  <c:v>47911</c:v>
                </c:pt>
                <c:pt idx="1242">
                  <c:v>47918</c:v>
                </c:pt>
                <c:pt idx="1243">
                  <c:v>47925</c:v>
                </c:pt>
                <c:pt idx="1244">
                  <c:v>47932</c:v>
                </c:pt>
                <c:pt idx="1245">
                  <c:v>47939</c:v>
                </c:pt>
                <c:pt idx="1246">
                  <c:v>47946</c:v>
                </c:pt>
                <c:pt idx="1247">
                  <c:v>47955</c:v>
                </c:pt>
                <c:pt idx="1248">
                  <c:v>47962</c:v>
                </c:pt>
                <c:pt idx="1249">
                  <c:v>47970</c:v>
                </c:pt>
                <c:pt idx="1250">
                  <c:v>47976</c:v>
                </c:pt>
                <c:pt idx="1251">
                  <c:v>47983</c:v>
                </c:pt>
                <c:pt idx="1252">
                  <c:v>47990</c:v>
                </c:pt>
                <c:pt idx="1253">
                  <c:v>47997</c:v>
                </c:pt>
                <c:pt idx="1254">
                  <c:v>48004</c:v>
                </c:pt>
                <c:pt idx="1255">
                  <c:v>48011</c:v>
                </c:pt>
                <c:pt idx="1256">
                  <c:v>48018</c:v>
                </c:pt>
                <c:pt idx="1257">
                  <c:v>48025</c:v>
                </c:pt>
                <c:pt idx="1258">
                  <c:v>48032</c:v>
                </c:pt>
                <c:pt idx="1259">
                  <c:v>48039</c:v>
                </c:pt>
                <c:pt idx="1260">
                  <c:v>48046</c:v>
                </c:pt>
                <c:pt idx="1261">
                  <c:v>48053</c:v>
                </c:pt>
                <c:pt idx="1262">
                  <c:v>48060</c:v>
                </c:pt>
                <c:pt idx="1263">
                  <c:v>48067</c:v>
                </c:pt>
                <c:pt idx="1264">
                  <c:v>48074</c:v>
                </c:pt>
                <c:pt idx="1265">
                  <c:v>48081</c:v>
                </c:pt>
                <c:pt idx="1266">
                  <c:v>48088</c:v>
                </c:pt>
                <c:pt idx="1267">
                  <c:v>48095</c:v>
                </c:pt>
                <c:pt idx="1268">
                  <c:v>48102</c:v>
                </c:pt>
                <c:pt idx="1269">
                  <c:v>48109</c:v>
                </c:pt>
                <c:pt idx="1270">
                  <c:v>48116</c:v>
                </c:pt>
                <c:pt idx="1271">
                  <c:v>48123</c:v>
                </c:pt>
                <c:pt idx="1272">
                  <c:v>48130</c:v>
                </c:pt>
                <c:pt idx="1273">
                  <c:v>48137</c:v>
                </c:pt>
                <c:pt idx="1274">
                  <c:v>48144</c:v>
                </c:pt>
                <c:pt idx="1275">
                  <c:v>48151</c:v>
                </c:pt>
                <c:pt idx="1276">
                  <c:v>48158</c:v>
                </c:pt>
                <c:pt idx="1277">
                  <c:v>48165</c:v>
                </c:pt>
                <c:pt idx="1278">
                  <c:v>48172</c:v>
                </c:pt>
                <c:pt idx="1279">
                  <c:v>48179</c:v>
                </c:pt>
                <c:pt idx="1280">
                  <c:v>48186</c:v>
                </c:pt>
                <c:pt idx="1281">
                  <c:v>48193</c:v>
                </c:pt>
                <c:pt idx="1282">
                  <c:v>48200</c:v>
                </c:pt>
                <c:pt idx="1283">
                  <c:v>48211</c:v>
                </c:pt>
                <c:pt idx="1284">
                  <c:v>48215</c:v>
                </c:pt>
                <c:pt idx="1285">
                  <c:v>48221</c:v>
                </c:pt>
                <c:pt idx="1286">
                  <c:v>48228</c:v>
                </c:pt>
                <c:pt idx="1287">
                  <c:v>48235</c:v>
                </c:pt>
                <c:pt idx="1288">
                  <c:v>48242</c:v>
                </c:pt>
                <c:pt idx="1289">
                  <c:v>48249</c:v>
                </c:pt>
                <c:pt idx="1290">
                  <c:v>48256</c:v>
                </c:pt>
                <c:pt idx="1291">
                  <c:v>48263</c:v>
                </c:pt>
                <c:pt idx="1292">
                  <c:v>48270</c:v>
                </c:pt>
                <c:pt idx="1293">
                  <c:v>48277</c:v>
                </c:pt>
                <c:pt idx="1294">
                  <c:v>48284</c:v>
                </c:pt>
                <c:pt idx="1295">
                  <c:v>48291</c:v>
                </c:pt>
                <c:pt idx="1296">
                  <c:v>48298</c:v>
                </c:pt>
                <c:pt idx="1297">
                  <c:v>48305</c:v>
                </c:pt>
                <c:pt idx="1298">
                  <c:v>48312</c:v>
                </c:pt>
                <c:pt idx="1299">
                  <c:v>48319</c:v>
                </c:pt>
                <c:pt idx="1300">
                  <c:v>48326</c:v>
                </c:pt>
                <c:pt idx="1301">
                  <c:v>48333</c:v>
                </c:pt>
                <c:pt idx="1302">
                  <c:v>48340</c:v>
                </c:pt>
                <c:pt idx="1303">
                  <c:v>48347</c:v>
                </c:pt>
                <c:pt idx="1304">
                  <c:v>48354</c:v>
                </c:pt>
                <c:pt idx="1305">
                  <c:v>48361</c:v>
                </c:pt>
                <c:pt idx="1306">
                  <c:v>48368</c:v>
                </c:pt>
                <c:pt idx="1307">
                  <c:v>48375</c:v>
                </c:pt>
                <c:pt idx="1308">
                  <c:v>48382</c:v>
                </c:pt>
                <c:pt idx="1309">
                  <c:v>48389</c:v>
                </c:pt>
                <c:pt idx="1310">
                  <c:v>48396</c:v>
                </c:pt>
                <c:pt idx="1311">
                  <c:v>48403</c:v>
                </c:pt>
                <c:pt idx="1312">
                  <c:v>48410</c:v>
                </c:pt>
                <c:pt idx="1313">
                  <c:v>48417</c:v>
                </c:pt>
                <c:pt idx="1314">
                  <c:v>48424</c:v>
                </c:pt>
                <c:pt idx="1315">
                  <c:v>48431</c:v>
                </c:pt>
                <c:pt idx="1316">
                  <c:v>48438</c:v>
                </c:pt>
                <c:pt idx="1317">
                  <c:v>48445</c:v>
                </c:pt>
                <c:pt idx="1318">
                  <c:v>48452</c:v>
                </c:pt>
                <c:pt idx="1319">
                  <c:v>48459</c:v>
                </c:pt>
                <c:pt idx="1320">
                  <c:v>48466</c:v>
                </c:pt>
                <c:pt idx="1321">
                  <c:v>48473</c:v>
                </c:pt>
                <c:pt idx="1322">
                  <c:v>48480</c:v>
                </c:pt>
                <c:pt idx="1323">
                  <c:v>48487</c:v>
                </c:pt>
                <c:pt idx="1324">
                  <c:v>48494</c:v>
                </c:pt>
                <c:pt idx="1325">
                  <c:v>48501</c:v>
                </c:pt>
                <c:pt idx="1326">
                  <c:v>48508</c:v>
                </c:pt>
                <c:pt idx="1327">
                  <c:v>48515</c:v>
                </c:pt>
                <c:pt idx="1328">
                  <c:v>48522</c:v>
                </c:pt>
                <c:pt idx="1329">
                  <c:v>48529</c:v>
                </c:pt>
                <c:pt idx="1330">
                  <c:v>48536</c:v>
                </c:pt>
                <c:pt idx="1331">
                  <c:v>48543</c:v>
                </c:pt>
                <c:pt idx="1332">
                  <c:v>48550</c:v>
                </c:pt>
                <c:pt idx="1333">
                  <c:v>48557</c:v>
                </c:pt>
                <c:pt idx="1334">
                  <c:v>48564</c:v>
                </c:pt>
                <c:pt idx="1335">
                  <c:v>48571</c:v>
                </c:pt>
                <c:pt idx="1336">
                  <c:v>48578</c:v>
                </c:pt>
                <c:pt idx="1337">
                  <c:v>48585</c:v>
                </c:pt>
                <c:pt idx="1338">
                  <c:v>48592</c:v>
                </c:pt>
                <c:pt idx="1339">
                  <c:v>48599</c:v>
                </c:pt>
                <c:pt idx="1340">
                  <c:v>48606</c:v>
                </c:pt>
                <c:pt idx="1341">
                  <c:v>48613</c:v>
                </c:pt>
                <c:pt idx="1342">
                  <c:v>48620</c:v>
                </c:pt>
                <c:pt idx="1343">
                  <c:v>48627</c:v>
                </c:pt>
                <c:pt idx="1344">
                  <c:v>48634</c:v>
                </c:pt>
                <c:pt idx="1345">
                  <c:v>48641</c:v>
                </c:pt>
                <c:pt idx="1346">
                  <c:v>48648</c:v>
                </c:pt>
                <c:pt idx="1347">
                  <c:v>48655</c:v>
                </c:pt>
                <c:pt idx="1348">
                  <c:v>48662</c:v>
                </c:pt>
                <c:pt idx="1349">
                  <c:v>48669</c:v>
                </c:pt>
                <c:pt idx="1350">
                  <c:v>48676</c:v>
                </c:pt>
                <c:pt idx="1351">
                  <c:v>48683</c:v>
                </c:pt>
                <c:pt idx="1352">
                  <c:v>48690</c:v>
                </c:pt>
                <c:pt idx="1353">
                  <c:v>48697</c:v>
                </c:pt>
                <c:pt idx="1354">
                  <c:v>48704</c:v>
                </c:pt>
                <c:pt idx="1355">
                  <c:v>48711</c:v>
                </c:pt>
                <c:pt idx="1356">
                  <c:v>48718</c:v>
                </c:pt>
                <c:pt idx="1357">
                  <c:v>48725</c:v>
                </c:pt>
                <c:pt idx="1358">
                  <c:v>48732</c:v>
                </c:pt>
                <c:pt idx="1359">
                  <c:v>48739</c:v>
                </c:pt>
                <c:pt idx="1360">
                  <c:v>48746</c:v>
                </c:pt>
                <c:pt idx="1361">
                  <c:v>48753</c:v>
                </c:pt>
                <c:pt idx="1362">
                  <c:v>48760</c:v>
                </c:pt>
                <c:pt idx="1363">
                  <c:v>48767</c:v>
                </c:pt>
                <c:pt idx="1364">
                  <c:v>48774</c:v>
                </c:pt>
                <c:pt idx="1365">
                  <c:v>48781</c:v>
                </c:pt>
                <c:pt idx="1366">
                  <c:v>48788</c:v>
                </c:pt>
                <c:pt idx="1367">
                  <c:v>48795</c:v>
                </c:pt>
                <c:pt idx="1368">
                  <c:v>48802</c:v>
                </c:pt>
                <c:pt idx="1369">
                  <c:v>48809</c:v>
                </c:pt>
                <c:pt idx="1370">
                  <c:v>48816</c:v>
                </c:pt>
                <c:pt idx="1371">
                  <c:v>48823</c:v>
                </c:pt>
                <c:pt idx="1372">
                  <c:v>48830</c:v>
                </c:pt>
                <c:pt idx="1373">
                  <c:v>48837</c:v>
                </c:pt>
                <c:pt idx="1374">
                  <c:v>48844</c:v>
                </c:pt>
                <c:pt idx="1375">
                  <c:v>48851</c:v>
                </c:pt>
                <c:pt idx="1376">
                  <c:v>48858</c:v>
                </c:pt>
                <c:pt idx="1377">
                  <c:v>48865</c:v>
                </c:pt>
                <c:pt idx="1378">
                  <c:v>48872</c:v>
                </c:pt>
                <c:pt idx="1379">
                  <c:v>48879</c:v>
                </c:pt>
                <c:pt idx="1380">
                  <c:v>48886</c:v>
                </c:pt>
                <c:pt idx="1381">
                  <c:v>48893</c:v>
                </c:pt>
                <c:pt idx="1382">
                  <c:v>48900</c:v>
                </c:pt>
                <c:pt idx="1383">
                  <c:v>48907</c:v>
                </c:pt>
                <c:pt idx="1384">
                  <c:v>48914</c:v>
                </c:pt>
                <c:pt idx="1385">
                  <c:v>48921</c:v>
                </c:pt>
                <c:pt idx="1386">
                  <c:v>48928</c:v>
                </c:pt>
                <c:pt idx="1387">
                  <c:v>48935</c:v>
                </c:pt>
                <c:pt idx="1388">
                  <c:v>48942</c:v>
                </c:pt>
                <c:pt idx="1389">
                  <c:v>48949</c:v>
                </c:pt>
                <c:pt idx="1390">
                  <c:v>48956</c:v>
                </c:pt>
                <c:pt idx="1391">
                  <c:v>48963</c:v>
                </c:pt>
                <c:pt idx="1392">
                  <c:v>48970</c:v>
                </c:pt>
                <c:pt idx="1393">
                  <c:v>48977</c:v>
                </c:pt>
                <c:pt idx="1394">
                  <c:v>48984</c:v>
                </c:pt>
                <c:pt idx="1395">
                  <c:v>48991</c:v>
                </c:pt>
                <c:pt idx="1396">
                  <c:v>48998</c:v>
                </c:pt>
                <c:pt idx="1397">
                  <c:v>49005</c:v>
                </c:pt>
                <c:pt idx="1398">
                  <c:v>49012</c:v>
                </c:pt>
                <c:pt idx="1399">
                  <c:v>49019</c:v>
                </c:pt>
                <c:pt idx="1400">
                  <c:v>49026</c:v>
                </c:pt>
                <c:pt idx="1401">
                  <c:v>49033</c:v>
                </c:pt>
                <c:pt idx="1402">
                  <c:v>49040</c:v>
                </c:pt>
                <c:pt idx="1403">
                  <c:v>49047</c:v>
                </c:pt>
                <c:pt idx="1404">
                  <c:v>49054</c:v>
                </c:pt>
                <c:pt idx="1405">
                  <c:v>49061</c:v>
                </c:pt>
                <c:pt idx="1406">
                  <c:v>49068</c:v>
                </c:pt>
                <c:pt idx="1407">
                  <c:v>49075</c:v>
                </c:pt>
                <c:pt idx="1408">
                  <c:v>49082</c:v>
                </c:pt>
                <c:pt idx="1409">
                  <c:v>49089</c:v>
                </c:pt>
                <c:pt idx="1410">
                  <c:v>49096</c:v>
                </c:pt>
                <c:pt idx="1411">
                  <c:v>49103</c:v>
                </c:pt>
                <c:pt idx="1412">
                  <c:v>49110</c:v>
                </c:pt>
                <c:pt idx="1413">
                  <c:v>49117</c:v>
                </c:pt>
                <c:pt idx="1414">
                  <c:v>49124</c:v>
                </c:pt>
                <c:pt idx="1415">
                  <c:v>49131</c:v>
                </c:pt>
                <c:pt idx="1416">
                  <c:v>49138</c:v>
                </c:pt>
                <c:pt idx="1417">
                  <c:v>49145</c:v>
                </c:pt>
                <c:pt idx="1418">
                  <c:v>49152</c:v>
                </c:pt>
                <c:pt idx="1419">
                  <c:v>49159</c:v>
                </c:pt>
                <c:pt idx="1420">
                  <c:v>49166</c:v>
                </c:pt>
                <c:pt idx="1421">
                  <c:v>49173</c:v>
                </c:pt>
                <c:pt idx="1422">
                  <c:v>49180</c:v>
                </c:pt>
                <c:pt idx="1423">
                  <c:v>49187</c:v>
                </c:pt>
                <c:pt idx="1424">
                  <c:v>49194</c:v>
                </c:pt>
                <c:pt idx="1425">
                  <c:v>49201</c:v>
                </c:pt>
                <c:pt idx="1426">
                  <c:v>49208</c:v>
                </c:pt>
                <c:pt idx="1427">
                  <c:v>49215</c:v>
                </c:pt>
                <c:pt idx="1428">
                  <c:v>49222</c:v>
                </c:pt>
                <c:pt idx="1429">
                  <c:v>49229</c:v>
                </c:pt>
                <c:pt idx="1430">
                  <c:v>49236</c:v>
                </c:pt>
                <c:pt idx="1431">
                  <c:v>49243</c:v>
                </c:pt>
                <c:pt idx="1432">
                  <c:v>49250</c:v>
                </c:pt>
                <c:pt idx="1433">
                  <c:v>49257</c:v>
                </c:pt>
                <c:pt idx="1434">
                  <c:v>49264</c:v>
                </c:pt>
                <c:pt idx="1435">
                  <c:v>49271</c:v>
                </c:pt>
                <c:pt idx="1436">
                  <c:v>49278</c:v>
                </c:pt>
                <c:pt idx="1437">
                  <c:v>49285</c:v>
                </c:pt>
                <c:pt idx="1438">
                  <c:v>49292</c:v>
                </c:pt>
                <c:pt idx="1439">
                  <c:v>49299</c:v>
                </c:pt>
                <c:pt idx="1440">
                  <c:v>49307</c:v>
                </c:pt>
                <c:pt idx="1441">
                  <c:v>49314</c:v>
                </c:pt>
                <c:pt idx="1442">
                  <c:v>49321</c:v>
                </c:pt>
                <c:pt idx="1443">
                  <c:v>49328</c:v>
                </c:pt>
                <c:pt idx="1444">
                  <c:v>49335</c:v>
                </c:pt>
                <c:pt idx="1445">
                  <c:v>49342</c:v>
                </c:pt>
                <c:pt idx="1446">
                  <c:v>49349</c:v>
                </c:pt>
                <c:pt idx="1447">
                  <c:v>49356</c:v>
                </c:pt>
                <c:pt idx="1448">
                  <c:v>49363</c:v>
                </c:pt>
                <c:pt idx="1449">
                  <c:v>49370</c:v>
                </c:pt>
                <c:pt idx="1450">
                  <c:v>49377</c:v>
                </c:pt>
                <c:pt idx="1451">
                  <c:v>49384</c:v>
                </c:pt>
                <c:pt idx="1452">
                  <c:v>49395</c:v>
                </c:pt>
                <c:pt idx="1453">
                  <c:v>49398</c:v>
                </c:pt>
                <c:pt idx="1454">
                  <c:v>49405</c:v>
                </c:pt>
                <c:pt idx="1455">
                  <c:v>49412</c:v>
                </c:pt>
                <c:pt idx="1456">
                  <c:v>49419</c:v>
                </c:pt>
                <c:pt idx="1457">
                  <c:v>49426</c:v>
                </c:pt>
                <c:pt idx="1458">
                  <c:v>49433</c:v>
                </c:pt>
                <c:pt idx="1459">
                  <c:v>49440</c:v>
                </c:pt>
                <c:pt idx="1460">
                  <c:v>49447</c:v>
                </c:pt>
                <c:pt idx="1461">
                  <c:v>49454</c:v>
                </c:pt>
                <c:pt idx="1462">
                  <c:v>49461</c:v>
                </c:pt>
                <c:pt idx="1463">
                  <c:v>49468</c:v>
                </c:pt>
                <c:pt idx="1464">
                  <c:v>49475</c:v>
                </c:pt>
                <c:pt idx="1465">
                  <c:v>49482</c:v>
                </c:pt>
                <c:pt idx="1466">
                  <c:v>49489</c:v>
                </c:pt>
                <c:pt idx="1467">
                  <c:v>49496</c:v>
                </c:pt>
                <c:pt idx="1468">
                  <c:v>49503</c:v>
                </c:pt>
                <c:pt idx="1469">
                  <c:v>49510</c:v>
                </c:pt>
                <c:pt idx="1470">
                  <c:v>49517</c:v>
                </c:pt>
                <c:pt idx="1471">
                  <c:v>49524</c:v>
                </c:pt>
                <c:pt idx="1472">
                  <c:v>49531</c:v>
                </c:pt>
                <c:pt idx="1473">
                  <c:v>49538</c:v>
                </c:pt>
                <c:pt idx="1474">
                  <c:v>49545</c:v>
                </c:pt>
                <c:pt idx="1475">
                  <c:v>49552</c:v>
                </c:pt>
                <c:pt idx="1476">
                  <c:v>49559</c:v>
                </c:pt>
                <c:pt idx="1477">
                  <c:v>49566</c:v>
                </c:pt>
                <c:pt idx="1478">
                  <c:v>49573</c:v>
                </c:pt>
                <c:pt idx="1479">
                  <c:v>49580</c:v>
                </c:pt>
                <c:pt idx="1480">
                  <c:v>49587</c:v>
                </c:pt>
                <c:pt idx="1481">
                  <c:v>49594</c:v>
                </c:pt>
                <c:pt idx="1482">
                  <c:v>49601</c:v>
                </c:pt>
                <c:pt idx="1483">
                  <c:v>49608</c:v>
                </c:pt>
                <c:pt idx="1484">
                  <c:v>49615</c:v>
                </c:pt>
                <c:pt idx="1485">
                  <c:v>49622</c:v>
                </c:pt>
                <c:pt idx="1486">
                  <c:v>49629</c:v>
                </c:pt>
                <c:pt idx="1487">
                  <c:v>49636</c:v>
                </c:pt>
                <c:pt idx="1488">
                  <c:v>49643</c:v>
                </c:pt>
                <c:pt idx="1489">
                  <c:v>49650</c:v>
                </c:pt>
                <c:pt idx="1490">
                  <c:v>49657</c:v>
                </c:pt>
                <c:pt idx="1491">
                  <c:v>49664</c:v>
                </c:pt>
                <c:pt idx="1492">
                  <c:v>49674</c:v>
                </c:pt>
                <c:pt idx="1493">
                  <c:v>49681</c:v>
                </c:pt>
                <c:pt idx="1494">
                  <c:v>49688</c:v>
                </c:pt>
                <c:pt idx="1495">
                  <c:v>49695</c:v>
                </c:pt>
                <c:pt idx="1496">
                  <c:v>49702</c:v>
                </c:pt>
                <c:pt idx="1497">
                  <c:v>49709</c:v>
                </c:pt>
                <c:pt idx="1498">
                  <c:v>49716</c:v>
                </c:pt>
                <c:pt idx="1499">
                  <c:v>49723</c:v>
                </c:pt>
                <c:pt idx="1500">
                  <c:v>49730</c:v>
                </c:pt>
                <c:pt idx="1501">
                  <c:v>49737</c:v>
                </c:pt>
                <c:pt idx="1502">
                  <c:v>49744</c:v>
                </c:pt>
                <c:pt idx="1503">
                  <c:v>49751</c:v>
                </c:pt>
                <c:pt idx="1504">
                  <c:v>49758</c:v>
                </c:pt>
                <c:pt idx="1505">
                  <c:v>49765</c:v>
                </c:pt>
                <c:pt idx="1506">
                  <c:v>49772</c:v>
                </c:pt>
                <c:pt idx="1507">
                  <c:v>49781</c:v>
                </c:pt>
                <c:pt idx="1508">
                  <c:v>49786</c:v>
                </c:pt>
                <c:pt idx="1509">
                  <c:v>49793</c:v>
                </c:pt>
                <c:pt idx="1510">
                  <c:v>49801</c:v>
                </c:pt>
                <c:pt idx="1511">
                  <c:v>49808</c:v>
                </c:pt>
                <c:pt idx="1512">
                  <c:v>49815</c:v>
                </c:pt>
                <c:pt idx="1513">
                  <c:v>49822</c:v>
                </c:pt>
                <c:pt idx="1514">
                  <c:v>49829</c:v>
                </c:pt>
                <c:pt idx="1515">
                  <c:v>49836</c:v>
                </c:pt>
                <c:pt idx="1516">
                  <c:v>49843</c:v>
                </c:pt>
                <c:pt idx="1517">
                  <c:v>49850</c:v>
                </c:pt>
                <c:pt idx="1518">
                  <c:v>49857</c:v>
                </c:pt>
                <c:pt idx="1519">
                  <c:v>49864</c:v>
                </c:pt>
                <c:pt idx="1520">
                  <c:v>49871</c:v>
                </c:pt>
                <c:pt idx="1521">
                  <c:v>49878</c:v>
                </c:pt>
                <c:pt idx="1522">
                  <c:v>49885</c:v>
                </c:pt>
                <c:pt idx="1523">
                  <c:v>49892</c:v>
                </c:pt>
                <c:pt idx="1524">
                  <c:v>49899</c:v>
                </c:pt>
                <c:pt idx="1525">
                  <c:v>49906</c:v>
                </c:pt>
                <c:pt idx="1526">
                  <c:v>49913</c:v>
                </c:pt>
                <c:pt idx="1527">
                  <c:v>49920</c:v>
                </c:pt>
                <c:pt idx="1528">
                  <c:v>49927</c:v>
                </c:pt>
                <c:pt idx="1529">
                  <c:v>49934</c:v>
                </c:pt>
                <c:pt idx="1530">
                  <c:v>49941</c:v>
                </c:pt>
                <c:pt idx="1531">
                  <c:v>49948</c:v>
                </c:pt>
                <c:pt idx="1532">
                  <c:v>49955</c:v>
                </c:pt>
                <c:pt idx="1533">
                  <c:v>49962</c:v>
                </c:pt>
                <c:pt idx="1534">
                  <c:v>49969</c:v>
                </c:pt>
                <c:pt idx="1535">
                  <c:v>49976</c:v>
                </c:pt>
                <c:pt idx="1536">
                  <c:v>49983</c:v>
                </c:pt>
                <c:pt idx="1537">
                  <c:v>49990</c:v>
                </c:pt>
                <c:pt idx="1538">
                  <c:v>49997</c:v>
                </c:pt>
                <c:pt idx="1539">
                  <c:v>50004</c:v>
                </c:pt>
                <c:pt idx="1540">
                  <c:v>50011</c:v>
                </c:pt>
                <c:pt idx="1541">
                  <c:v>50018</c:v>
                </c:pt>
                <c:pt idx="1542">
                  <c:v>50025</c:v>
                </c:pt>
                <c:pt idx="1543">
                  <c:v>50032</c:v>
                </c:pt>
                <c:pt idx="1544">
                  <c:v>50040</c:v>
                </c:pt>
                <c:pt idx="1545">
                  <c:v>50047</c:v>
                </c:pt>
                <c:pt idx="1546">
                  <c:v>50054</c:v>
                </c:pt>
                <c:pt idx="1547">
                  <c:v>50061</c:v>
                </c:pt>
                <c:pt idx="1548">
                  <c:v>50068</c:v>
                </c:pt>
                <c:pt idx="1549">
                  <c:v>50075</c:v>
                </c:pt>
                <c:pt idx="1550">
                  <c:v>50082</c:v>
                </c:pt>
                <c:pt idx="1551">
                  <c:v>50089</c:v>
                </c:pt>
                <c:pt idx="1552">
                  <c:v>50096</c:v>
                </c:pt>
                <c:pt idx="1553">
                  <c:v>50103</c:v>
                </c:pt>
                <c:pt idx="1554">
                  <c:v>50110</c:v>
                </c:pt>
                <c:pt idx="1555">
                  <c:v>50117</c:v>
                </c:pt>
                <c:pt idx="1556">
                  <c:v>50124</c:v>
                </c:pt>
                <c:pt idx="1557">
                  <c:v>50131</c:v>
                </c:pt>
                <c:pt idx="1558">
                  <c:v>50139</c:v>
                </c:pt>
                <c:pt idx="1559">
                  <c:v>50146</c:v>
                </c:pt>
                <c:pt idx="1560">
                  <c:v>50153</c:v>
                </c:pt>
                <c:pt idx="1561">
                  <c:v>50160</c:v>
                </c:pt>
                <c:pt idx="1562">
                  <c:v>50167</c:v>
                </c:pt>
                <c:pt idx="1563">
                  <c:v>50174</c:v>
                </c:pt>
                <c:pt idx="1564">
                  <c:v>50181</c:v>
                </c:pt>
                <c:pt idx="1565">
                  <c:v>50188</c:v>
                </c:pt>
                <c:pt idx="1566">
                  <c:v>50195</c:v>
                </c:pt>
                <c:pt idx="1567">
                  <c:v>50202</c:v>
                </c:pt>
                <c:pt idx="1568">
                  <c:v>50209</c:v>
                </c:pt>
                <c:pt idx="1569">
                  <c:v>50216</c:v>
                </c:pt>
                <c:pt idx="1570">
                  <c:v>50223</c:v>
                </c:pt>
                <c:pt idx="1571">
                  <c:v>50230</c:v>
                </c:pt>
                <c:pt idx="1572">
                  <c:v>50237</c:v>
                </c:pt>
                <c:pt idx="1573">
                  <c:v>50244</c:v>
                </c:pt>
                <c:pt idx="1574">
                  <c:v>50251</c:v>
                </c:pt>
                <c:pt idx="1575">
                  <c:v>50258</c:v>
                </c:pt>
                <c:pt idx="1576">
                  <c:v>50265</c:v>
                </c:pt>
                <c:pt idx="1577">
                  <c:v>50272</c:v>
                </c:pt>
                <c:pt idx="1578">
                  <c:v>50279</c:v>
                </c:pt>
                <c:pt idx="1579">
                  <c:v>50286</c:v>
                </c:pt>
                <c:pt idx="1580">
                  <c:v>50293</c:v>
                </c:pt>
                <c:pt idx="1581">
                  <c:v>50300</c:v>
                </c:pt>
                <c:pt idx="1582">
                  <c:v>50307</c:v>
                </c:pt>
                <c:pt idx="1583">
                  <c:v>50314</c:v>
                </c:pt>
                <c:pt idx="1584">
                  <c:v>50321</c:v>
                </c:pt>
                <c:pt idx="1585">
                  <c:v>50328</c:v>
                </c:pt>
                <c:pt idx="1586">
                  <c:v>50335</c:v>
                </c:pt>
                <c:pt idx="1587">
                  <c:v>50342</c:v>
                </c:pt>
                <c:pt idx="1588">
                  <c:v>50349</c:v>
                </c:pt>
                <c:pt idx="1589">
                  <c:v>50356</c:v>
                </c:pt>
                <c:pt idx="1590">
                  <c:v>50363</c:v>
                </c:pt>
                <c:pt idx="1591">
                  <c:v>50370</c:v>
                </c:pt>
                <c:pt idx="1592">
                  <c:v>50377</c:v>
                </c:pt>
                <c:pt idx="1593">
                  <c:v>50384</c:v>
                </c:pt>
                <c:pt idx="1594">
                  <c:v>50391</c:v>
                </c:pt>
                <c:pt idx="1595">
                  <c:v>50398</c:v>
                </c:pt>
                <c:pt idx="1596">
                  <c:v>50405</c:v>
                </c:pt>
                <c:pt idx="1597">
                  <c:v>50412</c:v>
                </c:pt>
                <c:pt idx="1598">
                  <c:v>50419</c:v>
                </c:pt>
                <c:pt idx="1599">
                  <c:v>50426</c:v>
                </c:pt>
                <c:pt idx="1600">
                  <c:v>50433</c:v>
                </c:pt>
                <c:pt idx="1601">
                  <c:v>50440</c:v>
                </c:pt>
                <c:pt idx="1602">
                  <c:v>50447</c:v>
                </c:pt>
                <c:pt idx="1603">
                  <c:v>50454</c:v>
                </c:pt>
                <c:pt idx="1604">
                  <c:v>50461</c:v>
                </c:pt>
                <c:pt idx="1605">
                  <c:v>50468</c:v>
                </c:pt>
                <c:pt idx="1606">
                  <c:v>50475</c:v>
                </c:pt>
                <c:pt idx="1607">
                  <c:v>50482</c:v>
                </c:pt>
                <c:pt idx="1608">
                  <c:v>50489</c:v>
                </c:pt>
                <c:pt idx="1609">
                  <c:v>50496</c:v>
                </c:pt>
                <c:pt idx="1610">
                  <c:v>50503</c:v>
                </c:pt>
                <c:pt idx="1611">
                  <c:v>50510</c:v>
                </c:pt>
                <c:pt idx="1612">
                  <c:v>50517</c:v>
                </c:pt>
                <c:pt idx="1613">
                  <c:v>50524</c:v>
                </c:pt>
                <c:pt idx="1614">
                  <c:v>50531</c:v>
                </c:pt>
                <c:pt idx="1615">
                  <c:v>50538</c:v>
                </c:pt>
                <c:pt idx="1616">
                  <c:v>50545</c:v>
                </c:pt>
                <c:pt idx="1617">
                  <c:v>50552</c:v>
                </c:pt>
                <c:pt idx="1618">
                  <c:v>50559</c:v>
                </c:pt>
                <c:pt idx="1619">
                  <c:v>50566</c:v>
                </c:pt>
                <c:pt idx="1620">
                  <c:v>50573</c:v>
                </c:pt>
                <c:pt idx="1621">
                  <c:v>50580</c:v>
                </c:pt>
                <c:pt idx="1622">
                  <c:v>50587</c:v>
                </c:pt>
                <c:pt idx="1623">
                  <c:v>50594</c:v>
                </c:pt>
                <c:pt idx="1624">
                  <c:v>50601</c:v>
                </c:pt>
                <c:pt idx="1625">
                  <c:v>50608</c:v>
                </c:pt>
                <c:pt idx="1626">
                  <c:v>50615</c:v>
                </c:pt>
                <c:pt idx="1627">
                  <c:v>50622</c:v>
                </c:pt>
                <c:pt idx="1628">
                  <c:v>50629</c:v>
                </c:pt>
                <c:pt idx="1629">
                  <c:v>50636</c:v>
                </c:pt>
                <c:pt idx="1630">
                  <c:v>50643</c:v>
                </c:pt>
                <c:pt idx="1631">
                  <c:v>50650</c:v>
                </c:pt>
                <c:pt idx="1632">
                  <c:v>50657</c:v>
                </c:pt>
                <c:pt idx="1633">
                  <c:v>50664</c:v>
                </c:pt>
                <c:pt idx="1634">
                  <c:v>50671</c:v>
                </c:pt>
                <c:pt idx="1635">
                  <c:v>50678</c:v>
                </c:pt>
                <c:pt idx="1636">
                  <c:v>50685</c:v>
                </c:pt>
                <c:pt idx="1637">
                  <c:v>50692</c:v>
                </c:pt>
                <c:pt idx="1638">
                  <c:v>50699</c:v>
                </c:pt>
                <c:pt idx="1639">
                  <c:v>50706</c:v>
                </c:pt>
                <c:pt idx="1640">
                  <c:v>50713</c:v>
                </c:pt>
                <c:pt idx="1641">
                  <c:v>50720</c:v>
                </c:pt>
                <c:pt idx="1642">
                  <c:v>50727</c:v>
                </c:pt>
                <c:pt idx="1643">
                  <c:v>50734</c:v>
                </c:pt>
                <c:pt idx="1644">
                  <c:v>50741</c:v>
                </c:pt>
                <c:pt idx="1645">
                  <c:v>50748</c:v>
                </c:pt>
                <c:pt idx="1646">
                  <c:v>50755</c:v>
                </c:pt>
                <c:pt idx="1647">
                  <c:v>50762</c:v>
                </c:pt>
                <c:pt idx="1648">
                  <c:v>50769</c:v>
                </c:pt>
                <c:pt idx="1649">
                  <c:v>50776</c:v>
                </c:pt>
                <c:pt idx="1650">
                  <c:v>50783</c:v>
                </c:pt>
                <c:pt idx="1651">
                  <c:v>50790</c:v>
                </c:pt>
                <c:pt idx="1652">
                  <c:v>50797</c:v>
                </c:pt>
                <c:pt idx="1653">
                  <c:v>50804</c:v>
                </c:pt>
                <c:pt idx="1654">
                  <c:v>50811</c:v>
                </c:pt>
                <c:pt idx="1655">
                  <c:v>50818</c:v>
                </c:pt>
                <c:pt idx="1656">
                  <c:v>50825</c:v>
                </c:pt>
                <c:pt idx="1657">
                  <c:v>50832</c:v>
                </c:pt>
                <c:pt idx="1658">
                  <c:v>50839</c:v>
                </c:pt>
                <c:pt idx="1659">
                  <c:v>50846</c:v>
                </c:pt>
                <c:pt idx="1660">
                  <c:v>50853</c:v>
                </c:pt>
                <c:pt idx="1661">
                  <c:v>50860</c:v>
                </c:pt>
                <c:pt idx="1662">
                  <c:v>50867</c:v>
                </c:pt>
                <c:pt idx="1663">
                  <c:v>50874</c:v>
                </c:pt>
                <c:pt idx="1664">
                  <c:v>50881</c:v>
                </c:pt>
                <c:pt idx="1665">
                  <c:v>50888</c:v>
                </c:pt>
                <c:pt idx="1666">
                  <c:v>50895</c:v>
                </c:pt>
                <c:pt idx="1667">
                  <c:v>50902</c:v>
                </c:pt>
                <c:pt idx="1668">
                  <c:v>50909</c:v>
                </c:pt>
                <c:pt idx="1669">
                  <c:v>50916</c:v>
                </c:pt>
                <c:pt idx="1670">
                  <c:v>50923</c:v>
                </c:pt>
                <c:pt idx="1671">
                  <c:v>50930</c:v>
                </c:pt>
                <c:pt idx="1672">
                  <c:v>50937</c:v>
                </c:pt>
                <c:pt idx="1673">
                  <c:v>50944</c:v>
                </c:pt>
                <c:pt idx="1674">
                  <c:v>50951</c:v>
                </c:pt>
                <c:pt idx="1675">
                  <c:v>50958</c:v>
                </c:pt>
                <c:pt idx="1676">
                  <c:v>50965</c:v>
                </c:pt>
                <c:pt idx="1677">
                  <c:v>50972</c:v>
                </c:pt>
                <c:pt idx="1678">
                  <c:v>50979</c:v>
                </c:pt>
                <c:pt idx="1679">
                  <c:v>50986</c:v>
                </c:pt>
                <c:pt idx="1680">
                  <c:v>50993</c:v>
                </c:pt>
                <c:pt idx="1681">
                  <c:v>51000</c:v>
                </c:pt>
                <c:pt idx="1682">
                  <c:v>51007</c:v>
                </c:pt>
                <c:pt idx="1683">
                  <c:v>51014</c:v>
                </c:pt>
                <c:pt idx="1684">
                  <c:v>51021</c:v>
                </c:pt>
                <c:pt idx="1685">
                  <c:v>51028</c:v>
                </c:pt>
                <c:pt idx="1686">
                  <c:v>51035</c:v>
                </c:pt>
                <c:pt idx="1687">
                  <c:v>51042</c:v>
                </c:pt>
                <c:pt idx="1688">
                  <c:v>51049</c:v>
                </c:pt>
                <c:pt idx="1689">
                  <c:v>51056</c:v>
                </c:pt>
                <c:pt idx="1690">
                  <c:v>51063</c:v>
                </c:pt>
                <c:pt idx="1691">
                  <c:v>51070</c:v>
                </c:pt>
                <c:pt idx="1692">
                  <c:v>51077</c:v>
                </c:pt>
                <c:pt idx="1693">
                  <c:v>51084</c:v>
                </c:pt>
                <c:pt idx="1694">
                  <c:v>51091</c:v>
                </c:pt>
                <c:pt idx="1695">
                  <c:v>51098</c:v>
                </c:pt>
                <c:pt idx="1696">
                  <c:v>51105</c:v>
                </c:pt>
                <c:pt idx="1697">
                  <c:v>51112</c:v>
                </c:pt>
                <c:pt idx="1698">
                  <c:v>51119</c:v>
                </c:pt>
                <c:pt idx="1699">
                  <c:v>51126</c:v>
                </c:pt>
                <c:pt idx="1700">
                  <c:v>51133</c:v>
                </c:pt>
                <c:pt idx="1701">
                  <c:v>51140</c:v>
                </c:pt>
                <c:pt idx="1702">
                  <c:v>51147</c:v>
                </c:pt>
                <c:pt idx="1703">
                  <c:v>51154</c:v>
                </c:pt>
                <c:pt idx="1704">
                  <c:v>51161</c:v>
                </c:pt>
                <c:pt idx="1705">
                  <c:v>51168</c:v>
                </c:pt>
                <c:pt idx="1706">
                  <c:v>51175</c:v>
                </c:pt>
                <c:pt idx="1707">
                  <c:v>51182</c:v>
                </c:pt>
                <c:pt idx="1708">
                  <c:v>51189</c:v>
                </c:pt>
                <c:pt idx="1709">
                  <c:v>51196</c:v>
                </c:pt>
                <c:pt idx="1710">
                  <c:v>51203</c:v>
                </c:pt>
                <c:pt idx="1711">
                  <c:v>51210</c:v>
                </c:pt>
                <c:pt idx="1712">
                  <c:v>51217</c:v>
                </c:pt>
                <c:pt idx="1713">
                  <c:v>51224</c:v>
                </c:pt>
                <c:pt idx="1714">
                  <c:v>51231</c:v>
                </c:pt>
                <c:pt idx="1715">
                  <c:v>51238</c:v>
                </c:pt>
                <c:pt idx="1716">
                  <c:v>51245</c:v>
                </c:pt>
                <c:pt idx="1717">
                  <c:v>51252</c:v>
                </c:pt>
                <c:pt idx="1718">
                  <c:v>51260</c:v>
                </c:pt>
                <c:pt idx="1719">
                  <c:v>51267</c:v>
                </c:pt>
                <c:pt idx="1720">
                  <c:v>51274</c:v>
                </c:pt>
                <c:pt idx="1721">
                  <c:v>51281</c:v>
                </c:pt>
                <c:pt idx="1722">
                  <c:v>51288</c:v>
                </c:pt>
                <c:pt idx="1723">
                  <c:v>51295</c:v>
                </c:pt>
                <c:pt idx="1724">
                  <c:v>51302</c:v>
                </c:pt>
                <c:pt idx="1725">
                  <c:v>51309</c:v>
                </c:pt>
                <c:pt idx="1726">
                  <c:v>51316</c:v>
                </c:pt>
                <c:pt idx="1727">
                  <c:v>51323</c:v>
                </c:pt>
                <c:pt idx="1728">
                  <c:v>51330</c:v>
                </c:pt>
                <c:pt idx="1729">
                  <c:v>51337</c:v>
                </c:pt>
                <c:pt idx="1730">
                  <c:v>51344</c:v>
                </c:pt>
                <c:pt idx="1731">
                  <c:v>51351</c:v>
                </c:pt>
                <c:pt idx="1732">
                  <c:v>51358</c:v>
                </c:pt>
                <c:pt idx="1733">
                  <c:v>51365</c:v>
                </c:pt>
                <c:pt idx="1734">
                  <c:v>51372</c:v>
                </c:pt>
                <c:pt idx="1735">
                  <c:v>51379</c:v>
                </c:pt>
                <c:pt idx="1736">
                  <c:v>51386</c:v>
                </c:pt>
                <c:pt idx="1737">
                  <c:v>51393</c:v>
                </c:pt>
                <c:pt idx="1738">
                  <c:v>51400</c:v>
                </c:pt>
                <c:pt idx="1739">
                  <c:v>51407</c:v>
                </c:pt>
                <c:pt idx="1740">
                  <c:v>51414</c:v>
                </c:pt>
                <c:pt idx="1741">
                  <c:v>51421</c:v>
                </c:pt>
                <c:pt idx="1742">
                  <c:v>51428</c:v>
                </c:pt>
                <c:pt idx="1743">
                  <c:v>51435</c:v>
                </c:pt>
                <c:pt idx="1744">
                  <c:v>51442</c:v>
                </c:pt>
                <c:pt idx="1745">
                  <c:v>51449</c:v>
                </c:pt>
                <c:pt idx="1746">
                  <c:v>51456</c:v>
                </c:pt>
                <c:pt idx="1747">
                  <c:v>51463</c:v>
                </c:pt>
                <c:pt idx="1748">
                  <c:v>51470</c:v>
                </c:pt>
                <c:pt idx="1749">
                  <c:v>51477</c:v>
                </c:pt>
                <c:pt idx="1750">
                  <c:v>51484</c:v>
                </c:pt>
                <c:pt idx="1751">
                  <c:v>51491</c:v>
                </c:pt>
                <c:pt idx="1752">
                  <c:v>51501</c:v>
                </c:pt>
                <c:pt idx="1753">
                  <c:v>51508</c:v>
                </c:pt>
                <c:pt idx="1754">
                  <c:v>51515</c:v>
                </c:pt>
                <c:pt idx="1755">
                  <c:v>51522</c:v>
                </c:pt>
                <c:pt idx="1756">
                  <c:v>51529</c:v>
                </c:pt>
                <c:pt idx="1757">
                  <c:v>51536</c:v>
                </c:pt>
                <c:pt idx="1758">
                  <c:v>51543</c:v>
                </c:pt>
                <c:pt idx="1759">
                  <c:v>51550</c:v>
                </c:pt>
                <c:pt idx="1760">
                  <c:v>51557</c:v>
                </c:pt>
                <c:pt idx="1761">
                  <c:v>51564</c:v>
                </c:pt>
                <c:pt idx="1762">
                  <c:v>51571</c:v>
                </c:pt>
                <c:pt idx="1763">
                  <c:v>51578</c:v>
                </c:pt>
                <c:pt idx="1764">
                  <c:v>51585</c:v>
                </c:pt>
                <c:pt idx="1765">
                  <c:v>51592</c:v>
                </c:pt>
                <c:pt idx="1766">
                  <c:v>51599</c:v>
                </c:pt>
                <c:pt idx="1767">
                  <c:v>51606</c:v>
                </c:pt>
                <c:pt idx="1768">
                  <c:v>51615</c:v>
                </c:pt>
                <c:pt idx="1769">
                  <c:v>51620</c:v>
                </c:pt>
                <c:pt idx="1770">
                  <c:v>51627</c:v>
                </c:pt>
                <c:pt idx="1771">
                  <c:v>51634</c:v>
                </c:pt>
                <c:pt idx="1772">
                  <c:v>51641</c:v>
                </c:pt>
                <c:pt idx="1773">
                  <c:v>51648</c:v>
                </c:pt>
                <c:pt idx="1774">
                  <c:v>51655</c:v>
                </c:pt>
                <c:pt idx="1775">
                  <c:v>51662</c:v>
                </c:pt>
                <c:pt idx="1776">
                  <c:v>51669</c:v>
                </c:pt>
                <c:pt idx="1777">
                  <c:v>51676</c:v>
                </c:pt>
                <c:pt idx="1778">
                  <c:v>51683</c:v>
                </c:pt>
                <c:pt idx="1779">
                  <c:v>51690</c:v>
                </c:pt>
                <c:pt idx="1780">
                  <c:v>51697</c:v>
                </c:pt>
                <c:pt idx="1781">
                  <c:v>51704</c:v>
                </c:pt>
                <c:pt idx="1782">
                  <c:v>51711</c:v>
                </c:pt>
                <c:pt idx="1783">
                  <c:v>51718</c:v>
                </c:pt>
                <c:pt idx="1784">
                  <c:v>51725</c:v>
                </c:pt>
                <c:pt idx="1785">
                  <c:v>51732</c:v>
                </c:pt>
                <c:pt idx="1786">
                  <c:v>51739</c:v>
                </c:pt>
                <c:pt idx="1787">
                  <c:v>51746</c:v>
                </c:pt>
                <c:pt idx="1788">
                  <c:v>51753</c:v>
                </c:pt>
                <c:pt idx="1789">
                  <c:v>51760</c:v>
                </c:pt>
                <c:pt idx="1790">
                  <c:v>51767</c:v>
                </c:pt>
                <c:pt idx="1791">
                  <c:v>51774</c:v>
                </c:pt>
                <c:pt idx="1792">
                  <c:v>51781</c:v>
                </c:pt>
                <c:pt idx="1793">
                  <c:v>51788</c:v>
                </c:pt>
                <c:pt idx="1794">
                  <c:v>51795</c:v>
                </c:pt>
                <c:pt idx="1795">
                  <c:v>51802</c:v>
                </c:pt>
                <c:pt idx="1796">
                  <c:v>51809</c:v>
                </c:pt>
                <c:pt idx="1797">
                  <c:v>51816</c:v>
                </c:pt>
                <c:pt idx="1798">
                  <c:v>51823</c:v>
                </c:pt>
                <c:pt idx="1799">
                  <c:v>51830</c:v>
                </c:pt>
                <c:pt idx="1800">
                  <c:v>51837</c:v>
                </c:pt>
                <c:pt idx="1801">
                  <c:v>51844</c:v>
                </c:pt>
                <c:pt idx="1802">
                  <c:v>51851</c:v>
                </c:pt>
                <c:pt idx="1803">
                  <c:v>51858</c:v>
                </c:pt>
                <c:pt idx="1804">
                  <c:v>51866</c:v>
                </c:pt>
                <c:pt idx="1805">
                  <c:v>51873</c:v>
                </c:pt>
                <c:pt idx="1806">
                  <c:v>51880</c:v>
                </c:pt>
                <c:pt idx="1807">
                  <c:v>51887</c:v>
                </c:pt>
                <c:pt idx="1808">
                  <c:v>51894</c:v>
                </c:pt>
                <c:pt idx="1809">
                  <c:v>51901</c:v>
                </c:pt>
                <c:pt idx="1810">
                  <c:v>51908</c:v>
                </c:pt>
                <c:pt idx="1811">
                  <c:v>51915</c:v>
                </c:pt>
                <c:pt idx="1812">
                  <c:v>51922</c:v>
                </c:pt>
                <c:pt idx="1813">
                  <c:v>51929</c:v>
                </c:pt>
                <c:pt idx="1814">
                  <c:v>51936</c:v>
                </c:pt>
                <c:pt idx="1815">
                  <c:v>51943</c:v>
                </c:pt>
                <c:pt idx="1816">
                  <c:v>51950</c:v>
                </c:pt>
                <c:pt idx="1817">
                  <c:v>51957</c:v>
                </c:pt>
                <c:pt idx="1818">
                  <c:v>51966</c:v>
                </c:pt>
                <c:pt idx="1819">
                  <c:v>51973</c:v>
                </c:pt>
                <c:pt idx="1820">
                  <c:v>51980</c:v>
                </c:pt>
                <c:pt idx="1821">
                  <c:v>51988</c:v>
                </c:pt>
                <c:pt idx="1822">
                  <c:v>51994</c:v>
                </c:pt>
                <c:pt idx="1823">
                  <c:v>52001</c:v>
                </c:pt>
                <c:pt idx="1824">
                  <c:v>52008</c:v>
                </c:pt>
                <c:pt idx="1825">
                  <c:v>52015</c:v>
                </c:pt>
                <c:pt idx="1826">
                  <c:v>52022</c:v>
                </c:pt>
                <c:pt idx="1827">
                  <c:v>52029</c:v>
                </c:pt>
                <c:pt idx="1828">
                  <c:v>52036</c:v>
                </c:pt>
                <c:pt idx="1829">
                  <c:v>52043</c:v>
                </c:pt>
                <c:pt idx="1830">
                  <c:v>52050</c:v>
                </c:pt>
                <c:pt idx="1831">
                  <c:v>52057</c:v>
                </c:pt>
                <c:pt idx="1832">
                  <c:v>52064</c:v>
                </c:pt>
                <c:pt idx="1833">
                  <c:v>52071</c:v>
                </c:pt>
                <c:pt idx="1834">
                  <c:v>52078</c:v>
                </c:pt>
                <c:pt idx="1835">
                  <c:v>52085</c:v>
                </c:pt>
                <c:pt idx="1836">
                  <c:v>52092</c:v>
                </c:pt>
                <c:pt idx="1837">
                  <c:v>52099</c:v>
                </c:pt>
                <c:pt idx="1838">
                  <c:v>52106</c:v>
                </c:pt>
                <c:pt idx="1839">
                  <c:v>52113</c:v>
                </c:pt>
                <c:pt idx="1840">
                  <c:v>52120</c:v>
                </c:pt>
                <c:pt idx="1841">
                  <c:v>52127</c:v>
                </c:pt>
                <c:pt idx="1842">
                  <c:v>52134</c:v>
                </c:pt>
                <c:pt idx="1843">
                  <c:v>52141</c:v>
                </c:pt>
                <c:pt idx="1844">
                  <c:v>52148</c:v>
                </c:pt>
                <c:pt idx="1845">
                  <c:v>52155</c:v>
                </c:pt>
                <c:pt idx="1846">
                  <c:v>52162</c:v>
                </c:pt>
                <c:pt idx="1847">
                  <c:v>52169</c:v>
                </c:pt>
                <c:pt idx="1848">
                  <c:v>52176</c:v>
                </c:pt>
                <c:pt idx="1849">
                  <c:v>52183</c:v>
                </c:pt>
                <c:pt idx="1850">
                  <c:v>52190</c:v>
                </c:pt>
                <c:pt idx="1851">
                  <c:v>52197</c:v>
                </c:pt>
                <c:pt idx="1852">
                  <c:v>52204</c:v>
                </c:pt>
                <c:pt idx="1853">
                  <c:v>52211</c:v>
                </c:pt>
                <c:pt idx="1854">
                  <c:v>52218</c:v>
                </c:pt>
                <c:pt idx="1855">
                  <c:v>52229</c:v>
                </c:pt>
                <c:pt idx="1856">
                  <c:v>52233</c:v>
                </c:pt>
                <c:pt idx="1857">
                  <c:v>52239</c:v>
                </c:pt>
                <c:pt idx="1858">
                  <c:v>52246</c:v>
                </c:pt>
                <c:pt idx="1859">
                  <c:v>52253</c:v>
                </c:pt>
                <c:pt idx="1860">
                  <c:v>52260</c:v>
                </c:pt>
                <c:pt idx="1861">
                  <c:v>52267</c:v>
                </c:pt>
                <c:pt idx="1862">
                  <c:v>52274</c:v>
                </c:pt>
                <c:pt idx="1863">
                  <c:v>52281</c:v>
                </c:pt>
                <c:pt idx="1864">
                  <c:v>52288</c:v>
                </c:pt>
                <c:pt idx="1865">
                  <c:v>52295</c:v>
                </c:pt>
                <c:pt idx="1866">
                  <c:v>52302</c:v>
                </c:pt>
                <c:pt idx="1867">
                  <c:v>52309</c:v>
                </c:pt>
                <c:pt idx="1868">
                  <c:v>52316</c:v>
                </c:pt>
                <c:pt idx="1869">
                  <c:v>52323</c:v>
                </c:pt>
                <c:pt idx="1870">
                  <c:v>52330</c:v>
                </c:pt>
                <c:pt idx="1871">
                  <c:v>52337</c:v>
                </c:pt>
                <c:pt idx="1872">
                  <c:v>52344</c:v>
                </c:pt>
                <c:pt idx="1873">
                  <c:v>52351</c:v>
                </c:pt>
                <c:pt idx="1874">
                  <c:v>52358</c:v>
                </c:pt>
                <c:pt idx="1875">
                  <c:v>52365</c:v>
                </c:pt>
                <c:pt idx="1876">
                  <c:v>52372</c:v>
                </c:pt>
                <c:pt idx="1877">
                  <c:v>52379</c:v>
                </c:pt>
                <c:pt idx="1878">
                  <c:v>52386</c:v>
                </c:pt>
                <c:pt idx="1879">
                  <c:v>52393</c:v>
                </c:pt>
                <c:pt idx="1880">
                  <c:v>52400</c:v>
                </c:pt>
                <c:pt idx="1881">
                  <c:v>52407</c:v>
                </c:pt>
                <c:pt idx="1882">
                  <c:v>52414</c:v>
                </c:pt>
                <c:pt idx="1883">
                  <c:v>52421</c:v>
                </c:pt>
                <c:pt idx="1884">
                  <c:v>52428</c:v>
                </c:pt>
                <c:pt idx="1885">
                  <c:v>52435</c:v>
                </c:pt>
                <c:pt idx="1886">
                  <c:v>52442</c:v>
                </c:pt>
                <c:pt idx="1887">
                  <c:v>52449</c:v>
                </c:pt>
                <c:pt idx="1888">
                  <c:v>52456</c:v>
                </c:pt>
                <c:pt idx="1889">
                  <c:v>52463</c:v>
                </c:pt>
                <c:pt idx="1890">
                  <c:v>52470</c:v>
                </c:pt>
                <c:pt idx="1891">
                  <c:v>52477</c:v>
                </c:pt>
                <c:pt idx="1892">
                  <c:v>52484</c:v>
                </c:pt>
                <c:pt idx="1893">
                  <c:v>52491</c:v>
                </c:pt>
                <c:pt idx="1894">
                  <c:v>52498</c:v>
                </c:pt>
                <c:pt idx="1895">
                  <c:v>52505</c:v>
                </c:pt>
                <c:pt idx="1896">
                  <c:v>52512</c:v>
                </c:pt>
                <c:pt idx="1897">
                  <c:v>52519</c:v>
                </c:pt>
                <c:pt idx="1898">
                  <c:v>52526</c:v>
                </c:pt>
                <c:pt idx="1899">
                  <c:v>52533</c:v>
                </c:pt>
                <c:pt idx="1900">
                  <c:v>52540</c:v>
                </c:pt>
                <c:pt idx="1901">
                  <c:v>52547</c:v>
                </c:pt>
                <c:pt idx="1902">
                  <c:v>52554</c:v>
                </c:pt>
                <c:pt idx="1903">
                  <c:v>52561</c:v>
                </c:pt>
                <c:pt idx="1904">
                  <c:v>52568</c:v>
                </c:pt>
                <c:pt idx="1905">
                  <c:v>52575</c:v>
                </c:pt>
                <c:pt idx="1906">
                  <c:v>52582</c:v>
                </c:pt>
                <c:pt idx="1907">
                  <c:v>52589</c:v>
                </c:pt>
                <c:pt idx="1908">
                  <c:v>52596</c:v>
                </c:pt>
                <c:pt idx="1909">
                  <c:v>52603</c:v>
                </c:pt>
                <c:pt idx="1910">
                  <c:v>52610</c:v>
                </c:pt>
                <c:pt idx="1911">
                  <c:v>52617</c:v>
                </c:pt>
                <c:pt idx="1912">
                  <c:v>52624</c:v>
                </c:pt>
                <c:pt idx="1913">
                  <c:v>52631</c:v>
                </c:pt>
                <c:pt idx="1914">
                  <c:v>52638</c:v>
                </c:pt>
                <c:pt idx="1915">
                  <c:v>52645</c:v>
                </c:pt>
                <c:pt idx="1916">
                  <c:v>52652</c:v>
                </c:pt>
                <c:pt idx="1917">
                  <c:v>52659</c:v>
                </c:pt>
                <c:pt idx="1918">
                  <c:v>52666</c:v>
                </c:pt>
                <c:pt idx="1919">
                  <c:v>52673</c:v>
                </c:pt>
                <c:pt idx="1920">
                  <c:v>52680</c:v>
                </c:pt>
                <c:pt idx="1921">
                  <c:v>52687</c:v>
                </c:pt>
                <c:pt idx="1922">
                  <c:v>52694</c:v>
                </c:pt>
                <c:pt idx="1923">
                  <c:v>52701</c:v>
                </c:pt>
                <c:pt idx="1924">
                  <c:v>52708</c:v>
                </c:pt>
                <c:pt idx="1925">
                  <c:v>52715</c:v>
                </c:pt>
                <c:pt idx="1926">
                  <c:v>52722</c:v>
                </c:pt>
                <c:pt idx="1927">
                  <c:v>52729</c:v>
                </c:pt>
                <c:pt idx="1928">
                  <c:v>52736</c:v>
                </c:pt>
                <c:pt idx="1929">
                  <c:v>52743</c:v>
                </c:pt>
                <c:pt idx="1930">
                  <c:v>52750</c:v>
                </c:pt>
                <c:pt idx="1931">
                  <c:v>52757</c:v>
                </c:pt>
                <c:pt idx="1932">
                  <c:v>52764</c:v>
                </c:pt>
                <c:pt idx="1933">
                  <c:v>52771</c:v>
                </c:pt>
                <c:pt idx="1934">
                  <c:v>52778</c:v>
                </c:pt>
                <c:pt idx="1935">
                  <c:v>52785</c:v>
                </c:pt>
                <c:pt idx="1936">
                  <c:v>52792</c:v>
                </c:pt>
                <c:pt idx="1937">
                  <c:v>52799</c:v>
                </c:pt>
                <c:pt idx="1938">
                  <c:v>52806</c:v>
                </c:pt>
                <c:pt idx="1939">
                  <c:v>52813</c:v>
                </c:pt>
                <c:pt idx="1940">
                  <c:v>52820</c:v>
                </c:pt>
                <c:pt idx="1941">
                  <c:v>52827</c:v>
                </c:pt>
                <c:pt idx="1942">
                  <c:v>52834</c:v>
                </c:pt>
                <c:pt idx="1943">
                  <c:v>52841</c:v>
                </c:pt>
                <c:pt idx="1944">
                  <c:v>52848</c:v>
                </c:pt>
                <c:pt idx="1945">
                  <c:v>52855</c:v>
                </c:pt>
                <c:pt idx="1946">
                  <c:v>52862</c:v>
                </c:pt>
                <c:pt idx="1947">
                  <c:v>52869</c:v>
                </c:pt>
                <c:pt idx="1948">
                  <c:v>52876</c:v>
                </c:pt>
                <c:pt idx="1949">
                  <c:v>52883</c:v>
                </c:pt>
                <c:pt idx="1950">
                  <c:v>52890</c:v>
                </c:pt>
                <c:pt idx="1951">
                  <c:v>52897</c:v>
                </c:pt>
                <c:pt idx="1952">
                  <c:v>52904</c:v>
                </c:pt>
                <c:pt idx="1953">
                  <c:v>52911</c:v>
                </c:pt>
                <c:pt idx="1954">
                  <c:v>52918</c:v>
                </c:pt>
                <c:pt idx="1955">
                  <c:v>52925</c:v>
                </c:pt>
                <c:pt idx="1956">
                  <c:v>52932</c:v>
                </c:pt>
                <c:pt idx="1957">
                  <c:v>52939</c:v>
                </c:pt>
                <c:pt idx="1958">
                  <c:v>52946</c:v>
                </c:pt>
                <c:pt idx="1959">
                  <c:v>52953</c:v>
                </c:pt>
                <c:pt idx="1960">
                  <c:v>52960</c:v>
                </c:pt>
                <c:pt idx="1961">
                  <c:v>52967</c:v>
                </c:pt>
                <c:pt idx="1962">
                  <c:v>52974</c:v>
                </c:pt>
                <c:pt idx="1963">
                  <c:v>52981</c:v>
                </c:pt>
                <c:pt idx="1964">
                  <c:v>52988</c:v>
                </c:pt>
                <c:pt idx="1965">
                  <c:v>52995</c:v>
                </c:pt>
                <c:pt idx="1966">
                  <c:v>53002</c:v>
                </c:pt>
                <c:pt idx="1967">
                  <c:v>53009</c:v>
                </c:pt>
                <c:pt idx="1968">
                  <c:v>53016</c:v>
                </c:pt>
                <c:pt idx="1969">
                  <c:v>53023</c:v>
                </c:pt>
                <c:pt idx="1970">
                  <c:v>53030</c:v>
                </c:pt>
                <c:pt idx="1971">
                  <c:v>53037</c:v>
                </c:pt>
                <c:pt idx="1972">
                  <c:v>53044</c:v>
                </c:pt>
                <c:pt idx="1973">
                  <c:v>53051</c:v>
                </c:pt>
                <c:pt idx="1974">
                  <c:v>53058</c:v>
                </c:pt>
                <c:pt idx="1975">
                  <c:v>53065</c:v>
                </c:pt>
                <c:pt idx="1976">
                  <c:v>53072</c:v>
                </c:pt>
                <c:pt idx="1977">
                  <c:v>53079</c:v>
                </c:pt>
                <c:pt idx="1978">
                  <c:v>53086</c:v>
                </c:pt>
                <c:pt idx="1979">
                  <c:v>53093</c:v>
                </c:pt>
                <c:pt idx="1980">
                  <c:v>53100</c:v>
                </c:pt>
                <c:pt idx="1981">
                  <c:v>53107</c:v>
                </c:pt>
                <c:pt idx="1982">
                  <c:v>53114</c:v>
                </c:pt>
                <c:pt idx="1983">
                  <c:v>53121</c:v>
                </c:pt>
                <c:pt idx="1984">
                  <c:v>53128</c:v>
                </c:pt>
                <c:pt idx="1985">
                  <c:v>53135</c:v>
                </c:pt>
                <c:pt idx="1986">
                  <c:v>53142</c:v>
                </c:pt>
                <c:pt idx="1987">
                  <c:v>53149</c:v>
                </c:pt>
                <c:pt idx="1988">
                  <c:v>53156</c:v>
                </c:pt>
                <c:pt idx="1989">
                  <c:v>53163</c:v>
                </c:pt>
                <c:pt idx="1990">
                  <c:v>53170</c:v>
                </c:pt>
                <c:pt idx="1991">
                  <c:v>53177</c:v>
                </c:pt>
                <c:pt idx="1992">
                  <c:v>53184</c:v>
                </c:pt>
                <c:pt idx="1993">
                  <c:v>53191</c:v>
                </c:pt>
                <c:pt idx="1994">
                  <c:v>53198</c:v>
                </c:pt>
                <c:pt idx="1995">
                  <c:v>53205</c:v>
                </c:pt>
                <c:pt idx="1996">
                  <c:v>53212</c:v>
                </c:pt>
                <c:pt idx="1997">
                  <c:v>53219</c:v>
                </c:pt>
                <c:pt idx="1998">
                  <c:v>53226</c:v>
                </c:pt>
                <c:pt idx="1999">
                  <c:v>53233</c:v>
                </c:pt>
                <c:pt idx="2000">
                  <c:v>53240</c:v>
                </c:pt>
                <c:pt idx="2001">
                  <c:v>53247</c:v>
                </c:pt>
                <c:pt idx="2002">
                  <c:v>53254</c:v>
                </c:pt>
                <c:pt idx="2003">
                  <c:v>53261</c:v>
                </c:pt>
                <c:pt idx="2004">
                  <c:v>53268</c:v>
                </c:pt>
                <c:pt idx="2005">
                  <c:v>53275</c:v>
                </c:pt>
                <c:pt idx="2006">
                  <c:v>53282</c:v>
                </c:pt>
                <c:pt idx="2007">
                  <c:v>53289</c:v>
                </c:pt>
                <c:pt idx="2008">
                  <c:v>53296</c:v>
                </c:pt>
                <c:pt idx="2009">
                  <c:v>53303</c:v>
                </c:pt>
                <c:pt idx="2010">
                  <c:v>53310</c:v>
                </c:pt>
                <c:pt idx="2011">
                  <c:v>53317</c:v>
                </c:pt>
                <c:pt idx="2012">
                  <c:v>53325</c:v>
                </c:pt>
                <c:pt idx="2013">
                  <c:v>53332</c:v>
                </c:pt>
                <c:pt idx="2014">
                  <c:v>53339</c:v>
                </c:pt>
                <c:pt idx="2015">
                  <c:v>53346</c:v>
                </c:pt>
                <c:pt idx="2016">
                  <c:v>53353</c:v>
                </c:pt>
                <c:pt idx="2017">
                  <c:v>53360</c:v>
                </c:pt>
                <c:pt idx="2018">
                  <c:v>53367</c:v>
                </c:pt>
                <c:pt idx="2019">
                  <c:v>53374</c:v>
                </c:pt>
                <c:pt idx="2020">
                  <c:v>53381</c:v>
                </c:pt>
                <c:pt idx="2021">
                  <c:v>53388</c:v>
                </c:pt>
                <c:pt idx="2022">
                  <c:v>53395</c:v>
                </c:pt>
                <c:pt idx="2023">
                  <c:v>53402</c:v>
                </c:pt>
                <c:pt idx="2024">
                  <c:v>53413</c:v>
                </c:pt>
                <c:pt idx="2025">
                  <c:v>53416</c:v>
                </c:pt>
                <c:pt idx="2026">
                  <c:v>53423</c:v>
                </c:pt>
                <c:pt idx="2027">
                  <c:v>53430</c:v>
                </c:pt>
                <c:pt idx="2028">
                  <c:v>53437</c:v>
                </c:pt>
                <c:pt idx="2029">
                  <c:v>53444</c:v>
                </c:pt>
                <c:pt idx="2030">
                  <c:v>53451</c:v>
                </c:pt>
                <c:pt idx="2031">
                  <c:v>53458</c:v>
                </c:pt>
                <c:pt idx="2032">
                  <c:v>53465</c:v>
                </c:pt>
                <c:pt idx="2033">
                  <c:v>53472</c:v>
                </c:pt>
                <c:pt idx="2034">
                  <c:v>53479</c:v>
                </c:pt>
                <c:pt idx="2035">
                  <c:v>53486</c:v>
                </c:pt>
                <c:pt idx="2036">
                  <c:v>53493</c:v>
                </c:pt>
                <c:pt idx="2037">
                  <c:v>53500</c:v>
                </c:pt>
                <c:pt idx="2038">
                  <c:v>53507</c:v>
                </c:pt>
                <c:pt idx="2039">
                  <c:v>53514</c:v>
                </c:pt>
                <c:pt idx="2040">
                  <c:v>53521</c:v>
                </c:pt>
                <c:pt idx="2041">
                  <c:v>53528</c:v>
                </c:pt>
                <c:pt idx="2042">
                  <c:v>53535</c:v>
                </c:pt>
                <c:pt idx="2043">
                  <c:v>53542</c:v>
                </c:pt>
                <c:pt idx="2044">
                  <c:v>53549</c:v>
                </c:pt>
                <c:pt idx="2045">
                  <c:v>53556</c:v>
                </c:pt>
                <c:pt idx="2046">
                  <c:v>53563</c:v>
                </c:pt>
                <c:pt idx="2047">
                  <c:v>53570</c:v>
                </c:pt>
                <c:pt idx="2048">
                  <c:v>53577</c:v>
                </c:pt>
                <c:pt idx="2049">
                  <c:v>53584</c:v>
                </c:pt>
                <c:pt idx="2050">
                  <c:v>53591</c:v>
                </c:pt>
                <c:pt idx="2051">
                  <c:v>53598</c:v>
                </c:pt>
                <c:pt idx="2052">
                  <c:v>53605</c:v>
                </c:pt>
                <c:pt idx="2053">
                  <c:v>53612</c:v>
                </c:pt>
                <c:pt idx="2054">
                  <c:v>53619</c:v>
                </c:pt>
                <c:pt idx="2055">
                  <c:v>53626</c:v>
                </c:pt>
                <c:pt idx="2056">
                  <c:v>53633</c:v>
                </c:pt>
                <c:pt idx="2057">
                  <c:v>53640</c:v>
                </c:pt>
                <c:pt idx="2058">
                  <c:v>53647</c:v>
                </c:pt>
                <c:pt idx="2059">
                  <c:v>53654</c:v>
                </c:pt>
                <c:pt idx="2060">
                  <c:v>53661</c:v>
                </c:pt>
                <c:pt idx="2061">
                  <c:v>53668</c:v>
                </c:pt>
                <c:pt idx="2062">
                  <c:v>53675</c:v>
                </c:pt>
                <c:pt idx="2063">
                  <c:v>53682</c:v>
                </c:pt>
                <c:pt idx="2064">
                  <c:v>53692</c:v>
                </c:pt>
                <c:pt idx="2065">
                  <c:v>53699</c:v>
                </c:pt>
                <c:pt idx="2066">
                  <c:v>53706</c:v>
                </c:pt>
                <c:pt idx="2067">
                  <c:v>53713</c:v>
                </c:pt>
                <c:pt idx="2068">
                  <c:v>53720</c:v>
                </c:pt>
                <c:pt idx="2069">
                  <c:v>53727</c:v>
                </c:pt>
                <c:pt idx="2070">
                  <c:v>53734</c:v>
                </c:pt>
                <c:pt idx="2071">
                  <c:v>53741</c:v>
                </c:pt>
                <c:pt idx="2072">
                  <c:v>53748</c:v>
                </c:pt>
                <c:pt idx="2073">
                  <c:v>53755</c:v>
                </c:pt>
                <c:pt idx="2074">
                  <c:v>53762</c:v>
                </c:pt>
                <c:pt idx="2075">
                  <c:v>53769</c:v>
                </c:pt>
                <c:pt idx="2076">
                  <c:v>53776</c:v>
                </c:pt>
                <c:pt idx="2077">
                  <c:v>53783</c:v>
                </c:pt>
                <c:pt idx="2078">
                  <c:v>53790</c:v>
                </c:pt>
                <c:pt idx="2079">
                  <c:v>53799</c:v>
                </c:pt>
                <c:pt idx="2080">
                  <c:v>53804</c:v>
                </c:pt>
                <c:pt idx="2081">
                  <c:v>53811</c:v>
                </c:pt>
                <c:pt idx="2082">
                  <c:v>53818</c:v>
                </c:pt>
                <c:pt idx="2083">
                  <c:v>53825</c:v>
                </c:pt>
                <c:pt idx="2084">
                  <c:v>53832</c:v>
                </c:pt>
                <c:pt idx="2085">
                  <c:v>53839</c:v>
                </c:pt>
                <c:pt idx="2086">
                  <c:v>53846</c:v>
                </c:pt>
                <c:pt idx="2087">
                  <c:v>53853</c:v>
                </c:pt>
                <c:pt idx="2088">
                  <c:v>53860</c:v>
                </c:pt>
                <c:pt idx="2089">
                  <c:v>53867</c:v>
                </c:pt>
                <c:pt idx="2090">
                  <c:v>53874</c:v>
                </c:pt>
                <c:pt idx="2091">
                  <c:v>53881</c:v>
                </c:pt>
                <c:pt idx="2092">
                  <c:v>53888</c:v>
                </c:pt>
                <c:pt idx="2093">
                  <c:v>53895</c:v>
                </c:pt>
                <c:pt idx="2094">
                  <c:v>53902</c:v>
                </c:pt>
                <c:pt idx="2095">
                  <c:v>53909</c:v>
                </c:pt>
                <c:pt idx="2096">
                  <c:v>53916</c:v>
                </c:pt>
                <c:pt idx="2097">
                  <c:v>53923</c:v>
                </c:pt>
                <c:pt idx="2098">
                  <c:v>53930</c:v>
                </c:pt>
                <c:pt idx="2099">
                  <c:v>53937</c:v>
                </c:pt>
                <c:pt idx="2100">
                  <c:v>53944</c:v>
                </c:pt>
                <c:pt idx="2101">
                  <c:v>53951</c:v>
                </c:pt>
                <c:pt idx="2102">
                  <c:v>53958</c:v>
                </c:pt>
                <c:pt idx="2103">
                  <c:v>53965</c:v>
                </c:pt>
                <c:pt idx="2104">
                  <c:v>53972</c:v>
                </c:pt>
                <c:pt idx="2105">
                  <c:v>53979</c:v>
                </c:pt>
                <c:pt idx="2106">
                  <c:v>53986</c:v>
                </c:pt>
                <c:pt idx="2107">
                  <c:v>53993</c:v>
                </c:pt>
                <c:pt idx="2108">
                  <c:v>54000</c:v>
                </c:pt>
                <c:pt idx="2109">
                  <c:v>54007</c:v>
                </c:pt>
                <c:pt idx="2110">
                  <c:v>54014</c:v>
                </c:pt>
                <c:pt idx="2111">
                  <c:v>54021</c:v>
                </c:pt>
                <c:pt idx="2112">
                  <c:v>54028</c:v>
                </c:pt>
                <c:pt idx="2113">
                  <c:v>54035</c:v>
                </c:pt>
                <c:pt idx="2114">
                  <c:v>54042</c:v>
                </c:pt>
                <c:pt idx="2115">
                  <c:v>54049</c:v>
                </c:pt>
                <c:pt idx="2116">
                  <c:v>54057</c:v>
                </c:pt>
                <c:pt idx="2117">
                  <c:v>54064</c:v>
                </c:pt>
                <c:pt idx="2118">
                  <c:v>54071</c:v>
                </c:pt>
                <c:pt idx="2119">
                  <c:v>54078</c:v>
                </c:pt>
                <c:pt idx="2120">
                  <c:v>54085</c:v>
                </c:pt>
                <c:pt idx="2121">
                  <c:v>54092</c:v>
                </c:pt>
                <c:pt idx="2122">
                  <c:v>54099</c:v>
                </c:pt>
                <c:pt idx="2123">
                  <c:v>54106</c:v>
                </c:pt>
                <c:pt idx="2124">
                  <c:v>54113</c:v>
                </c:pt>
                <c:pt idx="2125">
                  <c:v>54120</c:v>
                </c:pt>
                <c:pt idx="2126">
                  <c:v>54127</c:v>
                </c:pt>
                <c:pt idx="2127">
                  <c:v>54134</c:v>
                </c:pt>
                <c:pt idx="2128">
                  <c:v>54141</c:v>
                </c:pt>
                <c:pt idx="2129">
                  <c:v>54148</c:v>
                </c:pt>
                <c:pt idx="2130">
                  <c:v>54157</c:v>
                </c:pt>
                <c:pt idx="2131">
                  <c:v>54164</c:v>
                </c:pt>
                <c:pt idx="2132">
                  <c:v>54171</c:v>
                </c:pt>
                <c:pt idx="2133">
                  <c:v>54178</c:v>
                </c:pt>
                <c:pt idx="2134">
                  <c:v>54185</c:v>
                </c:pt>
                <c:pt idx="2135">
                  <c:v>54192</c:v>
                </c:pt>
                <c:pt idx="2136">
                  <c:v>54199</c:v>
                </c:pt>
                <c:pt idx="2137">
                  <c:v>54206</c:v>
                </c:pt>
                <c:pt idx="2138">
                  <c:v>54213</c:v>
                </c:pt>
                <c:pt idx="2139">
                  <c:v>54220</c:v>
                </c:pt>
                <c:pt idx="2140">
                  <c:v>54227</c:v>
                </c:pt>
                <c:pt idx="2141">
                  <c:v>54234</c:v>
                </c:pt>
                <c:pt idx="2142">
                  <c:v>54241</c:v>
                </c:pt>
                <c:pt idx="2143">
                  <c:v>54248</c:v>
                </c:pt>
                <c:pt idx="2144">
                  <c:v>54255</c:v>
                </c:pt>
                <c:pt idx="2145">
                  <c:v>54262</c:v>
                </c:pt>
                <c:pt idx="2146">
                  <c:v>54269</c:v>
                </c:pt>
                <c:pt idx="2147">
                  <c:v>54276</c:v>
                </c:pt>
                <c:pt idx="2148">
                  <c:v>54283</c:v>
                </c:pt>
                <c:pt idx="2149">
                  <c:v>54290</c:v>
                </c:pt>
                <c:pt idx="2150">
                  <c:v>54297</c:v>
                </c:pt>
                <c:pt idx="2151">
                  <c:v>54304</c:v>
                </c:pt>
                <c:pt idx="2152">
                  <c:v>54311</c:v>
                </c:pt>
                <c:pt idx="2153">
                  <c:v>54318</c:v>
                </c:pt>
                <c:pt idx="2154">
                  <c:v>54325</c:v>
                </c:pt>
                <c:pt idx="2155">
                  <c:v>54332</c:v>
                </c:pt>
                <c:pt idx="2156">
                  <c:v>54339</c:v>
                </c:pt>
                <c:pt idx="2157">
                  <c:v>54346</c:v>
                </c:pt>
                <c:pt idx="2158">
                  <c:v>54353</c:v>
                </c:pt>
                <c:pt idx="2159">
                  <c:v>54360</c:v>
                </c:pt>
                <c:pt idx="2160">
                  <c:v>54367</c:v>
                </c:pt>
                <c:pt idx="2161">
                  <c:v>54374</c:v>
                </c:pt>
                <c:pt idx="2162">
                  <c:v>54381</c:v>
                </c:pt>
                <c:pt idx="2163">
                  <c:v>54388</c:v>
                </c:pt>
                <c:pt idx="2164">
                  <c:v>54395</c:v>
                </c:pt>
                <c:pt idx="2165">
                  <c:v>54402</c:v>
                </c:pt>
                <c:pt idx="2166">
                  <c:v>54409</c:v>
                </c:pt>
                <c:pt idx="2167">
                  <c:v>54416</c:v>
                </c:pt>
                <c:pt idx="2168">
                  <c:v>54423</c:v>
                </c:pt>
                <c:pt idx="2169">
                  <c:v>54430</c:v>
                </c:pt>
                <c:pt idx="2170">
                  <c:v>54437</c:v>
                </c:pt>
                <c:pt idx="2171">
                  <c:v>54444</c:v>
                </c:pt>
                <c:pt idx="2172">
                  <c:v>54451</c:v>
                </c:pt>
                <c:pt idx="2173">
                  <c:v>54458</c:v>
                </c:pt>
                <c:pt idx="2174">
                  <c:v>54465</c:v>
                </c:pt>
                <c:pt idx="2175">
                  <c:v>54472</c:v>
                </c:pt>
                <c:pt idx="2176">
                  <c:v>54479</c:v>
                </c:pt>
                <c:pt idx="2177">
                  <c:v>54486</c:v>
                </c:pt>
                <c:pt idx="2178">
                  <c:v>54493</c:v>
                </c:pt>
                <c:pt idx="2179">
                  <c:v>54500</c:v>
                </c:pt>
                <c:pt idx="2180">
                  <c:v>54507</c:v>
                </c:pt>
                <c:pt idx="2181">
                  <c:v>54514</c:v>
                </c:pt>
                <c:pt idx="2182">
                  <c:v>54521</c:v>
                </c:pt>
                <c:pt idx="2183">
                  <c:v>54528</c:v>
                </c:pt>
                <c:pt idx="2184">
                  <c:v>54535</c:v>
                </c:pt>
                <c:pt idx="2185">
                  <c:v>54542</c:v>
                </c:pt>
                <c:pt idx="2186">
                  <c:v>54549</c:v>
                </c:pt>
                <c:pt idx="2187">
                  <c:v>54556</c:v>
                </c:pt>
                <c:pt idx="2188">
                  <c:v>54563</c:v>
                </c:pt>
                <c:pt idx="2189">
                  <c:v>54570</c:v>
                </c:pt>
                <c:pt idx="2190">
                  <c:v>54577</c:v>
                </c:pt>
                <c:pt idx="2191">
                  <c:v>54584</c:v>
                </c:pt>
                <c:pt idx="2192">
                  <c:v>54591</c:v>
                </c:pt>
                <c:pt idx="2193">
                  <c:v>54598</c:v>
                </c:pt>
                <c:pt idx="2194">
                  <c:v>54605</c:v>
                </c:pt>
                <c:pt idx="2195">
                  <c:v>54612</c:v>
                </c:pt>
                <c:pt idx="2196">
                  <c:v>54619</c:v>
                </c:pt>
                <c:pt idx="2197">
                  <c:v>54626</c:v>
                </c:pt>
                <c:pt idx="2198">
                  <c:v>54633</c:v>
                </c:pt>
                <c:pt idx="2199">
                  <c:v>54640</c:v>
                </c:pt>
                <c:pt idx="2200">
                  <c:v>54647</c:v>
                </c:pt>
                <c:pt idx="2201">
                  <c:v>54654</c:v>
                </c:pt>
                <c:pt idx="2202">
                  <c:v>54661</c:v>
                </c:pt>
                <c:pt idx="2203">
                  <c:v>54668</c:v>
                </c:pt>
                <c:pt idx="2204">
                  <c:v>54675</c:v>
                </c:pt>
                <c:pt idx="2205">
                  <c:v>54682</c:v>
                </c:pt>
                <c:pt idx="2206">
                  <c:v>54689</c:v>
                </c:pt>
                <c:pt idx="2207">
                  <c:v>54696</c:v>
                </c:pt>
                <c:pt idx="2208">
                  <c:v>54703</c:v>
                </c:pt>
                <c:pt idx="2209">
                  <c:v>54710</c:v>
                </c:pt>
                <c:pt idx="2210">
                  <c:v>54717</c:v>
                </c:pt>
                <c:pt idx="2211">
                  <c:v>54724</c:v>
                </c:pt>
                <c:pt idx="2212">
                  <c:v>54731</c:v>
                </c:pt>
                <c:pt idx="2213">
                  <c:v>54738</c:v>
                </c:pt>
                <c:pt idx="2214">
                  <c:v>54745</c:v>
                </c:pt>
                <c:pt idx="2215">
                  <c:v>54752</c:v>
                </c:pt>
                <c:pt idx="2216">
                  <c:v>54759</c:v>
                </c:pt>
                <c:pt idx="2217">
                  <c:v>54766</c:v>
                </c:pt>
                <c:pt idx="2218">
                  <c:v>54773</c:v>
                </c:pt>
                <c:pt idx="2219">
                  <c:v>54780</c:v>
                </c:pt>
                <c:pt idx="2220">
                  <c:v>54787</c:v>
                </c:pt>
                <c:pt idx="2221">
                  <c:v>54794</c:v>
                </c:pt>
                <c:pt idx="2222">
                  <c:v>54801</c:v>
                </c:pt>
                <c:pt idx="2223">
                  <c:v>54808</c:v>
                </c:pt>
                <c:pt idx="2224">
                  <c:v>54815</c:v>
                </c:pt>
                <c:pt idx="2225">
                  <c:v>54822</c:v>
                </c:pt>
                <c:pt idx="2226">
                  <c:v>54829</c:v>
                </c:pt>
                <c:pt idx="2227">
                  <c:v>54836</c:v>
                </c:pt>
                <c:pt idx="2228">
                  <c:v>54843</c:v>
                </c:pt>
                <c:pt idx="2229">
                  <c:v>54850</c:v>
                </c:pt>
                <c:pt idx="2230">
                  <c:v>54857</c:v>
                </c:pt>
                <c:pt idx="2231">
                  <c:v>54864</c:v>
                </c:pt>
                <c:pt idx="2232">
                  <c:v>54871</c:v>
                </c:pt>
                <c:pt idx="2233">
                  <c:v>54878</c:v>
                </c:pt>
                <c:pt idx="2234">
                  <c:v>54885</c:v>
                </c:pt>
                <c:pt idx="2235">
                  <c:v>54892</c:v>
                </c:pt>
                <c:pt idx="2236">
                  <c:v>54899</c:v>
                </c:pt>
                <c:pt idx="2237">
                  <c:v>54906</c:v>
                </c:pt>
                <c:pt idx="2238">
                  <c:v>54913</c:v>
                </c:pt>
                <c:pt idx="2239">
                  <c:v>54920</c:v>
                </c:pt>
                <c:pt idx="2240">
                  <c:v>54927</c:v>
                </c:pt>
                <c:pt idx="2241">
                  <c:v>54934</c:v>
                </c:pt>
                <c:pt idx="2242">
                  <c:v>54941</c:v>
                </c:pt>
                <c:pt idx="2243">
                  <c:v>54948</c:v>
                </c:pt>
                <c:pt idx="2244">
                  <c:v>54955</c:v>
                </c:pt>
                <c:pt idx="2245">
                  <c:v>54962</c:v>
                </c:pt>
                <c:pt idx="2246">
                  <c:v>54969</c:v>
                </c:pt>
                <c:pt idx="2247">
                  <c:v>54976</c:v>
                </c:pt>
                <c:pt idx="2248">
                  <c:v>54983</c:v>
                </c:pt>
                <c:pt idx="2249">
                  <c:v>54990</c:v>
                </c:pt>
                <c:pt idx="2250">
                  <c:v>54997</c:v>
                </c:pt>
                <c:pt idx="2251">
                  <c:v>55004</c:v>
                </c:pt>
                <c:pt idx="2252">
                  <c:v>55011</c:v>
                </c:pt>
                <c:pt idx="2253">
                  <c:v>55018</c:v>
                </c:pt>
                <c:pt idx="2254">
                  <c:v>55025</c:v>
                </c:pt>
                <c:pt idx="2255">
                  <c:v>55032</c:v>
                </c:pt>
                <c:pt idx="2256">
                  <c:v>55039</c:v>
                </c:pt>
                <c:pt idx="2257">
                  <c:v>55046</c:v>
                </c:pt>
                <c:pt idx="2258">
                  <c:v>55053</c:v>
                </c:pt>
                <c:pt idx="2259">
                  <c:v>55060</c:v>
                </c:pt>
                <c:pt idx="2260">
                  <c:v>55067</c:v>
                </c:pt>
                <c:pt idx="2261">
                  <c:v>55074</c:v>
                </c:pt>
                <c:pt idx="2262">
                  <c:v>55081</c:v>
                </c:pt>
                <c:pt idx="2263">
                  <c:v>55088</c:v>
                </c:pt>
                <c:pt idx="2264">
                  <c:v>55095</c:v>
                </c:pt>
                <c:pt idx="2265">
                  <c:v>55102</c:v>
                </c:pt>
                <c:pt idx="2266">
                  <c:v>55109</c:v>
                </c:pt>
                <c:pt idx="2267">
                  <c:v>55116</c:v>
                </c:pt>
                <c:pt idx="2268">
                  <c:v>55123</c:v>
                </c:pt>
                <c:pt idx="2269">
                  <c:v>55130</c:v>
                </c:pt>
                <c:pt idx="2270">
                  <c:v>55137</c:v>
                </c:pt>
                <c:pt idx="2271">
                  <c:v>55144</c:v>
                </c:pt>
                <c:pt idx="2272">
                  <c:v>55151</c:v>
                </c:pt>
                <c:pt idx="2273">
                  <c:v>55158</c:v>
                </c:pt>
                <c:pt idx="2274">
                  <c:v>55165</c:v>
                </c:pt>
                <c:pt idx="2275">
                  <c:v>55172</c:v>
                </c:pt>
                <c:pt idx="2276">
                  <c:v>55179</c:v>
                </c:pt>
                <c:pt idx="2277">
                  <c:v>55186</c:v>
                </c:pt>
                <c:pt idx="2278">
                  <c:v>55193</c:v>
                </c:pt>
                <c:pt idx="2279">
                  <c:v>55200</c:v>
                </c:pt>
                <c:pt idx="2280">
                  <c:v>55207</c:v>
                </c:pt>
                <c:pt idx="2281">
                  <c:v>55214</c:v>
                </c:pt>
                <c:pt idx="2282">
                  <c:v>55221</c:v>
                </c:pt>
                <c:pt idx="2283">
                  <c:v>55228</c:v>
                </c:pt>
                <c:pt idx="2284">
                  <c:v>55235</c:v>
                </c:pt>
                <c:pt idx="2285">
                  <c:v>55242</c:v>
                </c:pt>
                <c:pt idx="2286">
                  <c:v>55249</c:v>
                </c:pt>
                <c:pt idx="2287">
                  <c:v>55256</c:v>
                </c:pt>
                <c:pt idx="2288">
                  <c:v>55263</c:v>
                </c:pt>
                <c:pt idx="2289">
                  <c:v>55270</c:v>
                </c:pt>
                <c:pt idx="2290">
                  <c:v>55277</c:v>
                </c:pt>
                <c:pt idx="2291">
                  <c:v>55284</c:v>
                </c:pt>
                <c:pt idx="2292">
                  <c:v>55291</c:v>
                </c:pt>
                <c:pt idx="2293">
                  <c:v>55298</c:v>
                </c:pt>
                <c:pt idx="2294">
                  <c:v>55305</c:v>
                </c:pt>
                <c:pt idx="2295">
                  <c:v>55312</c:v>
                </c:pt>
                <c:pt idx="2296">
                  <c:v>55319</c:v>
                </c:pt>
                <c:pt idx="2297">
                  <c:v>55326</c:v>
                </c:pt>
                <c:pt idx="2298">
                  <c:v>55333</c:v>
                </c:pt>
                <c:pt idx="2299">
                  <c:v>55340</c:v>
                </c:pt>
                <c:pt idx="2300">
                  <c:v>55347</c:v>
                </c:pt>
                <c:pt idx="2301">
                  <c:v>55354</c:v>
                </c:pt>
                <c:pt idx="2302">
                  <c:v>55361</c:v>
                </c:pt>
                <c:pt idx="2303">
                  <c:v>55368</c:v>
                </c:pt>
                <c:pt idx="2304">
                  <c:v>55375</c:v>
                </c:pt>
                <c:pt idx="2305">
                  <c:v>55382</c:v>
                </c:pt>
                <c:pt idx="2306">
                  <c:v>55389</c:v>
                </c:pt>
                <c:pt idx="2307">
                  <c:v>55396</c:v>
                </c:pt>
                <c:pt idx="2308">
                  <c:v>55403</c:v>
                </c:pt>
                <c:pt idx="2309">
                  <c:v>55410</c:v>
                </c:pt>
                <c:pt idx="2310">
                  <c:v>55417</c:v>
                </c:pt>
                <c:pt idx="2311">
                  <c:v>55424</c:v>
                </c:pt>
                <c:pt idx="2312">
                  <c:v>55431</c:v>
                </c:pt>
                <c:pt idx="2313">
                  <c:v>55438</c:v>
                </c:pt>
                <c:pt idx="2314">
                  <c:v>55445</c:v>
                </c:pt>
                <c:pt idx="2315">
                  <c:v>55452</c:v>
                </c:pt>
                <c:pt idx="2316">
                  <c:v>55459</c:v>
                </c:pt>
                <c:pt idx="2317">
                  <c:v>55466</c:v>
                </c:pt>
                <c:pt idx="2318">
                  <c:v>55473</c:v>
                </c:pt>
                <c:pt idx="2319">
                  <c:v>55480</c:v>
                </c:pt>
                <c:pt idx="2320">
                  <c:v>55487</c:v>
                </c:pt>
                <c:pt idx="2321">
                  <c:v>55494</c:v>
                </c:pt>
                <c:pt idx="2322">
                  <c:v>55501</c:v>
                </c:pt>
                <c:pt idx="2323">
                  <c:v>55508</c:v>
                </c:pt>
                <c:pt idx="2324">
                  <c:v>55516</c:v>
                </c:pt>
                <c:pt idx="2325">
                  <c:v>55523</c:v>
                </c:pt>
                <c:pt idx="2326">
                  <c:v>55530</c:v>
                </c:pt>
                <c:pt idx="2327">
                  <c:v>55537</c:v>
                </c:pt>
                <c:pt idx="2328">
                  <c:v>55544</c:v>
                </c:pt>
                <c:pt idx="2329">
                  <c:v>55551</c:v>
                </c:pt>
                <c:pt idx="2330">
                  <c:v>55558</c:v>
                </c:pt>
                <c:pt idx="2331">
                  <c:v>55565</c:v>
                </c:pt>
                <c:pt idx="2332">
                  <c:v>55572</c:v>
                </c:pt>
                <c:pt idx="2333">
                  <c:v>55579</c:v>
                </c:pt>
                <c:pt idx="2334">
                  <c:v>55586</c:v>
                </c:pt>
                <c:pt idx="2335">
                  <c:v>55593</c:v>
                </c:pt>
                <c:pt idx="2336">
                  <c:v>55600</c:v>
                </c:pt>
                <c:pt idx="2337">
                  <c:v>55607</c:v>
                </c:pt>
                <c:pt idx="2338">
                  <c:v>55614</c:v>
                </c:pt>
                <c:pt idx="2339">
                  <c:v>55621</c:v>
                </c:pt>
                <c:pt idx="2340">
                  <c:v>55632</c:v>
                </c:pt>
                <c:pt idx="2341">
                  <c:v>55635</c:v>
                </c:pt>
                <c:pt idx="2342">
                  <c:v>55645</c:v>
                </c:pt>
                <c:pt idx="2343">
                  <c:v>55652</c:v>
                </c:pt>
                <c:pt idx="2344">
                  <c:v>55659</c:v>
                </c:pt>
                <c:pt idx="2345">
                  <c:v>55666</c:v>
                </c:pt>
                <c:pt idx="2346">
                  <c:v>55673</c:v>
                </c:pt>
                <c:pt idx="2347">
                  <c:v>55680</c:v>
                </c:pt>
                <c:pt idx="2348">
                  <c:v>55687</c:v>
                </c:pt>
                <c:pt idx="2349">
                  <c:v>55694</c:v>
                </c:pt>
                <c:pt idx="2350">
                  <c:v>55701</c:v>
                </c:pt>
                <c:pt idx="2351">
                  <c:v>55708</c:v>
                </c:pt>
                <c:pt idx="2352">
                  <c:v>55715</c:v>
                </c:pt>
                <c:pt idx="2353">
                  <c:v>55722</c:v>
                </c:pt>
                <c:pt idx="2354">
                  <c:v>55729</c:v>
                </c:pt>
                <c:pt idx="2355">
                  <c:v>55736</c:v>
                </c:pt>
                <c:pt idx="2356">
                  <c:v>55743</c:v>
                </c:pt>
                <c:pt idx="2357">
                  <c:v>55750</c:v>
                </c:pt>
                <c:pt idx="2358">
                  <c:v>55757</c:v>
                </c:pt>
                <c:pt idx="2359">
                  <c:v>55764</c:v>
                </c:pt>
                <c:pt idx="2360">
                  <c:v>55771</c:v>
                </c:pt>
                <c:pt idx="2361">
                  <c:v>55778</c:v>
                </c:pt>
                <c:pt idx="2362">
                  <c:v>55785</c:v>
                </c:pt>
                <c:pt idx="2363">
                  <c:v>55792</c:v>
                </c:pt>
                <c:pt idx="2364">
                  <c:v>55799</c:v>
                </c:pt>
                <c:pt idx="2365">
                  <c:v>55806</c:v>
                </c:pt>
                <c:pt idx="2366">
                  <c:v>55813</c:v>
                </c:pt>
                <c:pt idx="2367">
                  <c:v>55820</c:v>
                </c:pt>
                <c:pt idx="2368">
                  <c:v>55827</c:v>
                </c:pt>
                <c:pt idx="2369">
                  <c:v>55834</c:v>
                </c:pt>
                <c:pt idx="2370">
                  <c:v>55841</c:v>
                </c:pt>
                <c:pt idx="2371">
                  <c:v>55848</c:v>
                </c:pt>
                <c:pt idx="2372">
                  <c:v>55855</c:v>
                </c:pt>
                <c:pt idx="2373">
                  <c:v>55862</c:v>
                </c:pt>
                <c:pt idx="2374">
                  <c:v>55869</c:v>
                </c:pt>
                <c:pt idx="2375">
                  <c:v>55876</c:v>
                </c:pt>
                <c:pt idx="2376">
                  <c:v>55884</c:v>
                </c:pt>
                <c:pt idx="2377">
                  <c:v>55891</c:v>
                </c:pt>
                <c:pt idx="2378">
                  <c:v>55898</c:v>
                </c:pt>
                <c:pt idx="2379">
                  <c:v>55905</c:v>
                </c:pt>
                <c:pt idx="2380">
                  <c:v>55912</c:v>
                </c:pt>
                <c:pt idx="2381">
                  <c:v>55919</c:v>
                </c:pt>
                <c:pt idx="2382">
                  <c:v>55926</c:v>
                </c:pt>
                <c:pt idx="2383">
                  <c:v>55933</c:v>
                </c:pt>
                <c:pt idx="2384">
                  <c:v>55940</c:v>
                </c:pt>
                <c:pt idx="2385">
                  <c:v>55947</c:v>
                </c:pt>
                <c:pt idx="2386">
                  <c:v>55954</c:v>
                </c:pt>
                <c:pt idx="2387">
                  <c:v>55961</c:v>
                </c:pt>
                <c:pt idx="2388">
                  <c:v>55968</c:v>
                </c:pt>
                <c:pt idx="2389">
                  <c:v>55975</c:v>
                </c:pt>
                <c:pt idx="2390">
                  <c:v>55984</c:v>
                </c:pt>
                <c:pt idx="2391">
                  <c:v>55991</c:v>
                </c:pt>
                <c:pt idx="2392">
                  <c:v>55998</c:v>
                </c:pt>
                <c:pt idx="2393">
                  <c:v>56006</c:v>
                </c:pt>
                <c:pt idx="2394">
                  <c:v>56012</c:v>
                </c:pt>
                <c:pt idx="2395">
                  <c:v>56019</c:v>
                </c:pt>
                <c:pt idx="2396">
                  <c:v>56026</c:v>
                </c:pt>
                <c:pt idx="2397">
                  <c:v>56033</c:v>
                </c:pt>
                <c:pt idx="2398">
                  <c:v>56040</c:v>
                </c:pt>
                <c:pt idx="2399">
                  <c:v>56047</c:v>
                </c:pt>
                <c:pt idx="2400">
                  <c:v>56054</c:v>
                </c:pt>
                <c:pt idx="2401">
                  <c:v>56061</c:v>
                </c:pt>
                <c:pt idx="2402">
                  <c:v>56068</c:v>
                </c:pt>
                <c:pt idx="2403">
                  <c:v>56075</c:v>
                </c:pt>
                <c:pt idx="2404">
                  <c:v>56082</c:v>
                </c:pt>
                <c:pt idx="2405">
                  <c:v>56089</c:v>
                </c:pt>
                <c:pt idx="2406">
                  <c:v>56096</c:v>
                </c:pt>
                <c:pt idx="2407">
                  <c:v>56103</c:v>
                </c:pt>
                <c:pt idx="2408">
                  <c:v>56110</c:v>
                </c:pt>
                <c:pt idx="2409">
                  <c:v>56117</c:v>
                </c:pt>
                <c:pt idx="2410">
                  <c:v>56124</c:v>
                </c:pt>
                <c:pt idx="2411">
                  <c:v>56131</c:v>
                </c:pt>
                <c:pt idx="2412">
                  <c:v>56138</c:v>
                </c:pt>
                <c:pt idx="2413">
                  <c:v>56145</c:v>
                </c:pt>
                <c:pt idx="2414">
                  <c:v>56152</c:v>
                </c:pt>
                <c:pt idx="2415">
                  <c:v>56159</c:v>
                </c:pt>
                <c:pt idx="2416">
                  <c:v>56166</c:v>
                </c:pt>
                <c:pt idx="2417">
                  <c:v>56173</c:v>
                </c:pt>
                <c:pt idx="2418">
                  <c:v>56180</c:v>
                </c:pt>
                <c:pt idx="2419">
                  <c:v>56187</c:v>
                </c:pt>
                <c:pt idx="2420">
                  <c:v>56194</c:v>
                </c:pt>
                <c:pt idx="2421">
                  <c:v>56201</c:v>
                </c:pt>
                <c:pt idx="2422">
                  <c:v>56208</c:v>
                </c:pt>
                <c:pt idx="2423">
                  <c:v>56215</c:v>
                </c:pt>
                <c:pt idx="2424">
                  <c:v>56222</c:v>
                </c:pt>
                <c:pt idx="2425">
                  <c:v>56229</c:v>
                </c:pt>
                <c:pt idx="2426">
                  <c:v>56236</c:v>
                </c:pt>
                <c:pt idx="2427">
                  <c:v>56247</c:v>
                </c:pt>
                <c:pt idx="2428">
                  <c:v>56251</c:v>
                </c:pt>
                <c:pt idx="2429">
                  <c:v>56257</c:v>
                </c:pt>
                <c:pt idx="2430">
                  <c:v>56264</c:v>
                </c:pt>
                <c:pt idx="2431">
                  <c:v>56271</c:v>
                </c:pt>
                <c:pt idx="2432">
                  <c:v>56278</c:v>
                </c:pt>
                <c:pt idx="2433">
                  <c:v>56285</c:v>
                </c:pt>
                <c:pt idx="2434">
                  <c:v>56292</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56369</c:v>
                </c:pt>
                <c:pt idx="2446">
                  <c:v>56376</c:v>
                </c:pt>
                <c:pt idx="2447">
                  <c:v>56383</c:v>
                </c:pt>
                <c:pt idx="2448">
                  <c:v>56390</c:v>
                </c:pt>
                <c:pt idx="2449">
                  <c:v>56397</c:v>
                </c:pt>
                <c:pt idx="2450">
                  <c:v>56404</c:v>
                </c:pt>
                <c:pt idx="2451">
                  <c:v>56411</c:v>
                </c:pt>
                <c:pt idx="2452">
                  <c:v>56418</c:v>
                </c:pt>
                <c:pt idx="2453">
                  <c:v>56425</c:v>
                </c:pt>
                <c:pt idx="2454">
                  <c:v>56432</c:v>
                </c:pt>
                <c:pt idx="2455">
                  <c:v>56439</c:v>
                </c:pt>
                <c:pt idx="2456">
                  <c:v>56446</c:v>
                </c:pt>
                <c:pt idx="2457">
                  <c:v>56453</c:v>
                </c:pt>
                <c:pt idx="2458">
                  <c:v>56460</c:v>
                </c:pt>
                <c:pt idx="2459">
                  <c:v>56467</c:v>
                </c:pt>
                <c:pt idx="2460">
                  <c:v>56474</c:v>
                </c:pt>
                <c:pt idx="2461">
                  <c:v>56481</c:v>
                </c:pt>
                <c:pt idx="2462">
                  <c:v>56488</c:v>
                </c:pt>
                <c:pt idx="2463">
                  <c:v>56495</c:v>
                </c:pt>
                <c:pt idx="2464">
                  <c:v>56502</c:v>
                </c:pt>
                <c:pt idx="2465">
                  <c:v>56509</c:v>
                </c:pt>
                <c:pt idx="2466">
                  <c:v>56516</c:v>
                </c:pt>
                <c:pt idx="2467">
                  <c:v>56523</c:v>
                </c:pt>
                <c:pt idx="2468">
                  <c:v>56530</c:v>
                </c:pt>
                <c:pt idx="2469">
                  <c:v>56537</c:v>
                </c:pt>
                <c:pt idx="2470">
                  <c:v>56544</c:v>
                </c:pt>
                <c:pt idx="2471">
                  <c:v>56551</c:v>
                </c:pt>
                <c:pt idx="2472">
                  <c:v>56558</c:v>
                </c:pt>
                <c:pt idx="2473">
                  <c:v>56565</c:v>
                </c:pt>
                <c:pt idx="2474">
                  <c:v>56572</c:v>
                </c:pt>
                <c:pt idx="2475">
                  <c:v>56579</c:v>
                </c:pt>
                <c:pt idx="2476">
                  <c:v>56586</c:v>
                </c:pt>
                <c:pt idx="2477">
                  <c:v>56593</c:v>
                </c:pt>
                <c:pt idx="2478">
                  <c:v>56600</c:v>
                </c:pt>
                <c:pt idx="2479">
                  <c:v>56607</c:v>
                </c:pt>
                <c:pt idx="2480">
                  <c:v>56614</c:v>
                </c:pt>
                <c:pt idx="2481">
                  <c:v>56621</c:v>
                </c:pt>
                <c:pt idx="2482">
                  <c:v>56628</c:v>
                </c:pt>
                <c:pt idx="2483">
                  <c:v>56635</c:v>
                </c:pt>
                <c:pt idx="2484">
                  <c:v>56642</c:v>
                </c:pt>
                <c:pt idx="2485">
                  <c:v>56649</c:v>
                </c:pt>
                <c:pt idx="2486">
                  <c:v>56656</c:v>
                </c:pt>
                <c:pt idx="2487">
                  <c:v>56663</c:v>
                </c:pt>
                <c:pt idx="2488">
                  <c:v>56670</c:v>
                </c:pt>
                <c:pt idx="2489">
                  <c:v>56677</c:v>
                </c:pt>
                <c:pt idx="2490">
                  <c:v>56684</c:v>
                </c:pt>
                <c:pt idx="2491">
                  <c:v>56691</c:v>
                </c:pt>
                <c:pt idx="2492">
                  <c:v>56698</c:v>
                </c:pt>
                <c:pt idx="2493">
                  <c:v>56705</c:v>
                </c:pt>
                <c:pt idx="2494">
                  <c:v>56712</c:v>
                </c:pt>
                <c:pt idx="2495">
                  <c:v>56719</c:v>
                </c:pt>
                <c:pt idx="2496">
                  <c:v>56726</c:v>
                </c:pt>
                <c:pt idx="2497">
                  <c:v>56733</c:v>
                </c:pt>
                <c:pt idx="2498">
                  <c:v>56740</c:v>
                </c:pt>
                <c:pt idx="2499">
                  <c:v>56747</c:v>
                </c:pt>
                <c:pt idx="2500">
                  <c:v>56754</c:v>
                </c:pt>
                <c:pt idx="2501">
                  <c:v>56761</c:v>
                </c:pt>
                <c:pt idx="2502">
                  <c:v>56768</c:v>
                </c:pt>
                <c:pt idx="2503">
                  <c:v>56775</c:v>
                </c:pt>
                <c:pt idx="2504">
                  <c:v>56782</c:v>
                </c:pt>
                <c:pt idx="2505">
                  <c:v>56789</c:v>
                </c:pt>
                <c:pt idx="2506">
                  <c:v>56796</c:v>
                </c:pt>
                <c:pt idx="2507">
                  <c:v>56803</c:v>
                </c:pt>
                <c:pt idx="2508">
                  <c:v>56810</c:v>
                </c:pt>
                <c:pt idx="2509">
                  <c:v>56817</c:v>
                </c:pt>
                <c:pt idx="2510">
                  <c:v>56824</c:v>
                </c:pt>
                <c:pt idx="2511">
                  <c:v>56831</c:v>
                </c:pt>
                <c:pt idx="2512">
                  <c:v>56838</c:v>
                </c:pt>
                <c:pt idx="2513">
                  <c:v>56845</c:v>
                </c:pt>
                <c:pt idx="2514">
                  <c:v>56852</c:v>
                </c:pt>
                <c:pt idx="2515">
                  <c:v>56859</c:v>
                </c:pt>
                <c:pt idx="2516">
                  <c:v>56866</c:v>
                </c:pt>
                <c:pt idx="2517">
                  <c:v>56873</c:v>
                </c:pt>
                <c:pt idx="2518">
                  <c:v>56880</c:v>
                </c:pt>
                <c:pt idx="2519">
                  <c:v>56887</c:v>
                </c:pt>
                <c:pt idx="2520">
                  <c:v>56894</c:v>
                </c:pt>
                <c:pt idx="2521">
                  <c:v>56901</c:v>
                </c:pt>
                <c:pt idx="2522">
                  <c:v>56908</c:v>
                </c:pt>
                <c:pt idx="2523">
                  <c:v>56915</c:v>
                </c:pt>
                <c:pt idx="2524">
                  <c:v>56922</c:v>
                </c:pt>
                <c:pt idx="2525">
                  <c:v>56929</c:v>
                </c:pt>
                <c:pt idx="2526">
                  <c:v>56936</c:v>
                </c:pt>
                <c:pt idx="2527">
                  <c:v>56943</c:v>
                </c:pt>
                <c:pt idx="2528">
                  <c:v>56950</c:v>
                </c:pt>
                <c:pt idx="2529">
                  <c:v>56957</c:v>
                </c:pt>
                <c:pt idx="2530">
                  <c:v>56964</c:v>
                </c:pt>
                <c:pt idx="2531">
                  <c:v>56971</c:v>
                </c:pt>
                <c:pt idx="2532">
                  <c:v>56978</c:v>
                </c:pt>
                <c:pt idx="2533">
                  <c:v>56985</c:v>
                </c:pt>
                <c:pt idx="2534">
                  <c:v>56992</c:v>
                </c:pt>
                <c:pt idx="2535">
                  <c:v>56999</c:v>
                </c:pt>
                <c:pt idx="2536">
                  <c:v>57006</c:v>
                </c:pt>
                <c:pt idx="2537">
                  <c:v>57013</c:v>
                </c:pt>
                <c:pt idx="2538">
                  <c:v>57020</c:v>
                </c:pt>
                <c:pt idx="2539">
                  <c:v>57027</c:v>
                </c:pt>
                <c:pt idx="2540">
                  <c:v>57034</c:v>
                </c:pt>
                <c:pt idx="2541">
                  <c:v>57041</c:v>
                </c:pt>
                <c:pt idx="2542">
                  <c:v>57048</c:v>
                </c:pt>
                <c:pt idx="2543">
                  <c:v>57055</c:v>
                </c:pt>
                <c:pt idx="2544">
                  <c:v>57062</c:v>
                </c:pt>
                <c:pt idx="2545">
                  <c:v>57069</c:v>
                </c:pt>
                <c:pt idx="2546">
                  <c:v>57076</c:v>
                </c:pt>
                <c:pt idx="2547">
                  <c:v>57083</c:v>
                </c:pt>
                <c:pt idx="2548">
                  <c:v>57090</c:v>
                </c:pt>
                <c:pt idx="2549">
                  <c:v>57097</c:v>
                </c:pt>
                <c:pt idx="2550">
                  <c:v>57104</c:v>
                </c:pt>
                <c:pt idx="2551">
                  <c:v>57111</c:v>
                </c:pt>
                <c:pt idx="2552">
                  <c:v>57118</c:v>
                </c:pt>
                <c:pt idx="2553">
                  <c:v>57125</c:v>
                </c:pt>
                <c:pt idx="2554">
                  <c:v>57132</c:v>
                </c:pt>
                <c:pt idx="2555">
                  <c:v>57139</c:v>
                </c:pt>
                <c:pt idx="2556">
                  <c:v>57146</c:v>
                </c:pt>
                <c:pt idx="2557">
                  <c:v>57153</c:v>
                </c:pt>
                <c:pt idx="2558">
                  <c:v>57160</c:v>
                </c:pt>
                <c:pt idx="2559">
                  <c:v>57167</c:v>
                </c:pt>
                <c:pt idx="2560">
                  <c:v>57174</c:v>
                </c:pt>
                <c:pt idx="2561">
                  <c:v>57181</c:v>
                </c:pt>
                <c:pt idx="2562">
                  <c:v>57188</c:v>
                </c:pt>
                <c:pt idx="2563">
                  <c:v>57195</c:v>
                </c:pt>
                <c:pt idx="2564">
                  <c:v>57202</c:v>
                </c:pt>
                <c:pt idx="2565">
                  <c:v>57209</c:v>
                </c:pt>
                <c:pt idx="2566">
                  <c:v>57216</c:v>
                </c:pt>
                <c:pt idx="2567">
                  <c:v>57223</c:v>
                </c:pt>
                <c:pt idx="2568">
                  <c:v>57230</c:v>
                </c:pt>
                <c:pt idx="2569">
                  <c:v>57237</c:v>
                </c:pt>
                <c:pt idx="2570">
                  <c:v>57244</c:v>
                </c:pt>
                <c:pt idx="2571">
                  <c:v>57251</c:v>
                </c:pt>
                <c:pt idx="2572">
                  <c:v>57258</c:v>
                </c:pt>
                <c:pt idx="2573">
                  <c:v>57265</c:v>
                </c:pt>
                <c:pt idx="2574">
                  <c:v>57272</c:v>
                </c:pt>
                <c:pt idx="2575">
                  <c:v>57279</c:v>
                </c:pt>
                <c:pt idx="2576">
                  <c:v>57286</c:v>
                </c:pt>
                <c:pt idx="2577">
                  <c:v>57293</c:v>
                </c:pt>
                <c:pt idx="2578">
                  <c:v>57300</c:v>
                </c:pt>
                <c:pt idx="2579">
                  <c:v>57307</c:v>
                </c:pt>
                <c:pt idx="2580">
                  <c:v>57314</c:v>
                </c:pt>
                <c:pt idx="2581">
                  <c:v>57321</c:v>
                </c:pt>
                <c:pt idx="2582">
                  <c:v>57328</c:v>
                </c:pt>
                <c:pt idx="2583">
                  <c:v>57335</c:v>
                </c:pt>
                <c:pt idx="2584">
                  <c:v>57343</c:v>
                </c:pt>
                <c:pt idx="2585">
                  <c:v>57350</c:v>
                </c:pt>
                <c:pt idx="2586">
                  <c:v>57357</c:v>
                </c:pt>
                <c:pt idx="2587">
                  <c:v>57364</c:v>
                </c:pt>
                <c:pt idx="2588">
                  <c:v>57371</c:v>
                </c:pt>
                <c:pt idx="2589">
                  <c:v>57378</c:v>
                </c:pt>
                <c:pt idx="2590">
                  <c:v>57385</c:v>
                </c:pt>
                <c:pt idx="2591">
                  <c:v>57392</c:v>
                </c:pt>
                <c:pt idx="2592">
                  <c:v>57399</c:v>
                </c:pt>
                <c:pt idx="2593">
                  <c:v>57406</c:v>
                </c:pt>
                <c:pt idx="2594">
                  <c:v>57413</c:v>
                </c:pt>
                <c:pt idx="2595">
                  <c:v>57420</c:v>
                </c:pt>
                <c:pt idx="2596">
                  <c:v>57427</c:v>
                </c:pt>
                <c:pt idx="2597">
                  <c:v>57434</c:v>
                </c:pt>
                <c:pt idx="2598">
                  <c:v>57441</c:v>
                </c:pt>
                <c:pt idx="2599">
                  <c:v>57448</c:v>
                </c:pt>
                <c:pt idx="2600">
                  <c:v>57459</c:v>
                </c:pt>
                <c:pt idx="2601">
                  <c:v>57462</c:v>
                </c:pt>
                <c:pt idx="2602">
                  <c:v>57469</c:v>
                </c:pt>
                <c:pt idx="2603">
                  <c:v>57476</c:v>
                </c:pt>
                <c:pt idx="2604">
                  <c:v>57483</c:v>
                </c:pt>
                <c:pt idx="2605">
                  <c:v>57490</c:v>
                </c:pt>
                <c:pt idx="2606">
                  <c:v>57497</c:v>
                </c:pt>
                <c:pt idx="2607">
                  <c:v>57504</c:v>
                </c:pt>
                <c:pt idx="2608">
                  <c:v>57511</c:v>
                </c:pt>
                <c:pt idx="2609">
                  <c:v>57518</c:v>
                </c:pt>
                <c:pt idx="2610">
                  <c:v>57525</c:v>
                </c:pt>
                <c:pt idx="2611">
                  <c:v>57532</c:v>
                </c:pt>
                <c:pt idx="2612">
                  <c:v>57539</c:v>
                </c:pt>
                <c:pt idx="2613">
                  <c:v>57546</c:v>
                </c:pt>
                <c:pt idx="2614">
                  <c:v>57553</c:v>
                </c:pt>
                <c:pt idx="2615">
                  <c:v>57560</c:v>
                </c:pt>
                <c:pt idx="2616">
                  <c:v>57567</c:v>
                </c:pt>
                <c:pt idx="2617">
                  <c:v>57574</c:v>
                </c:pt>
                <c:pt idx="2618">
                  <c:v>57581</c:v>
                </c:pt>
                <c:pt idx="2619">
                  <c:v>57588</c:v>
                </c:pt>
                <c:pt idx="2620">
                  <c:v>57595</c:v>
                </c:pt>
                <c:pt idx="2621">
                  <c:v>57602</c:v>
                </c:pt>
                <c:pt idx="2622">
                  <c:v>57609</c:v>
                </c:pt>
                <c:pt idx="2623">
                  <c:v>57616</c:v>
                </c:pt>
                <c:pt idx="2624">
                  <c:v>57623</c:v>
                </c:pt>
                <c:pt idx="2625">
                  <c:v>57630</c:v>
                </c:pt>
                <c:pt idx="2626">
                  <c:v>57637</c:v>
                </c:pt>
                <c:pt idx="2627">
                  <c:v>57644</c:v>
                </c:pt>
                <c:pt idx="2628">
                  <c:v>57651</c:v>
                </c:pt>
                <c:pt idx="2629">
                  <c:v>57658</c:v>
                </c:pt>
                <c:pt idx="2630">
                  <c:v>57665</c:v>
                </c:pt>
                <c:pt idx="2631">
                  <c:v>57672</c:v>
                </c:pt>
                <c:pt idx="2632">
                  <c:v>57679</c:v>
                </c:pt>
                <c:pt idx="2633">
                  <c:v>57686</c:v>
                </c:pt>
                <c:pt idx="2634">
                  <c:v>57693</c:v>
                </c:pt>
                <c:pt idx="2635">
                  <c:v>57700</c:v>
                </c:pt>
                <c:pt idx="2636">
                  <c:v>57710</c:v>
                </c:pt>
                <c:pt idx="2637">
                  <c:v>57717</c:v>
                </c:pt>
                <c:pt idx="2638">
                  <c:v>57724</c:v>
                </c:pt>
                <c:pt idx="2639">
                  <c:v>57731</c:v>
                </c:pt>
                <c:pt idx="2640">
                  <c:v>57738</c:v>
                </c:pt>
                <c:pt idx="2641">
                  <c:v>57745</c:v>
                </c:pt>
                <c:pt idx="2642">
                  <c:v>57752</c:v>
                </c:pt>
                <c:pt idx="2643">
                  <c:v>57759</c:v>
                </c:pt>
                <c:pt idx="2644">
                  <c:v>57766</c:v>
                </c:pt>
                <c:pt idx="2645">
                  <c:v>57773</c:v>
                </c:pt>
                <c:pt idx="2646">
                  <c:v>57780</c:v>
                </c:pt>
                <c:pt idx="2647">
                  <c:v>57787</c:v>
                </c:pt>
                <c:pt idx="2648">
                  <c:v>57794</c:v>
                </c:pt>
                <c:pt idx="2649">
                  <c:v>57801</c:v>
                </c:pt>
                <c:pt idx="2650">
                  <c:v>57808</c:v>
                </c:pt>
                <c:pt idx="2651">
                  <c:v>57817</c:v>
                </c:pt>
                <c:pt idx="2652">
                  <c:v>57822</c:v>
                </c:pt>
                <c:pt idx="2653">
                  <c:v>57829</c:v>
                </c:pt>
                <c:pt idx="2654">
                  <c:v>57836</c:v>
                </c:pt>
                <c:pt idx="2655">
                  <c:v>57843</c:v>
                </c:pt>
                <c:pt idx="2656">
                  <c:v>57850</c:v>
                </c:pt>
                <c:pt idx="2657">
                  <c:v>57857</c:v>
                </c:pt>
                <c:pt idx="2658">
                  <c:v>57864</c:v>
                </c:pt>
                <c:pt idx="2659">
                  <c:v>57871</c:v>
                </c:pt>
                <c:pt idx="2660">
                  <c:v>57878</c:v>
                </c:pt>
                <c:pt idx="2661">
                  <c:v>57885</c:v>
                </c:pt>
                <c:pt idx="2662">
                  <c:v>57892</c:v>
                </c:pt>
                <c:pt idx="2663">
                  <c:v>57899</c:v>
                </c:pt>
                <c:pt idx="2664">
                  <c:v>57906</c:v>
                </c:pt>
                <c:pt idx="2665">
                  <c:v>57913</c:v>
                </c:pt>
                <c:pt idx="2666">
                  <c:v>57920</c:v>
                </c:pt>
                <c:pt idx="2667">
                  <c:v>57927</c:v>
                </c:pt>
                <c:pt idx="2668">
                  <c:v>57934</c:v>
                </c:pt>
                <c:pt idx="2669">
                  <c:v>57941</c:v>
                </c:pt>
                <c:pt idx="2670">
                  <c:v>57948</c:v>
                </c:pt>
                <c:pt idx="2671">
                  <c:v>57955</c:v>
                </c:pt>
                <c:pt idx="2672">
                  <c:v>57962</c:v>
                </c:pt>
                <c:pt idx="2673">
                  <c:v>57969</c:v>
                </c:pt>
                <c:pt idx="2674">
                  <c:v>57976</c:v>
                </c:pt>
                <c:pt idx="2675">
                  <c:v>57983</c:v>
                </c:pt>
                <c:pt idx="2676">
                  <c:v>57990</c:v>
                </c:pt>
                <c:pt idx="2677">
                  <c:v>57997</c:v>
                </c:pt>
                <c:pt idx="2678">
                  <c:v>58004</c:v>
                </c:pt>
                <c:pt idx="2679">
                  <c:v>58011</c:v>
                </c:pt>
                <c:pt idx="2680">
                  <c:v>58018</c:v>
                </c:pt>
                <c:pt idx="2681">
                  <c:v>58025</c:v>
                </c:pt>
                <c:pt idx="2682">
                  <c:v>58032</c:v>
                </c:pt>
                <c:pt idx="2683">
                  <c:v>58039</c:v>
                </c:pt>
                <c:pt idx="2684">
                  <c:v>58046</c:v>
                </c:pt>
                <c:pt idx="2685">
                  <c:v>58053</c:v>
                </c:pt>
                <c:pt idx="2686">
                  <c:v>58060</c:v>
                </c:pt>
                <c:pt idx="2687">
                  <c:v>58067</c:v>
                </c:pt>
                <c:pt idx="2688">
                  <c:v>58075</c:v>
                </c:pt>
                <c:pt idx="2689">
                  <c:v>58082</c:v>
                </c:pt>
                <c:pt idx="2690">
                  <c:v>58089</c:v>
                </c:pt>
                <c:pt idx="2691">
                  <c:v>58096</c:v>
                </c:pt>
                <c:pt idx="2692">
                  <c:v>58103</c:v>
                </c:pt>
                <c:pt idx="2693">
                  <c:v>58110</c:v>
                </c:pt>
                <c:pt idx="2694">
                  <c:v>58117</c:v>
                </c:pt>
                <c:pt idx="2695">
                  <c:v>58124</c:v>
                </c:pt>
                <c:pt idx="2696">
                  <c:v>58131</c:v>
                </c:pt>
                <c:pt idx="2697">
                  <c:v>58138</c:v>
                </c:pt>
                <c:pt idx="2698">
                  <c:v>58145</c:v>
                </c:pt>
                <c:pt idx="2699">
                  <c:v>58152</c:v>
                </c:pt>
                <c:pt idx="2700">
                  <c:v>58159</c:v>
                </c:pt>
                <c:pt idx="2701">
                  <c:v>58168</c:v>
                </c:pt>
                <c:pt idx="2702">
                  <c:v>58175</c:v>
                </c:pt>
                <c:pt idx="2703">
                  <c:v>58182</c:v>
                </c:pt>
                <c:pt idx="2704">
                  <c:v>58189</c:v>
                </c:pt>
                <c:pt idx="2705">
                  <c:v>58197</c:v>
                </c:pt>
                <c:pt idx="2706">
                  <c:v>58203</c:v>
                </c:pt>
                <c:pt idx="2707">
                  <c:v>58210</c:v>
                </c:pt>
                <c:pt idx="2708">
                  <c:v>58217</c:v>
                </c:pt>
                <c:pt idx="2709">
                  <c:v>58224</c:v>
                </c:pt>
                <c:pt idx="2710">
                  <c:v>58231</c:v>
                </c:pt>
                <c:pt idx="2711">
                  <c:v>58238</c:v>
                </c:pt>
                <c:pt idx="2712">
                  <c:v>58245</c:v>
                </c:pt>
                <c:pt idx="2713">
                  <c:v>58252</c:v>
                </c:pt>
                <c:pt idx="2714">
                  <c:v>58259</c:v>
                </c:pt>
                <c:pt idx="2715">
                  <c:v>58266</c:v>
                </c:pt>
                <c:pt idx="2716">
                  <c:v>58273</c:v>
                </c:pt>
                <c:pt idx="2717">
                  <c:v>58280</c:v>
                </c:pt>
                <c:pt idx="2718">
                  <c:v>58287</c:v>
                </c:pt>
                <c:pt idx="2719">
                  <c:v>58294</c:v>
                </c:pt>
                <c:pt idx="2720">
                  <c:v>58301</c:v>
                </c:pt>
                <c:pt idx="2721">
                  <c:v>58308</c:v>
                </c:pt>
                <c:pt idx="2722">
                  <c:v>58315</c:v>
                </c:pt>
                <c:pt idx="2723">
                  <c:v>58322</c:v>
                </c:pt>
                <c:pt idx="2724">
                  <c:v>58329</c:v>
                </c:pt>
                <c:pt idx="2725">
                  <c:v>58336</c:v>
                </c:pt>
                <c:pt idx="2726">
                  <c:v>58343</c:v>
                </c:pt>
                <c:pt idx="2727">
                  <c:v>58350</c:v>
                </c:pt>
                <c:pt idx="2728">
                  <c:v>58357</c:v>
                </c:pt>
                <c:pt idx="2729">
                  <c:v>58364</c:v>
                </c:pt>
                <c:pt idx="2730">
                  <c:v>58371</c:v>
                </c:pt>
                <c:pt idx="2731">
                  <c:v>58378</c:v>
                </c:pt>
                <c:pt idx="2732">
                  <c:v>58385</c:v>
                </c:pt>
                <c:pt idx="2733">
                  <c:v>58392</c:v>
                </c:pt>
                <c:pt idx="2734">
                  <c:v>58399</c:v>
                </c:pt>
                <c:pt idx="2735">
                  <c:v>58406</c:v>
                </c:pt>
                <c:pt idx="2736">
                  <c:v>58413</c:v>
                </c:pt>
                <c:pt idx="2737">
                  <c:v>58420</c:v>
                </c:pt>
                <c:pt idx="2738">
                  <c:v>58427</c:v>
                </c:pt>
                <c:pt idx="2739">
                  <c:v>58438</c:v>
                </c:pt>
                <c:pt idx="2740">
                  <c:v>58442</c:v>
                </c:pt>
                <c:pt idx="2741">
                  <c:v>58448</c:v>
                </c:pt>
                <c:pt idx="2742">
                  <c:v>58455</c:v>
                </c:pt>
                <c:pt idx="2743">
                  <c:v>58462</c:v>
                </c:pt>
                <c:pt idx="2744">
                  <c:v>58469</c:v>
                </c:pt>
                <c:pt idx="2745">
                  <c:v>58476</c:v>
                </c:pt>
                <c:pt idx="2746">
                  <c:v>58483</c:v>
                </c:pt>
                <c:pt idx="2747">
                  <c:v>58490</c:v>
                </c:pt>
                <c:pt idx="2748">
                  <c:v>58497</c:v>
                </c:pt>
                <c:pt idx="2749">
                  <c:v>58504</c:v>
                </c:pt>
                <c:pt idx="2750">
                  <c:v>58511</c:v>
                </c:pt>
                <c:pt idx="2751">
                  <c:v>58518</c:v>
                </c:pt>
                <c:pt idx="2752">
                  <c:v>58525</c:v>
                </c:pt>
                <c:pt idx="2753">
                  <c:v>58532</c:v>
                </c:pt>
                <c:pt idx="2754">
                  <c:v>58539</c:v>
                </c:pt>
                <c:pt idx="2755">
                  <c:v>58546</c:v>
                </c:pt>
                <c:pt idx="2756">
                  <c:v>58553</c:v>
                </c:pt>
                <c:pt idx="2757">
                  <c:v>58560</c:v>
                </c:pt>
                <c:pt idx="2758">
                  <c:v>58567</c:v>
                </c:pt>
                <c:pt idx="2759">
                  <c:v>58574</c:v>
                </c:pt>
                <c:pt idx="2760">
                  <c:v>58581</c:v>
                </c:pt>
                <c:pt idx="2761">
                  <c:v>58588</c:v>
                </c:pt>
                <c:pt idx="2762">
                  <c:v>58595</c:v>
                </c:pt>
                <c:pt idx="2763">
                  <c:v>58602</c:v>
                </c:pt>
                <c:pt idx="2764">
                  <c:v>58609</c:v>
                </c:pt>
                <c:pt idx="2765">
                  <c:v>58616</c:v>
                </c:pt>
                <c:pt idx="2766">
                  <c:v>58623</c:v>
                </c:pt>
                <c:pt idx="2767">
                  <c:v>58630</c:v>
                </c:pt>
                <c:pt idx="2768">
                  <c:v>58637</c:v>
                </c:pt>
                <c:pt idx="2769">
                  <c:v>58644</c:v>
                </c:pt>
                <c:pt idx="2770">
                  <c:v>58651</c:v>
                </c:pt>
                <c:pt idx="2771">
                  <c:v>58658</c:v>
                </c:pt>
                <c:pt idx="2772">
                  <c:v>58665</c:v>
                </c:pt>
                <c:pt idx="2773">
                  <c:v>58672</c:v>
                </c:pt>
                <c:pt idx="2774">
                  <c:v>58679</c:v>
                </c:pt>
                <c:pt idx="2775">
                  <c:v>58686</c:v>
                </c:pt>
                <c:pt idx="2776">
                  <c:v>58693</c:v>
                </c:pt>
                <c:pt idx="2777">
                  <c:v>58700</c:v>
                </c:pt>
                <c:pt idx="2778">
                  <c:v>58707</c:v>
                </c:pt>
                <c:pt idx="2779">
                  <c:v>58714</c:v>
                </c:pt>
                <c:pt idx="2780">
                  <c:v>58721</c:v>
                </c:pt>
                <c:pt idx="2781">
                  <c:v>58728</c:v>
                </c:pt>
                <c:pt idx="2782">
                  <c:v>58735</c:v>
                </c:pt>
                <c:pt idx="2783">
                  <c:v>58742</c:v>
                </c:pt>
                <c:pt idx="2784">
                  <c:v>58749</c:v>
                </c:pt>
                <c:pt idx="2785">
                  <c:v>58756</c:v>
                </c:pt>
                <c:pt idx="2786">
                  <c:v>58763</c:v>
                </c:pt>
                <c:pt idx="2787">
                  <c:v>58770</c:v>
                </c:pt>
                <c:pt idx="2788">
                  <c:v>58777</c:v>
                </c:pt>
                <c:pt idx="2789">
                  <c:v>58784</c:v>
                </c:pt>
                <c:pt idx="2790">
                  <c:v>58791</c:v>
                </c:pt>
                <c:pt idx="2791">
                  <c:v>58798</c:v>
                </c:pt>
                <c:pt idx="2792">
                  <c:v>58805</c:v>
                </c:pt>
                <c:pt idx="2793">
                  <c:v>58812</c:v>
                </c:pt>
                <c:pt idx="2794">
                  <c:v>58819</c:v>
                </c:pt>
                <c:pt idx="2795">
                  <c:v>58826</c:v>
                </c:pt>
                <c:pt idx="2796">
                  <c:v>58833</c:v>
                </c:pt>
                <c:pt idx="2797">
                  <c:v>58840</c:v>
                </c:pt>
                <c:pt idx="2798">
                  <c:v>58847</c:v>
                </c:pt>
                <c:pt idx="2799">
                  <c:v>58854</c:v>
                </c:pt>
                <c:pt idx="2800">
                  <c:v>58861</c:v>
                </c:pt>
                <c:pt idx="2801">
                  <c:v>58868</c:v>
                </c:pt>
                <c:pt idx="2802">
                  <c:v>58875</c:v>
                </c:pt>
                <c:pt idx="2803">
                  <c:v>58882</c:v>
                </c:pt>
                <c:pt idx="2804">
                  <c:v>58889</c:v>
                </c:pt>
                <c:pt idx="2805">
                  <c:v>58896</c:v>
                </c:pt>
                <c:pt idx="2806">
                  <c:v>58903</c:v>
                </c:pt>
                <c:pt idx="2807">
                  <c:v>58910</c:v>
                </c:pt>
                <c:pt idx="2808">
                  <c:v>58917</c:v>
                </c:pt>
                <c:pt idx="2809">
                  <c:v>58924</c:v>
                </c:pt>
                <c:pt idx="2810">
                  <c:v>58931</c:v>
                </c:pt>
                <c:pt idx="2811">
                  <c:v>58938</c:v>
                </c:pt>
                <c:pt idx="2812">
                  <c:v>58945</c:v>
                </c:pt>
                <c:pt idx="2813">
                  <c:v>58952</c:v>
                </c:pt>
                <c:pt idx="2814">
                  <c:v>58959</c:v>
                </c:pt>
                <c:pt idx="2815">
                  <c:v>58966</c:v>
                </c:pt>
                <c:pt idx="2816">
                  <c:v>58973</c:v>
                </c:pt>
                <c:pt idx="2817">
                  <c:v>58980</c:v>
                </c:pt>
                <c:pt idx="2818">
                  <c:v>58987</c:v>
                </c:pt>
                <c:pt idx="2819">
                  <c:v>58994</c:v>
                </c:pt>
                <c:pt idx="2820">
                  <c:v>59001</c:v>
                </c:pt>
                <c:pt idx="2821">
                  <c:v>59008</c:v>
                </c:pt>
                <c:pt idx="2822">
                  <c:v>59015</c:v>
                </c:pt>
                <c:pt idx="2823">
                  <c:v>59022</c:v>
                </c:pt>
                <c:pt idx="2824">
                  <c:v>59029</c:v>
                </c:pt>
                <c:pt idx="2825">
                  <c:v>59036</c:v>
                </c:pt>
                <c:pt idx="2826">
                  <c:v>59043</c:v>
                </c:pt>
                <c:pt idx="2827">
                  <c:v>59050</c:v>
                </c:pt>
                <c:pt idx="2828">
                  <c:v>59057</c:v>
                </c:pt>
                <c:pt idx="2829">
                  <c:v>59064</c:v>
                </c:pt>
                <c:pt idx="2830">
                  <c:v>59071</c:v>
                </c:pt>
                <c:pt idx="2831">
                  <c:v>59078</c:v>
                </c:pt>
                <c:pt idx="2832">
                  <c:v>59085</c:v>
                </c:pt>
                <c:pt idx="2833">
                  <c:v>59092</c:v>
                </c:pt>
                <c:pt idx="2834">
                  <c:v>59099</c:v>
                </c:pt>
                <c:pt idx="2835">
                  <c:v>59106</c:v>
                </c:pt>
                <c:pt idx="2836">
                  <c:v>59113</c:v>
                </c:pt>
                <c:pt idx="2837">
                  <c:v>59120</c:v>
                </c:pt>
                <c:pt idx="2838">
                  <c:v>59127</c:v>
                </c:pt>
                <c:pt idx="2839">
                  <c:v>59134</c:v>
                </c:pt>
                <c:pt idx="2840">
                  <c:v>59141</c:v>
                </c:pt>
                <c:pt idx="2841">
                  <c:v>59148</c:v>
                </c:pt>
                <c:pt idx="2842">
                  <c:v>59155</c:v>
                </c:pt>
                <c:pt idx="2843">
                  <c:v>59162</c:v>
                </c:pt>
                <c:pt idx="2844">
                  <c:v>59169</c:v>
                </c:pt>
                <c:pt idx="2845">
                  <c:v>59176</c:v>
                </c:pt>
                <c:pt idx="2846">
                  <c:v>59183</c:v>
                </c:pt>
                <c:pt idx="2847">
                  <c:v>59190</c:v>
                </c:pt>
                <c:pt idx="2848">
                  <c:v>59197</c:v>
                </c:pt>
                <c:pt idx="2849">
                  <c:v>59204</c:v>
                </c:pt>
                <c:pt idx="2850">
                  <c:v>59211</c:v>
                </c:pt>
                <c:pt idx="2851">
                  <c:v>59218</c:v>
                </c:pt>
                <c:pt idx="2852">
                  <c:v>59225</c:v>
                </c:pt>
                <c:pt idx="2853">
                  <c:v>59232</c:v>
                </c:pt>
                <c:pt idx="2854">
                  <c:v>59239</c:v>
                </c:pt>
                <c:pt idx="2855">
                  <c:v>59246</c:v>
                </c:pt>
                <c:pt idx="2856">
                  <c:v>59253</c:v>
                </c:pt>
                <c:pt idx="2857">
                  <c:v>59260</c:v>
                </c:pt>
                <c:pt idx="2858">
                  <c:v>59267</c:v>
                </c:pt>
                <c:pt idx="2859">
                  <c:v>59274</c:v>
                </c:pt>
                <c:pt idx="2860">
                  <c:v>59281</c:v>
                </c:pt>
                <c:pt idx="2861">
                  <c:v>59288</c:v>
                </c:pt>
                <c:pt idx="2862">
                  <c:v>59295</c:v>
                </c:pt>
                <c:pt idx="2863">
                  <c:v>59302</c:v>
                </c:pt>
                <c:pt idx="2864">
                  <c:v>59309</c:v>
                </c:pt>
                <c:pt idx="2865">
                  <c:v>59316</c:v>
                </c:pt>
                <c:pt idx="2866">
                  <c:v>59323</c:v>
                </c:pt>
                <c:pt idx="2867">
                  <c:v>59330</c:v>
                </c:pt>
                <c:pt idx="2868">
                  <c:v>59337</c:v>
                </c:pt>
                <c:pt idx="2869">
                  <c:v>59344</c:v>
                </c:pt>
                <c:pt idx="2870">
                  <c:v>59351</c:v>
                </c:pt>
                <c:pt idx="2871">
                  <c:v>59358</c:v>
                </c:pt>
                <c:pt idx="2872">
                  <c:v>59365</c:v>
                </c:pt>
                <c:pt idx="2873">
                  <c:v>59372</c:v>
                </c:pt>
                <c:pt idx="2874">
                  <c:v>59379</c:v>
                </c:pt>
                <c:pt idx="2875">
                  <c:v>59386</c:v>
                </c:pt>
                <c:pt idx="2876">
                  <c:v>59393</c:v>
                </c:pt>
                <c:pt idx="2877">
                  <c:v>59400</c:v>
                </c:pt>
                <c:pt idx="2878">
                  <c:v>59407</c:v>
                </c:pt>
                <c:pt idx="2879">
                  <c:v>59414</c:v>
                </c:pt>
                <c:pt idx="2880">
                  <c:v>59421</c:v>
                </c:pt>
                <c:pt idx="2881">
                  <c:v>59428</c:v>
                </c:pt>
                <c:pt idx="2882">
                  <c:v>59435</c:v>
                </c:pt>
                <c:pt idx="2883">
                  <c:v>59442</c:v>
                </c:pt>
                <c:pt idx="2884">
                  <c:v>59449</c:v>
                </c:pt>
                <c:pt idx="2885">
                  <c:v>59456</c:v>
                </c:pt>
                <c:pt idx="2886">
                  <c:v>59463</c:v>
                </c:pt>
                <c:pt idx="2887">
                  <c:v>59470</c:v>
                </c:pt>
                <c:pt idx="2888">
                  <c:v>59477</c:v>
                </c:pt>
                <c:pt idx="2889">
                  <c:v>59484</c:v>
                </c:pt>
                <c:pt idx="2890">
                  <c:v>59491</c:v>
                </c:pt>
                <c:pt idx="2891">
                  <c:v>59498</c:v>
                </c:pt>
                <c:pt idx="2892">
                  <c:v>59505</c:v>
                </c:pt>
                <c:pt idx="2893">
                  <c:v>59512</c:v>
                </c:pt>
                <c:pt idx="2894">
                  <c:v>59519</c:v>
                </c:pt>
                <c:pt idx="2895">
                  <c:v>59526</c:v>
                </c:pt>
                <c:pt idx="2896">
                  <c:v>59534</c:v>
                </c:pt>
                <c:pt idx="2897">
                  <c:v>59541</c:v>
                </c:pt>
                <c:pt idx="2898">
                  <c:v>59548</c:v>
                </c:pt>
                <c:pt idx="2899">
                  <c:v>59555</c:v>
                </c:pt>
                <c:pt idx="2900">
                  <c:v>59562</c:v>
                </c:pt>
                <c:pt idx="2901">
                  <c:v>59569</c:v>
                </c:pt>
                <c:pt idx="2902">
                  <c:v>59576</c:v>
                </c:pt>
                <c:pt idx="2903">
                  <c:v>59583</c:v>
                </c:pt>
                <c:pt idx="2904">
                  <c:v>59590</c:v>
                </c:pt>
                <c:pt idx="2905">
                  <c:v>59597</c:v>
                </c:pt>
                <c:pt idx="2906">
                  <c:v>59604</c:v>
                </c:pt>
                <c:pt idx="2907">
                  <c:v>59611</c:v>
                </c:pt>
                <c:pt idx="2908">
                  <c:v>59618</c:v>
                </c:pt>
                <c:pt idx="2909">
                  <c:v>59625</c:v>
                </c:pt>
                <c:pt idx="2910">
                  <c:v>59632</c:v>
                </c:pt>
                <c:pt idx="2911">
                  <c:v>59643</c:v>
                </c:pt>
                <c:pt idx="2912">
                  <c:v>59646</c:v>
                </c:pt>
                <c:pt idx="2913">
                  <c:v>59653</c:v>
                </c:pt>
                <c:pt idx="2914">
                  <c:v>59660</c:v>
                </c:pt>
                <c:pt idx="2915">
                  <c:v>59667</c:v>
                </c:pt>
                <c:pt idx="2916">
                  <c:v>59674</c:v>
                </c:pt>
                <c:pt idx="2917">
                  <c:v>59681</c:v>
                </c:pt>
                <c:pt idx="2918">
                  <c:v>59688</c:v>
                </c:pt>
                <c:pt idx="2919">
                  <c:v>59695</c:v>
                </c:pt>
                <c:pt idx="2920">
                  <c:v>59702</c:v>
                </c:pt>
                <c:pt idx="2921">
                  <c:v>59709</c:v>
                </c:pt>
                <c:pt idx="2922">
                  <c:v>59716</c:v>
                </c:pt>
                <c:pt idx="2923">
                  <c:v>59723</c:v>
                </c:pt>
                <c:pt idx="2924">
                  <c:v>59730</c:v>
                </c:pt>
                <c:pt idx="2925">
                  <c:v>59737</c:v>
                </c:pt>
                <c:pt idx="2926">
                  <c:v>59744</c:v>
                </c:pt>
                <c:pt idx="2927">
                  <c:v>59751</c:v>
                </c:pt>
                <c:pt idx="2928">
                  <c:v>59758</c:v>
                </c:pt>
                <c:pt idx="2929">
                  <c:v>59765</c:v>
                </c:pt>
                <c:pt idx="2930">
                  <c:v>59772</c:v>
                </c:pt>
                <c:pt idx="2931">
                  <c:v>59779</c:v>
                </c:pt>
                <c:pt idx="2932">
                  <c:v>59786</c:v>
                </c:pt>
                <c:pt idx="2933">
                  <c:v>59793</c:v>
                </c:pt>
                <c:pt idx="2934">
                  <c:v>59800</c:v>
                </c:pt>
                <c:pt idx="2935">
                  <c:v>59807</c:v>
                </c:pt>
                <c:pt idx="2936">
                  <c:v>59814</c:v>
                </c:pt>
                <c:pt idx="2937">
                  <c:v>59821</c:v>
                </c:pt>
                <c:pt idx="2938">
                  <c:v>59828</c:v>
                </c:pt>
                <c:pt idx="2939">
                  <c:v>59835</c:v>
                </c:pt>
                <c:pt idx="2940">
                  <c:v>59842</c:v>
                </c:pt>
                <c:pt idx="2941">
                  <c:v>59849</c:v>
                </c:pt>
                <c:pt idx="2942">
                  <c:v>59856</c:v>
                </c:pt>
                <c:pt idx="2943">
                  <c:v>59863</c:v>
                </c:pt>
                <c:pt idx="2944">
                  <c:v>59870</c:v>
                </c:pt>
                <c:pt idx="2945">
                  <c:v>59877</c:v>
                </c:pt>
                <c:pt idx="2946">
                  <c:v>59884</c:v>
                </c:pt>
                <c:pt idx="2947">
                  <c:v>59891</c:v>
                </c:pt>
                <c:pt idx="2948">
                  <c:v>59901</c:v>
                </c:pt>
                <c:pt idx="2949">
                  <c:v>59908</c:v>
                </c:pt>
                <c:pt idx="2950">
                  <c:v>59915</c:v>
                </c:pt>
                <c:pt idx="2951">
                  <c:v>59922</c:v>
                </c:pt>
                <c:pt idx="2952">
                  <c:v>59929</c:v>
                </c:pt>
                <c:pt idx="2953">
                  <c:v>59936</c:v>
                </c:pt>
                <c:pt idx="2954">
                  <c:v>59943</c:v>
                </c:pt>
                <c:pt idx="2955">
                  <c:v>59950</c:v>
                </c:pt>
                <c:pt idx="2956">
                  <c:v>59957</c:v>
                </c:pt>
                <c:pt idx="2957">
                  <c:v>59964</c:v>
                </c:pt>
                <c:pt idx="2958">
                  <c:v>59971</c:v>
                </c:pt>
                <c:pt idx="2959">
                  <c:v>59978</c:v>
                </c:pt>
                <c:pt idx="2960">
                  <c:v>59985</c:v>
                </c:pt>
                <c:pt idx="2961">
                  <c:v>59992</c:v>
                </c:pt>
                <c:pt idx="2962">
                  <c:v>60001</c:v>
                </c:pt>
                <c:pt idx="2963">
                  <c:v>60006</c:v>
                </c:pt>
                <c:pt idx="2964">
                  <c:v>60013</c:v>
                </c:pt>
                <c:pt idx="2965">
                  <c:v>60020</c:v>
                </c:pt>
                <c:pt idx="2966">
                  <c:v>60028</c:v>
                </c:pt>
                <c:pt idx="2967">
                  <c:v>60035</c:v>
                </c:pt>
                <c:pt idx="2968">
                  <c:v>60042</c:v>
                </c:pt>
                <c:pt idx="2969">
                  <c:v>60049</c:v>
                </c:pt>
                <c:pt idx="2970">
                  <c:v>60056</c:v>
                </c:pt>
                <c:pt idx="2971">
                  <c:v>60063</c:v>
                </c:pt>
                <c:pt idx="2972">
                  <c:v>60070</c:v>
                </c:pt>
                <c:pt idx="2973">
                  <c:v>60077</c:v>
                </c:pt>
                <c:pt idx="2974">
                  <c:v>60084</c:v>
                </c:pt>
                <c:pt idx="2975">
                  <c:v>60091</c:v>
                </c:pt>
                <c:pt idx="2976">
                  <c:v>60098</c:v>
                </c:pt>
                <c:pt idx="2977">
                  <c:v>60105</c:v>
                </c:pt>
                <c:pt idx="2978">
                  <c:v>60112</c:v>
                </c:pt>
                <c:pt idx="2979">
                  <c:v>60119</c:v>
                </c:pt>
                <c:pt idx="2980">
                  <c:v>60126</c:v>
                </c:pt>
                <c:pt idx="2981">
                  <c:v>60133</c:v>
                </c:pt>
                <c:pt idx="2982">
                  <c:v>60140</c:v>
                </c:pt>
                <c:pt idx="2983">
                  <c:v>60147</c:v>
                </c:pt>
                <c:pt idx="2984">
                  <c:v>60154</c:v>
                </c:pt>
                <c:pt idx="2985">
                  <c:v>60161</c:v>
                </c:pt>
                <c:pt idx="2986">
                  <c:v>60168</c:v>
                </c:pt>
                <c:pt idx="2987">
                  <c:v>60175</c:v>
                </c:pt>
                <c:pt idx="2988">
                  <c:v>60182</c:v>
                </c:pt>
                <c:pt idx="2989">
                  <c:v>60189</c:v>
                </c:pt>
                <c:pt idx="2990">
                  <c:v>60196</c:v>
                </c:pt>
                <c:pt idx="2991">
                  <c:v>60203</c:v>
                </c:pt>
                <c:pt idx="2992">
                  <c:v>60210</c:v>
                </c:pt>
                <c:pt idx="2993">
                  <c:v>60217</c:v>
                </c:pt>
                <c:pt idx="2994">
                  <c:v>60224</c:v>
                </c:pt>
                <c:pt idx="2995">
                  <c:v>60231</c:v>
                </c:pt>
                <c:pt idx="2996">
                  <c:v>60238</c:v>
                </c:pt>
                <c:pt idx="2997">
                  <c:v>60245</c:v>
                </c:pt>
                <c:pt idx="2998">
                  <c:v>60252</c:v>
                </c:pt>
                <c:pt idx="2999">
                  <c:v>60259</c:v>
                </c:pt>
                <c:pt idx="3000">
                  <c:v>60267</c:v>
                </c:pt>
                <c:pt idx="3001">
                  <c:v>60274</c:v>
                </c:pt>
                <c:pt idx="3002">
                  <c:v>60281</c:v>
                </c:pt>
                <c:pt idx="3003">
                  <c:v>60288</c:v>
                </c:pt>
                <c:pt idx="3004">
                  <c:v>60295</c:v>
                </c:pt>
                <c:pt idx="3005">
                  <c:v>60302</c:v>
                </c:pt>
                <c:pt idx="3006">
                  <c:v>60309</c:v>
                </c:pt>
                <c:pt idx="3007">
                  <c:v>60316</c:v>
                </c:pt>
                <c:pt idx="3008">
                  <c:v>60323</c:v>
                </c:pt>
                <c:pt idx="3009">
                  <c:v>60330</c:v>
                </c:pt>
                <c:pt idx="3010">
                  <c:v>60337</c:v>
                </c:pt>
                <c:pt idx="3011">
                  <c:v>60344</c:v>
                </c:pt>
                <c:pt idx="3012">
                  <c:v>60351</c:v>
                </c:pt>
                <c:pt idx="3013">
                  <c:v>60359</c:v>
                </c:pt>
                <c:pt idx="3014">
                  <c:v>60366</c:v>
                </c:pt>
                <c:pt idx="3015">
                  <c:v>60373</c:v>
                </c:pt>
                <c:pt idx="3016">
                  <c:v>60380</c:v>
                </c:pt>
                <c:pt idx="3017">
                  <c:v>60387</c:v>
                </c:pt>
                <c:pt idx="3018">
                  <c:v>60394</c:v>
                </c:pt>
                <c:pt idx="3019">
                  <c:v>60401</c:v>
                </c:pt>
                <c:pt idx="3020">
                  <c:v>60408</c:v>
                </c:pt>
                <c:pt idx="3021">
                  <c:v>60415</c:v>
                </c:pt>
                <c:pt idx="3022">
                  <c:v>60422</c:v>
                </c:pt>
                <c:pt idx="3023">
                  <c:v>60429</c:v>
                </c:pt>
                <c:pt idx="3024">
                  <c:v>60436</c:v>
                </c:pt>
                <c:pt idx="3025">
                  <c:v>60443</c:v>
                </c:pt>
                <c:pt idx="3026">
                  <c:v>60450</c:v>
                </c:pt>
                <c:pt idx="3027">
                  <c:v>60457</c:v>
                </c:pt>
                <c:pt idx="3028">
                  <c:v>60464</c:v>
                </c:pt>
                <c:pt idx="3029">
                  <c:v>60471</c:v>
                </c:pt>
                <c:pt idx="3030">
                  <c:v>60478</c:v>
                </c:pt>
                <c:pt idx="3031">
                  <c:v>60485</c:v>
                </c:pt>
                <c:pt idx="3032">
                  <c:v>60492</c:v>
                </c:pt>
                <c:pt idx="3033">
                  <c:v>60499</c:v>
                </c:pt>
                <c:pt idx="3034">
                  <c:v>60506</c:v>
                </c:pt>
                <c:pt idx="3035">
                  <c:v>60513</c:v>
                </c:pt>
                <c:pt idx="3036">
                  <c:v>60520</c:v>
                </c:pt>
                <c:pt idx="3037">
                  <c:v>60527</c:v>
                </c:pt>
                <c:pt idx="3038">
                  <c:v>60534</c:v>
                </c:pt>
                <c:pt idx="3039">
                  <c:v>60541</c:v>
                </c:pt>
                <c:pt idx="3040">
                  <c:v>60548</c:v>
                </c:pt>
                <c:pt idx="3041">
                  <c:v>60555</c:v>
                </c:pt>
                <c:pt idx="3042">
                  <c:v>60562</c:v>
                </c:pt>
                <c:pt idx="3043">
                  <c:v>60569</c:v>
                </c:pt>
                <c:pt idx="3044">
                  <c:v>60576</c:v>
                </c:pt>
                <c:pt idx="3045">
                  <c:v>60583</c:v>
                </c:pt>
                <c:pt idx="3046">
                  <c:v>60590</c:v>
                </c:pt>
                <c:pt idx="3047">
                  <c:v>60597</c:v>
                </c:pt>
                <c:pt idx="3048">
                  <c:v>60604</c:v>
                </c:pt>
                <c:pt idx="3049">
                  <c:v>60611</c:v>
                </c:pt>
                <c:pt idx="3050">
                  <c:v>60618</c:v>
                </c:pt>
                <c:pt idx="3051">
                  <c:v>60625</c:v>
                </c:pt>
                <c:pt idx="3052">
                  <c:v>60632</c:v>
                </c:pt>
                <c:pt idx="3053">
                  <c:v>60639</c:v>
                </c:pt>
                <c:pt idx="3054">
                  <c:v>60646</c:v>
                </c:pt>
                <c:pt idx="3055">
                  <c:v>60653</c:v>
                </c:pt>
                <c:pt idx="3056">
                  <c:v>60660</c:v>
                </c:pt>
                <c:pt idx="3057">
                  <c:v>60667</c:v>
                </c:pt>
                <c:pt idx="3058">
                  <c:v>60674</c:v>
                </c:pt>
                <c:pt idx="3059">
                  <c:v>60681</c:v>
                </c:pt>
                <c:pt idx="3060">
                  <c:v>60688</c:v>
                </c:pt>
                <c:pt idx="3061">
                  <c:v>60695</c:v>
                </c:pt>
                <c:pt idx="3062">
                  <c:v>60702</c:v>
                </c:pt>
                <c:pt idx="3063">
                  <c:v>60709</c:v>
                </c:pt>
                <c:pt idx="3064">
                  <c:v>60716</c:v>
                </c:pt>
                <c:pt idx="3065">
                  <c:v>60723</c:v>
                </c:pt>
                <c:pt idx="3066">
                  <c:v>60730</c:v>
                </c:pt>
                <c:pt idx="3067">
                  <c:v>60737</c:v>
                </c:pt>
                <c:pt idx="3068">
                  <c:v>60744</c:v>
                </c:pt>
                <c:pt idx="3069">
                  <c:v>60751</c:v>
                </c:pt>
                <c:pt idx="3070">
                  <c:v>60758</c:v>
                </c:pt>
                <c:pt idx="3071">
                  <c:v>60765</c:v>
                </c:pt>
                <c:pt idx="3072">
                  <c:v>60772</c:v>
                </c:pt>
                <c:pt idx="3073">
                  <c:v>60779</c:v>
                </c:pt>
                <c:pt idx="3074">
                  <c:v>60786</c:v>
                </c:pt>
                <c:pt idx="3075">
                  <c:v>60793</c:v>
                </c:pt>
                <c:pt idx="3076">
                  <c:v>60800</c:v>
                </c:pt>
                <c:pt idx="3077">
                  <c:v>60807</c:v>
                </c:pt>
                <c:pt idx="3078">
                  <c:v>60814</c:v>
                </c:pt>
                <c:pt idx="3079">
                  <c:v>60821</c:v>
                </c:pt>
                <c:pt idx="3080">
                  <c:v>60828</c:v>
                </c:pt>
                <c:pt idx="3081">
                  <c:v>60835</c:v>
                </c:pt>
                <c:pt idx="3082">
                  <c:v>60842</c:v>
                </c:pt>
                <c:pt idx="3083">
                  <c:v>60849</c:v>
                </c:pt>
                <c:pt idx="3084">
                  <c:v>60856</c:v>
                </c:pt>
                <c:pt idx="3085">
                  <c:v>60863</c:v>
                </c:pt>
                <c:pt idx="3086">
                  <c:v>60870</c:v>
                </c:pt>
                <c:pt idx="3087">
                  <c:v>60877</c:v>
                </c:pt>
                <c:pt idx="3088">
                  <c:v>60884</c:v>
                </c:pt>
                <c:pt idx="3089">
                  <c:v>60891</c:v>
                </c:pt>
                <c:pt idx="3090">
                  <c:v>60898</c:v>
                </c:pt>
                <c:pt idx="3091">
                  <c:v>60905</c:v>
                </c:pt>
                <c:pt idx="3092">
                  <c:v>60912</c:v>
                </c:pt>
                <c:pt idx="3093">
                  <c:v>60919</c:v>
                </c:pt>
                <c:pt idx="3094">
                  <c:v>60926</c:v>
                </c:pt>
                <c:pt idx="3095">
                  <c:v>60933</c:v>
                </c:pt>
                <c:pt idx="3096">
                  <c:v>60940</c:v>
                </c:pt>
                <c:pt idx="3097">
                  <c:v>60947</c:v>
                </c:pt>
                <c:pt idx="3098">
                  <c:v>60954</c:v>
                </c:pt>
                <c:pt idx="3099">
                  <c:v>60961</c:v>
                </c:pt>
                <c:pt idx="3100">
                  <c:v>60968</c:v>
                </c:pt>
                <c:pt idx="3101">
                  <c:v>60975</c:v>
                </c:pt>
                <c:pt idx="3102">
                  <c:v>60982</c:v>
                </c:pt>
                <c:pt idx="3103">
                  <c:v>60989</c:v>
                </c:pt>
                <c:pt idx="3104">
                  <c:v>60996</c:v>
                </c:pt>
                <c:pt idx="3105">
                  <c:v>61003</c:v>
                </c:pt>
                <c:pt idx="3106">
                  <c:v>61010</c:v>
                </c:pt>
                <c:pt idx="3107">
                  <c:v>61017</c:v>
                </c:pt>
                <c:pt idx="3108">
                  <c:v>61024</c:v>
                </c:pt>
                <c:pt idx="3109">
                  <c:v>61031</c:v>
                </c:pt>
                <c:pt idx="3110">
                  <c:v>61038</c:v>
                </c:pt>
                <c:pt idx="3111">
                  <c:v>61045</c:v>
                </c:pt>
                <c:pt idx="3112">
                  <c:v>61052</c:v>
                </c:pt>
                <c:pt idx="3113">
                  <c:v>61059</c:v>
                </c:pt>
                <c:pt idx="3114">
                  <c:v>61066</c:v>
                </c:pt>
                <c:pt idx="3115">
                  <c:v>61073</c:v>
                </c:pt>
                <c:pt idx="3116">
                  <c:v>61080</c:v>
                </c:pt>
                <c:pt idx="3117">
                  <c:v>61087</c:v>
                </c:pt>
                <c:pt idx="3118">
                  <c:v>61094</c:v>
                </c:pt>
                <c:pt idx="3119">
                  <c:v>61101</c:v>
                </c:pt>
                <c:pt idx="3120">
                  <c:v>61108</c:v>
                </c:pt>
                <c:pt idx="3121">
                  <c:v>61115</c:v>
                </c:pt>
                <c:pt idx="3122">
                  <c:v>61122</c:v>
                </c:pt>
                <c:pt idx="3123">
                  <c:v>61129</c:v>
                </c:pt>
                <c:pt idx="3124">
                  <c:v>61136</c:v>
                </c:pt>
                <c:pt idx="3125">
                  <c:v>61143</c:v>
                </c:pt>
                <c:pt idx="3126">
                  <c:v>61150</c:v>
                </c:pt>
                <c:pt idx="3127">
                  <c:v>61157</c:v>
                </c:pt>
                <c:pt idx="3128">
                  <c:v>61164</c:v>
                </c:pt>
                <c:pt idx="3129">
                  <c:v>61171</c:v>
                </c:pt>
                <c:pt idx="3130">
                  <c:v>61178</c:v>
                </c:pt>
                <c:pt idx="3131">
                  <c:v>61185</c:v>
                </c:pt>
                <c:pt idx="3132">
                  <c:v>61192</c:v>
                </c:pt>
                <c:pt idx="3133">
                  <c:v>61199</c:v>
                </c:pt>
                <c:pt idx="3134">
                  <c:v>61206</c:v>
                </c:pt>
                <c:pt idx="3135">
                  <c:v>61213</c:v>
                </c:pt>
                <c:pt idx="3136">
                  <c:v>61220</c:v>
                </c:pt>
                <c:pt idx="3137">
                  <c:v>61227</c:v>
                </c:pt>
                <c:pt idx="3138">
                  <c:v>61234</c:v>
                </c:pt>
                <c:pt idx="3139">
                  <c:v>61241</c:v>
                </c:pt>
                <c:pt idx="3140">
                  <c:v>61248</c:v>
                </c:pt>
                <c:pt idx="3141">
                  <c:v>61255</c:v>
                </c:pt>
                <c:pt idx="3142">
                  <c:v>61262</c:v>
                </c:pt>
                <c:pt idx="3143">
                  <c:v>61269</c:v>
                </c:pt>
                <c:pt idx="3144">
                  <c:v>61276</c:v>
                </c:pt>
                <c:pt idx="3145">
                  <c:v>61283</c:v>
                </c:pt>
                <c:pt idx="3146">
                  <c:v>61290</c:v>
                </c:pt>
                <c:pt idx="3147">
                  <c:v>61297</c:v>
                </c:pt>
                <c:pt idx="3148">
                  <c:v>61304</c:v>
                </c:pt>
                <c:pt idx="3149">
                  <c:v>61311</c:v>
                </c:pt>
                <c:pt idx="3150">
                  <c:v>61318</c:v>
                </c:pt>
                <c:pt idx="3151">
                  <c:v>61325</c:v>
                </c:pt>
                <c:pt idx="3152">
                  <c:v>61332</c:v>
                </c:pt>
                <c:pt idx="3153">
                  <c:v>61339</c:v>
                </c:pt>
                <c:pt idx="3154">
                  <c:v>61346</c:v>
                </c:pt>
                <c:pt idx="3155">
                  <c:v>61353</c:v>
                </c:pt>
                <c:pt idx="3156">
                  <c:v>61360</c:v>
                </c:pt>
                <c:pt idx="3157">
                  <c:v>61367</c:v>
                </c:pt>
                <c:pt idx="3158">
                  <c:v>61374</c:v>
                </c:pt>
                <c:pt idx="3159">
                  <c:v>61381</c:v>
                </c:pt>
                <c:pt idx="3160">
                  <c:v>61388</c:v>
                </c:pt>
                <c:pt idx="3161">
                  <c:v>61395</c:v>
                </c:pt>
                <c:pt idx="3162">
                  <c:v>61402</c:v>
                </c:pt>
                <c:pt idx="3163">
                  <c:v>61409</c:v>
                </c:pt>
                <c:pt idx="3164">
                  <c:v>61416</c:v>
                </c:pt>
                <c:pt idx="3165">
                  <c:v>61423</c:v>
                </c:pt>
                <c:pt idx="3166">
                  <c:v>61430</c:v>
                </c:pt>
                <c:pt idx="3167">
                  <c:v>61437</c:v>
                </c:pt>
                <c:pt idx="3168">
                  <c:v>61444</c:v>
                </c:pt>
                <c:pt idx="3169">
                  <c:v>61451</c:v>
                </c:pt>
                <c:pt idx="3170">
                  <c:v>61458</c:v>
                </c:pt>
                <c:pt idx="3171">
                  <c:v>61465</c:v>
                </c:pt>
                <c:pt idx="3172">
                  <c:v>61472</c:v>
                </c:pt>
                <c:pt idx="3173">
                  <c:v>61479</c:v>
                </c:pt>
                <c:pt idx="3174">
                  <c:v>61487</c:v>
                </c:pt>
                <c:pt idx="3175">
                  <c:v>61494</c:v>
                </c:pt>
                <c:pt idx="3176">
                  <c:v>61501</c:v>
                </c:pt>
                <c:pt idx="3177">
                  <c:v>61508</c:v>
                </c:pt>
                <c:pt idx="3178">
                  <c:v>61515</c:v>
                </c:pt>
                <c:pt idx="3179">
                  <c:v>61522</c:v>
                </c:pt>
                <c:pt idx="3180">
                  <c:v>61529</c:v>
                </c:pt>
                <c:pt idx="3181">
                  <c:v>61536</c:v>
                </c:pt>
                <c:pt idx="3182">
                  <c:v>61543</c:v>
                </c:pt>
                <c:pt idx="3183">
                  <c:v>61550</c:v>
                </c:pt>
                <c:pt idx="3184">
                  <c:v>61557</c:v>
                </c:pt>
                <c:pt idx="3185">
                  <c:v>61564</c:v>
                </c:pt>
                <c:pt idx="3186">
                  <c:v>61571</c:v>
                </c:pt>
                <c:pt idx="3187">
                  <c:v>61578</c:v>
                </c:pt>
                <c:pt idx="3188">
                  <c:v>61585</c:v>
                </c:pt>
                <c:pt idx="3189">
                  <c:v>61592</c:v>
                </c:pt>
                <c:pt idx="3190">
                  <c:v>61599</c:v>
                </c:pt>
                <c:pt idx="3191">
                  <c:v>61606</c:v>
                </c:pt>
                <c:pt idx="3192">
                  <c:v>61613</c:v>
                </c:pt>
                <c:pt idx="3193">
                  <c:v>61620</c:v>
                </c:pt>
                <c:pt idx="3194">
                  <c:v>61627</c:v>
                </c:pt>
                <c:pt idx="3195">
                  <c:v>61634</c:v>
                </c:pt>
                <c:pt idx="3196">
                  <c:v>61641</c:v>
                </c:pt>
                <c:pt idx="3197">
                  <c:v>61648</c:v>
                </c:pt>
                <c:pt idx="3198">
                  <c:v>61655</c:v>
                </c:pt>
                <c:pt idx="3199">
                  <c:v>61662</c:v>
                </c:pt>
                <c:pt idx="3200">
                  <c:v>61669</c:v>
                </c:pt>
                <c:pt idx="3201">
                  <c:v>61676</c:v>
                </c:pt>
                <c:pt idx="3202">
                  <c:v>61683</c:v>
                </c:pt>
                <c:pt idx="3203">
                  <c:v>61690</c:v>
                </c:pt>
                <c:pt idx="3204">
                  <c:v>61697</c:v>
                </c:pt>
                <c:pt idx="3205">
                  <c:v>61704</c:v>
                </c:pt>
                <c:pt idx="3206">
                  <c:v>61711</c:v>
                </c:pt>
                <c:pt idx="3207">
                  <c:v>61718</c:v>
                </c:pt>
                <c:pt idx="3208">
                  <c:v>61728</c:v>
                </c:pt>
                <c:pt idx="3209">
                  <c:v>61735</c:v>
                </c:pt>
                <c:pt idx="3210">
                  <c:v>61742</c:v>
                </c:pt>
                <c:pt idx="3211">
                  <c:v>61749</c:v>
                </c:pt>
                <c:pt idx="3212">
                  <c:v>61756</c:v>
                </c:pt>
                <c:pt idx="3213">
                  <c:v>61763</c:v>
                </c:pt>
                <c:pt idx="3214">
                  <c:v>61770</c:v>
                </c:pt>
                <c:pt idx="3215">
                  <c:v>61777</c:v>
                </c:pt>
                <c:pt idx="3216">
                  <c:v>61784</c:v>
                </c:pt>
                <c:pt idx="3217">
                  <c:v>61791</c:v>
                </c:pt>
                <c:pt idx="3218">
                  <c:v>61798</c:v>
                </c:pt>
                <c:pt idx="3219">
                  <c:v>61805</c:v>
                </c:pt>
                <c:pt idx="3220">
                  <c:v>61812</c:v>
                </c:pt>
                <c:pt idx="3221">
                  <c:v>61819</c:v>
                </c:pt>
                <c:pt idx="3222">
                  <c:v>61826</c:v>
                </c:pt>
                <c:pt idx="3223">
                  <c:v>61835</c:v>
                </c:pt>
                <c:pt idx="3224">
                  <c:v>61840</c:v>
                </c:pt>
                <c:pt idx="3225">
                  <c:v>61847</c:v>
                </c:pt>
                <c:pt idx="3226">
                  <c:v>61854</c:v>
                </c:pt>
                <c:pt idx="3227">
                  <c:v>61861</c:v>
                </c:pt>
                <c:pt idx="3228">
                  <c:v>61868</c:v>
                </c:pt>
                <c:pt idx="3229">
                  <c:v>61875</c:v>
                </c:pt>
                <c:pt idx="3230">
                  <c:v>61882</c:v>
                </c:pt>
                <c:pt idx="3231">
                  <c:v>61889</c:v>
                </c:pt>
                <c:pt idx="3232">
                  <c:v>61896</c:v>
                </c:pt>
                <c:pt idx="3233">
                  <c:v>61903</c:v>
                </c:pt>
                <c:pt idx="3234">
                  <c:v>61910</c:v>
                </c:pt>
                <c:pt idx="3235">
                  <c:v>61917</c:v>
                </c:pt>
                <c:pt idx="3236">
                  <c:v>61924</c:v>
                </c:pt>
                <c:pt idx="3237">
                  <c:v>61931</c:v>
                </c:pt>
                <c:pt idx="3238">
                  <c:v>61938</c:v>
                </c:pt>
                <c:pt idx="3239">
                  <c:v>61945</c:v>
                </c:pt>
                <c:pt idx="3240">
                  <c:v>61952</c:v>
                </c:pt>
                <c:pt idx="3241">
                  <c:v>61959</c:v>
                </c:pt>
                <c:pt idx="3242">
                  <c:v>61966</c:v>
                </c:pt>
                <c:pt idx="3243">
                  <c:v>61973</c:v>
                </c:pt>
                <c:pt idx="3244">
                  <c:v>61980</c:v>
                </c:pt>
                <c:pt idx="3245">
                  <c:v>61987</c:v>
                </c:pt>
                <c:pt idx="3246">
                  <c:v>61994</c:v>
                </c:pt>
                <c:pt idx="3247">
                  <c:v>62001</c:v>
                </c:pt>
                <c:pt idx="3248">
                  <c:v>62008</c:v>
                </c:pt>
                <c:pt idx="3249">
                  <c:v>62015</c:v>
                </c:pt>
                <c:pt idx="3250">
                  <c:v>62022</c:v>
                </c:pt>
                <c:pt idx="3251">
                  <c:v>62029</c:v>
                </c:pt>
                <c:pt idx="3252">
                  <c:v>62036</c:v>
                </c:pt>
                <c:pt idx="3253">
                  <c:v>62043</c:v>
                </c:pt>
                <c:pt idx="3254">
                  <c:v>62050</c:v>
                </c:pt>
                <c:pt idx="3255">
                  <c:v>62057</c:v>
                </c:pt>
                <c:pt idx="3256">
                  <c:v>62064</c:v>
                </c:pt>
                <c:pt idx="3257">
                  <c:v>62071</c:v>
                </c:pt>
                <c:pt idx="3258">
                  <c:v>62078</c:v>
                </c:pt>
                <c:pt idx="3259">
                  <c:v>62085</c:v>
                </c:pt>
                <c:pt idx="3260">
                  <c:v>62093</c:v>
                </c:pt>
                <c:pt idx="3261">
                  <c:v>62100</c:v>
                </c:pt>
                <c:pt idx="3262">
                  <c:v>62107</c:v>
                </c:pt>
                <c:pt idx="3263">
                  <c:v>62114</c:v>
                </c:pt>
                <c:pt idx="3264">
                  <c:v>62121</c:v>
                </c:pt>
                <c:pt idx="3265">
                  <c:v>62128</c:v>
                </c:pt>
                <c:pt idx="3266">
                  <c:v>62135</c:v>
                </c:pt>
                <c:pt idx="3267">
                  <c:v>62142</c:v>
                </c:pt>
                <c:pt idx="3268">
                  <c:v>62149</c:v>
                </c:pt>
                <c:pt idx="3269">
                  <c:v>62156</c:v>
                </c:pt>
                <c:pt idx="3270">
                  <c:v>62163</c:v>
                </c:pt>
                <c:pt idx="3271">
                  <c:v>62170</c:v>
                </c:pt>
                <c:pt idx="3272">
                  <c:v>62177</c:v>
                </c:pt>
                <c:pt idx="3273">
                  <c:v>62186</c:v>
                </c:pt>
                <c:pt idx="3274">
                  <c:v>62193</c:v>
                </c:pt>
                <c:pt idx="3275">
                  <c:v>62200</c:v>
                </c:pt>
                <c:pt idx="3276">
                  <c:v>62207</c:v>
                </c:pt>
                <c:pt idx="3277">
                  <c:v>62215</c:v>
                </c:pt>
                <c:pt idx="3278">
                  <c:v>62221</c:v>
                </c:pt>
                <c:pt idx="3279">
                  <c:v>62228</c:v>
                </c:pt>
                <c:pt idx="3280">
                  <c:v>62235</c:v>
                </c:pt>
                <c:pt idx="3281">
                  <c:v>62242</c:v>
                </c:pt>
                <c:pt idx="3282">
                  <c:v>62249</c:v>
                </c:pt>
                <c:pt idx="3283">
                  <c:v>62256</c:v>
                </c:pt>
                <c:pt idx="3284">
                  <c:v>62263</c:v>
                </c:pt>
                <c:pt idx="3285">
                  <c:v>62270</c:v>
                </c:pt>
                <c:pt idx="3286">
                  <c:v>62277</c:v>
                </c:pt>
                <c:pt idx="3287">
                  <c:v>62284</c:v>
                </c:pt>
                <c:pt idx="3288">
                  <c:v>62291</c:v>
                </c:pt>
                <c:pt idx="3289">
                  <c:v>62298</c:v>
                </c:pt>
                <c:pt idx="3290">
                  <c:v>62305</c:v>
                </c:pt>
                <c:pt idx="3291">
                  <c:v>62312</c:v>
                </c:pt>
                <c:pt idx="3292">
                  <c:v>62319</c:v>
                </c:pt>
                <c:pt idx="3293">
                  <c:v>62326</c:v>
                </c:pt>
                <c:pt idx="3294">
                  <c:v>62333</c:v>
                </c:pt>
                <c:pt idx="3295">
                  <c:v>62340</c:v>
                </c:pt>
                <c:pt idx="3296">
                  <c:v>62347</c:v>
                </c:pt>
                <c:pt idx="3297">
                  <c:v>62354</c:v>
                </c:pt>
                <c:pt idx="3298">
                  <c:v>62361</c:v>
                </c:pt>
                <c:pt idx="3299">
                  <c:v>62368</c:v>
                </c:pt>
                <c:pt idx="3300">
                  <c:v>62375</c:v>
                </c:pt>
                <c:pt idx="3301">
                  <c:v>62382</c:v>
                </c:pt>
                <c:pt idx="3302">
                  <c:v>62389</c:v>
                </c:pt>
                <c:pt idx="3303">
                  <c:v>62396</c:v>
                </c:pt>
                <c:pt idx="3304">
                  <c:v>62403</c:v>
                </c:pt>
                <c:pt idx="3305">
                  <c:v>62410</c:v>
                </c:pt>
                <c:pt idx="3306">
                  <c:v>62417</c:v>
                </c:pt>
                <c:pt idx="3307">
                  <c:v>62424</c:v>
                </c:pt>
                <c:pt idx="3308">
                  <c:v>62431</c:v>
                </c:pt>
                <c:pt idx="3309">
                  <c:v>62438</c:v>
                </c:pt>
                <c:pt idx="3310">
                  <c:v>62445</c:v>
                </c:pt>
                <c:pt idx="3311">
                  <c:v>62456</c:v>
                </c:pt>
                <c:pt idx="3312">
                  <c:v>62460</c:v>
                </c:pt>
                <c:pt idx="3313">
                  <c:v>62466</c:v>
                </c:pt>
                <c:pt idx="3314">
                  <c:v>62473</c:v>
                </c:pt>
                <c:pt idx="3315">
                  <c:v>62480</c:v>
                </c:pt>
                <c:pt idx="3316">
                  <c:v>62487</c:v>
                </c:pt>
                <c:pt idx="3317">
                  <c:v>62494</c:v>
                </c:pt>
                <c:pt idx="3318">
                  <c:v>62501</c:v>
                </c:pt>
                <c:pt idx="3319">
                  <c:v>62508</c:v>
                </c:pt>
                <c:pt idx="3320">
                  <c:v>62515</c:v>
                </c:pt>
                <c:pt idx="3321">
                  <c:v>62522</c:v>
                </c:pt>
                <c:pt idx="3322">
                  <c:v>62529</c:v>
                </c:pt>
                <c:pt idx="3323">
                  <c:v>62536</c:v>
                </c:pt>
                <c:pt idx="3324">
                  <c:v>62543</c:v>
                </c:pt>
                <c:pt idx="3325">
                  <c:v>62550</c:v>
                </c:pt>
                <c:pt idx="3326">
                  <c:v>62557</c:v>
                </c:pt>
                <c:pt idx="3327">
                  <c:v>62564</c:v>
                </c:pt>
                <c:pt idx="3328">
                  <c:v>62571</c:v>
                </c:pt>
                <c:pt idx="3329">
                  <c:v>62578</c:v>
                </c:pt>
                <c:pt idx="3330">
                  <c:v>62585</c:v>
                </c:pt>
                <c:pt idx="3331">
                  <c:v>62592</c:v>
                </c:pt>
                <c:pt idx="3332">
                  <c:v>62599</c:v>
                </c:pt>
                <c:pt idx="3333">
                  <c:v>62606</c:v>
                </c:pt>
                <c:pt idx="3334">
                  <c:v>62613</c:v>
                </c:pt>
                <c:pt idx="3335">
                  <c:v>62620</c:v>
                </c:pt>
                <c:pt idx="3336">
                  <c:v>62627</c:v>
                </c:pt>
                <c:pt idx="3337">
                  <c:v>62634</c:v>
                </c:pt>
                <c:pt idx="3338">
                  <c:v>62641</c:v>
                </c:pt>
                <c:pt idx="3339">
                  <c:v>62648</c:v>
                </c:pt>
                <c:pt idx="3340">
                  <c:v>62655</c:v>
                </c:pt>
                <c:pt idx="3341">
                  <c:v>62662</c:v>
                </c:pt>
                <c:pt idx="3342">
                  <c:v>62669</c:v>
                </c:pt>
                <c:pt idx="3343">
                  <c:v>62676</c:v>
                </c:pt>
                <c:pt idx="3344">
                  <c:v>62683</c:v>
                </c:pt>
                <c:pt idx="3345">
                  <c:v>62690</c:v>
                </c:pt>
                <c:pt idx="3346">
                  <c:v>62697</c:v>
                </c:pt>
                <c:pt idx="3347">
                  <c:v>62704</c:v>
                </c:pt>
                <c:pt idx="3348">
                  <c:v>62711</c:v>
                </c:pt>
                <c:pt idx="3349">
                  <c:v>62718</c:v>
                </c:pt>
                <c:pt idx="3350">
                  <c:v>62725</c:v>
                </c:pt>
                <c:pt idx="3351">
                  <c:v>62732</c:v>
                </c:pt>
                <c:pt idx="3352">
                  <c:v>62739</c:v>
                </c:pt>
                <c:pt idx="3353">
                  <c:v>62746</c:v>
                </c:pt>
                <c:pt idx="3354">
                  <c:v>62753</c:v>
                </c:pt>
                <c:pt idx="3355">
                  <c:v>62760</c:v>
                </c:pt>
                <c:pt idx="3356">
                  <c:v>62767</c:v>
                </c:pt>
                <c:pt idx="3357">
                  <c:v>62774</c:v>
                </c:pt>
                <c:pt idx="3358">
                  <c:v>62781</c:v>
                </c:pt>
                <c:pt idx="3359">
                  <c:v>62788</c:v>
                </c:pt>
                <c:pt idx="3360">
                  <c:v>62795</c:v>
                </c:pt>
                <c:pt idx="3361">
                  <c:v>62802</c:v>
                </c:pt>
                <c:pt idx="3362">
                  <c:v>62809</c:v>
                </c:pt>
                <c:pt idx="3363">
                  <c:v>62816</c:v>
                </c:pt>
                <c:pt idx="3364">
                  <c:v>62823</c:v>
                </c:pt>
                <c:pt idx="3365">
                  <c:v>62830</c:v>
                </c:pt>
                <c:pt idx="3366">
                  <c:v>62837</c:v>
                </c:pt>
                <c:pt idx="3367">
                  <c:v>62844</c:v>
                </c:pt>
                <c:pt idx="3368">
                  <c:v>62851</c:v>
                </c:pt>
                <c:pt idx="3369">
                  <c:v>62858</c:v>
                </c:pt>
                <c:pt idx="3370">
                  <c:v>62865</c:v>
                </c:pt>
                <c:pt idx="3371">
                  <c:v>62872</c:v>
                </c:pt>
                <c:pt idx="3372">
                  <c:v>62879</c:v>
                </c:pt>
                <c:pt idx="3373">
                  <c:v>62886</c:v>
                </c:pt>
                <c:pt idx="3374">
                  <c:v>62893</c:v>
                </c:pt>
                <c:pt idx="3375">
                  <c:v>62900</c:v>
                </c:pt>
                <c:pt idx="3376">
                  <c:v>62907</c:v>
                </c:pt>
                <c:pt idx="3377">
                  <c:v>62914</c:v>
                </c:pt>
                <c:pt idx="3378">
                  <c:v>62921</c:v>
                </c:pt>
                <c:pt idx="3379">
                  <c:v>62928</c:v>
                </c:pt>
                <c:pt idx="3380">
                  <c:v>62935</c:v>
                </c:pt>
                <c:pt idx="3381">
                  <c:v>62942</c:v>
                </c:pt>
                <c:pt idx="3382">
                  <c:v>62949</c:v>
                </c:pt>
                <c:pt idx="3383">
                  <c:v>62956</c:v>
                </c:pt>
                <c:pt idx="3384">
                  <c:v>62963</c:v>
                </c:pt>
                <c:pt idx="3385">
                  <c:v>62970</c:v>
                </c:pt>
                <c:pt idx="3386">
                  <c:v>62977</c:v>
                </c:pt>
                <c:pt idx="3387">
                  <c:v>62984</c:v>
                </c:pt>
                <c:pt idx="3388">
                  <c:v>62991</c:v>
                </c:pt>
                <c:pt idx="3389">
                  <c:v>62998</c:v>
                </c:pt>
                <c:pt idx="3390">
                  <c:v>63005</c:v>
                </c:pt>
                <c:pt idx="3391">
                  <c:v>63012</c:v>
                </c:pt>
                <c:pt idx="3392">
                  <c:v>63019</c:v>
                </c:pt>
                <c:pt idx="3393">
                  <c:v>63026</c:v>
                </c:pt>
                <c:pt idx="3394">
                  <c:v>63033</c:v>
                </c:pt>
                <c:pt idx="3395">
                  <c:v>63040</c:v>
                </c:pt>
                <c:pt idx="3396">
                  <c:v>63047</c:v>
                </c:pt>
                <c:pt idx="3397">
                  <c:v>63054</c:v>
                </c:pt>
                <c:pt idx="3398">
                  <c:v>63061</c:v>
                </c:pt>
                <c:pt idx="3399">
                  <c:v>63068</c:v>
                </c:pt>
                <c:pt idx="3400">
                  <c:v>63075</c:v>
                </c:pt>
                <c:pt idx="3401">
                  <c:v>63082</c:v>
                </c:pt>
                <c:pt idx="3402">
                  <c:v>63089</c:v>
                </c:pt>
                <c:pt idx="3403">
                  <c:v>63096</c:v>
                </c:pt>
                <c:pt idx="3404">
                  <c:v>63103</c:v>
                </c:pt>
                <c:pt idx="3405">
                  <c:v>63110</c:v>
                </c:pt>
                <c:pt idx="3406">
                  <c:v>63117</c:v>
                </c:pt>
                <c:pt idx="3407">
                  <c:v>63124</c:v>
                </c:pt>
                <c:pt idx="3408">
                  <c:v>63131</c:v>
                </c:pt>
                <c:pt idx="3409">
                  <c:v>63138</c:v>
                </c:pt>
                <c:pt idx="3410">
                  <c:v>63145</c:v>
                </c:pt>
                <c:pt idx="3411">
                  <c:v>63152</c:v>
                </c:pt>
                <c:pt idx="3412">
                  <c:v>63159</c:v>
                </c:pt>
                <c:pt idx="3413">
                  <c:v>63166</c:v>
                </c:pt>
                <c:pt idx="3414">
                  <c:v>63173</c:v>
                </c:pt>
                <c:pt idx="3415">
                  <c:v>63180</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63313</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63699</c:v>
                </c:pt>
                <c:pt idx="3490">
                  <c:v>63706</c:v>
                </c:pt>
                <c:pt idx="3491">
                  <c:v>63713</c:v>
                </c:pt>
                <c:pt idx="3492">
                  <c:v>63720</c:v>
                </c:pt>
                <c:pt idx="3493">
                  <c:v>63727</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63919</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Monitor!$AA$19:$AA$3552</c:f>
              <c:numCache>
                <c:formatCode>0.0000%</c:formatCode>
                <c:ptCount val="3534"/>
                <c:pt idx="0">
                  <c:v>8.4300000032914209E-4</c:v>
                </c:pt>
                <c:pt idx="1">
                  <c:v>8.4296746955150523E-4</c:v>
                </c:pt>
                <c:pt idx="2">
                  <c:v>8.4369170042415534E-4</c:v>
                </c:pt>
                <c:pt idx="3">
                  <c:v>8.4339047381812543E-4</c:v>
                </c:pt>
                <c:pt idx="4">
                  <c:v>8.4332509391814737E-4</c:v>
                </c:pt>
                <c:pt idx="5">
                  <c:v>8.4303280948586404E-4</c:v>
                </c:pt>
                <c:pt idx="6">
                  <c:v>8.5539873507167014E-4</c:v>
                </c:pt>
                <c:pt idx="7">
                  <c:v>8.5558610712964877E-4</c:v>
                </c:pt>
                <c:pt idx="8">
                  <c:v>8.5678468949612076E-4</c:v>
                </c:pt>
                <c:pt idx="9">
                  <c:v>8.5705853398113237E-4</c:v>
                </c:pt>
                <c:pt idx="10">
                  <c:v>8.5733768233103229E-4</c:v>
                </c:pt>
                <c:pt idx="11">
                  <c:v>8.5837838367404059E-4</c:v>
                </c:pt>
                <c:pt idx="12">
                  <c:v>8.5845526739159275E-4</c:v>
                </c:pt>
                <c:pt idx="13">
                  <c:v>8.5872189981308961E-4</c:v>
                </c:pt>
                <c:pt idx="14">
                  <c:v>8.5897822198837781E-4</c:v>
                </c:pt>
                <c:pt idx="15">
                  <c:v>8.5922163156153101E-4</c:v>
                </c:pt>
                <c:pt idx="16">
                  <c:v>8.5979268225153495E-4</c:v>
                </c:pt>
                <c:pt idx="17">
                  <c:v>8.6001409666403201E-4</c:v>
                </c:pt>
                <c:pt idx="18">
                  <c:v>8.6015390784699084E-4</c:v>
                </c:pt>
                <c:pt idx="19">
                  <c:v>8.6026519227259989E-4</c:v>
                </c:pt>
                <c:pt idx="20">
                  <c:v>8.603453475844959E-4</c:v>
                </c:pt>
                <c:pt idx="21">
                  <c:v>8.5999999999980092E-4</c:v>
                </c:pt>
                <c:pt idx="22">
                  <c:v>8.6029824670523351E-4</c:v>
                </c:pt>
                <c:pt idx="23">
                  <c:v>8.601830744212832E-4</c:v>
                </c:pt>
                <c:pt idx="24">
                  <c:v>8.6002784267775827E-4</c:v>
                </c:pt>
                <c:pt idx="25">
                  <c:v>8.5983447681410932E-4</c:v>
                </c:pt>
                <c:pt idx="26">
                  <c:v>8.6091348919618545E-4</c:v>
                </c:pt>
                <c:pt idx="27">
                  <c:v>8.6051381168813937E-4</c:v>
                </c:pt>
                <c:pt idx="28">
                  <c:v>8.6009000536810146E-4</c:v>
                </c:pt>
                <c:pt idx="29">
                  <c:v>8.5779139058151169E-4</c:v>
                </c:pt>
                <c:pt idx="30">
                  <c:v>8.5823037098739291E-4</c:v>
                </c:pt>
                <c:pt idx="31">
                  <c:v>8.576760625515949E-4</c:v>
                </c:pt>
                <c:pt idx="32">
                  <c:v>8.571476959185404E-4</c:v>
                </c:pt>
                <c:pt idx="33">
                  <c:v>8.5660860464648297E-4</c:v>
                </c:pt>
                <c:pt idx="34">
                  <c:v>8.538431394176523E-4</c:v>
                </c:pt>
                <c:pt idx="35">
                  <c:v>8.5438365749219655E-4</c:v>
                </c:pt>
                <c:pt idx="36">
                  <c:v>8.5381929925895065E-4</c:v>
                </c:pt>
                <c:pt idx="37">
                  <c:v>8.5325607245940354E-4</c:v>
                </c:pt>
                <c:pt idx="38">
                  <c:v>8.5269552510261113E-4</c:v>
                </c:pt>
                <c:pt idx="39">
                  <c:v>8.4978450677950933E-4</c:v>
                </c:pt>
                <c:pt idx="40">
                  <c:v>8.504067644053532E-4</c:v>
                </c:pt>
                <c:pt idx="41">
                  <c:v>8.4999999999992091E-4</c:v>
                </c:pt>
                <c:pt idx="42">
                  <c:v>8.4949487375821694E-4</c:v>
                </c:pt>
                <c:pt idx="43">
                  <c:v>8.4900062572310943E-4</c:v>
                </c:pt>
                <c:pt idx="44">
                  <c:v>8.4615292906182527E-4</c:v>
                </c:pt>
                <c:pt idx="45">
                  <c:v>8.4684193945768794E-4</c:v>
                </c:pt>
                <c:pt idx="46">
                  <c:v>8.4918116126722393E-4</c:v>
                </c:pt>
                <c:pt idx="47">
                  <c:v>8.4870089058629425E-4</c:v>
                </c:pt>
                <c:pt idx="48">
                  <c:v>8.4821162407003098E-4</c:v>
                </c:pt>
                <c:pt idx="49">
                  <c:v>8.4771005339869595E-4</c:v>
                </c:pt>
                <c:pt idx="50">
                  <c:v>8.445267330929034E-4</c:v>
                </c:pt>
                <c:pt idx="51">
                  <c:v>8.4551456289498096E-4</c:v>
                </c:pt>
                <c:pt idx="52">
                  <c:v>8.4490184678412731E-4</c:v>
                </c:pt>
                <c:pt idx="53">
                  <c:v>8.4425697668494921E-4</c:v>
                </c:pt>
                <c:pt idx="54">
                  <c:v>8.4357664430915872E-4</c:v>
                </c:pt>
                <c:pt idx="55">
                  <c:v>8.3961904045316653E-4</c:v>
                </c:pt>
                <c:pt idx="56">
                  <c:v>8.4043452651435418E-4</c:v>
                </c:pt>
                <c:pt idx="57">
                  <c:v>8.3952725868147084E-4</c:v>
                </c:pt>
                <c:pt idx="58">
                  <c:v>8.3856467900168168E-4</c:v>
                </c:pt>
                <c:pt idx="59">
                  <c:v>8.3754347924741481E-4</c:v>
                </c:pt>
                <c:pt idx="60">
                  <c:v>8.3235915676306083E-4</c:v>
                </c:pt>
                <c:pt idx="61">
                  <c:v>8.3280631535391167E-4</c:v>
                </c:pt>
                <c:pt idx="62">
                  <c:v>8.3144239225529579E-4</c:v>
                </c:pt>
                <c:pt idx="63">
                  <c:v>8.2999999999982458E-4</c:v>
                </c:pt>
                <c:pt idx="64">
                  <c:v>8.208737499148718E-4</c:v>
                </c:pt>
                <c:pt idx="65">
                  <c:v>8.2172194894837385E-4</c:v>
                </c:pt>
                <c:pt idx="66">
                  <c:v>8.2166170936743914E-4</c:v>
                </c:pt>
                <c:pt idx="67">
                  <c:v>8.1702995525862159E-4</c:v>
                </c:pt>
                <c:pt idx="68">
                  <c:v>8.5013849163282555E-4</c:v>
                </c:pt>
                <c:pt idx="69">
                  <c:v>8.5115701930937502E-4</c:v>
                </c:pt>
                <c:pt idx="70">
                  <c:v>8.5218435318033998E-4</c:v>
                </c:pt>
                <c:pt idx="71">
                  <c:v>8.4900485706230144E-4</c:v>
                </c:pt>
                <c:pt idx="72">
                  <c:v>8.4686643525484599E-4</c:v>
                </c:pt>
                <c:pt idx="73">
                  <c:v>8.4471337510424419E-4</c:v>
                </c:pt>
                <c:pt idx="74">
                  <c:v>8.3643533974924042E-4</c:v>
                </c:pt>
                <c:pt idx="75">
                  <c:v>8.3732634045099335E-4</c:v>
                </c:pt>
                <c:pt idx="76">
                  <c:v>8.3389152732026451E-4</c:v>
                </c:pt>
                <c:pt idx="77">
                  <c:v>8.3174845368996905E-4</c:v>
                </c:pt>
                <c:pt idx="78">
                  <c:v>8.2962334705104657E-4</c:v>
                </c:pt>
                <c:pt idx="79">
                  <c:v>8.2205101198248767E-4</c:v>
                </c:pt>
                <c:pt idx="80">
                  <c:v>8.2273522261097111E-4</c:v>
                </c:pt>
                <c:pt idx="81">
                  <c:v>8.1943034188852021E-4</c:v>
                </c:pt>
                <c:pt idx="82">
                  <c:v>8.175108508406729E-4</c:v>
                </c:pt>
                <c:pt idx="83">
                  <c:v>8.1564193116860824E-4</c:v>
                </c:pt>
                <c:pt idx="84">
                  <c:v>8.0958449500505064E-4</c:v>
                </c:pt>
                <c:pt idx="85">
                  <c:v>8.1000000000001351E-4</c:v>
                </c:pt>
                <c:pt idx="86">
                  <c:v>8.0721878639345855E-4</c:v>
                </c:pt>
                <c:pt idx="87">
                  <c:v>8.0573743017793879E-4</c:v>
                </c:pt>
                <c:pt idx="88">
                  <c:v>8.0432085194583123E-4</c:v>
                </c:pt>
                <c:pt idx="89">
                  <c:v>8.0452458154440143E-4</c:v>
                </c:pt>
                <c:pt idx="90">
                  <c:v>8.0470424359595455E-4</c:v>
                </c:pt>
                <c:pt idx="91">
                  <c:v>8.0595287827382441E-4</c:v>
                </c:pt>
                <c:pt idx="92">
                  <c:v>8.048733208025809E-4</c:v>
                </c:pt>
                <c:pt idx="93">
                  <c:v>8.0384132733581147E-4</c:v>
                </c:pt>
                <c:pt idx="94">
                  <c:v>8.0098555372000836E-4</c:v>
                </c:pt>
                <c:pt idx="95">
                  <c:v>8.010028806732652E-4</c:v>
                </c:pt>
                <c:pt idx="96">
                  <c:v>7.9930875055191151E-4</c:v>
                </c:pt>
                <c:pt idx="97">
                  <c:v>7.9851049950751618E-4</c:v>
                </c:pt>
                <c:pt idx="98">
                  <c:v>7.9774259866373441E-4</c:v>
                </c:pt>
                <c:pt idx="99">
                  <c:v>7.9576026563005036E-4</c:v>
                </c:pt>
                <c:pt idx="100">
                  <c:v>7.9568074971807885E-4</c:v>
                </c:pt>
                <c:pt idx="101">
                  <c:v>7.9427227949561681E-4</c:v>
                </c:pt>
                <c:pt idx="102">
                  <c:v>7.9363483913946526E-4</c:v>
                </c:pt>
                <c:pt idx="103">
                  <c:v>7.9301053545071981E-4</c:v>
                </c:pt>
                <c:pt idx="104">
                  <c:v>7.9138680132536407E-4</c:v>
                </c:pt>
                <c:pt idx="105">
                  <c:v>7.9128670660946689E-4</c:v>
                </c:pt>
                <c:pt idx="106">
                  <c:v>7.8999999999978848E-4</c:v>
                </c:pt>
                <c:pt idx="107">
                  <c:v>7.8940349778129941E-4</c:v>
                </c:pt>
                <c:pt idx="108">
                  <c:v>7.8880664865986928E-4</c:v>
                </c:pt>
                <c:pt idx="109">
                  <c:v>7.871582156777061E-4</c:v>
                </c:pt>
                <c:pt idx="110">
                  <c:v>7.8709078716881304E-4</c:v>
                </c:pt>
                <c:pt idx="111">
                  <c:v>7.8690222349878743E-4</c:v>
                </c:pt>
                <c:pt idx="112">
                  <c:v>7.9026777562105413E-4</c:v>
                </c:pt>
                <c:pt idx="113">
                  <c:v>7.896784136236073E-4</c:v>
                </c:pt>
                <c:pt idx="114">
                  <c:v>7.8909305303020375E-4</c:v>
                </c:pt>
                <c:pt idx="115">
                  <c:v>7.8851297854154098E-4</c:v>
                </c:pt>
                <c:pt idx="116">
                  <c:v>7.8681731869911298E-4</c:v>
                </c:pt>
                <c:pt idx="117">
                  <c:v>7.8627123561574508E-4</c:v>
                </c:pt>
                <c:pt idx="118">
                  <c:v>7.8573686212347611E-4</c:v>
                </c:pt>
                <c:pt idx="119">
                  <c:v>7.8521548291509769E-4</c:v>
                </c:pt>
                <c:pt idx="120">
                  <c:v>7.8470838268384095E-4</c:v>
                </c:pt>
                <c:pt idx="121">
                  <c:v>7.8328560275348622E-4</c:v>
                </c:pt>
                <c:pt idx="122">
                  <c:v>7.8284846533008419E-4</c:v>
                </c:pt>
                <c:pt idx="123">
                  <c:v>7.8243203033019398E-4</c:v>
                </c:pt>
                <c:pt idx="124">
                  <c:v>7.820375824426544E-4</c:v>
                </c:pt>
                <c:pt idx="125">
                  <c:v>7.8166640635322969E-4</c:v>
                </c:pt>
                <c:pt idx="126">
                  <c:v>7.8070535575193163E-4</c:v>
                </c:pt>
                <c:pt idx="127">
                  <c:v>7.8044011373105699E-4</c:v>
                </c:pt>
                <c:pt idx="128">
                  <c:v>7.8020456694678178E-4</c:v>
                </c:pt>
                <c:pt idx="129">
                  <c:v>7.8000000008706641E-4</c:v>
                </c:pt>
                <c:pt idx="130">
                  <c:v>7.8225190067096335E-4</c:v>
                </c:pt>
                <c:pt idx="131">
                  <c:v>7.8021090094942502E-4</c:v>
                </c:pt>
                <c:pt idx="132">
                  <c:v>7.7945603638441337E-4</c:v>
                </c:pt>
                <c:pt idx="133">
                  <c:v>7.8025831891144102E-4</c:v>
                </c:pt>
                <c:pt idx="134">
                  <c:v>7.6005281738945592E-4</c:v>
                </c:pt>
                <c:pt idx="135">
                  <c:v>7.6226859846606498E-4</c:v>
                </c:pt>
                <c:pt idx="136">
                  <c:v>7.6058179501356385E-4</c:v>
                </c:pt>
                <c:pt idx="137">
                  <c:v>7.6078049222569018E-4</c:v>
                </c:pt>
                <c:pt idx="138">
                  <c:v>7.6100538601234365E-4</c:v>
                </c:pt>
                <c:pt idx="139">
                  <c:v>7.6125628410065997E-4</c:v>
                </c:pt>
                <c:pt idx="140">
                  <c:v>7.6398312393425889E-4</c:v>
                </c:pt>
                <c:pt idx="141">
                  <c:v>7.6251607406087947E-4</c:v>
                </c:pt>
                <c:pt idx="142">
                  <c:v>7.6289410960647902E-4</c:v>
                </c:pt>
                <c:pt idx="143">
                  <c:v>7.6329699583926978E-4</c:v>
                </c:pt>
                <c:pt idx="144">
                  <c:v>7.6372454049250256E-4</c:v>
                </c:pt>
                <c:pt idx="145">
                  <c:v>7.6659200507780902E-4</c:v>
                </c:pt>
                <c:pt idx="146">
                  <c:v>7.6567745801200461E-4</c:v>
                </c:pt>
                <c:pt idx="147">
                  <c:v>7.6622541080028468E-4</c:v>
                </c:pt>
                <c:pt idx="148">
                  <c:v>7.6679686842642228E-4</c:v>
                </c:pt>
                <c:pt idx="149">
                  <c:v>7.6739163862934686E-4</c:v>
                </c:pt>
                <c:pt idx="150">
                  <c:v>7.7003000543399678E-4</c:v>
                </c:pt>
                <c:pt idx="151">
                  <c:v>7.6999999999973726E-4</c:v>
                </c:pt>
                <c:pt idx="152">
                  <c:v>7.7070821624342003E-4</c:v>
                </c:pt>
                <c:pt idx="153">
                  <c:v>7.7143719385743068E-4</c:v>
                </c:pt>
                <c:pt idx="154">
                  <c:v>7.7218534293192601E-4</c:v>
                </c:pt>
                <c:pt idx="155">
                  <c:v>7.7218920183800123E-4</c:v>
                </c:pt>
                <c:pt idx="156">
                  <c:v>7.5136473385326128E-4</c:v>
                </c:pt>
                <c:pt idx="157">
                  <c:v>7.5222972903072455E-4</c:v>
                </c:pt>
                <c:pt idx="158">
                  <c:v>7.5310367354133054E-4</c:v>
                </c:pt>
                <c:pt idx="159">
                  <c:v>7.539849687464951E-4</c:v>
                </c:pt>
                <c:pt idx="160">
                  <c:v>7.5487201600543804E-4</c:v>
                </c:pt>
                <c:pt idx="161">
                  <c:v>7.5755168365057861E-4</c:v>
                </c:pt>
                <c:pt idx="162">
                  <c:v>7.5844575265622202E-4</c:v>
                </c:pt>
                <c:pt idx="163">
                  <c:v>7.593375804665043E-4</c:v>
                </c:pt>
                <c:pt idx="164">
                  <c:v>7.6022556842351605E-4</c:v>
                </c:pt>
                <c:pt idx="165">
                  <c:v>7.6110811786627352E-4</c:v>
                </c:pt>
                <c:pt idx="166">
                  <c:v>7.6370714845306481E-4</c:v>
                </c:pt>
                <c:pt idx="167">
                  <c:v>7.6455195717099126E-4</c:v>
                </c:pt>
                <c:pt idx="168">
                  <c:v>7.6538333402714092E-4</c:v>
                </c:pt>
                <c:pt idx="169">
                  <c:v>7.6619968034384025E-4</c:v>
                </c:pt>
                <c:pt idx="170">
                  <c:v>7.669993974434154E-4</c:v>
                </c:pt>
                <c:pt idx="171">
                  <c:v>7.6928278660819615E-4</c:v>
                </c:pt>
                <c:pt idx="172">
                  <c:v>7.700000000001692E-4</c:v>
                </c:pt>
                <c:pt idx="173">
                  <c:v>7.7069253272232677E-4</c:v>
                </c:pt>
                <c:pt idx="174">
                  <c:v>7.713594253842994E-4</c:v>
                </c:pt>
                <c:pt idx="175">
                  <c:v>7.7200337827399248E-4</c:v>
                </c:pt>
                <c:pt idx="176">
                  <c:v>7.7360773713128998E-4</c:v>
                </c:pt>
                <c:pt idx="177">
                  <c:v>7.509486970985837E-4</c:v>
                </c:pt>
                <c:pt idx="178">
                  <c:v>7.515075206569403E-4</c:v>
                </c:pt>
                <c:pt idx="179">
                  <c:v>7.5206557435199804E-4</c:v>
                </c:pt>
                <c:pt idx="180">
                  <c:v>7.5217767047232439E-4</c:v>
                </c:pt>
                <c:pt idx="181">
                  <c:v>7.5436228807961416E-4</c:v>
                </c:pt>
                <c:pt idx="182">
                  <c:v>7.5497064068200624E-4</c:v>
                </c:pt>
                <c:pt idx="183">
                  <c:v>7.5559988274155685E-4</c:v>
                </c:pt>
                <c:pt idx="184">
                  <c:v>7.5625362416189884E-4</c:v>
                </c:pt>
                <c:pt idx="185">
                  <c:v>7.5617986244561292E-4</c:v>
                </c:pt>
                <c:pt idx="186">
                  <c:v>7.5918578172433392E-4</c:v>
                </c:pt>
                <c:pt idx="187">
                  <c:v>7.6001616871410461E-4</c:v>
                </c:pt>
                <c:pt idx="188">
                  <c:v>7.6089271462143797E-4</c:v>
                </c:pt>
                <c:pt idx="189">
                  <c:v>7.6181902940282052E-4</c:v>
                </c:pt>
                <c:pt idx="190">
                  <c:v>7.6175683803397949E-4</c:v>
                </c:pt>
                <c:pt idx="191">
                  <c:v>7.6609417674977285E-4</c:v>
                </c:pt>
                <c:pt idx="192">
                  <c:v>7.6732348562479546E-4</c:v>
                </c:pt>
                <c:pt idx="193">
                  <c:v>7.6862422335783785E-4</c:v>
                </c:pt>
                <c:pt idx="194">
                  <c:v>7.7000000000017408E-4</c:v>
                </c:pt>
                <c:pt idx="195">
                  <c:v>7.7623420674183361E-4</c:v>
                </c:pt>
                <c:pt idx="196">
                  <c:v>7.7795212724582753E-4</c:v>
                </c:pt>
                <c:pt idx="197">
                  <c:v>7.7972386093891756E-4</c:v>
                </c:pt>
                <c:pt idx="198">
                  <c:v>7.8230442254958803E-4</c:v>
                </c:pt>
                <c:pt idx="199">
                  <c:v>7.3086181864194023E-4</c:v>
                </c:pt>
                <c:pt idx="200">
                  <c:v>7.3286253390002145E-4</c:v>
                </c:pt>
                <c:pt idx="201">
                  <c:v>7.3488118201374278E-4</c:v>
                </c:pt>
                <c:pt idx="202">
                  <c:v>7.3691276853341502E-4</c:v>
                </c:pt>
                <c:pt idx="203">
                  <c:v>7.3895229898694964E-4</c:v>
                </c:pt>
                <c:pt idx="204">
                  <c:v>7.4506860893601044E-4</c:v>
                </c:pt>
                <c:pt idx="205">
                  <c:v>7.47089970007063E-4</c:v>
                </c:pt>
                <c:pt idx="206">
                  <c:v>7.4909430235023725E-4</c:v>
                </c:pt>
                <c:pt idx="207">
                  <c:v>7.5107661137222286E-4</c:v>
                </c:pt>
                <c:pt idx="208">
                  <c:v>7.5303190246038413E-4</c:v>
                </c:pt>
                <c:pt idx="209">
                  <c:v>7.586857217215001E-4</c:v>
                </c:pt>
                <c:pt idx="210">
                  <c:v>7.6048299458610037E-4</c:v>
                </c:pt>
                <c:pt idx="211">
                  <c:v>7.6222827619061226E-4</c:v>
                </c:pt>
                <c:pt idx="212">
                  <c:v>7.6391657182269977E-4</c:v>
                </c:pt>
                <c:pt idx="213">
                  <c:v>7.6554288675904653E-4</c:v>
                </c:pt>
                <c:pt idx="214">
                  <c:v>7.700000000001692E-4</c:v>
                </c:pt>
                <c:pt idx="215">
                  <c:v>7.7132986479911097E-4</c:v>
                </c:pt>
                <c:pt idx="216">
                  <c:v>7.7258129562620781E-4</c:v>
                </c:pt>
                <c:pt idx="217">
                  <c:v>7.7375781820798381E-4</c:v>
                </c:pt>
                <c:pt idx="218">
                  <c:v>7.748629582898487E-4</c:v>
                </c:pt>
                <c:pt idx="219">
                  <c:v>7.6769346241857875E-4</c:v>
                </c:pt>
                <c:pt idx="220">
                  <c:v>7.685483258856264E-4</c:v>
                </c:pt>
                <c:pt idx="221">
                  <c:v>7.6934943606338181E-4</c:v>
                </c:pt>
                <c:pt idx="222">
                  <c:v>7.701003187574265E-4</c:v>
                </c:pt>
                <c:pt idx="223">
                  <c:v>7.708044997812479E-4</c:v>
                </c:pt>
                <c:pt idx="224">
                  <c:v>7.7267209109054165E-4</c:v>
                </c:pt>
                <c:pt idx="225">
                  <c:v>7.7322472372865424E-4</c:v>
                </c:pt>
                <c:pt idx="226">
                  <c:v>7.7374828387861375E-4</c:v>
                </c:pt>
                <c:pt idx="227">
                  <c:v>7.7424629739343629E-4</c:v>
                </c:pt>
                <c:pt idx="228">
                  <c:v>7.7472229013228694E-4</c:v>
                </c:pt>
                <c:pt idx="229">
                  <c:v>7.7605340234131594E-4</c:v>
                </c:pt>
                <c:pt idx="230">
                  <c:v>7.7647657064215593E-4</c:v>
                </c:pt>
                <c:pt idx="231">
                  <c:v>7.7689534751775057E-4</c:v>
                </c:pt>
                <c:pt idx="232">
                  <c:v>7.7731325884746838E-4</c:v>
                </c:pt>
                <c:pt idx="233">
                  <c:v>7.777338305146311E-4</c:v>
                </c:pt>
                <c:pt idx="234">
                  <c:v>7.7904676641133667E-4</c:v>
                </c:pt>
                <c:pt idx="235">
                  <c:v>7.795132383163956E-4</c:v>
                </c:pt>
                <c:pt idx="236">
                  <c:v>7.8000000002030666E-4</c:v>
                </c:pt>
                <c:pt idx="237">
                  <c:v>7.8050985840351199E-4</c:v>
                </c:pt>
                <c:pt idx="238">
                  <c:v>7.8104274425807565E-4</c:v>
                </c:pt>
                <c:pt idx="239">
                  <c:v>7.8301571290894257E-4</c:v>
                </c:pt>
                <c:pt idx="240">
                  <c:v>7.7721739047283925E-4</c:v>
                </c:pt>
                <c:pt idx="241">
                  <c:v>7.7790135437878598E-4</c:v>
                </c:pt>
                <c:pt idx="242">
                  <c:v>7.7918564908327395E-4</c:v>
                </c:pt>
                <c:pt idx="243">
                  <c:v>7.7963963328896656E-4</c:v>
                </c:pt>
                <c:pt idx="244">
                  <c:v>7.8164159562159514E-4</c:v>
                </c:pt>
                <c:pt idx="245">
                  <c:v>7.8244827059276406E-4</c:v>
                </c:pt>
                <c:pt idx="246">
                  <c:v>7.8327266859523636E-4</c:v>
                </c:pt>
                <c:pt idx="247">
                  <c:v>7.8521991543653482E-4</c:v>
                </c:pt>
                <c:pt idx="248">
                  <c:v>7.8554764467805036E-4</c:v>
                </c:pt>
                <c:pt idx="249">
                  <c:v>7.8763321584981885E-4</c:v>
                </c:pt>
                <c:pt idx="250">
                  <c:v>7.8854757909059374E-4</c:v>
                </c:pt>
                <c:pt idx="251">
                  <c:v>7.8947420770226139E-4</c:v>
                </c:pt>
                <c:pt idx="252">
                  <c:v>7.9224621538141336E-4</c:v>
                </c:pt>
                <c:pt idx="253">
                  <c:v>7.9231022677711397E-4</c:v>
                </c:pt>
                <c:pt idx="254">
                  <c:v>7.9426404283339496E-4</c:v>
                </c:pt>
                <c:pt idx="255">
                  <c:v>7.9524789055407873E-4</c:v>
                </c:pt>
                <c:pt idx="256">
                  <c:v>7.9623854592703058E-4</c:v>
                </c:pt>
                <c:pt idx="257">
                  <c:v>8.0000000000008374E-4</c:v>
                </c:pt>
                <c:pt idx="258">
                  <c:v>8.0238559034572854E-4</c:v>
                </c:pt>
                <c:pt idx="259">
                  <c:v>8.0345740656064045E-4</c:v>
                </c:pt>
                <c:pt idx="260">
                  <c:v>8.0277215940213981E-4</c:v>
                </c:pt>
                <c:pt idx="261">
                  <c:v>8.0748838001861464E-4</c:v>
                </c:pt>
                <c:pt idx="262">
                  <c:v>8.070156432025534E-4</c:v>
                </c:pt>
                <c:pt idx="263">
                  <c:v>8.0810478145973105E-4</c:v>
                </c:pt>
                <c:pt idx="264">
                  <c:v>8.092026415235736E-4</c:v>
                </c:pt>
                <c:pt idx="265">
                  <c:v>8.1030793083021089E-4</c:v>
                </c:pt>
                <c:pt idx="266">
                  <c:v>8.1551488439176331E-4</c:v>
                </c:pt>
                <c:pt idx="267">
                  <c:v>8.1477752913610443E-4</c:v>
                </c:pt>
                <c:pt idx="268">
                  <c:v>8.1590057611741662E-4</c:v>
                </c:pt>
                <c:pt idx="269">
                  <c:v>8.1702329690413848E-4</c:v>
                </c:pt>
                <c:pt idx="270">
                  <c:v>8.1814439891274326E-4</c:v>
                </c:pt>
                <c:pt idx="271">
                  <c:v>8.2330342563463014E-4</c:v>
                </c:pt>
                <c:pt idx="272">
                  <c:v>8.2258676740678876E-4</c:v>
                </c:pt>
                <c:pt idx="273">
                  <c:v>8.2368038667755947E-4</c:v>
                </c:pt>
                <c:pt idx="274">
                  <c:v>8.2476463161052134E-4</c:v>
                </c:pt>
                <c:pt idx="275">
                  <c:v>8.2583820960161793E-4</c:v>
                </c:pt>
                <c:pt idx="276">
                  <c:v>8.304154332639341E-4</c:v>
                </c:pt>
                <c:pt idx="277">
                  <c:v>8.3000000000069813E-4</c:v>
                </c:pt>
                <c:pt idx="278">
                  <c:v>8.310020147036032E-4</c:v>
                </c:pt>
                <c:pt idx="279">
                  <c:v>8.3199185084932917E-4</c:v>
                </c:pt>
                <c:pt idx="280">
                  <c:v>8.3297158274668809E-4</c:v>
                </c:pt>
                <c:pt idx="281">
                  <c:v>8.3664109191372875E-4</c:v>
                </c:pt>
                <c:pt idx="282">
                  <c:v>8.3804353129567988E-4</c:v>
                </c:pt>
                <c:pt idx="283">
                  <c:v>8.3894603957509431E-4</c:v>
                </c:pt>
                <c:pt idx="284">
                  <c:v>8.3984865967245493E-4</c:v>
                </c:pt>
                <c:pt idx="285">
                  <c:v>8.4279808503257892E-4</c:v>
                </c:pt>
                <c:pt idx="286">
                  <c:v>8.42666225372693E-4</c:v>
                </c:pt>
                <c:pt idx="287">
                  <c:v>8.4441060654184895E-4</c:v>
                </c:pt>
                <c:pt idx="288">
                  <c:v>8.45342199051505E-4</c:v>
                </c:pt>
                <c:pt idx="289">
                  <c:v>8.4628333723845307E-4</c:v>
                </c:pt>
                <c:pt idx="290">
                  <c:v>8.4884671372554437E-4</c:v>
                </c:pt>
                <c:pt idx="291">
                  <c:v>8.4899498161478885E-4</c:v>
                </c:pt>
                <c:pt idx="292">
                  <c:v>8.5117938309067418E-4</c:v>
                </c:pt>
                <c:pt idx="293">
                  <c:v>8.5220609723828783E-4</c:v>
                </c:pt>
                <c:pt idx="294">
                  <c:v>8.5325179105764871E-4</c:v>
                </c:pt>
                <c:pt idx="295">
                  <c:v>8.5568989049315586E-4</c:v>
                </c:pt>
                <c:pt idx="296">
                  <c:v>8.5608712601044031E-4</c:v>
                </c:pt>
                <c:pt idx="297">
                  <c:v>8.5881212577204851E-4</c:v>
                </c:pt>
                <c:pt idx="298">
                  <c:v>8.6000000000016022E-4</c:v>
                </c:pt>
                <c:pt idx="299">
                  <c:v>8.6121571750465207E-4</c:v>
                </c:pt>
                <c:pt idx="300">
                  <c:v>8.6374561421350435E-4</c:v>
                </c:pt>
                <c:pt idx="301">
                  <c:v>8.6436400054797351E-4</c:v>
                </c:pt>
                <c:pt idx="302">
                  <c:v>8.6764786645376912E-4</c:v>
                </c:pt>
                <c:pt idx="303">
                  <c:v>8.6838646858328119E-4</c:v>
                </c:pt>
                <c:pt idx="304">
                  <c:v>8.697584828673237E-4</c:v>
                </c:pt>
                <c:pt idx="305">
                  <c:v>8.7114407236969262E-4</c:v>
                </c:pt>
                <c:pt idx="306">
                  <c:v>8.7362646881105884E-4</c:v>
                </c:pt>
                <c:pt idx="307">
                  <c:v>8.7678044307231806E-4</c:v>
                </c:pt>
                <c:pt idx="308">
                  <c:v>8.7820260399686177E-4</c:v>
                </c:pt>
                <c:pt idx="309">
                  <c:v>8.7962581823010258E-4</c:v>
                </c:pt>
                <c:pt idx="310">
                  <c:v>8.8104799876649945E-4</c:v>
                </c:pt>
                <c:pt idx="311">
                  <c:v>8.8317964534414129E-4</c:v>
                </c:pt>
                <c:pt idx="312">
                  <c:v>8.8668464361660543E-4</c:v>
                </c:pt>
                <c:pt idx="313">
                  <c:v>8.8807035037163017E-4</c:v>
                </c:pt>
                <c:pt idx="314">
                  <c:v>8.8944250126945297E-4</c:v>
                </c:pt>
                <c:pt idx="315">
                  <c:v>8.9079900926347297E-4</c:v>
                </c:pt>
                <c:pt idx="316">
                  <c:v>8.9231542180898506E-4</c:v>
                </c:pt>
                <c:pt idx="317">
                  <c:v>8.9602687108298414E-4</c:v>
                </c:pt>
                <c:pt idx="318">
                  <c:v>8.9727385867376596E-4</c:v>
                </c:pt>
                <c:pt idx="319">
                  <c:v>8.9849268097411984E-4</c:v>
                </c:pt>
                <c:pt idx="320">
                  <c:v>8.9968125090250021E-4</c:v>
                </c:pt>
                <c:pt idx="321">
                  <c:v>8.999999999998793E-4</c:v>
                </c:pt>
                <c:pt idx="322">
                  <c:v>9.0408756645274596E-4</c:v>
                </c:pt>
                <c:pt idx="323">
                  <c:v>9.0508948519787383E-4</c:v>
                </c:pt>
                <c:pt idx="324">
                  <c:v>9.0605125499129745E-4</c:v>
                </c:pt>
                <c:pt idx="325">
                  <c:v>9.0697588053245681E-4</c:v>
                </c:pt>
                <c:pt idx="326">
                  <c:v>9.3995814161545869E-4</c:v>
                </c:pt>
                <c:pt idx="327">
                  <c:v>9.4315362011495067E-4</c:v>
                </c:pt>
                <c:pt idx="328">
                  <c:v>9.439147901371802E-4</c:v>
                </c:pt>
                <c:pt idx="329">
                  <c:v>9.4466113686638179E-4</c:v>
                </c:pt>
                <c:pt idx="330">
                  <c:v>9.4357074274824748E-4</c:v>
                </c:pt>
                <c:pt idx="331">
                  <c:v>9.4519910713173466E-4</c:v>
                </c:pt>
                <c:pt idx="332">
                  <c:v>9.4827511794860352E-4</c:v>
                </c:pt>
                <c:pt idx="333">
                  <c:v>9.4899528308134906E-4</c:v>
                </c:pt>
                <c:pt idx="334">
                  <c:v>9.4972154435073359E-4</c:v>
                </c:pt>
                <c:pt idx="335">
                  <c:v>9.4875567604343089E-4</c:v>
                </c:pt>
                <c:pt idx="336">
                  <c:v>9.5035874733352796E-4</c:v>
                </c:pt>
                <c:pt idx="337">
                  <c:v>9.5354889067060706E-4</c:v>
                </c:pt>
                <c:pt idx="338">
                  <c:v>9.5437448758448431E-4</c:v>
                </c:pt>
                <c:pt idx="339">
                  <c:v>9.5522710029187681E-4</c:v>
                </c:pt>
                <c:pt idx="340">
                  <c:v>9.5493196025309135E-4</c:v>
                </c:pt>
                <c:pt idx="341">
                  <c:v>9.5645658209563196E-4</c:v>
                </c:pt>
                <c:pt idx="342">
                  <c:v>9.6000000004034893E-4</c:v>
                </c:pt>
                <c:pt idx="343">
                  <c:v>9.6107690017072339E-4</c:v>
                </c:pt>
                <c:pt idx="344">
                  <c:v>9.6219833388530942E-4</c:v>
                </c:pt>
                <c:pt idx="345">
                  <c:v>9.6301699346504777E-4</c:v>
                </c:pt>
                <c:pt idx="346">
                  <c:v>9.6434297312574272E-4</c:v>
                </c:pt>
                <c:pt idx="347">
                  <c:v>9.6845903081966699E-4</c:v>
                </c:pt>
                <c:pt idx="348">
                  <c:v>9.6983898082132584E-4</c:v>
                </c:pt>
                <c:pt idx="349">
                  <c:v>9.7126056935082782E-4</c:v>
                </c:pt>
                <c:pt idx="350">
                  <c:v>9.7314836595180896E-4</c:v>
                </c:pt>
                <c:pt idx="351">
                  <c:v>9.744623554972041E-4</c:v>
                </c:pt>
                <c:pt idx="352">
                  <c:v>9.7897861490392479E-4</c:v>
                </c:pt>
                <c:pt idx="353">
                  <c:v>9.8064134961123556E-4</c:v>
                </c:pt>
                <c:pt idx="354">
                  <c:v>9.8234282786126823E-4</c:v>
                </c:pt>
                <c:pt idx="355">
                  <c:v>9.8517506895346948E-4</c:v>
                </c:pt>
                <c:pt idx="356">
                  <c:v>9.8642677750643737E-4</c:v>
                </c:pt>
                <c:pt idx="357">
                  <c:v>9.9141689749999333E-4</c:v>
                </c:pt>
                <c:pt idx="358">
                  <c:v>9.9334215216438106E-4</c:v>
                </c:pt>
                <c:pt idx="359">
                  <c:v>9.9530325542981327E-4</c:v>
                </c:pt>
                <c:pt idx="360">
                  <c:v>9.989567741279647E-4</c:v>
                </c:pt>
                <c:pt idx="361">
                  <c:v>1.0001772196323365E-3</c:v>
                </c:pt>
                <c:pt idx="362">
                  <c:v>1.0056320261381017E-3</c:v>
                </c:pt>
                <c:pt idx="363">
                  <c:v>1.0077995362312504E-3</c:v>
                </c:pt>
                <c:pt idx="364">
                  <c:v>1.0099999999998396E-3</c:v>
                </c:pt>
                <c:pt idx="365">
                  <c:v>1.0143529913632778E-3</c:v>
                </c:pt>
                <c:pt idx="366">
                  <c:v>1.0155694239585859E-3</c:v>
                </c:pt>
                <c:pt idx="367">
                  <c:v>1.0202984779205861E-3</c:v>
                </c:pt>
                <c:pt idx="368">
                  <c:v>1.0214918767687659E-3</c:v>
                </c:pt>
                <c:pt idx="369">
                  <c:v>1.0226739567156422E-3</c:v>
                </c:pt>
                <c:pt idx="370">
                  <c:v>1.0249723377255752E-3</c:v>
                </c:pt>
                <c:pt idx="371">
                  <c:v>1.0272822574877824E-3</c:v>
                </c:pt>
                <c:pt idx="372">
                  <c:v>1.035510917770679E-3</c:v>
                </c:pt>
                <c:pt idx="373">
                  <c:v>1.0365774026602384E-3</c:v>
                </c:pt>
                <c:pt idx="374">
                  <c:v>1.0389000750147977E-3</c:v>
                </c:pt>
                <c:pt idx="375">
                  <c:v>1.0412163095564224E-3</c:v>
                </c:pt>
                <c:pt idx="376">
                  <c:v>1.0435231101425517E-3</c:v>
                </c:pt>
                <c:pt idx="377">
                  <c:v>1.0517644918362301E-3</c:v>
                </c:pt>
                <c:pt idx="378">
                  <c:v>1.052596049595548E-3</c:v>
                </c:pt>
                <c:pt idx="379">
                  <c:v>1.0548107377844097E-3</c:v>
                </c:pt>
                <c:pt idx="380">
                  <c:v>1.0569980148788826E-3</c:v>
                </c:pt>
                <c:pt idx="381">
                  <c:v>1.0591548846441044E-3</c:v>
                </c:pt>
                <c:pt idx="382">
                  <c:v>1.0669348758261246E-3</c:v>
                </c:pt>
                <c:pt idx="383">
                  <c:v>1.0674183653252662E-3</c:v>
                </c:pt>
                <c:pt idx="384">
                  <c:v>1.0693782545370724E-3</c:v>
                </c:pt>
                <c:pt idx="385">
                  <c:v>1.0712897587865436E-3</c:v>
                </c:pt>
                <c:pt idx="386">
                  <c:v>1.0731498817699221E-3</c:v>
                </c:pt>
                <c:pt idx="387">
                  <c:v>1.0799999999998723E-3</c:v>
                </c:pt>
                <c:pt idx="388">
                  <c:v>1.0800178210621158E-3</c:v>
                </c:pt>
                <c:pt idx="389">
                  <c:v>1.0815845349871189E-3</c:v>
                </c:pt>
                <c:pt idx="390">
                  <c:v>1.0830969513511992E-3</c:v>
                </c:pt>
                <c:pt idx="391">
                  <c:v>1.0862114909812196E-3</c:v>
                </c:pt>
                <c:pt idx="392">
                  <c:v>1.0903893828756389E-3</c:v>
                </c:pt>
                <c:pt idx="393">
                  <c:v>1.0917166868737785E-3</c:v>
                </c:pt>
                <c:pt idx="394">
                  <c:v>1.0930195277054804E-3</c:v>
                </c:pt>
                <c:pt idx="395">
                  <c:v>1.0943028254816569E-3</c:v>
                </c:pt>
                <c:pt idx="396">
                  <c:v>1.0955715003272744E-3</c:v>
                </c:pt>
                <c:pt idx="397">
                  <c:v>1.0993389887223772E-3</c:v>
                </c:pt>
                <c:pt idx="398">
                  <c:v>1.1005983733506084E-3</c:v>
                </c:pt>
                <c:pt idx="399">
                  <c:v>1.1018677358641707E-3</c:v>
                </c:pt>
                <c:pt idx="400">
                  <c:v>1.103151996462257E-3</c:v>
                </c:pt>
                <c:pt idx="401">
                  <c:v>1.1117496486947524E-3</c:v>
                </c:pt>
                <c:pt idx="402">
                  <c:v>1.1103966210442905E-3</c:v>
                </c:pt>
                <c:pt idx="403">
                  <c:v>1.1099689787090823E-3</c:v>
                </c:pt>
                <c:pt idx="404">
                  <c:v>1.1114459528068325E-3</c:v>
                </c:pt>
                <c:pt idx="405">
                  <c:v>1.1129722667936803E-3</c:v>
                </c:pt>
                <c:pt idx="406">
                  <c:v>1.1145528409948716E-3</c:v>
                </c:pt>
                <c:pt idx="407">
                  <c:v>1.1196693284294815E-3</c:v>
                </c:pt>
                <c:pt idx="408">
                  <c:v>1.1215161471476555E-3</c:v>
                </c:pt>
                <c:pt idx="409">
                  <c:v>1.123440660927203E-3</c:v>
                </c:pt>
                <c:pt idx="410">
                  <c:v>1.1254419547132792E-3</c:v>
                </c:pt>
                <c:pt idx="411">
                  <c:v>1.1275179463520934E-3</c:v>
                </c:pt>
                <c:pt idx="412">
                  <c:v>1.128175916943791E-3</c:v>
                </c:pt>
                <c:pt idx="413">
                  <c:v>1.136527248344441E-3</c:v>
                </c:pt>
                <c:pt idx="414">
                  <c:v>1.1369349510343435E-3</c:v>
                </c:pt>
                <c:pt idx="415">
                  <c:v>1.1394091231377815E-3</c:v>
                </c:pt>
                <c:pt idx="416">
                  <c:v>1.1419437338650489E-3</c:v>
                </c:pt>
                <c:pt idx="417">
                  <c:v>1.1519281697907132E-3</c:v>
                </c:pt>
                <c:pt idx="418">
                  <c:v>1.1526446894748472E-3</c:v>
                </c:pt>
                <c:pt idx="419">
                  <c:v>1.1554500881153121E-3</c:v>
                </c:pt>
                <c:pt idx="420">
                  <c:v>1.1583033632497064E-3</c:v>
                </c:pt>
                <c:pt idx="421">
                  <c:v>1.1612024211645406E-3</c:v>
                </c:pt>
                <c:pt idx="422">
                  <c:v>1.1722209569982461E-3</c:v>
                </c:pt>
                <c:pt idx="423">
                  <c:v>1.1732146060095842E-3</c:v>
                </c:pt>
                <c:pt idx="424">
                  <c:v>1.1763111717762599E-3</c:v>
                </c:pt>
                <c:pt idx="425">
                  <c:v>1.1794409578331005E-3</c:v>
                </c:pt>
                <c:pt idx="426">
                  <c:v>1.1826018703924217E-3</c:v>
                </c:pt>
                <c:pt idx="427">
                  <c:v>1.1943374436552555E-3</c:v>
                </c:pt>
                <c:pt idx="428">
                  <c:v>1.1955149095152695E-3</c:v>
                </c:pt>
                <c:pt idx="429">
                  <c:v>1.1988000473724843E-3</c:v>
                </c:pt>
                <c:pt idx="430">
                  <c:v>1.2021037487574306E-3</c:v>
                </c:pt>
                <c:pt idx="431">
                  <c:v>1.2054245582650304E-3</c:v>
                </c:pt>
                <c:pt idx="432">
                  <c:v>1.2176040375634588E-3</c:v>
                </c:pt>
                <c:pt idx="433">
                  <c:v>1.2189072317536325E-3</c:v>
                </c:pt>
                <c:pt idx="434">
                  <c:v>1.2244403665749139E-3</c:v>
                </c:pt>
                <c:pt idx="435">
                  <c:v>1.2278978070183084E-3</c:v>
                </c:pt>
                <c:pt idx="436">
                  <c:v>1.2313837347160169E-3</c:v>
                </c:pt>
                <c:pt idx="437">
                  <c:v>1.2420297163059284E-3</c:v>
                </c:pt>
                <c:pt idx="438">
                  <c:v>1.2456468680581165E-3</c:v>
                </c:pt>
                <c:pt idx="439">
                  <c:v>1.2493011446519668E-3</c:v>
                </c:pt>
                <c:pt idx="440">
                  <c:v>1.2529942736484311E-3</c:v>
                </c:pt>
                <c:pt idx="441">
                  <c:v>1.2567279826220762E-3</c:v>
                </c:pt>
                <c:pt idx="442">
                  <c:v>1.2681898654007965E-3</c:v>
                </c:pt>
                <c:pt idx="443">
                  <c:v>1.2721031703564836E-3</c:v>
                </c:pt>
                <c:pt idx="444">
                  <c:v>1.2760656934068255E-3</c:v>
                </c:pt>
                <c:pt idx="445">
                  <c:v>1.2800791622265288E-3</c:v>
                </c:pt>
                <c:pt idx="446">
                  <c:v>1.2841453045074295E-3</c:v>
                </c:pt>
                <c:pt idx="447">
                  <c:v>1.296677049310177E-3</c:v>
                </c:pt>
                <c:pt idx="448">
                  <c:v>1.3009711627266728E-3</c:v>
                </c:pt>
                <c:pt idx="449">
                  <c:v>1.3053265883477129E-3</c:v>
                </c:pt>
                <c:pt idx="450">
                  <c:v>1.3097450539824018E-3</c:v>
                </c:pt>
                <c:pt idx="451">
                  <c:v>1.3142282874618043E-3</c:v>
                </c:pt>
                <c:pt idx="452">
                  <c:v>1.3328434572050503E-3</c:v>
                </c:pt>
                <c:pt idx="453">
                  <c:v>1.3376754568959683E-3</c:v>
                </c:pt>
                <c:pt idx="454">
                  <c:v>1.3425766443698616E-3</c:v>
                </c:pt>
                <c:pt idx="455">
                  <c:v>1.3475428000420486E-3</c:v>
                </c:pt>
                <c:pt idx="456">
                  <c:v>1.3289414003564244E-3</c:v>
                </c:pt>
                <c:pt idx="457">
                  <c:v>1.3319233303428484E-3</c:v>
                </c:pt>
                <c:pt idx="458">
                  <c:v>1.3371588314733782E-3</c:v>
                </c:pt>
                <c:pt idx="459">
                  <c:v>1.342434184606711E-3</c:v>
                </c:pt>
                <c:pt idx="460">
                  <c:v>1.3477451466622633E-3</c:v>
                </c:pt>
                <c:pt idx="461">
                  <c:v>1.3660011589712905E-3</c:v>
                </c:pt>
                <c:pt idx="462">
                  <c:v>1.3692602209682751E-3</c:v>
                </c:pt>
                <c:pt idx="463">
                  <c:v>1.3746855798892886E-3</c:v>
                </c:pt>
                <c:pt idx="464">
                  <c:v>1.3801210883193807E-3</c:v>
                </c:pt>
                <c:pt idx="465">
                  <c:v>1.3855625028635235E-3</c:v>
                </c:pt>
                <c:pt idx="466">
                  <c:v>1.4039698517136808E-3</c:v>
                </c:pt>
                <c:pt idx="467">
                  <c:v>1.4073023526526235E-3</c:v>
                </c:pt>
                <c:pt idx="468">
                  <c:v>1.4127096452168288E-3</c:v>
                </c:pt>
                <c:pt idx="469">
                  <c:v>1.4180973825519956E-3</c:v>
                </c:pt>
                <c:pt idx="470">
                  <c:v>1.4234613209402609E-3</c:v>
                </c:pt>
                <c:pt idx="471">
                  <c:v>1.4413999682574871E-3</c:v>
                </c:pt>
                <c:pt idx="472">
                  <c:v>1.4445942091076244E-3</c:v>
                </c:pt>
                <c:pt idx="473">
                  <c:v>1.4497754954419663E-3</c:v>
                </c:pt>
                <c:pt idx="474">
                  <c:v>1.4549083745268282E-3</c:v>
                </c:pt>
                <c:pt idx="475">
                  <c:v>1.4599928769953863E-3</c:v>
                </c:pt>
                <c:pt idx="476">
                  <c:v>1.4769501697662237E-3</c:v>
                </c:pt>
                <c:pt idx="477">
                  <c:v>1.4798648322422419E-3</c:v>
                </c:pt>
                <c:pt idx="478">
                  <c:v>1.4847207353879033E-3</c:v>
                </c:pt>
                <c:pt idx="479">
                  <c:v>1.4895335755055041E-3</c:v>
                </c:pt>
                <c:pt idx="480">
                  <c:v>1.4943042382335682E-3</c:v>
                </c:pt>
                <c:pt idx="481">
                  <c:v>1.510323139458586E-3</c:v>
                </c:pt>
                <c:pt idx="482">
                  <c:v>1.5129828284197312E-3</c:v>
                </c:pt>
                <c:pt idx="483">
                  <c:v>1.5175558891719085E-3</c:v>
                </c:pt>
                <c:pt idx="484">
                  <c:v>1.5220920865975506E-3</c:v>
                </c:pt>
                <c:pt idx="485">
                  <c:v>1.5265923064115847E-3</c:v>
                </c:pt>
                <c:pt idx="486">
                  <c:v>1.5418141851953758E-3</c:v>
                </c:pt>
                <c:pt idx="487">
                  <c:v>1.5442511241641789E-3</c:v>
                </c:pt>
                <c:pt idx="488">
                  <c:v>1.5485847419669102E-3</c:v>
                </c:pt>
                <c:pt idx="489">
                  <c:v>1.5528876966436804E-3</c:v>
                </c:pt>
                <c:pt idx="490">
                  <c:v>1.5571608739765454E-3</c:v>
                </c:pt>
                <c:pt idx="491">
                  <c:v>1.571725441873475E-3</c:v>
                </c:pt>
                <c:pt idx="492">
                  <c:v>1.5739735257825468E-3</c:v>
                </c:pt>
                <c:pt idx="493">
                  <c:v>1.578111103409804E-3</c:v>
                </c:pt>
                <c:pt idx="494">
                  <c:v>1.582224218559051E-3</c:v>
                </c:pt>
                <c:pt idx="495">
                  <c:v>1.5863137570719641E-3</c:v>
                </c:pt>
                <c:pt idx="496">
                  <c:v>1.6003587963508126E-3</c:v>
                </c:pt>
                <c:pt idx="497">
                  <c:v>1.60818282887672E-3</c:v>
                </c:pt>
                <c:pt idx="498">
                  <c:v>1.6121668337822626E-3</c:v>
                </c:pt>
                <c:pt idx="499">
                  <c:v>1.6199564548427972E-3</c:v>
                </c:pt>
                <c:pt idx="500">
                  <c:v>1.621992648667935E-3</c:v>
                </c:pt>
                <c:pt idx="501">
                  <c:v>1.6318298882008705E-3</c:v>
                </c:pt>
                <c:pt idx="502">
                  <c:v>1.6357167890086069E-3</c:v>
                </c:pt>
                <c:pt idx="503">
                  <c:v>1.6395903478053692E-3</c:v>
                </c:pt>
                <c:pt idx="504">
                  <c:v>1.6472815009722424E-3</c:v>
                </c:pt>
                <c:pt idx="505">
                  <c:v>1.6492160759758263E-3</c:v>
                </c:pt>
                <c:pt idx="506">
                  <c:v>1.6587864325371454E-3</c:v>
                </c:pt>
                <c:pt idx="507">
                  <c:v>1.6625969919086658E-3</c:v>
                </c:pt>
                <c:pt idx="508">
                  <c:v>1.6663998935440019E-3</c:v>
                </c:pt>
                <c:pt idx="509">
                  <c:v>1.6740400679739957E-3</c:v>
                </c:pt>
                <c:pt idx="510">
                  <c:v>1.6759087697366612E-3</c:v>
                </c:pt>
                <c:pt idx="511">
                  <c:v>1.6853279581813989E-3</c:v>
                </c:pt>
                <c:pt idx="512">
                  <c:v>1.6891019669903425E-3</c:v>
                </c:pt>
                <c:pt idx="513">
                  <c:v>1.6928740026532919E-3</c:v>
                </c:pt>
                <c:pt idx="514">
                  <c:v>1.700507697685146E-3</c:v>
                </c:pt>
                <c:pt idx="515">
                  <c:v>1.7023477619374117E-3</c:v>
                </c:pt>
                <c:pt idx="516">
                  <c:v>1.7117330078125529E-3</c:v>
                </c:pt>
                <c:pt idx="517">
                  <c:v>1.7155101237564809E-3</c:v>
                </c:pt>
                <c:pt idx="518">
                  <c:v>1.7400836231157746E-3</c:v>
                </c:pt>
                <c:pt idx="519">
                  <c:v>1.7667364325087303E-3</c:v>
                </c:pt>
                <c:pt idx="520">
                  <c:v>1.8012131161600927E-3</c:v>
                </c:pt>
                <c:pt idx="521">
                  <c:v>1.8281907108114082E-3</c:v>
                </c:pt>
                <c:pt idx="522">
                  <c:v>1.861288109012122E-3</c:v>
                </c:pt>
                <c:pt idx="523">
                  <c:v>1.8885807965023584E-3</c:v>
                </c:pt>
                <c:pt idx="524">
                  <c:v>1.9160156085988721E-3</c:v>
                </c:pt>
                <c:pt idx="525">
                  <c:v>1.9435925513303892E-3</c:v>
                </c:pt>
                <c:pt idx="526">
                  <c:v>1.9652103483814654E-3</c:v>
                </c:pt>
                <c:pt idx="527">
                  <c:v>1.9930406502176425E-3</c:v>
                </c:pt>
                <c:pt idx="528">
                  <c:v>2.0210130907921948E-3</c:v>
                </c:pt>
                <c:pt idx="529">
                  <c:v>2.0491276761496857E-3</c:v>
                </c:pt>
                <c:pt idx="530">
                  <c:v>2.0773844123687505E-3</c:v>
                </c:pt>
                <c:pt idx="531">
                  <c:v>2.1120392924786533E-3</c:v>
                </c:pt>
                <c:pt idx="532">
                  <c:v>2.1406113210286461E-3</c:v>
                </c:pt>
                <c:pt idx="533">
                  <c:v>2.1693255295543892E-3</c:v>
                </c:pt>
                <c:pt idx="534">
                  <c:v>2.1981819243635245E-3</c:v>
                </c:pt>
                <c:pt idx="535">
                  <c:v>2.2271805117967864E-3</c:v>
                </c:pt>
                <c:pt idx="536">
                  <c:v>2.2563212982249932E-3</c:v>
                </c:pt>
                <c:pt idx="537">
                  <c:v>2.285604290050335E-3</c:v>
                </c:pt>
                <c:pt idx="538">
                  <c:v>2.3150294937068052E-3</c:v>
                </c:pt>
                <c:pt idx="539">
                  <c:v>2.3337617721380377E-3</c:v>
                </c:pt>
                <c:pt idx="540">
                  <c:v>2.363419653315703E-3</c:v>
                </c:pt>
                <c:pt idx="541">
                  <c:v>2.3932197465357315E-3</c:v>
                </c:pt>
                <c:pt idx="542">
                  <c:v>2.4231620581696011E-3</c:v>
                </c:pt>
                <c:pt idx="543">
                  <c:v>2.4532465545845468E-3</c:v>
                </c:pt>
                <c:pt idx="544">
                  <c:v>2.4856852235348435E-3</c:v>
                </c:pt>
                <c:pt idx="545">
                  <c:v>2.5160451254833275E-3</c:v>
                </c:pt>
                <c:pt idx="546">
                  <c:v>2.546522399587762E-3</c:v>
                </c:pt>
                <c:pt idx="547">
                  <c:v>2.5771068082474898E-3</c:v>
                </c:pt>
                <c:pt idx="548">
                  <c:v>2.6055493723144102E-3</c:v>
                </c:pt>
                <c:pt idx="549">
                  <c:v>2.6363145699613115E-3</c:v>
                </c:pt>
                <c:pt idx="550">
                  <c:v>2.6671572899163434E-3</c:v>
                </c:pt>
                <c:pt idx="551">
                  <c:v>2.6980672356189958E-3</c:v>
                </c:pt>
                <c:pt idx="552">
                  <c:v>2.7312775106180919E-3</c:v>
                </c:pt>
                <c:pt idx="553">
                  <c:v>2.7622897022855182E-3</c:v>
                </c:pt>
                <c:pt idx="554">
                  <c:v>2.7933373478569328E-3</c:v>
                </c:pt>
                <c:pt idx="555">
                  <c:v>2.8244102047000987E-3</c:v>
                </c:pt>
                <c:pt idx="556">
                  <c:v>2.8599397719518949E-3</c:v>
                </c:pt>
                <c:pt idx="557">
                  <c:v>2.8888042399176769E-3</c:v>
                </c:pt>
                <c:pt idx="558">
                  <c:v>2.9198948723932762E-3</c:v>
                </c:pt>
                <c:pt idx="559">
                  <c:v>2.9509688634659242E-3</c:v>
                </c:pt>
                <c:pt idx="560">
                  <c:v>2.9820159107269702E-3</c:v>
                </c:pt>
                <c:pt idx="561">
                  <c:v>3.0130257111251847E-3</c:v>
                </c:pt>
                <c:pt idx="562">
                  <c:v>3.0439879609702909E-3</c:v>
                </c:pt>
                <c:pt idx="563">
                  <c:v>3.0748923559338484E-3</c:v>
                </c:pt>
                <c:pt idx="564">
                  <c:v>3.1057285910536703E-3</c:v>
                </c:pt>
                <c:pt idx="565">
                  <c:v>3.1451726947162827E-3</c:v>
                </c:pt>
                <c:pt idx="566">
                  <c:v>3.1758082735887142E-3</c:v>
                </c:pt>
                <c:pt idx="567">
                  <c:v>3.2063442383336044E-3</c:v>
                </c:pt>
                <c:pt idx="568">
                  <c:v>3.2367705037240299E-3</c:v>
                </c:pt>
                <c:pt idx="569">
                  <c:v>3.2800760869040311E-3</c:v>
                </c:pt>
                <c:pt idx="570">
                  <c:v>3.2972601122159021E-3</c:v>
                </c:pt>
                <c:pt idx="571">
                  <c:v>3.3273188100973569E-3</c:v>
                </c:pt>
                <c:pt idx="572">
                  <c:v>3.3572533853021345E-3</c:v>
                </c:pt>
                <c:pt idx="573">
                  <c:v>3.3870638320977389E-3</c:v>
                </c:pt>
                <c:pt idx="574">
                  <c:v>3.4167501447754395E-3</c:v>
                </c:pt>
                <c:pt idx="575">
                  <c:v>3.4463123176494063E-3</c:v>
                </c:pt>
                <c:pt idx="576">
                  <c:v>3.4757503450588705E-3</c:v>
                </c:pt>
                <c:pt idx="577">
                  <c:v>3.5050642213663948E-3</c:v>
                </c:pt>
                <c:pt idx="578">
                  <c:v>3.5342539409570117E-3</c:v>
                </c:pt>
                <c:pt idx="579">
                  <c:v>3.5633194982412461E-3</c:v>
                </c:pt>
                <c:pt idx="580">
                  <c:v>3.5922608876520919E-3</c:v>
                </c:pt>
                <c:pt idx="581">
                  <c:v>3.6210781036471722E-3</c:v>
                </c:pt>
                <c:pt idx="582">
                  <c:v>3.649771140706577E-3</c:v>
                </c:pt>
                <c:pt idx="583">
                  <c:v>3.6783399933358919E-3</c:v>
                </c:pt>
                <c:pt idx="584">
                  <c:v>3.7067846560627365E-3</c:v>
                </c:pt>
                <c:pt idx="585">
                  <c:v>3.735105123439793E-3</c:v>
                </c:pt>
                <c:pt idx="586">
                  <c:v>3.7633013900422118E-3</c:v>
                </c:pt>
                <c:pt idx="587">
                  <c:v>3.7913734504702039E-3</c:v>
                </c:pt>
                <c:pt idx="588">
                  <c:v>3.8193212993468811E-3</c:v>
                </c:pt>
                <c:pt idx="589">
                  <c:v>3.8471449313186882E-3</c:v>
                </c:pt>
                <c:pt idx="590">
                  <c:v>3.8748443410571306E-3</c:v>
                </c:pt>
                <c:pt idx="591">
                  <c:v>3.894624502732512E-3</c:v>
                </c:pt>
                <c:pt idx="592">
                  <c:v>3.922109757489748E-3</c:v>
                </c:pt>
                <c:pt idx="593">
                  <c:v>3.9494707727270977E-3</c:v>
                </c:pt>
                <c:pt idx="594">
                  <c:v>3.9767075433171685E-3</c:v>
                </c:pt>
                <c:pt idx="595">
                  <c:v>4.0057359147904637E-3</c:v>
                </c:pt>
                <c:pt idx="596">
                  <c:v>4.0327194313347177E-3</c:v>
                </c:pt>
                <c:pt idx="597">
                  <c:v>4.0595884535010365E-3</c:v>
                </c:pt>
                <c:pt idx="598">
                  <c:v>4.0939257693660362E-3</c:v>
                </c:pt>
                <c:pt idx="599">
                  <c:v>4.1130078534652014E-3</c:v>
                </c:pt>
                <c:pt idx="600">
                  <c:v>4.1376853525509601E-3</c:v>
                </c:pt>
                <c:pt idx="601">
                  <c:v>4.1641623474096409E-3</c:v>
                </c:pt>
                <c:pt idx="602">
                  <c:v>4.1905552315627398E-3</c:v>
                </c:pt>
                <c:pt idx="603">
                  <c:v>4.2168702506003774E-3</c:v>
                </c:pt>
                <c:pt idx="604">
                  <c:v>4.2449874169423136E-3</c:v>
                </c:pt>
                <c:pt idx="605">
                  <c:v>4.2711640591425242E-3</c:v>
                </c:pt>
                <c:pt idx="606">
                  <c:v>4.2972821058858976E-3</c:v>
                </c:pt>
                <c:pt idx="607">
                  <c:v>4.3233477698586213E-3</c:v>
                </c:pt>
                <c:pt idx="608">
                  <c:v>4.3548920827159356E-3</c:v>
                </c:pt>
                <c:pt idx="609">
                  <c:v>4.3864701978038757E-3</c:v>
                </c:pt>
                <c:pt idx="610">
                  <c:v>4.4124034339553635E-3</c:v>
                </c:pt>
                <c:pt idx="611">
                  <c:v>4.438311804629262E-3</c:v>
                </c:pt>
                <c:pt idx="612">
                  <c:v>4.464201524296268E-3</c:v>
                </c:pt>
                <c:pt idx="613">
                  <c:v>4.4900788077516535E-3</c:v>
                </c:pt>
                <c:pt idx="614">
                  <c:v>4.5159498701161432E-3</c:v>
                </c:pt>
                <c:pt idx="615">
                  <c:v>4.5418209268345998E-3</c:v>
                </c:pt>
                <c:pt idx="616">
                  <c:v>4.5676981936769003E-3</c:v>
                </c:pt>
                <c:pt idx="617">
                  <c:v>4.5973659513157735E-3</c:v>
                </c:pt>
                <c:pt idx="618">
                  <c:v>4.6232800635283835E-3</c:v>
                </c:pt>
                <c:pt idx="619">
                  <c:v>4.649219174798166E-3</c:v>
                </c:pt>
                <c:pt idx="620">
                  <c:v>4.6751894348167457E-3</c:v>
                </c:pt>
                <c:pt idx="621">
                  <c:v>4.6992949424907891E-3</c:v>
                </c:pt>
                <c:pt idx="622">
                  <c:v>4.7253357717271394E-3</c:v>
                </c:pt>
                <c:pt idx="623">
                  <c:v>4.7514139001772621E-3</c:v>
                </c:pt>
                <c:pt idx="624">
                  <c:v>4.7849977318469858E-3</c:v>
                </c:pt>
                <c:pt idx="625">
                  <c:v>4.8036820606065737E-3</c:v>
                </c:pt>
                <c:pt idx="626">
                  <c:v>4.8317881715260851E-3</c:v>
                </c:pt>
                <c:pt idx="627">
                  <c:v>4.8580185289943296E-3</c:v>
                </c:pt>
                <c:pt idx="628">
                  <c:v>4.8842861955705518E-3</c:v>
                </c:pt>
                <c:pt idx="629">
                  <c:v>4.9105911727435596E-3</c:v>
                </c:pt>
                <c:pt idx="630">
                  <c:v>4.9350053011451801E-3</c:v>
                </c:pt>
                <c:pt idx="631">
                  <c:v>4.9613818764358761E-3</c:v>
                </c:pt>
                <c:pt idx="632">
                  <c:v>4.987795764253412E-3</c:v>
                </c:pt>
                <c:pt idx="633">
                  <c:v>5.0142469660877419E-3</c:v>
                </c:pt>
                <c:pt idx="634">
                  <c:v>5.0446163631811978E-3</c:v>
                </c:pt>
                <c:pt idx="635">
                  <c:v>5.069204642000215E-3</c:v>
                </c:pt>
                <c:pt idx="636">
                  <c:v>5.0957708352380891E-3</c:v>
                </c:pt>
                <c:pt idx="637">
                  <c:v>5.1223743510661977E-3</c:v>
                </c:pt>
                <c:pt idx="638">
                  <c:v>5.1490151909933356E-3</c:v>
                </c:pt>
                <c:pt idx="639">
                  <c:v>5.1756933565300332E-3</c:v>
                </c:pt>
                <c:pt idx="640">
                  <c:v>5.2024088491889938E-3</c:v>
                </c:pt>
                <c:pt idx="641">
                  <c:v>5.2291616704863951E-3</c:v>
                </c:pt>
                <c:pt idx="642">
                  <c:v>5.2559518219388512E-3</c:v>
                </c:pt>
                <c:pt idx="643">
                  <c:v>5.2788441744260044E-3</c:v>
                </c:pt>
                <c:pt idx="644">
                  <c:v>5.305702868383267E-3</c:v>
                </c:pt>
                <c:pt idx="645">
                  <c:v>5.3325988917407585E-3</c:v>
                </c:pt>
                <c:pt idx="646">
                  <c:v>5.3595322460071645E-3</c:v>
                </c:pt>
                <c:pt idx="647">
                  <c:v>5.38848125917675E-3</c:v>
                </c:pt>
                <c:pt idx="648">
                  <c:v>5.4154829455948985E-3</c:v>
                </c:pt>
                <c:pt idx="649">
                  <c:v>5.4425058453374774E-3</c:v>
                </c:pt>
                <c:pt idx="650">
                  <c:v>5.4695418968779578E-3</c:v>
                </c:pt>
                <c:pt idx="651">
                  <c:v>5.4965830382473248E-3</c:v>
                </c:pt>
                <c:pt idx="652">
                  <c:v>5.5216449150155104E-3</c:v>
                </c:pt>
                <c:pt idx="653">
                  <c:v>5.5486754736258307E-3</c:v>
                </c:pt>
                <c:pt idx="654">
                  <c:v>5.5756877799402124E-3</c:v>
                </c:pt>
                <c:pt idx="655">
                  <c:v>5.6026737260926286E-3</c:v>
                </c:pt>
                <c:pt idx="656">
                  <c:v>5.6315828926578604E-3</c:v>
                </c:pt>
                <c:pt idx="657">
                  <c:v>5.6584852469055416E-3</c:v>
                </c:pt>
                <c:pt idx="658">
                  <c:v>5.6853362448425438E-3</c:v>
                </c:pt>
                <c:pt idx="659">
                  <c:v>5.7121278209800426E-3</c:v>
                </c:pt>
                <c:pt idx="660">
                  <c:v>5.7407372440629054E-3</c:v>
                </c:pt>
                <c:pt idx="661">
                  <c:v>5.7673833607694196E-3</c:v>
                </c:pt>
                <c:pt idx="662">
                  <c:v>5.7939451912860382E-3</c:v>
                </c:pt>
                <c:pt idx="663">
                  <c:v>5.8204146242181289E-3</c:v>
                </c:pt>
                <c:pt idx="664">
                  <c:v>5.8467835477498563E-3</c:v>
                </c:pt>
                <c:pt idx="665">
                  <c:v>5.8730438496494555E-3</c:v>
                </c:pt>
                <c:pt idx="666">
                  <c:v>5.8991874172736212E-3</c:v>
                </c:pt>
                <c:pt idx="667">
                  <c:v>5.9252061375697071E-3</c:v>
                </c:pt>
                <c:pt idx="668">
                  <c:v>5.9510918970831893E-3</c:v>
                </c:pt>
                <c:pt idx="669">
                  <c:v>5.9804980142413146E-3</c:v>
                </c:pt>
                <c:pt idx="670">
                  <c:v>6.0060698497882191E-3</c:v>
                </c:pt>
                <c:pt idx="671">
                  <c:v>6.0314842029870917E-3</c:v>
                </c:pt>
                <c:pt idx="672">
                  <c:v>6.0567330466190427E-3</c:v>
                </c:pt>
                <c:pt idx="673">
                  <c:v>6.0800272240912161E-3</c:v>
                </c:pt>
                <c:pt idx="674">
                  <c:v>6.10494229953312E-3</c:v>
                </c:pt>
                <c:pt idx="675">
                  <c:v>6.1367209567050936E-3</c:v>
                </c:pt>
                <c:pt idx="676">
                  <c:v>6.1612393398020136E-3</c:v>
                </c:pt>
                <c:pt idx="677">
                  <c:v>6.1855841593249283E-3</c:v>
                </c:pt>
                <c:pt idx="678">
                  <c:v>6.2149094738699192E-3</c:v>
                </c:pt>
                <c:pt idx="679">
                  <c:v>6.2388711906067387E-3</c:v>
                </c:pt>
                <c:pt idx="680">
                  <c:v>6.2626593190002883E-3</c:v>
                </c:pt>
                <c:pt idx="681">
                  <c:v>6.2862738526634192E-3</c:v>
                </c:pt>
                <c:pt idx="682">
                  <c:v>6.3047045798465618E-3</c:v>
                </c:pt>
                <c:pt idx="683">
                  <c:v>6.3280078844767862E-3</c:v>
                </c:pt>
                <c:pt idx="684">
                  <c:v>6.3511375814773174E-3</c:v>
                </c:pt>
                <c:pt idx="685">
                  <c:v>6.3789959138971586E-3</c:v>
                </c:pt>
                <c:pt idx="686">
                  <c:v>6.4017423797306282E-3</c:v>
                </c:pt>
                <c:pt idx="687">
                  <c:v>6.4243152134885002E-3</c:v>
                </c:pt>
                <c:pt idx="688">
                  <c:v>6.4467144091093845E-3</c:v>
                </c:pt>
                <c:pt idx="689">
                  <c:v>6.4689399605791674E-3</c:v>
                </c:pt>
                <c:pt idx="690">
                  <c:v>6.4862696642861394E-3</c:v>
                </c:pt>
                <c:pt idx="691">
                  <c:v>6.5128701072401877E-3</c:v>
                </c:pt>
                <c:pt idx="692">
                  <c:v>6.5345746906348397E-3</c:v>
                </c:pt>
                <c:pt idx="693">
                  <c:v>6.5561056062852204E-3</c:v>
                </c:pt>
                <c:pt idx="694">
                  <c:v>6.5728848102522691E-3</c:v>
                </c:pt>
                <c:pt idx="695">
                  <c:v>6.5910708026732301E-3</c:v>
                </c:pt>
                <c:pt idx="696">
                  <c:v>6.6121407857481877E-3</c:v>
                </c:pt>
                <c:pt idx="697">
                  <c:v>6.6330370900465913E-3</c:v>
                </c:pt>
                <c:pt idx="698">
                  <c:v>6.6537597101071749E-3</c:v>
                </c:pt>
                <c:pt idx="699">
                  <c:v>6.6757806689059221E-3</c:v>
                </c:pt>
                <c:pt idx="700">
                  <c:v>6.6961592328314903E-3</c:v>
                </c:pt>
                <c:pt idx="701">
                  <c:v>6.7163877518548422E-3</c:v>
                </c:pt>
                <c:pt idx="702">
                  <c:v>6.7364772617078657E-3</c:v>
                </c:pt>
                <c:pt idx="703">
                  <c:v>6.756438798598113E-3</c:v>
                </c:pt>
                <c:pt idx="704">
                  <c:v>6.7748474090784999E-3</c:v>
                </c:pt>
                <c:pt idx="705">
                  <c:v>6.7945890746598896E-3</c:v>
                </c:pt>
                <c:pt idx="706">
                  <c:v>6.8142347293068291E-3</c:v>
                </c:pt>
                <c:pt idx="707">
                  <c:v>6.8337954718335593E-3</c:v>
                </c:pt>
                <c:pt idx="708">
                  <c:v>6.8547131884740863E-3</c:v>
                </c:pt>
                <c:pt idx="709">
                  <c:v>6.8741386738666371E-3</c:v>
                </c:pt>
                <c:pt idx="710">
                  <c:v>6.8935134525882381E-3</c:v>
                </c:pt>
                <c:pt idx="711">
                  <c:v>6.9128485644536662E-3</c:v>
                </c:pt>
                <c:pt idx="712">
                  <c:v>6.9307139922201982E-3</c:v>
                </c:pt>
                <c:pt idx="713">
                  <c:v>6.9499983618820033E-3</c:v>
                </c:pt>
                <c:pt idx="714">
                  <c:v>6.9692755234365489E-3</c:v>
                </c:pt>
                <c:pt idx="715">
                  <c:v>6.988556579185675E-3</c:v>
                </c:pt>
                <c:pt idx="716">
                  <c:v>7.007852631858282E-3</c:v>
                </c:pt>
                <c:pt idx="717">
                  <c:v>7.0271747846169606E-3</c:v>
                </c:pt>
                <c:pt idx="718">
                  <c:v>7.0465341410509167E-3</c:v>
                </c:pt>
                <c:pt idx="719">
                  <c:v>7.065941805184813E-3</c:v>
                </c:pt>
                <c:pt idx="720">
                  <c:v>7.0854088814761131E-3</c:v>
                </c:pt>
                <c:pt idx="721">
                  <c:v>7.1124577252626529E-3</c:v>
                </c:pt>
                <c:pt idx="722">
                  <c:v>7.1321185235209061E-3</c:v>
                </c:pt>
                <c:pt idx="723">
                  <c:v>7.1518726199853097E-3</c:v>
                </c:pt>
                <c:pt idx="724">
                  <c:v>7.1717308183712053E-3</c:v>
                </c:pt>
                <c:pt idx="725">
                  <c:v>7.1870908333882535E-3</c:v>
                </c:pt>
                <c:pt idx="726">
                  <c:v>7.2071491495774645E-3</c:v>
                </c:pt>
                <c:pt idx="727">
                  <c:v>7.2273208346774372E-3</c:v>
                </c:pt>
                <c:pt idx="728">
                  <c:v>7.2476058921599308E-3</c:v>
                </c:pt>
                <c:pt idx="729">
                  <c:v>7.2680043255137373E-3</c:v>
                </c:pt>
                <c:pt idx="730">
                  <c:v>7.2932541559571837E-3</c:v>
                </c:pt>
                <c:pt idx="731">
                  <c:v>7.3139049039823295E-3</c:v>
                </c:pt>
                <c:pt idx="732">
                  <c:v>7.3346690496939844E-3</c:v>
                </c:pt>
                <c:pt idx="733">
                  <c:v>7.3555465967236533E-3</c:v>
                </c:pt>
                <c:pt idx="734">
                  <c:v>7.3716972538820872E-3</c:v>
                </c:pt>
                <c:pt idx="735">
                  <c:v>7.3927760168523626E-3</c:v>
                </c:pt>
                <c:pt idx="736">
                  <c:v>7.4139681806724405E-3</c:v>
                </c:pt>
                <c:pt idx="737">
                  <c:v>7.4352737489879308E-3</c:v>
                </c:pt>
                <c:pt idx="738">
                  <c:v>7.4616354801153436E-3</c:v>
                </c:pt>
                <c:pt idx="739">
                  <c:v>7.483193512416584E-3</c:v>
                </c:pt>
                <c:pt idx="740">
                  <c:v>7.5048649720103298E-3</c:v>
                </c:pt>
                <c:pt idx="741">
                  <c:v>7.5266498626858072E-3</c:v>
                </c:pt>
                <c:pt idx="742">
                  <c:v>7.5485481882533022E-3</c:v>
                </c:pt>
                <c:pt idx="743">
                  <c:v>7.5705599525428685E-3</c:v>
                </c:pt>
                <c:pt idx="744">
                  <c:v>7.5926851594034705E-3</c:v>
                </c:pt>
                <c:pt idx="745">
                  <c:v>7.6149238127055608E-3</c:v>
                </c:pt>
                <c:pt idx="746">
                  <c:v>7.6372759163380721E-3</c:v>
                </c:pt>
                <c:pt idx="747">
                  <c:v>7.6511223876384021E-3</c:v>
                </c:pt>
                <c:pt idx="748">
                  <c:v>7.6736584865454132E-3</c:v>
                </c:pt>
                <c:pt idx="749">
                  <c:v>7.6963080270170741E-3</c:v>
                </c:pt>
                <c:pt idx="750">
                  <c:v>7.7190710129079821E-3</c:v>
                </c:pt>
                <c:pt idx="751">
                  <c:v>7.7437024909078203E-3</c:v>
                </c:pt>
                <c:pt idx="752">
                  <c:v>7.7666908710571792E-3</c:v>
                </c:pt>
                <c:pt idx="753">
                  <c:v>7.7897753857424749E-3</c:v>
                </c:pt>
                <c:pt idx="754">
                  <c:v>7.8129473749494627E-3</c:v>
                </c:pt>
                <c:pt idx="755">
                  <c:v>7.836198178268609E-3</c:v>
                </c:pt>
                <c:pt idx="756">
                  <c:v>7.8577397671366726E-3</c:v>
                </c:pt>
                <c:pt idx="757">
                  <c:v>7.8811205873399112E-3</c:v>
                </c:pt>
                <c:pt idx="758">
                  <c:v>7.9045551447399411E-3</c:v>
                </c:pt>
                <c:pt idx="759">
                  <c:v>7.9280347296810019E-3</c:v>
                </c:pt>
                <c:pt idx="760">
                  <c:v>7.9533312644032659E-3</c:v>
                </c:pt>
                <c:pt idx="761">
                  <c:v>7.9768730614649206E-3</c:v>
                </c:pt>
                <c:pt idx="762">
                  <c:v>8.0004330385488997E-3</c:v>
                </c:pt>
                <c:pt idx="763">
                  <c:v>8.0240025320122109E-3</c:v>
                </c:pt>
                <c:pt idx="764">
                  <c:v>8.0475728778003266E-3</c:v>
                </c:pt>
                <c:pt idx="765">
                  <c:v>8.0693700256542315E-3</c:v>
                </c:pt>
                <c:pt idx="766">
                  <c:v>8.0929208987516668E-3</c:v>
                </c:pt>
                <c:pt idx="767">
                  <c:v>8.116447107426112E-3</c:v>
                </c:pt>
                <c:pt idx="768">
                  <c:v>8.1399399383345911E-3</c:v>
                </c:pt>
                <c:pt idx="769">
                  <c:v>8.1633906777260571E-3</c:v>
                </c:pt>
                <c:pt idx="770">
                  <c:v>8.1867906114409528E-3</c:v>
                </c:pt>
                <c:pt idx="771">
                  <c:v>8.2101310249182678E-3</c:v>
                </c:pt>
                <c:pt idx="772">
                  <c:v>8.2334032031893701E-3</c:v>
                </c:pt>
                <c:pt idx="773">
                  <c:v>8.2651723074977923E-3</c:v>
                </c:pt>
                <c:pt idx="774">
                  <c:v>8.2882453239092376E-3</c:v>
                </c:pt>
                <c:pt idx="775">
                  <c:v>8.311223484530365E-3</c:v>
                </c:pt>
                <c:pt idx="776">
                  <c:v>8.3340983059300103E-3</c:v>
                </c:pt>
                <c:pt idx="777">
                  <c:v>8.3518093257986866E-3</c:v>
                </c:pt>
                <c:pt idx="778">
                  <c:v>8.3744842980718378E-3</c:v>
                </c:pt>
                <c:pt idx="779">
                  <c:v>8.3970474438655462E-3</c:v>
                </c:pt>
                <c:pt idx="780">
                  <c:v>8.4194987593415715E-3</c:v>
                </c:pt>
                <c:pt idx="781">
                  <c:v>8.4418382406822E-3</c:v>
                </c:pt>
                <c:pt idx="782">
                  <c:v>8.4690072941860234E-3</c:v>
                </c:pt>
                <c:pt idx="783">
                  <c:v>8.4911006859347913E-3</c:v>
                </c:pt>
                <c:pt idx="784">
                  <c:v>8.5130822275415064E-3</c:v>
                </c:pt>
                <c:pt idx="785">
                  <c:v>8.5349519152053393E-3</c:v>
                </c:pt>
                <c:pt idx="786">
                  <c:v>8.5518580030322956E-3</c:v>
                </c:pt>
                <c:pt idx="787">
                  <c:v>8.5735264004347788E-3</c:v>
                </c:pt>
                <c:pt idx="788">
                  <c:v>8.5950829375042448E-3</c:v>
                </c:pt>
                <c:pt idx="789">
                  <c:v>8.6165276105741161E-3</c:v>
                </c:pt>
                <c:pt idx="790">
                  <c:v>8.6378604159970396E-3</c:v>
                </c:pt>
                <c:pt idx="791">
                  <c:v>8.6638208980412343E-3</c:v>
                </c:pt>
                <c:pt idx="792">
                  <c:v>8.6849075033340779E-3</c:v>
                </c:pt>
                <c:pt idx="793">
                  <c:v>8.7058822249804872E-3</c:v>
                </c:pt>
                <c:pt idx="794">
                  <c:v>8.7267450593545449E-3</c:v>
                </c:pt>
                <c:pt idx="795">
                  <c:v>8.7474960028492473E-3</c:v>
                </c:pt>
                <c:pt idx="796">
                  <c:v>8.7681350518769227E-3</c:v>
                </c:pt>
                <c:pt idx="797">
                  <c:v>8.7886622028696751E-3</c:v>
                </c:pt>
                <c:pt idx="798">
                  <c:v>8.8090774522793722E-3</c:v>
                </c:pt>
                <c:pt idx="799">
                  <c:v>8.8217777288055049E-3</c:v>
                </c:pt>
                <c:pt idx="800">
                  <c:v>8.8420066580223028E-3</c:v>
                </c:pt>
                <c:pt idx="801">
                  <c:v>8.8621236844444451E-3</c:v>
                </c:pt>
                <c:pt idx="802">
                  <c:v>8.8821288046867959E-3</c:v>
                </c:pt>
                <c:pt idx="803">
                  <c:v>8.9020218087219986E-3</c:v>
                </c:pt>
                <c:pt idx="804">
                  <c:v>8.9232841859256083E-3</c:v>
                </c:pt>
                <c:pt idx="805">
                  <c:v>8.9429365179844456E-3</c:v>
                </c:pt>
                <c:pt idx="806">
                  <c:v>8.9624672598794114E-3</c:v>
                </c:pt>
                <c:pt idx="807">
                  <c:v>8.9818730240126127E-3</c:v>
                </c:pt>
                <c:pt idx="808">
                  <c:v>8.9997034930490768E-3</c:v>
                </c:pt>
                <c:pt idx="809">
                  <c:v>9.018859332748078E-3</c:v>
                </c:pt>
                <c:pt idx="810">
                  <c:v>9.0378803918109239E-3</c:v>
                </c:pt>
                <c:pt idx="811">
                  <c:v>9.0567632636370885E-3</c:v>
                </c:pt>
                <c:pt idx="812">
                  <c:v>9.0769086048131456E-3</c:v>
                </c:pt>
                <c:pt idx="813">
                  <c:v>9.0954933568669245E-3</c:v>
                </c:pt>
                <c:pt idx="814">
                  <c:v>9.1139294150450311E-3</c:v>
                </c:pt>
                <c:pt idx="815">
                  <c:v>9.1322133909414235E-3</c:v>
                </c:pt>
                <c:pt idx="816">
                  <c:v>9.1503418960587092E-3</c:v>
                </c:pt>
                <c:pt idx="817">
                  <c:v>9.1669677806289294E-3</c:v>
                </c:pt>
                <c:pt idx="818">
                  <c:v>9.1847879488473304E-3</c:v>
                </c:pt>
                <c:pt idx="819">
                  <c:v>9.2024426736149675E-3</c:v>
                </c:pt>
                <c:pt idx="820">
                  <c:v>9.2199285475173826E-3</c:v>
                </c:pt>
                <c:pt idx="821">
                  <c:v>9.2372421630650334E-3</c:v>
                </c:pt>
                <c:pt idx="822">
                  <c:v>9.2543801126919803E-3</c:v>
                </c:pt>
                <c:pt idx="823">
                  <c:v>9.2713389887625012E-3</c:v>
                </c:pt>
                <c:pt idx="824">
                  <c:v>9.2881153835737487E-3</c:v>
                </c:pt>
                <c:pt idx="825">
                  <c:v>9.3108790100638831E-3</c:v>
                </c:pt>
                <c:pt idx="826">
                  <c:v>9.327211221389603E-3</c:v>
                </c:pt>
                <c:pt idx="827">
                  <c:v>9.3433505089514767E-3</c:v>
                </c:pt>
                <c:pt idx="828">
                  <c:v>9.3592935557391815E-3</c:v>
                </c:pt>
                <c:pt idx="829">
                  <c:v>9.3715036018901573E-3</c:v>
                </c:pt>
                <c:pt idx="830">
                  <c:v>9.3870890556509504E-3</c:v>
                </c:pt>
                <c:pt idx="831">
                  <c:v>9.4024744833797209E-3</c:v>
                </c:pt>
                <c:pt idx="832">
                  <c:v>9.4176598804034881E-3</c:v>
                </c:pt>
                <c:pt idx="833">
                  <c:v>9.432645242111291E-3</c:v>
                </c:pt>
                <c:pt idx="834">
                  <c:v>9.4507559504130416E-3</c:v>
                </c:pt>
                <c:pt idx="835">
                  <c:v>9.4652995027230229E-3</c:v>
                </c:pt>
                <c:pt idx="836">
                  <c:v>9.4796429913108545E-3</c:v>
                </c:pt>
                <c:pt idx="837">
                  <c:v>9.4937864117482541E-3</c:v>
                </c:pt>
                <c:pt idx="838">
                  <c:v>9.5045713637308248E-3</c:v>
                </c:pt>
                <c:pt idx="839">
                  <c:v>9.5183564200875606E-3</c:v>
                </c:pt>
                <c:pt idx="840">
                  <c:v>9.5319414105434E-3</c:v>
                </c:pt>
                <c:pt idx="841">
                  <c:v>9.5453263309731202E-3</c:v>
                </c:pt>
                <c:pt idx="842">
                  <c:v>9.5585111773109025E-3</c:v>
                </c:pt>
                <c:pt idx="843">
                  <c:v>9.5744452630456521E-3</c:v>
                </c:pt>
                <c:pt idx="844">
                  <c:v>9.5871880876403047E-3</c:v>
                </c:pt>
                <c:pt idx="845">
                  <c:v>9.5997308108852746E-3</c:v>
                </c:pt>
                <c:pt idx="846">
                  <c:v>9.61207342890796E-3</c:v>
                </c:pt>
                <c:pt idx="847">
                  <c:v>9.6242159378985056E-3</c:v>
                </c:pt>
                <c:pt idx="848">
                  <c:v>9.6361583341080803E-3</c:v>
                </c:pt>
                <c:pt idx="849">
                  <c:v>9.6479006138506032E-3</c:v>
                </c:pt>
                <c:pt idx="850">
                  <c:v>9.6594427734992966E-3</c:v>
                </c:pt>
                <c:pt idx="851">
                  <c:v>9.667296850769452E-3</c:v>
                </c:pt>
                <c:pt idx="852">
                  <c:v>9.6784947399466883E-3</c:v>
                </c:pt>
                <c:pt idx="853">
                  <c:v>9.6894925195831171E-3</c:v>
                </c:pt>
                <c:pt idx="854">
                  <c:v>9.700290186357003E-3</c:v>
                </c:pt>
                <c:pt idx="855">
                  <c:v>9.7108878608795583E-3</c:v>
                </c:pt>
                <c:pt idx="856">
                  <c:v>9.7220951876986934E-3</c:v>
                </c:pt>
                <c:pt idx="857">
                  <c:v>9.7322990142356316E-3</c:v>
                </c:pt>
                <c:pt idx="858">
                  <c:v>9.7423268576402409E-3</c:v>
                </c:pt>
                <c:pt idx="859">
                  <c:v>9.7521881059888481E-3</c:v>
                </c:pt>
                <c:pt idx="860">
                  <c:v>9.7611253921490448E-3</c:v>
                </c:pt>
                <c:pt idx="861">
                  <c:v>9.7706885123309412E-3</c:v>
                </c:pt>
                <c:pt idx="862">
                  <c:v>9.7801121968300597E-3</c:v>
                </c:pt>
                <c:pt idx="863">
                  <c:v>9.7894058859388997E-3</c:v>
                </c:pt>
                <c:pt idx="864">
                  <c:v>9.7993240203474094E-3</c:v>
                </c:pt>
                <c:pt idx="865">
                  <c:v>9.8083828604036381E-3</c:v>
                </c:pt>
                <c:pt idx="866">
                  <c:v>9.8173408280128605E-3</c:v>
                </c:pt>
                <c:pt idx="867">
                  <c:v>9.8262073129104007E-3</c:v>
                </c:pt>
                <c:pt idx="868">
                  <c:v>9.83550366300741E-3</c:v>
                </c:pt>
                <c:pt idx="869">
                  <c:v>9.8442059291173247E-3</c:v>
                </c:pt>
                <c:pt idx="870">
                  <c:v>9.852845636083879E-3</c:v>
                </c:pt>
                <c:pt idx="871">
                  <c:v>9.8614322257086998E-3</c:v>
                </c:pt>
                <c:pt idx="872">
                  <c:v>9.8699751399598731E-3</c:v>
                </c:pt>
                <c:pt idx="873">
                  <c:v>9.8784838209728231E-3</c:v>
                </c:pt>
                <c:pt idx="874">
                  <c:v>9.8869677110454846E-3</c:v>
                </c:pt>
                <c:pt idx="875">
                  <c:v>9.8954362526391757E-3</c:v>
                </c:pt>
                <c:pt idx="876">
                  <c:v>9.9038988883759626E-3</c:v>
                </c:pt>
                <c:pt idx="877">
                  <c:v>9.9146217773640674E-3</c:v>
                </c:pt>
                <c:pt idx="878">
                  <c:v>9.923110685928261E-3</c:v>
                </c:pt>
                <c:pt idx="879">
                  <c:v>9.9316223919307719E-3</c:v>
                </c:pt>
                <c:pt idx="880">
                  <c:v>9.9401661862963831E-3</c:v>
                </c:pt>
                <c:pt idx="881">
                  <c:v>9.9521411079650148E-3</c:v>
                </c:pt>
                <c:pt idx="882">
                  <c:v>9.9573811959204686E-3</c:v>
                </c:pt>
                <c:pt idx="883">
                  <c:v>9.9660566829756995E-3</c:v>
                </c:pt>
                <c:pt idx="884">
                  <c:v>9.9747775329586136E-3</c:v>
                </c:pt>
                <c:pt idx="885">
                  <c:v>9.9835437464762932E-3</c:v>
                </c:pt>
                <c:pt idx="886">
                  <c:v>9.995360562654744E-3</c:v>
                </c:pt>
                <c:pt idx="887">
                  <c:v>1.0004233461016006E-2</c:v>
                </c:pt>
                <c:pt idx="888">
                  <c:v>1.0013151723494949E-2</c:v>
                </c:pt>
                <c:pt idx="889">
                  <c:v>1.0022115350706731E-2</c:v>
                </c:pt>
                <c:pt idx="890">
                  <c:v>1.0030325697741817E-2</c:v>
                </c:pt>
                <c:pt idx="891">
                  <c:v>1.0039376564119934E-2</c:v>
                </c:pt>
                <c:pt idx="892">
                  <c:v>1.0048472795567129E-2</c:v>
                </c:pt>
                <c:pt idx="893">
                  <c:v>1.0057614392708913E-2</c:v>
                </c:pt>
                <c:pt idx="894">
                  <c:v>1.0068426951678314E-2</c:v>
                </c:pt>
                <c:pt idx="895">
                  <c:v>1.0076849808327789E-2</c:v>
                </c:pt>
                <c:pt idx="896">
                  <c:v>1.0086131006211503E-2</c:v>
                </c:pt>
                <c:pt idx="897">
                  <c:v>1.009545757387576E-2</c:v>
                </c:pt>
                <c:pt idx="898">
                  <c:v>1.0104829511967431E-2</c:v>
                </c:pt>
                <c:pt idx="899">
                  <c:v>1.0114246821133393E-2</c:v>
                </c:pt>
                <c:pt idx="900">
                  <c:v>1.0123709502025294E-2</c:v>
                </c:pt>
                <c:pt idx="901">
                  <c:v>1.0133217555297397E-2</c:v>
                </c:pt>
                <c:pt idx="902">
                  <c:v>1.0142770981608304E-2</c:v>
                </c:pt>
                <c:pt idx="903">
                  <c:v>1.0150681803477807E-2</c:v>
                </c:pt>
                <c:pt idx="904">
                  <c:v>1.0160318953272034E-2</c:v>
                </c:pt>
                <c:pt idx="905">
                  <c:v>1.0170001474930329E-2</c:v>
                </c:pt>
                <c:pt idx="906">
                  <c:v>1.0179729369114142E-2</c:v>
                </c:pt>
                <c:pt idx="907">
                  <c:v>1.0189501838540354E-2</c:v>
                </c:pt>
                <c:pt idx="908">
                  <c:v>1.0199314894101457E-2</c:v>
                </c:pt>
                <c:pt idx="909">
                  <c:v>1.0209163748655782E-2</c:v>
                </c:pt>
                <c:pt idx="910">
                  <c:v>1.021990668623165E-2</c:v>
                </c:pt>
                <c:pt idx="911">
                  <c:v>1.0228949705718866E-2</c:v>
                </c:pt>
                <c:pt idx="912">
                  <c:v>1.0238877233478723E-2</c:v>
                </c:pt>
                <c:pt idx="913">
                  <c:v>1.0248821410734427E-2</c:v>
                </c:pt>
                <c:pt idx="914">
                  <c:v>1.0258777449874355E-2</c:v>
                </c:pt>
                <c:pt idx="915">
                  <c:v>1.0268740563192009E-2</c:v>
                </c:pt>
                <c:pt idx="916">
                  <c:v>1.0278705962883829E-2</c:v>
                </c:pt>
                <c:pt idx="917">
                  <c:v>1.0288668861050948E-2</c:v>
                </c:pt>
                <c:pt idx="918">
                  <c:v>1.0298624469699189E-2</c:v>
                </c:pt>
                <c:pt idx="919">
                  <c:v>1.0308568000737747E-2</c:v>
                </c:pt>
                <c:pt idx="920">
                  <c:v>1.0319062899911108E-2</c:v>
                </c:pt>
                <c:pt idx="921">
                  <c:v>1.03289680870881E-2</c:v>
                </c:pt>
                <c:pt idx="922">
                  <c:v>1.0338846435504045E-2</c:v>
                </c:pt>
                <c:pt idx="923">
                  <c:v>1.0348693130367282E-2</c:v>
                </c:pt>
                <c:pt idx="924">
                  <c:v>1.0358503356793409E-2</c:v>
                </c:pt>
                <c:pt idx="925">
                  <c:v>1.0368272299804398E-2</c:v>
                </c:pt>
                <c:pt idx="926">
                  <c:v>1.0377995144331239E-2</c:v>
                </c:pt>
                <c:pt idx="927">
                  <c:v>1.0387667075214393E-2</c:v>
                </c:pt>
                <c:pt idx="928">
                  <c:v>1.0397283277204223E-2</c:v>
                </c:pt>
                <c:pt idx="929">
                  <c:v>1.0409258783898192E-2</c:v>
                </c:pt>
                <c:pt idx="930">
                  <c:v>1.0418733169564201E-2</c:v>
                </c:pt>
                <c:pt idx="931">
                  <c:v>1.0428137228704303E-2</c:v>
                </c:pt>
                <c:pt idx="932">
                  <c:v>1.0437466226093241E-2</c:v>
                </c:pt>
                <c:pt idx="933">
                  <c:v>1.0445931899716248E-2</c:v>
                </c:pt>
                <c:pt idx="934">
                  <c:v>1.0455108529425917E-2</c:v>
                </c:pt>
                <c:pt idx="935">
                  <c:v>1.0464206034043536E-2</c:v>
                </c:pt>
                <c:pt idx="936">
                  <c:v>1.0475786558495485E-2</c:v>
                </c:pt>
                <c:pt idx="937">
                  <c:v>1.0487491700020085E-2</c:v>
                </c:pt>
                <c:pt idx="938">
                  <c:v>1.0495807818071976E-2</c:v>
                </c:pt>
                <c:pt idx="939">
                  <c:v>1.0504550008915469E-2</c:v>
                </c:pt>
                <c:pt idx="940">
                  <c:v>1.0513213062498347E-2</c:v>
                </c:pt>
                <c:pt idx="941">
                  <c:v>1.051957847734819E-2</c:v>
                </c:pt>
                <c:pt idx="942">
                  <c:v>1.0528099466776122E-2</c:v>
                </c:pt>
                <c:pt idx="943">
                  <c:v>1.0536541322347428E-2</c:v>
                </c:pt>
                <c:pt idx="944">
                  <c:v>1.0544904043047837E-2</c:v>
                </c:pt>
                <c:pt idx="945">
                  <c:v>1.0555341234831764E-2</c:v>
                </c:pt>
                <c:pt idx="946">
                  <c:v>1.0563529442985E-2</c:v>
                </c:pt>
                <c:pt idx="947">
                  <c:v>1.0571638506678648E-2</c:v>
                </c:pt>
                <c:pt idx="948">
                  <c:v>1.057966842492382E-2</c:v>
                </c:pt>
                <c:pt idx="949">
                  <c:v>1.0587619196740226E-2</c:v>
                </c:pt>
                <c:pt idx="950">
                  <c:v>1.0593418479401531E-2</c:v>
                </c:pt>
                <c:pt idx="951">
                  <c:v>1.0603283297215861E-2</c:v>
                </c:pt>
                <c:pt idx="952">
                  <c:v>1.061099662396307E-2</c:v>
                </c:pt>
                <c:pt idx="953">
                  <c:v>1.0618630800458764E-2</c:v>
                </c:pt>
                <c:pt idx="954">
                  <c:v>1.0624178615960081E-2</c:v>
                </c:pt>
                <c:pt idx="955">
                  <c:v>1.0630340988008542E-2</c:v>
                </c:pt>
                <c:pt idx="956">
                  <c:v>1.0637764884073508E-2</c:v>
                </c:pt>
                <c:pt idx="957">
                  <c:v>1.0645109637442543E-2</c:v>
                </c:pt>
                <c:pt idx="958">
                  <c:v>1.0652375247244739E-2</c:v>
                </c:pt>
                <c:pt idx="959">
                  <c:v>1.0660205114089759E-2</c:v>
                </c:pt>
                <c:pt idx="960">
                  <c:v>1.0667306990623208E-2</c:v>
                </c:pt>
                <c:pt idx="961">
                  <c:v>1.0674329718769032E-2</c:v>
                </c:pt>
                <c:pt idx="962">
                  <c:v>1.0681273297687465E-2</c:v>
                </c:pt>
                <c:pt idx="963">
                  <c:v>1.0688137726550157E-2</c:v>
                </c:pt>
                <c:pt idx="964">
                  <c:v>1.0694306843470025E-2</c:v>
                </c:pt>
                <c:pt idx="965">
                  <c:v>1.0701018424663153E-2</c:v>
                </c:pt>
                <c:pt idx="966">
                  <c:v>1.0707650855648568E-2</c:v>
                </c:pt>
                <c:pt idx="967">
                  <c:v>1.0714204135638833E-2</c:v>
                </c:pt>
                <c:pt idx="968">
                  <c:v>1.0721272591658119E-2</c:v>
                </c:pt>
                <c:pt idx="969">
                  <c:v>1.0727662103299217E-2</c:v>
                </c:pt>
                <c:pt idx="970">
                  <c:v>1.0733972459343953E-2</c:v>
                </c:pt>
                <c:pt idx="971">
                  <c:v>1.0743728804706761E-2</c:v>
                </c:pt>
                <c:pt idx="972">
                  <c:v>1.0746656426874543E-2</c:v>
                </c:pt>
                <c:pt idx="973">
                  <c:v>1.0751861601744676E-2</c:v>
                </c:pt>
                <c:pt idx="974">
                  <c:v>1.0757860803499714E-2</c:v>
                </c:pt>
                <c:pt idx="975">
                  <c:v>1.0763780848295752E-2</c:v>
                </c:pt>
                <c:pt idx="976">
                  <c:v>1.0769621735429709E-2</c:v>
                </c:pt>
                <c:pt idx="977">
                  <c:v>1.0775383464207774E-2</c:v>
                </c:pt>
                <c:pt idx="978">
                  <c:v>1.0781066033945852E-2</c:v>
                </c:pt>
                <c:pt idx="979">
                  <c:v>1.0786669443969126E-2</c:v>
                </c:pt>
                <c:pt idx="980">
                  <c:v>1.0792193693611165E-2</c:v>
                </c:pt>
                <c:pt idx="981">
                  <c:v>1.0800249221937121E-2</c:v>
                </c:pt>
                <c:pt idx="982">
                  <c:v>1.0805587675042933E-2</c:v>
                </c:pt>
                <c:pt idx="983">
                  <c:v>1.0810846954147194E-2</c:v>
                </c:pt>
                <c:pt idx="984">
                  <c:v>1.0816027058607413E-2</c:v>
                </c:pt>
                <c:pt idx="985">
                  <c:v>1.0819629248508581E-2</c:v>
                </c:pt>
                <c:pt idx="986">
                  <c:v>1.0824667515153997E-2</c:v>
                </c:pt>
                <c:pt idx="987">
                  <c:v>1.0829626612331054E-2</c:v>
                </c:pt>
                <c:pt idx="988">
                  <c:v>1.0834506539443945E-2</c:v>
                </c:pt>
                <c:pt idx="989">
                  <c:v>1.0839307295906472E-2</c:v>
                </c:pt>
                <c:pt idx="990">
                  <c:v>1.0845444983123582E-2</c:v>
                </c:pt>
                <c:pt idx="991">
                  <c:v>1.0850070847916305E-2</c:v>
                </c:pt>
                <c:pt idx="992">
                  <c:v>1.0854617533278703E-2</c:v>
                </c:pt>
                <c:pt idx="993">
                  <c:v>1.0859085038654664E-2</c:v>
                </c:pt>
                <c:pt idx="994">
                  <c:v>1.0862123498621173E-2</c:v>
                </c:pt>
                <c:pt idx="995">
                  <c:v>1.0866449219408207E-2</c:v>
                </c:pt>
                <c:pt idx="996">
                  <c:v>1.0870695765709256E-2</c:v>
                </c:pt>
                <c:pt idx="997">
                  <c:v>1.0876163249538424E-2</c:v>
                </c:pt>
                <c:pt idx="998">
                  <c:v>1.0880234846998901E-2</c:v>
                </c:pt>
                <c:pt idx="999">
                  <c:v>1.0884227261345979E-2</c:v>
                </c:pt>
                <c:pt idx="1000">
                  <c:v>1.0888140492093594E-2</c:v>
                </c:pt>
                <c:pt idx="1001">
                  <c:v>1.089197453876342E-2</c:v>
                </c:pt>
                <c:pt idx="1002">
                  <c:v>1.0894512351415701E-2</c:v>
                </c:pt>
                <c:pt idx="1003">
                  <c:v>1.0899405078007537E-2</c:v>
                </c:pt>
                <c:pt idx="1004">
                  <c:v>1.0903001569675027E-2</c:v>
                </c:pt>
                <c:pt idx="1005">
                  <c:v>1.0906518875450693E-2</c:v>
                </c:pt>
                <c:pt idx="1006">
                  <c:v>1.0908806524499355E-2</c:v>
                </c:pt>
                <c:pt idx="1007">
                  <c:v>1.0911423635933865E-2</c:v>
                </c:pt>
                <c:pt idx="1008">
                  <c:v>1.0914731162888505E-2</c:v>
                </c:pt>
                <c:pt idx="1009">
                  <c:v>1.0917959514251981E-2</c:v>
                </c:pt>
                <c:pt idx="1010">
                  <c:v>1.0921108689641391E-2</c:v>
                </c:pt>
                <c:pt idx="1011">
                  <c:v>1.0924536496195084E-2</c:v>
                </c:pt>
                <c:pt idx="1012">
                  <c:v>1.0927524779198549E-2</c:v>
                </c:pt>
                <c:pt idx="1013">
                  <c:v>1.0930438543602369E-2</c:v>
                </c:pt>
                <c:pt idx="1014">
                  <c:v>1.0933279964148253E-2</c:v>
                </c:pt>
                <c:pt idx="1015">
                  <c:v>1.0936051215597231E-2</c:v>
                </c:pt>
                <c:pt idx="1016">
                  <c:v>1.0938419759155384E-2</c:v>
                </c:pt>
                <c:pt idx="1017">
                  <c:v>1.0941060984987462E-2</c:v>
                </c:pt>
                <c:pt idx="1018">
                  <c:v>1.0943638341450962E-2</c:v>
                </c:pt>
                <c:pt idx="1019">
                  <c:v>1.0946154015333651E-2</c:v>
                </c:pt>
                <c:pt idx="1020">
                  <c:v>1.0948931054422158E-2</c:v>
                </c:pt>
                <c:pt idx="1021">
                  <c:v>1.0951326962355307E-2</c:v>
                </c:pt>
                <c:pt idx="1022">
                  <c:v>1.0953667925040106E-2</c:v>
                </c:pt>
                <c:pt idx="1023">
                  <c:v>1.0955956117376372E-2</c:v>
                </c:pt>
                <c:pt idx="1024">
                  <c:v>1.0957883684737818E-2</c:v>
                </c:pt>
                <c:pt idx="1025">
                  <c:v>1.0960075186569095E-2</c:v>
                </c:pt>
                <c:pt idx="1026">
                  <c:v>1.096222031376806E-2</c:v>
                </c:pt>
                <c:pt idx="1027">
                  <c:v>1.0964321253239073E-2</c:v>
                </c:pt>
                <c:pt idx="1028">
                  <c:v>1.0966380191899302E-2</c:v>
                </c:pt>
                <c:pt idx="1029">
                  <c:v>1.0968399316677837E-2</c:v>
                </c:pt>
                <c:pt idx="1030">
                  <c:v>1.0970380814514808E-2</c:v>
                </c:pt>
                <c:pt idx="1031">
                  <c:v>1.0972326872361389E-2</c:v>
                </c:pt>
                <c:pt idx="1032">
                  <c:v>1.0974239677179353E-2</c:v>
                </c:pt>
                <c:pt idx="1033">
                  <c:v>1.0977583697518964E-2</c:v>
                </c:pt>
                <c:pt idx="1034">
                  <c:v>1.0979428589610962E-2</c:v>
                </c:pt>
                <c:pt idx="1035">
                  <c:v>1.0981246894783627E-2</c:v>
                </c:pt>
                <c:pt idx="1036">
                  <c:v>1.0983040740534709E-2</c:v>
                </c:pt>
                <c:pt idx="1037">
                  <c:v>1.0983953665211866E-2</c:v>
                </c:pt>
                <c:pt idx="1038">
                  <c:v>1.0985706709750688E-2</c:v>
                </c:pt>
                <c:pt idx="1039">
                  <c:v>1.0987437122284388E-2</c:v>
                </c:pt>
                <c:pt idx="1040">
                  <c:v>1.0989144902753559E-2</c:v>
                </c:pt>
                <c:pt idx="1041">
                  <c:v>1.0990830051100542E-2</c:v>
                </c:pt>
                <c:pt idx="1042">
                  <c:v>1.0993327159788723E-2</c:v>
                </c:pt>
                <c:pt idx="1043">
                  <c:v>1.0994962343308065E-2</c:v>
                </c:pt>
                <c:pt idx="1044">
                  <c:v>1.0996574892475809E-2</c:v>
                </c:pt>
                <c:pt idx="1045">
                  <c:v>1.0998164807235226E-2</c:v>
                </c:pt>
                <c:pt idx="1046">
                  <c:v>1.0998916308994206E-2</c:v>
                </c:pt>
                <c:pt idx="1047">
                  <c:v>1.1000465663416451E-2</c:v>
                </c:pt>
                <c:pt idx="1048">
                  <c:v>1.1001992385327312E-2</c:v>
                </c:pt>
                <c:pt idx="1049">
                  <c:v>1.1003496474674372E-2</c:v>
                </c:pt>
                <c:pt idx="1050">
                  <c:v>1.1005774862999272E-2</c:v>
                </c:pt>
                <c:pt idx="1051">
                  <c:v>1.1007228970173297E-2</c:v>
                </c:pt>
                <c:pt idx="1052">
                  <c:v>1.1008660442568111E-2</c:v>
                </c:pt>
                <c:pt idx="1053">
                  <c:v>1.1010069280132999E-2</c:v>
                </c:pt>
                <c:pt idx="1054">
                  <c:v>1.101145548281897E-2</c:v>
                </c:pt>
                <c:pt idx="1055">
                  <c:v>1.1012819050577891E-2</c:v>
                </c:pt>
                <c:pt idx="1056">
                  <c:v>1.1014159983362056E-2</c:v>
                </c:pt>
                <c:pt idx="1057">
                  <c:v>1.1015478281125052E-2</c:v>
                </c:pt>
                <c:pt idx="1058">
                  <c:v>1.1016773943820035E-2</c:v>
                </c:pt>
                <c:pt idx="1059">
                  <c:v>1.1017040806829397E-2</c:v>
                </c:pt>
                <c:pt idx="1060">
                  <c:v>1.1018297513038382E-2</c:v>
                </c:pt>
                <c:pt idx="1061">
                  <c:v>1.1019531586805076E-2</c:v>
                </c:pt>
                <c:pt idx="1062">
                  <c:v>1.102074302808731E-2</c:v>
                </c:pt>
                <c:pt idx="1063">
                  <c:v>1.1022177278840009E-2</c:v>
                </c:pt>
                <c:pt idx="1064">
                  <c:v>1.1023341873970286E-2</c:v>
                </c:pt>
                <c:pt idx="1065">
                  <c:v>1.1025451492061529E-2</c:v>
                </c:pt>
                <c:pt idx="1066">
                  <c:v>1.1025603164301664E-2</c:v>
                </c:pt>
                <c:pt idx="1067">
                  <c:v>1.102669985942545E-2</c:v>
                </c:pt>
                <c:pt idx="1068">
                  <c:v>1.1027536391339464E-2</c:v>
                </c:pt>
                <c:pt idx="1069">
                  <c:v>1.1028589404113583E-2</c:v>
                </c:pt>
                <c:pt idx="1070">
                  <c:v>1.1029619784094481E-2</c:v>
                </c:pt>
                <c:pt idx="1071">
                  <c:v>1.1030627531246142E-2</c:v>
                </c:pt>
                <c:pt idx="1072">
                  <c:v>1.1031843833140629E-2</c:v>
                </c:pt>
                <c:pt idx="1073">
                  <c:v>1.1032804727255506E-2</c:v>
                </c:pt>
                <c:pt idx="1074">
                  <c:v>1.1033742987749069E-2</c:v>
                </c:pt>
                <c:pt idx="1075">
                  <c:v>1.1034658614589427E-2</c:v>
                </c:pt>
                <c:pt idx="1076">
                  <c:v>1.1035551607744259E-2</c:v>
                </c:pt>
                <c:pt idx="1077">
                  <c:v>1.1036198722873293E-2</c:v>
                </c:pt>
                <c:pt idx="1078">
                  <c:v>1.1037048039301467E-2</c:v>
                </c:pt>
                <c:pt idx="1079">
                  <c:v>1.1037874722646982E-2</c:v>
                </c:pt>
                <c:pt idx="1080">
                  <c:v>1.1038678772881727E-2</c:v>
                </c:pt>
                <c:pt idx="1081">
                  <c:v>1.1039460189978031E-2</c:v>
                </c:pt>
                <c:pt idx="1082">
                  <c:v>1.1040218973909543E-2</c:v>
                </c:pt>
                <c:pt idx="1083">
                  <c:v>1.1040955124649908E-2</c:v>
                </c:pt>
                <c:pt idx="1084">
                  <c:v>1.1041668642174533E-2</c:v>
                </c:pt>
                <c:pt idx="1085">
                  <c:v>1.1043200634662976E-2</c:v>
                </c:pt>
                <c:pt idx="1086">
                  <c:v>1.1043862500001856E-2</c:v>
                </c:pt>
                <c:pt idx="1087">
                  <c:v>1.1044501729282976E-2</c:v>
                </c:pt>
                <c:pt idx="1088">
                  <c:v>1.1045118322483989E-2</c:v>
                </c:pt>
                <c:pt idx="1089">
                  <c:v>1.1045100840538053E-2</c:v>
                </c:pt>
                <c:pt idx="1090">
                  <c:v>1.1045676959237903E-2</c:v>
                </c:pt>
                <c:pt idx="1091">
                  <c:v>1.1046230443874386E-2</c:v>
                </c:pt>
                <c:pt idx="1092">
                  <c:v>1.104676129442872E-2</c:v>
                </c:pt>
                <c:pt idx="1093">
                  <c:v>1.1047269510882559E-2</c:v>
                </c:pt>
                <c:pt idx="1094">
                  <c:v>1.1048342522859491E-2</c:v>
                </c:pt>
                <c:pt idx="1095">
                  <c:v>1.1048800662942351E-2</c:v>
                </c:pt>
                <c:pt idx="1096">
                  <c:v>1.1049236166794686E-2</c:v>
                </c:pt>
                <c:pt idx="1097">
                  <c:v>1.1049649034401886E-2</c:v>
                </c:pt>
                <c:pt idx="1098">
                  <c:v>1.1049471081062927E-2</c:v>
                </c:pt>
                <c:pt idx="1099">
                  <c:v>1.1049843492574828E-2</c:v>
                </c:pt>
                <c:pt idx="1100">
                  <c:v>1.1050193269880965E-2</c:v>
                </c:pt>
                <c:pt idx="1101">
                  <c:v>1.1050520412968666E-2</c:v>
                </c:pt>
                <c:pt idx="1102">
                  <c:v>1.1050824921827013E-2</c:v>
                </c:pt>
                <c:pt idx="1103">
                  <c:v>1.1051650878145559E-2</c:v>
                </c:pt>
                <c:pt idx="1104">
                  <c:v>1.1051905291677091E-2</c:v>
                </c:pt>
                <c:pt idx="1105">
                  <c:v>1.1052137068870659E-2</c:v>
                </c:pt>
                <c:pt idx="1106">
                  <c:v>1.1052346209717664E-2</c:v>
                </c:pt>
                <c:pt idx="1107">
                  <c:v>1.1052532714211234E-2</c:v>
                </c:pt>
                <c:pt idx="1108">
                  <c:v>1.1052696582344061E-2</c:v>
                </c:pt>
                <c:pt idx="1109">
                  <c:v>1.1052837814111417E-2</c:v>
                </c:pt>
                <c:pt idx="1110">
                  <c:v>1.1052956409507287E-2</c:v>
                </c:pt>
                <c:pt idx="1111">
                  <c:v>1.1052209267768801E-2</c:v>
                </c:pt>
                <c:pt idx="1112">
                  <c:v>1.1052290662373447E-2</c:v>
                </c:pt>
                <c:pt idx="1113">
                  <c:v>1.1052349424062885E-2</c:v>
                </c:pt>
                <c:pt idx="1114">
                  <c:v>1.1052385552834462E-2</c:v>
                </c:pt>
                <c:pt idx="1115">
                  <c:v>1.1052399048687295E-2</c:v>
                </c:pt>
                <c:pt idx="1116">
                  <c:v>1.1052550754984077E-2</c:v>
                </c:pt>
                <c:pt idx="1117">
                  <c:v>1.1052517367338461E-2</c:v>
                </c:pt>
                <c:pt idx="1118">
                  <c:v>1.1052461346083134E-2</c:v>
                </c:pt>
                <c:pt idx="1119">
                  <c:v>1.1052382691218535E-2</c:v>
                </c:pt>
                <c:pt idx="1120">
                  <c:v>1.1052127034177813E-2</c:v>
                </c:pt>
                <c:pt idx="1121">
                  <c:v>1.1052004732534525E-2</c:v>
                </c:pt>
                <c:pt idx="1122">
                  <c:v>1.1051859797985302E-2</c:v>
                </c:pt>
                <c:pt idx="1123">
                  <c:v>1.1051692230534999E-2</c:v>
                </c:pt>
                <c:pt idx="1124">
                  <c:v>1.1051649912886456E-2</c:v>
                </c:pt>
                <c:pt idx="1125">
                  <c:v>1.1051435456452307E-2</c:v>
                </c:pt>
                <c:pt idx="1126">
                  <c:v>1.1051198366444899E-2</c:v>
                </c:pt>
                <c:pt idx="1127">
                  <c:v>1.1050938642871702E-2</c:v>
                </c:pt>
                <c:pt idx="1128">
                  <c:v>1.1050614101372093E-2</c:v>
                </c:pt>
                <c:pt idx="1129">
                  <c:v>1.1050166349887088E-2</c:v>
                </c:pt>
                <c:pt idx="1130">
                  <c:v>1.104983711906901E-2</c:v>
                </c:pt>
                <c:pt idx="1131">
                  <c:v>1.104948525541875E-2</c:v>
                </c:pt>
                <c:pt idx="1132">
                  <c:v>1.1049110758947789E-2</c:v>
                </c:pt>
                <c:pt idx="1133">
                  <c:v>1.1048713629668935E-2</c:v>
                </c:pt>
                <c:pt idx="1134">
                  <c:v>1.104829386759632E-2</c:v>
                </c:pt>
                <c:pt idx="1135">
                  <c:v>1.1047851472743193E-2</c:v>
                </c:pt>
                <c:pt idx="1136">
                  <c:v>1.1047386445125453E-2</c:v>
                </c:pt>
                <c:pt idx="1137">
                  <c:v>1.1047403842024392E-2</c:v>
                </c:pt>
                <c:pt idx="1138">
                  <c:v>1.1046887019185164E-2</c:v>
                </c:pt>
                <c:pt idx="1139">
                  <c:v>1.1046347560869309E-2</c:v>
                </c:pt>
                <c:pt idx="1140">
                  <c:v>1.1045785467094107E-2</c:v>
                </c:pt>
                <c:pt idx="1141">
                  <c:v>1.1044619159016717E-2</c:v>
                </c:pt>
                <c:pt idx="1142">
                  <c:v>1.1044593373249065E-2</c:v>
                </c:pt>
                <c:pt idx="1143">
                  <c:v>1.1043963373219839E-2</c:v>
                </c:pt>
                <c:pt idx="1144">
                  <c:v>1.1043310737814229E-2</c:v>
                </c:pt>
                <c:pt idx="1145">
                  <c:v>1.1042635467056E-2</c:v>
                </c:pt>
                <c:pt idx="1146">
                  <c:v>1.1041937560968053E-2</c:v>
                </c:pt>
                <c:pt idx="1147">
                  <c:v>1.1041217019574582E-2</c:v>
                </c:pt>
                <c:pt idx="1148">
                  <c:v>1.1040473842901516E-2</c:v>
                </c:pt>
                <c:pt idx="1149">
                  <c:v>1.1039708030973483E-2</c:v>
                </c:pt>
                <c:pt idx="1150">
                  <c:v>1.1038919583816838E-2</c:v>
                </c:pt>
                <c:pt idx="1151">
                  <c:v>1.10381085014601E-2</c:v>
                </c:pt>
                <c:pt idx="1152">
                  <c:v>1.1037274783930493E-2</c:v>
                </c:pt>
                <c:pt idx="1153">
                  <c:v>1.1036418431257395E-2</c:v>
                </c:pt>
                <c:pt idx="1154">
                  <c:v>1.1035539443470624E-2</c:v>
                </c:pt>
                <c:pt idx="1155">
                  <c:v>1.1034637820600421E-2</c:v>
                </c:pt>
                <c:pt idx="1156">
                  <c:v>1.10337135626779E-2</c:v>
                </c:pt>
                <c:pt idx="1157">
                  <c:v>1.1032766669735898E-2</c:v>
                </c:pt>
                <c:pt idx="1158">
                  <c:v>1.1031797141806391E-2</c:v>
                </c:pt>
                <c:pt idx="1159">
                  <c:v>1.1030804978923081E-2</c:v>
                </c:pt>
                <c:pt idx="1160">
                  <c:v>1.1029790181120967E-2</c:v>
                </c:pt>
                <c:pt idx="1161">
                  <c:v>1.1028752748435048E-2</c:v>
                </c:pt>
                <c:pt idx="1162">
                  <c:v>1.1027692680900753E-2</c:v>
                </c:pt>
                <c:pt idx="1163">
                  <c:v>1.1026275590223468E-2</c:v>
                </c:pt>
                <c:pt idx="1164">
                  <c:v>1.1025176854403794E-2</c:v>
                </c:pt>
                <c:pt idx="1165">
                  <c:v>1.1024055486589277E-2</c:v>
                </c:pt>
                <c:pt idx="1166">
                  <c:v>1.1022911486817458E-2</c:v>
                </c:pt>
                <c:pt idx="1167">
                  <c:v>1.1021822103325704E-2</c:v>
                </c:pt>
                <c:pt idx="1168">
                  <c:v>1.1020631629274937E-2</c:v>
                </c:pt>
                <c:pt idx="1169">
                  <c:v>1.1019419652005624E-2</c:v>
                </c:pt>
                <c:pt idx="1170">
                  <c:v>1.1018477264467573E-2</c:v>
                </c:pt>
                <c:pt idx="1171">
                  <c:v>1.1016934062554879E-2</c:v>
                </c:pt>
                <c:pt idx="1172">
                  <c:v>1.101559148570215E-2</c:v>
                </c:pt>
                <c:pt idx="1173">
                  <c:v>1.1014301792315368E-2</c:v>
                </c:pt>
                <c:pt idx="1174">
                  <c:v>1.1012994112532568E-2</c:v>
                </c:pt>
                <c:pt idx="1175">
                  <c:v>1.1011669168983218E-2</c:v>
                </c:pt>
                <c:pt idx="1176">
                  <c:v>1.1010394090513157E-2</c:v>
                </c:pt>
                <c:pt idx="1177">
                  <c:v>1.1009035960107218E-2</c:v>
                </c:pt>
                <c:pt idx="1178">
                  <c:v>1.1007662794616452E-2</c:v>
                </c:pt>
                <c:pt idx="1179">
                  <c:v>1.1006275312714335E-2</c:v>
                </c:pt>
                <c:pt idx="1180">
                  <c:v>1.1004080117382443E-2</c:v>
                </c:pt>
                <c:pt idx="1181">
                  <c:v>1.1002850527585435E-2</c:v>
                </c:pt>
                <c:pt idx="1182">
                  <c:v>1.1001419416878573E-2</c:v>
                </c:pt>
                <c:pt idx="1183">
                  <c:v>1.0999977172439532E-2</c:v>
                </c:pt>
                <c:pt idx="1184">
                  <c:v>1.0998524512933001E-2</c:v>
                </c:pt>
                <c:pt idx="1185">
                  <c:v>1.0997062157021474E-2</c:v>
                </c:pt>
                <c:pt idx="1186">
                  <c:v>1.0995590823364805E-2</c:v>
                </c:pt>
                <c:pt idx="1187">
                  <c:v>1.0994111230622413E-2</c:v>
                </c:pt>
                <c:pt idx="1188">
                  <c:v>1.0992624097451519E-2</c:v>
                </c:pt>
                <c:pt idx="1189">
                  <c:v>1.0991248285634567E-2</c:v>
                </c:pt>
                <c:pt idx="1190">
                  <c:v>1.098974754757205E-2</c:v>
                </c:pt>
                <c:pt idx="1191">
                  <c:v>1.0988241440346594E-2</c:v>
                </c:pt>
                <c:pt idx="1192">
                  <c:v>1.0986730674838682E-2</c:v>
                </c:pt>
                <c:pt idx="1193">
                  <c:v>1.0985158115892697E-2</c:v>
                </c:pt>
                <c:pt idx="1194">
                  <c:v>1.0983639665265822E-2</c:v>
                </c:pt>
                <c:pt idx="1195">
                  <c:v>1.0982117267365837E-2</c:v>
                </c:pt>
                <c:pt idx="1196">
                  <c:v>1.0980154098578086E-2</c:v>
                </c:pt>
                <c:pt idx="1197">
                  <c:v>1.0979060629784104E-2</c:v>
                </c:pt>
                <c:pt idx="1198">
                  <c:v>1.0977582475753027E-2</c:v>
                </c:pt>
                <c:pt idx="1199">
                  <c:v>1.0976043960129432E-2</c:v>
                </c:pt>
                <c:pt idx="1200">
                  <c:v>1.097450149716599E-2</c:v>
                </c:pt>
                <c:pt idx="1201">
                  <c:v>1.097295508687139E-2</c:v>
                </c:pt>
                <c:pt idx="1202">
                  <c:v>1.0971349959193339E-2</c:v>
                </c:pt>
                <c:pt idx="1203">
                  <c:v>1.0969795983440016E-2</c:v>
                </c:pt>
                <c:pt idx="1204">
                  <c:v>1.0968238060496141E-2</c:v>
                </c:pt>
                <c:pt idx="1205">
                  <c:v>1.0966676190372197E-2</c:v>
                </c:pt>
                <c:pt idx="1206">
                  <c:v>1.0965217248099133E-2</c:v>
                </c:pt>
                <c:pt idx="1207">
                  <c:v>1.0963593731684271E-2</c:v>
                </c:pt>
                <c:pt idx="1208">
                  <c:v>1.0962019690337008E-2</c:v>
                </c:pt>
                <c:pt idx="1209">
                  <c:v>1.0960441701734613E-2</c:v>
                </c:pt>
                <c:pt idx="1210">
                  <c:v>1.0958859765885776E-2</c:v>
                </c:pt>
                <c:pt idx="1211">
                  <c:v>1.0957273882800923E-2</c:v>
                </c:pt>
                <c:pt idx="1212">
                  <c:v>1.0955684052488741E-2</c:v>
                </c:pt>
                <c:pt idx="1213">
                  <c:v>1.0954090274959223E-2</c:v>
                </c:pt>
                <c:pt idx="1214">
                  <c:v>1.0952492550221495E-2</c:v>
                </c:pt>
                <c:pt idx="1215">
                  <c:v>1.0950789883713966E-2</c:v>
                </c:pt>
                <c:pt idx="1216">
                  <c:v>1.0949184925840112E-2</c:v>
                </c:pt>
                <c:pt idx="1217">
                  <c:v>1.0947576021010966E-2</c:v>
                </c:pt>
                <c:pt idx="1218">
                  <c:v>1.0945963169236194E-2</c:v>
                </c:pt>
                <c:pt idx="1219">
                  <c:v>1.0944346370525897E-2</c:v>
                </c:pt>
                <c:pt idx="1220">
                  <c:v>1.0942725624888856E-2</c:v>
                </c:pt>
                <c:pt idx="1221">
                  <c:v>1.0941149459502347E-2</c:v>
                </c:pt>
                <c:pt idx="1222">
                  <c:v>1.0939472292874522E-2</c:v>
                </c:pt>
                <c:pt idx="1223">
                  <c:v>1.093783970651699E-2</c:v>
                </c:pt>
                <c:pt idx="1224">
                  <c:v>1.0936203173271807E-2</c:v>
                </c:pt>
                <c:pt idx="1225">
                  <c:v>1.0934562693148634E-2</c:v>
                </c:pt>
                <c:pt idx="1226">
                  <c:v>1.0932918266157575E-2</c:v>
                </c:pt>
                <c:pt idx="1227">
                  <c:v>1.0931269892307851E-2</c:v>
                </c:pt>
                <c:pt idx="1228">
                  <c:v>1.0929617571610442E-2</c:v>
                </c:pt>
                <c:pt idx="1229">
                  <c:v>1.0927961304074136E-2</c:v>
                </c:pt>
                <c:pt idx="1230">
                  <c:v>1.092630108970903E-2</c:v>
                </c:pt>
                <c:pt idx="1231">
                  <c:v>1.092463692852479E-2</c:v>
                </c:pt>
                <c:pt idx="1232">
                  <c:v>1.092268533700301E-2</c:v>
                </c:pt>
                <c:pt idx="1233">
                  <c:v>1.0921013050892317E-2</c:v>
                </c:pt>
                <c:pt idx="1234">
                  <c:v>1.091933681810571E-2</c:v>
                </c:pt>
                <c:pt idx="1235">
                  <c:v>1.0917656638652464E-2</c:v>
                </c:pt>
                <c:pt idx="1236">
                  <c:v>1.091597251254185E-2</c:v>
                </c:pt>
                <c:pt idx="1237">
                  <c:v>1.0914284439784913E-2</c:v>
                </c:pt>
                <c:pt idx="1238">
                  <c:v>1.0912592420390926E-2</c:v>
                </c:pt>
                <c:pt idx="1239">
                  <c:v>1.0910896454369604E-2</c:v>
                </c:pt>
                <c:pt idx="1240">
                  <c:v>1.0909196541732431E-2</c:v>
                </c:pt>
                <c:pt idx="1241">
                  <c:v>1.0907618180468795E-2</c:v>
                </c:pt>
                <c:pt idx="1242">
                  <c:v>1.090590937405851E-2</c:v>
                </c:pt>
                <c:pt idx="1243">
                  <c:v>1.0904196620730651E-2</c:v>
                </c:pt>
                <c:pt idx="1244">
                  <c:v>1.0902479920495206E-2</c:v>
                </c:pt>
                <c:pt idx="1245">
                  <c:v>1.0900718806493225E-2</c:v>
                </c:pt>
                <c:pt idx="1246">
                  <c:v>1.0898994546455742E-2</c:v>
                </c:pt>
                <c:pt idx="1247">
                  <c:v>1.0896771841364722E-2</c:v>
                </c:pt>
                <c:pt idx="1248">
                  <c:v>1.0895038560163097E-2</c:v>
                </c:pt>
                <c:pt idx="1249">
                  <c:v>1.0893130777439617E-2</c:v>
                </c:pt>
                <c:pt idx="1250">
                  <c:v>1.0891676165012337E-2</c:v>
                </c:pt>
                <c:pt idx="1251">
                  <c:v>1.0889930039871515E-2</c:v>
                </c:pt>
                <c:pt idx="1252">
                  <c:v>1.0888179967689289E-2</c:v>
                </c:pt>
                <c:pt idx="1253">
                  <c:v>1.0886312953222723E-2</c:v>
                </c:pt>
                <c:pt idx="1254">
                  <c:v>1.0884555991721846E-2</c:v>
                </c:pt>
                <c:pt idx="1255">
                  <c:v>1.0882795083541483E-2</c:v>
                </c:pt>
                <c:pt idx="1256">
                  <c:v>1.088103022869168E-2</c:v>
                </c:pt>
                <c:pt idx="1257">
                  <c:v>1.087937040154089E-2</c:v>
                </c:pt>
                <c:pt idx="1258">
                  <c:v>1.0877596647338878E-2</c:v>
                </c:pt>
                <c:pt idx="1259">
                  <c:v>1.0875818946170672E-2</c:v>
                </c:pt>
                <c:pt idx="1260">
                  <c:v>1.0874037298047446E-2</c:v>
                </c:pt>
                <c:pt idx="1261">
                  <c:v>1.0872251702979941E-2</c:v>
                </c:pt>
                <c:pt idx="1262">
                  <c:v>1.0870358220133939E-2</c:v>
                </c:pt>
                <c:pt idx="1263">
                  <c:v>1.0868668672056799E-2</c:v>
                </c:pt>
                <c:pt idx="1264">
                  <c:v>1.0866871236221789E-2</c:v>
                </c:pt>
                <c:pt idx="1265">
                  <c:v>1.0865069853486767E-2</c:v>
                </c:pt>
                <c:pt idx="1266">
                  <c:v>1.0863164615725396E-2</c:v>
                </c:pt>
                <c:pt idx="1267">
                  <c:v>1.0861323318987658E-2</c:v>
                </c:pt>
                <c:pt idx="1268">
                  <c:v>1.0859511441344573E-2</c:v>
                </c:pt>
                <c:pt idx="1269">
                  <c:v>1.0857695617280276E-2</c:v>
                </c:pt>
                <c:pt idx="1270">
                  <c:v>1.0855875846805307E-2</c:v>
                </c:pt>
                <c:pt idx="1271">
                  <c:v>1.0854083812884352E-2</c:v>
                </c:pt>
                <c:pt idx="1272">
                  <c:v>1.0852255812780279E-2</c:v>
                </c:pt>
                <c:pt idx="1273">
                  <c:v>1.0850423866190662E-2</c:v>
                </c:pt>
                <c:pt idx="1274">
                  <c:v>1.0848587973124674E-2</c:v>
                </c:pt>
                <c:pt idx="1275">
                  <c:v>1.084674813359455E-2</c:v>
                </c:pt>
                <c:pt idx="1276">
                  <c:v>1.0844874349949818E-2</c:v>
                </c:pt>
                <c:pt idx="1277">
                  <c:v>1.0843026954907161E-2</c:v>
                </c:pt>
                <c:pt idx="1278">
                  <c:v>1.0841175613542114E-2</c:v>
                </c:pt>
                <c:pt idx="1279">
                  <c:v>1.083932032586522E-2</c:v>
                </c:pt>
                <c:pt idx="1280">
                  <c:v>1.0837489739365354E-2</c:v>
                </c:pt>
                <c:pt idx="1281">
                  <c:v>1.0835626221281465E-2</c:v>
                </c:pt>
                <c:pt idx="1282">
                  <c:v>1.0833758756810316E-2</c:v>
                </c:pt>
                <c:pt idx="1283">
                  <c:v>1.0830816196499492E-2</c:v>
                </c:pt>
                <c:pt idx="1284">
                  <c:v>1.0829716511177536E-2</c:v>
                </c:pt>
                <c:pt idx="1285">
                  <c:v>1.0828105727871675E-2</c:v>
                </c:pt>
                <c:pt idx="1286">
                  <c:v>1.0826222816321042E-2</c:v>
                </c:pt>
                <c:pt idx="1287">
                  <c:v>1.082433595854816E-2</c:v>
                </c:pt>
                <c:pt idx="1288">
                  <c:v>1.0822445154563128E-2</c:v>
                </c:pt>
                <c:pt idx="1289">
                  <c:v>1.0820550404378246E-2</c:v>
                </c:pt>
                <c:pt idx="1290">
                  <c:v>1.0818651708003616E-2</c:v>
                </c:pt>
                <c:pt idx="1291">
                  <c:v>1.0816749065451096E-2</c:v>
                </c:pt>
                <c:pt idx="1292">
                  <c:v>1.0814842476732544E-2</c:v>
                </c:pt>
                <c:pt idx="1293">
                  <c:v>1.0813028740465688E-2</c:v>
                </c:pt>
                <c:pt idx="1294">
                  <c:v>1.0811112902481518E-2</c:v>
                </c:pt>
                <c:pt idx="1295">
                  <c:v>1.0809193117936419E-2</c:v>
                </c:pt>
                <c:pt idx="1296">
                  <c:v>1.0807269386841997E-2</c:v>
                </c:pt>
                <c:pt idx="1297">
                  <c:v>1.0805273230989343E-2</c:v>
                </c:pt>
                <c:pt idx="1298">
                  <c:v>1.0803342625866581E-2</c:v>
                </c:pt>
                <c:pt idx="1299">
                  <c:v>1.0801408074549627E-2</c:v>
                </c:pt>
                <c:pt idx="1300">
                  <c:v>1.0799469577051149E-2</c:v>
                </c:pt>
                <c:pt idx="1301">
                  <c:v>1.0797527133382504E-2</c:v>
                </c:pt>
                <c:pt idx="1302">
                  <c:v>1.0795644123391186E-2</c:v>
                </c:pt>
                <c:pt idx="1303">
                  <c:v>1.0793692766778976E-2</c:v>
                </c:pt>
                <c:pt idx="1304">
                  <c:v>1.0791737463711992E-2</c:v>
                </c:pt>
                <c:pt idx="1305">
                  <c:v>1.0789778214200544E-2</c:v>
                </c:pt>
                <c:pt idx="1306">
                  <c:v>1.0787755722891269E-2</c:v>
                </c:pt>
                <c:pt idx="1307">
                  <c:v>1.0785789602445363E-2</c:v>
                </c:pt>
                <c:pt idx="1308">
                  <c:v>1.0783819535910975E-2</c:v>
                </c:pt>
                <c:pt idx="1309">
                  <c:v>1.0781845523300335E-2</c:v>
                </c:pt>
                <c:pt idx="1310">
                  <c:v>1.0779922770416036E-2</c:v>
                </c:pt>
                <c:pt idx="1311">
                  <c:v>1.0777939842496538E-2</c:v>
                </c:pt>
                <c:pt idx="1312">
                  <c:v>1.0775952968218101E-2</c:v>
                </c:pt>
                <c:pt idx="1313">
                  <c:v>1.0773962147591899E-2</c:v>
                </c:pt>
                <c:pt idx="1314">
                  <c:v>1.0771967380630826E-2</c:v>
                </c:pt>
                <c:pt idx="1315">
                  <c:v>1.0769968667346485E-2</c:v>
                </c:pt>
                <c:pt idx="1316">
                  <c:v>1.0767966007751338E-2</c:v>
                </c:pt>
                <c:pt idx="1317">
                  <c:v>1.0765959401857849E-2</c:v>
                </c:pt>
                <c:pt idx="1318">
                  <c:v>1.0763948849678052E-2</c:v>
                </c:pt>
                <c:pt idx="1319">
                  <c:v>1.0761857546942435E-2</c:v>
                </c:pt>
                <c:pt idx="1320">
                  <c:v>1.0759840812221113E-2</c:v>
                </c:pt>
                <c:pt idx="1321">
                  <c:v>1.075782013177737E-2</c:v>
                </c:pt>
                <c:pt idx="1322">
                  <c:v>1.075579550562401E-2</c:v>
                </c:pt>
                <c:pt idx="1323">
                  <c:v>1.0753780990755584E-2</c:v>
                </c:pt>
                <c:pt idx="1324">
                  <c:v>1.0751748130830794E-2</c:v>
                </c:pt>
                <c:pt idx="1325">
                  <c:v>1.0749711325126038E-2</c:v>
                </c:pt>
                <c:pt idx="1326">
                  <c:v>1.0747670573654052E-2</c:v>
                </c:pt>
                <c:pt idx="1327">
                  <c:v>1.0745625876426695E-2</c:v>
                </c:pt>
                <c:pt idx="1328">
                  <c:v>1.074356488945776E-2</c:v>
                </c:pt>
                <c:pt idx="1329">
                  <c:v>1.0741512643668761E-2</c:v>
                </c:pt>
                <c:pt idx="1330">
                  <c:v>1.0739456452265539E-2</c:v>
                </c:pt>
                <c:pt idx="1331">
                  <c:v>1.0737396315261787E-2</c:v>
                </c:pt>
                <c:pt idx="1332">
                  <c:v>1.0735343204389337E-2</c:v>
                </c:pt>
                <c:pt idx="1333">
                  <c:v>1.0733274832887132E-2</c:v>
                </c:pt>
                <c:pt idx="1334">
                  <c:v>1.0731202515715641E-2</c:v>
                </c:pt>
                <c:pt idx="1335">
                  <c:v>1.0729126252887161E-2</c:v>
                </c:pt>
                <c:pt idx="1336">
                  <c:v>1.0727046044413553E-2</c:v>
                </c:pt>
                <c:pt idx="1337">
                  <c:v>1.072495263628836E-2</c:v>
                </c:pt>
                <c:pt idx="1338">
                  <c:v>1.0722864880416089E-2</c:v>
                </c:pt>
                <c:pt idx="1339">
                  <c:v>1.0720773179040447E-2</c:v>
                </c:pt>
                <c:pt idx="1340">
                  <c:v>1.0718677532173799E-2</c:v>
                </c:pt>
                <c:pt idx="1341">
                  <c:v>1.0716577939828954E-2</c:v>
                </c:pt>
                <c:pt idx="1342">
                  <c:v>1.0714474402017391E-2</c:v>
                </c:pt>
                <c:pt idx="1343">
                  <c:v>1.0712366918752806E-2</c:v>
                </c:pt>
                <c:pt idx="1344">
                  <c:v>1.0710255490046675E-2</c:v>
                </c:pt>
                <c:pt idx="1345">
                  <c:v>1.0708172289811796E-2</c:v>
                </c:pt>
                <c:pt idx="1346">
                  <c:v>1.0706051246665946E-2</c:v>
                </c:pt>
                <c:pt idx="1347">
                  <c:v>1.0703926257597796E-2</c:v>
                </c:pt>
                <c:pt idx="1348">
                  <c:v>1.0701797322621101E-2</c:v>
                </c:pt>
                <c:pt idx="1349">
                  <c:v>1.069964937434951E-2</c:v>
                </c:pt>
                <c:pt idx="1350">
                  <c:v>1.0697513583043512E-2</c:v>
                </c:pt>
                <c:pt idx="1351">
                  <c:v>1.0695373846177568E-2</c:v>
                </c:pt>
                <c:pt idx="1352">
                  <c:v>1.0693230163764786E-2</c:v>
                </c:pt>
                <c:pt idx="1353">
                  <c:v>1.0691082535817393E-2</c:v>
                </c:pt>
                <c:pt idx="1354">
                  <c:v>1.0688940849399595E-2</c:v>
                </c:pt>
                <c:pt idx="1355">
                  <c:v>1.0686784293423648E-2</c:v>
                </c:pt>
                <c:pt idx="1356">
                  <c:v>1.0684623791643586E-2</c:v>
                </c:pt>
                <c:pt idx="1357">
                  <c:v>1.0682459344071447E-2</c:v>
                </c:pt>
                <c:pt idx="1358">
                  <c:v>1.068028521351732E-2</c:v>
                </c:pt>
                <c:pt idx="1359">
                  <c:v>1.0678113912635713E-2</c:v>
                </c:pt>
                <c:pt idx="1360">
                  <c:v>1.0675938666309479E-2</c:v>
                </c:pt>
                <c:pt idx="1361">
                  <c:v>1.0673759474553034E-2</c:v>
                </c:pt>
                <c:pt idx="1362">
                  <c:v>1.0671576337378608E-2</c:v>
                </c:pt>
                <c:pt idx="1363">
                  <c:v>1.0669389797758725E-2</c:v>
                </c:pt>
                <c:pt idx="1364">
                  <c:v>1.0667197730016349E-2</c:v>
                </c:pt>
                <c:pt idx="1365">
                  <c:v>1.0665001716588473E-2</c:v>
                </c:pt>
                <c:pt idx="1366">
                  <c:v>1.066280175748842E-2</c:v>
                </c:pt>
                <c:pt idx="1367">
                  <c:v>1.0660597852729945E-2</c:v>
                </c:pt>
                <c:pt idx="1368">
                  <c:v>1.0658390002325937E-2</c:v>
                </c:pt>
                <c:pt idx="1369">
                  <c:v>1.0656178206290152E-2</c:v>
                </c:pt>
                <c:pt idx="1370">
                  <c:v>1.0653962464635913E-2</c:v>
                </c:pt>
                <c:pt idx="1371">
                  <c:v>1.0651755584469283E-2</c:v>
                </c:pt>
                <c:pt idx="1372">
                  <c:v>1.0649533688571957E-2</c:v>
                </c:pt>
                <c:pt idx="1373">
                  <c:v>1.0647307847606714E-2</c:v>
                </c:pt>
                <c:pt idx="1374">
                  <c:v>1.0645078061584592E-2</c:v>
                </c:pt>
                <c:pt idx="1375">
                  <c:v>1.0642844330519284E-2</c:v>
                </c:pt>
                <c:pt idx="1376">
                  <c:v>1.0640602421562088E-2</c:v>
                </c:pt>
                <c:pt idx="1377">
                  <c:v>1.0638360452585906E-2</c:v>
                </c:pt>
                <c:pt idx="1378">
                  <c:v>1.0636114538504819E-2</c:v>
                </c:pt>
                <c:pt idx="1379">
                  <c:v>1.0633864679333766E-2</c:v>
                </c:pt>
                <c:pt idx="1380">
                  <c:v>1.063161650001925E-2</c:v>
                </c:pt>
                <c:pt idx="1381">
                  <c:v>1.0629359098977465E-2</c:v>
                </c:pt>
                <c:pt idx="1382">
                  <c:v>1.0627097752985237E-2</c:v>
                </c:pt>
                <c:pt idx="1383">
                  <c:v>1.0624832462057138E-2</c:v>
                </c:pt>
                <c:pt idx="1384">
                  <c:v>1.0622556207580028E-2</c:v>
                </c:pt>
                <c:pt idx="1385">
                  <c:v>1.0620282678144983E-2</c:v>
                </c:pt>
                <c:pt idx="1386">
                  <c:v>1.0618005203712642E-2</c:v>
                </c:pt>
                <c:pt idx="1387">
                  <c:v>1.0615723784297499E-2</c:v>
                </c:pt>
                <c:pt idx="1388">
                  <c:v>1.0613438419912731E-2</c:v>
                </c:pt>
                <c:pt idx="1389">
                  <c:v>1.0611157873579E-2</c:v>
                </c:pt>
                <c:pt idx="1390">
                  <c:v>1.060886496847388E-2</c:v>
                </c:pt>
                <c:pt idx="1391">
                  <c:v>1.0606568118540648E-2</c:v>
                </c:pt>
                <c:pt idx="1392">
                  <c:v>1.0604267323792556E-2</c:v>
                </c:pt>
                <c:pt idx="1393">
                  <c:v>1.0601962584243292E-2</c:v>
                </c:pt>
                <c:pt idx="1394">
                  <c:v>1.0599653899906549E-2</c:v>
                </c:pt>
                <c:pt idx="1395">
                  <c:v>1.0597341270796458E-2</c:v>
                </c:pt>
                <c:pt idx="1396">
                  <c:v>1.0595024696926268E-2</c:v>
                </c:pt>
                <c:pt idx="1397">
                  <c:v>1.0592646046033606E-2</c:v>
                </c:pt>
                <c:pt idx="1398">
                  <c:v>1.0590319832624182E-2</c:v>
                </c:pt>
                <c:pt idx="1399">
                  <c:v>1.05879896739977E-2</c:v>
                </c:pt>
                <c:pt idx="1400">
                  <c:v>1.0585655570167055E-2</c:v>
                </c:pt>
                <c:pt idx="1401">
                  <c:v>1.0583356703471936E-2</c:v>
                </c:pt>
                <c:pt idx="1402">
                  <c:v>1.058101576055745E-2</c:v>
                </c:pt>
                <c:pt idx="1403">
                  <c:v>1.0578670872780601E-2</c:v>
                </c:pt>
                <c:pt idx="1404">
                  <c:v>1.057632204015581E-2</c:v>
                </c:pt>
                <c:pt idx="1405">
                  <c:v>1.0573969262696176E-2</c:v>
                </c:pt>
                <c:pt idx="1406">
                  <c:v>1.057156809870801E-2</c:v>
                </c:pt>
                <c:pt idx="1407">
                  <c:v>1.0569206378851771E-2</c:v>
                </c:pt>
                <c:pt idx="1408">
                  <c:v>1.0566840713906544E-2</c:v>
                </c:pt>
                <c:pt idx="1409">
                  <c:v>1.0564471103886513E-2</c:v>
                </c:pt>
                <c:pt idx="1410">
                  <c:v>1.0562146203375972E-2</c:v>
                </c:pt>
                <c:pt idx="1411">
                  <c:v>1.0559769757206941E-2</c:v>
                </c:pt>
                <c:pt idx="1412">
                  <c:v>1.0557389366302225E-2</c:v>
                </c:pt>
                <c:pt idx="1413">
                  <c:v>1.0555005030676239E-2</c:v>
                </c:pt>
                <c:pt idx="1414">
                  <c:v>1.0552616750343831E-2</c:v>
                </c:pt>
                <c:pt idx="1415">
                  <c:v>1.0550170598002959E-2</c:v>
                </c:pt>
                <c:pt idx="1416">
                  <c:v>1.0547773372864134E-2</c:v>
                </c:pt>
                <c:pt idx="1417">
                  <c:v>1.054537220276611E-2</c:v>
                </c:pt>
                <c:pt idx="1418">
                  <c:v>1.0542967087723931E-2</c:v>
                </c:pt>
                <c:pt idx="1419">
                  <c:v>1.0540558027752637E-2</c:v>
                </c:pt>
                <c:pt idx="1420">
                  <c:v>1.053814502286598E-2</c:v>
                </c:pt>
                <c:pt idx="1421">
                  <c:v>1.0535728073079004E-2</c:v>
                </c:pt>
                <c:pt idx="1422">
                  <c:v>1.053330717840675E-2</c:v>
                </c:pt>
                <c:pt idx="1423">
                  <c:v>1.0530986133799923E-2</c:v>
                </c:pt>
                <c:pt idx="1424">
                  <c:v>1.0528559112302556E-2</c:v>
                </c:pt>
                <c:pt idx="1425">
                  <c:v>1.052612814645228E-2</c:v>
                </c:pt>
                <c:pt idx="1426">
                  <c:v>1.0523693236263666E-2</c:v>
                </c:pt>
                <c:pt idx="1427">
                  <c:v>1.0521254382099297E-2</c:v>
                </c:pt>
                <c:pt idx="1428">
                  <c:v>1.0518789380906815E-2</c:v>
                </c:pt>
                <c:pt idx="1429">
                  <c:v>1.0516343451544031E-2</c:v>
                </c:pt>
                <c:pt idx="1430">
                  <c:v>1.0513895207909393E-2</c:v>
                </c:pt>
                <c:pt idx="1431">
                  <c:v>1.051144536318363E-2</c:v>
                </c:pt>
                <c:pt idx="1432">
                  <c:v>1.0509017201667893E-2</c:v>
                </c:pt>
                <c:pt idx="1433">
                  <c:v>1.0506566128096162E-2</c:v>
                </c:pt>
                <c:pt idx="1434">
                  <c:v>1.0504115515246278E-2</c:v>
                </c:pt>
                <c:pt idx="1435">
                  <c:v>1.050166608020474E-2</c:v>
                </c:pt>
                <c:pt idx="1436">
                  <c:v>1.0499197084252756E-2</c:v>
                </c:pt>
                <c:pt idx="1437">
                  <c:v>1.0496752609569865E-2</c:v>
                </c:pt>
                <c:pt idx="1438">
                  <c:v>1.0494311525961208E-2</c:v>
                </c:pt>
                <c:pt idx="1439">
                  <c:v>1.0491874546577202E-2</c:v>
                </c:pt>
                <c:pt idx="1440">
                  <c:v>1.0489095367690177E-2</c:v>
                </c:pt>
                <c:pt idx="1441">
                  <c:v>1.0486688090960723E-2</c:v>
                </c:pt>
                <c:pt idx="1442">
                  <c:v>1.0484267922553827E-2</c:v>
                </c:pt>
                <c:pt idx="1443">
                  <c:v>1.0481854770953956E-2</c:v>
                </c:pt>
                <c:pt idx="1444">
                  <c:v>1.047944935321493E-2</c:v>
                </c:pt>
                <c:pt idx="1445">
                  <c:v>1.0477052386387917E-2</c:v>
                </c:pt>
                <c:pt idx="1446">
                  <c:v>1.0474664587520556E-2</c:v>
                </c:pt>
                <c:pt idx="1447">
                  <c:v>1.0472286673657393E-2</c:v>
                </c:pt>
                <c:pt idx="1448">
                  <c:v>1.0469919361838996E-2</c:v>
                </c:pt>
                <c:pt idx="1449">
                  <c:v>1.046751709312487E-2</c:v>
                </c:pt>
                <c:pt idx="1450">
                  <c:v>1.0465176961905256E-2</c:v>
                </c:pt>
                <c:pt idx="1451">
                  <c:v>1.0462849625233335E-2</c:v>
                </c:pt>
                <c:pt idx="1452">
                  <c:v>1.045922789537982E-2</c:v>
                </c:pt>
                <c:pt idx="1453">
                  <c:v>1.0458259083863572E-2</c:v>
                </c:pt>
                <c:pt idx="1454">
                  <c:v>1.0455951057587988E-2</c:v>
                </c:pt>
                <c:pt idx="1455">
                  <c:v>1.0453680581030954E-2</c:v>
                </c:pt>
                <c:pt idx="1456">
                  <c:v>1.0451424703015969E-2</c:v>
                </c:pt>
                <c:pt idx="1457">
                  <c:v>1.0449183423492915E-2</c:v>
                </c:pt>
                <c:pt idx="1458">
                  <c:v>1.0446956742411233E-2</c:v>
                </c:pt>
                <c:pt idx="1459">
                  <c:v>1.0444744659720806E-2</c:v>
                </c:pt>
                <c:pt idx="1460">
                  <c:v>1.0442547175373237E-2</c:v>
                </c:pt>
                <c:pt idx="1461">
                  <c:v>1.0440364289317973E-2</c:v>
                </c:pt>
                <c:pt idx="1462">
                  <c:v>1.0438196001507052E-2</c:v>
                </c:pt>
                <c:pt idx="1463">
                  <c:v>1.0436042311891216E-2</c:v>
                </c:pt>
                <c:pt idx="1464">
                  <c:v>1.0433903220423367E-2</c:v>
                </c:pt>
                <c:pt idx="1465">
                  <c:v>1.0431778727054248E-2</c:v>
                </c:pt>
                <c:pt idx="1466">
                  <c:v>1.0429668831737626E-2</c:v>
                </c:pt>
                <c:pt idx="1467">
                  <c:v>1.0427573534425539E-2</c:v>
                </c:pt>
                <c:pt idx="1468">
                  <c:v>1.0425492835071321E-2</c:v>
                </c:pt>
                <c:pt idx="1469">
                  <c:v>1.0423426733627875E-2</c:v>
                </c:pt>
                <c:pt idx="1470">
                  <c:v>1.0421375230049833E-2</c:v>
                </c:pt>
                <c:pt idx="1471">
                  <c:v>1.0419338324290961E-2</c:v>
                </c:pt>
                <c:pt idx="1472">
                  <c:v>1.0417316016305456E-2</c:v>
                </c:pt>
                <c:pt idx="1473">
                  <c:v>1.0415308306047519E-2</c:v>
                </c:pt>
                <c:pt idx="1474">
                  <c:v>1.0413315193473075E-2</c:v>
                </c:pt>
                <c:pt idx="1475">
                  <c:v>1.041129488360824E-2</c:v>
                </c:pt>
                <c:pt idx="1476">
                  <c:v>1.0409328008419805E-2</c:v>
                </c:pt>
                <c:pt idx="1477">
                  <c:v>1.0407375729496229E-2</c:v>
                </c:pt>
                <c:pt idx="1478">
                  <c:v>1.0405438046794904E-2</c:v>
                </c:pt>
                <c:pt idx="1479">
                  <c:v>1.0403568594299927E-2</c:v>
                </c:pt>
                <c:pt idx="1480">
                  <c:v>1.0401663066900057E-2</c:v>
                </c:pt>
                <c:pt idx="1481">
                  <c:v>1.0399792180008475E-2</c:v>
                </c:pt>
                <c:pt idx="1482">
                  <c:v>1.0397895804190703E-2</c:v>
                </c:pt>
                <c:pt idx="1483">
                  <c:v>1.0396034068796961E-2</c:v>
                </c:pt>
                <c:pt idx="1484">
                  <c:v>1.0394118468880779E-2</c:v>
                </c:pt>
                <c:pt idx="1485">
                  <c:v>1.0392282958556825E-2</c:v>
                </c:pt>
                <c:pt idx="1486">
                  <c:v>1.0390462044121767E-2</c:v>
                </c:pt>
                <c:pt idx="1487">
                  <c:v>1.0388655725536509E-2</c:v>
                </c:pt>
                <c:pt idx="1488">
                  <c:v>1.038686400276065E-2</c:v>
                </c:pt>
                <c:pt idx="1489">
                  <c:v>1.0385170197289054E-2</c:v>
                </c:pt>
                <c:pt idx="1490">
                  <c:v>1.0383410641801795E-2</c:v>
                </c:pt>
                <c:pt idx="1491">
                  <c:v>1.0381665683283792E-2</c:v>
                </c:pt>
                <c:pt idx="1492">
                  <c:v>1.0379104677051661E-2</c:v>
                </c:pt>
                <c:pt idx="1493">
                  <c:v>1.0377392187992532E-2</c:v>
                </c:pt>
                <c:pt idx="1494">
                  <c:v>1.0375694294494206E-2</c:v>
                </c:pt>
                <c:pt idx="1495">
                  <c:v>1.0374010996521108E-2</c:v>
                </c:pt>
                <c:pt idx="1496">
                  <c:v>1.0372342294034588E-2</c:v>
                </c:pt>
                <c:pt idx="1497">
                  <c:v>1.037068818699907E-2</c:v>
                </c:pt>
                <c:pt idx="1498">
                  <c:v>1.036904867537722E-2</c:v>
                </c:pt>
                <c:pt idx="1499">
                  <c:v>1.0367423759133904E-2</c:v>
                </c:pt>
                <c:pt idx="1500">
                  <c:v>1.0365813438232225E-2</c:v>
                </c:pt>
                <c:pt idx="1501">
                  <c:v>1.0364297881315028E-2</c:v>
                </c:pt>
                <c:pt idx="1502">
                  <c:v>1.0362718745344779E-2</c:v>
                </c:pt>
                <c:pt idx="1503">
                  <c:v>1.036115420545757E-2</c:v>
                </c:pt>
                <c:pt idx="1504">
                  <c:v>1.0359604261619948E-2</c:v>
                </c:pt>
                <c:pt idx="1505">
                  <c:v>1.0358024790149972E-2</c:v>
                </c:pt>
                <c:pt idx="1506">
                  <c:v>1.0356503039408379E-2</c:v>
                </c:pt>
                <c:pt idx="1507">
                  <c:v>1.0354567949218872E-2</c:v>
                </c:pt>
                <c:pt idx="1508">
                  <c:v>1.0353503324461558E-2</c:v>
                </c:pt>
                <c:pt idx="1509">
                  <c:v>1.0352025360190371E-2</c:v>
                </c:pt>
                <c:pt idx="1510">
                  <c:v>1.0350403395453596E-2</c:v>
                </c:pt>
                <c:pt idx="1511">
                  <c:v>1.0348957708122879E-2</c:v>
                </c:pt>
                <c:pt idx="1512">
                  <c:v>1.0347526616570226E-2</c:v>
                </c:pt>
                <c:pt idx="1513">
                  <c:v>1.0346110120762621E-2</c:v>
                </c:pt>
                <c:pt idx="1514">
                  <c:v>1.034465494851311E-2</c:v>
                </c:pt>
                <c:pt idx="1515">
                  <c:v>1.0343266641344212E-2</c:v>
                </c:pt>
                <c:pt idx="1516">
                  <c:v>1.034189292940613E-2</c:v>
                </c:pt>
                <c:pt idx="1517">
                  <c:v>1.0340533812668289E-2</c:v>
                </c:pt>
                <c:pt idx="1518">
                  <c:v>1.0339303959443468E-2</c:v>
                </c:pt>
                <c:pt idx="1519">
                  <c:v>1.033791765483002E-2</c:v>
                </c:pt>
                <c:pt idx="1520">
                  <c:v>1.0336603328375826E-2</c:v>
                </c:pt>
                <c:pt idx="1521">
                  <c:v>1.0335303597424267E-2</c:v>
                </c:pt>
                <c:pt idx="1522">
                  <c:v>1.0334018461945796E-2</c:v>
                </c:pt>
                <c:pt idx="1523">
                  <c:v>1.0332747921912614E-2</c:v>
                </c:pt>
                <c:pt idx="1524">
                  <c:v>1.0331491977295612E-2</c:v>
                </c:pt>
                <c:pt idx="1525">
                  <c:v>1.033025062806742E-2</c:v>
                </c:pt>
                <c:pt idx="1526">
                  <c:v>1.0329023874199801E-2</c:v>
                </c:pt>
                <c:pt idx="1527">
                  <c:v>1.032761298546161E-2</c:v>
                </c:pt>
                <c:pt idx="1528">
                  <c:v>1.0326412397736904E-2</c:v>
                </c:pt>
                <c:pt idx="1529">
                  <c:v>1.0325226404033216E-2</c:v>
                </c:pt>
                <c:pt idx="1530">
                  <c:v>1.0324055004324493E-2</c:v>
                </c:pt>
                <c:pt idx="1531">
                  <c:v>1.0322968379500589E-2</c:v>
                </c:pt>
                <c:pt idx="1532">
                  <c:v>1.0321827177489458E-2</c:v>
                </c:pt>
                <c:pt idx="1533">
                  <c:v>1.0320700569817249E-2</c:v>
                </c:pt>
                <c:pt idx="1534">
                  <c:v>1.0319588556458053E-2</c:v>
                </c:pt>
                <c:pt idx="1535">
                  <c:v>1.0318491137388589E-2</c:v>
                </c:pt>
                <c:pt idx="1536">
                  <c:v>1.0317333078555781E-2</c:v>
                </c:pt>
                <c:pt idx="1537">
                  <c:v>1.0316263836111804E-2</c:v>
                </c:pt>
                <c:pt idx="1538">
                  <c:v>1.0315209187467145E-2</c:v>
                </c:pt>
                <c:pt idx="1539">
                  <c:v>1.0314169132597955E-2</c:v>
                </c:pt>
                <c:pt idx="1540">
                  <c:v>1.0313222955538269E-2</c:v>
                </c:pt>
                <c:pt idx="1541">
                  <c:v>1.0312213101706063E-2</c:v>
                </c:pt>
                <c:pt idx="1542">
                  <c:v>1.0311217841999766E-2</c:v>
                </c:pt>
                <c:pt idx="1543">
                  <c:v>1.0310237176398734E-2</c:v>
                </c:pt>
                <c:pt idx="1544">
                  <c:v>1.0309050800232282E-2</c:v>
                </c:pt>
                <c:pt idx="1545">
                  <c:v>1.03081003923548E-2</c:v>
                </c:pt>
                <c:pt idx="1546">
                  <c:v>1.0307164578097775E-2</c:v>
                </c:pt>
                <c:pt idx="1547">
                  <c:v>1.0306243357440448E-2</c:v>
                </c:pt>
                <c:pt idx="1548">
                  <c:v>1.0305336730361622E-2</c:v>
                </c:pt>
                <c:pt idx="1549">
                  <c:v>1.030444469684319E-2</c:v>
                </c:pt>
                <c:pt idx="1550">
                  <c:v>1.0303567256863952E-2</c:v>
                </c:pt>
                <c:pt idx="1551">
                  <c:v>1.0302704410406685E-2</c:v>
                </c:pt>
                <c:pt idx="1552">
                  <c:v>1.030185615745019E-2</c:v>
                </c:pt>
                <c:pt idx="1553">
                  <c:v>1.0301300710042857E-2</c:v>
                </c:pt>
                <c:pt idx="1554">
                  <c:v>1.0300484701338337E-2</c:v>
                </c:pt>
                <c:pt idx="1555">
                  <c:v>1.0299683287331876E-2</c:v>
                </c:pt>
                <c:pt idx="1556">
                  <c:v>1.0298896468006096E-2</c:v>
                </c:pt>
                <c:pt idx="1557">
                  <c:v>1.0298027327869864E-2</c:v>
                </c:pt>
                <c:pt idx="1558">
                  <c:v>1.0297161489697121E-2</c:v>
                </c:pt>
                <c:pt idx="1559">
                  <c:v>1.0296419517950127E-2</c:v>
                </c:pt>
                <c:pt idx="1560">
                  <c:v>1.0295692140396965E-2</c:v>
                </c:pt>
                <c:pt idx="1561">
                  <c:v>1.02949793570206E-2</c:v>
                </c:pt>
                <c:pt idx="1562">
                  <c:v>1.0294587976045424E-2</c:v>
                </c:pt>
                <c:pt idx="1563">
                  <c:v>1.0293907450064482E-2</c:v>
                </c:pt>
                <c:pt idx="1564">
                  <c:v>1.0293241519464355E-2</c:v>
                </c:pt>
                <c:pt idx="1565">
                  <c:v>1.0292590184228716E-2</c:v>
                </c:pt>
                <c:pt idx="1566">
                  <c:v>1.0291634352254747E-2</c:v>
                </c:pt>
                <c:pt idx="1567">
                  <c:v>1.029100913362116E-2</c:v>
                </c:pt>
                <c:pt idx="1568">
                  <c:v>1.0290398509061282E-2</c:v>
                </c:pt>
                <c:pt idx="1569">
                  <c:v>1.0290130796649534E-2</c:v>
                </c:pt>
                <c:pt idx="1570">
                  <c:v>1.0289552438026177E-2</c:v>
                </c:pt>
                <c:pt idx="1571">
                  <c:v>1.028898867468522E-2</c:v>
                </c:pt>
                <c:pt idx="1572">
                  <c:v>1.0288439506613772E-2</c:v>
                </c:pt>
                <c:pt idx="1573">
                  <c:v>1.028790493379894E-2</c:v>
                </c:pt>
                <c:pt idx="1574">
                  <c:v>1.0287041236510827E-2</c:v>
                </c:pt>
                <c:pt idx="1575">
                  <c:v>1.028687957389357E-2</c:v>
                </c:pt>
                <c:pt idx="1576">
                  <c:v>1.0286388786779826E-2</c:v>
                </c:pt>
                <c:pt idx="1577">
                  <c:v>1.0285912594876712E-2</c:v>
                </c:pt>
                <c:pt idx="1578">
                  <c:v>1.0285094934690788E-2</c:v>
                </c:pt>
                <c:pt idx="1579">
                  <c:v>1.0284405911711621E-2</c:v>
                </c:pt>
                <c:pt idx="1580">
                  <c:v>1.0283968355162838E-2</c:v>
                </c:pt>
                <c:pt idx="1581">
                  <c:v>1.028354539170543E-2</c:v>
                </c:pt>
                <c:pt idx="1582">
                  <c:v>1.0283137021330125E-2</c:v>
                </c:pt>
                <c:pt idx="1583">
                  <c:v>1.0282866782168987E-2</c:v>
                </c:pt>
                <c:pt idx="1584">
                  <c:v>1.0282488629519575E-2</c:v>
                </c:pt>
                <c:pt idx="1585">
                  <c:v>1.0282125070342086E-2</c:v>
                </c:pt>
                <c:pt idx="1586">
                  <c:v>1.0281776104628618E-2</c:v>
                </c:pt>
                <c:pt idx="1587">
                  <c:v>1.0281441732371702E-2</c:v>
                </c:pt>
                <c:pt idx="1588">
                  <c:v>1.028099325332988E-2</c:v>
                </c:pt>
                <c:pt idx="1589">
                  <c:v>1.0280687034298311E-2</c:v>
                </c:pt>
                <c:pt idx="1590">
                  <c:v>1.0280395408287017E-2</c:v>
                </c:pt>
                <c:pt idx="1591">
                  <c:v>1.0280118375288486E-2</c:v>
                </c:pt>
                <c:pt idx="1592">
                  <c:v>1.0279988772685071E-2</c:v>
                </c:pt>
                <c:pt idx="1593">
                  <c:v>1.0279741961022973E-2</c:v>
                </c:pt>
                <c:pt idx="1594">
                  <c:v>1.0279509742772631E-2</c:v>
                </c:pt>
                <c:pt idx="1595">
                  <c:v>1.0279292117928331E-2</c:v>
                </c:pt>
                <c:pt idx="1596">
                  <c:v>1.0278952105296965E-2</c:v>
                </c:pt>
                <c:pt idx="1597">
                  <c:v>1.0278762630262849E-2</c:v>
                </c:pt>
                <c:pt idx="1598">
                  <c:v>1.0278587748206168E-2</c:v>
                </c:pt>
                <c:pt idx="1599">
                  <c:v>1.0278427459123388E-2</c:v>
                </c:pt>
                <c:pt idx="1600">
                  <c:v>1.0278281763010533E-2</c:v>
                </c:pt>
                <c:pt idx="1601">
                  <c:v>1.0278150659864956E-2</c:v>
                </c:pt>
                <c:pt idx="1602">
                  <c:v>1.0278034149683564E-2</c:v>
                </c:pt>
                <c:pt idx="1603">
                  <c:v>1.0277932232463708E-2</c:v>
                </c:pt>
                <c:pt idx="1604">
                  <c:v>1.0277844908203619E-2</c:v>
                </c:pt>
                <c:pt idx="1605">
                  <c:v>1.027850484272223E-2</c:v>
                </c:pt>
                <c:pt idx="1606">
                  <c:v>1.0278451908608363E-2</c:v>
                </c:pt>
                <c:pt idx="1607">
                  <c:v>1.0278413569526777E-2</c:v>
                </c:pt>
                <c:pt idx="1608">
                  <c:v>1.027838982547661E-2</c:v>
                </c:pt>
                <c:pt idx="1609">
                  <c:v>1.027792827242475E-2</c:v>
                </c:pt>
                <c:pt idx="1610">
                  <c:v>1.0277930590731607E-2</c:v>
                </c:pt>
                <c:pt idx="1611">
                  <c:v>1.0277947502822571E-2</c:v>
                </c:pt>
                <c:pt idx="1612">
                  <c:v>1.0277979008697638E-2</c:v>
                </c:pt>
                <c:pt idx="1613">
                  <c:v>1.0278025108357684E-2</c:v>
                </c:pt>
                <c:pt idx="1614">
                  <c:v>1.0278553856829411E-2</c:v>
                </c:pt>
                <c:pt idx="1615">
                  <c:v>1.0278632278003052E-2</c:v>
                </c:pt>
                <c:pt idx="1616">
                  <c:v>1.0278725294212841E-2</c:v>
                </c:pt>
                <c:pt idx="1617">
                  <c:v>1.0278832905461355E-2</c:v>
                </c:pt>
                <c:pt idx="1618">
                  <c:v>1.0278474513480634E-2</c:v>
                </c:pt>
                <c:pt idx="1619">
                  <c:v>1.0278608175883311E-2</c:v>
                </c:pt>
                <c:pt idx="1620">
                  <c:v>1.0278756432085817E-2</c:v>
                </c:pt>
                <c:pt idx="1621">
                  <c:v>1.0278919282089462E-2</c:v>
                </c:pt>
                <c:pt idx="1622">
                  <c:v>1.0279589887376785E-2</c:v>
                </c:pt>
                <c:pt idx="1623">
                  <c:v>1.0279785068918681E-2</c:v>
                </c:pt>
                <c:pt idx="1624">
                  <c:v>1.0279994845522512E-2</c:v>
                </c:pt>
                <c:pt idx="1625">
                  <c:v>1.0280219217193862E-2</c:v>
                </c:pt>
                <c:pt idx="1626">
                  <c:v>1.02804581839366E-2</c:v>
                </c:pt>
                <c:pt idx="1627">
                  <c:v>1.0280711745757601E-2</c:v>
                </c:pt>
                <c:pt idx="1628">
                  <c:v>1.0280979902661165E-2</c:v>
                </c:pt>
                <c:pt idx="1629">
                  <c:v>1.0281262654654167E-2</c:v>
                </c:pt>
                <c:pt idx="1630">
                  <c:v>1.0281560001742624E-2</c:v>
                </c:pt>
                <c:pt idx="1631">
                  <c:v>1.0281003292440196E-2</c:v>
                </c:pt>
                <c:pt idx="1632">
                  <c:v>1.0281324571434764E-2</c:v>
                </c:pt>
                <c:pt idx="1633">
                  <c:v>1.0281660443463297E-2</c:v>
                </c:pt>
                <c:pt idx="1634">
                  <c:v>1.0282010908532417E-2</c:v>
                </c:pt>
                <c:pt idx="1635">
                  <c:v>1.0282553698401286E-2</c:v>
                </c:pt>
                <c:pt idx="1636">
                  <c:v>1.0282934402784468E-2</c:v>
                </c:pt>
                <c:pt idx="1637">
                  <c:v>1.0283329700649239E-2</c:v>
                </c:pt>
                <c:pt idx="1638">
                  <c:v>1.0283739592004822E-2</c:v>
                </c:pt>
                <c:pt idx="1639">
                  <c:v>1.0284164076859999E-2</c:v>
                </c:pt>
                <c:pt idx="1640">
                  <c:v>1.028442015326453E-2</c:v>
                </c:pt>
                <c:pt idx="1641">
                  <c:v>1.0284872769854042E-2</c:v>
                </c:pt>
                <c:pt idx="1642">
                  <c:v>1.0285339979555688E-2</c:v>
                </c:pt>
                <c:pt idx="1643">
                  <c:v>1.0285821782377856E-2</c:v>
                </c:pt>
                <c:pt idx="1644">
                  <c:v>1.0286505403968015E-2</c:v>
                </c:pt>
                <c:pt idx="1645">
                  <c:v>1.0287017450028513E-2</c:v>
                </c:pt>
                <c:pt idx="1646">
                  <c:v>1.0287544089660197E-2</c:v>
                </c:pt>
                <c:pt idx="1647">
                  <c:v>1.0288085322875366E-2</c:v>
                </c:pt>
                <c:pt idx="1648">
                  <c:v>1.0288641149686317E-2</c:v>
                </c:pt>
                <c:pt idx="1649">
                  <c:v>1.0289019055482249E-2</c:v>
                </c:pt>
                <c:pt idx="1650">
                  <c:v>1.0289603010469599E-2</c:v>
                </c:pt>
                <c:pt idx="1651">
                  <c:v>1.0290201558672423E-2</c:v>
                </c:pt>
                <c:pt idx="1652">
                  <c:v>1.0290814700103089E-2</c:v>
                </c:pt>
                <c:pt idx="1653">
                  <c:v>1.0291442434774846E-2</c:v>
                </c:pt>
                <c:pt idx="1654">
                  <c:v>1.0292084762702268E-2</c:v>
                </c:pt>
                <c:pt idx="1655">
                  <c:v>1.0292741683899044E-2</c:v>
                </c:pt>
                <c:pt idx="1656">
                  <c:v>1.0293413198379309E-2</c:v>
                </c:pt>
                <c:pt idx="1657">
                  <c:v>1.0295105351516062E-2</c:v>
                </c:pt>
                <c:pt idx="1658">
                  <c:v>1.0295811365197558E-2</c:v>
                </c:pt>
                <c:pt idx="1659">
                  <c:v>1.0296531974301989E-2</c:v>
                </c:pt>
                <c:pt idx="1660">
                  <c:v>1.0297267178846116E-2</c:v>
                </c:pt>
                <c:pt idx="1661">
                  <c:v>1.0297400277639108E-2</c:v>
                </c:pt>
                <c:pt idx="1662">
                  <c:v>1.029816148034828E-2</c:v>
                </c:pt>
                <c:pt idx="1663">
                  <c:v>1.0298937277289285E-2</c:v>
                </c:pt>
                <c:pt idx="1664">
                  <c:v>1.0299727668479596E-2</c:v>
                </c:pt>
                <c:pt idx="1665">
                  <c:v>1.030053265393625E-2</c:v>
                </c:pt>
                <c:pt idx="1666">
                  <c:v>1.0301984911280504E-2</c:v>
                </c:pt>
                <c:pt idx="1667">
                  <c:v>1.0302822284380396E-2</c:v>
                </c:pt>
                <c:pt idx="1668">
                  <c:v>1.0303674253060517E-2</c:v>
                </c:pt>
                <c:pt idx="1669">
                  <c:v>1.0304540817341066E-2</c:v>
                </c:pt>
                <c:pt idx="1670">
                  <c:v>1.0304776495851512E-2</c:v>
                </c:pt>
                <c:pt idx="1671">
                  <c:v>1.0305669047292793E-2</c:v>
                </c:pt>
                <c:pt idx="1672">
                  <c:v>1.0306576193132333E-2</c:v>
                </c:pt>
                <c:pt idx="1673">
                  <c:v>1.0307497933389786E-2</c:v>
                </c:pt>
                <c:pt idx="1674">
                  <c:v>1.0308434268085684E-2</c:v>
                </c:pt>
                <c:pt idx="1675">
                  <c:v>1.0310046711736097E-2</c:v>
                </c:pt>
                <c:pt idx="1676">
                  <c:v>1.0311015445780046E-2</c:v>
                </c:pt>
                <c:pt idx="1677">
                  <c:v>1.0311998775589453E-2</c:v>
                </c:pt>
                <c:pt idx="1678">
                  <c:v>1.0312996701186234E-2</c:v>
                </c:pt>
                <c:pt idx="1679">
                  <c:v>1.0314009222591878E-2</c:v>
                </c:pt>
                <c:pt idx="1680">
                  <c:v>1.0315036339830452E-2</c:v>
                </c:pt>
                <c:pt idx="1681">
                  <c:v>1.0316078052924301E-2</c:v>
                </c:pt>
                <c:pt idx="1682">
                  <c:v>1.0317134361898355E-2</c:v>
                </c:pt>
                <c:pt idx="1683">
                  <c:v>1.0317289169396638E-2</c:v>
                </c:pt>
                <c:pt idx="1684">
                  <c:v>1.0318370376285054E-2</c:v>
                </c:pt>
                <c:pt idx="1685">
                  <c:v>1.0319466177435533E-2</c:v>
                </c:pt>
                <c:pt idx="1686">
                  <c:v>1.0320576572871791E-2</c:v>
                </c:pt>
                <c:pt idx="1687">
                  <c:v>1.0321701549088149E-2</c:v>
                </c:pt>
                <c:pt idx="1688">
                  <c:v>1.0323074718667381E-2</c:v>
                </c:pt>
                <c:pt idx="1689">
                  <c:v>1.0324227729176743E-2</c:v>
                </c:pt>
                <c:pt idx="1690">
                  <c:v>1.0325392696797693E-2</c:v>
                </c:pt>
                <c:pt idx="1691">
                  <c:v>1.0326568595782872E-2</c:v>
                </c:pt>
                <c:pt idx="1692">
                  <c:v>1.0327517927502656E-2</c:v>
                </c:pt>
                <c:pt idx="1693">
                  <c:v>1.0328712315235989E-2</c:v>
                </c:pt>
                <c:pt idx="1694">
                  <c:v>1.0329914667145451E-2</c:v>
                </c:pt>
                <c:pt idx="1695">
                  <c:v>1.0331123951866163E-2</c:v>
                </c:pt>
                <c:pt idx="1696">
                  <c:v>1.0332576159776685E-2</c:v>
                </c:pt>
                <c:pt idx="1697">
                  <c:v>1.0333796106078912E-2</c:v>
                </c:pt>
                <c:pt idx="1698">
                  <c:v>1.0335019803434381E-2</c:v>
                </c:pt>
                <c:pt idx="1699">
                  <c:v>1.0336246226074763E-2</c:v>
                </c:pt>
                <c:pt idx="1700">
                  <c:v>1.033747434822912E-2</c:v>
                </c:pt>
                <c:pt idx="1701">
                  <c:v>1.0338467492481764E-2</c:v>
                </c:pt>
                <c:pt idx="1702">
                  <c:v>1.033969642845497E-2</c:v>
                </c:pt>
                <c:pt idx="1703">
                  <c:v>1.0340924046230316E-2</c:v>
                </c:pt>
                <c:pt idx="1704">
                  <c:v>1.0342149314420521E-2</c:v>
                </c:pt>
                <c:pt idx="1705">
                  <c:v>1.0343371201634788E-2</c:v>
                </c:pt>
                <c:pt idx="1706">
                  <c:v>1.0344588676481439E-2</c:v>
                </c:pt>
                <c:pt idx="1707">
                  <c:v>1.034580070756397E-2</c:v>
                </c:pt>
                <c:pt idx="1708">
                  <c:v>1.0347006263485873E-2</c:v>
                </c:pt>
                <c:pt idx="1709">
                  <c:v>1.0349125299616594E-2</c:v>
                </c:pt>
                <c:pt idx="1710">
                  <c:v>1.0350311560738186E-2</c:v>
                </c:pt>
                <c:pt idx="1711">
                  <c:v>1.0351488194360978E-2</c:v>
                </c:pt>
                <c:pt idx="1712">
                  <c:v>1.0352654191143115E-2</c:v>
                </c:pt>
                <c:pt idx="1713">
                  <c:v>1.0353127875052728E-2</c:v>
                </c:pt>
                <c:pt idx="1714">
                  <c:v>1.0354272568018279E-2</c:v>
                </c:pt>
                <c:pt idx="1715">
                  <c:v>1.0355405039042778E-2</c:v>
                </c:pt>
                <c:pt idx="1716">
                  <c:v>1.0356525288105253E-2</c:v>
                </c:pt>
                <c:pt idx="1717">
                  <c:v>1.0357633315184304E-2</c:v>
                </c:pt>
                <c:pt idx="1718">
                  <c:v>1.0359329878965911E-2</c:v>
                </c:pt>
                <c:pt idx="1719">
                  <c:v>1.0360410032004492E-2</c:v>
                </c:pt>
                <c:pt idx="1720">
                  <c:v>1.0361477962299174E-2</c:v>
                </c:pt>
                <c:pt idx="1721">
                  <c:v>1.0362533669827922E-2</c:v>
                </c:pt>
                <c:pt idx="1722">
                  <c:v>1.036357715457302E-2</c:v>
                </c:pt>
                <c:pt idx="1723">
                  <c:v>1.0364608416513295E-2</c:v>
                </c:pt>
                <c:pt idx="1724">
                  <c:v>1.0365627455630601E-2</c:v>
                </c:pt>
                <c:pt idx="1725">
                  <c:v>1.0366634271905061E-2</c:v>
                </c:pt>
                <c:pt idx="1726">
                  <c:v>1.0367628865318525E-2</c:v>
                </c:pt>
                <c:pt idx="1727">
                  <c:v>1.0368611235851123E-2</c:v>
                </c:pt>
                <c:pt idx="1728">
                  <c:v>1.0369581383486429E-2</c:v>
                </c:pt>
                <c:pt idx="1729">
                  <c:v>1.0370539308203709E-2</c:v>
                </c:pt>
                <c:pt idx="1730">
                  <c:v>1.0371485009986971E-2</c:v>
                </c:pt>
                <c:pt idx="1731">
                  <c:v>1.0372418488818069E-2</c:v>
                </c:pt>
                <c:pt idx="1732">
                  <c:v>1.0373339744678856E-2</c:v>
                </c:pt>
                <c:pt idx="1733">
                  <c:v>1.0374248777552478E-2</c:v>
                </c:pt>
                <c:pt idx="1734">
                  <c:v>1.0375145587422521E-2</c:v>
                </c:pt>
                <c:pt idx="1735">
                  <c:v>1.0375196887430792E-2</c:v>
                </c:pt>
                <c:pt idx="1736">
                  <c:v>1.0376072642842406E-2</c:v>
                </c:pt>
                <c:pt idx="1737">
                  <c:v>1.0376936176601379E-2</c:v>
                </c:pt>
                <c:pt idx="1738">
                  <c:v>1.0377787488692256E-2</c:v>
                </c:pt>
                <c:pt idx="1739">
                  <c:v>1.0378831622732286E-2</c:v>
                </c:pt>
                <c:pt idx="1740">
                  <c:v>1.0379657642212355E-2</c:v>
                </c:pt>
                <c:pt idx="1741">
                  <c:v>1.0380471439627744E-2</c:v>
                </c:pt>
                <c:pt idx="1742">
                  <c:v>1.038208222220671E-2</c:v>
                </c:pt>
                <c:pt idx="1743">
                  <c:v>1.0382062368203436E-2</c:v>
                </c:pt>
                <c:pt idx="1744">
                  <c:v>1.0382638705349372E-2</c:v>
                </c:pt>
                <c:pt idx="1745">
                  <c:v>1.0383404465339597E-2</c:v>
                </c:pt>
                <c:pt idx="1746">
                  <c:v>1.0384158003542482E-2</c:v>
                </c:pt>
                <c:pt idx="1747">
                  <c:v>1.038489931994478E-2</c:v>
                </c:pt>
                <c:pt idx="1748">
                  <c:v>1.0385825802483692E-2</c:v>
                </c:pt>
                <c:pt idx="1749">
                  <c:v>1.0386541822858112E-2</c:v>
                </c:pt>
                <c:pt idx="1750">
                  <c:v>1.0387245621040483E-2</c:v>
                </c:pt>
                <c:pt idx="1751">
                  <c:v>1.0387937197018507E-2</c:v>
                </c:pt>
                <c:pt idx="1752">
                  <c:v>1.0388322896397982E-2</c:v>
                </c:pt>
                <c:pt idx="1753">
                  <c:v>1.0389565854319398E-2</c:v>
                </c:pt>
                <c:pt idx="1754">
                  <c:v>1.0390215525499107E-2</c:v>
                </c:pt>
                <c:pt idx="1755">
                  <c:v>1.039085297441957E-2</c:v>
                </c:pt>
                <c:pt idx="1756">
                  <c:v>1.0391478201068045E-2</c:v>
                </c:pt>
                <c:pt idx="1757">
                  <c:v>1.0392091205434434E-2</c:v>
                </c:pt>
                <c:pt idx="1758">
                  <c:v>1.0392691987505998E-2</c:v>
                </c:pt>
                <c:pt idx="1759">
                  <c:v>1.0393280547272636E-2</c:v>
                </c:pt>
                <c:pt idx="1760">
                  <c:v>1.0393856884722927E-2</c:v>
                </c:pt>
                <c:pt idx="1761">
                  <c:v>1.0394792589857269E-2</c:v>
                </c:pt>
                <c:pt idx="1762">
                  <c:v>1.0395342768280089E-2</c:v>
                </c:pt>
                <c:pt idx="1763">
                  <c:v>1.0395880723652511E-2</c:v>
                </c:pt>
                <c:pt idx="1764">
                  <c:v>1.039640645596324E-2</c:v>
                </c:pt>
                <c:pt idx="1765">
                  <c:v>1.0396737640234488E-2</c:v>
                </c:pt>
                <c:pt idx="1766">
                  <c:v>1.0397239785008339E-2</c:v>
                </c:pt>
                <c:pt idx="1767">
                  <c:v>1.0397729707044393E-2</c:v>
                </c:pt>
                <c:pt idx="1768">
                  <c:v>1.0398341646849014E-2</c:v>
                </c:pt>
                <c:pt idx="1769">
                  <c:v>1.0398672882866427E-2</c:v>
                </c:pt>
                <c:pt idx="1770">
                  <c:v>1.0399304165012471E-2</c:v>
                </c:pt>
                <c:pt idx="1771">
                  <c:v>1.0399744335633728E-2</c:v>
                </c:pt>
                <c:pt idx="1772">
                  <c:v>1.0400172283122044E-2</c:v>
                </c:pt>
                <c:pt idx="1773">
                  <c:v>1.0400588007469165E-2</c:v>
                </c:pt>
                <c:pt idx="1774">
                  <c:v>1.0400816923902505E-2</c:v>
                </c:pt>
                <c:pt idx="1775">
                  <c:v>1.0401209063727379E-2</c:v>
                </c:pt>
                <c:pt idx="1776">
                  <c:v>1.040158898074151E-2</c:v>
                </c:pt>
                <c:pt idx="1777">
                  <c:v>1.0401956674937039E-2</c:v>
                </c:pt>
                <c:pt idx="1778">
                  <c:v>1.0402654338286329E-2</c:v>
                </c:pt>
                <c:pt idx="1779">
                  <c:v>1.0402825667168871E-2</c:v>
                </c:pt>
                <c:pt idx="1780">
                  <c:v>1.0403155829323009E-2</c:v>
                </c:pt>
                <c:pt idx="1781">
                  <c:v>1.0403473768281213E-2</c:v>
                </c:pt>
                <c:pt idx="1782">
                  <c:v>1.0403779484036533E-2</c:v>
                </c:pt>
                <c:pt idx="1783">
                  <c:v>1.0404072976583321E-2</c:v>
                </c:pt>
                <c:pt idx="1784">
                  <c:v>1.0404354245915928E-2</c:v>
                </c:pt>
                <c:pt idx="1785">
                  <c:v>1.0404623292029578E-2</c:v>
                </c:pt>
                <c:pt idx="1786">
                  <c:v>1.0404880114919489E-2</c:v>
                </c:pt>
                <c:pt idx="1787">
                  <c:v>1.0404797926899353E-2</c:v>
                </c:pt>
                <c:pt idx="1788">
                  <c:v>1.0405032036006397E-2</c:v>
                </c:pt>
                <c:pt idx="1789">
                  <c:v>1.0405253922580567E-2</c:v>
                </c:pt>
                <c:pt idx="1790">
                  <c:v>1.0405463586617468E-2</c:v>
                </c:pt>
                <c:pt idx="1791">
                  <c:v>1.0405661028114027E-2</c:v>
                </c:pt>
                <c:pt idx="1792">
                  <c:v>1.040600534555591E-2</c:v>
                </c:pt>
                <c:pt idx="1793">
                  <c:v>1.0406019243470305E-2</c:v>
                </c:pt>
                <c:pt idx="1794">
                  <c:v>1.0406180017323437E-2</c:v>
                </c:pt>
                <c:pt idx="1795">
                  <c:v>1.0406328568622171E-2</c:v>
                </c:pt>
                <c:pt idx="1796">
                  <c:v>1.0406464897364753E-2</c:v>
                </c:pt>
                <c:pt idx="1797">
                  <c:v>1.0406589003547665E-2</c:v>
                </c:pt>
                <c:pt idx="1798">
                  <c:v>1.0406700887169154E-2</c:v>
                </c:pt>
                <c:pt idx="1799">
                  <c:v>1.0406800548226583E-2</c:v>
                </c:pt>
                <c:pt idx="1800">
                  <c:v>1.0406887986719073E-2</c:v>
                </c:pt>
                <c:pt idx="1801">
                  <c:v>1.0406963202644429E-2</c:v>
                </c:pt>
                <c:pt idx="1802">
                  <c:v>1.0407026196000894E-2</c:v>
                </c:pt>
                <c:pt idx="1803">
                  <c:v>1.0407076966788468E-2</c:v>
                </c:pt>
                <c:pt idx="1804">
                  <c:v>1.0406971410076963E-2</c:v>
                </c:pt>
                <c:pt idx="1805">
                  <c:v>1.040699686194785E-2</c:v>
                </c:pt>
                <c:pt idx="1806">
                  <c:v>1.0407010091599035E-2</c:v>
                </c:pt>
                <c:pt idx="1807">
                  <c:v>1.0407011099030965E-2</c:v>
                </c:pt>
                <c:pt idx="1808">
                  <c:v>1.0406999884243191E-2</c:v>
                </c:pt>
                <c:pt idx="1809">
                  <c:v>1.0406976447235277E-2</c:v>
                </c:pt>
                <c:pt idx="1810">
                  <c:v>1.0406940788009428E-2</c:v>
                </c:pt>
                <c:pt idx="1811">
                  <c:v>1.0406892906564321E-2</c:v>
                </c:pt>
                <c:pt idx="1812">
                  <c:v>1.0406832802902164E-2</c:v>
                </c:pt>
                <c:pt idx="1813">
                  <c:v>1.0407182486425109E-2</c:v>
                </c:pt>
                <c:pt idx="1814">
                  <c:v>1.0407095311746328E-2</c:v>
                </c:pt>
                <c:pt idx="1815">
                  <c:v>1.0406995913796893E-2</c:v>
                </c:pt>
                <c:pt idx="1816">
                  <c:v>1.0406884292579407E-2</c:v>
                </c:pt>
                <c:pt idx="1817">
                  <c:v>1.0406623363532813E-2</c:v>
                </c:pt>
                <c:pt idx="1818">
                  <c:v>1.0406447301816351E-2</c:v>
                </c:pt>
                <c:pt idx="1819">
                  <c:v>1.0406296395887724E-2</c:v>
                </c:pt>
                <c:pt idx="1820">
                  <c:v>1.0406133267052694E-2</c:v>
                </c:pt>
                <c:pt idx="1821">
                  <c:v>1.0406198182211236E-2</c:v>
                </c:pt>
                <c:pt idx="1822">
                  <c:v>1.0406167432018221E-2</c:v>
                </c:pt>
                <c:pt idx="1823">
                  <c:v>1.0405964997787983E-2</c:v>
                </c:pt>
                <c:pt idx="1824">
                  <c:v>1.0405750339609868E-2</c:v>
                </c:pt>
                <c:pt idx="1825">
                  <c:v>1.0405134279407299E-2</c:v>
                </c:pt>
                <c:pt idx="1826">
                  <c:v>1.0404897813209421E-2</c:v>
                </c:pt>
                <c:pt idx="1827">
                  <c:v>1.040464912413222E-2</c:v>
                </c:pt>
                <c:pt idx="1828">
                  <c:v>1.0404388212179195E-2</c:v>
                </c:pt>
                <c:pt idx="1829">
                  <c:v>1.0404493689646854E-2</c:v>
                </c:pt>
                <c:pt idx="1830">
                  <c:v>1.0404205687872599E-2</c:v>
                </c:pt>
                <c:pt idx="1831">
                  <c:v>1.0403905462183557E-2</c:v>
                </c:pt>
                <c:pt idx="1832">
                  <c:v>1.0403593012584891E-2</c:v>
                </c:pt>
                <c:pt idx="1833">
                  <c:v>1.0403268339083043E-2</c:v>
                </c:pt>
                <c:pt idx="1834">
                  <c:v>1.040256606037052E-2</c:v>
                </c:pt>
                <c:pt idx="1835">
                  <c:v>1.0402582320393016E-2</c:v>
                </c:pt>
                <c:pt idx="1836">
                  <c:v>1.0402220975218588E-2</c:v>
                </c:pt>
                <c:pt idx="1837">
                  <c:v>1.0401847406166337E-2</c:v>
                </c:pt>
                <c:pt idx="1838">
                  <c:v>1.0401106835691943E-2</c:v>
                </c:pt>
                <c:pt idx="1839">
                  <c:v>1.0400476312462742E-2</c:v>
                </c:pt>
                <c:pt idx="1840">
                  <c:v>1.0400070495949531E-2</c:v>
                </c:pt>
                <c:pt idx="1841">
                  <c:v>1.0399652457344252E-2</c:v>
                </c:pt>
                <c:pt idx="1842">
                  <c:v>1.0399222196653971E-2</c:v>
                </c:pt>
                <c:pt idx="1843">
                  <c:v>1.0398893793956367E-2</c:v>
                </c:pt>
                <c:pt idx="1844">
                  <c:v>1.0398438202991413E-2</c:v>
                </c:pt>
                <c:pt idx="1845">
                  <c:v>1.0397970389615683E-2</c:v>
                </c:pt>
                <c:pt idx="1846">
                  <c:v>1.0397490353837083E-2</c:v>
                </c:pt>
                <c:pt idx="1847">
                  <c:v>1.0396998095664836E-2</c:v>
                </c:pt>
                <c:pt idx="1848">
                  <c:v>1.0396383969191413E-2</c:v>
                </c:pt>
                <c:pt idx="1849">
                  <c:v>1.0395868154141957E-2</c:v>
                </c:pt>
                <c:pt idx="1850">
                  <c:v>1.0395340117077276E-2</c:v>
                </c:pt>
                <c:pt idx="1851">
                  <c:v>1.0394799858006204E-2</c:v>
                </c:pt>
                <c:pt idx="1852">
                  <c:v>1.0394353469222602E-2</c:v>
                </c:pt>
                <c:pt idx="1853">
                  <c:v>1.0393787876886121E-2</c:v>
                </c:pt>
                <c:pt idx="1854">
                  <c:v>1.039321006222407E-2</c:v>
                </c:pt>
                <c:pt idx="1855">
                  <c:v>1.0392277373695021E-2</c:v>
                </c:pt>
                <c:pt idx="1856">
                  <c:v>1.0391828325364597E-2</c:v>
                </c:pt>
                <c:pt idx="1857">
                  <c:v>1.0391301642035604E-2</c:v>
                </c:pt>
                <c:pt idx="1858">
                  <c:v>1.0390675829215696E-2</c:v>
                </c:pt>
                <c:pt idx="1859">
                  <c:v>1.0390037794475959E-2</c:v>
                </c:pt>
                <c:pt idx="1860">
                  <c:v>1.0389387537827432E-2</c:v>
                </c:pt>
                <c:pt idx="1861">
                  <c:v>1.0388725059282481E-2</c:v>
                </c:pt>
                <c:pt idx="1862">
                  <c:v>1.0388050358853474E-2</c:v>
                </c:pt>
                <c:pt idx="1863">
                  <c:v>1.0387363436552334E-2</c:v>
                </c:pt>
                <c:pt idx="1864">
                  <c:v>1.038666429239231E-2</c:v>
                </c:pt>
                <c:pt idx="1865">
                  <c:v>1.0386424613286115E-2</c:v>
                </c:pt>
                <c:pt idx="1866">
                  <c:v>1.0385696555780647E-2</c:v>
                </c:pt>
                <c:pt idx="1867">
                  <c:v>1.0384956274709365E-2</c:v>
                </c:pt>
                <c:pt idx="1868">
                  <c:v>1.0384203770085591E-2</c:v>
                </c:pt>
                <c:pt idx="1869">
                  <c:v>1.0383167014233193E-2</c:v>
                </c:pt>
                <c:pt idx="1870">
                  <c:v>1.0382392748687089E-2</c:v>
                </c:pt>
                <c:pt idx="1871">
                  <c:v>1.0381606260678381E-2</c:v>
                </c:pt>
                <c:pt idx="1872">
                  <c:v>1.0380807550221919E-2</c:v>
                </c:pt>
                <c:pt idx="1873">
                  <c:v>1.0379996617331681E-2</c:v>
                </c:pt>
                <c:pt idx="1874">
                  <c:v>1.0379432048555858E-2</c:v>
                </c:pt>
                <c:pt idx="1875">
                  <c:v>1.0378593979476347E-2</c:v>
                </c:pt>
                <c:pt idx="1876">
                  <c:v>1.0377743686964678E-2</c:v>
                </c:pt>
                <c:pt idx="1877">
                  <c:v>1.0376881171036322E-2</c:v>
                </c:pt>
                <c:pt idx="1878">
                  <c:v>1.0375758616919875E-2</c:v>
                </c:pt>
                <c:pt idx="1879">
                  <c:v>1.0374874349754591E-2</c:v>
                </c:pt>
                <c:pt idx="1880">
                  <c:v>1.037397786026692E-2</c:v>
                </c:pt>
                <c:pt idx="1881">
                  <c:v>1.0373308873489086E-2</c:v>
                </c:pt>
                <c:pt idx="1882">
                  <c:v>1.0372385240727845E-2</c:v>
                </c:pt>
                <c:pt idx="1883">
                  <c:v>1.0371449384650481E-2</c:v>
                </c:pt>
                <c:pt idx="1884">
                  <c:v>1.0370501305276763E-2</c:v>
                </c:pt>
                <c:pt idx="1885">
                  <c:v>1.0369541002622593E-2</c:v>
                </c:pt>
                <c:pt idx="1886">
                  <c:v>1.0368342255498932E-2</c:v>
                </c:pt>
                <c:pt idx="1887">
                  <c:v>1.0367583727546814E-2</c:v>
                </c:pt>
                <c:pt idx="1888">
                  <c:v>1.0366586755162596E-2</c:v>
                </c:pt>
                <c:pt idx="1889">
                  <c:v>1.0365577559572275E-2</c:v>
                </c:pt>
                <c:pt idx="1890">
                  <c:v>1.036455614079519E-2</c:v>
                </c:pt>
                <c:pt idx="1891">
                  <c:v>1.036323874082574E-2</c:v>
                </c:pt>
                <c:pt idx="1892">
                  <c:v>1.0362196487749806E-2</c:v>
                </c:pt>
                <c:pt idx="1893">
                  <c:v>1.0361142012931136E-2</c:v>
                </c:pt>
                <c:pt idx="1894">
                  <c:v>1.036007531638905E-2</c:v>
                </c:pt>
                <c:pt idx="1895">
                  <c:v>1.035906385101093E-2</c:v>
                </c:pt>
                <c:pt idx="1896">
                  <c:v>1.0357971806767044E-2</c:v>
                </c:pt>
                <c:pt idx="1897">
                  <c:v>1.0357129265343367E-2</c:v>
                </c:pt>
                <c:pt idx="1898">
                  <c:v>1.0355751052271338E-2</c:v>
                </c:pt>
                <c:pt idx="1899">
                  <c:v>1.0354622342060141E-2</c:v>
                </c:pt>
                <c:pt idx="1900">
                  <c:v>1.0353418482061328E-2</c:v>
                </c:pt>
                <c:pt idx="1901">
                  <c:v>1.0352266234017974E-2</c:v>
                </c:pt>
                <c:pt idx="1902">
                  <c:v>1.0351101764415033E-2</c:v>
                </c:pt>
                <c:pt idx="1903">
                  <c:v>1.0349925073274025E-2</c:v>
                </c:pt>
                <c:pt idx="1904">
                  <c:v>1.0348795462216813E-2</c:v>
                </c:pt>
                <c:pt idx="1905">
                  <c:v>1.0347593420641465E-2</c:v>
                </c:pt>
                <c:pt idx="1906">
                  <c:v>1.0346379157249553E-2</c:v>
                </c:pt>
                <c:pt idx="1907">
                  <c:v>1.0345152672062043E-2</c:v>
                </c:pt>
                <c:pt idx="1908">
                  <c:v>1.0343858295259563E-2</c:v>
                </c:pt>
                <c:pt idx="1909">
                  <c:v>1.0342608275351758E-2</c:v>
                </c:pt>
                <c:pt idx="1910">
                  <c:v>1.0341346034062246E-2</c:v>
                </c:pt>
                <c:pt idx="1911">
                  <c:v>1.0340071571413863E-2</c:v>
                </c:pt>
                <c:pt idx="1912">
                  <c:v>1.0338784887431647E-2</c:v>
                </c:pt>
                <c:pt idx="1913">
                  <c:v>1.0337485982137115E-2</c:v>
                </c:pt>
                <c:pt idx="1914">
                  <c:v>1.0336174855555305E-2</c:v>
                </c:pt>
                <c:pt idx="1915">
                  <c:v>1.0334851507711252E-2</c:v>
                </c:pt>
                <c:pt idx="1916">
                  <c:v>1.0333515938627354E-2</c:v>
                </c:pt>
                <c:pt idx="1917">
                  <c:v>1.0332357544911448E-2</c:v>
                </c:pt>
                <c:pt idx="1918">
                  <c:v>1.0330993885553971E-2</c:v>
                </c:pt>
                <c:pt idx="1919">
                  <c:v>1.0329618003661252E-2</c:v>
                </c:pt>
                <c:pt idx="1920">
                  <c:v>1.0328229899259076E-2</c:v>
                </c:pt>
                <c:pt idx="1921">
                  <c:v>1.0326698604137118E-2</c:v>
                </c:pt>
                <c:pt idx="1922">
                  <c:v>1.0325288794883735E-2</c:v>
                </c:pt>
                <c:pt idx="1923">
                  <c:v>1.0323866764227448E-2</c:v>
                </c:pt>
                <c:pt idx="1924">
                  <c:v>1.0322432512192278E-2</c:v>
                </c:pt>
                <c:pt idx="1925">
                  <c:v>1.0320986038807491E-2</c:v>
                </c:pt>
                <c:pt idx="1926">
                  <c:v>1.0319644601628843E-2</c:v>
                </c:pt>
                <c:pt idx="1927">
                  <c:v>1.0318170940406544E-2</c:v>
                </c:pt>
                <c:pt idx="1928">
                  <c:v>1.0316685056890103E-2</c:v>
                </c:pt>
                <c:pt idx="1929">
                  <c:v>1.0315186951108309E-2</c:v>
                </c:pt>
                <c:pt idx="1930">
                  <c:v>1.0313570352567115E-2</c:v>
                </c:pt>
                <c:pt idx="1931">
                  <c:v>1.0312050551648123E-2</c:v>
                </c:pt>
                <c:pt idx="1932">
                  <c:v>1.0310518529571272E-2</c:v>
                </c:pt>
                <c:pt idx="1933">
                  <c:v>1.0308974286364958E-2</c:v>
                </c:pt>
                <c:pt idx="1934">
                  <c:v>1.03074178220567E-2</c:v>
                </c:pt>
                <c:pt idx="1935">
                  <c:v>1.0305941650435319E-2</c:v>
                </c:pt>
                <c:pt idx="1936">
                  <c:v>1.0304357989597153E-2</c:v>
                </c:pt>
                <c:pt idx="1937">
                  <c:v>1.0302762106726138E-2</c:v>
                </c:pt>
                <c:pt idx="1938">
                  <c:v>1.0301154001851071E-2</c:v>
                </c:pt>
                <c:pt idx="1939">
                  <c:v>1.0299533675003752E-2</c:v>
                </c:pt>
                <c:pt idx="1940">
                  <c:v>1.0297901126213834E-2</c:v>
                </c:pt>
                <c:pt idx="1941">
                  <c:v>1.0296256355512262E-2</c:v>
                </c:pt>
                <c:pt idx="1942">
                  <c:v>1.0294599362929978E-2</c:v>
                </c:pt>
                <c:pt idx="1943">
                  <c:v>1.0292812295061486E-2</c:v>
                </c:pt>
                <c:pt idx="1944">
                  <c:v>1.0291135462818925E-2</c:v>
                </c:pt>
                <c:pt idx="1945">
                  <c:v>1.0289446410482257E-2</c:v>
                </c:pt>
                <c:pt idx="1946">
                  <c:v>1.0287745138081511E-2</c:v>
                </c:pt>
                <c:pt idx="1947">
                  <c:v>1.0286031686853095E-2</c:v>
                </c:pt>
                <c:pt idx="1948">
                  <c:v>1.0284325792020823E-2</c:v>
                </c:pt>
                <c:pt idx="1949">
                  <c:v>1.0282588839675791E-2</c:v>
                </c:pt>
                <c:pt idx="1950">
                  <c:v>1.0280841594745514E-2</c:v>
                </c:pt>
                <c:pt idx="1951">
                  <c:v>1.0279084731948733E-2</c:v>
                </c:pt>
                <c:pt idx="1952">
                  <c:v>1.0277301981078483E-2</c:v>
                </c:pt>
                <c:pt idx="1953">
                  <c:v>1.0275528296350553E-2</c:v>
                </c:pt>
                <c:pt idx="1954">
                  <c:v>1.0273746946753221E-2</c:v>
                </c:pt>
                <c:pt idx="1955">
                  <c:v>1.0271958610702925E-2</c:v>
                </c:pt>
                <c:pt idx="1956">
                  <c:v>1.0270179764979643E-2</c:v>
                </c:pt>
                <c:pt idx="1957">
                  <c:v>1.0268379363957969E-2</c:v>
                </c:pt>
                <c:pt idx="1958">
                  <c:v>1.0266574068039061E-2</c:v>
                </c:pt>
                <c:pt idx="1959">
                  <c:v>1.0264764551924091E-2</c:v>
                </c:pt>
                <c:pt idx="1960">
                  <c:v>1.0262951490309842E-2</c:v>
                </c:pt>
                <c:pt idx="1961">
                  <c:v>1.0261119870030651E-2</c:v>
                </c:pt>
                <c:pt idx="1962">
                  <c:v>1.0259301624327258E-2</c:v>
                </c:pt>
                <c:pt idx="1963">
                  <c:v>1.0257481819431754E-2</c:v>
                </c:pt>
                <c:pt idx="1964">
                  <c:v>1.0255661133740704E-2</c:v>
                </c:pt>
                <c:pt idx="1965">
                  <c:v>1.0253840245648902E-2</c:v>
                </c:pt>
                <c:pt idx="1966">
                  <c:v>1.0252019833546738E-2</c:v>
                </c:pt>
                <c:pt idx="1967">
                  <c:v>1.0250200575824148E-2</c:v>
                </c:pt>
                <c:pt idx="1968">
                  <c:v>1.02483831508671E-2</c:v>
                </c:pt>
                <c:pt idx="1969">
                  <c:v>1.0246655928005522E-2</c:v>
                </c:pt>
                <c:pt idx="1970">
                  <c:v>1.0244845782960484E-2</c:v>
                </c:pt>
                <c:pt idx="1971">
                  <c:v>1.0243039545498519E-2</c:v>
                </c:pt>
                <c:pt idx="1972">
                  <c:v>1.0241237875855366E-2</c:v>
                </c:pt>
                <c:pt idx="1973">
                  <c:v>1.0239384764511557E-2</c:v>
                </c:pt>
                <c:pt idx="1974">
                  <c:v>1.0237592587676205E-2</c:v>
                </c:pt>
                <c:pt idx="1975">
                  <c:v>1.023580573270446E-2</c:v>
                </c:pt>
                <c:pt idx="1976">
                  <c:v>1.0234024199582342E-2</c:v>
                </c:pt>
                <c:pt idx="1977">
                  <c:v>1.0232247988296311E-2</c:v>
                </c:pt>
                <c:pt idx="1978">
                  <c:v>1.0230538643939018E-2</c:v>
                </c:pt>
                <c:pt idx="1979">
                  <c:v>1.0228774066639256E-2</c:v>
                </c:pt>
                <c:pt idx="1980">
                  <c:v>1.0227014811605992E-2</c:v>
                </c:pt>
                <c:pt idx="1981">
                  <c:v>1.0225260878827191E-2</c:v>
                </c:pt>
                <c:pt idx="1982">
                  <c:v>1.0223446758894639E-2</c:v>
                </c:pt>
                <c:pt idx="1983">
                  <c:v>1.0221702478321108E-2</c:v>
                </c:pt>
                <c:pt idx="1984">
                  <c:v>1.0219963519483635E-2</c:v>
                </c:pt>
                <c:pt idx="1985">
                  <c:v>1.0218229882367804E-2</c:v>
                </c:pt>
                <c:pt idx="1986">
                  <c:v>1.0216501566959637E-2</c:v>
                </c:pt>
                <c:pt idx="1987">
                  <c:v>1.0214849048664853E-2</c:v>
                </c:pt>
                <c:pt idx="1988">
                  <c:v>1.0213132371257315E-2</c:v>
                </c:pt>
                <c:pt idx="1989">
                  <c:v>1.0211421015989496E-2</c:v>
                </c:pt>
                <c:pt idx="1990">
                  <c:v>1.0209714982846781E-2</c:v>
                </c:pt>
                <c:pt idx="1991">
                  <c:v>1.0208014271815422E-2</c:v>
                </c:pt>
                <c:pt idx="1992">
                  <c:v>1.0206318882881234E-2</c:v>
                </c:pt>
                <c:pt idx="1993">
                  <c:v>1.0204628816030466E-2</c:v>
                </c:pt>
                <c:pt idx="1994">
                  <c:v>1.0202944071249793E-2</c:v>
                </c:pt>
                <c:pt idx="1995">
                  <c:v>1.0201134066939939E-2</c:v>
                </c:pt>
                <c:pt idx="1996">
                  <c:v>1.0199458302352955E-2</c:v>
                </c:pt>
                <c:pt idx="1997">
                  <c:v>1.0197787859008203E-2</c:v>
                </c:pt>
                <c:pt idx="1998">
                  <c:v>1.0196122736892873E-2</c:v>
                </c:pt>
                <c:pt idx="1999">
                  <c:v>1.019446293599372E-2</c:v>
                </c:pt>
                <c:pt idx="2000">
                  <c:v>1.0192836173400438E-2</c:v>
                </c:pt>
                <c:pt idx="2001">
                  <c:v>1.0191187348416638E-2</c:v>
                </c:pt>
                <c:pt idx="2002">
                  <c:v>1.0189543844765664E-2</c:v>
                </c:pt>
                <c:pt idx="2003">
                  <c:v>1.0187905662434339E-2</c:v>
                </c:pt>
                <c:pt idx="2004">
                  <c:v>1.0186243749271556E-2</c:v>
                </c:pt>
                <c:pt idx="2005">
                  <c:v>1.0184615875390338E-2</c:v>
                </c:pt>
                <c:pt idx="2006">
                  <c:v>1.0182993322633433E-2</c:v>
                </c:pt>
                <c:pt idx="2007">
                  <c:v>1.0181376090987595E-2</c:v>
                </c:pt>
                <c:pt idx="2008">
                  <c:v>1.0179794570118299E-2</c:v>
                </c:pt>
                <c:pt idx="2009">
                  <c:v>1.0178188315431238E-2</c:v>
                </c:pt>
                <c:pt idx="2010">
                  <c:v>1.0176587381973348E-2</c:v>
                </c:pt>
                <c:pt idx="2011">
                  <c:v>1.0174991769731015E-2</c:v>
                </c:pt>
                <c:pt idx="2012">
                  <c:v>1.0173174728641116E-2</c:v>
                </c:pt>
                <c:pt idx="2013">
                  <c:v>1.0171558405913404E-2</c:v>
                </c:pt>
                <c:pt idx="2014">
                  <c:v>1.0169979181830187E-2</c:v>
                </c:pt>
                <c:pt idx="2015">
                  <c:v>1.0168405278754252E-2</c:v>
                </c:pt>
                <c:pt idx="2016">
                  <c:v>1.0166836696672791E-2</c:v>
                </c:pt>
                <c:pt idx="2017">
                  <c:v>1.0165273435573437E-2</c:v>
                </c:pt>
                <c:pt idx="2018">
                  <c:v>1.0163715495443827E-2</c:v>
                </c:pt>
                <c:pt idx="2019">
                  <c:v>1.0162162876270708E-2</c:v>
                </c:pt>
                <c:pt idx="2020">
                  <c:v>1.0160615578043042E-2</c:v>
                </c:pt>
                <c:pt idx="2021">
                  <c:v>1.015921300563888E-2</c:v>
                </c:pt>
                <c:pt idx="2022">
                  <c:v>1.0157677696686476E-2</c:v>
                </c:pt>
                <c:pt idx="2023">
                  <c:v>1.0156147709263668E-2</c:v>
                </c:pt>
                <c:pt idx="2024">
                  <c:v>1.0153718090654082E-2</c:v>
                </c:pt>
                <c:pt idx="2025">
                  <c:v>1.0152995050913168E-2</c:v>
                </c:pt>
                <c:pt idx="2026">
                  <c:v>1.0151589676045781E-2</c:v>
                </c:pt>
                <c:pt idx="2027">
                  <c:v>1.0150080974615616E-2</c:v>
                </c:pt>
                <c:pt idx="2028">
                  <c:v>1.0148577594652394E-2</c:v>
                </c:pt>
                <c:pt idx="2029">
                  <c:v>1.014707953614488E-2</c:v>
                </c:pt>
                <c:pt idx="2030">
                  <c:v>1.0145586799079681E-2</c:v>
                </c:pt>
                <c:pt idx="2031">
                  <c:v>1.0144099383445562E-2</c:v>
                </c:pt>
                <c:pt idx="2032">
                  <c:v>1.0142617289229558E-2</c:v>
                </c:pt>
                <c:pt idx="2033">
                  <c:v>1.0141140516420006E-2</c:v>
                </c:pt>
                <c:pt idx="2034">
                  <c:v>1.0139669065004806E-2</c:v>
                </c:pt>
                <c:pt idx="2035">
                  <c:v>1.0138202934971859E-2</c:v>
                </c:pt>
                <c:pt idx="2036">
                  <c:v>1.0136742126309068E-2</c:v>
                </c:pt>
                <c:pt idx="2037">
                  <c:v>1.013528663900563E-2</c:v>
                </c:pt>
                <c:pt idx="2038">
                  <c:v>1.0133836473047719E-2</c:v>
                </c:pt>
                <c:pt idx="2039">
                  <c:v>1.0132391628424964E-2</c:v>
                </c:pt>
                <c:pt idx="2040">
                  <c:v>1.0130952105125266E-2</c:v>
                </c:pt>
                <c:pt idx="2041">
                  <c:v>1.012951790313696E-2</c:v>
                </c:pt>
                <c:pt idx="2042">
                  <c:v>1.0128089022447516E-2</c:v>
                </c:pt>
                <c:pt idx="2043">
                  <c:v>1.0126665463046129E-2</c:v>
                </c:pt>
                <c:pt idx="2044">
                  <c:v>1.0125247224921568E-2</c:v>
                </c:pt>
                <c:pt idx="2045">
                  <c:v>1.0123834308060868E-2</c:v>
                </c:pt>
                <c:pt idx="2046">
                  <c:v>1.0122426712453661E-2</c:v>
                </c:pt>
                <c:pt idx="2047">
                  <c:v>1.0120849798868764E-2</c:v>
                </c:pt>
                <c:pt idx="2048">
                  <c:v>1.0119451482233243E-2</c:v>
                </c:pt>
                <c:pt idx="2049">
                  <c:v>1.0118058486201349E-2</c:v>
                </c:pt>
                <c:pt idx="2050">
                  <c:v>1.0116670810762483E-2</c:v>
                </c:pt>
                <c:pt idx="2051">
                  <c:v>1.0115333430006429E-2</c:v>
                </c:pt>
                <c:pt idx="2052">
                  <c:v>1.0113956737177682E-2</c:v>
                </c:pt>
                <c:pt idx="2053">
                  <c:v>1.0112768328349014E-2</c:v>
                </c:pt>
                <c:pt idx="2054">
                  <c:v>1.011121931364807E-2</c:v>
                </c:pt>
                <c:pt idx="2055">
                  <c:v>1.0109858582925247E-2</c:v>
                </c:pt>
                <c:pt idx="2056">
                  <c:v>1.0108456489954398E-2</c:v>
                </c:pt>
                <c:pt idx="2057">
                  <c:v>1.0107106058355809E-2</c:v>
                </c:pt>
                <c:pt idx="2058">
                  <c:v>1.0105760947261918E-2</c:v>
                </c:pt>
                <c:pt idx="2059">
                  <c:v>1.0104421156663013E-2</c:v>
                </c:pt>
                <c:pt idx="2060">
                  <c:v>1.0103134739297876E-2</c:v>
                </c:pt>
                <c:pt idx="2061">
                  <c:v>1.0101805932493066E-2</c:v>
                </c:pt>
                <c:pt idx="2062">
                  <c:v>1.010048244630473E-2</c:v>
                </c:pt>
                <c:pt idx="2063">
                  <c:v>1.0099164280720573E-2</c:v>
                </c:pt>
                <c:pt idx="2064">
                  <c:v>1.0097141801120042E-2</c:v>
                </c:pt>
                <c:pt idx="2065">
                  <c:v>1.0095985172471393E-2</c:v>
                </c:pt>
                <c:pt idx="2066">
                  <c:v>1.0094685248881085E-2</c:v>
                </c:pt>
                <c:pt idx="2067">
                  <c:v>1.0093390645849276E-2</c:v>
                </c:pt>
                <c:pt idx="2068">
                  <c:v>1.0092101363365864E-2</c:v>
                </c:pt>
                <c:pt idx="2069">
                  <c:v>1.009081740141987E-2</c:v>
                </c:pt>
                <c:pt idx="2070">
                  <c:v>1.0089538760001191E-2</c:v>
                </c:pt>
                <c:pt idx="2071">
                  <c:v>1.0088265439099287E-2</c:v>
                </c:pt>
                <c:pt idx="2072">
                  <c:v>1.0086997438704493E-2</c:v>
                </c:pt>
                <c:pt idx="2073">
                  <c:v>1.0085840199116142E-2</c:v>
                </c:pt>
                <c:pt idx="2074">
                  <c:v>1.0084583529543827E-2</c:v>
                </c:pt>
                <c:pt idx="2075">
                  <c:v>1.0083332180752283E-2</c:v>
                </c:pt>
                <c:pt idx="2076">
                  <c:v>1.0082086152731956E-2</c:v>
                </c:pt>
                <c:pt idx="2077">
                  <c:v>1.0080791327739763E-2</c:v>
                </c:pt>
                <c:pt idx="2078">
                  <c:v>1.0079555595691491E-2</c:v>
                </c:pt>
                <c:pt idx="2079">
                  <c:v>1.0077974615349875E-2</c:v>
                </c:pt>
                <c:pt idx="2080">
                  <c:v>1.0077100093350578E-2</c:v>
                </c:pt>
                <c:pt idx="2081">
                  <c:v>1.007588032303872E-2</c:v>
                </c:pt>
                <c:pt idx="2082">
                  <c:v>1.0074721720232915E-2</c:v>
                </c:pt>
                <c:pt idx="2083">
                  <c:v>1.0073512937327405E-2</c:v>
                </c:pt>
                <c:pt idx="2084">
                  <c:v>1.0072309475112739E-2</c:v>
                </c:pt>
                <c:pt idx="2085">
                  <c:v>1.0071111333579795E-2</c:v>
                </c:pt>
                <c:pt idx="2086">
                  <c:v>1.0069861279663965E-2</c:v>
                </c:pt>
                <c:pt idx="2087">
                  <c:v>1.0068673432558916E-2</c:v>
                </c:pt>
                <c:pt idx="2088">
                  <c:v>1.006749090595419E-2</c:v>
                </c:pt>
                <c:pt idx="2089">
                  <c:v>1.0066313699841054E-2</c:v>
                </c:pt>
                <c:pt idx="2090">
                  <c:v>1.0065259091625768E-2</c:v>
                </c:pt>
                <c:pt idx="2091">
                  <c:v>1.0064034218148717E-2</c:v>
                </c:pt>
                <c:pt idx="2092">
                  <c:v>1.0062873321115431E-2</c:v>
                </c:pt>
                <c:pt idx="2093">
                  <c:v>1.0061717744686971E-2</c:v>
                </c:pt>
                <c:pt idx="2094">
                  <c:v>1.006056748885378E-2</c:v>
                </c:pt>
                <c:pt idx="2095">
                  <c:v>1.0059422553606735E-2</c:v>
                </c:pt>
                <c:pt idx="2096">
                  <c:v>1.0058282938936713E-2</c:v>
                </c:pt>
                <c:pt idx="2097">
                  <c:v>1.005714864483372E-2</c:v>
                </c:pt>
                <c:pt idx="2098">
                  <c:v>1.0056019671289504E-2</c:v>
                </c:pt>
                <c:pt idx="2099">
                  <c:v>1.0054772543431401E-2</c:v>
                </c:pt>
                <c:pt idx="2100">
                  <c:v>1.0053653513250793E-2</c:v>
                </c:pt>
                <c:pt idx="2101">
                  <c:v>1.0052539803298401E-2</c:v>
                </c:pt>
                <c:pt idx="2102">
                  <c:v>1.0051431413566318E-2</c:v>
                </c:pt>
                <c:pt idx="2103">
                  <c:v>1.005039146057979E-2</c:v>
                </c:pt>
                <c:pt idx="2104">
                  <c:v>1.0049294060717005E-2</c:v>
                </c:pt>
                <c:pt idx="2105">
                  <c:v>1.004820198119904E-2</c:v>
                </c:pt>
                <c:pt idx="2106">
                  <c:v>1.0047115222016286E-2</c:v>
                </c:pt>
                <c:pt idx="2107">
                  <c:v>1.0046033783160007E-2</c:v>
                </c:pt>
                <c:pt idx="2108">
                  <c:v>1.0044892799297831E-2</c:v>
                </c:pt>
                <c:pt idx="2109">
                  <c:v>1.0043821650859312E-2</c:v>
                </c:pt>
                <c:pt idx="2110">
                  <c:v>1.0042755822570389E-2</c:v>
                </c:pt>
                <c:pt idx="2111">
                  <c:v>1.0041695314423156E-2</c:v>
                </c:pt>
                <c:pt idx="2112">
                  <c:v>1.0040706393476076E-2</c:v>
                </c:pt>
                <c:pt idx="2113">
                  <c:v>1.0039656876398241E-2</c:v>
                </c:pt>
                <c:pt idx="2114">
                  <c:v>1.0038612679587038E-2</c:v>
                </c:pt>
                <c:pt idx="2115">
                  <c:v>1.0037573803033731E-2</c:v>
                </c:pt>
                <c:pt idx="2116">
                  <c:v>1.0036325308724581E-2</c:v>
                </c:pt>
                <c:pt idx="2117">
                  <c:v>1.0035297481260563E-2</c:v>
                </c:pt>
                <c:pt idx="2118">
                  <c:v>1.0034274973878501E-2</c:v>
                </c:pt>
                <c:pt idx="2119">
                  <c:v>1.0033257786570052E-2</c:v>
                </c:pt>
                <c:pt idx="2120">
                  <c:v>1.003224591932687E-2</c:v>
                </c:pt>
                <c:pt idx="2121">
                  <c:v>1.0031239372140611E-2</c:v>
                </c:pt>
                <c:pt idx="2122">
                  <c:v>1.0030238145003369E-2</c:v>
                </c:pt>
                <c:pt idx="2123">
                  <c:v>1.0029242237907238E-2</c:v>
                </c:pt>
                <c:pt idx="2124">
                  <c:v>1.002825165084475E-2</c:v>
                </c:pt>
                <c:pt idx="2125">
                  <c:v>1.0027408198237423E-2</c:v>
                </c:pt>
                <c:pt idx="2126">
                  <c:v>1.0026428956809044E-2</c:v>
                </c:pt>
                <c:pt idx="2127">
                  <c:v>1.0025455035689206E-2</c:v>
                </c:pt>
                <c:pt idx="2128">
                  <c:v>1.0024486434870524E-2</c:v>
                </c:pt>
                <c:pt idx="2129">
                  <c:v>1.0023450817520424E-2</c:v>
                </c:pt>
                <c:pt idx="2130">
                  <c:v>1.0022219677142584E-2</c:v>
                </c:pt>
                <c:pt idx="2131">
                  <c:v>1.0021268203659849E-2</c:v>
                </c:pt>
                <c:pt idx="2132">
                  <c:v>1.0020322050295231E-2</c:v>
                </c:pt>
                <c:pt idx="2133">
                  <c:v>1.0019381217041304E-2</c:v>
                </c:pt>
                <c:pt idx="2134">
                  <c:v>1.0018668428943975E-2</c:v>
                </c:pt>
                <c:pt idx="2135">
                  <c:v>1.0017739298539963E-2</c:v>
                </c:pt>
                <c:pt idx="2136">
                  <c:v>1.0016815488671791E-2</c:v>
                </c:pt>
                <c:pt idx="2137">
                  <c:v>1.001589699933258E-2</c:v>
                </c:pt>
                <c:pt idx="2138">
                  <c:v>1.0014756852162521E-2</c:v>
                </c:pt>
                <c:pt idx="2139">
                  <c:v>1.0013847939412866E-2</c:v>
                </c:pt>
                <c:pt idx="2140">
                  <c:v>1.0012944346721486E-2</c:v>
                </c:pt>
                <c:pt idx="2141">
                  <c:v>1.0012276247113244E-2</c:v>
                </c:pt>
                <c:pt idx="2142">
                  <c:v>1.0011384360304965E-2</c:v>
                </c:pt>
                <c:pt idx="2143">
                  <c:v>1.0010497793981384E-2</c:v>
                </c:pt>
                <c:pt idx="2144">
                  <c:v>1.0009616548134767E-2</c:v>
                </c:pt>
                <c:pt idx="2145">
                  <c:v>1.0008740622757804E-2</c:v>
                </c:pt>
                <c:pt idx="2146">
                  <c:v>1.0007634511388096E-2</c:v>
                </c:pt>
                <c:pt idx="2147">
                  <c:v>1.0007004733384055E-2</c:v>
                </c:pt>
                <c:pt idx="2148">
                  <c:v>1.0006144769372656E-2</c:v>
                </c:pt>
                <c:pt idx="2149">
                  <c:v>1.0005290125802549E-2</c:v>
                </c:pt>
                <c:pt idx="2150">
                  <c:v>1.0004201021421874E-2</c:v>
                </c:pt>
                <c:pt idx="2151">
                  <c:v>1.0003195559083354E-2</c:v>
                </c:pt>
                <c:pt idx="2152">
                  <c:v>1.0002355093127958E-2</c:v>
                </c:pt>
                <c:pt idx="2153">
                  <c:v>1.0001519946842572E-2</c:v>
                </c:pt>
                <c:pt idx="2154">
                  <c:v>1.0000690120218802E-2</c:v>
                </c:pt>
                <c:pt idx="2155">
                  <c:v>9.9999472180660812E-3</c:v>
                </c:pt>
                <c:pt idx="2156">
                  <c:v>9.9991283880341703E-3</c:v>
                </c:pt>
                <c:pt idx="2157">
                  <c:v>9.9983148777939013E-3</c:v>
                </c:pt>
                <c:pt idx="2158">
                  <c:v>9.9975066873378027E-3</c:v>
                </c:pt>
                <c:pt idx="2159">
                  <c:v>9.9967038166606098E-3</c:v>
                </c:pt>
                <c:pt idx="2160">
                  <c:v>9.995822873015512E-3</c:v>
                </c:pt>
                <c:pt idx="2161">
                  <c:v>9.9950302838442018E-3</c:v>
                </c:pt>
                <c:pt idx="2162">
                  <c:v>9.9942430142837199E-3</c:v>
                </c:pt>
                <c:pt idx="2163">
                  <c:v>9.9934610643270007E-3</c:v>
                </c:pt>
                <c:pt idx="2164">
                  <c:v>9.9927692597227696E-3</c:v>
                </c:pt>
                <c:pt idx="2165">
                  <c:v>9.9919983075810823E-3</c:v>
                </c:pt>
                <c:pt idx="2166">
                  <c:v>9.9912326751730608E-3</c:v>
                </c:pt>
                <c:pt idx="2167">
                  <c:v>9.9904723624929925E-3</c:v>
                </c:pt>
                <c:pt idx="2168">
                  <c:v>9.9896311083887499E-3</c:v>
                </c:pt>
                <c:pt idx="2169">
                  <c:v>9.9888810759283016E-3</c:v>
                </c:pt>
                <c:pt idx="2170">
                  <c:v>9.9881363630278941E-3</c:v>
                </c:pt>
                <c:pt idx="2171">
                  <c:v>9.9873969696826683E-3</c:v>
                </c:pt>
                <c:pt idx="2172">
                  <c:v>9.9866628958877705E-3</c:v>
                </c:pt>
                <c:pt idx="2173">
                  <c:v>9.9859341416365707E-3</c:v>
                </c:pt>
                <c:pt idx="2174">
                  <c:v>9.9852107069228896E-3</c:v>
                </c:pt>
                <c:pt idx="2175">
                  <c:v>9.9844925917409854E-3</c:v>
                </c:pt>
                <c:pt idx="2176">
                  <c:v>9.9837797960859991E-3</c:v>
                </c:pt>
                <c:pt idx="2177">
                  <c:v>9.9835201776908161E-3</c:v>
                </c:pt>
                <c:pt idx="2178">
                  <c:v>9.9828198240417641E-3</c:v>
                </c:pt>
                <c:pt idx="2179">
                  <c:v>9.9821247906427563E-3</c:v>
                </c:pt>
                <c:pt idx="2180">
                  <c:v>9.9814350774877821E-3</c:v>
                </c:pt>
                <c:pt idx="2181">
                  <c:v>9.9804775317385592E-3</c:v>
                </c:pt>
                <c:pt idx="2182">
                  <c:v>9.9797973754339481E-3</c:v>
                </c:pt>
                <c:pt idx="2183">
                  <c:v>9.979122538912857E-3</c:v>
                </c:pt>
                <c:pt idx="2184">
                  <c:v>9.9784530221696099E-3</c:v>
                </c:pt>
                <c:pt idx="2185">
                  <c:v>9.9777888251985254E-3</c:v>
                </c:pt>
                <c:pt idx="2186">
                  <c:v>9.9774085233718425E-3</c:v>
                </c:pt>
                <c:pt idx="2187">
                  <c:v>9.9767560517703639E-3</c:v>
                </c:pt>
                <c:pt idx="2188">
                  <c:v>9.9761089003682201E-3</c:v>
                </c:pt>
                <c:pt idx="2189">
                  <c:v>9.9754670691611126E-3</c:v>
                </c:pt>
                <c:pt idx="2190">
                  <c:v>9.9745476367442843E-3</c:v>
                </c:pt>
                <c:pt idx="2191">
                  <c:v>9.9739153582969805E-3</c:v>
                </c:pt>
                <c:pt idx="2192">
                  <c:v>9.9732883995855854E-3</c:v>
                </c:pt>
                <c:pt idx="2193">
                  <c:v>9.9726667606048567E-3</c:v>
                </c:pt>
                <c:pt idx="2194">
                  <c:v>9.9723377158637602E-3</c:v>
                </c:pt>
                <c:pt idx="2195">
                  <c:v>9.9717278057168558E-3</c:v>
                </c:pt>
                <c:pt idx="2196">
                  <c:v>9.9711232157276009E-3</c:v>
                </c:pt>
                <c:pt idx="2197">
                  <c:v>9.970523945892984E-3</c:v>
                </c:pt>
                <c:pt idx="2198">
                  <c:v>9.9699299962065623E-3</c:v>
                </c:pt>
                <c:pt idx="2199">
                  <c:v>9.969341366664464E-3</c:v>
                </c:pt>
                <c:pt idx="2200">
                  <c:v>9.9687580572619637E-3</c:v>
                </c:pt>
                <c:pt idx="2201">
                  <c:v>9.968180067993904E-3</c:v>
                </c:pt>
                <c:pt idx="2202">
                  <c:v>9.9676073988555578E-3</c:v>
                </c:pt>
                <c:pt idx="2203">
                  <c:v>9.9665450745461386E-3</c:v>
                </c:pt>
                <c:pt idx="2204">
                  <c:v>9.9659812234715768E-3</c:v>
                </c:pt>
                <c:pt idx="2205">
                  <c:v>9.9654226917755464E-3</c:v>
                </c:pt>
                <c:pt idx="2206">
                  <c:v>9.9648694794540697E-3</c:v>
                </c:pt>
                <c:pt idx="2207">
                  <c:v>9.9644216837851667E-3</c:v>
                </c:pt>
                <c:pt idx="2208">
                  <c:v>9.96387749368032E-3</c:v>
                </c:pt>
                <c:pt idx="2209">
                  <c:v>9.9633352262230076E-3</c:v>
                </c:pt>
                <c:pt idx="2210">
                  <c:v>9.9627931829819466E-3</c:v>
                </c:pt>
                <c:pt idx="2211">
                  <c:v>9.9622496655276064E-3</c:v>
                </c:pt>
                <c:pt idx="2212">
                  <c:v>9.9616047202370651E-3</c:v>
                </c:pt>
                <c:pt idx="2213">
                  <c:v>9.9610541640843542E-3</c:v>
                </c:pt>
                <c:pt idx="2214">
                  <c:v>9.9604972169024999E-3</c:v>
                </c:pt>
                <c:pt idx="2215">
                  <c:v>9.9599321709318237E-3</c:v>
                </c:pt>
                <c:pt idx="2216">
                  <c:v>9.9594505201338925E-3</c:v>
                </c:pt>
                <c:pt idx="2217">
                  <c:v>9.9588624904755202E-3</c:v>
                </c:pt>
                <c:pt idx="2218">
                  <c:v>9.9582610976476759E-3</c:v>
                </c:pt>
                <c:pt idx="2219">
                  <c:v>9.9576446432375204E-3</c:v>
                </c:pt>
                <c:pt idx="2220">
                  <c:v>9.9570114288330923E-3</c:v>
                </c:pt>
                <c:pt idx="2221">
                  <c:v>9.9562761863175499E-3</c:v>
                </c:pt>
                <c:pt idx="2222">
                  <c:v>9.9556066317585713E-3</c:v>
                </c:pt>
                <c:pt idx="2223">
                  <c:v>9.9549153164203361E-3</c:v>
                </c:pt>
                <c:pt idx="2224">
                  <c:v>9.9542005325656893E-3</c:v>
                </c:pt>
                <c:pt idx="2225">
                  <c:v>9.9534605724610082E-3</c:v>
                </c:pt>
                <c:pt idx="2226">
                  <c:v>9.952693728376644E-3</c:v>
                </c:pt>
                <c:pt idx="2227">
                  <c:v>9.9518982925860394E-3</c:v>
                </c:pt>
                <c:pt idx="2228">
                  <c:v>9.9510725573661689E-3</c:v>
                </c:pt>
                <c:pt idx="2229">
                  <c:v>9.9505284016064149E-3</c:v>
                </c:pt>
                <c:pt idx="2230">
                  <c:v>9.9496230942483048E-3</c:v>
                </c:pt>
                <c:pt idx="2231">
                  <c:v>9.9486822676402853E-3</c:v>
                </c:pt>
                <c:pt idx="2232">
                  <c:v>9.9477042597578644E-3</c:v>
                </c:pt>
                <c:pt idx="2233">
                  <c:v>9.9465338161677935E-3</c:v>
                </c:pt>
                <c:pt idx="2234">
                  <c:v>9.9454868088646418E-3</c:v>
                </c:pt>
                <c:pt idx="2235">
                  <c:v>9.9444009615815149E-3</c:v>
                </c:pt>
                <c:pt idx="2236">
                  <c:v>9.9432762743813137E-3</c:v>
                </c:pt>
                <c:pt idx="2237">
                  <c:v>9.9421127473308685E-3</c:v>
                </c:pt>
                <c:pt idx="2238">
                  <c:v>9.9410221676279244E-3</c:v>
                </c:pt>
                <c:pt idx="2239">
                  <c:v>9.9397725350760802E-3</c:v>
                </c:pt>
                <c:pt idx="2240">
                  <c:v>9.9384840597075298E-3</c:v>
                </c:pt>
                <c:pt idx="2241">
                  <c:v>9.9371567415996332E-3</c:v>
                </c:pt>
                <c:pt idx="2242">
                  <c:v>9.9357125168056358E-3</c:v>
                </c:pt>
                <c:pt idx="2243">
                  <c:v>9.9343159521733896E-3</c:v>
                </c:pt>
                <c:pt idx="2244">
                  <c:v>9.9328805482194419E-3</c:v>
                </c:pt>
                <c:pt idx="2245">
                  <c:v>9.9314063050276562E-3</c:v>
                </c:pt>
                <c:pt idx="2246">
                  <c:v>9.9298932226849577E-3</c:v>
                </c:pt>
                <c:pt idx="2247">
                  <c:v>9.9283771400377439E-3</c:v>
                </c:pt>
                <c:pt idx="2248">
                  <c:v>9.9267779251095197E-3</c:v>
                </c:pt>
                <c:pt idx="2249">
                  <c:v>9.9251398681433223E-3</c:v>
                </c:pt>
                <c:pt idx="2250">
                  <c:v>9.9234629692362773E-3</c:v>
                </c:pt>
                <c:pt idx="2251">
                  <c:v>9.9217472284902405E-3</c:v>
                </c:pt>
                <c:pt idx="2252">
                  <c:v>9.9199926460066361E-3</c:v>
                </c:pt>
                <c:pt idx="2253">
                  <c:v>9.9181992218911833E-3</c:v>
                </c:pt>
                <c:pt idx="2254">
                  <c:v>9.916366956251756E-3</c:v>
                </c:pt>
                <c:pt idx="2255">
                  <c:v>9.9145476438481719E-3</c:v>
                </c:pt>
                <c:pt idx="2256">
                  <c:v>9.9126518277151427E-3</c:v>
                </c:pt>
                <c:pt idx="2257">
                  <c:v>9.9107171756346157E-3</c:v>
                </c:pt>
                <c:pt idx="2258">
                  <c:v>9.9087436877196514E-3</c:v>
                </c:pt>
                <c:pt idx="2259">
                  <c:v>9.9067313640850748E-3</c:v>
                </c:pt>
                <c:pt idx="2260">
                  <c:v>9.904656244253315E-3</c:v>
                </c:pt>
                <c:pt idx="2261">
                  <c:v>9.9025634181584745E-3</c:v>
                </c:pt>
                <c:pt idx="2262">
                  <c:v>9.9004317556583323E-3</c:v>
                </c:pt>
                <c:pt idx="2263">
                  <c:v>9.8982612568780642E-3</c:v>
                </c:pt>
                <c:pt idx="2264">
                  <c:v>9.8960872143011771E-3</c:v>
                </c:pt>
                <c:pt idx="2265">
                  <c:v>9.8938418788914219E-3</c:v>
                </c:pt>
                <c:pt idx="2266">
                  <c:v>9.8915577086298671E-3</c:v>
                </c:pt>
                <c:pt idx="2267">
                  <c:v>9.8892347036512139E-3</c:v>
                </c:pt>
                <c:pt idx="2268">
                  <c:v>9.8868262233039617E-3</c:v>
                </c:pt>
                <c:pt idx="2269">
                  <c:v>9.8844227095937053E-3</c:v>
                </c:pt>
                <c:pt idx="2270">
                  <c:v>9.881980360540157E-3</c:v>
                </c:pt>
                <c:pt idx="2271">
                  <c:v>9.8794991762891325E-3</c:v>
                </c:pt>
                <c:pt idx="2272">
                  <c:v>9.876979156984253E-3</c:v>
                </c:pt>
                <c:pt idx="2273">
                  <c:v>9.8744811524435275E-3</c:v>
                </c:pt>
                <c:pt idx="2274">
                  <c:v>9.8718863083571869E-3</c:v>
                </c:pt>
                <c:pt idx="2275">
                  <c:v>9.8692526306997895E-3</c:v>
                </c:pt>
                <c:pt idx="2276">
                  <c:v>9.8665801196245861E-3</c:v>
                </c:pt>
                <c:pt idx="2277">
                  <c:v>9.8638687752879151E-3</c:v>
                </c:pt>
                <c:pt idx="2278">
                  <c:v>9.8611185978469962E-3</c:v>
                </c:pt>
                <c:pt idx="2279">
                  <c:v>9.858329587462588E-3</c:v>
                </c:pt>
                <c:pt idx="2280">
                  <c:v>9.8555017442967692E-3</c:v>
                </c:pt>
                <c:pt idx="2281">
                  <c:v>9.8522141440159378E-3</c:v>
                </c:pt>
                <c:pt idx="2282">
                  <c:v>9.8492943687505038E-3</c:v>
                </c:pt>
                <c:pt idx="2283">
                  <c:v>9.8463357560881135E-3</c:v>
                </c:pt>
                <c:pt idx="2284">
                  <c:v>9.8433383062062618E-3</c:v>
                </c:pt>
                <c:pt idx="2285">
                  <c:v>9.840589656097843E-3</c:v>
                </c:pt>
                <c:pt idx="2286">
                  <c:v>9.8375231052445951E-3</c:v>
                </c:pt>
                <c:pt idx="2287">
                  <c:v>9.8344177207721848E-3</c:v>
                </c:pt>
                <c:pt idx="2288">
                  <c:v>9.8312735028653828E-3</c:v>
                </c:pt>
                <c:pt idx="2289">
                  <c:v>9.8280904517089596E-3</c:v>
                </c:pt>
                <c:pt idx="2290">
                  <c:v>9.8245380355099048E-3</c:v>
                </c:pt>
                <c:pt idx="2291">
                  <c:v>9.8212687302451172E-3</c:v>
                </c:pt>
                <c:pt idx="2292">
                  <c:v>9.8179605892620321E-3</c:v>
                </c:pt>
                <c:pt idx="2293">
                  <c:v>9.8146136127583421E-3</c:v>
                </c:pt>
                <c:pt idx="2294">
                  <c:v>9.8115927038272648E-3</c:v>
                </c:pt>
                <c:pt idx="2295">
                  <c:v>9.8081766571921931E-3</c:v>
                </c:pt>
                <c:pt idx="2296">
                  <c:v>9.8047217786690344E-3</c:v>
                </c:pt>
                <c:pt idx="2297">
                  <c:v>9.8012280684600297E-3</c:v>
                </c:pt>
                <c:pt idx="2298">
                  <c:v>9.7976955267717915E-3</c:v>
                </c:pt>
                <c:pt idx="2299">
                  <c:v>9.7937162191990921E-3</c:v>
                </c:pt>
                <c:pt idx="2300">
                  <c:v>9.7900973997966725E-3</c:v>
                </c:pt>
                <c:pt idx="2301">
                  <c:v>9.7864397465424191E-3</c:v>
                </c:pt>
                <c:pt idx="2302">
                  <c:v>9.782743259656803E-3</c:v>
                </c:pt>
                <c:pt idx="2303">
                  <c:v>9.7790079393590013E-3</c:v>
                </c:pt>
                <c:pt idx="2304">
                  <c:v>9.7752337858746392E-3</c:v>
                </c:pt>
                <c:pt idx="2305">
                  <c:v>9.7714207994284864E-3</c:v>
                </c:pt>
                <c:pt idx="2306">
                  <c:v>9.7675689802500347E-3</c:v>
                </c:pt>
                <c:pt idx="2307">
                  <c:v>9.7643136956133622E-3</c:v>
                </c:pt>
                <c:pt idx="2308">
                  <c:v>9.7603957304377726E-3</c:v>
                </c:pt>
                <c:pt idx="2309">
                  <c:v>9.7564389371895578E-3</c:v>
                </c:pt>
                <c:pt idx="2310">
                  <c:v>9.7524433160997414E-3</c:v>
                </c:pt>
                <c:pt idx="2311">
                  <c:v>9.7484088674037409E-3</c:v>
                </c:pt>
                <c:pt idx="2312">
                  <c:v>9.7441627585823313E-3</c:v>
                </c:pt>
                <c:pt idx="2313">
                  <c:v>9.7400477709709086E-3</c:v>
                </c:pt>
                <c:pt idx="2314">
                  <c:v>9.73517675986269E-3</c:v>
                </c:pt>
                <c:pt idx="2315">
                  <c:v>9.7317013123712371E-3</c:v>
                </c:pt>
                <c:pt idx="2316">
                  <c:v>9.7276542181763698E-3</c:v>
                </c:pt>
                <c:pt idx="2317">
                  <c:v>9.7233868088849387E-3</c:v>
                </c:pt>
                <c:pt idx="2318">
                  <c:v>9.7190805736883795E-3</c:v>
                </c:pt>
                <c:pt idx="2319">
                  <c:v>9.7147355128418735E-3</c:v>
                </c:pt>
                <c:pt idx="2320">
                  <c:v>9.7101556910941939E-3</c:v>
                </c:pt>
                <c:pt idx="2321">
                  <c:v>9.7057300874746639E-3</c:v>
                </c:pt>
                <c:pt idx="2322">
                  <c:v>9.7012656580037493E-3</c:v>
                </c:pt>
                <c:pt idx="2323">
                  <c:v>9.6967624029448418E-3</c:v>
                </c:pt>
                <c:pt idx="2324">
                  <c:v>9.6917762084734183E-3</c:v>
                </c:pt>
                <c:pt idx="2325">
                  <c:v>9.6871926528684631E-3</c:v>
                </c:pt>
                <c:pt idx="2326">
                  <c:v>9.6825702734802E-3</c:v>
                </c:pt>
                <c:pt idx="2327">
                  <c:v>9.677909070581376E-3</c:v>
                </c:pt>
                <c:pt idx="2328">
                  <c:v>9.6732090444434232E-3</c:v>
                </c:pt>
                <c:pt idx="2329">
                  <c:v>9.6684701953421645E-3</c:v>
                </c:pt>
                <c:pt idx="2330">
                  <c:v>9.6636925235556188E-3</c:v>
                </c:pt>
                <c:pt idx="2331">
                  <c:v>9.6588760293640028E-3</c:v>
                </c:pt>
                <c:pt idx="2332">
                  <c:v>9.6540207130488501E-3</c:v>
                </c:pt>
                <c:pt idx="2333">
                  <c:v>9.6484236570126419E-3</c:v>
                </c:pt>
                <c:pt idx="2334">
                  <c:v>9.6434819823025594E-3</c:v>
                </c:pt>
                <c:pt idx="2335">
                  <c:v>9.638501483484439E-3</c:v>
                </c:pt>
                <c:pt idx="2336">
                  <c:v>9.6334821608559905E-3</c:v>
                </c:pt>
                <c:pt idx="2337">
                  <c:v>9.6284240147140564E-3</c:v>
                </c:pt>
                <c:pt idx="2338">
                  <c:v>9.6233270453628256E-3</c:v>
                </c:pt>
                <c:pt idx="2339">
                  <c:v>9.6181912531038954E-3</c:v>
                </c:pt>
                <c:pt idx="2340">
                  <c:v>9.6105552163001182E-3</c:v>
                </c:pt>
                <c:pt idx="2341">
                  <c:v>9.6078032010913604E-3</c:v>
                </c:pt>
                <c:pt idx="2342">
                  <c:v>9.6005501056005364E-3</c:v>
                </c:pt>
                <c:pt idx="2343">
                  <c:v>9.5952453010436055E-3</c:v>
                </c:pt>
                <c:pt idx="2344">
                  <c:v>9.5899016761992542E-3</c:v>
                </c:pt>
                <c:pt idx="2345">
                  <c:v>9.5845192313846212E-3</c:v>
                </c:pt>
                <c:pt idx="2346">
                  <c:v>9.5793713614614334E-3</c:v>
                </c:pt>
                <c:pt idx="2347">
                  <c:v>9.5739141952483082E-3</c:v>
                </c:pt>
                <c:pt idx="2348">
                  <c:v>9.5684182109520063E-3</c:v>
                </c:pt>
                <c:pt idx="2349">
                  <c:v>9.5628834088953337E-3</c:v>
                </c:pt>
                <c:pt idx="2350">
                  <c:v>9.5567393649009739E-3</c:v>
                </c:pt>
                <c:pt idx="2351">
                  <c:v>9.5514093611230293E-3</c:v>
                </c:pt>
                <c:pt idx="2352">
                  <c:v>9.5457551855696165E-3</c:v>
                </c:pt>
                <c:pt idx="2353">
                  <c:v>9.5400621926607886E-3</c:v>
                </c:pt>
                <c:pt idx="2354">
                  <c:v>9.5343303827336631E-3</c:v>
                </c:pt>
                <c:pt idx="2355">
                  <c:v>9.5285597561279717E-3</c:v>
                </c:pt>
                <c:pt idx="2356">
                  <c:v>9.5227503131860482E-3</c:v>
                </c:pt>
                <c:pt idx="2357">
                  <c:v>9.5169020542519647E-3</c:v>
                </c:pt>
                <c:pt idx="2358">
                  <c:v>9.5110149796710976E-3</c:v>
                </c:pt>
                <c:pt idx="2359">
                  <c:v>9.5057115941711151E-3</c:v>
                </c:pt>
                <c:pt idx="2360">
                  <c:v>9.4997527480851027E-3</c:v>
                </c:pt>
                <c:pt idx="2361">
                  <c:v>9.4937550892017185E-3</c:v>
                </c:pt>
                <c:pt idx="2362">
                  <c:v>9.48771861787189E-3</c:v>
                </c:pt>
                <c:pt idx="2363">
                  <c:v>9.4816433344500593E-3</c:v>
                </c:pt>
                <c:pt idx="2364">
                  <c:v>9.4752034740697155E-3</c:v>
                </c:pt>
                <c:pt idx="2365">
                  <c:v>9.4693763327538694E-3</c:v>
                </c:pt>
                <c:pt idx="2366">
                  <c:v>9.4631846151989347E-3</c:v>
                </c:pt>
                <c:pt idx="2367">
                  <c:v>9.4569540869899691E-3</c:v>
                </c:pt>
                <c:pt idx="2368">
                  <c:v>9.4506847484906367E-3</c:v>
                </c:pt>
                <c:pt idx="2369">
                  <c:v>9.4443766000689971E-3</c:v>
                </c:pt>
                <c:pt idx="2370">
                  <c:v>9.43802964209574E-3</c:v>
                </c:pt>
                <c:pt idx="2371">
                  <c:v>9.4316438749411195E-3</c:v>
                </c:pt>
                <c:pt idx="2372">
                  <c:v>9.4252192989802211E-3</c:v>
                </c:pt>
                <c:pt idx="2373">
                  <c:v>9.418755914589445E-3</c:v>
                </c:pt>
                <c:pt idx="2374">
                  <c:v>9.4122537221473929E-3</c:v>
                </c:pt>
                <c:pt idx="2375">
                  <c:v>9.4057127220352945E-3</c:v>
                </c:pt>
                <c:pt idx="2376">
                  <c:v>9.3985509361884899E-3</c:v>
                </c:pt>
                <c:pt idx="2377">
                  <c:v>9.3919297223363733E-3</c:v>
                </c:pt>
                <c:pt idx="2378">
                  <c:v>9.3852697028872899E-3</c:v>
                </c:pt>
                <c:pt idx="2379">
                  <c:v>9.3785708782281128E-3</c:v>
                </c:pt>
                <c:pt idx="2380">
                  <c:v>9.3718332487496871E-3</c:v>
                </c:pt>
                <c:pt idx="2381">
                  <c:v>9.3650568148446276E-3</c:v>
                </c:pt>
                <c:pt idx="2382">
                  <c:v>9.3582415769077575E-3</c:v>
                </c:pt>
                <c:pt idx="2383">
                  <c:v>9.3513875353369909E-3</c:v>
                </c:pt>
                <c:pt idx="2384">
                  <c:v>9.344494690530683E-3</c:v>
                </c:pt>
                <c:pt idx="2385">
                  <c:v>9.3363991049524031E-3</c:v>
                </c:pt>
                <c:pt idx="2386">
                  <c:v>9.3294197987572533E-3</c:v>
                </c:pt>
                <c:pt idx="2387">
                  <c:v>9.3224016880246938E-3</c:v>
                </c:pt>
                <c:pt idx="2388">
                  <c:v>9.3153447731683069E-3</c:v>
                </c:pt>
                <c:pt idx="2389">
                  <c:v>9.308649135869141E-3</c:v>
                </c:pt>
                <c:pt idx="2390">
                  <c:v>9.2994728522253801E-3</c:v>
                </c:pt>
                <c:pt idx="2391">
                  <c:v>9.2922913976359097E-3</c:v>
                </c:pt>
                <c:pt idx="2392">
                  <c:v>9.2850711415563315E-3</c:v>
                </c:pt>
                <c:pt idx="2393">
                  <c:v>9.2759452671010278E-3</c:v>
                </c:pt>
                <c:pt idx="2394">
                  <c:v>9.2692662205808418E-3</c:v>
                </c:pt>
                <c:pt idx="2395">
                  <c:v>9.2619206826579752E-3</c:v>
                </c:pt>
                <c:pt idx="2396">
                  <c:v>9.2545363425173242E-3</c:v>
                </c:pt>
                <c:pt idx="2397">
                  <c:v>9.2483878537849978E-3</c:v>
                </c:pt>
                <c:pt idx="2398">
                  <c:v>9.2409347977813819E-3</c:v>
                </c:pt>
                <c:pt idx="2399">
                  <c:v>9.2334429433143083E-3</c:v>
                </c:pt>
                <c:pt idx="2400">
                  <c:v>9.225912290824952E-3</c:v>
                </c:pt>
                <c:pt idx="2401">
                  <c:v>9.217032624095756E-3</c:v>
                </c:pt>
                <c:pt idx="2402">
                  <c:v>9.2094154800125318E-3</c:v>
                </c:pt>
                <c:pt idx="2403">
                  <c:v>9.2017595368552446E-3</c:v>
                </c:pt>
                <c:pt idx="2404">
                  <c:v>9.1940647950824565E-3</c:v>
                </c:pt>
                <c:pt idx="2405">
                  <c:v>9.1863312551544399E-3</c:v>
                </c:pt>
                <c:pt idx="2406">
                  <c:v>9.1799136424286689E-3</c:v>
                </c:pt>
                <c:pt idx="2407">
                  <c:v>9.1707477826893109E-3</c:v>
                </c:pt>
                <c:pt idx="2408">
                  <c:v>9.1628978510852142E-3</c:v>
                </c:pt>
                <c:pt idx="2409">
                  <c:v>9.1550091231927845E-3</c:v>
                </c:pt>
                <c:pt idx="2410">
                  <c:v>9.1484719734518591E-3</c:v>
                </c:pt>
                <c:pt idx="2411">
                  <c:v>9.1414459765356264E-3</c:v>
                </c:pt>
                <c:pt idx="2412">
                  <c:v>9.1334557294025179E-3</c:v>
                </c:pt>
                <c:pt idx="2413">
                  <c:v>9.1254266917348663E-3</c:v>
                </c:pt>
                <c:pt idx="2414">
                  <c:v>9.1173588640003668E-3</c:v>
                </c:pt>
                <c:pt idx="2415">
                  <c:v>9.108774793273414E-3</c:v>
                </c:pt>
                <c:pt idx="2416">
                  <c:v>9.1006264106287468E-3</c:v>
                </c:pt>
                <c:pt idx="2417">
                  <c:v>9.0924392385745914E-3</c:v>
                </c:pt>
                <c:pt idx="2418">
                  <c:v>9.0842132775905676E-3</c:v>
                </c:pt>
                <c:pt idx="2419">
                  <c:v>9.0759485281593638E-3</c:v>
                </c:pt>
                <c:pt idx="2420">
                  <c:v>9.0681373326717742E-3</c:v>
                </c:pt>
                <c:pt idx="2421">
                  <c:v>9.0597979877590305E-3</c:v>
                </c:pt>
                <c:pt idx="2422">
                  <c:v>9.0514198566035604E-3</c:v>
                </c:pt>
                <c:pt idx="2423">
                  <c:v>9.0430029396929307E-3</c:v>
                </c:pt>
                <c:pt idx="2424">
                  <c:v>9.0340429713163216E-3</c:v>
                </c:pt>
                <c:pt idx="2425">
                  <c:v>9.0255455014479104E-3</c:v>
                </c:pt>
                <c:pt idx="2426">
                  <c:v>9.0170092465700104E-3</c:v>
                </c:pt>
                <c:pt idx="2427">
                  <c:v>9.0035167714135281E-3</c:v>
                </c:pt>
                <c:pt idx="2428">
                  <c:v>8.9991033003663408E-3</c:v>
                </c:pt>
                <c:pt idx="2429">
                  <c:v>8.9916869650163017E-3</c:v>
                </c:pt>
                <c:pt idx="2430">
                  <c:v>8.9829985616851436E-3</c:v>
                </c:pt>
                <c:pt idx="2431">
                  <c:v>8.9742713765876819E-3</c:v>
                </c:pt>
                <c:pt idx="2432">
                  <c:v>8.9655054102300256E-3</c:v>
                </c:pt>
                <c:pt idx="2433">
                  <c:v>8.9567006631253599E-3</c:v>
                </c:pt>
                <c:pt idx="2434">
                  <c:v>8.947857135785095E-3</c:v>
                </c:pt>
                <c:pt idx="2435">
                  <c:v>8.9389748287250648E-3</c:v>
                </c:pt>
                <c:pt idx="2436">
                  <c:v>8.9300537424633047E-3</c:v>
                </c:pt>
                <c:pt idx="2437">
                  <c:v>8.9183754306986253E-3</c:v>
                </c:pt>
                <c:pt idx="2438">
                  <c:v>8.9093618253638183E-3</c:v>
                </c:pt>
                <c:pt idx="2439">
                  <c:v>8.9003094389233737E-3</c:v>
                </c:pt>
                <c:pt idx="2440">
                  <c:v>8.8912182719183639E-3</c:v>
                </c:pt>
                <c:pt idx="2441">
                  <c:v>8.8837561992220794E-3</c:v>
                </c:pt>
                <c:pt idx="2442">
                  <c:v>8.8745964586503662E-3</c:v>
                </c:pt>
                <c:pt idx="2443">
                  <c:v>8.8653979411983681E-3</c:v>
                </c:pt>
                <c:pt idx="2444">
                  <c:v>8.856160647407291E-3</c:v>
                </c:pt>
                <c:pt idx="2445">
                  <c:v>8.8468845778227074E-3</c:v>
                </c:pt>
                <c:pt idx="2446">
                  <c:v>8.8358569086827328E-3</c:v>
                </c:pt>
                <c:pt idx="2447">
                  <c:v>8.8264942930992678E-3</c:v>
                </c:pt>
                <c:pt idx="2448">
                  <c:v>8.8170929013709279E-3</c:v>
                </c:pt>
                <c:pt idx="2449">
                  <c:v>8.8076527340615624E-3</c:v>
                </c:pt>
                <c:pt idx="2450">
                  <c:v>8.7999226121862392E-3</c:v>
                </c:pt>
                <c:pt idx="2451">
                  <c:v>8.7904138993902953E-3</c:v>
                </c:pt>
                <c:pt idx="2452">
                  <c:v>8.7808664146727198E-3</c:v>
                </c:pt>
                <c:pt idx="2453">
                  <c:v>8.7695043203471438E-3</c:v>
                </c:pt>
                <c:pt idx="2454">
                  <c:v>8.7598702836548647E-3</c:v>
                </c:pt>
                <c:pt idx="2455">
                  <c:v>8.7501974748067785E-3</c:v>
                </c:pt>
                <c:pt idx="2456">
                  <c:v>8.7404858943826332E-3</c:v>
                </c:pt>
                <c:pt idx="2457">
                  <c:v>8.7307355429643331E-3</c:v>
                </c:pt>
                <c:pt idx="2458">
                  <c:v>8.7227673276812738E-3</c:v>
                </c:pt>
                <c:pt idx="2459">
                  <c:v>8.7111185294810236E-3</c:v>
                </c:pt>
                <c:pt idx="2460">
                  <c:v>8.7012518685905624E-3</c:v>
                </c:pt>
                <c:pt idx="2461">
                  <c:v>8.6913464390541723E-3</c:v>
                </c:pt>
                <c:pt idx="2462">
                  <c:v>8.6832592367028557E-3</c:v>
                </c:pt>
                <c:pt idx="2463">
                  <c:v>8.6745278280925976E-3</c:v>
                </c:pt>
                <c:pt idx="2464">
                  <c:v>8.6645211434735522E-3</c:v>
                </c:pt>
                <c:pt idx="2465">
                  <c:v>8.6544756956439643E-3</c:v>
                </c:pt>
                <c:pt idx="2466">
                  <c:v>8.6443914851894437E-3</c:v>
                </c:pt>
                <c:pt idx="2467">
                  <c:v>8.6336359695056205E-3</c:v>
                </c:pt>
                <c:pt idx="2468">
                  <c:v>8.6234746563033302E-3</c:v>
                </c:pt>
                <c:pt idx="2469">
                  <c:v>8.6132798687041604E-3</c:v>
                </c:pt>
                <c:pt idx="2470">
                  <c:v>8.6030540745199967E-3</c:v>
                </c:pt>
                <c:pt idx="2471">
                  <c:v>8.5927997415131008E-3</c:v>
                </c:pt>
                <c:pt idx="2472">
                  <c:v>8.5831615507770097E-3</c:v>
                </c:pt>
                <c:pt idx="2473">
                  <c:v>8.5728585289879134E-3</c:v>
                </c:pt>
                <c:pt idx="2474">
                  <c:v>8.5625341145193663E-3</c:v>
                </c:pt>
                <c:pt idx="2475">
                  <c:v>8.5521907885093146E-3</c:v>
                </c:pt>
                <c:pt idx="2476">
                  <c:v>8.5411863623543697E-3</c:v>
                </c:pt>
                <c:pt idx="2477">
                  <c:v>8.5308126166330316E-3</c:v>
                </c:pt>
                <c:pt idx="2478">
                  <c:v>8.5204276050228119E-3</c:v>
                </c:pt>
                <c:pt idx="2479">
                  <c:v>8.5100337948823372E-3</c:v>
                </c:pt>
                <c:pt idx="2480">
                  <c:v>8.5002773215851826E-3</c:v>
                </c:pt>
                <c:pt idx="2481">
                  <c:v>8.489872627359429E-3</c:v>
                </c:pt>
                <c:pt idx="2482">
                  <c:v>8.4794663881246918E-3</c:v>
                </c:pt>
                <c:pt idx="2483">
                  <c:v>8.4690610846064312E-3</c:v>
                </c:pt>
                <c:pt idx="2484">
                  <c:v>8.4586591974815262E-3</c:v>
                </c:pt>
                <c:pt idx="2485">
                  <c:v>8.4482632073725368E-3</c:v>
                </c:pt>
                <c:pt idx="2486">
                  <c:v>8.437875594852557E-3</c:v>
                </c:pt>
                <c:pt idx="2487">
                  <c:v>8.4274988404412412E-3</c:v>
                </c:pt>
                <c:pt idx="2488">
                  <c:v>8.4171354246087883E-3</c:v>
                </c:pt>
                <c:pt idx="2489">
                  <c:v>8.4036228647119023E-3</c:v>
                </c:pt>
                <c:pt idx="2490">
                  <c:v>8.3933012443775587E-3</c:v>
                </c:pt>
                <c:pt idx="2491">
                  <c:v>8.3830005313345959E-3</c:v>
                </c:pt>
                <c:pt idx="2492">
                  <c:v>8.3727231382565177E-3</c:v>
                </c:pt>
                <c:pt idx="2493">
                  <c:v>8.3643507030027528E-3</c:v>
                </c:pt>
                <c:pt idx="2494">
                  <c:v>8.3541191070248613E-3</c:v>
                </c:pt>
                <c:pt idx="2495">
                  <c:v>8.3439128977591537E-3</c:v>
                </c:pt>
                <c:pt idx="2496">
                  <c:v>8.3337320748120679E-3</c:v>
                </c:pt>
                <c:pt idx="2497">
                  <c:v>8.3235766377926599E-3</c:v>
                </c:pt>
                <c:pt idx="2498">
                  <c:v>8.3115904366996615E-3</c:v>
                </c:pt>
                <c:pt idx="2499">
                  <c:v>8.3014905122553492E-3</c:v>
                </c:pt>
                <c:pt idx="2500">
                  <c:v>8.2914159750822475E-3</c:v>
                </c:pt>
                <c:pt idx="2501">
                  <c:v>8.2813668247854032E-3</c:v>
                </c:pt>
                <c:pt idx="2502">
                  <c:v>8.2731802279508767E-3</c:v>
                </c:pt>
                <c:pt idx="2503">
                  <c:v>8.2631770983178435E-3</c:v>
                </c:pt>
                <c:pt idx="2504">
                  <c:v>8.2531993518964088E-3</c:v>
                </c:pt>
                <c:pt idx="2505">
                  <c:v>8.2432469883013063E-3</c:v>
                </c:pt>
                <c:pt idx="2506">
                  <c:v>8.2315018627265504E-3</c:v>
                </c:pt>
                <c:pt idx="2507">
                  <c:v>8.2216050254680165E-3</c:v>
                </c:pt>
                <c:pt idx="2508">
                  <c:v>8.2117335723550216E-3</c:v>
                </c:pt>
                <c:pt idx="2509">
                  <c:v>8.2018875030007779E-3</c:v>
                </c:pt>
                <c:pt idx="2510">
                  <c:v>8.192066817020215E-3</c:v>
                </c:pt>
                <c:pt idx="2511">
                  <c:v>8.1822715140291279E-3</c:v>
                </c:pt>
                <c:pt idx="2512">
                  <c:v>8.1725015936441638E-3</c:v>
                </c:pt>
                <c:pt idx="2513">
                  <c:v>8.1627570554836954E-3</c:v>
                </c:pt>
                <c:pt idx="2514">
                  <c:v>8.1530378991652303E-3</c:v>
                </c:pt>
                <c:pt idx="2515">
                  <c:v>8.1457113433974354E-3</c:v>
                </c:pt>
                <c:pt idx="2516">
                  <c:v>8.1360365714503412E-3</c:v>
                </c:pt>
                <c:pt idx="2517">
                  <c:v>8.1263871769923692E-3</c:v>
                </c:pt>
                <c:pt idx="2518">
                  <c:v>8.1167631596554615E-3</c:v>
                </c:pt>
                <c:pt idx="2519">
                  <c:v>8.1071645190702417E-3</c:v>
                </c:pt>
                <c:pt idx="2520">
                  <c:v>8.0970072154023624E-3</c:v>
                </c:pt>
                <c:pt idx="2521">
                  <c:v>8.0874609255969353E-3</c:v>
                </c:pt>
                <c:pt idx="2522">
                  <c:v>8.077940012238681E-3</c:v>
                </c:pt>
                <c:pt idx="2523">
                  <c:v>8.068444474960244E-3</c:v>
                </c:pt>
                <c:pt idx="2524">
                  <c:v>8.0595519545941345E-3</c:v>
                </c:pt>
                <c:pt idx="2525">
                  <c:v>8.0501055668368432E-3</c:v>
                </c:pt>
                <c:pt idx="2526">
                  <c:v>8.0406845532803133E-3</c:v>
                </c:pt>
                <c:pt idx="2527">
                  <c:v>8.031288913562638E-3</c:v>
                </c:pt>
                <c:pt idx="2528">
                  <c:v>8.0213474170148531E-3</c:v>
                </c:pt>
                <c:pt idx="2529">
                  <c:v>8.0120041285768346E-3</c:v>
                </c:pt>
                <c:pt idx="2530">
                  <c:v>8.0026862136803375E-3</c:v>
                </c:pt>
                <c:pt idx="2531">
                  <c:v>7.9933936719676114E-3</c:v>
                </c:pt>
                <c:pt idx="2532">
                  <c:v>7.9841265030809131E-3</c:v>
                </c:pt>
                <c:pt idx="2533">
                  <c:v>7.975447905807698E-3</c:v>
                </c:pt>
                <c:pt idx="2534">
                  <c:v>7.9662298729489128E-3</c:v>
                </c:pt>
                <c:pt idx="2535">
                  <c:v>7.9570372110785159E-3</c:v>
                </c:pt>
                <c:pt idx="2536">
                  <c:v>7.9478699198451373E-3</c:v>
                </c:pt>
                <c:pt idx="2537">
                  <c:v>7.9387279988982918E-3</c:v>
                </c:pt>
                <c:pt idx="2538">
                  <c:v>7.929611447887926E-3</c:v>
                </c:pt>
                <c:pt idx="2539">
                  <c:v>7.9205202664639918E-3</c:v>
                </c:pt>
                <c:pt idx="2540">
                  <c:v>7.9114544542799523E-3</c:v>
                </c:pt>
                <c:pt idx="2541">
                  <c:v>7.9002136491995896E-3</c:v>
                </c:pt>
                <c:pt idx="2542">
                  <c:v>7.8912050337171854E-3</c:v>
                </c:pt>
                <c:pt idx="2543">
                  <c:v>7.882221789453886E-3</c:v>
                </c:pt>
                <c:pt idx="2544">
                  <c:v>7.873263916057284E-3</c:v>
                </c:pt>
                <c:pt idx="2545">
                  <c:v>7.8659620737248533E-3</c:v>
                </c:pt>
                <c:pt idx="2546">
                  <c:v>7.857050087388193E-3</c:v>
                </c:pt>
                <c:pt idx="2547">
                  <c:v>7.8481634686288597E-3</c:v>
                </c:pt>
                <c:pt idx="2548">
                  <c:v>7.8393022171057078E-3</c:v>
                </c:pt>
                <c:pt idx="2549">
                  <c:v>7.8304663324771512E-3</c:v>
                </c:pt>
                <c:pt idx="2550">
                  <c:v>7.8200494443236481E-3</c:v>
                </c:pt>
                <c:pt idx="2551">
                  <c:v>7.8112691572378642E-3</c:v>
                </c:pt>
                <c:pt idx="2552">
                  <c:v>7.8025142382433643E-3</c:v>
                </c:pt>
                <c:pt idx="2553">
                  <c:v>7.7937846869971959E-3</c:v>
                </c:pt>
                <c:pt idx="2554">
                  <c:v>7.7866674008808361E-3</c:v>
                </c:pt>
                <c:pt idx="2555">
                  <c:v>7.7779837105112232E-3</c:v>
                </c:pt>
                <c:pt idx="2556">
                  <c:v>7.7693253846761274E-3</c:v>
                </c:pt>
                <c:pt idx="2557">
                  <c:v>7.760692423041826E-3</c:v>
                </c:pt>
                <c:pt idx="2558">
                  <c:v>7.7520848252767803E-3</c:v>
                </c:pt>
                <c:pt idx="2559">
                  <c:v>7.7419400831824428E-3</c:v>
                </c:pt>
                <c:pt idx="2560">
                  <c:v>7.7333880966686547E-3</c:v>
                </c:pt>
                <c:pt idx="2561">
                  <c:v>7.7248614751995546E-3</c:v>
                </c:pt>
                <c:pt idx="2562">
                  <c:v>7.7163602184407874E-3</c:v>
                </c:pt>
                <c:pt idx="2563">
                  <c:v>7.7078843260610036E-3</c:v>
                </c:pt>
                <c:pt idx="2564">
                  <c:v>7.6994337977262777E-3</c:v>
                </c:pt>
                <c:pt idx="2565">
                  <c:v>7.6910086331082707E-3</c:v>
                </c:pt>
                <c:pt idx="2566">
                  <c:v>7.6826088318764927E-3</c:v>
                </c:pt>
                <c:pt idx="2567">
                  <c:v>7.6767740887053234E-3</c:v>
                </c:pt>
                <c:pt idx="2568">
                  <c:v>7.6684168442645324E-3</c:v>
                </c:pt>
                <c:pt idx="2569">
                  <c:v>7.6600849586848287E-3</c:v>
                </c:pt>
                <c:pt idx="2570">
                  <c:v>7.6517784316473538E-3</c:v>
                </c:pt>
                <c:pt idx="2571">
                  <c:v>7.643497262837219E-3</c:v>
                </c:pt>
                <c:pt idx="2572">
                  <c:v>7.6347413909879196E-3</c:v>
                </c:pt>
                <c:pt idx="2573">
                  <c:v>7.6265125748174786E-3</c:v>
                </c:pt>
                <c:pt idx="2574">
                  <c:v>7.6183091166308814E-3</c:v>
                </c:pt>
                <c:pt idx="2575">
                  <c:v>7.6101310161158509E-3</c:v>
                </c:pt>
                <c:pt idx="2576">
                  <c:v>7.6024717811871284E-3</c:v>
                </c:pt>
                <c:pt idx="2577">
                  <c:v>7.5943427551518365E-3</c:v>
                </c:pt>
                <c:pt idx="2578">
                  <c:v>7.5862390851560227E-3</c:v>
                </c:pt>
                <c:pt idx="2579">
                  <c:v>7.5781607708931917E-3</c:v>
                </c:pt>
                <c:pt idx="2580">
                  <c:v>7.569620867676141E-3</c:v>
                </c:pt>
                <c:pt idx="2581">
                  <c:v>7.5615949066449792E-3</c:v>
                </c:pt>
                <c:pt idx="2582">
                  <c:v>7.5535943011139344E-3</c:v>
                </c:pt>
                <c:pt idx="2583">
                  <c:v>7.5456190507755599E-3</c:v>
                </c:pt>
                <c:pt idx="2584">
                  <c:v>7.5365355257458258E-3</c:v>
                </c:pt>
                <c:pt idx="2585">
                  <c:v>7.5290930958898479E-3</c:v>
                </c:pt>
                <c:pt idx="2586">
                  <c:v>7.521195885111933E-3</c:v>
                </c:pt>
                <c:pt idx="2587">
                  <c:v>7.5133240275894247E-3</c:v>
                </c:pt>
                <c:pt idx="2588">
                  <c:v>7.505477523023777E-3</c:v>
                </c:pt>
                <c:pt idx="2589">
                  <c:v>7.4976563711160026E-3</c:v>
                </c:pt>
                <c:pt idx="2590">
                  <c:v>7.4898605715679988E-3</c:v>
                </c:pt>
                <c:pt idx="2591">
                  <c:v>7.4820901240825431E-3</c:v>
                </c:pt>
                <c:pt idx="2592">
                  <c:v>7.4743450283650649E-3</c:v>
                </c:pt>
                <c:pt idx="2593">
                  <c:v>7.4647649888413842E-3</c:v>
                </c:pt>
                <c:pt idx="2594">
                  <c:v>7.4570772027281618E-3</c:v>
                </c:pt>
                <c:pt idx="2595">
                  <c:v>7.449414770165118E-3</c:v>
                </c:pt>
                <c:pt idx="2596">
                  <c:v>7.4417776908567053E-3</c:v>
                </c:pt>
                <c:pt idx="2597">
                  <c:v>7.4355411260414919E-3</c:v>
                </c:pt>
                <c:pt idx="2598">
                  <c:v>7.4265795908107805E-3</c:v>
                </c:pt>
                <c:pt idx="2599">
                  <c:v>7.4190185694821735E-3</c:v>
                </c:pt>
                <c:pt idx="2600">
                  <c:v>7.4080929850986786E-3</c:v>
                </c:pt>
                <c:pt idx="2601">
                  <c:v>7.4039725827441437E-3</c:v>
                </c:pt>
                <c:pt idx="2602">
                  <c:v>7.3964876167488119E-3</c:v>
                </c:pt>
                <c:pt idx="2603">
                  <c:v>7.3890280019474879E-3</c:v>
                </c:pt>
                <c:pt idx="2604">
                  <c:v>7.381593738049811E-3</c:v>
                </c:pt>
                <c:pt idx="2605">
                  <c:v>7.3741848247671467E-3</c:v>
                </c:pt>
                <c:pt idx="2606">
                  <c:v>7.3668012618104293E-3</c:v>
                </c:pt>
                <c:pt idx="2607">
                  <c:v>7.3594430488927521E-3</c:v>
                </c:pt>
                <c:pt idx="2608">
                  <c:v>7.3521101857276427E-3</c:v>
                </c:pt>
                <c:pt idx="2609">
                  <c:v>7.3448026720307879E-3</c:v>
                </c:pt>
                <c:pt idx="2610">
                  <c:v>7.3375205075157128E-3</c:v>
                </c:pt>
                <c:pt idx="2611">
                  <c:v>7.330263691901563E-3</c:v>
                </c:pt>
                <c:pt idx="2612">
                  <c:v>7.3230322249044555E-3</c:v>
                </c:pt>
                <c:pt idx="2613">
                  <c:v>7.3158261062439677E-3</c:v>
                </c:pt>
                <c:pt idx="2614">
                  <c:v>7.30864533563881E-3</c:v>
                </c:pt>
                <c:pt idx="2615">
                  <c:v>7.3014899128102861E-3</c:v>
                </c:pt>
                <c:pt idx="2616">
                  <c:v>7.2943598374797013E-3</c:v>
                </c:pt>
                <c:pt idx="2617">
                  <c:v>7.2872551093700871E-3</c:v>
                </c:pt>
                <c:pt idx="2618">
                  <c:v>7.2801757282040438E-3</c:v>
                </c:pt>
                <c:pt idx="2619">
                  <c:v>7.2748093577214802E-3</c:v>
                </c:pt>
                <c:pt idx="2620">
                  <c:v>7.2677739953218648E-3</c:v>
                </c:pt>
                <c:pt idx="2621">
                  <c:v>7.2607639765323324E-3</c:v>
                </c:pt>
                <c:pt idx="2622">
                  <c:v>7.2537793010852523E-3</c:v>
                </c:pt>
                <c:pt idx="2623">
                  <c:v>7.2464045001846009E-3</c:v>
                </c:pt>
                <c:pt idx="2624">
                  <c:v>7.2394721815735802E-3</c:v>
                </c:pt>
                <c:pt idx="2625">
                  <c:v>7.2309182410894056E-3</c:v>
                </c:pt>
                <c:pt idx="2626">
                  <c:v>7.2256835735986123E-3</c:v>
                </c:pt>
                <c:pt idx="2627">
                  <c:v>7.2188272837071755E-3</c:v>
                </c:pt>
                <c:pt idx="2628">
                  <c:v>7.2124034437826921E-3</c:v>
                </c:pt>
                <c:pt idx="2629">
                  <c:v>7.2055961643459794E-3</c:v>
                </c:pt>
                <c:pt idx="2630">
                  <c:v>7.1988142261517419E-3</c:v>
                </c:pt>
                <c:pt idx="2631">
                  <c:v>7.1920576289425048E-3</c:v>
                </c:pt>
                <c:pt idx="2632">
                  <c:v>7.184925964743666E-3</c:v>
                </c:pt>
                <c:pt idx="2633">
                  <c:v>7.1782217252337457E-3</c:v>
                </c:pt>
                <c:pt idx="2634">
                  <c:v>7.171542826549966E-3</c:v>
                </c:pt>
                <c:pt idx="2635">
                  <c:v>7.1648892684362678E-3</c:v>
                </c:pt>
                <c:pt idx="2636">
                  <c:v>7.1566075433967388E-3</c:v>
                </c:pt>
                <c:pt idx="2637">
                  <c:v>7.1488361252610624E-3</c:v>
                </c:pt>
                <c:pt idx="2638">
                  <c:v>7.142269447178007E-3</c:v>
                </c:pt>
                <c:pt idx="2639">
                  <c:v>7.1357281085454886E-3</c:v>
                </c:pt>
                <c:pt idx="2640">
                  <c:v>7.1292121091127208E-3</c:v>
                </c:pt>
                <c:pt idx="2641">
                  <c:v>7.1227214486311091E-3</c:v>
                </c:pt>
                <c:pt idx="2642">
                  <c:v>7.1162561268520623E-3</c:v>
                </c:pt>
                <c:pt idx="2643">
                  <c:v>7.1098161435278664E-3</c:v>
                </c:pt>
                <c:pt idx="2644">
                  <c:v>7.1034014984116857E-3</c:v>
                </c:pt>
                <c:pt idx="2645">
                  <c:v>7.0962569696995399E-3</c:v>
                </c:pt>
                <c:pt idx="2646">
                  <c:v>7.0898963696811165E-3</c:v>
                </c:pt>
                <c:pt idx="2647">
                  <c:v>7.0835611083221242E-3</c:v>
                </c:pt>
                <c:pt idx="2648">
                  <c:v>7.0772511853784102E-3</c:v>
                </c:pt>
                <c:pt idx="2649">
                  <c:v>7.071337391018645E-3</c:v>
                </c:pt>
                <c:pt idx="2650">
                  <c:v>7.0650764570615717E-3</c:v>
                </c:pt>
                <c:pt idx="2651">
                  <c:v>7.0570639148178869E-3</c:v>
                </c:pt>
                <c:pt idx="2652">
                  <c:v>7.0526306002006147E-3</c:v>
                </c:pt>
                <c:pt idx="2653">
                  <c:v>7.0464456768171146E-3</c:v>
                </c:pt>
                <c:pt idx="2654">
                  <c:v>7.0399237408170154E-3</c:v>
                </c:pt>
                <c:pt idx="2655">
                  <c:v>7.033791179994379E-3</c:v>
                </c:pt>
                <c:pt idx="2656">
                  <c:v>7.0276839556598679E-3</c:v>
                </c:pt>
                <c:pt idx="2657">
                  <c:v>7.0216020675784516E-3</c:v>
                </c:pt>
                <c:pt idx="2658">
                  <c:v>7.0159011008902048E-3</c:v>
                </c:pt>
                <c:pt idx="2659">
                  <c:v>7.0098681922567824E-3</c:v>
                </c:pt>
                <c:pt idx="2660">
                  <c:v>7.0038606185963857E-3</c:v>
                </c:pt>
                <c:pt idx="2661">
                  <c:v>6.9978783796788178E-3</c:v>
                </c:pt>
                <c:pt idx="2662">
                  <c:v>6.9912240072813612E-3</c:v>
                </c:pt>
                <c:pt idx="2663">
                  <c:v>6.9856427872850221E-3</c:v>
                </c:pt>
                <c:pt idx="2664">
                  <c:v>6.9797382464378962E-3</c:v>
                </c:pt>
                <c:pt idx="2665">
                  <c:v>6.9738590399883926E-3</c:v>
                </c:pt>
                <c:pt idx="2666">
                  <c:v>6.9680051677093032E-3</c:v>
                </c:pt>
                <c:pt idx="2667">
                  <c:v>6.9621766293738521E-3</c:v>
                </c:pt>
                <c:pt idx="2668">
                  <c:v>6.956373424755264E-3</c:v>
                </c:pt>
                <c:pt idx="2669">
                  <c:v>6.9505955536319783E-3</c:v>
                </c:pt>
                <c:pt idx="2670">
                  <c:v>6.9448430157780872E-3</c:v>
                </c:pt>
                <c:pt idx="2671">
                  <c:v>6.9397830490971826E-3</c:v>
                </c:pt>
                <c:pt idx="2672">
                  <c:v>6.9340777776928609E-3</c:v>
                </c:pt>
                <c:pt idx="2673">
                  <c:v>6.9283978377718243E-3</c:v>
                </c:pt>
                <c:pt idx="2674">
                  <c:v>6.9227432291162246E-3</c:v>
                </c:pt>
                <c:pt idx="2675">
                  <c:v>6.9184231154132952E-3</c:v>
                </c:pt>
                <c:pt idx="2676">
                  <c:v>6.9115100047378499E-3</c:v>
                </c:pt>
                <c:pt idx="2677">
                  <c:v>6.9059313885846511E-3</c:v>
                </c:pt>
                <c:pt idx="2678">
                  <c:v>6.9003781028373562E-3</c:v>
                </c:pt>
                <c:pt idx="2679">
                  <c:v>6.8948501472829498E-3</c:v>
                </c:pt>
                <c:pt idx="2680">
                  <c:v>6.8893475217110508E-3</c:v>
                </c:pt>
                <c:pt idx="2681">
                  <c:v>6.8838702259103992E-3</c:v>
                </c:pt>
                <c:pt idx="2682">
                  <c:v>6.8784182596710527E-3</c:v>
                </c:pt>
                <c:pt idx="2683">
                  <c:v>6.8729916227843876E-3</c:v>
                </c:pt>
                <c:pt idx="2684">
                  <c:v>6.867590315043976E-3</c:v>
                </c:pt>
                <c:pt idx="2685">
                  <c:v>6.8622143362411922E-3</c:v>
                </c:pt>
                <c:pt idx="2686">
                  <c:v>6.8568636861722444E-3</c:v>
                </c:pt>
                <c:pt idx="2687">
                  <c:v>6.8515383646315826E-3</c:v>
                </c:pt>
                <c:pt idx="2688">
                  <c:v>6.8457879400118512E-3</c:v>
                </c:pt>
                <c:pt idx="2689">
                  <c:v>6.8405151841388259E-3</c:v>
                </c:pt>
                <c:pt idx="2690">
                  <c:v>6.835267755613092E-3</c:v>
                </c:pt>
                <c:pt idx="2691">
                  <c:v>6.830045654237238E-3</c:v>
                </c:pt>
                <c:pt idx="2692">
                  <c:v>6.8248488798098783E-3</c:v>
                </c:pt>
                <c:pt idx="2693">
                  <c:v>6.8196774321349265E-3</c:v>
                </c:pt>
                <c:pt idx="2694">
                  <c:v>6.8145313110149711E-3</c:v>
                </c:pt>
                <c:pt idx="2695">
                  <c:v>6.8094105162548107E-3</c:v>
                </c:pt>
                <c:pt idx="2696">
                  <c:v>6.8043150476592403E-3</c:v>
                </c:pt>
                <c:pt idx="2697">
                  <c:v>6.7983776587510689E-3</c:v>
                </c:pt>
                <c:pt idx="2698">
                  <c:v>6.7933379838658334E-3</c:v>
                </c:pt>
                <c:pt idx="2699">
                  <c:v>6.7883236361674665E-3</c:v>
                </c:pt>
                <c:pt idx="2700">
                  <c:v>6.7833346154600391E-3</c:v>
                </c:pt>
                <c:pt idx="2701">
                  <c:v>6.7772389477325631E-3</c:v>
                </c:pt>
                <c:pt idx="2702">
                  <c:v>6.7723061002285421E-3</c:v>
                </c:pt>
                <c:pt idx="2703">
                  <c:v>6.7673985785564449E-3</c:v>
                </c:pt>
                <c:pt idx="2704">
                  <c:v>6.762516382527132E-3</c:v>
                </c:pt>
                <c:pt idx="2705">
                  <c:v>6.7564189838558407E-3</c:v>
                </c:pt>
                <c:pt idx="2706">
                  <c:v>6.7520094911929689E-3</c:v>
                </c:pt>
                <c:pt idx="2707">
                  <c:v>6.7472084281258631E-3</c:v>
                </c:pt>
                <c:pt idx="2708">
                  <c:v>6.7424326915300004E-3</c:v>
                </c:pt>
                <c:pt idx="2709">
                  <c:v>6.7384852804968564E-3</c:v>
                </c:pt>
                <c:pt idx="2710">
                  <c:v>6.7337550344187449E-3</c:v>
                </c:pt>
                <c:pt idx="2711">
                  <c:v>6.7290501126895897E-3</c:v>
                </c:pt>
                <c:pt idx="2712">
                  <c:v>6.7243705151281159E-3</c:v>
                </c:pt>
                <c:pt idx="2713">
                  <c:v>6.7189338991084056E-3</c:v>
                </c:pt>
                <c:pt idx="2714">
                  <c:v>6.714310117448918E-3</c:v>
                </c:pt>
                <c:pt idx="2715">
                  <c:v>6.7097116609739615E-3</c:v>
                </c:pt>
                <c:pt idx="2716">
                  <c:v>6.7051385295030337E-3</c:v>
                </c:pt>
                <c:pt idx="2717">
                  <c:v>6.7005907228573532E-3</c:v>
                </c:pt>
                <c:pt idx="2718">
                  <c:v>6.6968247272741485E-3</c:v>
                </c:pt>
                <c:pt idx="2719">
                  <c:v>6.691571083332625E-3</c:v>
                </c:pt>
                <c:pt idx="2720">
                  <c:v>6.6870992501003122E-3</c:v>
                </c:pt>
                <c:pt idx="2721">
                  <c:v>6.6826527409880035E-3</c:v>
                </c:pt>
                <c:pt idx="2722">
                  <c:v>6.6789673296269994E-3</c:v>
                </c:pt>
                <c:pt idx="2723">
                  <c:v>6.6748101402449682E-3</c:v>
                </c:pt>
                <c:pt idx="2724">
                  <c:v>6.6704326912386145E-3</c:v>
                </c:pt>
                <c:pt idx="2725">
                  <c:v>6.6660805636260343E-3</c:v>
                </c:pt>
                <c:pt idx="2726">
                  <c:v>6.6617537572407669E-3</c:v>
                </c:pt>
                <c:pt idx="2727">
                  <c:v>6.6572154194038131E-3</c:v>
                </c:pt>
                <c:pt idx="2728">
                  <c:v>6.6529414748285132E-3</c:v>
                </c:pt>
                <c:pt idx="2729">
                  <c:v>6.6477624288060711E-3</c:v>
                </c:pt>
                <c:pt idx="2730">
                  <c:v>6.6444721663971142E-3</c:v>
                </c:pt>
                <c:pt idx="2731">
                  <c:v>6.6402775068257315E-3</c:v>
                </c:pt>
                <c:pt idx="2732">
                  <c:v>6.6363374081187202E-3</c:v>
                </c:pt>
                <c:pt idx="2733">
                  <c:v>6.6321953437656744E-3</c:v>
                </c:pt>
                <c:pt idx="2734">
                  <c:v>6.6280810789770368E-3</c:v>
                </c:pt>
                <c:pt idx="2735">
                  <c:v>6.6239949678168391E-3</c:v>
                </c:pt>
                <c:pt idx="2736">
                  <c:v>6.6197182409242078E-3</c:v>
                </c:pt>
                <c:pt idx="2737">
                  <c:v>6.6156916590719992E-3</c:v>
                </c:pt>
                <c:pt idx="2738">
                  <c:v>6.6116943226333146E-3</c:v>
                </c:pt>
                <c:pt idx="2739">
                  <c:v>6.6054727285688964E-3</c:v>
                </c:pt>
                <c:pt idx="2740">
                  <c:v>6.6034387102376323E-3</c:v>
                </c:pt>
                <c:pt idx="2741">
                  <c:v>6.6000893544150519E-3</c:v>
                </c:pt>
                <c:pt idx="2742">
                  <c:v>6.5962102323058082E-3</c:v>
                </c:pt>
                <c:pt idx="2743">
                  <c:v>6.592362096280154E-3</c:v>
                </c:pt>
                <c:pt idx="2744">
                  <c:v>6.5885453003880646E-3</c:v>
                </c:pt>
                <c:pt idx="2745">
                  <c:v>6.5847601986790769E-3</c:v>
                </c:pt>
                <c:pt idx="2746">
                  <c:v>6.5810071452009726E-3</c:v>
                </c:pt>
                <c:pt idx="2747">
                  <c:v>6.5772864940010908E-3</c:v>
                </c:pt>
                <c:pt idx="2748">
                  <c:v>6.5735985991245771E-3</c:v>
                </c:pt>
                <c:pt idx="2749">
                  <c:v>6.5691880207049518E-3</c:v>
                </c:pt>
                <c:pt idx="2750">
                  <c:v>6.5655762781624905E-3</c:v>
                </c:pt>
                <c:pt idx="2751">
                  <c:v>6.5619983718643729E-3</c:v>
                </c:pt>
                <c:pt idx="2752">
                  <c:v>6.5584546482586308E-3</c:v>
                </c:pt>
                <c:pt idx="2753">
                  <c:v>6.5554831102281443E-3</c:v>
                </c:pt>
                <c:pt idx="2754">
                  <c:v>6.5520011778022608E-3</c:v>
                </c:pt>
                <c:pt idx="2755">
                  <c:v>6.5485537721971243E-3</c:v>
                </c:pt>
                <c:pt idx="2756">
                  <c:v>6.5451408932327686E-3</c:v>
                </c:pt>
                <c:pt idx="2757">
                  <c:v>6.5417625407296663E-3</c:v>
                </c:pt>
                <c:pt idx="2758">
                  <c:v>6.537917065369242E-3</c:v>
                </c:pt>
                <c:pt idx="2759">
                  <c:v>6.5346149840804094E-3</c:v>
                </c:pt>
                <c:pt idx="2760">
                  <c:v>6.5313474306577341E-3</c:v>
                </c:pt>
                <c:pt idx="2761">
                  <c:v>6.5281144049245832E-3</c:v>
                </c:pt>
                <c:pt idx="2762">
                  <c:v>6.5253886689927224E-3</c:v>
                </c:pt>
                <c:pt idx="2763">
                  <c:v>6.5222174715984238E-3</c:v>
                </c:pt>
                <c:pt idx="2764">
                  <c:v>6.5190807994619697E-3</c:v>
                </c:pt>
                <c:pt idx="2765">
                  <c:v>6.5159786524199934E-3</c:v>
                </c:pt>
                <c:pt idx="2766">
                  <c:v>6.5124671856554885E-3</c:v>
                </c:pt>
                <c:pt idx="2767">
                  <c:v>6.5094413225113565E-3</c:v>
                </c:pt>
                <c:pt idx="2768">
                  <c:v>6.5064499858903703E-3</c:v>
                </c:pt>
                <c:pt idx="2769">
                  <c:v>6.503493175631799E-3</c:v>
                </c:pt>
                <c:pt idx="2770">
                  <c:v>6.500570891579207E-3</c:v>
                </c:pt>
                <c:pt idx="2771">
                  <c:v>6.497683133576162E-3</c:v>
                </c:pt>
                <c:pt idx="2772">
                  <c:v>6.4948299014683771E-3</c:v>
                </c:pt>
                <c:pt idx="2773">
                  <c:v>6.4920111951037177E-3</c:v>
                </c:pt>
                <c:pt idx="2774">
                  <c:v>6.4892270143321953E-3</c:v>
                </c:pt>
                <c:pt idx="2775">
                  <c:v>6.4871096172166845E-3</c:v>
                </c:pt>
                <c:pt idx="2776">
                  <c:v>6.4843824020946635E-3</c:v>
                </c:pt>
                <c:pt idx="2777">
                  <c:v>6.481689708970278E-3</c:v>
                </c:pt>
                <c:pt idx="2778">
                  <c:v>6.4790315377044145E-3</c:v>
                </c:pt>
                <c:pt idx="2779">
                  <c:v>6.4762906498750323E-3</c:v>
                </c:pt>
                <c:pt idx="2780">
                  <c:v>6.4737039412725529E-3</c:v>
                </c:pt>
                <c:pt idx="2781">
                  <c:v>6.4711517547484561E-3</c:v>
                </c:pt>
                <c:pt idx="2782">
                  <c:v>6.4686340901696617E-3</c:v>
                </c:pt>
                <c:pt idx="2783">
                  <c:v>6.4661509474048468E-3</c:v>
                </c:pt>
                <c:pt idx="2784">
                  <c:v>6.463807461525699E-3</c:v>
                </c:pt>
                <c:pt idx="2785">
                  <c:v>6.4613909395032131E-3</c:v>
                </c:pt>
                <c:pt idx="2786">
                  <c:v>6.4590089382855053E-3</c:v>
                </c:pt>
                <c:pt idx="2787">
                  <c:v>6.4566614577480346E-3</c:v>
                </c:pt>
                <c:pt idx="2788">
                  <c:v>6.4542530563113992E-3</c:v>
                </c:pt>
                <c:pt idx="2789">
                  <c:v>6.4519770417701674E-3</c:v>
                </c:pt>
                <c:pt idx="2790">
                  <c:v>6.4497355481732809E-3</c:v>
                </c:pt>
                <c:pt idx="2791">
                  <c:v>6.4475285754039095E-3</c:v>
                </c:pt>
                <c:pt idx="2792">
                  <c:v>6.4453561233465415E-3</c:v>
                </c:pt>
                <c:pt idx="2793">
                  <c:v>6.4433015021293314E-3</c:v>
                </c:pt>
                <c:pt idx="2794">
                  <c:v>6.4411956630483188E-3</c:v>
                </c:pt>
                <c:pt idx="2795">
                  <c:v>6.4391243437240822E-3</c:v>
                </c:pt>
                <c:pt idx="2796">
                  <c:v>6.4370875440479805E-3</c:v>
                </c:pt>
                <c:pt idx="2797">
                  <c:v>6.4350852639153454E-3</c:v>
                </c:pt>
                <c:pt idx="2798">
                  <c:v>6.4331175032223929E-3</c:v>
                </c:pt>
                <c:pt idx="2799">
                  <c:v>6.4311842618662218E-3</c:v>
                </c:pt>
                <c:pt idx="2800">
                  <c:v>6.4292855397474636E-3</c:v>
                </c:pt>
                <c:pt idx="2801">
                  <c:v>6.4271043088212536E-3</c:v>
                </c:pt>
                <c:pt idx="2802">
                  <c:v>6.4252867910974034E-3</c:v>
                </c:pt>
                <c:pt idx="2803">
                  <c:v>6.423503795406957E-3</c:v>
                </c:pt>
                <c:pt idx="2804">
                  <c:v>6.4217553216566565E-3</c:v>
                </c:pt>
                <c:pt idx="2805">
                  <c:v>6.4202016818220133E-3</c:v>
                </c:pt>
                <c:pt idx="2806">
                  <c:v>6.4185149442767481E-3</c:v>
                </c:pt>
                <c:pt idx="2807">
                  <c:v>6.4168627265479969E-3</c:v>
                </c:pt>
                <c:pt idx="2808">
                  <c:v>6.4152450285497068E-3</c:v>
                </c:pt>
                <c:pt idx="2809">
                  <c:v>6.4136618501971386E-3</c:v>
                </c:pt>
                <c:pt idx="2810">
                  <c:v>6.4119894347888689E-3</c:v>
                </c:pt>
                <c:pt idx="2811">
                  <c:v>6.4104826121067562E-3</c:v>
                </c:pt>
                <c:pt idx="2812">
                  <c:v>6.40901031066943E-3</c:v>
                </c:pt>
                <c:pt idx="2813">
                  <c:v>6.4075725303978162E-3</c:v>
                </c:pt>
                <c:pt idx="2814">
                  <c:v>6.4062637502721176E-3</c:v>
                </c:pt>
                <c:pt idx="2815">
                  <c:v>6.4048876881117236E-3</c:v>
                </c:pt>
                <c:pt idx="2816">
                  <c:v>6.4035461450527879E-3</c:v>
                </c:pt>
                <c:pt idx="2817">
                  <c:v>6.402239121026292E-3</c:v>
                </c:pt>
                <c:pt idx="2818">
                  <c:v>6.400966615962349E-3</c:v>
                </c:pt>
                <c:pt idx="2819">
                  <c:v>6.399670789103847E-3</c:v>
                </c:pt>
                <c:pt idx="2820">
                  <c:v>6.3984746549546993E-3</c:v>
                </c:pt>
                <c:pt idx="2821">
                  <c:v>6.3973130414095606E-3</c:v>
                </c:pt>
                <c:pt idx="2822">
                  <c:v>6.3961859484078362E-3</c:v>
                </c:pt>
                <c:pt idx="2823">
                  <c:v>6.3950933758880682E-3</c:v>
                </c:pt>
                <c:pt idx="2824">
                  <c:v>6.3940353237930975E-3</c:v>
                </c:pt>
                <c:pt idx="2825">
                  <c:v>6.3930117920653375E-3</c:v>
                </c:pt>
                <c:pt idx="2826">
                  <c:v>6.3920227806519266E-3</c:v>
                </c:pt>
                <c:pt idx="2827">
                  <c:v>6.3910679965837403E-3</c:v>
                </c:pt>
                <c:pt idx="2828">
                  <c:v>6.3901357796378932E-3</c:v>
                </c:pt>
                <c:pt idx="2829">
                  <c:v>6.3892380797990088E-3</c:v>
                </c:pt>
                <c:pt idx="2830">
                  <c:v>6.3883748970193907E-3</c:v>
                </c:pt>
                <c:pt idx="2831">
                  <c:v>6.3875462312566415E-3</c:v>
                </c:pt>
                <c:pt idx="2832">
                  <c:v>6.3867639253322554E-3</c:v>
                </c:pt>
                <c:pt idx="2833">
                  <c:v>6.3860067455509635E-3</c:v>
                </c:pt>
                <c:pt idx="2834">
                  <c:v>6.3852840832710556E-3</c:v>
                </c:pt>
                <c:pt idx="2835">
                  <c:v>6.3845959384560792E-3</c:v>
                </c:pt>
                <c:pt idx="2836">
                  <c:v>6.3839206562244016E-3</c:v>
                </c:pt>
                <c:pt idx="2837">
                  <c:v>6.3832990917122769E-3</c:v>
                </c:pt>
                <c:pt idx="2838">
                  <c:v>6.3827120439515972E-3</c:v>
                </c:pt>
                <c:pt idx="2839">
                  <c:v>6.3821595129123334E-3</c:v>
                </c:pt>
                <c:pt idx="2840">
                  <c:v>6.3816729751477617E-3</c:v>
                </c:pt>
                <c:pt idx="2841">
                  <c:v>6.3811919344270987E-3</c:v>
                </c:pt>
                <c:pt idx="2842">
                  <c:v>6.380745410956153E-3</c:v>
                </c:pt>
                <c:pt idx="2843">
                  <c:v>6.3803334047125258E-3</c:v>
                </c:pt>
                <c:pt idx="2844">
                  <c:v>6.3799559156751343E-3</c:v>
                </c:pt>
                <c:pt idx="2845">
                  <c:v>6.3795691763456532E-3</c:v>
                </c:pt>
                <c:pt idx="2846">
                  <c:v>6.3792582616536498E-3</c:v>
                </c:pt>
                <c:pt idx="2847">
                  <c:v>6.3789818635041993E-3</c:v>
                </c:pt>
                <c:pt idx="2848">
                  <c:v>6.3787399818814013E-3</c:v>
                </c:pt>
                <c:pt idx="2849">
                  <c:v>6.3785326167746584E-3</c:v>
                </c:pt>
                <c:pt idx="2850">
                  <c:v>6.3783597681724867E-3</c:v>
                </c:pt>
                <c:pt idx="2851">
                  <c:v>6.3782214360651708E-3</c:v>
                </c:pt>
                <c:pt idx="2852">
                  <c:v>6.3781176204465275E-3</c:v>
                </c:pt>
                <c:pt idx="2853">
                  <c:v>6.3783680018887484E-3</c:v>
                </c:pt>
                <c:pt idx="2854">
                  <c:v>6.3783455445589887E-3</c:v>
                </c:pt>
                <c:pt idx="2855">
                  <c:v>6.3783576067609786E-3</c:v>
                </c:pt>
                <c:pt idx="2856">
                  <c:v>6.3784041884938584E-3</c:v>
                </c:pt>
                <c:pt idx="2857">
                  <c:v>6.3782631813537579E-3</c:v>
                </c:pt>
                <c:pt idx="2858">
                  <c:v>6.3783713993706007E-3</c:v>
                </c:pt>
                <c:pt idx="2859">
                  <c:v>6.3785141350981003E-3</c:v>
                </c:pt>
                <c:pt idx="2860">
                  <c:v>6.3786913885449936E-3</c:v>
                </c:pt>
                <c:pt idx="2861">
                  <c:v>6.3789031597182681E-3</c:v>
                </c:pt>
                <c:pt idx="2862">
                  <c:v>6.3794085893303385E-3</c:v>
                </c:pt>
                <c:pt idx="2863">
                  <c:v>6.3796968079586572E-3</c:v>
                </c:pt>
                <c:pt idx="2864">
                  <c:v>6.3800195461904954E-3</c:v>
                </c:pt>
                <c:pt idx="2865">
                  <c:v>6.3803768040430441E-3</c:v>
                </c:pt>
                <c:pt idx="2866">
                  <c:v>6.3804797819525657E-3</c:v>
                </c:pt>
                <c:pt idx="2867">
                  <c:v>6.3808986597881524E-3</c:v>
                </c:pt>
                <c:pt idx="2868">
                  <c:v>6.3813520554676234E-3</c:v>
                </c:pt>
                <c:pt idx="2869">
                  <c:v>6.3818399690136916E-3</c:v>
                </c:pt>
                <c:pt idx="2870">
                  <c:v>6.3823624004521289E-3</c:v>
                </c:pt>
                <c:pt idx="2871">
                  <c:v>6.3832452643798289E-3</c:v>
                </c:pt>
                <c:pt idx="2872">
                  <c:v>6.3838441602116804E-3</c:v>
                </c:pt>
                <c:pt idx="2873">
                  <c:v>6.3844775758675207E-3</c:v>
                </c:pt>
                <c:pt idx="2874">
                  <c:v>6.3851455113813011E-3</c:v>
                </c:pt>
                <c:pt idx="2875">
                  <c:v>6.3858479667886917E-3</c:v>
                </c:pt>
                <c:pt idx="2876">
                  <c:v>6.3865849421283708E-3</c:v>
                </c:pt>
                <c:pt idx="2877">
                  <c:v>6.3873564374372993E-3</c:v>
                </c:pt>
                <c:pt idx="2878">
                  <c:v>6.3881624527588818E-3</c:v>
                </c:pt>
                <c:pt idx="2879">
                  <c:v>6.3883618541951117E-3</c:v>
                </c:pt>
                <c:pt idx="2880">
                  <c:v>6.3892245046076514E-3</c:v>
                </c:pt>
                <c:pt idx="2881">
                  <c:v>6.3901216720794567E-3</c:v>
                </c:pt>
                <c:pt idx="2882">
                  <c:v>6.3910533566582254E-3</c:v>
                </c:pt>
                <c:pt idx="2883">
                  <c:v>6.3920195583903276E-3</c:v>
                </c:pt>
                <c:pt idx="2884">
                  <c:v>6.3931604384312299E-3</c:v>
                </c:pt>
                <c:pt idx="2885">
                  <c:v>6.3941981585498558E-3</c:v>
                </c:pt>
                <c:pt idx="2886">
                  <c:v>6.3952703965989739E-3</c:v>
                </c:pt>
                <c:pt idx="2887">
                  <c:v>6.396377152632607E-3</c:v>
                </c:pt>
                <c:pt idx="2888">
                  <c:v>6.3973683261832051E-3</c:v>
                </c:pt>
                <c:pt idx="2889">
                  <c:v>6.3985416319575113E-3</c:v>
                </c:pt>
                <c:pt idx="2890">
                  <c:v>6.3997494552733491E-3</c:v>
                </c:pt>
                <c:pt idx="2891">
                  <c:v>6.4009917961956406E-3</c:v>
                </c:pt>
                <c:pt idx="2892">
                  <c:v>6.4024287046657155E-3</c:v>
                </c:pt>
                <c:pt idx="2893">
                  <c:v>6.4037425698876089E-3</c:v>
                </c:pt>
                <c:pt idx="2894">
                  <c:v>6.4050909535363016E-3</c:v>
                </c:pt>
                <c:pt idx="2895">
                  <c:v>6.4064738556825042E-3</c:v>
                </c:pt>
                <c:pt idx="2896">
                  <c:v>6.4080965829199218E-3</c:v>
                </c:pt>
                <c:pt idx="2897">
                  <c:v>6.4093805969785015E-3</c:v>
                </c:pt>
                <c:pt idx="2898">
                  <c:v>6.4108694942080968E-3</c:v>
                </c:pt>
                <c:pt idx="2899">
                  <c:v>6.4123929096191546E-3</c:v>
                </c:pt>
                <c:pt idx="2900">
                  <c:v>6.413950843292493E-3</c:v>
                </c:pt>
                <c:pt idx="2901">
                  <c:v>6.4155432953084922E-3</c:v>
                </c:pt>
                <c:pt idx="2902">
                  <c:v>6.4171702657506192E-3</c:v>
                </c:pt>
                <c:pt idx="2903">
                  <c:v>6.418831754700577E-3</c:v>
                </c:pt>
                <c:pt idx="2904">
                  <c:v>6.4205277622475763E-3</c:v>
                </c:pt>
                <c:pt idx="2905">
                  <c:v>6.4230309742451409E-3</c:v>
                </c:pt>
                <c:pt idx="2906">
                  <c:v>6.4248060082943998E-3</c:v>
                </c:pt>
                <c:pt idx="2907">
                  <c:v>6.4266155637317844E-3</c:v>
                </c:pt>
                <c:pt idx="2908">
                  <c:v>6.4284596406540837E-3</c:v>
                </c:pt>
                <c:pt idx="2909">
                  <c:v>6.4297283852728111E-3</c:v>
                </c:pt>
                <c:pt idx="2910">
                  <c:v>6.4322513593435974E-3</c:v>
                </c:pt>
                <c:pt idx="2911">
                  <c:v>6.4349077701420137E-3</c:v>
                </c:pt>
                <c:pt idx="2912">
                  <c:v>6.4361811651683512E-3</c:v>
                </c:pt>
                <c:pt idx="2913">
                  <c:v>6.4381978510158573E-3</c:v>
                </c:pt>
                <c:pt idx="2914">
                  <c:v>6.4402490589618409E-3</c:v>
                </c:pt>
                <c:pt idx="2915">
                  <c:v>6.4423347891147545E-3</c:v>
                </c:pt>
                <c:pt idx="2916">
                  <c:v>6.4444550415869422E-3</c:v>
                </c:pt>
                <c:pt idx="2917">
                  <c:v>6.4466098164885858E-3</c:v>
                </c:pt>
                <c:pt idx="2918">
                  <c:v>6.4487991139363481E-3</c:v>
                </c:pt>
                <c:pt idx="2919">
                  <c:v>6.4510229340443001E-3</c:v>
                </c:pt>
                <c:pt idx="2920">
                  <c:v>6.453281276930835E-3</c:v>
                </c:pt>
                <c:pt idx="2921">
                  <c:v>6.455574142717367E-3</c:v>
                </c:pt>
                <c:pt idx="2922">
                  <c:v>6.4579015315235858E-3</c:v>
                </c:pt>
                <c:pt idx="2923">
                  <c:v>6.4602634434734992E-3</c:v>
                </c:pt>
                <c:pt idx="2924">
                  <c:v>6.4626598786928459E-3</c:v>
                </c:pt>
                <c:pt idx="2925">
                  <c:v>6.465090837308226E-3</c:v>
                </c:pt>
                <c:pt idx="2926">
                  <c:v>6.467556319449265E-3</c:v>
                </c:pt>
                <c:pt idx="2927">
                  <c:v>6.4700563252455909E-3</c:v>
                </c:pt>
                <c:pt idx="2928">
                  <c:v>6.4725908548307178E-3</c:v>
                </c:pt>
                <c:pt idx="2929">
                  <c:v>6.475159908339888E-3</c:v>
                </c:pt>
                <c:pt idx="2930">
                  <c:v>6.477763485907481E-3</c:v>
                </c:pt>
                <c:pt idx="2931">
                  <c:v>6.4796263023800113E-3</c:v>
                </c:pt>
                <c:pt idx="2932">
                  <c:v>6.4822913866502043E-3</c:v>
                </c:pt>
                <c:pt idx="2933">
                  <c:v>6.4849909934458954E-3</c:v>
                </c:pt>
                <c:pt idx="2934">
                  <c:v>6.4877251229085095E-3</c:v>
                </c:pt>
                <c:pt idx="2935">
                  <c:v>6.4912992395324571E-3</c:v>
                </c:pt>
                <c:pt idx="2936">
                  <c:v>6.4943814555307889E-3</c:v>
                </c:pt>
                <c:pt idx="2937">
                  <c:v>6.4969552143725046E-3</c:v>
                </c:pt>
                <c:pt idx="2938">
                  <c:v>6.499834989540672E-3</c:v>
                </c:pt>
                <c:pt idx="2939">
                  <c:v>6.5027492900760538E-3</c:v>
                </c:pt>
                <c:pt idx="2940">
                  <c:v>6.5048548838171402E-3</c:v>
                </c:pt>
                <c:pt idx="2941">
                  <c:v>6.5078306760469138E-3</c:v>
                </c:pt>
                <c:pt idx="2942">
                  <c:v>6.5108409921365035E-3</c:v>
                </c:pt>
                <c:pt idx="2943">
                  <c:v>6.5138858322413874E-3</c:v>
                </c:pt>
                <c:pt idx="2944">
                  <c:v>6.5169651965218773E-3</c:v>
                </c:pt>
                <c:pt idx="2945">
                  <c:v>6.5209601348092177E-3</c:v>
                </c:pt>
                <c:pt idx="2946">
                  <c:v>6.5241161173539234E-3</c:v>
                </c:pt>
                <c:pt idx="2947">
                  <c:v>6.527306626553893E-3</c:v>
                </c:pt>
                <c:pt idx="2948">
                  <c:v>6.5310173800481198E-3</c:v>
                </c:pt>
                <c:pt idx="2949">
                  <c:v>6.5342841641291682E-3</c:v>
                </c:pt>
                <c:pt idx="2950">
                  <c:v>6.5375854734504657E-3</c:v>
                </c:pt>
                <c:pt idx="2951">
                  <c:v>6.5409213081833043E-3</c:v>
                </c:pt>
                <c:pt idx="2952">
                  <c:v>6.5442916685020495E-3</c:v>
                </c:pt>
                <c:pt idx="2953">
                  <c:v>6.5476965545828237E-3</c:v>
                </c:pt>
                <c:pt idx="2954">
                  <c:v>6.5511359666035078E-3</c:v>
                </c:pt>
                <c:pt idx="2955">
                  <c:v>6.5546099047428591E-3</c:v>
                </c:pt>
                <c:pt idx="2956">
                  <c:v>6.5581183691822706E-3</c:v>
                </c:pt>
                <c:pt idx="2957">
                  <c:v>6.5623112943447512E-3</c:v>
                </c:pt>
                <c:pt idx="2958">
                  <c:v>6.5658938747970505E-3</c:v>
                </c:pt>
                <c:pt idx="2959">
                  <c:v>6.5695109834605098E-3</c:v>
                </c:pt>
                <c:pt idx="2960">
                  <c:v>6.5731626205267147E-3</c:v>
                </c:pt>
                <c:pt idx="2961">
                  <c:v>6.5765135664518385E-3</c:v>
                </c:pt>
                <c:pt idx="2962">
                  <c:v>6.5813004001279455E-3</c:v>
                </c:pt>
                <c:pt idx="2963">
                  <c:v>6.5839844152561292E-3</c:v>
                </c:pt>
                <c:pt idx="2964">
                  <c:v>6.5877716323088807E-3</c:v>
                </c:pt>
                <c:pt idx="2965">
                  <c:v>6.59159337806022E-3</c:v>
                </c:pt>
                <c:pt idx="2966">
                  <c:v>6.5963516278345485E-3</c:v>
                </c:pt>
                <c:pt idx="2967">
                  <c:v>6.6002499020558006E-3</c:v>
                </c:pt>
                <c:pt idx="2968">
                  <c:v>6.6041827063002406E-3</c:v>
                </c:pt>
                <c:pt idx="2969">
                  <c:v>6.6081500407768326E-3</c:v>
                </c:pt>
                <c:pt idx="2970">
                  <c:v>6.6117934906055088E-3</c:v>
                </c:pt>
                <c:pt idx="2971">
                  <c:v>6.6158273456854199E-3</c:v>
                </c:pt>
                <c:pt idx="2972">
                  <c:v>6.6198957309355298E-3</c:v>
                </c:pt>
                <c:pt idx="2973">
                  <c:v>6.6239986465690005E-3</c:v>
                </c:pt>
                <c:pt idx="2974">
                  <c:v>6.6288735021950273E-3</c:v>
                </c:pt>
                <c:pt idx="2975">
                  <c:v>6.6326791943434153E-3</c:v>
                </c:pt>
                <c:pt idx="2976">
                  <c:v>6.6368882464033479E-3</c:v>
                </c:pt>
                <c:pt idx="2977">
                  <c:v>6.641131830419705E-3</c:v>
                </c:pt>
                <c:pt idx="2978">
                  <c:v>6.6454099466162217E-3</c:v>
                </c:pt>
                <c:pt idx="2979">
                  <c:v>6.6497225952201061E-3</c:v>
                </c:pt>
                <c:pt idx="2980">
                  <c:v>6.6540697764581342E-3</c:v>
                </c:pt>
                <c:pt idx="2981">
                  <c:v>6.6584514905592531E-3</c:v>
                </c:pt>
                <c:pt idx="2982">
                  <c:v>6.6628677377545825E-3</c:v>
                </c:pt>
                <c:pt idx="2983">
                  <c:v>6.6661447738477139E-3</c:v>
                </c:pt>
                <c:pt idx="2984">
                  <c:v>6.6706224393771199E-3</c:v>
                </c:pt>
                <c:pt idx="2985">
                  <c:v>6.6751346365706843E-3</c:v>
                </c:pt>
                <c:pt idx="2986">
                  <c:v>6.6796813656620317E-3</c:v>
                </c:pt>
                <c:pt idx="2987">
                  <c:v>6.6846635325343148E-3</c:v>
                </c:pt>
                <c:pt idx="2988">
                  <c:v>6.6892798022550812E-3</c:v>
                </c:pt>
                <c:pt idx="2989">
                  <c:v>6.6939270461770731E-3</c:v>
                </c:pt>
                <c:pt idx="2990">
                  <c:v>6.6986034849557076E-3</c:v>
                </c:pt>
                <c:pt idx="2991">
                  <c:v>6.7033073392301495E-3</c:v>
                </c:pt>
                <c:pt idx="2992">
                  <c:v>6.7076269986516002E-3</c:v>
                </c:pt>
                <c:pt idx="2993">
                  <c:v>6.7123792258158704E-3</c:v>
                </c:pt>
                <c:pt idx="2994">
                  <c:v>6.7171537166203542E-3</c:v>
                </c:pt>
                <c:pt idx="2995">
                  <c:v>6.7219486818416952E-3</c:v>
                </c:pt>
                <c:pt idx="2996">
                  <c:v>6.7271755643126836E-3</c:v>
                </c:pt>
                <c:pt idx="2997">
                  <c:v>6.7320065440963656E-3</c:v>
                </c:pt>
                <c:pt idx="2998">
                  <c:v>6.7368524834015816E-3</c:v>
                </c:pt>
                <c:pt idx="2999">
                  <c:v>6.741711602734856E-3</c:v>
                </c:pt>
                <c:pt idx="3000">
                  <c:v>6.74686462246864E-3</c:v>
                </c:pt>
                <c:pt idx="3001">
                  <c:v>6.7517461047615001E-3</c:v>
                </c:pt>
                <c:pt idx="3002">
                  <c:v>6.7566352808217508E-3</c:v>
                </c:pt>
                <c:pt idx="3003">
                  <c:v>6.7615303612869222E-3</c:v>
                </c:pt>
                <c:pt idx="3004">
                  <c:v>6.7664295567782034E-3</c:v>
                </c:pt>
                <c:pt idx="3005">
                  <c:v>6.7713310778995603E-3</c:v>
                </c:pt>
                <c:pt idx="3006">
                  <c:v>6.7762331352364093E-3</c:v>
                </c:pt>
                <c:pt idx="3007">
                  <c:v>6.7811339393591503E-3</c:v>
                </c:pt>
                <c:pt idx="3008">
                  <c:v>6.7860317008169874E-3</c:v>
                </c:pt>
                <c:pt idx="3009">
                  <c:v>6.7921547111859945E-3</c:v>
                </c:pt>
                <c:pt idx="3010">
                  <c:v>6.7970388626992237E-3</c:v>
                </c:pt>
                <c:pt idx="3011">
                  <c:v>6.8019145486146642E-3</c:v>
                </c:pt>
                <c:pt idx="3012">
                  <c:v>6.8067800093428868E-3</c:v>
                </c:pt>
                <c:pt idx="3013">
                  <c:v>6.8119194709145353E-3</c:v>
                </c:pt>
                <c:pt idx="3014">
                  <c:v>6.8167607165807468E-3</c:v>
                </c:pt>
                <c:pt idx="3015">
                  <c:v>6.8215902272038579E-3</c:v>
                </c:pt>
                <c:pt idx="3016">
                  <c:v>6.8264080026969416E-3</c:v>
                </c:pt>
                <c:pt idx="3017">
                  <c:v>6.8312140429743857E-3</c:v>
                </c:pt>
                <c:pt idx="3018">
                  <c:v>6.8372176632466048E-3</c:v>
                </c:pt>
                <c:pt idx="3019">
                  <c:v>6.8419979900472437E-3</c:v>
                </c:pt>
                <c:pt idx="3020">
                  <c:v>6.8467665808791258E-3</c:v>
                </c:pt>
                <c:pt idx="3021">
                  <c:v>6.8515234356558699E-3</c:v>
                </c:pt>
                <c:pt idx="3022">
                  <c:v>6.8550682131357241E-3</c:v>
                </c:pt>
                <c:pt idx="3023">
                  <c:v>6.8598038403262221E-3</c:v>
                </c:pt>
                <c:pt idx="3024">
                  <c:v>6.8645277317061449E-3</c:v>
                </c:pt>
                <c:pt idx="3025">
                  <c:v>6.8704334924829516E-3</c:v>
                </c:pt>
                <c:pt idx="3026">
                  <c:v>6.8751316656917036E-3</c:v>
                </c:pt>
                <c:pt idx="3027">
                  <c:v>6.8798181023304603E-3</c:v>
                </c:pt>
                <c:pt idx="3028">
                  <c:v>6.8844928023141282E-3</c:v>
                </c:pt>
                <c:pt idx="3029">
                  <c:v>6.8891557655576148E-3</c:v>
                </c:pt>
                <c:pt idx="3030">
                  <c:v>6.8926246232338464E-3</c:v>
                </c:pt>
                <c:pt idx="3031">
                  <c:v>6.8984464814871062E-3</c:v>
                </c:pt>
                <c:pt idx="3032">
                  <c:v>6.9030742340042148E-3</c:v>
                </c:pt>
                <c:pt idx="3033">
                  <c:v>6.9076902494454966E-3</c:v>
                </c:pt>
                <c:pt idx="3034">
                  <c:v>6.9111211574235934E-3</c:v>
                </c:pt>
                <c:pt idx="3035">
                  <c:v>6.9149348701749757E-3</c:v>
                </c:pt>
                <c:pt idx="3036">
                  <c:v>6.9195194261319412E-3</c:v>
                </c:pt>
                <c:pt idx="3037">
                  <c:v>6.9240922455430275E-3</c:v>
                </c:pt>
                <c:pt idx="3038">
                  <c:v>6.9286533283287408E-3</c:v>
                </c:pt>
                <c:pt idx="3039">
                  <c:v>6.9335902446323447E-3</c:v>
                </c:pt>
                <c:pt idx="3040">
                  <c:v>6.9381271028260867E-3</c:v>
                </c:pt>
                <c:pt idx="3041">
                  <c:v>6.942652223979039E-3</c:v>
                </c:pt>
                <c:pt idx="3042">
                  <c:v>6.947165608009509E-3</c:v>
                </c:pt>
                <c:pt idx="3043">
                  <c:v>6.9516672548384376E-3</c:v>
                </c:pt>
                <c:pt idx="3044">
                  <c:v>6.9557733514041733E-3</c:v>
                </c:pt>
                <c:pt idx="3045">
                  <c:v>6.9602522755665558E-3</c:v>
                </c:pt>
                <c:pt idx="3046">
                  <c:v>6.9647194624636354E-3</c:v>
                </c:pt>
                <c:pt idx="3047">
                  <c:v>6.9691749120181258E-3</c:v>
                </c:pt>
                <c:pt idx="3048">
                  <c:v>6.9739994281644117E-3</c:v>
                </c:pt>
                <c:pt idx="3049">
                  <c:v>6.9784306501111514E-3</c:v>
                </c:pt>
                <c:pt idx="3050">
                  <c:v>6.9828501343003118E-3</c:v>
                </c:pt>
                <c:pt idx="3051">
                  <c:v>6.9872578806550317E-3</c:v>
                </c:pt>
                <c:pt idx="3052">
                  <c:v>6.9912760968994601E-3</c:v>
                </c:pt>
                <c:pt idx="3053">
                  <c:v>6.9956611207506701E-3</c:v>
                </c:pt>
                <c:pt idx="3054">
                  <c:v>7.0000344067138705E-3</c:v>
                </c:pt>
                <c:pt idx="3055">
                  <c:v>7.0043959547095667E-3</c:v>
                </c:pt>
                <c:pt idx="3056">
                  <c:v>7.0087457646626815E-3</c:v>
                </c:pt>
                <c:pt idx="3057">
                  <c:v>7.0130838364954855E-3</c:v>
                </c:pt>
                <c:pt idx="3058">
                  <c:v>7.0174101701311348E-3</c:v>
                </c:pt>
                <c:pt idx="3059">
                  <c:v>7.0217247654941108E-3</c:v>
                </c:pt>
                <c:pt idx="3060">
                  <c:v>7.026027622507567E-3</c:v>
                </c:pt>
                <c:pt idx="3061">
                  <c:v>7.0321730944426552E-3</c:v>
                </c:pt>
                <c:pt idx="3062">
                  <c:v>7.0364486990949172E-3</c:v>
                </c:pt>
                <c:pt idx="3063">
                  <c:v>7.0407125642500627E-3</c:v>
                </c:pt>
                <c:pt idx="3064">
                  <c:v>7.0449646898315937E-3</c:v>
                </c:pt>
                <c:pt idx="3065">
                  <c:v>7.0481017299919256E-3</c:v>
                </c:pt>
                <c:pt idx="3066">
                  <c:v>7.0523326437450413E-3</c:v>
                </c:pt>
                <c:pt idx="3067">
                  <c:v>7.0565518182503315E-3</c:v>
                </c:pt>
                <c:pt idx="3068">
                  <c:v>7.0607592534326653E-3</c:v>
                </c:pt>
                <c:pt idx="3069">
                  <c:v>7.0649549492173488E-3</c:v>
                </c:pt>
                <c:pt idx="3070">
                  <c:v>7.0702309079712262E-3</c:v>
                </c:pt>
                <c:pt idx="3071">
                  <c:v>7.074400854389068E-3</c:v>
                </c:pt>
                <c:pt idx="3072">
                  <c:v>7.078559060623461E-3</c:v>
                </c:pt>
                <c:pt idx="3073">
                  <c:v>7.082705526597048E-3</c:v>
                </c:pt>
                <c:pt idx="3074">
                  <c:v>7.0857573345577702E-3</c:v>
                </c:pt>
                <c:pt idx="3075">
                  <c:v>7.0898825923892779E-3</c:v>
                </c:pt>
                <c:pt idx="3076">
                  <c:v>7.0939961103033333E-3</c:v>
                </c:pt>
                <c:pt idx="3077">
                  <c:v>7.0980978882265499E-3</c:v>
                </c:pt>
                <c:pt idx="3078">
                  <c:v>7.1032617499381988E-3</c:v>
                </c:pt>
                <c:pt idx="3079">
                  <c:v>7.1073377727787386E-3</c:v>
                </c:pt>
                <c:pt idx="3080">
                  <c:v>7.1114020548375973E-3</c:v>
                </c:pt>
                <c:pt idx="3081">
                  <c:v>7.115454596039998E-3</c:v>
                </c:pt>
                <c:pt idx="3082">
                  <c:v>7.1194953963133085E-3</c:v>
                </c:pt>
                <c:pt idx="3083">
                  <c:v>7.1235244555836108E-3</c:v>
                </c:pt>
                <c:pt idx="3084">
                  <c:v>7.1275417737782744E-3</c:v>
                </c:pt>
                <c:pt idx="3085">
                  <c:v>7.1315473508238095E-3</c:v>
                </c:pt>
                <c:pt idx="3086">
                  <c:v>7.1355411866484463E-3</c:v>
                </c:pt>
                <c:pt idx="3087">
                  <c:v>7.1377673932087639E-3</c:v>
                </c:pt>
                <c:pt idx="3088">
                  <c:v>7.1417415463603008E-3</c:v>
                </c:pt>
                <c:pt idx="3089">
                  <c:v>7.1457039590437929E-3</c:v>
                </c:pt>
                <c:pt idx="3090">
                  <c:v>7.1496546311899025E-3</c:v>
                </c:pt>
                <c:pt idx="3091">
                  <c:v>7.1539418350663343E-3</c:v>
                </c:pt>
                <c:pt idx="3092">
                  <c:v>7.1578682652042817E-3</c:v>
                </c:pt>
                <c:pt idx="3093">
                  <c:v>7.1617829543999438E-3</c:v>
                </c:pt>
                <c:pt idx="3094">
                  <c:v>7.1656859025839275E-3</c:v>
                </c:pt>
                <c:pt idx="3095">
                  <c:v>7.1695771096881534E-3</c:v>
                </c:pt>
                <c:pt idx="3096">
                  <c:v>7.1731121088788033E-3</c:v>
                </c:pt>
                <c:pt idx="3097">
                  <c:v>7.1769805953173921E-3</c:v>
                </c:pt>
                <c:pt idx="3098">
                  <c:v>7.1808373406678783E-3</c:v>
                </c:pt>
                <c:pt idx="3099">
                  <c:v>7.1846823448587184E-3</c:v>
                </c:pt>
                <c:pt idx="3100">
                  <c:v>7.1888570265858645E-3</c:v>
                </c:pt>
                <c:pt idx="3101">
                  <c:v>7.19267778576216E-3</c:v>
                </c:pt>
                <c:pt idx="3102">
                  <c:v>7.1964868033790822E-3</c:v>
                </c:pt>
                <c:pt idx="3103">
                  <c:v>7.2002840793681149E-3</c:v>
                </c:pt>
                <c:pt idx="3104">
                  <c:v>7.204069613662498E-3</c:v>
                </c:pt>
                <c:pt idx="3105">
                  <c:v>7.2075058019008065E-3</c:v>
                </c:pt>
                <c:pt idx="3106">
                  <c:v>7.2112686160958426E-3</c:v>
                </c:pt>
                <c:pt idx="3107">
                  <c:v>7.2150196885968536E-3</c:v>
                </c:pt>
                <c:pt idx="3108">
                  <c:v>7.2187590193362678E-3</c:v>
                </c:pt>
                <c:pt idx="3109">
                  <c:v>7.2224866082473988E-3</c:v>
                </c:pt>
                <c:pt idx="3110">
                  <c:v>7.2262024552648841E-3</c:v>
                </c:pt>
                <c:pt idx="3111">
                  <c:v>7.2299065603242466E-3</c:v>
                </c:pt>
                <c:pt idx="3112">
                  <c:v>7.2335989233592388E-3</c:v>
                </c:pt>
                <c:pt idx="3113">
                  <c:v>7.2389363125542477E-3</c:v>
                </c:pt>
                <c:pt idx="3114">
                  <c:v>7.2426013655430884E-3</c:v>
                </c:pt>
                <c:pt idx="3115">
                  <c:v>7.2462546752962986E-3</c:v>
                </c:pt>
                <c:pt idx="3116">
                  <c:v>7.2498962417472642E-3</c:v>
                </c:pt>
                <c:pt idx="3117">
                  <c:v>7.2525413954132329E-3</c:v>
                </c:pt>
                <c:pt idx="3118">
                  <c:v>7.2561617730707885E-3</c:v>
                </c:pt>
                <c:pt idx="3119">
                  <c:v>7.2597704078440836E-3</c:v>
                </c:pt>
                <c:pt idx="3120">
                  <c:v>7.2633672996667235E-3</c:v>
                </c:pt>
                <c:pt idx="3121">
                  <c:v>7.2669524484749327E-3</c:v>
                </c:pt>
                <c:pt idx="3122">
                  <c:v>7.2714990274206958E-3</c:v>
                </c:pt>
                <c:pt idx="3123">
                  <c:v>7.2750583889178494E-3</c:v>
                </c:pt>
                <c:pt idx="3124">
                  <c:v>7.2786060065905961E-3</c:v>
                </c:pt>
                <c:pt idx="3125">
                  <c:v>7.2821418803731804E-3</c:v>
                </c:pt>
                <c:pt idx="3126">
                  <c:v>7.2847020450744308E-3</c:v>
                </c:pt>
                <c:pt idx="3127">
                  <c:v>7.2882167344616106E-3</c:v>
                </c:pt>
                <c:pt idx="3128">
                  <c:v>7.2917196803905628E-3</c:v>
                </c:pt>
                <c:pt idx="3129">
                  <c:v>7.2952108828005712E-3</c:v>
                </c:pt>
                <c:pt idx="3130">
                  <c:v>7.2986903416274234E-3</c:v>
                </c:pt>
                <c:pt idx="3131">
                  <c:v>7.3031104978233015E-3</c:v>
                </c:pt>
                <c:pt idx="3132">
                  <c:v>7.3065641625981127E-3</c:v>
                </c:pt>
                <c:pt idx="3133">
                  <c:v>7.3100060829765006E-3</c:v>
                </c:pt>
                <c:pt idx="3134">
                  <c:v>7.3134362588965799E-3</c:v>
                </c:pt>
                <c:pt idx="3135">
                  <c:v>7.3168546902956048E-3</c:v>
                </c:pt>
                <c:pt idx="3136">
                  <c:v>7.3202613771112587E-3</c:v>
                </c:pt>
                <c:pt idx="3137">
                  <c:v>7.3236563192816571E-3</c:v>
                </c:pt>
                <c:pt idx="3138">
                  <c:v>7.3270395167457716E-3</c:v>
                </c:pt>
                <c:pt idx="3139">
                  <c:v>7.3291655378893523E-3</c:v>
                </c:pt>
                <c:pt idx="3140">
                  <c:v>7.3325283280367935E-3</c:v>
                </c:pt>
                <c:pt idx="3141">
                  <c:v>7.3358793741420134E-3</c:v>
                </c:pt>
                <c:pt idx="3142">
                  <c:v>7.3392186761457182E-3</c:v>
                </c:pt>
                <c:pt idx="3143">
                  <c:v>7.3425462339881745E-3</c:v>
                </c:pt>
                <c:pt idx="3144">
                  <c:v>7.3461696546428179E-3</c:v>
                </c:pt>
                <c:pt idx="3145">
                  <c:v>7.3494729523966192E-3</c:v>
                </c:pt>
                <c:pt idx="3146">
                  <c:v>7.3539880654587874E-3</c:v>
                </c:pt>
                <c:pt idx="3147">
                  <c:v>7.3560443141923179E-3</c:v>
                </c:pt>
                <c:pt idx="3148">
                  <c:v>7.359007858724044E-3</c:v>
                </c:pt>
                <c:pt idx="3149">
                  <c:v>7.3622649503661533E-3</c:v>
                </c:pt>
                <c:pt idx="3150">
                  <c:v>7.3655102974394277E-3</c:v>
                </c:pt>
                <c:pt idx="3151">
                  <c:v>7.3687438998841373E-3</c:v>
                </c:pt>
                <c:pt idx="3152">
                  <c:v>7.3722671859696226E-3</c:v>
                </c:pt>
                <c:pt idx="3153">
                  <c:v>7.3754765256820766E-3</c:v>
                </c:pt>
                <c:pt idx="3154">
                  <c:v>7.3786741203786419E-3</c:v>
                </c:pt>
                <c:pt idx="3155">
                  <c:v>7.3818599700038439E-3</c:v>
                </c:pt>
                <c:pt idx="3156">
                  <c:v>7.3850340744991503E-3</c:v>
                </c:pt>
                <c:pt idx="3157">
                  <c:v>7.3878988741686693E-3</c:v>
                </c:pt>
                <c:pt idx="3158">
                  <c:v>7.3910502626239154E-3</c:v>
                </c:pt>
                <c:pt idx="3159">
                  <c:v>7.3941899059973316E-3</c:v>
                </c:pt>
                <c:pt idx="3160">
                  <c:v>7.3973178042340167E-3</c:v>
                </c:pt>
                <c:pt idx="3161">
                  <c:v>7.4004339572777515E-3</c:v>
                </c:pt>
                <c:pt idx="3162">
                  <c:v>7.4035383650736348E-3</c:v>
                </c:pt>
                <c:pt idx="3163">
                  <c:v>7.4066310275676447E-3</c:v>
                </c:pt>
                <c:pt idx="3164">
                  <c:v>7.4097119447026826E-3</c:v>
                </c:pt>
                <c:pt idx="3165">
                  <c:v>7.4139461300313661E-3</c:v>
                </c:pt>
                <c:pt idx="3166">
                  <c:v>7.4170004515737168E-3</c:v>
                </c:pt>
                <c:pt idx="3167">
                  <c:v>7.4200430267169449E-3</c:v>
                </c:pt>
                <c:pt idx="3168">
                  <c:v>7.4230738554056114E-3</c:v>
                </c:pt>
                <c:pt idx="3169">
                  <c:v>7.4252286006974907E-3</c:v>
                </c:pt>
                <c:pt idx="3170">
                  <c:v>7.4282382675314954E-3</c:v>
                </c:pt>
                <c:pt idx="3171">
                  <c:v>7.4312361884091606E-3</c:v>
                </c:pt>
                <c:pt idx="3172">
                  <c:v>7.4342223632754495E-3</c:v>
                </c:pt>
                <c:pt idx="3173">
                  <c:v>7.437196792077945E-3</c:v>
                </c:pt>
                <c:pt idx="3174">
                  <c:v>7.4411500537058051E-3</c:v>
                </c:pt>
                <c:pt idx="3175">
                  <c:v>7.4440977557994623E-3</c:v>
                </c:pt>
                <c:pt idx="3176">
                  <c:v>7.4470337112181352E-3</c:v>
                </c:pt>
                <c:pt idx="3177">
                  <c:v>7.4499579199099747E-3</c:v>
                </c:pt>
                <c:pt idx="3178">
                  <c:v>7.4528703818218323E-3</c:v>
                </c:pt>
                <c:pt idx="3179">
                  <c:v>7.4557710969001293E-3</c:v>
                </c:pt>
                <c:pt idx="3180">
                  <c:v>7.4586600650943134E-3</c:v>
                </c:pt>
                <c:pt idx="3181">
                  <c:v>7.4615372863503721E-3</c:v>
                </c:pt>
                <c:pt idx="3182">
                  <c:v>7.4644027606181841E-3</c:v>
                </c:pt>
                <c:pt idx="3183">
                  <c:v>7.4672564878450337E-3</c:v>
                </c:pt>
                <c:pt idx="3184">
                  <c:v>7.4700984679795046E-3</c:v>
                </c:pt>
                <c:pt idx="3185">
                  <c:v>7.4729287009706082E-3</c:v>
                </c:pt>
                <c:pt idx="3186">
                  <c:v>7.475747186766496E-3</c:v>
                </c:pt>
                <c:pt idx="3187">
                  <c:v>7.4785539253174769E-3</c:v>
                </c:pt>
                <c:pt idx="3188">
                  <c:v>7.4813489165721329E-3</c:v>
                </c:pt>
                <c:pt idx="3189">
                  <c:v>7.4841321604803418E-3</c:v>
                </c:pt>
                <c:pt idx="3190">
                  <c:v>7.4869036569915502E-3</c:v>
                </c:pt>
                <c:pt idx="3191">
                  <c:v>7.488579566937892E-3</c:v>
                </c:pt>
                <c:pt idx="3192">
                  <c:v>7.4913306964252075E-3</c:v>
                </c:pt>
                <c:pt idx="3193">
                  <c:v>7.4940700792739444E-3</c:v>
                </c:pt>
                <c:pt idx="3194">
                  <c:v>7.496797715433756E-3</c:v>
                </c:pt>
                <c:pt idx="3195">
                  <c:v>7.4997815417717321E-3</c:v>
                </c:pt>
                <c:pt idx="3196">
                  <c:v>7.5024849015701668E-3</c:v>
                </c:pt>
                <c:pt idx="3197">
                  <c:v>7.5062412882515202E-3</c:v>
                </c:pt>
                <c:pt idx="3198">
                  <c:v>7.5078563799421535E-3</c:v>
                </c:pt>
                <c:pt idx="3199">
                  <c:v>7.5105244984195177E-3</c:v>
                </c:pt>
                <c:pt idx="3200">
                  <c:v>7.5129168492661007E-3</c:v>
                </c:pt>
                <c:pt idx="3201">
                  <c:v>7.5155622572736693E-3</c:v>
                </c:pt>
                <c:pt idx="3202">
                  <c:v>7.5181959182142712E-3</c:v>
                </c:pt>
                <c:pt idx="3203">
                  <c:v>7.5208178320402119E-3</c:v>
                </c:pt>
                <c:pt idx="3204">
                  <c:v>7.5236888818332138E-3</c:v>
                </c:pt>
                <c:pt idx="3205">
                  <c:v>7.5262865163947318E-3</c:v>
                </c:pt>
                <c:pt idx="3206">
                  <c:v>7.5288724034737022E-3</c:v>
                </c:pt>
                <c:pt idx="3207">
                  <c:v>7.5314465430253268E-3</c:v>
                </c:pt>
                <c:pt idx="3208">
                  <c:v>7.5343310765123659E-3</c:v>
                </c:pt>
                <c:pt idx="3209">
                  <c:v>7.5376491164375736E-3</c:v>
                </c:pt>
                <c:pt idx="3210">
                  <c:v>7.540182978405292E-3</c:v>
                </c:pt>
                <c:pt idx="3211">
                  <c:v>7.5427050926436283E-3</c:v>
                </c:pt>
                <c:pt idx="3212">
                  <c:v>7.5452154591090998E-3</c:v>
                </c:pt>
                <c:pt idx="3213">
                  <c:v>7.5477140777560296E-3</c:v>
                </c:pt>
                <c:pt idx="3214">
                  <c:v>7.550200948540935E-3</c:v>
                </c:pt>
                <c:pt idx="3215">
                  <c:v>7.5526760714194566E-3</c:v>
                </c:pt>
                <c:pt idx="3216">
                  <c:v>7.5551394463467952E-3</c:v>
                </c:pt>
                <c:pt idx="3217">
                  <c:v>7.558091505951727E-3</c:v>
                </c:pt>
                <c:pt idx="3218">
                  <c:v>7.5605298087435746E-3</c:v>
                </c:pt>
                <c:pt idx="3219">
                  <c:v>7.5629563629889393E-3</c:v>
                </c:pt>
                <c:pt idx="3220">
                  <c:v>7.5653711686439421E-3</c:v>
                </c:pt>
                <c:pt idx="3221">
                  <c:v>7.567527198826288E-3</c:v>
                </c:pt>
                <c:pt idx="3222">
                  <c:v>7.5699192961718488E-3</c:v>
                </c:pt>
                <c:pt idx="3223">
                  <c:v>7.572977586813784E-3</c:v>
                </c:pt>
                <c:pt idx="3224">
                  <c:v>7.5746682453611512E-3</c:v>
                </c:pt>
                <c:pt idx="3225">
                  <c:v>7.5770250971205896E-3</c:v>
                </c:pt>
                <c:pt idx="3226">
                  <c:v>7.5796132797604759E-3</c:v>
                </c:pt>
                <c:pt idx="3227">
                  <c:v>7.5819458440804319E-3</c:v>
                </c:pt>
                <c:pt idx="3228">
                  <c:v>7.5842666594694306E-3</c:v>
                </c:pt>
                <c:pt idx="3229">
                  <c:v>7.5865757258840264E-3</c:v>
                </c:pt>
                <c:pt idx="3230">
                  <c:v>7.5886331258931093E-3</c:v>
                </c:pt>
                <c:pt idx="3231">
                  <c:v>7.5909194853524629E-3</c:v>
                </c:pt>
                <c:pt idx="3232">
                  <c:v>7.5931940959498238E-3</c:v>
                </c:pt>
                <c:pt idx="3233">
                  <c:v>7.5954569576467531E-3</c:v>
                </c:pt>
                <c:pt idx="3234">
                  <c:v>7.598181501238796E-3</c:v>
                </c:pt>
                <c:pt idx="3235">
                  <c:v>7.6001833936388003E-3</c:v>
                </c:pt>
                <c:pt idx="3236">
                  <c:v>7.6024102160947961E-3</c:v>
                </c:pt>
                <c:pt idx="3237">
                  <c:v>7.6046252892523012E-3</c:v>
                </c:pt>
                <c:pt idx="3238">
                  <c:v>7.606828613071783E-3</c:v>
                </c:pt>
                <c:pt idx="3239">
                  <c:v>7.609020187512837E-3</c:v>
                </c:pt>
                <c:pt idx="3240">
                  <c:v>7.6112000125368E-3</c:v>
                </c:pt>
                <c:pt idx="3241">
                  <c:v>7.6133680881045719E-3</c:v>
                </c:pt>
                <c:pt idx="3242">
                  <c:v>7.6155244141770549E-3</c:v>
                </c:pt>
                <c:pt idx="3243">
                  <c:v>7.6172096892808423E-3</c:v>
                </c:pt>
                <c:pt idx="3244">
                  <c:v>7.6193441046026912E-3</c:v>
                </c:pt>
                <c:pt idx="3245">
                  <c:v>7.6214667707905663E-3</c:v>
                </c:pt>
                <c:pt idx="3246">
                  <c:v>7.6235776878062567E-3</c:v>
                </c:pt>
                <c:pt idx="3247">
                  <c:v>7.6247700939273862E-3</c:v>
                </c:pt>
                <c:pt idx="3248">
                  <c:v>7.6277644122678817E-3</c:v>
                </c:pt>
                <c:pt idx="3249">
                  <c:v>7.6298404915952339E-3</c:v>
                </c:pt>
                <c:pt idx="3250">
                  <c:v>7.6319052680158435E-3</c:v>
                </c:pt>
                <c:pt idx="3251">
                  <c:v>7.6339589059621349E-3</c:v>
                </c:pt>
                <c:pt idx="3252">
                  <c:v>7.6360015698682879E-3</c:v>
                </c:pt>
                <c:pt idx="3253">
                  <c:v>7.6380334241684831E-3</c:v>
                </c:pt>
                <c:pt idx="3254">
                  <c:v>7.6400546332977791E-3</c:v>
                </c:pt>
                <c:pt idx="3255">
                  <c:v>7.6420653616925543E-3</c:v>
                </c:pt>
                <c:pt idx="3256">
                  <c:v>7.6440657737900618E-3</c:v>
                </c:pt>
                <c:pt idx="3257">
                  <c:v>7.6460560340284364E-3</c:v>
                </c:pt>
                <c:pt idx="3258">
                  <c:v>7.6480363068453707E-3</c:v>
                </c:pt>
                <c:pt idx="3259">
                  <c:v>7.6500067566807562E-3</c:v>
                </c:pt>
                <c:pt idx="3260">
                  <c:v>7.6520289259113588E-3</c:v>
                </c:pt>
                <c:pt idx="3261">
                  <c:v>7.6539794342933504E-3</c:v>
                </c:pt>
                <c:pt idx="3262">
                  <c:v>7.6559206265725361E-3</c:v>
                </c:pt>
                <c:pt idx="3263">
                  <c:v>7.6578526680968709E-3</c:v>
                </c:pt>
                <c:pt idx="3264">
                  <c:v>7.6597757242156377E-3</c:v>
                </c:pt>
                <c:pt idx="3265">
                  <c:v>7.6616899602772329E-3</c:v>
                </c:pt>
                <c:pt idx="3266">
                  <c:v>7.6635955416331477E-3</c:v>
                </c:pt>
                <c:pt idx="3267">
                  <c:v>7.6654926336339867E-3</c:v>
                </c:pt>
                <c:pt idx="3268">
                  <c:v>7.6673814016307981E-3</c:v>
                </c:pt>
                <c:pt idx="3269">
                  <c:v>7.6699016325334204E-3</c:v>
                </c:pt>
                <c:pt idx="3270">
                  <c:v>7.6717727569405756E-3</c:v>
                </c:pt>
                <c:pt idx="3271">
                  <c:v>7.6736360587078027E-3</c:v>
                </c:pt>
                <c:pt idx="3272">
                  <c:v>7.6754917005023744E-3</c:v>
                </c:pt>
                <c:pt idx="3273">
                  <c:v>7.6776554515554686E-3</c:v>
                </c:pt>
                <c:pt idx="3274">
                  <c:v>7.6794944640710718E-3</c:v>
                </c:pt>
                <c:pt idx="3275">
                  <c:v>7.6813260026277362E-3</c:v>
                </c:pt>
                <c:pt idx="3276">
                  <c:v>7.6831500672049332E-3</c:v>
                </c:pt>
                <c:pt idx="3277">
                  <c:v>7.6856434951805552E-3</c:v>
                </c:pt>
                <c:pt idx="3278">
                  <c:v>7.6874013360347477E-3</c:v>
                </c:pt>
                <c:pt idx="3279">
                  <c:v>7.6892014920632908E-3</c:v>
                </c:pt>
                <c:pt idx="3280">
                  <c:v>7.6909941735740549E-3</c:v>
                </c:pt>
                <c:pt idx="3281">
                  <c:v>7.6921582796790353E-3</c:v>
                </c:pt>
                <c:pt idx="3282">
                  <c:v>7.6939374999487296E-3</c:v>
                </c:pt>
                <c:pt idx="3283">
                  <c:v>7.695709246095246E-3</c:v>
                </c:pt>
                <c:pt idx="3284">
                  <c:v>7.6974735180989282E-3</c:v>
                </c:pt>
                <c:pt idx="3285">
                  <c:v>7.6998454626495032E-3</c:v>
                </c:pt>
                <c:pt idx="3286">
                  <c:v>7.7015932966255493E-3</c:v>
                </c:pt>
                <c:pt idx="3287">
                  <c:v>7.7033336559411345E-3</c:v>
                </c:pt>
                <c:pt idx="3288">
                  <c:v>7.70506654057692E-3</c:v>
                </c:pt>
                <c:pt idx="3289">
                  <c:v>7.7067919505118473E-3</c:v>
                </c:pt>
                <c:pt idx="3290">
                  <c:v>7.7079021920093728E-3</c:v>
                </c:pt>
                <c:pt idx="3291">
                  <c:v>7.7102203462013396E-3</c:v>
                </c:pt>
                <c:pt idx="3292">
                  <c:v>7.7119233319163667E-3</c:v>
                </c:pt>
                <c:pt idx="3293">
                  <c:v>7.7136188428518892E-3</c:v>
                </c:pt>
                <c:pt idx="3294">
                  <c:v>7.7147051559235385E-3</c:v>
                </c:pt>
                <c:pt idx="3295">
                  <c:v>7.715986835008834E-3</c:v>
                </c:pt>
                <c:pt idx="3296">
                  <c:v>7.7176624118388262E-3</c:v>
                </c:pt>
                <c:pt idx="3297">
                  <c:v>7.7193305145794042E-3</c:v>
                </c:pt>
                <c:pt idx="3298">
                  <c:v>7.720991143211578E-3</c:v>
                </c:pt>
                <c:pt idx="3299">
                  <c:v>7.7228425150257986E-3</c:v>
                </c:pt>
                <c:pt idx="3300">
                  <c:v>7.7244876967432494E-3</c:v>
                </c:pt>
                <c:pt idx="3301">
                  <c:v>7.7261254041432722E-3</c:v>
                </c:pt>
                <c:pt idx="3302">
                  <c:v>7.7277556372056626E-3</c:v>
                </c:pt>
                <c:pt idx="3303">
                  <c:v>7.7293783959146087E-3</c:v>
                </c:pt>
                <c:pt idx="3304">
                  <c:v>7.7307979576942704E-3</c:v>
                </c:pt>
                <c:pt idx="3305">
                  <c:v>7.7324062670513444E-3</c:v>
                </c:pt>
                <c:pt idx="3306">
                  <c:v>7.7340071021538333E-3</c:v>
                </c:pt>
                <c:pt idx="3307">
                  <c:v>7.7356004629831878E-3</c:v>
                </c:pt>
                <c:pt idx="3308">
                  <c:v>7.7373800734988687E-3</c:v>
                </c:pt>
                <c:pt idx="3309">
                  <c:v>7.7389579856975742E-3</c:v>
                </c:pt>
                <c:pt idx="3310">
                  <c:v>7.7405284234145855E-3</c:v>
                </c:pt>
                <c:pt idx="3311">
                  <c:v>7.7429811525675518E-3</c:v>
                </c:pt>
                <c:pt idx="3312">
                  <c:v>7.743676826429494E-3</c:v>
                </c:pt>
                <c:pt idx="3313">
                  <c:v>7.7450036672289356E-3</c:v>
                </c:pt>
                <c:pt idx="3314">
                  <c:v>7.7465447076508365E-3</c:v>
                </c:pt>
                <c:pt idx="3315">
                  <c:v>7.7480782736587209E-3</c:v>
                </c:pt>
                <c:pt idx="3316">
                  <c:v>7.749604365235808E-3</c:v>
                </c:pt>
                <c:pt idx="3317">
                  <c:v>7.7511229823644303E-3</c:v>
                </c:pt>
                <c:pt idx="3318">
                  <c:v>7.752634125027808E-3</c:v>
                </c:pt>
                <c:pt idx="3319">
                  <c:v>7.7541377932087161E-3</c:v>
                </c:pt>
                <c:pt idx="3320">
                  <c:v>7.7556339868908144E-3</c:v>
                </c:pt>
                <c:pt idx="3321">
                  <c:v>7.7580583114815957E-3</c:v>
                </c:pt>
                <c:pt idx="3322">
                  <c:v>7.759537045649828E-3</c:v>
                </c:pt>
                <c:pt idx="3323">
                  <c:v>7.7610083044880283E-3</c:v>
                </c:pt>
                <c:pt idx="3324">
                  <c:v>7.7624720879811548E-3</c:v>
                </c:pt>
                <c:pt idx="3325">
                  <c:v>7.7633731966292039E-3</c:v>
                </c:pt>
                <c:pt idx="3326">
                  <c:v>7.7648235375965277E-3</c:v>
                </c:pt>
                <c:pt idx="3327">
                  <c:v>7.7662664036360707E-3</c:v>
                </c:pt>
                <c:pt idx="3328">
                  <c:v>7.7677017947325455E-3</c:v>
                </c:pt>
                <c:pt idx="3329">
                  <c:v>7.7691297108676049E-3</c:v>
                </c:pt>
                <c:pt idx="3330">
                  <c:v>7.7710978057315425E-3</c:v>
                </c:pt>
                <c:pt idx="3331">
                  <c:v>7.7725092613338308E-3</c:v>
                </c:pt>
                <c:pt idx="3332">
                  <c:v>7.7739132414573892E-3</c:v>
                </c:pt>
                <c:pt idx="3333">
                  <c:v>7.7753097460863145E-3</c:v>
                </c:pt>
                <c:pt idx="3334">
                  <c:v>7.776157166578289E-3</c:v>
                </c:pt>
                <c:pt idx="3335">
                  <c:v>7.7775402326155053E-3</c:v>
                </c:pt>
                <c:pt idx="3336">
                  <c:v>7.7789158235803575E-3</c:v>
                </c:pt>
                <c:pt idx="3337">
                  <c:v>7.7808210093303675E-3</c:v>
                </c:pt>
                <c:pt idx="3338">
                  <c:v>7.7821801362437468E-3</c:v>
                </c:pt>
                <c:pt idx="3339">
                  <c:v>7.7835317875679464E-3</c:v>
                </c:pt>
                <c:pt idx="3340">
                  <c:v>7.7848759632853457E-3</c:v>
                </c:pt>
                <c:pt idx="3341">
                  <c:v>7.7862126633817625E-3</c:v>
                </c:pt>
                <c:pt idx="3342">
                  <c:v>7.7870123919919244E-3</c:v>
                </c:pt>
                <c:pt idx="3343">
                  <c:v>7.7888636366480442E-3</c:v>
                </c:pt>
                <c:pt idx="3344">
                  <c:v>7.7901779097869659E-3</c:v>
                </c:pt>
                <c:pt idx="3345">
                  <c:v>7.7914847072438785E-3</c:v>
                </c:pt>
                <c:pt idx="3346">
                  <c:v>7.7927840290028805E-3</c:v>
                </c:pt>
                <c:pt idx="3347">
                  <c:v>7.7933799035164036E-3</c:v>
                </c:pt>
                <c:pt idx="3348">
                  <c:v>7.7946662985767679E-3</c:v>
                </c:pt>
                <c:pt idx="3349">
                  <c:v>7.7959452185264906E-3</c:v>
                </c:pt>
                <c:pt idx="3350">
                  <c:v>7.7972166633519585E-3</c:v>
                </c:pt>
                <c:pt idx="3351">
                  <c:v>7.7986526690048061E-3</c:v>
                </c:pt>
                <c:pt idx="3352">
                  <c:v>7.8005943147555004E-3</c:v>
                </c:pt>
                <c:pt idx="3353">
                  <c:v>7.8011571691744639E-3</c:v>
                </c:pt>
                <c:pt idx="3354">
                  <c:v>7.8023982062560889E-3</c:v>
                </c:pt>
                <c:pt idx="3355">
                  <c:v>7.8036317679827348E-3</c:v>
                </c:pt>
                <c:pt idx="3356">
                  <c:v>7.8046883538841717E-3</c:v>
                </c:pt>
                <c:pt idx="3357">
                  <c:v>7.8059074724384113E-3</c:v>
                </c:pt>
                <c:pt idx="3358">
                  <c:v>7.8071191157550787E-3</c:v>
                </c:pt>
                <c:pt idx="3359">
                  <c:v>7.8083232838214375E-3</c:v>
                </c:pt>
                <c:pt idx="3360">
                  <c:v>7.8096874458195107E-3</c:v>
                </c:pt>
                <c:pt idx="3361">
                  <c:v>7.810876155130167E-3</c:v>
                </c:pt>
                <c:pt idx="3362">
                  <c:v>7.81205738899062E-3</c:v>
                </c:pt>
                <c:pt idx="3363">
                  <c:v>7.8132311473873266E-3</c:v>
                </c:pt>
                <c:pt idx="3364">
                  <c:v>7.814231994912834E-3</c:v>
                </c:pt>
                <c:pt idx="3365">
                  <c:v>7.8153913111905365E-3</c:v>
                </c:pt>
                <c:pt idx="3366">
                  <c:v>7.8165431521230594E-3</c:v>
                </c:pt>
                <c:pt idx="3367">
                  <c:v>7.8176875176985475E-3</c:v>
                </c:pt>
                <c:pt idx="3368">
                  <c:v>7.8188244079033832E-3</c:v>
                </c:pt>
                <c:pt idx="3369">
                  <c:v>7.8199538227257063E-3</c:v>
                </c:pt>
                <c:pt idx="3370">
                  <c:v>7.821075762152345E-3</c:v>
                </c:pt>
                <c:pt idx="3371">
                  <c:v>7.8221902261692393E-3</c:v>
                </c:pt>
                <c:pt idx="3372">
                  <c:v>7.8232972147658526E-3</c:v>
                </c:pt>
                <c:pt idx="3373">
                  <c:v>7.8250398499921364E-3</c:v>
                </c:pt>
                <c:pt idx="3374">
                  <c:v>7.8261298464400754E-3</c:v>
                </c:pt>
                <c:pt idx="3375">
                  <c:v>7.8272123667912832E-3</c:v>
                </c:pt>
                <c:pt idx="3376">
                  <c:v>7.8282874110311498E-3</c:v>
                </c:pt>
                <c:pt idx="3377">
                  <c:v>7.8288788339213721E-3</c:v>
                </c:pt>
                <c:pt idx="3378">
                  <c:v>7.8299404588077319E-3</c:v>
                </c:pt>
                <c:pt idx="3379">
                  <c:v>7.8309946080272318E-3</c:v>
                </c:pt>
                <c:pt idx="3380">
                  <c:v>7.8320412815667661E-3</c:v>
                </c:pt>
                <c:pt idx="3381">
                  <c:v>7.8330804794162871E-3</c:v>
                </c:pt>
                <c:pt idx="3382">
                  <c:v>7.8345806774728823E-3</c:v>
                </c:pt>
                <c:pt idx="3383">
                  <c:v>7.835603388599852E-3</c:v>
                </c:pt>
                <c:pt idx="3384">
                  <c:v>7.836618623520069E-3</c:v>
                </c:pt>
                <c:pt idx="3385">
                  <c:v>7.837626382221503E-3</c:v>
                </c:pt>
                <c:pt idx="3386">
                  <c:v>7.8381643328921877E-3</c:v>
                </c:pt>
                <c:pt idx="3387">
                  <c:v>7.8391586763526533E-3</c:v>
                </c:pt>
                <c:pt idx="3388">
                  <c:v>7.8401455440405502E-3</c:v>
                </c:pt>
                <c:pt idx="3389">
                  <c:v>7.8411249359453938E-3</c:v>
                </c:pt>
                <c:pt idx="3390">
                  <c:v>7.8420968520571382E-3</c:v>
                </c:pt>
                <c:pt idx="3391">
                  <c:v>7.8435159331922914E-3</c:v>
                </c:pt>
                <c:pt idx="3392">
                  <c:v>7.844471358041635E-3</c:v>
                </c:pt>
                <c:pt idx="3393">
                  <c:v>7.8454193065819449E-3</c:v>
                </c:pt>
                <c:pt idx="3394">
                  <c:v>7.8463597788020461E-3</c:v>
                </c:pt>
                <c:pt idx="3395">
                  <c:v>7.8472927746907652E-3</c:v>
                </c:pt>
                <c:pt idx="3396">
                  <c:v>7.8482182942377875E-3</c:v>
                </c:pt>
                <c:pt idx="3397">
                  <c:v>7.8491363374323699E-3</c:v>
                </c:pt>
                <c:pt idx="3398">
                  <c:v>7.850046904263339E-3</c:v>
                </c:pt>
                <c:pt idx="3399">
                  <c:v>7.8502125764921861E-3</c:v>
                </c:pt>
                <c:pt idx="3400">
                  <c:v>7.8511107629610343E-3</c:v>
                </c:pt>
                <c:pt idx="3401">
                  <c:v>7.8520014738424383E-3</c:v>
                </c:pt>
                <c:pt idx="3402">
                  <c:v>7.8528847091249195E-3</c:v>
                </c:pt>
                <c:pt idx="3403">
                  <c:v>7.8537604687992021E-3</c:v>
                </c:pt>
                <c:pt idx="3404">
                  <c:v>7.8547737565529529E-3</c:v>
                </c:pt>
                <c:pt idx="3405">
                  <c:v>7.8556340497412877E-3</c:v>
                </c:pt>
                <c:pt idx="3406">
                  <c:v>7.8564868671303044E-3</c:v>
                </c:pt>
                <c:pt idx="3407">
                  <c:v>7.857332208710776E-3</c:v>
                </c:pt>
                <c:pt idx="3408">
                  <c:v>7.8580271327071283E-3</c:v>
                </c:pt>
                <c:pt idx="3409">
                  <c:v>7.8588580385286246E-3</c:v>
                </c:pt>
                <c:pt idx="3410">
                  <c:v>7.8596814686752343E-3</c:v>
                </c:pt>
                <c:pt idx="3411">
                  <c:v>7.8604974231367992E-3</c:v>
                </c:pt>
                <c:pt idx="3412">
                  <c:v>7.861446779154695E-3</c:v>
                </c:pt>
                <c:pt idx="3413">
                  <c:v>7.8622472656866994E-3</c:v>
                </c:pt>
                <c:pt idx="3414">
                  <c:v>7.8630402763447179E-3</c:v>
                </c:pt>
                <c:pt idx="3415">
                  <c:v>7.8638258111204066E-3</c:v>
                </c:pt>
                <c:pt idx="3416">
                  <c:v>7.8646038700045419E-3</c:v>
                </c:pt>
                <c:pt idx="3417">
                  <c:v>7.8652361600256536E-3</c:v>
                </c:pt>
                <c:pt idx="3418">
                  <c:v>7.8659997844437168E-3</c:v>
                </c:pt>
                <c:pt idx="3419">
                  <c:v>7.866755933106517E-3</c:v>
                </c:pt>
                <c:pt idx="3420">
                  <c:v>7.8675046060052208E-3</c:v>
                </c:pt>
                <c:pt idx="3421">
                  <c:v>7.8682458031314375E-3</c:v>
                </c:pt>
                <c:pt idx="3422">
                  <c:v>7.8689795244767761E-3</c:v>
                </c:pt>
                <c:pt idx="3423">
                  <c:v>7.8697057700332865E-3</c:v>
                </c:pt>
                <c:pt idx="3424">
                  <c:v>7.8704245397930184E-3</c:v>
                </c:pt>
                <c:pt idx="3425">
                  <c:v>7.8718061070762266E-3</c:v>
                </c:pt>
                <c:pt idx="3426">
                  <c:v>7.8725073317872114E-3</c:v>
                </c:pt>
                <c:pt idx="3427">
                  <c:v>7.8732010798655497E-3</c:v>
                </c:pt>
                <c:pt idx="3428">
                  <c:v>7.8738873513017893E-3</c:v>
                </c:pt>
                <c:pt idx="3429">
                  <c:v>7.8741703520463762E-3</c:v>
                </c:pt>
                <c:pt idx="3430">
                  <c:v>7.8748432282535891E-3</c:v>
                </c:pt>
                <c:pt idx="3431">
                  <c:v>7.8755086282841832E-3</c:v>
                </c:pt>
                <c:pt idx="3432">
                  <c:v>7.8761665521298596E-3</c:v>
                </c:pt>
                <c:pt idx="3433">
                  <c:v>7.8768169997845052E-3</c:v>
                </c:pt>
                <c:pt idx="3434">
                  <c:v>7.8778479700272463E-3</c:v>
                </c:pt>
                <c:pt idx="3435">
                  <c:v>7.8784819047607712E-3</c:v>
                </c:pt>
                <c:pt idx="3436">
                  <c:v>7.8791083627920266E-3</c:v>
                </c:pt>
                <c:pt idx="3437">
                  <c:v>7.8797273441149982E-3</c:v>
                </c:pt>
                <c:pt idx="3438">
                  <c:v>7.8799570949196745E-3</c:v>
                </c:pt>
                <c:pt idx="3439">
                  <c:v>7.8805626852704366E-3</c:v>
                </c:pt>
                <c:pt idx="3440">
                  <c:v>7.8811607993794965E-3</c:v>
                </c:pt>
                <c:pt idx="3441">
                  <c:v>7.881751437239428E-3</c:v>
                </c:pt>
                <c:pt idx="3442">
                  <c:v>7.8823345988441179E-3</c:v>
                </c:pt>
                <c:pt idx="3443">
                  <c:v>7.8832842207641265E-3</c:v>
                </c:pt>
                <c:pt idx="3444">
                  <c:v>7.8838508649279743E-3</c:v>
                </c:pt>
                <c:pt idx="3445">
                  <c:v>7.8844100323280999E-3</c:v>
                </c:pt>
                <c:pt idx="3446">
                  <c:v>7.8849617229571935E-3</c:v>
                </c:pt>
                <c:pt idx="3447">
                  <c:v>7.8855059368096708E-3</c:v>
                </c:pt>
                <c:pt idx="3448">
                  <c:v>7.886042673879514E-3</c:v>
                </c:pt>
                <c:pt idx="3449">
                  <c:v>7.8865719341598469E-3</c:v>
                </c:pt>
                <c:pt idx="3450">
                  <c:v>7.8870937176455137E-3</c:v>
                </c:pt>
                <c:pt idx="3451">
                  <c:v>7.8870054444780801E-3</c:v>
                </c:pt>
                <c:pt idx="3452">
                  <c:v>7.8875148889470097E-3</c:v>
                </c:pt>
                <c:pt idx="3453">
                  <c:v>7.8880168574191022E-3</c:v>
                </c:pt>
                <c:pt idx="3454">
                  <c:v>7.8885113498877325E-3</c:v>
                </c:pt>
                <c:pt idx="3455">
                  <c:v>7.8889983663480417E-3</c:v>
                </c:pt>
                <c:pt idx="3456">
                  <c:v>7.8895959029786546E-3</c:v>
                </c:pt>
                <c:pt idx="3457">
                  <c:v>7.8900674437182971E-3</c:v>
                </c:pt>
                <c:pt idx="3458">
                  <c:v>7.8905315082694796E-3</c:v>
                </c:pt>
                <c:pt idx="3459">
                  <c:v>7.8909880966278097E-3</c:v>
                </c:pt>
                <c:pt idx="3460">
                  <c:v>7.8913213083375237E-3</c:v>
                </c:pt>
                <c:pt idx="3461">
                  <c:v>7.8917634686366152E-3</c:v>
                </c:pt>
                <c:pt idx="3462">
                  <c:v>7.8921981528902903E-3</c:v>
                </c:pt>
                <c:pt idx="3463">
                  <c:v>7.892625361094573E-3</c:v>
                </c:pt>
                <c:pt idx="3464">
                  <c:v>7.8931588953470525E-3</c:v>
                </c:pt>
                <c:pt idx="3465">
                  <c:v>7.8935706264415453E-3</c:v>
                </c:pt>
                <c:pt idx="3466">
                  <c:v>7.8939748813093673E-3</c:v>
                </c:pt>
                <c:pt idx="3467">
                  <c:v>7.8943716599452485E-3</c:v>
                </c:pt>
                <c:pt idx="3468">
                  <c:v>7.8948159666672128E-3</c:v>
                </c:pt>
                <c:pt idx="3469">
                  <c:v>7.8950856244052181E-3</c:v>
                </c:pt>
                <c:pt idx="3470">
                  <c:v>7.8954594321188412E-3</c:v>
                </c:pt>
                <c:pt idx="3471">
                  <c:v>7.8958257637472985E-3</c:v>
                </c:pt>
                <c:pt idx="3472">
                  <c:v>7.8961846192839667E-3</c:v>
                </c:pt>
                <c:pt idx="3473">
                  <c:v>7.8965359987266358E-3</c:v>
                </c:pt>
                <c:pt idx="3474">
                  <c:v>7.896879902070891E-3</c:v>
                </c:pt>
                <c:pt idx="3475">
                  <c:v>7.8972163293127562E-3</c:v>
                </c:pt>
                <c:pt idx="3476">
                  <c:v>7.897545280448259E-3</c:v>
                </c:pt>
                <c:pt idx="3477">
                  <c:v>7.8982940196952074E-3</c:v>
                </c:pt>
                <c:pt idx="3478">
                  <c:v>7.8986059098875815E-3</c:v>
                </c:pt>
                <c:pt idx="3479">
                  <c:v>7.898910323309187E-3</c:v>
                </c:pt>
                <c:pt idx="3480">
                  <c:v>7.8992072599548373E-3</c:v>
                </c:pt>
                <c:pt idx="3481">
                  <c:v>7.8991826739618701E-3</c:v>
                </c:pt>
                <c:pt idx="3482">
                  <c:v>7.8997787029083336E-3</c:v>
                </c:pt>
                <c:pt idx="3483">
                  <c:v>7.9000001132811803E-3</c:v>
                </c:pt>
                <c:pt idx="3484">
                  <c:v>7.9003202387212829E-3</c:v>
                </c:pt>
                <c:pt idx="3485">
                  <c:v>7.9005797914417884E-3</c:v>
                </c:pt>
                <c:pt idx="3486">
                  <c:v>7.9008318673677597E-3</c:v>
                </c:pt>
                <c:pt idx="3487">
                  <c:v>7.9010764664974673E-3</c:v>
                </c:pt>
                <c:pt idx="3488">
                  <c:v>7.9013135888257261E-3</c:v>
                </c:pt>
                <c:pt idx="3489">
                  <c:v>7.9015432343529698E-3</c:v>
                </c:pt>
                <c:pt idx="3490">
                  <c:v>7.9017654030735796E-3</c:v>
                </c:pt>
                <c:pt idx="3491">
                  <c:v>7.9019800949866915E-3</c:v>
                </c:pt>
                <c:pt idx="3492">
                  <c:v>7.9021873100897141E-3</c:v>
                </c:pt>
                <c:pt idx="3493">
                  <c:v>7.9023870483791898E-3</c:v>
                </c:pt>
                <c:pt idx="3494">
                  <c:v>7.9025793098533893E-3</c:v>
                </c:pt>
                <c:pt idx="3495">
                  <c:v>7.9027640945110184E-3</c:v>
                </c:pt>
                <c:pt idx="3496">
                  <c:v>7.9029414023494837E-3</c:v>
                </c:pt>
                <c:pt idx="3497">
                  <c:v>7.9031112333657616E-3</c:v>
                </c:pt>
                <c:pt idx="3498">
                  <c:v>7.9032735875589864E-3</c:v>
                </c:pt>
                <c:pt idx="3499">
                  <c:v>7.9034284649274304E-3</c:v>
                </c:pt>
                <c:pt idx="3500">
                  <c:v>7.9035758654676363E-3</c:v>
                </c:pt>
                <c:pt idx="3501">
                  <c:v>7.9037157891800359E-3</c:v>
                </c:pt>
                <c:pt idx="3502">
                  <c:v>7.9038482360620395E-3</c:v>
                </c:pt>
                <c:pt idx="3503">
                  <c:v>7.9036009814907552E-3</c:v>
                </c:pt>
                <c:pt idx="3504">
                  <c:v>7.903720600460953E-3</c:v>
                </c:pt>
                <c:pt idx="3505">
                  <c:v>7.9038327432532432E-3</c:v>
                </c:pt>
                <c:pt idx="3506">
                  <c:v>7.9039374098640921E-3</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0332672"/>
        <c:axId val="59033459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42118</c:v>
                </c:pt>
                <c:pt idx="1">
                  <c:v>42149</c:v>
                </c:pt>
                <c:pt idx="2">
                  <c:v>42179</c:v>
                </c:pt>
                <c:pt idx="3">
                  <c:v>42209</c:v>
                </c:pt>
                <c:pt idx="4">
                  <c:v>42240</c:v>
                </c:pt>
                <c:pt idx="5">
                  <c:v>42271</c:v>
                </c:pt>
                <c:pt idx="6">
                  <c:v>42303</c:v>
                </c:pt>
                <c:pt idx="7">
                  <c:v>42332</c:v>
                </c:pt>
                <c:pt idx="8">
                  <c:v>42362</c:v>
                </c:pt>
                <c:pt idx="9">
                  <c:v>42394</c:v>
                </c:pt>
                <c:pt idx="10">
                  <c:v>42424</c:v>
                </c:pt>
                <c:pt idx="11">
                  <c:v>42453</c:v>
                </c:pt>
                <c:pt idx="12">
                  <c:v>42485</c:v>
                </c:pt>
                <c:pt idx="13">
                  <c:v>42514</c:v>
                </c:pt>
                <c:pt idx="14">
                  <c:v>42545</c:v>
                </c:pt>
                <c:pt idx="15">
                  <c:v>42576</c:v>
                </c:pt>
                <c:pt idx="16">
                  <c:v>42606</c:v>
                </c:pt>
                <c:pt idx="17">
                  <c:v>42639</c:v>
                </c:pt>
              </c:numCache>
            </c:numRef>
          </c:xVal>
          <c:yVal>
            <c:numRef>
              <c:f>[0]!FRASeries</c:f>
              <c:numCache>
                <c:formatCode>0.0000%</c:formatCode>
                <c:ptCount val="18"/>
                <c:pt idx="0">
                  <c:v>8.6000000000000009E-4</c:v>
                </c:pt>
                <c:pt idx="1">
                  <c:v>8.5000000000000006E-4</c:v>
                </c:pt>
                <c:pt idx="2">
                  <c:v>8.3000000000000001E-4</c:v>
                </c:pt>
                <c:pt idx="3">
                  <c:v>8.1000000000000006E-4</c:v>
                </c:pt>
                <c:pt idx="4">
                  <c:v>7.9000000000000012E-4</c:v>
                </c:pt>
                <c:pt idx="5">
                  <c:v>7.8000000000000009E-4</c:v>
                </c:pt>
                <c:pt idx="6">
                  <c:v>7.7000000000000018E-4</c:v>
                </c:pt>
                <c:pt idx="7">
                  <c:v>7.7000000000000018E-4</c:v>
                </c:pt>
                <c:pt idx="8">
                  <c:v>7.7000000000000018E-4</c:v>
                </c:pt>
                <c:pt idx="9">
                  <c:v>7.7000000000000018E-4</c:v>
                </c:pt>
                <c:pt idx="10">
                  <c:v>7.8000000000000009E-4</c:v>
                </c:pt>
                <c:pt idx="11">
                  <c:v>8.0000000000000015E-4</c:v>
                </c:pt>
                <c:pt idx="12">
                  <c:v>8.3000000000000001E-4</c:v>
                </c:pt>
                <c:pt idx="13">
                  <c:v>8.6000000000000009E-4</c:v>
                </c:pt>
                <c:pt idx="14">
                  <c:v>8.9999999999999998E-4</c:v>
                </c:pt>
                <c:pt idx="15">
                  <c:v>9.6000000000000002E-4</c:v>
                </c:pt>
                <c:pt idx="16">
                  <c:v>1.01E-3</c:v>
                </c:pt>
                <c:pt idx="17">
                  <c:v>1.0800000000000002E-3</c:v>
                </c:pt>
              </c:numCache>
            </c:numRef>
          </c:yVal>
          <c:smooth val="0"/>
        </c:ser>
        <c:dLbls>
          <c:showLegendKey val="0"/>
          <c:showVal val="0"/>
          <c:showCatName val="0"/>
          <c:showSerName val="0"/>
          <c:showPercent val="0"/>
          <c:showBubbleSize val="0"/>
        </c:dLbls>
        <c:axId val="590332672"/>
        <c:axId val="590334592"/>
      </c:scatterChart>
      <c:dateAx>
        <c:axId val="590332672"/>
        <c:scaling>
          <c:orientation val="minMax"/>
          <c:max val="42818"/>
          <c:min val="42094"/>
        </c:scaling>
        <c:delete val="0"/>
        <c:axPos val="b"/>
        <c:numFmt formatCode="[$-409]mmm\-yy;@" sourceLinked="0"/>
        <c:majorTickMark val="out"/>
        <c:minorTickMark val="none"/>
        <c:tickLblPos val="nextTo"/>
        <c:txPr>
          <a:bodyPr rot="-2700000" vert="horz"/>
          <a:lstStyle/>
          <a:p>
            <a:pPr>
              <a:defRPr/>
            </a:pPr>
            <a:endParaRPr lang="en-US"/>
          </a:p>
        </c:txPr>
        <c:crossAx val="590334592"/>
        <c:crosses val="autoZero"/>
        <c:auto val="1"/>
        <c:lblOffset val="100"/>
        <c:baseTimeUnit val="days"/>
        <c:majorUnit val="3"/>
        <c:majorTimeUnit val="months"/>
        <c:minorUnit val="1"/>
        <c:minorTimeUnit val="years"/>
      </c:dateAx>
      <c:valAx>
        <c:axId val="590334592"/>
        <c:scaling>
          <c:orientation val="minMax"/>
          <c:max val="2E-3"/>
          <c:min val="0"/>
        </c:scaling>
        <c:delete val="0"/>
        <c:axPos val="l"/>
        <c:majorGridlines/>
        <c:numFmt formatCode="0.00%" sourceLinked="0"/>
        <c:majorTickMark val="out"/>
        <c:minorTickMark val="none"/>
        <c:tickLblPos val="nextTo"/>
        <c:crossAx val="59033267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42087</c:v>
                </c:pt>
                <c:pt idx="1">
                  <c:v>42088</c:v>
                </c:pt>
                <c:pt idx="2">
                  <c:v>42089</c:v>
                </c:pt>
                <c:pt idx="3">
                  <c:v>42090</c:v>
                </c:pt>
                <c:pt idx="4">
                  <c:v>42093</c:v>
                </c:pt>
                <c:pt idx="5">
                  <c:v>42094</c:v>
                </c:pt>
                <c:pt idx="6">
                  <c:v>42095</c:v>
                </c:pt>
                <c:pt idx="7">
                  <c:v>42096</c:v>
                </c:pt>
                <c:pt idx="8">
                  <c:v>42101</c:v>
                </c:pt>
                <c:pt idx="9">
                  <c:v>42102</c:v>
                </c:pt>
                <c:pt idx="10">
                  <c:v>42103</c:v>
                </c:pt>
                <c:pt idx="11">
                  <c:v>42104</c:v>
                </c:pt>
                <c:pt idx="12">
                  <c:v>42107</c:v>
                </c:pt>
                <c:pt idx="13">
                  <c:v>42108</c:v>
                </c:pt>
                <c:pt idx="14">
                  <c:v>42109</c:v>
                </c:pt>
                <c:pt idx="15">
                  <c:v>42110</c:v>
                </c:pt>
                <c:pt idx="16">
                  <c:v>42111</c:v>
                </c:pt>
                <c:pt idx="17">
                  <c:v>42114</c:v>
                </c:pt>
                <c:pt idx="18">
                  <c:v>42115</c:v>
                </c:pt>
                <c:pt idx="19">
                  <c:v>42116</c:v>
                </c:pt>
                <c:pt idx="20">
                  <c:v>42117</c:v>
                </c:pt>
                <c:pt idx="21">
                  <c:v>42118</c:v>
                </c:pt>
                <c:pt idx="22">
                  <c:v>42121</c:v>
                </c:pt>
                <c:pt idx="23">
                  <c:v>42122</c:v>
                </c:pt>
                <c:pt idx="24">
                  <c:v>42123</c:v>
                </c:pt>
                <c:pt idx="25">
                  <c:v>42124</c:v>
                </c:pt>
                <c:pt idx="26">
                  <c:v>42128</c:v>
                </c:pt>
                <c:pt idx="27">
                  <c:v>42129</c:v>
                </c:pt>
                <c:pt idx="28">
                  <c:v>42130</c:v>
                </c:pt>
                <c:pt idx="29">
                  <c:v>42131</c:v>
                </c:pt>
                <c:pt idx="30">
                  <c:v>42132</c:v>
                </c:pt>
                <c:pt idx="31">
                  <c:v>42135</c:v>
                </c:pt>
                <c:pt idx="32">
                  <c:v>42136</c:v>
                </c:pt>
                <c:pt idx="33">
                  <c:v>42137</c:v>
                </c:pt>
                <c:pt idx="34">
                  <c:v>42138</c:v>
                </c:pt>
                <c:pt idx="35">
                  <c:v>42139</c:v>
                </c:pt>
                <c:pt idx="36">
                  <c:v>42142</c:v>
                </c:pt>
                <c:pt idx="37">
                  <c:v>42143</c:v>
                </c:pt>
                <c:pt idx="38">
                  <c:v>42144</c:v>
                </c:pt>
                <c:pt idx="39">
                  <c:v>42145</c:v>
                </c:pt>
                <c:pt idx="40">
                  <c:v>42146</c:v>
                </c:pt>
                <c:pt idx="41">
                  <c:v>42149</c:v>
                </c:pt>
                <c:pt idx="42">
                  <c:v>42150</c:v>
                </c:pt>
                <c:pt idx="43">
                  <c:v>42151</c:v>
                </c:pt>
                <c:pt idx="44">
                  <c:v>42152</c:v>
                </c:pt>
                <c:pt idx="45">
                  <c:v>42153</c:v>
                </c:pt>
                <c:pt idx="46">
                  <c:v>42156</c:v>
                </c:pt>
                <c:pt idx="47">
                  <c:v>42157</c:v>
                </c:pt>
                <c:pt idx="48">
                  <c:v>42158</c:v>
                </c:pt>
                <c:pt idx="49">
                  <c:v>42159</c:v>
                </c:pt>
                <c:pt idx="50">
                  <c:v>42160</c:v>
                </c:pt>
                <c:pt idx="51">
                  <c:v>42163</c:v>
                </c:pt>
                <c:pt idx="52">
                  <c:v>42164</c:v>
                </c:pt>
                <c:pt idx="53">
                  <c:v>42165</c:v>
                </c:pt>
                <c:pt idx="54">
                  <c:v>42166</c:v>
                </c:pt>
                <c:pt idx="55">
                  <c:v>42167</c:v>
                </c:pt>
                <c:pt idx="56">
                  <c:v>42170</c:v>
                </c:pt>
                <c:pt idx="57">
                  <c:v>42171</c:v>
                </c:pt>
                <c:pt idx="58">
                  <c:v>42172</c:v>
                </c:pt>
                <c:pt idx="59">
                  <c:v>42173</c:v>
                </c:pt>
                <c:pt idx="60">
                  <c:v>42174</c:v>
                </c:pt>
                <c:pt idx="61">
                  <c:v>42177</c:v>
                </c:pt>
                <c:pt idx="62">
                  <c:v>42178</c:v>
                </c:pt>
                <c:pt idx="63">
                  <c:v>42179</c:v>
                </c:pt>
                <c:pt idx="64">
                  <c:v>42180</c:v>
                </c:pt>
                <c:pt idx="65">
                  <c:v>42181</c:v>
                </c:pt>
                <c:pt idx="66">
                  <c:v>42184</c:v>
                </c:pt>
                <c:pt idx="67">
                  <c:v>42185</c:v>
                </c:pt>
                <c:pt idx="68">
                  <c:v>42186</c:v>
                </c:pt>
                <c:pt idx="69">
                  <c:v>42187</c:v>
                </c:pt>
                <c:pt idx="70">
                  <c:v>42188</c:v>
                </c:pt>
                <c:pt idx="71">
                  <c:v>42191</c:v>
                </c:pt>
                <c:pt idx="72">
                  <c:v>42192</c:v>
                </c:pt>
                <c:pt idx="73">
                  <c:v>42193</c:v>
                </c:pt>
                <c:pt idx="74">
                  <c:v>42194</c:v>
                </c:pt>
                <c:pt idx="75">
                  <c:v>42195</c:v>
                </c:pt>
                <c:pt idx="76">
                  <c:v>42198</c:v>
                </c:pt>
                <c:pt idx="77">
                  <c:v>42199</c:v>
                </c:pt>
                <c:pt idx="78">
                  <c:v>42200</c:v>
                </c:pt>
                <c:pt idx="79">
                  <c:v>42201</c:v>
                </c:pt>
                <c:pt idx="80">
                  <c:v>42202</c:v>
                </c:pt>
                <c:pt idx="81">
                  <c:v>42205</c:v>
                </c:pt>
                <c:pt idx="82">
                  <c:v>42206</c:v>
                </c:pt>
                <c:pt idx="83">
                  <c:v>42207</c:v>
                </c:pt>
                <c:pt idx="84">
                  <c:v>42208</c:v>
                </c:pt>
                <c:pt idx="85">
                  <c:v>42209</c:v>
                </c:pt>
                <c:pt idx="86">
                  <c:v>42212</c:v>
                </c:pt>
                <c:pt idx="87">
                  <c:v>42213</c:v>
                </c:pt>
                <c:pt idx="88">
                  <c:v>42214</c:v>
                </c:pt>
                <c:pt idx="89">
                  <c:v>42215</c:v>
                </c:pt>
                <c:pt idx="90">
                  <c:v>42216</c:v>
                </c:pt>
                <c:pt idx="91">
                  <c:v>42219</c:v>
                </c:pt>
                <c:pt idx="92">
                  <c:v>42220</c:v>
                </c:pt>
                <c:pt idx="93">
                  <c:v>42221</c:v>
                </c:pt>
                <c:pt idx="94">
                  <c:v>42222</c:v>
                </c:pt>
                <c:pt idx="95">
                  <c:v>42223</c:v>
                </c:pt>
                <c:pt idx="96">
                  <c:v>42226</c:v>
                </c:pt>
                <c:pt idx="97">
                  <c:v>42227</c:v>
                </c:pt>
                <c:pt idx="98">
                  <c:v>42228</c:v>
                </c:pt>
                <c:pt idx="99">
                  <c:v>42229</c:v>
                </c:pt>
                <c:pt idx="100">
                  <c:v>42230</c:v>
                </c:pt>
                <c:pt idx="101">
                  <c:v>42233</c:v>
                </c:pt>
                <c:pt idx="102">
                  <c:v>42234</c:v>
                </c:pt>
                <c:pt idx="103">
                  <c:v>42235</c:v>
                </c:pt>
                <c:pt idx="104">
                  <c:v>42236</c:v>
                </c:pt>
                <c:pt idx="105">
                  <c:v>42237</c:v>
                </c:pt>
                <c:pt idx="106">
                  <c:v>42240</c:v>
                </c:pt>
                <c:pt idx="107">
                  <c:v>42241</c:v>
                </c:pt>
                <c:pt idx="108">
                  <c:v>42242</c:v>
                </c:pt>
                <c:pt idx="109">
                  <c:v>42243</c:v>
                </c:pt>
                <c:pt idx="110">
                  <c:v>42244</c:v>
                </c:pt>
                <c:pt idx="111">
                  <c:v>42247</c:v>
                </c:pt>
                <c:pt idx="112">
                  <c:v>42248</c:v>
                </c:pt>
                <c:pt idx="113">
                  <c:v>42249</c:v>
                </c:pt>
                <c:pt idx="114">
                  <c:v>42250</c:v>
                </c:pt>
                <c:pt idx="115">
                  <c:v>42251</c:v>
                </c:pt>
                <c:pt idx="116">
                  <c:v>42254</c:v>
                </c:pt>
                <c:pt idx="117">
                  <c:v>42255</c:v>
                </c:pt>
                <c:pt idx="118">
                  <c:v>42256</c:v>
                </c:pt>
                <c:pt idx="119">
                  <c:v>42257</c:v>
                </c:pt>
                <c:pt idx="120">
                  <c:v>42258</c:v>
                </c:pt>
                <c:pt idx="121">
                  <c:v>42261</c:v>
                </c:pt>
                <c:pt idx="122">
                  <c:v>42262</c:v>
                </c:pt>
                <c:pt idx="123">
                  <c:v>42263</c:v>
                </c:pt>
                <c:pt idx="124">
                  <c:v>42264</c:v>
                </c:pt>
                <c:pt idx="125">
                  <c:v>42265</c:v>
                </c:pt>
                <c:pt idx="126">
                  <c:v>42268</c:v>
                </c:pt>
                <c:pt idx="127">
                  <c:v>42269</c:v>
                </c:pt>
                <c:pt idx="128">
                  <c:v>42270</c:v>
                </c:pt>
                <c:pt idx="129">
                  <c:v>42271</c:v>
                </c:pt>
                <c:pt idx="130">
                  <c:v>42272</c:v>
                </c:pt>
                <c:pt idx="131">
                  <c:v>42275</c:v>
                </c:pt>
                <c:pt idx="132">
                  <c:v>42276</c:v>
                </c:pt>
                <c:pt idx="133">
                  <c:v>42277</c:v>
                </c:pt>
                <c:pt idx="134">
                  <c:v>42278</c:v>
                </c:pt>
                <c:pt idx="135">
                  <c:v>42279</c:v>
                </c:pt>
                <c:pt idx="136">
                  <c:v>42282</c:v>
                </c:pt>
                <c:pt idx="137">
                  <c:v>42283</c:v>
                </c:pt>
                <c:pt idx="138">
                  <c:v>42284</c:v>
                </c:pt>
                <c:pt idx="139">
                  <c:v>42285</c:v>
                </c:pt>
                <c:pt idx="140">
                  <c:v>42286</c:v>
                </c:pt>
                <c:pt idx="141">
                  <c:v>42289</c:v>
                </c:pt>
                <c:pt idx="142">
                  <c:v>42290</c:v>
                </c:pt>
                <c:pt idx="143">
                  <c:v>42291</c:v>
                </c:pt>
                <c:pt idx="144">
                  <c:v>42292</c:v>
                </c:pt>
                <c:pt idx="145">
                  <c:v>42293</c:v>
                </c:pt>
                <c:pt idx="146">
                  <c:v>42296</c:v>
                </c:pt>
                <c:pt idx="147">
                  <c:v>42297</c:v>
                </c:pt>
                <c:pt idx="148">
                  <c:v>42298</c:v>
                </c:pt>
                <c:pt idx="149">
                  <c:v>42299</c:v>
                </c:pt>
                <c:pt idx="150">
                  <c:v>42300</c:v>
                </c:pt>
                <c:pt idx="151">
                  <c:v>42303</c:v>
                </c:pt>
                <c:pt idx="152">
                  <c:v>42304</c:v>
                </c:pt>
                <c:pt idx="153">
                  <c:v>42305</c:v>
                </c:pt>
                <c:pt idx="154">
                  <c:v>42306</c:v>
                </c:pt>
                <c:pt idx="155">
                  <c:v>42307</c:v>
                </c:pt>
                <c:pt idx="156">
                  <c:v>42310</c:v>
                </c:pt>
                <c:pt idx="157">
                  <c:v>42311</c:v>
                </c:pt>
                <c:pt idx="158">
                  <c:v>42312</c:v>
                </c:pt>
                <c:pt idx="159">
                  <c:v>42313</c:v>
                </c:pt>
                <c:pt idx="160">
                  <c:v>42314</c:v>
                </c:pt>
                <c:pt idx="161">
                  <c:v>42317</c:v>
                </c:pt>
                <c:pt idx="162">
                  <c:v>42318</c:v>
                </c:pt>
                <c:pt idx="163">
                  <c:v>42319</c:v>
                </c:pt>
                <c:pt idx="164">
                  <c:v>42320</c:v>
                </c:pt>
                <c:pt idx="165">
                  <c:v>42321</c:v>
                </c:pt>
                <c:pt idx="166">
                  <c:v>42324</c:v>
                </c:pt>
                <c:pt idx="167">
                  <c:v>42325</c:v>
                </c:pt>
                <c:pt idx="168">
                  <c:v>42326</c:v>
                </c:pt>
                <c:pt idx="169">
                  <c:v>42327</c:v>
                </c:pt>
                <c:pt idx="170">
                  <c:v>42328</c:v>
                </c:pt>
                <c:pt idx="171">
                  <c:v>42331</c:v>
                </c:pt>
                <c:pt idx="172">
                  <c:v>42332</c:v>
                </c:pt>
                <c:pt idx="173">
                  <c:v>42333</c:v>
                </c:pt>
                <c:pt idx="174">
                  <c:v>42334</c:v>
                </c:pt>
                <c:pt idx="175">
                  <c:v>42335</c:v>
                </c:pt>
                <c:pt idx="176">
                  <c:v>42338</c:v>
                </c:pt>
                <c:pt idx="177">
                  <c:v>42339</c:v>
                </c:pt>
                <c:pt idx="178">
                  <c:v>42340</c:v>
                </c:pt>
                <c:pt idx="179">
                  <c:v>42341</c:v>
                </c:pt>
                <c:pt idx="180">
                  <c:v>42342</c:v>
                </c:pt>
                <c:pt idx="181">
                  <c:v>42345</c:v>
                </c:pt>
                <c:pt idx="182">
                  <c:v>42346</c:v>
                </c:pt>
                <c:pt idx="183">
                  <c:v>42347</c:v>
                </c:pt>
                <c:pt idx="184">
                  <c:v>42348</c:v>
                </c:pt>
                <c:pt idx="185">
                  <c:v>42349</c:v>
                </c:pt>
                <c:pt idx="186">
                  <c:v>42352</c:v>
                </c:pt>
                <c:pt idx="187">
                  <c:v>42353</c:v>
                </c:pt>
                <c:pt idx="188">
                  <c:v>42354</c:v>
                </c:pt>
                <c:pt idx="189">
                  <c:v>42355</c:v>
                </c:pt>
                <c:pt idx="190">
                  <c:v>42356</c:v>
                </c:pt>
                <c:pt idx="191">
                  <c:v>42359</c:v>
                </c:pt>
                <c:pt idx="192">
                  <c:v>42360</c:v>
                </c:pt>
                <c:pt idx="193">
                  <c:v>42361</c:v>
                </c:pt>
                <c:pt idx="194">
                  <c:v>42362</c:v>
                </c:pt>
                <c:pt idx="195">
                  <c:v>42366</c:v>
                </c:pt>
                <c:pt idx="196">
                  <c:v>42367</c:v>
                </c:pt>
                <c:pt idx="197">
                  <c:v>42368</c:v>
                </c:pt>
                <c:pt idx="198">
                  <c:v>42369</c:v>
                </c:pt>
                <c:pt idx="199">
                  <c:v>42373</c:v>
                </c:pt>
                <c:pt idx="200">
                  <c:v>42374</c:v>
                </c:pt>
                <c:pt idx="201">
                  <c:v>42375</c:v>
                </c:pt>
                <c:pt idx="202">
                  <c:v>42376</c:v>
                </c:pt>
                <c:pt idx="203">
                  <c:v>42377</c:v>
                </c:pt>
                <c:pt idx="204">
                  <c:v>42380</c:v>
                </c:pt>
                <c:pt idx="205">
                  <c:v>42381</c:v>
                </c:pt>
                <c:pt idx="206">
                  <c:v>42382</c:v>
                </c:pt>
                <c:pt idx="207">
                  <c:v>42383</c:v>
                </c:pt>
                <c:pt idx="208">
                  <c:v>42384</c:v>
                </c:pt>
                <c:pt idx="209">
                  <c:v>42387</c:v>
                </c:pt>
                <c:pt idx="210">
                  <c:v>42388</c:v>
                </c:pt>
                <c:pt idx="211">
                  <c:v>42389</c:v>
                </c:pt>
                <c:pt idx="212">
                  <c:v>42390</c:v>
                </c:pt>
                <c:pt idx="213">
                  <c:v>42391</c:v>
                </c:pt>
                <c:pt idx="214">
                  <c:v>42394</c:v>
                </c:pt>
                <c:pt idx="215">
                  <c:v>42395</c:v>
                </c:pt>
                <c:pt idx="216">
                  <c:v>42396</c:v>
                </c:pt>
                <c:pt idx="217">
                  <c:v>42397</c:v>
                </c:pt>
                <c:pt idx="218">
                  <c:v>42398</c:v>
                </c:pt>
                <c:pt idx="219">
                  <c:v>42401</c:v>
                </c:pt>
                <c:pt idx="220">
                  <c:v>42402</c:v>
                </c:pt>
                <c:pt idx="221">
                  <c:v>42403</c:v>
                </c:pt>
                <c:pt idx="222">
                  <c:v>42404</c:v>
                </c:pt>
                <c:pt idx="223">
                  <c:v>42405</c:v>
                </c:pt>
                <c:pt idx="224">
                  <c:v>42408</c:v>
                </c:pt>
                <c:pt idx="225">
                  <c:v>42409</c:v>
                </c:pt>
                <c:pt idx="226">
                  <c:v>42410</c:v>
                </c:pt>
                <c:pt idx="227">
                  <c:v>42411</c:v>
                </c:pt>
                <c:pt idx="228">
                  <c:v>42412</c:v>
                </c:pt>
                <c:pt idx="229">
                  <c:v>42415</c:v>
                </c:pt>
                <c:pt idx="230">
                  <c:v>42416</c:v>
                </c:pt>
                <c:pt idx="231">
                  <c:v>42417</c:v>
                </c:pt>
                <c:pt idx="232">
                  <c:v>42418</c:v>
                </c:pt>
                <c:pt idx="233">
                  <c:v>42419</c:v>
                </c:pt>
                <c:pt idx="234">
                  <c:v>42422</c:v>
                </c:pt>
                <c:pt idx="235">
                  <c:v>42423</c:v>
                </c:pt>
                <c:pt idx="236">
                  <c:v>42424</c:v>
                </c:pt>
                <c:pt idx="237">
                  <c:v>42425</c:v>
                </c:pt>
                <c:pt idx="238">
                  <c:v>42426</c:v>
                </c:pt>
                <c:pt idx="239">
                  <c:v>42429</c:v>
                </c:pt>
                <c:pt idx="240">
                  <c:v>42430</c:v>
                </c:pt>
                <c:pt idx="241">
                  <c:v>42431</c:v>
                </c:pt>
                <c:pt idx="242">
                  <c:v>42432</c:v>
                </c:pt>
                <c:pt idx="243">
                  <c:v>42433</c:v>
                </c:pt>
                <c:pt idx="244">
                  <c:v>42436</c:v>
                </c:pt>
                <c:pt idx="245">
                  <c:v>42437</c:v>
                </c:pt>
                <c:pt idx="246">
                  <c:v>42438</c:v>
                </c:pt>
                <c:pt idx="247">
                  <c:v>42439</c:v>
                </c:pt>
                <c:pt idx="248">
                  <c:v>42440</c:v>
                </c:pt>
                <c:pt idx="249">
                  <c:v>42443</c:v>
                </c:pt>
                <c:pt idx="250">
                  <c:v>42444</c:v>
                </c:pt>
                <c:pt idx="251">
                  <c:v>42445</c:v>
                </c:pt>
                <c:pt idx="252">
                  <c:v>42446</c:v>
                </c:pt>
                <c:pt idx="253">
                  <c:v>42447</c:v>
                </c:pt>
                <c:pt idx="254">
                  <c:v>42450</c:v>
                </c:pt>
                <c:pt idx="255">
                  <c:v>42451</c:v>
                </c:pt>
                <c:pt idx="256">
                  <c:v>42452</c:v>
                </c:pt>
                <c:pt idx="257">
                  <c:v>42453</c:v>
                </c:pt>
                <c:pt idx="258">
                  <c:v>42458</c:v>
                </c:pt>
                <c:pt idx="259">
                  <c:v>42459</c:v>
                </c:pt>
                <c:pt idx="260">
                  <c:v>42460</c:v>
                </c:pt>
                <c:pt idx="261">
                  <c:v>42461</c:v>
                </c:pt>
                <c:pt idx="262">
                  <c:v>42464</c:v>
                </c:pt>
                <c:pt idx="263">
                  <c:v>42465</c:v>
                </c:pt>
                <c:pt idx="264">
                  <c:v>42466</c:v>
                </c:pt>
                <c:pt idx="265">
                  <c:v>42467</c:v>
                </c:pt>
                <c:pt idx="266">
                  <c:v>42468</c:v>
                </c:pt>
                <c:pt idx="267">
                  <c:v>42471</c:v>
                </c:pt>
                <c:pt idx="268">
                  <c:v>42472</c:v>
                </c:pt>
                <c:pt idx="269">
                  <c:v>42473</c:v>
                </c:pt>
                <c:pt idx="270">
                  <c:v>42474</c:v>
                </c:pt>
                <c:pt idx="271">
                  <c:v>42475</c:v>
                </c:pt>
                <c:pt idx="272">
                  <c:v>42478</c:v>
                </c:pt>
                <c:pt idx="273">
                  <c:v>42479</c:v>
                </c:pt>
                <c:pt idx="274">
                  <c:v>42480</c:v>
                </c:pt>
                <c:pt idx="275">
                  <c:v>42481</c:v>
                </c:pt>
                <c:pt idx="276">
                  <c:v>42482</c:v>
                </c:pt>
                <c:pt idx="277">
                  <c:v>42485</c:v>
                </c:pt>
                <c:pt idx="278">
                  <c:v>42486</c:v>
                </c:pt>
                <c:pt idx="279">
                  <c:v>42487</c:v>
                </c:pt>
                <c:pt idx="280">
                  <c:v>42488</c:v>
                </c:pt>
                <c:pt idx="281">
                  <c:v>42489</c:v>
                </c:pt>
                <c:pt idx="282">
                  <c:v>42492</c:v>
                </c:pt>
                <c:pt idx="283">
                  <c:v>42493</c:v>
                </c:pt>
                <c:pt idx="284">
                  <c:v>42494</c:v>
                </c:pt>
                <c:pt idx="285">
                  <c:v>42495</c:v>
                </c:pt>
                <c:pt idx="286">
                  <c:v>42496</c:v>
                </c:pt>
                <c:pt idx="287">
                  <c:v>42499</c:v>
                </c:pt>
                <c:pt idx="288">
                  <c:v>42500</c:v>
                </c:pt>
                <c:pt idx="289">
                  <c:v>42501</c:v>
                </c:pt>
                <c:pt idx="290">
                  <c:v>42502</c:v>
                </c:pt>
                <c:pt idx="291">
                  <c:v>42503</c:v>
                </c:pt>
                <c:pt idx="292">
                  <c:v>42506</c:v>
                </c:pt>
                <c:pt idx="293">
                  <c:v>42507</c:v>
                </c:pt>
                <c:pt idx="294">
                  <c:v>42508</c:v>
                </c:pt>
                <c:pt idx="295">
                  <c:v>42509</c:v>
                </c:pt>
                <c:pt idx="296">
                  <c:v>42510</c:v>
                </c:pt>
                <c:pt idx="297">
                  <c:v>42513</c:v>
                </c:pt>
                <c:pt idx="298">
                  <c:v>42514</c:v>
                </c:pt>
                <c:pt idx="299">
                  <c:v>42515</c:v>
                </c:pt>
                <c:pt idx="300">
                  <c:v>42516</c:v>
                </c:pt>
                <c:pt idx="301">
                  <c:v>42517</c:v>
                </c:pt>
                <c:pt idx="302">
                  <c:v>42520</c:v>
                </c:pt>
                <c:pt idx="303">
                  <c:v>42521</c:v>
                </c:pt>
                <c:pt idx="304">
                  <c:v>42522</c:v>
                </c:pt>
                <c:pt idx="305">
                  <c:v>42523</c:v>
                </c:pt>
                <c:pt idx="306">
                  <c:v>42524</c:v>
                </c:pt>
                <c:pt idx="307">
                  <c:v>42527</c:v>
                </c:pt>
                <c:pt idx="308">
                  <c:v>42528</c:v>
                </c:pt>
                <c:pt idx="309">
                  <c:v>42529</c:v>
                </c:pt>
                <c:pt idx="310">
                  <c:v>42530</c:v>
                </c:pt>
                <c:pt idx="311">
                  <c:v>42531</c:v>
                </c:pt>
                <c:pt idx="312">
                  <c:v>42534</c:v>
                </c:pt>
                <c:pt idx="313">
                  <c:v>42535</c:v>
                </c:pt>
                <c:pt idx="314">
                  <c:v>42536</c:v>
                </c:pt>
                <c:pt idx="315">
                  <c:v>42537</c:v>
                </c:pt>
                <c:pt idx="316">
                  <c:v>42538</c:v>
                </c:pt>
                <c:pt idx="317">
                  <c:v>42541</c:v>
                </c:pt>
                <c:pt idx="318">
                  <c:v>42542</c:v>
                </c:pt>
                <c:pt idx="319">
                  <c:v>42543</c:v>
                </c:pt>
                <c:pt idx="320">
                  <c:v>42544</c:v>
                </c:pt>
                <c:pt idx="321">
                  <c:v>42545</c:v>
                </c:pt>
                <c:pt idx="322">
                  <c:v>42548</c:v>
                </c:pt>
                <c:pt idx="323">
                  <c:v>42549</c:v>
                </c:pt>
                <c:pt idx="324">
                  <c:v>42550</c:v>
                </c:pt>
                <c:pt idx="325">
                  <c:v>42551</c:v>
                </c:pt>
                <c:pt idx="326">
                  <c:v>42552</c:v>
                </c:pt>
                <c:pt idx="327">
                  <c:v>42555</c:v>
                </c:pt>
                <c:pt idx="328">
                  <c:v>42556</c:v>
                </c:pt>
                <c:pt idx="329">
                  <c:v>42557</c:v>
                </c:pt>
                <c:pt idx="330">
                  <c:v>42558</c:v>
                </c:pt>
                <c:pt idx="331">
                  <c:v>42559</c:v>
                </c:pt>
                <c:pt idx="332">
                  <c:v>42562</c:v>
                </c:pt>
                <c:pt idx="333">
                  <c:v>42563</c:v>
                </c:pt>
                <c:pt idx="334">
                  <c:v>42564</c:v>
                </c:pt>
                <c:pt idx="335">
                  <c:v>42565</c:v>
                </c:pt>
                <c:pt idx="336">
                  <c:v>42566</c:v>
                </c:pt>
                <c:pt idx="337">
                  <c:v>42569</c:v>
                </c:pt>
                <c:pt idx="338">
                  <c:v>42570</c:v>
                </c:pt>
                <c:pt idx="339">
                  <c:v>42571</c:v>
                </c:pt>
                <c:pt idx="340">
                  <c:v>42572</c:v>
                </c:pt>
                <c:pt idx="341">
                  <c:v>42573</c:v>
                </c:pt>
                <c:pt idx="342">
                  <c:v>42576</c:v>
                </c:pt>
                <c:pt idx="343">
                  <c:v>42577</c:v>
                </c:pt>
                <c:pt idx="344">
                  <c:v>42578</c:v>
                </c:pt>
                <c:pt idx="345">
                  <c:v>42579</c:v>
                </c:pt>
                <c:pt idx="346">
                  <c:v>42580</c:v>
                </c:pt>
                <c:pt idx="347">
                  <c:v>42583</c:v>
                </c:pt>
                <c:pt idx="348">
                  <c:v>42584</c:v>
                </c:pt>
                <c:pt idx="349">
                  <c:v>42585</c:v>
                </c:pt>
                <c:pt idx="350">
                  <c:v>42586</c:v>
                </c:pt>
                <c:pt idx="351">
                  <c:v>42587</c:v>
                </c:pt>
                <c:pt idx="352">
                  <c:v>42590</c:v>
                </c:pt>
                <c:pt idx="353">
                  <c:v>42591</c:v>
                </c:pt>
                <c:pt idx="354">
                  <c:v>42592</c:v>
                </c:pt>
                <c:pt idx="355">
                  <c:v>42593</c:v>
                </c:pt>
                <c:pt idx="356">
                  <c:v>42594</c:v>
                </c:pt>
                <c:pt idx="357">
                  <c:v>42597</c:v>
                </c:pt>
                <c:pt idx="358">
                  <c:v>42598</c:v>
                </c:pt>
                <c:pt idx="359">
                  <c:v>42599</c:v>
                </c:pt>
                <c:pt idx="360">
                  <c:v>42600</c:v>
                </c:pt>
                <c:pt idx="361">
                  <c:v>42601</c:v>
                </c:pt>
                <c:pt idx="362">
                  <c:v>42604</c:v>
                </c:pt>
                <c:pt idx="363">
                  <c:v>42605</c:v>
                </c:pt>
                <c:pt idx="364">
                  <c:v>42606</c:v>
                </c:pt>
                <c:pt idx="365">
                  <c:v>42607</c:v>
                </c:pt>
                <c:pt idx="366">
                  <c:v>42608</c:v>
                </c:pt>
                <c:pt idx="367">
                  <c:v>42611</c:v>
                </c:pt>
                <c:pt idx="368">
                  <c:v>42612</c:v>
                </c:pt>
                <c:pt idx="369">
                  <c:v>42613</c:v>
                </c:pt>
                <c:pt idx="370">
                  <c:v>42614</c:v>
                </c:pt>
                <c:pt idx="371">
                  <c:v>42615</c:v>
                </c:pt>
                <c:pt idx="372">
                  <c:v>42618</c:v>
                </c:pt>
                <c:pt idx="373">
                  <c:v>42619</c:v>
                </c:pt>
                <c:pt idx="374">
                  <c:v>42620</c:v>
                </c:pt>
                <c:pt idx="375">
                  <c:v>42621</c:v>
                </c:pt>
                <c:pt idx="376">
                  <c:v>42622</c:v>
                </c:pt>
                <c:pt idx="377">
                  <c:v>42625</c:v>
                </c:pt>
                <c:pt idx="378">
                  <c:v>42626</c:v>
                </c:pt>
                <c:pt idx="379">
                  <c:v>42627</c:v>
                </c:pt>
                <c:pt idx="380">
                  <c:v>42628</c:v>
                </c:pt>
                <c:pt idx="381">
                  <c:v>42629</c:v>
                </c:pt>
                <c:pt idx="382">
                  <c:v>42632</c:v>
                </c:pt>
                <c:pt idx="383">
                  <c:v>42633</c:v>
                </c:pt>
                <c:pt idx="384">
                  <c:v>42634</c:v>
                </c:pt>
                <c:pt idx="385">
                  <c:v>42635</c:v>
                </c:pt>
                <c:pt idx="386">
                  <c:v>42636</c:v>
                </c:pt>
                <c:pt idx="387">
                  <c:v>42639</c:v>
                </c:pt>
                <c:pt idx="388">
                  <c:v>42640</c:v>
                </c:pt>
                <c:pt idx="389">
                  <c:v>42641</c:v>
                </c:pt>
                <c:pt idx="390">
                  <c:v>42642</c:v>
                </c:pt>
                <c:pt idx="391">
                  <c:v>42643</c:v>
                </c:pt>
                <c:pt idx="392">
                  <c:v>42646</c:v>
                </c:pt>
                <c:pt idx="393">
                  <c:v>42647</c:v>
                </c:pt>
                <c:pt idx="394">
                  <c:v>42648</c:v>
                </c:pt>
                <c:pt idx="395">
                  <c:v>42649</c:v>
                </c:pt>
                <c:pt idx="396">
                  <c:v>42650</c:v>
                </c:pt>
                <c:pt idx="397">
                  <c:v>42653</c:v>
                </c:pt>
                <c:pt idx="398">
                  <c:v>42654</c:v>
                </c:pt>
                <c:pt idx="399">
                  <c:v>42655</c:v>
                </c:pt>
                <c:pt idx="400">
                  <c:v>42656</c:v>
                </c:pt>
                <c:pt idx="401">
                  <c:v>42657</c:v>
                </c:pt>
                <c:pt idx="402">
                  <c:v>42660</c:v>
                </c:pt>
                <c:pt idx="403">
                  <c:v>42661</c:v>
                </c:pt>
                <c:pt idx="404">
                  <c:v>42662</c:v>
                </c:pt>
                <c:pt idx="405">
                  <c:v>42663</c:v>
                </c:pt>
                <c:pt idx="406">
                  <c:v>42664</c:v>
                </c:pt>
                <c:pt idx="407">
                  <c:v>42667</c:v>
                </c:pt>
                <c:pt idx="408">
                  <c:v>42668</c:v>
                </c:pt>
                <c:pt idx="409">
                  <c:v>42669</c:v>
                </c:pt>
                <c:pt idx="410">
                  <c:v>42670</c:v>
                </c:pt>
                <c:pt idx="411">
                  <c:v>42671</c:v>
                </c:pt>
                <c:pt idx="412">
                  <c:v>42674</c:v>
                </c:pt>
                <c:pt idx="413">
                  <c:v>42675</c:v>
                </c:pt>
                <c:pt idx="414">
                  <c:v>42676</c:v>
                </c:pt>
                <c:pt idx="415">
                  <c:v>42677</c:v>
                </c:pt>
                <c:pt idx="416">
                  <c:v>42678</c:v>
                </c:pt>
                <c:pt idx="417">
                  <c:v>42681</c:v>
                </c:pt>
                <c:pt idx="418">
                  <c:v>42682</c:v>
                </c:pt>
                <c:pt idx="419">
                  <c:v>42683</c:v>
                </c:pt>
                <c:pt idx="420">
                  <c:v>42684</c:v>
                </c:pt>
                <c:pt idx="421">
                  <c:v>42685</c:v>
                </c:pt>
                <c:pt idx="422">
                  <c:v>42688</c:v>
                </c:pt>
                <c:pt idx="423">
                  <c:v>42689</c:v>
                </c:pt>
                <c:pt idx="424">
                  <c:v>42690</c:v>
                </c:pt>
                <c:pt idx="425">
                  <c:v>42691</c:v>
                </c:pt>
                <c:pt idx="426">
                  <c:v>42692</c:v>
                </c:pt>
                <c:pt idx="427">
                  <c:v>42695</c:v>
                </c:pt>
                <c:pt idx="428">
                  <c:v>42696</c:v>
                </c:pt>
                <c:pt idx="429">
                  <c:v>42697</c:v>
                </c:pt>
                <c:pt idx="430">
                  <c:v>42698</c:v>
                </c:pt>
                <c:pt idx="431">
                  <c:v>42699</c:v>
                </c:pt>
                <c:pt idx="432">
                  <c:v>42702</c:v>
                </c:pt>
                <c:pt idx="433">
                  <c:v>42703</c:v>
                </c:pt>
                <c:pt idx="434">
                  <c:v>42704</c:v>
                </c:pt>
                <c:pt idx="435">
                  <c:v>42705</c:v>
                </c:pt>
                <c:pt idx="436">
                  <c:v>42706</c:v>
                </c:pt>
                <c:pt idx="437">
                  <c:v>42709</c:v>
                </c:pt>
                <c:pt idx="438">
                  <c:v>42710</c:v>
                </c:pt>
                <c:pt idx="439">
                  <c:v>42711</c:v>
                </c:pt>
                <c:pt idx="440">
                  <c:v>42712</c:v>
                </c:pt>
                <c:pt idx="441">
                  <c:v>42713</c:v>
                </c:pt>
                <c:pt idx="442">
                  <c:v>42716</c:v>
                </c:pt>
                <c:pt idx="443">
                  <c:v>42717</c:v>
                </c:pt>
                <c:pt idx="444">
                  <c:v>42718</c:v>
                </c:pt>
                <c:pt idx="445">
                  <c:v>42719</c:v>
                </c:pt>
                <c:pt idx="446">
                  <c:v>42720</c:v>
                </c:pt>
                <c:pt idx="447">
                  <c:v>42723</c:v>
                </c:pt>
                <c:pt idx="448">
                  <c:v>42724</c:v>
                </c:pt>
                <c:pt idx="449">
                  <c:v>42725</c:v>
                </c:pt>
                <c:pt idx="450">
                  <c:v>42726</c:v>
                </c:pt>
                <c:pt idx="451">
                  <c:v>42727</c:v>
                </c:pt>
                <c:pt idx="452">
                  <c:v>42731</c:v>
                </c:pt>
                <c:pt idx="453">
                  <c:v>42732</c:v>
                </c:pt>
                <c:pt idx="454">
                  <c:v>42733</c:v>
                </c:pt>
                <c:pt idx="455">
                  <c:v>42734</c:v>
                </c:pt>
                <c:pt idx="456">
                  <c:v>42737</c:v>
                </c:pt>
                <c:pt idx="457">
                  <c:v>42738</c:v>
                </c:pt>
                <c:pt idx="458">
                  <c:v>42739</c:v>
                </c:pt>
                <c:pt idx="459">
                  <c:v>42740</c:v>
                </c:pt>
                <c:pt idx="460">
                  <c:v>42741</c:v>
                </c:pt>
                <c:pt idx="461">
                  <c:v>42744</c:v>
                </c:pt>
                <c:pt idx="462">
                  <c:v>42745</c:v>
                </c:pt>
                <c:pt idx="463">
                  <c:v>42746</c:v>
                </c:pt>
                <c:pt idx="464">
                  <c:v>42747</c:v>
                </c:pt>
                <c:pt idx="465">
                  <c:v>42748</c:v>
                </c:pt>
                <c:pt idx="466">
                  <c:v>42751</c:v>
                </c:pt>
                <c:pt idx="467">
                  <c:v>42752</c:v>
                </c:pt>
                <c:pt idx="468">
                  <c:v>42753</c:v>
                </c:pt>
                <c:pt idx="469">
                  <c:v>42754</c:v>
                </c:pt>
                <c:pt idx="470">
                  <c:v>42755</c:v>
                </c:pt>
                <c:pt idx="471">
                  <c:v>42758</c:v>
                </c:pt>
                <c:pt idx="472">
                  <c:v>42759</c:v>
                </c:pt>
                <c:pt idx="473">
                  <c:v>42760</c:v>
                </c:pt>
                <c:pt idx="474">
                  <c:v>42761</c:v>
                </c:pt>
                <c:pt idx="475">
                  <c:v>42762</c:v>
                </c:pt>
                <c:pt idx="476">
                  <c:v>42765</c:v>
                </c:pt>
                <c:pt idx="477">
                  <c:v>42766</c:v>
                </c:pt>
                <c:pt idx="478">
                  <c:v>42767</c:v>
                </c:pt>
                <c:pt idx="479">
                  <c:v>42768</c:v>
                </c:pt>
                <c:pt idx="480">
                  <c:v>42769</c:v>
                </c:pt>
                <c:pt idx="481">
                  <c:v>42772</c:v>
                </c:pt>
                <c:pt idx="482">
                  <c:v>42773</c:v>
                </c:pt>
                <c:pt idx="483">
                  <c:v>42774</c:v>
                </c:pt>
                <c:pt idx="484">
                  <c:v>42775</c:v>
                </c:pt>
                <c:pt idx="485">
                  <c:v>42776</c:v>
                </c:pt>
                <c:pt idx="486">
                  <c:v>42779</c:v>
                </c:pt>
                <c:pt idx="487">
                  <c:v>42780</c:v>
                </c:pt>
                <c:pt idx="488">
                  <c:v>42781</c:v>
                </c:pt>
                <c:pt idx="489">
                  <c:v>42782</c:v>
                </c:pt>
                <c:pt idx="490">
                  <c:v>42783</c:v>
                </c:pt>
                <c:pt idx="491">
                  <c:v>42786</c:v>
                </c:pt>
                <c:pt idx="492">
                  <c:v>42787</c:v>
                </c:pt>
                <c:pt idx="493">
                  <c:v>42788</c:v>
                </c:pt>
                <c:pt idx="494">
                  <c:v>42789</c:v>
                </c:pt>
                <c:pt idx="495">
                  <c:v>42790</c:v>
                </c:pt>
                <c:pt idx="496">
                  <c:v>42793</c:v>
                </c:pt>
                <c:pt idx="497">
                  <c:v>42794</c:v>
                </c:pt>
                <c:pt idx="498">
                  <c:v>42795</c:v>
                </c:pt>
                <c:pt idx="499">
                  <c:v>42796</c:v>
                </c:pt>
                <c:pt idx="500">
                  <c:v>42797</c:v>
                </c:pt>
                <c:pt idx="501">
                  <c:v>42800</c:v>
                </c:pt>
                <c:pt idx="502">
                  <c:v>42801</c:v>
                </c:pt>
                <c:pt idx="503">
                  <c:v>42802</c:v>
                </c:pt>
                <c:pt idx="504">
                  <c:v>42803</c:v>
                </c:pt>
                <c:pt idx="505">
                  <c:v>42804</c:v>
                </c:pt>
                <c:pt idx="506">
                  <c:v>42807</c:v>
                </c:pt>
                <c:pt idx="507">
                  <c:v>42808</c:v>
                </c:pt>
                <c:pt idx="508">
                  <c:v>42809</c:v>
                </c:pt>
                <c:pt idx="509">
                  <c:v>42810</c:v>
                </c:pt>
                <c:pt idx="510">
                  <c:v>42811</c:v>
                </c:pt>
                <c:pt idx="511">
                  <c:v>42814</c:v>
                </c:pt>
                <c:pt idx="512">
                  <c:v>42815</c:v>
                </c:pt>
                <c:pt idx="513">
                  <c:v>42816</c:v>
                </c:pt>
                <c:pt idx="514">
                  <c:v>42817</c:v>
                </c:pt>
                <c:pt idx="515">
                  <c:v>42818</c:v>
                </c:pt>
                <c:pt idx="516">
                  <c:v>42821</c:v>
                </c:pt>
                <c:pt idx="517">
                  <c:v>42822</c:v>
                </c:pt>
                <c:pt idx="518">
                  <c:v>42829</c:v>
                </c:pt>
                <c:pt idx="519">
                  <c:v>42836</c:v>
                </c:pt>
                <c:pt idx="520">
                  <c:v>42845</c:v>
                </c:pt>
                <c:pt idx="521">
                  <c:v>42852</c:v>
                </c:pt>
                <c:pt idx="522">
                  <c:v>42859</c:v>
                </c:pt>
                <c:pt idx="523">
                  <c:v>42866</c:v>
                </c:pt>
                <c:pt idx="524">
                  <c:v>42873</c:v>
                </c:pt>
                <c:pt idx="525">
                  <c:v>42880</c:v>
                </c:pt>
                <c:pt idx="526">
                  <c:v>42887</c:v>
                </c:pt>
                <c:pt idx="527">
                  <c:v>42894</c:v>
                </c:pt>
                <c:pt idx="528">
                  <c:v>42901</c:v>
                </c:pt>
                <c:pt idx="529">
                  <c:v>42908</c:v>
                </c:pt>
                <c:pt idx="530">
                  <c:v>42915</c:v>
                </c:pt>
                <c:pt idx="531">
                  <c:v>42922</c:v>
                </c:pt>
                <c:pt idx="532">
                  <c:v>42929</c:v>
                </c:pt>
                <c:pt idx="533">
                  <c:v>42936</c:v>
                </c:pt>
                <c:pt idx="534">
                  <c:v>42943</c:v>
                </c:pt>
                <c:pt idx="535">
                  <c:v>42950</c:v>
                </c:pt>
                <c:pt idx="536">
                  <c:v>42957</c:v>
                </c:pt>
                <c:pt idx="537">
                  <c:v>42964</c:v>
                </c:pt>
                <c:pt idx="538">
                  <c:v>42971</c:v>
                </c:pt>
                <c:pt idx="539">
                  <c:v>42978</c:v>
                </c:pt>
                <c:pt idx="540">
                  <c:v>42985</c:v>
                </c:pt>
                <c:pt idx="541">
                  <c:v>42992</c:v>
                </c:pt>
                <c:pt idx="542">
                  <c:v>42999</c:v>
                </c:pt>
                <c:pt idx="543">
                  <c:v>43006</c:v>
                </c:pt>
                <c:pt idx="544">
                  <c:v>43013</c:v>
                </c:pt>
                <c:pt idx="545">
                  <c:v>43020</c:v>
                </c:pt>
                <c:pt idx="546">
                  <c:v>43027</c:v>
                </c:pt>
                <c:pt idx="547">
                  <c:v>43034</c:v>
                </c:pt>
                <c:pt idx="548">
                  <c:v>43041</c:v>
                </c:pt>
                <c:pt idx="549">
                  <c:v>43048</c:v>
                </c:pt>
                <c:pt idx="550">
                  <c:v>43055</c:v>
                </c:pt>
                <c:pt idx="551">
                  <c:v>43062</c:v>
                </c:pt>
                <c:pt idx="552">
                  <c:v>43069</c:v>
                </c:pt>
                <c:pt idx="553">
                  <c:v>43076</c:v>
                </c:pt>
                <c:pt idx="554">
                  <c:v>43083</c:v>
                </c:pt>
                <c:pt idx="555">
                  <c:v>43090</c:v>
                </c:pt>
                <c:pt idx="556">
                  <c:v>43098</c:v>
                </c:pt>
                <c:pt idx="557">
                  <c:v>43105</c:v>
                </c:pt>
                <c:pt idx="558">
                  <c:v>43112</c:v>
                </c:pt>
                <c:pt idx="559">
                  <c:v>43119</c:v>
                </c:pt>
                <c:pt idx="560">
                  <c:v>43126</c:v>
                </c:pt>
                <c:pt idx="561">
                  <c:v>43133</c:v>
                </c:pt>
                <c:pt idx="562">
                  <c:v>43140</c:v>
                </c:pt>
                <c:pt idx="563">
                  <c:v>43147</c:v>
                </c:pt>
                <c:pt idx="564">
                  <c:v>43154</c:v>
                </c:pt>
                <c:pt idx="565">
                  <c:v>43161</c:v>
                </c:pt>
                <c:pt idx="566">
                  <c:v>43168</c:v>
                </c:pt>
                <c:pt idx="567">
                  <c:v>43175</c:v>
                </c:pt>
                <c:pt idx="568">
                  <c:v>43182</c:v>
                </c:pt>
                <c:pt idx="569">
                  <c:v>43193</c:v>
                </c:pt>
                <c:pt idx="570">
                  <c:v>43196</c:v>
                </c:pt>
                <c:pt idx="571">
                  <c:v>43203</c:v>
                </c:pt>
                <c:pt idx="572">
                  <c:v>43210</c:v>
                </c:pt>
                <c:pt idx="573">
                  <c:v>43217</c:v>
                </c:pt>
                <c:pt idx="574">
                  <c:v>43224</c:v>
                </c:pt>
                <c:pt idx="575">
                  <c:v>43231</c:v>
                </c:pt>
                <c:pt idx="576">
                  <c:v>43238</c:v>
                </c:pt>
                <c:pt idx="577">
                  <c:v>43245</c:v>
                </c:pt>
                <c:pt idx="578">
                  <c:v>43252</c:v>
                </c:pt>
                <c:pt idx="579">
                  <c:v>43259</c:v>
                </c:pt>
                <c:pt idx="580">
                  <c:v>43266</c:v>
                </c:pt>
                <c:pt idx="581">
                  <c:v>43273</c:v>
                </c:pt>
                <c:pt idx="582">
                  <c:v>43280</c:v>
                </c:pt>
                <c:pt idx="583">
                  <c:v>43287</c:v>
                </c:pt>
                <c:pt idx="584">
                  <c:v>43294</c:v>
                </c:pt>
                <c:pt idx="585">
                  <c:v>43301</c:v>
                </c:pt>
                <c:pt idx="586">
                  <c:v>43308</c:v>
                </c:pt>
                <c:pt idx="587">
                  <c:v>43315</c:v>
                </c:pt>
                <c:pt idx="588">
                  <c:v>43322</c:v>
                </c:pt>
                <c:pt idx="589">
                  <c:v>43329</c:v>
                </c:pt>
                <c:pt idx="590">
                  <c:v>43336</c:v>
                </c:pt>
                <c:pt idx="591">
                  <c:v>43343</c:v>
                </c:pt>
                <c:pt idx="592">
                  <c:v>43350</c:v>
                </c:pt>
                <c:pt idx="593">
                  <c:v>43357</c:v>
                </c:pt>
                <c:pt idx="594">
                  <c:v>43364</c:v>
                </c:pt>
                <c:pt idx="595">
                  <c:v>43371</c:v>
                </c:pt>
                <c:pt idx="596">
                  <c:v>43378</c:v>
                </c:pt>
                <c:pt idx="597">
                  <c:v>43385</c:v>
                </c:pt>
                <c:pt idx="598">
                  <c:v>43392</c:v>
                </c:pt>
                <c:pt idx="599">
                  <c:v>43399</c:v>
                </c:pt>
                <c:pt idx="600">
                  <c:v>43406</c:v>
                </c:pt>
                <c:pt idx="601">
                  <c:v>43413</c:v>
                </c:pt>
                <c:pt idx="602">
                  <c:v>43420</c:v>
                </c:pt>
                <c:pt idx="603">
                  <c:v>43427</c:v>
                </c:pt>
                <c:pt idx="604">
                  <c:v>43434</c:v>
                </c:pt>
                <c:pt idx="605">
                  <c:v>43441</c:v>
                </c:pt>
                <c:pt idx="606">
                  <c:v>43448</c:v>
                </c:pt>
                <c:pt idx="607">
                  <c:v>43455</c:v>
                </c:pt>
                <c:pt idx="608">
                  <c:v>43465</c:v>
                </c:pt>
                <c:pt idx="609">
                  <c:v>43472</c:v>
                </c:pt>
                <c:pt idx="610">
                  <c:v>43479</c:v>
                </c:pt>
                <c:pt idx="611">
                  <c:v>43486</c:v>
                </c:pt>
                <c:pt idx="612">
                  <c:v>43493</c:v>
                </c:pt>
                <c:pt idx="613">
                  <c:v>43500</c:v>
                </c:pt>
                <c:pt idx="614">
                  <c:v>43507</c:v>
                </c:pt>
                <c:pt idx="615">
                  <c:v>43514</c:v>
                </c:pt>
                <c:pt idx="616">
                  <c:v>43521</c:v>
                </c:pt>
                <c:pt idx="617">
                  <c:v>43528</c:v>
                </c:pt>
                <c:pt idx="618">
                  <c:v>43535</c:v>
                </c:pt>
                <c:pt idx="619">
                  <c:v>43542</c:v>
                </c:pt>
                <c:pt idx="620">
                  <c:v>43549</c:v>
                </c:pt>
                <c:pt idx="621">
                  <c:v>43556</c:v>
                </c:pt>
                <c:pt idx="622">
                  <c:v>43563</c:v>
                </c:pt>
                <c:pt idx="623">
                  <c:v>43570</c:v>
                </c:pt>
                <c:pt idx="624">
                  <c:v>43579</c:v>
                </c:pt>
                <c:pt idx="625">
                  <c:v>43584</c:v>
                </c:pt>
                <c:pt idx="626">
                  <c:v>43591</c:v>
                </c:pt>
                <c:pt idx="627">
                  <c:v>43598</c:v>
                </c:pt>
                <c:pt idx="628">
                  <c:v>43605</c:v>
                </c:pt>
                <c:pt idx="629">
                  <c:v>43612</c:v>
                </c:pt>
                <c:pt idx="630">
                  <c:v>43619</c:v>
                </c:pt>
                <c:pt idx="631">
                  <c:v>43626</c:v>
                </c:pt>
                <c:pt idx="632">
                  <c:v>43633</c:v>
                </c:pt>
                <c:pt idx="633">
                  <c:v>43640</c:v>
                </c:pt>
                <c:pt idx="634">
                  <c:v>43647</c:v>
                </c:pt>
                <c:pt idx="635">
                  <c:v>43654</c:v>
                </c:pt>
                <c:pt idx="636">
                  <c:v>43661</c:v>
                </c:pt>
                <c:pt idx="637">
                  <c:v>43668</c:v>
                </c:pt>
                <c:pt idx="638">
                  <c:v>43675</c:v>
                </c:pt>
                <c:pt idx="639">
                  <c:v>43682</c:v>
                </c:pt>
                <c:pt idx="640">
                  <c:v>43689</c:v>
                </c:pt>
                <c:pt idx="641">
                  <c:v>43696</c:v>
                </c:pt>
                <c:pt idx="642">
                  <c:v>43703</c:v>
                </c:pt>
                <c:pt idx="643">
                  <c:v>43710</c:v>
                </c:pt>
                <c:pt idx="644">
                  <c:v>43717</c:v>
                </c:pt>
                <c:pt idx="645">
                  <c:v>43724</c:v>
                </c:pt>
                <c:pt idx="646">
                  <c:v>43731</c:v>
                </c:pt>
                <c:pt idx="647">
                  <c:v>43738</c:v>
                </c:pt>
                <c:pt idx="648">
                  <c:v>43745</c:v>
                </c:pt>
                <c:pt idx="649">
                  <c:v>43752</c:v>
                </c:pt>
                <c:pt idx="650">
                  <c:v>43759</c:v>
                </c:pt>
                <c:pt idx="651">
                  <c:v>43766</c:v>
                </c:pt>
                <c:pt idx="652">
                  <c:v>43773</c:v>
                </c:pt>
                <c:pt idx="653">
                  <c:v>43780</c:v>
                </c:pt>
                <c:pt idx="654">
                  <c:v>43787</c:v>
                </c:pt>
                <c:pt idx="655">
                  <c:v>43794</c:v>
                </c:pt>
                <c:pt idx="656">
                  <c:v>43801</c:v>
                </c:pt>
                <c:pt idx="657">
                  <c:v>43808</c:v>
                </c:pt>
                <c:pt idx="658">
                  <c:v>43815</c:v>
                </c:pt>
                <c:pt idx="659">
                  <c:v>43822</c:v>
                </c:pt>
                <c:pt idx="660">
                  <c:v>43830</c:v>
                </c:pt>
                <c:pt idx="661">
                  <c:v>43837</c:v>
                </c:pt>
                <c:pt idx="662">
                  <c:v>43844</c:v>
                </c:pt>
                <c:pt idx="663">
                  <c:v>43851</c:v>
                </c:pt>
                <c:pt idx="664">
                  <c:v>43858</c:v>
                </c:pt>
                <c:pt idx="665">
                  <c:v>43865</c:v>
                </c:pt>
                <c:pt idx="666">
                  <c:v>43872</c:v>
                </c:pt>
                <c:pt idx="667">
                  <c:v>43879</c:v>
                </c:pt>
                <c:pt idx="668">
                  <c:v>43886</c:v>
                </c:pt>
                <c:pt idx="669">
                  <c:v>43893</c:v>
                </c:pt>
                <c:pt idx="670">
                  <c:v>43900</c:v>
                </c:pt>
                <c:pt idx="671">
                  <c:v>43907</c:v>
                </c:pt>
                <c:pt idx="672">
                  <c:v>43914</c:v>
                </c:pt>
                <c:pt idx="673">
                  <c:v>43921</c:v>
                </c:pt>
                <c:pt idx="674">
                  <c:v>43928</c:v>
                </c:pt>
                <c:pt idx="675">
                  <c:v>43937</c:v>
                </c:pt>
                <c:pt idx="676">
                  <c:v>43944</c:v>
                </c:pt>
                <c:pt idx="677">
                  <c:v>43951</c:v>
                </c:pt>
                <c:pt idx="678">
                  <c:v>43958</c:v>
                </c:pt>
                <c:pt idx="679">
                  <c:v>43965</c:v>
                </c:pt>
                <c:pt idx="680">
                  <c:v>43972</c:v>
                </c:pt>
                <c:pt idx="681">
                  <c:v>43979</c:v>
                </c:pt>
                <c:pt idx="682">
                  <c:v>43986</c:v>
                </c:pt>
                <c:pt idx="683">
                  <c:v>43993</c:v>
                </c:pt>
                <c:pt idx="684">
                  <c:v>44000</c:v>
                </c:pt>
                <c:pt idx="685">
                  <c:v>44007</c:v>
                </c:pt>
                <c:pt idx="686">
                  <c:v>44014</c:v>
                </c:pt>
                <c:pt idx="687">
                  <c:v>44021</c:v>
                </c:pt>
                <c:pt idx="688">
                  <c:v>44028</c:v>
                </c:pt>
                <c:pt idx="689">
                  <c:v>44035</c:v>
                </c:pt>
                <c:pt idx="690">
                  <c:v>44042</c:v>
                </c:pt>
                <c:pt idx="691">
                  <c:v>44049</c:v>
                </c:pt>
                <c:pt idx="692">
                  <c:v>44056</c:v>
                </c:pt>
                <c:pt idx="693">
                  <c:v>44063</c:v>
                </c:pt>
                <c:pt idx="694">
                  <c:v>44070</c:v>
                </c:pt>
                <c:pt idx="695">
                  <c:v>44077</c:v>
                </c:pt>
                <c:pt idx="696">
                  <c:v>44084</c:v>
                </c:pt>
                <c:pt idx="697">
                  <c:v>44091</c:v>
                </c:pt>
                <c:pt idx="698">
                  <c:v>44098</c:v>
                </c:pt>
                <c:pt idx="699">
                  <c:v>44105</c:v>
                </c:pt>
                <c:pt idx="700">
                  <c:v>44112</c:v>
                </c:pt>
                <c:pt idx="701">
                  <c:v>44119</c:v>
                </c:pt>
                <c:pt idx="702">
                  <c:v>44126</c:v>
                </c:pt>
                <c:pt idx="703">
                  <c:v>44133</c:v>
                </c:pt>
                <c:pt idx="704">
                  <c:v>44140</c:v>
                </c:pt>
                <c:pt idx="705">
                  <c:v>44147</c:v>
                </c:pt>
                <c:pt idx="706">
                  <c:v>44154</c:v>
                </c:pt>
                <c:pt idx="707">
                  <c:v>44161</c:v>
                </c:pt>
                <c:pt idx="708">
                  <c:v>44168</c:v>
                </c:pt>
                <c:pt idx="709">
                  <c:v>44175</c:v>
                </c:pt>
                <c:pt idx="710">
                  <c:v>44182</c:v>
                </c:pt>
                <c:pt idx="711">
                  <c:v>44189</c:v>
                </c:pt>
                <c:pt idx="712">
                  <c:v>44196</c:v>
                </c:pt>
                <c:pt idx="713">
                  <c:v>44203</c:v>
                </c:pt>
                <c:pt idx="714">
                  <c:v>44210</c:v>
                </c:pt>
                <c:pt idx="715">
                  <c:v>44217</c:v>
                </c:pt>
                <c:pt idx="716">
                  <c:v>44224</c:v>
                </c:pt>
                <c:pt idx="717">
                  <c:v>44231</c:v>
                </c:pt>
                <c:pt idx="718">
                  <c:v>44238</c:v>
                </c:pt>
                <c:pt idx="719">
                  <c:v>44245</c:v>
                </c:pt>
                <c:pt idx="720">
                  <c:v>44252</c:v>
                </c:pt>
                <c:pt idx="721">
                  <c:v>44259</c:v>
                </c:pt>
                <c:pt idx="722">
                  <c:v>44266</c:v>
                </c:pt>
                <c:pt idx="723">
                  <c:v>44273</c:v>
                </c:pt>
                <c:pt idx="724">
                  <c:v>44280</c:v>
                </c:pt>
                <c:pt idx="725">
                  <c:v>44287</c:v>
                </c:pt>
                <c:pt idx="726">
                  <c:v>44294</c:v>
                </c:pt>
                <c:pt idx="727">
                  <c:v>44301</c:v>
                </c:pt>
                <c:pt idx="728">
                  <c:v>44308</c:v>
                </c:pt>
                <c:pt idx="729">
                  <c:v>44315</c:v>
                </c:pt>
                <c:pt idx="730">
                  <c:v>44322</c:v>
                </c:pt>
                <c:pt idx="731">
                  <c:v>44329</c:v>
                </c:pt>
                <c:pt idx="732">
                  <c:v>44336</c:v>
                </c:pt>
                <c:pt idx="733">
                  <c:v>44343</c:v>
                </c:pt>
                <c:pt idx="734">
                  <c:v>44350</c:v>
                </c:pt>
                <c:pt idx="735">
                  <c:v>44357</c:v>
                </c:pt>
                <c:pt idx="736">
                  <c:v>44364</c:v>
                </c:pt>
                <c:pt idx="737">
                  <c:v>44371</c:v>
                </c:pt>
                <c:pt idx="738">
                  <c:v>44378</c:v>
                </c:pt>
                <c:pt idx="739">
                  <c:v>44385</c:v>
                </c:pt>
                <c:pt idx="740">
                  <c:v>44392</c:v>
                </c:pt>
                <c:pt idx="741">
                  <c:v>44399</c:v>
                </c:pt>
                <c:pt idx="742">
                  <c:v>44406</c:v>
                </c:pt>
                <c:pt idx="743">
                  <c:v>44413</c:v>
                </c:pt>
                <c:pt idx="744">
                  <c:v>44420</c:v>
                </c:pt>
                <c:pt idx="745">
                  <c:v>44427</c:v>
                </c:pt>
                <c:pt idx="746">
                  <c:v>44434</c:v>
                </c:pt>
                <c:pt idx="747">
                  <c:v>44441</c:v>
                </c:pt>
                <c:pt idx="748">
                  <c:v>44448</c:v>
                </c:pt>
                <c:pt idx="749">
                  <c:v>44455</c:v>
                </c:pt>
                <c:pt idx="750">
                  <c:v>44462</c:v>
                </c:pt>
                <c:pt idx="751">
                  <c:v>44469</c:v>
                </c:pt>
                <c:pt idx="752">
                  <c:v>44476</c:v>
                </c:pt>
                <c:pt idx="753">
                  <c:v>44483</c:v>
                </c:pt>
                <c:pt idx="754">
                  <c:v>44490</c:v>
                </c:pt>
                <c:pt idx="755">
                  <c:v>44497</c:v>
                </c:pt>
                <c:pt idx="756">
                  <c:v>44504</c:v>
                </c:pt>
                <c:pt idx="757">
                  <c:v>44511</c:v>
                </c:pt>
                <c:pt idx="758">
                  <c:v>44518</c:v>
                </c:pt>
                <c:pt idx="759">
                  <c:v>44525</c:v>
                </c:pt>
                <c:pt idx="760">
                  <c:v>44532</c:v>
                </c:pt>
                <c:pt idx="761">
                  <c:v>44539</c:v>
                </c:pt>
                <c:pt idx="762">
                  <c:v>44546</c:v>
                </c:pt>
                <c:pt idx="763">
                  <c:v>44553</c:v>
                </c:pt>
                <c:pt idx="764">
                  <c:v>44560</c:v>
                </c:pt>
                <c:pt idx="765">
                  <c:v>44567</c:v>
                </c:pt>
                <c:pt idx="766">
                  <c:v>44574</c:v>
                </c:pt>
                <c:pt idx="767">
                  <c:v>44581</c:v>
                </c:pt>
                <c:pt idx="768">
                  <c:v>44588</c:v>
                </c:pt>
                <c:pt idx="769">
                  <c:v>44595</c:v>
                </c:pt>
                <c:pt idx="770">
                  <c:v>44602</c:v>
                </c:pt>
                <c:pt idx="771">
                  <c:v>44609</c:v>
                </c:pt>
                <c:pt idx="772">
                  <c:v>44616</c:v>
                </c:pt>
                <c:pt idx="773">
                  <c:v>44623</c:v>
                </c:pt>
                <c:pt idx="774">
                  <c:v>44630</c:v>
                </c:pt>
                <c:pt idx="775">
                  <c:v>44637</c:v>
                </c:pt>
                <c:pt idx="776">
                  <c:v>44644</c:v>
                </c:pt>
                <c:pt idx="777">
                  <c:v>44651</c:v>
                </c:pt>
                <c:pt idx="778">
                  <c:v>44658</c:v>
                </c:pt>
                <c:pt idx="779">
                  <c:v>44665</c:v>
                </c:pt>
                <c:pt idx="780">
                  <c:v>44672</c:v>
                </c:pt>
                <c:pt idx="781">
                  <c:v>44679</c:v>
                </c:pt>
                <c:pt idx="782">
                  <c:v>44686</c:v>
                </c:pt>
                <c:pt idx="783">
                  <c:v>44693</c:v>
                </c:pt>
                <c:pt idx="784">
                  <c:v>44700</c:v>
                </c:pt>
                <c:pt idx="785">
                  <c:v>44707</c:v>
                </c:pt>
                <c:pt idx="786">
                  <c:v>44714</c:v>
                </c:pt>
                <c:pt idx="787">
                  <c:v>44721</c:v>
                </c:pt>
                <c:pt idx="788">
                  <c:v>44728</c:v>
                </c:pt>
                <c:pt idx="789">
                  <c:v>44735</c:v>
                </c:pt>
                <c:pt idx="790">
                  <c:v>44742</c:v>
                </c:pt>
                <c:pt idx="791">
                  <c:v>44749</c:v>
                </c:pt>
                <c:pt idx="792">
                  <c:v>44756</c:v>
                </c:pt>
                <c:pt idx="793">
                  <c:v>44763</c:v>
                </c:pt>
                <c:pt idx="794">
                  <c:v>44770</c:v>
                </c:pt>
                <c:pt idx="795">
                  <c:v>44777</c:v>
                </c:pt>
                <c:pt idx="796">
                  <c:v>44784</c:v>
                </c:pt>
                <c:pt idx="797">
                  <c:v>44791</c:v>
                </c:pt>
                <c:pt idx="798">
                  <c:v>44798</c:v>
                </c:pt>
                <c:pt idx="799">
                  <c:v>44805</c:v>
                </c:pt>
                <c:pt idx="800">
                  <c:v>44812</c:v>
                </c:pt>
                <c:pt idx="801">
                  <c:v>44819</c:v>
                </c:pt>
                <c:pt idx="802">
                  <c:v>44826</c:v>
                </c:pt>
                <c:pt idx="803">
                  <c:v>44833</c:v>
                </c:pt>
                <c:pt idx="804">
                  <c:v>44840</c:v>
                </c:pt>
                <c:pt idx="805">
                  <c:v>44847</c:v>
                </c:pt>
                <c:pt idx="806">
                  <c:v>44854</c:v>
                </c:pt>
                <c:pt idx="807">
                  <c:v>44861</c:v>
                </c:pt>
                <c:pt idx="808">
                  <c:v>44868</c:v>
                </c:pt>
                <c:pt idx="809">
                  <c:v>44875</c:v>
                </c:pt>
                <c:pt idx="810">
                  <c:v>44882</c:v>
                </c:pt>
                <c:pt idx="811">
                  <c:v>44889</c:v>
                </c:pt>
                <c:pt idx="812">
                  <c:v>44896</c:v>
                </c:pt>
                <c:pt idx="813">
                  <c:v>44903</c:v>
                </c:pt>
                <c:pt idx="814">
                  <c:v>44910</c:v>
                </c:pt>
                <c:pt idx="815">
                  <c:v>44917</c:v>
                </c:pt>
                <c:pt idx="816">
                  <c:v>44924</c:v>
                </c:pt>
                <c:pt idx="817">
                  <c:v>44931</c:v>
                </c:pt>
                <c:pt idx="818">
                  <c:v>44938</c:v>
                </c:pt>
                <c:pt idx="819">
                  <c:v>44945</c:v>
                </c:pt>
                <c:pt idx="820">
                  <c:v>44952</c:v>
                </c:pt>
                <c:pt idx="821">
                  <c:v>44959</c:v>
                </c:pt>
                <c:pt idx="822">
                  <c:v>44966</c:v>
                </c:pt>
                <c:pt idx="823">
                  <c:v>44973</c:v>
                </c:pt>
                <c:pt idx="824">
                  <c:v>44980</c:v>
                </c:pt>
                <c:pt idx="825">
                  <c:v>44987</c:v>
                </c:pt>
                <c:pt idx="826">
                  <c:v>44994</c:v>
                </c:pt>
                <c:pt idx="827">
                  <c:v>45001</c:v>
                </c:pt>
                <c:pt idx="828">
                  <c:v>45008</c:v>
                </c:pt>
                <c:pt idx="829">
                  <c:v>45015</c:v>
                </c:pt>
                <c:pt idx="830">
                  <c:v>45022</c:v>
                </c:pt>
                <c:pt idx="831">
                  <c:v>45029</c:v>
                </c:pt>
                <c:pt idx="832">
                  <c:v>45036</c:v>
                </c:pt>
                <c:pt idx="833">
                  <c:v>45043</c:v>
                </c:pt>
                <c:pt idx="834">
                  <c:v>45050</c:v>
                </c:pt>
                <c:pt idx="835">
                  <c:v>45057</c:v>
                </c:pt>
                <c:pt idx="836">
                  <c:v>45064</c:v>
                </c:pt>
                <c:pt idx="837">
                  <c:v>45071</c:v>
                </c:pt>
                <c:pt idx="838">
                  <c:v>45078</c:v>
                </c:pt>
                <c:pt idx="839">
                  <c:v>45085</c:v>
                </c:pt>
                <c:pt idx="840">
                  <c:v>45092</c:v>
                </c:pt>
                <c:pt idx="841">
                  <c:v>45099</c:v>
                </c:pt>
                <c:pt idx="842">
                  <c:v>45106</c:v>
                </c:pt>
                <c:pt idx="843">
                  <c:v>45113</c:v>
                </c:pt>
                <c:pt idx="844">
                  <c:v>45120</c:v>
                </c:pt>
                <c:pt idx="845">
                  <c:v>45127</c:v>
                </c:pt>
                <c:pt idx="846">
                  <c:v>45134</c:v>
                </c:pt>
                <c:pt idx="847">
                  <c:v>45141</c:v>
                </c:pt>
                <c:pt idx="848">
                  <c:v>45148</c:v>
                </c:pt>
                <c:pt idx="849">
                  <c:v>45155</c:v>
                </c:pt>
                <c:pt idx="850">
                  <c:v>45162</c:v>
                </c:pt>
                <c:pt idx="851">
                  <c:v>45169</c:v>
                </c:pt>
                <c:pt idx="852">
                  <c:v>45176</c:v>
                </c:pt>
                <c:pt idx="853">
                  <c:v>45183</c:v>
                </c:pt>
                <c:pt idx="854">
                  <c:v>45190</c:v>
                </c:pt>
                <c:pt idx="855">
                  <c:v>45197</c:v>
                </c:pt>
                <c:pt idx="856">
                  <c:v>45204</c:v>
                </c:pt>
                <c:pt idx="857">
                  <c:v>45211</c:v>
                </c:pt>
                <c:pt idx="858">
                  <c:v>45218</c:v>
                </c:pt>
                <c:pt idx="859">
                  <c:v>45225</c:v>
                </c:pt>
                <c:pt idx="860">
                  <c:v>45232</c:v>
                </c:pt>
                <c:pt idx="861">
                  <c:v>45239</c:v>
                </c:pt>
                <c:pt idx="862">
                  <c:v>45246</c:v>
                </c:pt>
                <c:pt idx="863">
                  <c:v>45253</c:v>
                </c:pt>
                <c:pt idx="864">
                  <c:v>45260</c:v>
                </c:pt>
                <c:pt idx="865">
                  <c:v>45267</c:v>
                </c:pt>
                <c:pt idx="866">
                  <c:v>45274</c:v>
                </c:pt>
                <c:pt idx="867">
                  <c:v>45281</c:v>
                </c:pt>
                <c:pt idx="868">
                  <c:v>45289</c:v>
                </c:pt>
                <c:pt idx="869">
                  <c:v>45296</c:v>
                </c:pt>
                <c:pt idx="870">
                  <c:v>45303</c:v>
                </c:pt>
                <c:pt idx="871">
                  <c:v>45310</c:v>
                </c:pt>
                <c:pt idx="872">
                  <c:v>45317</c:v>
                </c:pt>
                <c:pt idx="873">
                  <c:v>45324</c:v>
                </c:pt>
                <c:pt idx="874">
                  <c:v>45331</c:v>
                </c:pt>
                <c:pt idx="875">
                  <c:v>45338</c:v>
                </c:pt>
                <c:pt idx="876">
                  <c:v>45345</c:v>
                </c:pt>
                <c:pt idx="877">
                  <c:v>45352</c:v>
                </c:pt>
                <c:pt idx="878">
                  <c:v>45359</c:v>
                </c:pt>
                <c:pt idx="879">
                  <c:v>45366</c:v>
                </c:pt>
                <c:pt idx="880">
                  <c:v>45373</c:v>
                </c:pt>
                <c:pt idx="881">
                  <c:v>45384</c:v>
                </c:pt>
                <c:pt idx="882">
                  <c:v>45387</c:v>
                </c:pt>
                <c:pt idx="883">
                  <c:v>45394</c:v>
                </c:pt>
                <c:pt idx="884">
                  <c:v>45401</c:v>
                </c:pt>
                <c:pt idx="885">
                  <c:v>45408</c:v>
                </c:pt>
                <c:pt idx="886">
                  <c:v>45418</c:v>
                </c:pt>
                <c:pt idx="887">
                  <c:v>45425</c:v>
                </c:pt>
                <c:pt idx="888">
                  <c:v>45432</c:v>
                </c:pt>
                <c:pt idx="889">
                  <c:v>45439</c:v>
                </c:pt>
                <c:pt idx="890">
                  <c:v>45446</c:v>
                </c:pt>
                <c:pt idx="891">
                  <c:v>45453</c:v>
                </c:pt>
                <c:pt idx="892">
                  <c:v>45460</c:v>
                </c:pt>
                <c:pt idx="893">
                  <c:v>45467</c:v>
                </c:pt>
                <c:pt idx="894">
                  <c:v>45474</c:v>
                </c:pt>
                <c:pt idx="895">
                  <c:v>45481</c:v>
                </c:pt>
                <c:pt idx="896">
                  <c:v>45488</c:v>
                </c:pt>
                <c:pt idx="897">
                  <c:v>45495</c:v>
                </c:pt>
                <c:pt idx="898">
                  <c:v>45502</c:v>
                </c:pt>
                <c:pt idx="899">
                  <c:v>45509</c:v>
                </c:pt>
                <c:pt idx="900">
                  <c:v>45516</c:v>
                </c:pt>
                <c:pt idx="901">
                  <c:v>45523</c:v>
                </c:pt>
                <c:pt idx="902">
                  <c:v>45530</c:v>
                </c:pt>
                <c:pt idx="903">
                  <c:v>45537</c:v>
                </c:pt>
                <c:pt idx="904">
                  <c:v>45544</c:v>
                </c:pt>
                <c:pt idx="905">
                  <c:v>45551</c:v>
                </c:pt>
                <c:pt idx="906">
                  <c:v>45558</c:v>
                </c:pt>
                <c:pt idx="907">
                  <c:v>45565</c:v>
                </c:pt>
                <c:pt idx="908">
                  <c:v>45572</c:v>
                </c:pt>
                <c:pt idx="909">
                  <c:v>45579</c:v>
                </c:pt>
                <c:pt idx="910">
                  <c:v>45586</c:v>
                </c:pt>
                <c:pt idx="911">
                  <c:v>45593</c:v>
                </c:pt>
                <c:pt idx="912">
                  <c:v>45600</c:v>
                </c:pt>
                <c:pt idx="913">
                  <c:v>45607</c:v>
                </c:pt>
                <c:pt idx="914">
                  <c:v>45614</c:v>
                </c:pt>
                <c:pt idx="915">
                  <c:v>45621</c:v>
                </c:pt>
                <c:pt idx="916">
                  <c:v>45628</c:v>
                </c:pt>
                <c:pt idx="917">
                  <c:v>45635</c:v>
                </c:pt>
                <c:pt idx="918">
                  <c:v>45642</c:v>
                </c:pt>
                <c:pt idx="919">
                  <c:v>45649</c:v>
                </c:pt>
                <c:pt idx="920">
                  <c:v>45657</c:v>
                </c:pt>
                <c:pt idx="921">
                  <c:v>45664</c:v>
                </c:pt>
                <c:pt idx="922">
                  <c:v>45671</c:v>
                </c:pt>
                <c:pt idx="923">
                  <c:v>45678</c:v>
                </c:pt>
                <c:pt idx="924">
                  <c:v>45685</c:v>
                </c:pt>
                <c:pt idx="925">
                  <c:v>45692</c:v>
                </c:pt>
                <c:pt idx="926">
                  <c:v>45699</c:v>
                </c:pt>
                <c:pt idx="927">
                  <c:v>45706</c:v>
                </c:pt>
                <c:pt idx="928">
                  <c:v>45713</c:v>
                </c:pt>
                <c:pt idx="929">
                  <c:v>45720</c:v>
                </c:pt>
                <c:pt idx="930">
                  <c:v>45727</c:v>
                </c:pt>
                <c:pt idx="931">
                  <c:v>45734</c:v>
                </c:pt>
                <c:pt idx="932">
                  <c:v>45741</c:v>
                </c:pt>
                <c:pt idx="933">
                  <c:v>45748</c:v>
                </c:pt>
                <c:pt idx="934">
                  <c:v>45755</c:v>
                </c:pt>
                <c:pt idx="935">
                  <c:v>45762</c:v>
                </c:pt>
                <c:pt idx="936">
                  <c:v>45771</c:v>
                </c:pt>
                <c:pt idx="937">
                  <c:v>45779</c:v>
                </c:pt>
                <c:pt idx="938">
                  <c:v>45785</c:v>
                </c:pt>
                <c:pt idx="939">
                  <c:v>45792</c:v>
                </c:pt>
                <c:pt idx="940">
                  <c:v>45799</c:v>
                </c:pt>
                <c:pt idx="941">
                  <c:v>45806</c:v>
                </c:pt>
                <c:pt idx="942">
                  <c:v>45813</c:v>
                </c:pt>
                <c:pt idx="943">
                  <c:v>45820</c:v>
                </c:pt>
                <c:pt idx="944">
                  <c:v>45827</c:v>
                </c:pt>
                <c:pt idx="945">
                  <c:v>45834</c:v>
                </c:pt>
                <c:pt idx="946">
                  <c:v>45841</c:v>
                </c:pt>
                <c:pt idx="947">
                  <c:v>45848</c:v>
                </c:pt>
                <c:pt idx="948">
                  <c:v>45855</c:v>
                </c:pt>
                <c:pt idx="949">
                  <c:v>45862</c:v>
                </c:pt>
                <c:pt idx="950">
                  <c:v>45869</c:v>
                </c:pt>
                <c:pt idx="951">
                  <c:v>45876</c:v>
                </c:pt>
                <c:pt idx="952">
                  <c:v>45883</c:v>
                </c:pt>
                <c:pt idx="953">
                  <c:v>45890</c:v>
                </c:pt>
                <c:pt idx="954">
                  <c:v>45897</c:v>
                </c:pt>
                <c:pt idx="955">
                  <c:v>45904</c:v>
                </c:pt>
                <c:pt idx="956">
                  <c:v>45911</c:v>
                </c:pt>
                <c:pt idx="957">
                  <c:v>45918</c:v>
                </c:pt>
                <c:pt idx="958">
                  <c:v>45925</c:v>
                </c:pt>
                <c:pt idx="959">
                  <c:v>45932</c:v>
                </c:pt>
                <c:pt idx="960">
                  <c:v>45939</c:v>
                </c:pt>
                <c:pt idx="961">
                  <c:v>45946</c:v>
                </c:pt>
                <c:pt idx="962">
                  <c:v>45953</c:v>
                </c:pt>
                <c:pt idx="963">
                  <c:v>45960</c:v>
                </c:pt>
                <c:pt idx="964">
                  <c:v>45967</c:v>
                </c:pt>
                <c:pt idx="965">
                  <c:v>45974</c:v>
                </c:pt>
                <c:pt idx="966">
                  <c:v>45981</c:v>
                </c:pt>
                <c:pt idx="967">
                  <c:v>45988</c:v>
                </c:pt>
                <c:pt idx="968">
                  <c:v>45995</c:v>
                </c:pt>
                <c:pt idx="969">
                  <c:v>46002</c:v>
                </c:pt>
                <c:pt idx="970">
                  <c:v>46009</c:v>
                </c:pt>
                <c:pt idx="971">
                  <c:v>46020</c:v>
                </c:pt>
                <c:pt idx="972">
                  <c:v>46024</c:v>
                </c:pt>
                <c:pt idx="973">
                  <c:v>46030</c:v>
                </c:pt>
                <c:pt idx="974">
                  <c:v>46037</c:v>
                </c:pt>
                <c:pt idx="975">
                  <c:v>46044</c:v>
                </c:pt>
                <c:pt idx="976">
                  <c:v>46051</c:v>
                </c:pt>
                <c:pt idx="977">
                  <c:v>46058</c:v>
                </c:pt>
                <c:pt idx="978">
                  <c:v>46065</c:v>
                </c:pt>
                <c:pt idx="979">
                  <c:v>46072</c:v>
                </c:pt>
                <c:pt idx="980">
                  <c:v>46079</c:v>
                </c:pt>
                <c:pt idx="981">
                  <c:v>46086</c:v>
                </c:pt>
                <c:pt idx="982">
                  <c:v>46093</c:v>
                </c:pt>
                <c:pt idx="983">
                  <c:v>46100</c:v>
                </c:pt>
                <c:pt idx="984">
                  <c:v>46107</c:v>
                </c:pt>
                <c:pt idx="985">
                  <c:v>46114</c:v>
                </c:pt>
                <c:pt idx="986">
                  <c:v>46121</c:v>
                </c:pt>
                <c:pt idx="987">
                  <c:v>46128</c:v>
                </c:pt>
                <c:pt idx="988">
                  <c:v>46135</c:v>
                </c:pt>
                <c:pt idx="989">
                  <c:v>46142</c:v>
                </c:pt>
                <c:pt idx="990">
                  <c:v>46149</c:v>
                </c:pt>
                <c:pt idx="991">
                  <c:v>46156</c:v>
                </c:pt>
                <c:pt idx="992">
                  <c:v>46163</c:v>
                </c:pt>
                <c:pt idx="993">
                  <c:v>46170</c:v>
                </c:pt>
                <c:pt idx="994">
                  <c:v>46177</c:v>
                </c:pt>
                <c:pt idx="995">
                  <c:v>46184</c:v>
                </c:pt>
                <c:pt idx="996">
                  <c:v>46191</c:v>
                </c:pt>
                <c:pt idx="997">
                  <c:v>46198</c:v>
                </c:pt>
                <c:pt idx="998">
                  <c:v>46205</c:v>
                </c:pt>
                <c:pt idx="999">
                  <c:v>46212</c:v>
                </c:pt>
                <c:pt idx="1000">
                  <c:v>46219</c:v>
                </c:pt>
                <c:pt idx="1001">
                  <c:v>46226</c:v>
                </c:pt>
                <c:pt idx="1002">
                  <c:v>46233</c:v>
                </c:pt>
                <c:pt idx="1003">
                  <c:v>46240</c:v>
                </c:pt>
                <c:pt idx="1004">
                  <c:v>46247</c:v>
                </c:pt>
                <c:pt idx="1005">
                  <c:v>46254</c:v>
                </c:pt>
                <c:pt idx="1006">
                  <c:v>46261</c:v>
                </c:pt>
                <c:pt idx="1007">
                  <c:v>46268</c:v>
                </c:pt>
                <c:pt idx="1008">
                  <c:v>46275</c:v>
                </c:pt>
                <c:pt idx="1009">
                  <c:v>46282</c:v>
                </c:pt>
                <c:pt idx="1010">
                  <c:v>46289</c:v>
                </c:pt>
                <c:pt idx="1011">
                  <c:v>46296</c:v>
                </c:pt>
                <c:pt idx="1012">
                  <c:v>46303</c:v>
                </c:pt>
                <c:pt idx="1013">
                  <c:v>46310</c:v>
                </c:pt>
                <c:pt idx="1014">
                  <c:v>46317</c:v>
                </c:pt>
                <c:pt idx="1015">
                  <c:v>46324</c:v>
                </c:pt>
                <c:pt idx="1016">
                  <c:v>46331</c:v>
                </c:pt>
                <c:pt idx="1017">
                  <c:v>46338</c:v>
                </c:pt>
                <c:pt idx="1018">
                  <c:v>46345</c:v>
                </c:pt>
                <c:pt idx="1019">
                  <c:v>46352</c:v>
                </c:pt>
                <c:pt idx="1020">
                  <c:v>46359</c:v>
                </c:pt>
                <c:pt idx="1021">
                  <c:v>46366</c:v>
                </c:pt>
                <c:pt idx="1022">
                  <c:v>46373</c:v>
                </c:pt>
                <c:pt idx="1023">
                  <c:v>46380</c:v>
                </c:pt>
                <c:pt idx="1024">
                  <c:v>46387</c:v>
                </c:pt>
                <c:pt idx="1025">
                  <c:v>46394</c:v>
                </c:pt>
                <c:pt idx="1026">
                  <c:v>46401</c:v>
                </c:pt>
                <c:pt idx="1027">
                  <c:v>46408</c:v>
                </c:pt>
                <c:pt idx="1028">
                  <c:v>46415</c:v>
                </c:pt>
                <c:pt idx="1029">
                  <c:v>46422</c:v>
                </c:pt>
                <c:pt idx="1030">
                  <c:v>46429</c:v>
                </c:pt>
                <c:pt idx="1031">
                  <c:v>46436</c:v>
                </c:pt>
                <c:pt idx="1032">
                  <c:v>46443</c:v>
                </c:pt>
                <c:pt idx="1033">
                  <c:v>46450</c:v>
                </c:pt>
                <c:pt idx="1034">
                  <c:v>46457</c:v>
                </c:pt>
                <c:pt idx="1035">
                  <c:v>46464</c:v>
                </c:pt>
                <c:pt idx="1036">
                  <c:v>46471</c:v>
                </c:pt>
                <c:pt idx="1037">
                  <c:v>46478</c:v>
                </c:pt>
                <c:pt idx="1038">
                  <c:v>46485</c:v>
                </c:pt>
                <c:pt idx="1039">
                  <c:v>46492</c:v>
                </c:pt>
                <c:pt idx="1040">
                  <c:v>46499</c:v>
                </c:pt>
                <c:pt idx="1041">
                  <c:v>46506</c:v>
                </c:pt>
                <c:pt idx="1042">
                  <c:v>46513</c:v>
                </c:pt>
                <c:pt idx="1043">
                  <c:v>46520</c:v>
                </c:pt>
                <c:pt idx="1044">
                  <c:v>46527</c:v>
                </c:pt>
                <c:pt idx="1045">
                  <c:v>46534</c:v>
                </c:pt>
                <c:pt idx="1046">
                  <c:v>46541</c:v>
                </c:pt>
                <c:pt idx="1047">
                  <c:v>46548</c:v>
                </c:pt>
                <c:pt idx="1048">
                  <c:v>46555</c:v>
                </c:pt>
                <c:pt idx="1049">
                  <c:v>46562</c:v>
                </c:pt>
                <c:pt idx="1050">
                  <c:v>46569</c:v>
                </c:pt>
                <c:pt idx="1051">
                  <c:v>46576</c:v>
                </c:pt>
                <c:pt idx="1052">
                  <c:v>46583</c:v>
                </c:pt>
                <c:pt idx="1053">
                  <c:v>46590</c:v>
                </c:pt>
                <c:pt idx="1054">
                  <c:v>46597</c:v>
                </c:pt>
                <c:pt idx="1055">
                  <c:v>46604</c:v>
                </c:pt>
                <c:pt idx="1056">
                  <c:v>46611</c:v>
                </c:pt>
                <c:pt idx="1057">
                  <c:v>46618</c:v>
                </c:pt>
                <c:pt idx="1058">
                  <c:v>46625</c:v>
                </c:pt>
                <c:pt idx="1059">
                  <c:v>46632</c:v>
                </c:pt>
                <c:pt idx="1060">
                  <c:v>46639</c:v>
                </c:pt>
                <c:pt idx="1061">
                  <c:v>46646</c:v>
                </c:pt>
                <c:pt idx="1062">
                  <c:v>46653</c:v>
                </c:pt>
                <c:pt idx="1063">
                  <c:v>46660</c:v>
                </c:pt>
                <c:pt idx="1064">
                  <c:v>46667</c:v>
                </c:pt>
                <c:pt idx="1065">
                  <c:v>46674</c:v>
                </c:pt>
                <c:pt idx="1066">
                  <c:v>46681</c:v>
                </c:pt>
                <c:pt idx="1067">
                  <c:v>46688</c:v>
                </c:pt>
                <c:pt idx="1068">
                  <c:v>46695</c:v>
                </c:pt>
                <c:pt idx="1069">
                  <c:v>46702</c:v>
                </c:pt>
                <c:pt idx="1070">
                  <c:v>46709</c:v>
                </c:pt>
                <c:pt idx="1071">
                  <c:v>46716</c:v>
                </c:pt>
                <c:pt idx="1072">
                  <c:v>46723</c:v>
                </c:pt>
                <c:pt idx="1073">
                  <c:v>46730</c:v>
                </c:pt>
                <c:pt idx="1074">
                  <c:v>46737</c:v>
                </c:pt>
                <c:pt idx="1075">
                  <c:v>46744</c:v>
                </c:pt>
                <c:pt idx="1076">
                  <c:v>46751</c:v>
                </c:pt>
                <c:pt idx="1077">
                  <c:v>46758</c:v>
                </c:pt>
                <c:pt idx="1078">
                  <c:v>46765</c:v>
                </c:pt>
                <c:pt idx="1079">
                  <c:v>46772</c:v>
                </c:pt>
                <c:pt idx="1080">
                  <c:v>46779</c:v>
                </c:pt>
                <c:pt idx="1081">
                  <c:v>46786</c:v>
                </c:pt>
                <c:pt idx="1082">
                  <c:v>46793</c:v>
                </c:pt>
                <c:pt idx="1083">
                  <c:v>46800</c:v>
                </c:pt>
                <c:pt idx="1084">
                  <c:v>46807</c:v>
                </c:pt>
                <c:pt idx="1085">
                  <c:v>46814</c:v>
                </c:pt>
                <c:pt idx="1086">
                  <c:v>46821</c:v>
                </c:pt>
                <c:pt idx="1087">
                  <c:v>46828</c:v>
                </c:pt>
                <c:pt idx="1088">
                  <c:v>46835</c:v>
                </c:pt>
                <c:pt idx="1089">
                  <c:v>46842</c:v>
                </c:pt>
                <c:pt idx="1090">
                  <c:v>46849</c:v>
                </c:pt>
                <c:pt idx="1091">
                  <c:v>46856</c:v>
                </c:pt>
                <c:pt idx="1092">
                  <c:v>46863</c:v>
                </c:pt>
                <c:pt idx="1093">
                  <c:v>46870</c:v>
                </c:pt>
                <c:pt idx="1094">
                  <c:v>46877</c:v>
                </c:pt>
                <c:pt idx="1095">
                  <c:v>46884</c:v>
                </c:pt>
                <c:pt idx="1096">
                  <c:v>46891</c:v>
                </c:pt>
                <c:pt idx="1097">
                  <c:v>46898</c:v>
                </c:pt>
                <c:pt idx="1098">
                  <c:v>46905</c:v>
                </c:pt>
                <c:pt idx="1099">
                  <c:v>46912</c:v>
                </c:pt>
                <c:pt idx="1100">
                  <c:v>46919</c:v>
                </c:pt>
                <c:pt idx="1101">
                  <c:v>46926</c:v>
                </c:pt>
                <c:pt idx="1102">
                  <c:v>46933</c:v>
                </c:pt>
                <c:pt idx="1103">
                  <c:v>46940</c:v>
                </c:pt>
                <c:pt idx="1104">
                  <c:v>46947</c:v>
                </c:pt>
                <c:pt idx="1105">
                  <c:v>46954</c:v>
                </c:pt>
                <c:pt idx="1106">
                  <c:v>46961</c:v>
                </c:pt>
                <c:pt idx="1107">
                  <c:v>46968</c:v>
                </c:pt>
                <c:pt idx="1108">
                  <c:v>46975</c:v>
                </c:pt>
                <c:pt idx="1109">
                  <c:v>46982</c:v>
                </c:pt>
                <c:pt idx="1110">
                  <c:v>46989</c:v>
                </c:pt>
                <c:pt idx="1111">
                  <c:v>46996</c:v>
                </c:pt>
                <c:pt idx="1112">
                  <c:v>47003</c:v>
                </c:pt>
                <c:pt idx="1113">
                  <c:v>47010</c:v>
                </c:pt>
                <c:pt idx="1114">
                  <c:v>47017</c:v>
                </c:pt>
                <c:pt idx="1115">
                  <c:v>47024</c:v>
                </c:pt>
                <c:pt idx="1116">
                  <c:v>47031</c:v>
                </c:pt>
                <c:pt idx="1117">
                  <c:v>47038</c:v>
                </c:pt>
                <c:pt idx="1118">
                  <c:v>47045</c:v>
                </c:pt>
                <c:pt idx="1119">
                  <c:v>47052</c:v>
                </c:pt>
                <c:pt idx="1120">
                  <c:v>47059</c:v>
                </c:pt>
                <c:pt idx="1121">
                  <c:v>47066</c:v>
                </c:pt>
                <c:pt idx="1122">
                  <c:v>47073</c:v>
                </c:pt>
                <c:pt idx="1123">
                  <c:v>47080</c:v>
                </c:pt>
                <c:pt idx="1124">
                  <c:v>47087</c:v>
                </c:pt>
                <c:pt idx="1125">
                  <c:v>47094</c:v>
                </c:pt>
                <c:pt idx="1126">
                  <c:v>47101</c:v>
                </c:pt>
                <c:pt idx="1127">
                  <c:v>47108</c:v>
                </c:pt>
                <c:pt idx="1128">
                  <c:v>47116</c:v>
                </c:pt>
                <c:pt idx="1129">
                  <c:v>47123</c:v>
                </c:pt>
                <c:pt idx="1130">
                  <c:v>47130</c:v>
                </c:pt>
                <c:pt idx="1131">
                  <c:v>47137</c:v>
                </c:pt>
                <c:pt idx="1132">
                  <c:v>47144</c:v>
                </c:pt>
                <c:pt idx="1133">
                  <c:v>47151</c:v>
                </c:pt>
                <c:pt idx="1134">
                  <c:v>47158</c:v>
                </c:pt>
                <c:pt idx="1135">
                  <c:v>47165</c:v>
                </c:pt>
                <c:pt idx="1136">
                  <c:v>47172</c:v>
                </c:pt>
                <c:pt idx="1137">
                  <c:v>47179</c:v>
                </c:pt>
                <c:pt idx="1138">
                  <c:v>47186</c:v>
                </c:pt>
                <c:pt idx="1139">
                  <c:v>47193</c:v>
                </c:pt>
                <c:pt idx="1140">
                  <c:v>47200</c:v>
                </c:pt>
                <c:pt idx="1141">
                  <c:v>47211</c:v>
                </c:pt>
                <c:pt idx="1142">
                  <c:v>47214</c:v>
                </c:pt>
                <c:pt idx="1143">
                  <c:v>47221</c:v>
                </c:pt>
                <c:pt idx="1144">
                  <c:v>47228</c:v>
                </c:pt>
                <c:pt idx="1145">
                  <c:v>47235</c:v>
                </c:pt>
                <c:pt idx="1146">
                  <c:v>47242</c:v>
                </c:pt>
                <c:pt idx="1147">
                  <c:v>47249</c:v>
                </c:pt>
                <c:pt idx="1148">
                  <c:v>47256</c:v>
                </c:pt>
                <c:pt idx="1149">
                  <c:v>47263</c:v>
                </c:pt>
                <c:pt idx="1150">
                  <c:v>47270</c:v>
                </c:pt>
                <c:pt idx="1151">
                  <c:v>47277</c:v>
                </c:pt>
                <c:pt idx="1152">
                  <c:v>47284</c:v>
                </c:pt>
                <c:pt idx="1153">
                  <c:v>47291</c:v>
                </c:pt>
                <c:pt idx="1154">
                  <c:v>47298</c:v>
                </c:pt>
                <c:pt idx="1155">
                  <c:v>47305</c:v>
                </c:pt>
                <c:pt idx="1156">
                  <c:v>47312</c:v>
                </c:pt>
                <c:pt idx="1157">
                  <c:v>47319</c:v>
                </c:pt>
                <c:pt idx="1158">
                  <c:v>47326</c:v>
                </c:pt>
                <c:pt idx="1159">
                  <c:v>47333</c:v>
                </c:pt>
                <c:pt idx="1160">
                  <c:v>47340</c:v>
                </c:pt>
                <c:pt idx="1161">
                  <c:v>47347</c:v>
                </c:pt>
                <c:pt idx="1162">
                  <c:v>47354</c:v>
                </c:pt>
                <c:pt idx="1163">
                  <c:v>47361</c:v>
                </c:pt>
                <c:pt idx="1164">
                  <c:v>47368</c:v>
                </c:pt>
                <c:pt idx="1165">
                  <c:v>47375</c:v>
                </c:pt>
                <c:pt idx="1166">
                  <c:v>47382</c:v>
                </c:pt>
                <c:pt idx="1167">
                  <c:v>47389</c:v>
                </c:pt>
                <c:pt idx="1168">
                  <c:v>47396</c:v>
                </c:pt>
                <c:pt idx="1169">
                  <c:v>47403</c:v>
                </c:pt>
                <c:pt idx="1170">
                  <c:v>47410</c:v>
                </c:pt>
                <c:pt idx="1171">
                  <c:v>47417</c:v>
                </c:pt>
                <c:pt idx="1172">
                  <c:v>47424</c:v>
                </c:pt>
                <c:pt idx="1173">
                  <c:v>47431</c:v>
                </c:pt>
                <c:pt idx="1174">
                  <c:v>47438</c:v>
                </c:pt>
                <c:pt idx="1175">
                  <c:v>47445</c:v>
                </c:pt>
                <c:pt idx="1176">
                  <c:v>47452</c:v>
                </c:pt>
                <c:pt idx="1177">
                  <c:v>47459</c:v>
                </c:pt>
                <c:pt idx="1178">
                  <c:v>47466</c:v>
                </c:pt>
                <c:pt idx="1179">
                  <c:v>47473</c:v>
                </c:pt>
                <c:pt idx="1180">
                  <c:v>47483</c:v>
                </c:pt>
                <c:pt idx="1181">
                  <c:v>47490</c:v>
                </c:pt>
                <c:pt idx="1182">
                  <c:v>47497</c:v>
                </c:pt>
                <c:pt idx="1183">
                  <c:v>47504</c:v>
                </c:pt>
                <c:pt idx="1184">
                  <c:v>47511</c:v>
                </c:pt>
                <c:pt idx="1185">
                  <c:v>47518</c:v>
                </c:pt>
                <c:pt idx="1186">
                  <c:v>47525</c:v>
                </c:pt>
                <c:pt idx="1187">
                  <c:v>47532</c:v>
                </c:pt>
                <c:pt idx="1188">
                  <c:v>47539</c:v>
                </c:pt>
                <c:pt idx="1189">
                  <c:v>47546</c:v>
                </c:pt>
                <c:pt idx="1190">
                  <c:v>47553</c:v>
                </c:pt>
                <c:pt idx="1191">
                  <c:v>47560</c:v>
                </c:pt>
                <c:pt idx="1192">
                  <c:v>47567</c:v>
                </c:pt>
                <c:pt idx="1193">
                  <c:v>47574</c:v>
                </c:pt>
                <c:pt idx="1194">
                  <c:v>47581</c:v>
                </c:pt>
                <c:pt idx="1195">
                  <c:v>47588</c:v>
                </c:pt>
                <c:pt idx="1196">
                  <c:v>47597</c:v>
                </c:pt>
                <c:pt idx="1197">
                  <c:v>47602</c:v>
                </c:pt>
                <c:pt idx="1198">
                  <c:v>47609</c:v>
                </c:pt>
                <c:pt idx="1199">
                  <c:v>47616</c:v>
                </c:pt>
                <c:pt idx="1200">
                  <c:v>47623</c:v>
                </c:pt>
                <c:pt idx="1201">
                  <c:v>47630</c:v>
                </c:pt>
                <c:pt idx="1202">
                  <c:v>47637</c:v>
                </c:pt>
                <c:pt idx="1203">
                  <c:v>47644</c:v>
                </c:pt>
                <c:pt idx="1204">
                  <c:v>47651</c:v>
                </c:pt>
                <c:pt idx="1205">
                  <c:v>47658</c:v>
                </c:pt>
                <c:pt idx="1206">
                  <c:v>47665</c:v>
                </c:pt>
                <c:pt idx="1207">
                  <c:v>47672</c:v>
                </c:pt>
                <c:pt idx="1208">
                  <c:v>47679</c:v>
                </c:pt>
                <c:pt idx="1209">
                  <c:v>47686</c:v>
                </c:pt>
                <c:pt idx="1210">
                  <c:v>47693</c:v>
                </c:pt>
                <c:pt idx="1211">
                  <c:v>47700</c:v>
                </c:pt>
                <c:pt idx="1212">
                  <c:v>47707</c:v>
                </c:pt>
                <c:pt idx="1213">
                  <c:v>47714</c:v>
                </c:pt>
                <c:pt idx="1214">
                  <c:v>47721</c:v>
                </c:pt>
                <c:pt idx="1215">
                  <c:v>47728</c:v>
                </c:pt>
                <c:pt idx="1216">
                  <c:v>47735</c:v>
                </c:pt>
                <c:pt idx="1217">
                  <c:v>47742</c:v>
                </c:pt>
                <c:pt idx="1218">
                  <c:v>47749</c:v>
                </c:pt>
                <c:pt idx="1219">
                  <c:v>47756</c:v>
                </c:pt>
                <c:pt idx="1220">
                  <c:v>47763</c:v>
                </c:pt>
                <c:pt idx="1221">
                  <c:v>47770</c:v>
                </c:pt>
                <c:pt idx="1222">
                  <c:v>47777</c:v>
                </c:pt>
                <c:pt idx="1223">
                  <c:v>47784</c:v>
                </c:pt>
                <c:pt idx="1224">
                  <c:v>47791</c:v>
                </c:pt>
                <c:pt idx="1225">
                  <c:v>47798</c:v>
                </c:pt>
                <c:pt idx="1226">
                  <c:v>47805</c:v>
                </c:pt>
                <c:pt idx="1227">
                  <c:v>47812</c:v>
                </c:pt>
                <c:pt idx="1228">
                  <c:v>47819</c:v>
                </c:pt>
                <c:pt idx="1229">
                  <c:v>47826</c:v>
                </c:pt>
                <c:pt idx="1230">
                  <c:v>47833</c:v>
                </c:pt>
                <c:pt idx="1231">
                  <c:v>47840</c:v>
                </c:pt>
                <c:pt idx="1232">
                  <c:v>47848</c:v>
                </c:pt>
                <c:pt idx="1233">
                  <c:v>47855</c:v>
                </c:pt>
                <c:pt idx="1234">
                  <c:v>47862</c:v>
                </c:pt>
                <c:pt idx="1235">
                  <c:v>47869</c:v>
                </c:pt>
                <c:pt idx="1236">
                  <c:v>47876</c:v>
                </c:pt>
                <c:pt idx="1237">
                  <c:v>47883</c:v>
                </c:pt>
                <c:pt idx="1238">
                  <c:v>47890</c:v>
                </c:pt>
                <c:pt idx="1239">
                  <c:v>47897</c:v>
                </c:pt>
                <c:pt idx="1240">
                  <c:v>47904</c:v>
                </c:pt>
                <c:pt idx="1241">
                  <c:v>47911</c:v>
                </c:pt>
                <c:pt idx="1242">
                  <c:v>47918</c:v>
                </c:pt>
                <c:pt idx="1243">
                  <c:v>47925</c:v>
                </c:pt>
                <c:pt idx="1244">
                  <c:v>47932</c:v>
                </c:pt>
                <c:pt idx="1245">
                  <c:v>47939</c:v>
                </c:pt>
                <c:pt idx="1246">
                  <c:v>47946</c:v>
                </c:pt>
                <c:pt idx="1247">
                  <c:v>47955</c:v>
                </c:pt>
                <c:pt idx="1248">
                  <c:v>47962</c:v>
                </c:pt>
                <c:pt idx="1249">
                  <c:v>47970</c:v>
                </c:pt>
                <c:pt idx="1250">
                  <c:v>47976</c:v>
                </c:pt>
                <c:pt idx="1251">
                  <c:v>47983</c:v>
                </c:pt>
                <c:pt idx="1252">
                  <c:v>47990</c:v>
                </c:pt>
                <c:pt idx="1253">
                  <c:v>47997</c:v>
                </c:pt>
                <c:pt idx="1254">
                  <c:v>48004</c:v>
                </c:pt>
                <c:pt idx="1255">
                  <c:v>48011</c:v>
                </c:pt>
                <c:pt idx="1256">
                  <c:v>48018</c:v>
                </c:pt>
                <c:pt idx="1257">
                  <c:v>48025</c:v>
                </c:pt>
                <c:pt idx="1258">
                  <c:v>48032</c:v>
                </c:pt>
                <c:pt idx="1259">
                  <c:v>48039</c:v>
                </c:pt>
                <c:pt idx="1260">
                  <c:v>48046</c:v>
                </c:pt>
                <c:pt idx="1261">
                  <c:v>48053</c:v>
                </c:pt>
                <c:pt idx="1262">
                  <c:v>48060</c:v>
                </c:pt>
                <c:pt idx="1263">
                  <c:v>48067</c:v>
                </c:pt>
                <c:pt idx="1264">
                  <c:v>48074</c:v>
                </c:pt>
                <c:pt idx="1265">
                  <c:v>48081</c:v>
                </c:pt>
                <c:pt idx="1266">
                  <c:v>48088</c:v>
                </c:pt>
                <c:pt idx="1267">
                  <c:v>48095</c:v>
                </c:pt>
                <c:pt idx="1268">
                  <c:v>48102</c:v>
                </c:pt>
                <c:pt idx="1269">
                  <c:v>48109</c:v>
                </c:pt>
                <c:pt idx="1270">
                  <c:v>48116</c:v>
                </c:pt>
                <c:pt idx="1271">
                  <c:v>48123</c:v>
                </c:pt>
                <c:pt idx="1272">
                  <c:v>48130</c:v>
                </c:pt>
                <c:pt idx="1273">
                  <c:v>48137</c:v>
                </c:pt>
                <c:pt idx="1274">
                  <c:v>48144</c:v>
                </c:pt>
                <c:pt idx="1275">
                  <c:v>48151</c:v>
                </c:pt>
                <c:pt idx="1276">
                  <c:v>48158</c:v>
                </c:pt>
                <c:pt idx="1277">
                  <c:v>48165</c:v>
                </c:pt>
                <c:pt idx="1278">
                  <c:v>48172</c:v>
                </c:pt>
                <c:pt idx="1279">
                  <c:v>48179</c:v>
                </c:pt>
                <c:pt idx="1280">
                  <c:v>48186</c:v>
                </c:pt>
                <c:pt idx="1281">
                  <c:v>48193</c:v>
                </c:pt>
                <c:pt idx="1282">
                  <c:v>48200</c:v>
                </c:pt>
                <c:pt idx="1283">
                  <c:v>48211</c:v>
                </c:pt>
                <c:pt idx="1284">
                  <c:v>48215</c:v>
                </c:pt>
                <c:pt idx="1285">
                  <c:v>48221</c:v>
                </c:pt>
                <c:pt idx="1286">
                  <c:v>48228</c:v>
                </c:pt>
                <c:pt idx="1287">
                  <c:v>48235</c:v>
                </c:pt>
                <c:pt idx="1288">
                  <c:v>48242</c:v>
                </c:pt>
                <c:pt idx="1289">
                  <c:v>48249</c:v>
                </c:pt>
                <c:pt idx="1290">
                  <c:v>48256</c:v>
                </c:pt>
                <c:pt idx="1291">
                  <c:v>48263</c:v>
                </c:pt>
                <c:pt idx="1292">
                  <c:v>48270</c:v>
                </c:pt>
                <c:pt idx="1293">
                  <c:v>48277</c:v>
                </c:pt>
                <c:pt idx="1294">
                  <c:v>48284</c:v>
                </c:pt>
                <c:pt idx="1295">
                  <c:v>48291</c:v>
                </c:pt>
                <c:pt idx="1296">
                  <c:v>48298</c:v>
                </c:pt>
                <c:pt idx="1297">
                  <c:v>48305</c:v>
                </c:pt>
                <c:pt idx="1298">
                  <c:v>48312</c:v>
                </c:pt>
                <c:pt idx="1299">
                  <c:v>48319</c:v>
                </c:pt>
                <c:pt idx="1300">
                  <c:v>48326</c:v>
                </c:pt>
                <c:pt idx="1301">
                  <c:v>48333</c:v>
                </c:pt>
                <c:pt idx="1302">
                  <c:v>48340</c:v>
                </c:pt>
                <c:pt idx="1303">
                  <c:v>48347</c:v>
                </c:pt>
                <c:pt idx="1304">
                  <c:v>48354</c:v>
                </c:pt>
                <c:pt idx="1305">
                  <c:v>48361</c:v>
                </c:pt>
                <c:pt idx="1306">
                  <c:v>48368</c:v>
                </c:pt>
                <c:pt idx="1307">
                  <c:v>48375</c:v>
                </c:pt>
                <c:pt idx="1308">
                  <c:v>48382</c:v>
                </c:pt>
                <c:pt idx="1309">
                  <c:v>48389</c:v>
                </c:pt>
                <c:pt idx="1310">
                  <c:v>48396</c:v>
                </c:pt>
                <c:pt idx="1311">
                  <c:v>48403</c:v>
                </c:pt>
                <c:pt idx="1312">
                  <c:v>48410</c:v>
                </c:pt>
                <c:pt idx="1313">
                  <c:v>48417</c:v>
                </c:pt>
                <c:pt idx="1314">
                  <c:v>48424</c:v>
                </c:pt>
                <c:pt idx="1315">
                  <c:v>48431</c:v>
                </c:pt>
                <c:pt idx="1316">
                  <c:v>48438</c:v>
                </c:pt>
                <c:pt idx="1317">
                  <c:v>48445</c:v>
                </c:pt>
                <c:pt idx="1318">
                  <c:v>48452</c:v>
                </c:pt>
                <c:pt idx="1319">
                  <c:v>48459</c:v>
                </c:pt>
                <c:pt idx="1320">
                  <c:v>48466</c:v>
                </c:pt>
                <c:pt idx="1321">
                  <c:v>48473</c:v>
                </c:pt>
                <c:pt idx="1322">
                  <c:v>48480</c:v>
                </c:pt>
                <c:pt idx="1323">
                  <c:v>48487</c:v>
                </c:pt>
                <c:pt idx="1324">
                  <c:v>48494</c:v>
                </c:pt>
                <c:pt idx="1325">
                  <c:v>48501</c:v>
                </c:pt>
                <c:pt idx="1326">
                  <c:v>48508</c:v>
                </c:pt>
                <c:pt idx="1327">
                  <c:v>48515</c:v>
                </c:pt>
                <c:pt idx="1328">
                  <c:v>48522</c:v>
                </c:pt>
                <c:pt idx="1329">
                  <c:v>48529</c:v>
                </c:pt>
                <c:pt idx="1330">
                  <c:v>48536</c:v>
                </c:pt>
                <c:pt idx="1331">
                  <c:v>48543</c:v>
                </c:pt>
                <c:pt idx="1332">
                  <c:v>48550</c:v>
                </c:pt>
                <c:pt idx="1333">
                  <c:v>48557</c:v>
                </c:pt>
                <c:pt idx="1334">
                  <c:v>48564</c:v>
                </c:pt>
                <c:pt idx="1335">
                  <c:v>48571</c:v>
                </c:pt>
                <c:pt idx="1336">
                  <c:v>48578</c:v>
                </c:pt>
                <c:pt idx="1337">
                  <c:v>48585</c:v>
                </c:pt>
                <c:pt idx="1338">
                  <c:v>48592</c:v>
                </c:pt>
                <c:pt idx="1339">
                  <c:v>48599</c:v>
                </c:pt>
                <c:pt idx="1340">
                  <c:v>48606</c:v>
                </c:pt>
                <c:pt idx="1341">
                  <c:v>48613</c:v>
                </c:pt>
                <c:pt idx="1342">
                  <c:v>48620</c:v>
                </c:pt>
                <c:pt idx="1343">
                  <c:v>48627</c:v>
                </c:pt>
                <c:pt idx="1344">
                  <c:v>48634</c:v>
                </c:pt>
                <c:pt idx="1345">
                  <c:v>48641</c:v>
                </c:pt>
                <c:pt idx="1346">
                  <c:v>48648</c:v>
                </c:pt>
                <c:pt idx="1347">
                  <c:v>48655</c:v>
                </c:pt>
                <c:pt idx="1348">
                  <c:v>48662</c:v>
                </c:pt>
                <c:pt idx="1349">
                  <c:v>48669</c:v>
                </c:pt>
                <c:pt idx="1350">
                  <c:v>48676</c:v>
                </c:pt>
                <c:pt idx="1351">
                  <c:v>48683</c:v>
                </c:pt>
                <c:pt idx="1352">
                  <c:v>48690</c:v>
                </c:pt>
                <c:pt idx="1353">
                  <c:v>48697</c:v>
                </c:pt>
                <c:pt idx="1354">
                  <c:v>48704</c:v>
                </c:pt>
                <c:pt idx="1355">
                  <c:v>48711</c:v>
                </c:pt>
                <c:pt idx="1356">
                  <c:v>48718</c:v>
                </c:pt>
                <c:pt idx="1357">
                  <c:v>48725</c:v>
                </c:pt>
                <c:pt idx="1358">
                  <c:v>48732</c:v>
                </c:pt>
                <c:pt idx="1359">
                  <c:v>48739</c:v>
                </c:pt>
                <c:pt idx="1360">
                  <c:v>48746</c:v>
                </c:pt>
                <c:pt idx="1361">
                  <c:v>48753</c:v>
                </c:pt>
                <c:pt idx="1362">
                  <c:v>48760</c:v>
                </c:pt>
                <c:pt idx="1363">
                  <c:v>48767</c:v>
                </c:pt>
                <c:pt idx="1364">
                  <c:v>48774</c:v>
                </c:pt>
                <c:pt idx="1365">
                  <c:v>48781</c:v>
                </c:pt>
                <c:pt idx="1366">
                  <c:v>48788</c:v>
                </c:pt>
                <c:pt idx="1367">
                  <c:v>48795</c:v>
                </c:pt>
                <c:pt idx="1368">
                  <c:v>48802</c:v>
                </c:pt>
                <c:pt idx="1369">
                  <c:v>48809</c:v>
                </c:pt>
                <c:pt idx="1370">
                  <c:v>48816</c:v>
                </c:pt>
                <c:pt idx="1371">
                  <c:v>48823</c:v>
                </c:pt>
                <c:pt idx="1372">
                  <c:v>48830</c:v>
                </c:pt>
                <c:pt idx="1373">
                  <c:v>48837</c:v>
                </c:pt>
                <c:pt idx="1374">
                  <c:v>48844</c:v>
                </c:pt>
                <c:pt idx="1375">
                  <c:v>48851</c:v>
                </c:pt>
                <c:pt idx="1376">
                  <c:v>48858</c:v>
                </c:pt>
                <c:pt idx="1377">
                  <c:v>48865</c:v>
                </c:pt>
                <c:pt idx="1378">
                  <c:v>48872</c:v>
                </c:pt>
                <c:pt idx="1379">
                  <c:v>48879</c:v>
                </c:pt>
                <c:pt idx="1380">
                  <c:v>48886</c:v>
                </c:pt>
                <c:pt idx="1381">
                  <c:v>48893</c:v>
                </c:pt>
                <c:pt idx="1382">
                  <c:v>48900</c:v>
                </c:pt>
                <c:pt idx="1383">
                  <c:v>48907</c:v>
                </c:pt>
                <c:pt idx="1384">
                  <c:v>48914</c:v>
                </c:pt>
                <c:pt idx="1385">
                  <c:v>48921</c:v>
                </c:pt>
                <c:pt idx="1386">
                  <c:v>48928</c:v>
                </c:pt>
                <c:pt idx="1387">
                  <c:v>48935</c:v>
                </c:pt>
                <c:pt idx="1388">
                  <c:v>48942</c:v>
                </c:pt>
                <c:pt idx="1389">
                  <c:v>48949</c:v>
                </c:pt>
                <c:pt idx="1390">
                  <c:v>48956</c:v>
                </c:pt>
                <c:pt idx="1391">
                  <c:v>48963</c:v>
                </c:pt>
                <c:pt idx="1392">
                  <c:v>48970</c:v>
                </c:pt>
                <c:pt idx="1393">
                  <c:v>48977</c:v>
                </c:pt>
                <c:pt idx="1394">
                  <c:v>48984</c:v>
                </c:pt>
                <c:pt idx="1395">
                  <c:v>48991</c:v>
                </c:pt>
                <c:pt idx="1396">
                  <c:v>48998</c:v>
                </c:pt>
                <c:pt idx="1397">
                  <c:v>49005</c:v>
                </c:pt>
                <c:pt idx="1398">
                  <c:v>49012</c:v>
                </c:pt>
                <c:pt idx="1399">
                  <c:v>49019</c:v>
                </c:pt>
                <c:pt idx="1400">
                  <c:v>49026</c:v>
                </c:pt>
                <c:pt idx="1401">
                  <c:v>49033</c:v>
                </c:pt>
                <c:pt idx="1402">
                  <c:v>49040</c:v>
                </c:pt>
                <c:pt idx="1403">
                  <c:v>49047</c:v>
                </c:pt>
                <c:pt idx="1404">
                  <c:v>49054</c:v>
                </c:pt>
                <c:pt idx="1405">
                  <c:v>49061</c:v>
                </c:pt>
                <c:pt idx="1406">
                  <c:v>49068</c:v>
                </c:pt>
                <c:pt idx="1407">
                  <c:v>49075</c:v>
                </c:pt>
                <c:pt idx="1408">
                  <c:v>49082</c:v>
                </c:pt>
                <c:pt idx="1409">
                  <c:v>49089</c:v>
                </c:pt>
                <c:pt idx="1410">
                  <c:v>49096</c:v>
                </c:pt>
                <c:pt idx="1411">
                  <c:v>49103</c:v>
                </c:pt>
                <c:pt idx="1412">
                  <c:v>49110</c:v>
                </c:pt>
                <c:pt idx="1413">
                  <c:v>49117</c:v>
                </c:pt>
                <c:pt idx="1414">
                  <c:v>49124</c:v>
                </c:pt>
                <c:pt idx="1415">
                  <c:v>49131</c:v>
                </c:pt>
                <c:pt idx="1416">
                  <c:v>49138</c:v>
                </c:pt>
                <c:pt idx="1417">
                  <c:v>49145</c:v>
                </c:pt>
                <c:pt idx="1418">
                  <c:v>49152</c:v>
                </c:pt>
                <c:pt idx="1419">
                  <c:v>49159</c:v>
                </c:pt>
                <c:pt idx="1420">
                  <c:v>49166</c:v>
                </c:pt>
                <c:pt idx="1421">
                  <c:v>49173</c:v>
                </c:pt>
                <c:pt idx="1422">
                  <c:v>49180</c:v>
                </c:pt>
                <c:pt idx="1423">
                  <c:v>49187</c:v>
                </c:pt>
                <c:pt idx="1424">
                  <c:v>49194</c:v>
                </c:pt>
                <c:pt idx="1425">
                  <c:v>49201</c:v>
                </c:pt>
                <c:pt idx="1426">
                  <c:v>49208</c:v>
                </c:pt>
                <c:pt idx="1427">
                  <c:v>49215</c:v>
                </c:pt>
                <c:pt idx="1428">
                  <c:v>49222</c:v>
                </c:pt>
                <c:pt idx="1429">
                  <c:v>49229</c:v>
                </c:pt>
                <c:pt idx="1430">
                  <c:v>49236</c:v>
                </c:pt>
                <c:pt idx="1431">
                  <c:v>49243</c:v>
                </c:pt>
                <c:pt idx="1432">
                  <c:v>49250</c:v>
                </c:pt>
                <c:pt idx="1433">
                  <c:v>49257</c:v>
                </c:pt>
                <c:pt idx="1434">
                  <c:v>49264</c:v>
                </c:pt>
                <c:pt idx="1435">
                  <c:v>49271</c:v>
                </c:pt>
                <c:pt idx="1436">
                  <c:v>49278</c:v>
                </c:pt>
                <c:pt idx="1437">
                  <c:v>49285</c:v>
                </c:pt>
                <c:pt idx="1438">
                  <c:v>49292</c:v>
                </c:pt>
                <c:pt idx="1439">
                  <c:v>49299</c:v>
                </c:pt>
                <c:pt idx="1440">
                  <c:v>49307</c:v>
                </c:pt>
                <c:pt idx="1441">
                  <c:v>49314</c:v>
                </c:pt>
                <c:pt idx="1442">
                  <c:v>49321</c:v>
                </c:pt>
                <c:pt idx="1443">
                  <c:v>49328</c:v>
                </c:pt>
                <c:pt idx="1444">
                  <c:v>49335</c:v>
                </c:pt>
                <c:pt idx="1445">
                  <c:v>49342</c:v>
                </c:pt>
                <c:pt idx="1446">
                  <c:v>49349</c:v>
                </c:pt>
                <c:pt idx="1447">
                  <c:v>49356</c:v>
                </c:pt>
                <c:pt idx="1448">
                  <c:v>49363</c:v>
                </c:pt>
                <c:pt idx="1449">
                  <c:v>49370</c:v>
                </c:pt>
                <c:pt idx="1450">
                  <c:v>49377</c:v>
                </c:pt>
                <c:pt idx="1451">
                  <c:v>49384</c:v>
                </c:pt>
                <c:pt idx="1452">
                  <c:v>49395</c:v>
                </c:pt>
                <c:pt idx="1453">
                  <c:v>49398</c:v>
                </c:pt>
                <c:pt idx="1454">
                  <c:v>49405</c:v>
                </c:pt>
                <c:pt idx="1455">
                  <c:v>49412</c:v>
                </c:pt>
                <c:pt idx="1456">
                  <c:v>49419</c:v>
                </c:pt>
                <c:pt idx="1457">
                  <c:v>49426</c:v>
                </c:pt>
                <c:pt idx="1458">
                  <c:v>49433</c:v>
                </c:pt>
                <c:pt idx="1459">
                  <c:v>49440</c:v>
                </c:pt>
                <c:pt idx="1460">
                  <c:v>49447</c:v>
                </c:pt>
                <c:pt idx="1461">
                  <c:v>49454</c:v>
                </c:pt>
                <c:pt idx="1462">
                  <c:v>49461</c:v>
                </c:pt>
                <c:pt idx="1463">
                  <c:v>49468</c:v>
                </c:pt>
                <c:pt idx="1464">
                  <c:v>49475</c:v>
                </c:pt>
                <c:pt idx="1465">
                  <c:v>49482</c:v>
                </c:pt>
                <c:pt idx="1466">
                  <c:v>49489</c:v>
                </c:pt>
                <c:pt idx="1467">
                  <c:v>49496</c:v>
                </c:pt>
                <c:pt idx="1468">
                  <c:v>49503</c:v>
                </c:pt>
                <c:pt idx="1469">
                  <c:v>49510</c:v>
                </c:pt>
                <c:pt idx="1470">
                  <c:v>49517</c:v>
                </c:pt>
                <c:pt idx="1471">
                  <c:v>49524</c:v>
                </c:pt>
                <c:pt idx="1472">
                  <c:v>49531</c:v>
                </c:pt>
                <c:pt idx="1473">
                  <c:v>49538</c:v>
                </c:pt>
                <c:pt idx="1474">
                  <c:v>49545</c:v>
                </c:pt>
                <c:pt idx="1475">
                  <c:v>49552</c:v>
                </c:pt>
                <c:pt idx="1476">
                  <c:v>49559</c:v>
                </c:pt>
                <c:pt idx="1477">
                  <c:v>49566</c:v>
                </c:pt>
                <c:pt idx="1478">
                  <c:v>49573</c:v>
                </c:pt>
                <c:pt idx="1479">
                  <c:v>49580</c:v>
                </c:pt>
                <c:pt idx="1480">
                  <c:v>49587</c:v>
                </c:pt>
                <c:pt idx="1481">
                  <c:v>49594</c:v>
                </c:pt>
                <c:pt idx="1482">
                  <c:v>49601</c:v>
                </c:pt>
                <c:pt idx="1483">
                  <c:v>49608</c:v>
                </c:pt>
                <c:pt idx="1484">
                  <c:v>49615</c:v>
                </c:pt>
                <c:pt idx="1485">
                  <c:v>49622</c:v>
                </c:pt>
                <c:pt idx="1486">
                  <c:v>49629</c:v>
                </c:pt>
                <c:pt idx="1487">
                  <c:v>49636</c:v>
                </c:pt>
                <c:pt idx="1488">
                  <c:v>49643</c:v>
                </c:pt>
                <c:pt idx="1489">
                  <c:v>49650</c:v>
                </c:pt>
                <c:pt idx="1490">
                  <c:v>49657</c:v>
                </c:pt>
                <c:pt idx="1491">
                  <c:v>49664</c:v>
                </c:pt>
                <c:pt idx="1492">
                  <c:v>49674</c:v>
                </c:pt>
                <c:pt idx="1493">
                  <c:v>49681</c:v>
                </c:pt>
                <c:pt idx="1494">
                  <c:v>49688</c:v>
                </c:pt>
                <c:pt idx="1495">
                  <c:v>49695</c:v>
                </c:pt>
                <c:pt idx="1496">
                  <c:v>49702</c:v>
                </c:pt>
                <c:pt idx="1497">
                  <c:v>49709</c:v>
                </c:pt>
                <c:pt idx="1498">
                  <c:v>49716</c:v>
                </c:pt>
                <c:pt idx="1499">
                  <c:v>49723</c:v>
                </c:pt>
                <c:pt idx="1500">
                  <c:v>49730</c:v>
                </c:pt>
                <c:pt idx="1501">
                  <c:v>49737</c:v>
                </c:pt>
                <c:pt idx="1502">
                  <c:v>49744</c:v>
                </c:pt>
                <c:pt idx="1503">
                  <c:v>49751</c:v>
                </c:pt>
                <c:pt idx="1504">
                  <c:v>49758</c:v>
                </c:pt>
                <c:pt idx="1505">
                  <c:v>49765</c:v>
                </c:pt>
                <c:pt idx="1506">
                  <c:v>49772</c:v>
                </c:pt>
                <c:pt idx="1507">
                  <c:v>49781</c:v>
                </c:pt>
                <c:pt idx="1508">
                  <c:v>49786</c:v>
                </c:pt>
                <c:pt idx="1509">
                  <c:v>49793</c:v>
                </c:pt>
                <c:pt idx="1510">
                  <c:v>49801</c:v>
                </c:pt>
                <c:pt idx="1511">
                  <c:v>49808</c:v>
                </c:pt>
                <c:pt idx="1512">
                  <c:v>49815</c:v>
                </c:pt>
                <c:pt idx="1513">
                  <c:v>49822</c:v>
                </c:pt>
                <c:pt idx="1514">
                  <c:v>49829</c:v>
                </c:pt>
                <c:pt idx="1515">
                  <c:v>49836</c:v>
                </c:pt>
                <c:pt idx="1516">
                  <c:v>49843</c:v>
                </c:pt>
                <c:pt idx="1517">
                  <c:v>49850</c:v>
                </c:pt>
                <c:pt idx="1518">
                  <c:v>49857</c:v>
                </c:pt>
                <c:pt idx="1519">
                  <c:v>49864</c:v>
                </c:pt>
                <c:pt idx="1520">
                  <c:v>49871</c:v>
                </c:pt>
                <c:pt idx="1521">
                  <c:v>49878</c:v>
                </c:pt>
                <c:pt idx="1522">
                  <c:v>49885</c:v>
                </c:pt>
                <c:pt idx="1523">
                  <c:v>49892</c:v>
                </c:pt>
                <c:pt idx="1524">
                  <c:v>49899</c:v>
                </c:pt>
                <c:pt idx="1525">
                  <c:v>49906</c:v>
                </c:pt>
                <c:pt idx="1526">
                  <c:v>49913</c:v>
                </c:pt>
                <c:pt idx="1527">
                  <c:v>49920</c:v>
                </c:pt>
                <c:pt idx="1528">
                  <c:v>49927</c:v>
                </c:pt>
                <c:pt idx="1529">
                  <c:v>49934</c:v>
                </c:pt>
                <c:pt idx="1530">
                  <c:v>49941</c:v>
                </c:pt>
                <c:pt idx="1531">
                  <c:v>49948</c:v>
                </c:pt>
                <c:pt idx="1532">
                  <c:v>49955</c:v>
                </c:pt>
                <c:pt idx="1533">
                  <c:v>49962</c:v>
                </c:pt>
                <c:pt idx="1534">
                  <c:v>49969</c:v>
                </c:pt>
                <c:pt idx="1535">
                  <c:v>49976</c:v>
                </c:pt>
                <c:pt idx="1536">
                  <c:v>49983</c:v>
                </c:pt>
                <c:pt idx="1537">
                  <c:v>49990</c:v>
                </c:pt>
                <c:pt idx="1538">
                  <c:v>49997</c:v>
                </c:pt>
                <c:pt idx="1539">
                  <c:v>50004</c:v>
                </c:pt>
                <c:pt idx="1540">
                  <c:v>50011</c:v>
                </c:pt>
                <c:pt idx="1541">
                  <c:v>50018</c:v>
                </c:pt>
                <c:pt idx="1542">
                  <c:v>50025</c:v>
                </c:pt>
                <c:pt idx="1543">
                  <c:v>50032</c:v>
                </c:pt>
                <c:pt idx="1544">
                  <c:v>50040</c:v>
                </c:pt>
                <c:pt idx="1545">
                  <c:v>50047</c:v>
                </c:pt>
                <c:pt idx="1546">
                  <c:v>50054</c:v>
                </c:pt>
                <c:pt idx="1547">
                  <c:v>50061</c:v>
                </c:pt>
                <c:pt idx="1548">
                  <c:v>50068</c:v>
                </c:pt>
                <c:pt idx="1549">
                  <c:v>50075</c:v>
                </c:pt>
                <c:pt idx="1550">
                  <c:v>50082</c:v>
                </c:pt>
                <c:pt idx="1551">
                  <c:v>50089</c:v>
                </c:pt>
                <c:pt idx="1552">
                  <c:v>50096</c:v>
                </c:pt>
                <c:pt idx="1553">
                  <c:v>50103</c:v>
                </c:pt>
                <c:pt idx="1554">
                  <c:v>50110</c:v>
                </c:pt>
                <c:pt idx="1555">
                  <c:v>50117</c:v>
                </c:pt>
                <c:pt idx="1556">
                  <c:v>50124</c:v>
                </c:pt>
                <c:pt idx="1557">
                  <c:v>50131</c:v>
                </c:pt>
                <c:pt idx="1558">
                  <c:v>50139</c:v>
                </c:pt>
                <c:pt idx="1559">
                  <c:v>50146</c:v>
                </c:pt>
                <c:pt idx="1560">
                  <c:v>50153</c:v>
                </c:pt>
                <c:pt idx="1561">
                  <c:v>50160</c:v>
                </c:pt>
                <c:pt idx="1562">
                  <c:v>50167</c:v>
                </c:pt>
                <c:pt idx="1563">
                  <c:v>50174</c:v>
                </c:pt>
                <c:pt idx="1564">
                  <c:v>50181</c:v>
                </c:pt>
                <c:pt idx="1565">
                  <c:v>50188</c:v>
                </c:pt>
                <c:pt idx="1566">
                  <c:v>50195</c:v>
                </c:pt>
                <c:pt idx="1567">
                  <c:v>50202</c:v>
                </c:pt>
                <c:pt idx="1568">
                  <c:v>50209</c:v>
                </c:pt>
                <c:pt idx="1569">
                  <c:v>50216</c:v>
                </c:pt>
                <c:pt idx="1570">
                  <c:v>50223</c:v>
                </c:pt>
                <c:pt idx="1571">
                  <c:v>50230</c:v>
                </c:pt>
                <c:pt idx="1572">
                  <c:v>50237</c:v>
                </c:pt>
                <c:pt idx="1573">
                  <c:v>50244</c:v>
                </c:pt>
                <c:pt idx="1574">
                  <c:v>50251</c:v>
                </c:pt>
                <c:pt idx="1575">
                  <c:v>50258</c:v>
                </c:pt>
                <c:pt idx="1576">
                  <c:v>50265</c:v>
                </c:pt>
                <c:pt idx="1577">
                  <c:v>50272</c:v>
                </c:pt>
                <c:pt idx="1578">
                  <c:v>50279</c:v>
                </c:pt>
                <c:pt idx="1579">
                  <c:v>50286</c:v>
                </c:pt>
                <c:pt idx="1580">
                  <c:v>50293</c:v>
                </c:pt>
                <c:pt idx="1581">
                  <c:v>50300</c:v>
                </c:pt>
                <c:pt idx="1582">
                  <c:v>50307</c:v>
                </c:pt>
                <c:pt idx="1583">
                  <c:v>50314</c:v>
                </c:pt>
                <c:pt idx="1584">
                  <c:v>50321</c:v>
                </c:pt>
                <c:pt idx="1585">
                  <c:v>50328</c:v>
                </c:pt>
                <c:pt idx="1586">
                  <c:v>50335</c:v>
                </c:pt>
                <c:pt idx="1587">
                  <c:v>50342</c:v>
                </c:pt>
                <c:pt idx="1588">
                  <c:v>50349</c:v>
                </c:pt>
                <c:pt idx="1589">
                  <c:v>50356</c:v>
                </c:pt>
                <c:pt idx="1590">
                  <c:v>50363</c:v>
                </c:pt>
                <c:pt idx="1591">
                  <c:v>50370</c:v>
                </c:pt>
                <c:pt idx="1592">
                  <c:v>50377</c:v>
                </c:pt>
                <c:pt idx="1593">
                  <c:v>50384</c:v>
                </c:pt>
                <c:pt idx="1594">
                  <c:v>50391</c:v>
                </c:pt>
                <c:pt idx="1595">
                  <c:v>50398</c:v>
                </c:pt>
                <c:pt idx="1596">
                  <c:v>50405</c:v>
                </c:pt>
                <c:pt idx="1597">
                  <c:v>50412</c:v>
                </c:pt>
                <c:pt idx="1598">
                  <c:v>50419</c:v>
                </c:pt>
                <c:pt idx="1599">
                  <c:v>50426</c:v>
                </c:pt>
                <c:pt idx="1600">
                  <c:v>50433</c:v>
                </c:pt>
                <c:pt idx="1601">
                  <c:v>50440</c:v>
                </c:pt>
                <c:pt idx="1602">
                  <c:v>50447</c:v>
                </c:pt>
                <c:pt idx="1603">
                  <c:v>50454</c:v>
                </c:pt>
                <c:pt idx="1604">
                  <c:v>50461</c:v>
                </c:pt>
                <c:pt idx="1605">
                  <c:v>50468</c:v>
                </c:pt>
                <c:pt idx="1606">
                  <c:v>50475</c:v>
                </c:pt>
                <c:pt idx="1607">
                  <c:v>50482</c:v>
                </c:pt>
                <c:pt idx="1608">
                  <c:v>50489</c:v>
                </c:pt>
                <c:pt idx="1609">
                  <c:v>50496</c:v>
                </c:pt>
                <c:pt idx="1610">
                  <c:v>50503</c:v>
                </c:pt>
                <c:pt idx="1611">
                  <c:v>50510</c:v>
                </c:pt>
                <c:pt idx="1612">
                  <c:v>50517</c:v>
                </c:pt>
                <c:pt idx="1613">
                  <c:v>50524</c:v>
                </c:pt>
                <c:pt idx="1614">
                  <c:v>50531</c:v>
                </c:pt>
                <c:pt idx="1615">
                  <c:v>50538</c:v>
                </c:pt>
                <c:pt idx="1616">
                  <c:v>50545</c:v>
                </c:pt>
                <c:pt idx="1617">
                  <c:v>50552</c:v>
                </c:pt>
                <c:pt idx="1618">
                  <c:v>50559</c:v>
                </c:pt>
                <c:pt idx="1619">
                  <c:v>50566</c:v>
                </c:pt>
                <c:pt idx="1620">
                  <c:v>50573</c:v>
                </c:pt>
                <c:pt idx="1621">
                  <c:v>50580</c:v>
                </c:pt>
                <c:pt idx="1622">
                  <c:v>50587</c:v>
                </c:pt>
                <c:pt idx="1623">
                  <c:v>50594</c:v>
                </c:pt>
                <c:pt idx="1624">
                  <c:v>50601</c:v>
                </c:pt>
                <c:pt idx="1625">
                  <c:v>50608</c:v>
                </c:pt>
                <c:pt idx="1626">
                  <c:v>50615</c:v>
                </c:pt>
                <c:pt idx="1627">
                  <c:v>50622</c:v>
                </c:pt>
                <c:pt idx="1628">
                  <c:v>50629</c:v>
                </c:pt>
                <c:pt idx="1629">
                  <c:v>50636</c:v>
                </c:pt>
                <c:pt idx="1630">
                  <c:v>50643</c:v>
                </c:pt>
                <c:pt idx="1631">
                  <c:v>50650</c:v>
                </c:pt>
                <c:pt idx="1632">
                  <c:v>50657</c:v>
                </c:pt>
                <c:pt idx="1633">
                  <c:v>50664</c:v>
                </c:pt>
                <c:pt idx="1634">
                  <c:v>50671</c:v>
                </c:pt>
                <c:pt idx="1635">
                  <c:v>50678</c:v>
                </c:pt>
                <c:pt idx="1636">
                  <c:v>50685</c:v>
                </c:pt>
                <c:pt idx="1637">
                  <c:v>50692</c:v>
                </c:pt>
                <c:pt idx="1638">
                  <c:v>50699</c:v>
                </c:pt>
                <c:pt idx="1639">
                  <c:v>50706</c:v>
                </c:pt>
                <c:pt idx="1640">
                  <c:v>50713</c:v>
                </c:pt>
                <c:pt idx="1641">
                  <c:v>50720</c:v>
                </c:pt>
                <c:pt idx="1642">
                  <c:v>50727</c:v>
                </c:pt>
                <c:pt idx="1643">
                  <c:v>50734</c:v>
                </c:pt>
                <c:pt idx="1644">
                  <c:v>50741</c:v>
                </c:pt>
                <c:pt idx="1645">
                  <c:v>50748</c:v>
                </c:pt>
                <c:pt idx="1646">
                  <c:v>50755</c:v>
                </c:pt>
                <c:pt idx="1647">
                  <c:v>50762</c:v>
                </c:pt>
                <c:pt idx="1648">
                  <c:v>50769</c:v>
                </c:pt>
                <c:pt idx="1649">
                  <c:v>50776</c:v>
                </c:pt>
                <c:pt idx="1650">
                  <c:v>50783</c:v>
                </c:pt>
                <c:pt idx="1651">
                  <c:v>50790</c:v>
                </c:pt>
                <c:pt idx="1652">
                  <c:v>50797</c:v>
                </c:pt>
                <c:pt idx="1653">
                  <c:v>50804</c:v>
                </c:pt>
                <c:pt idx="1654">
                  <c:v>50811</c:v>
                </c:pt>
                <c:pt idx="1655">
                  <c:v>50818</c:v>
                </c:pt>
                <c:pt idx="1656">
                  <c:v>50825</c:v>
                </c:pt>
                <c:pt idx="1657">
                  <c:v>50832</c:v>
                </c:pt>
                <c:pt idx="1658">
                  <c:v>50839</c:v>
                </c:pt>
                <c:pt idx="1659">
                  <c:v>50846</c:v>
                </c:pt>
                <c:pt idx="1660">
                  <c:v>50853</c:v>
                </c:pt>
                <c:pt idx="1661">
                  <c:v>50860</c:v>
                </c:pt>
                <c:pt idx="1662">
                  <c:v>50867</c:v>
                </c:pt>
                <c:pt idx="1663">
                  <c:v>50874</c:v>
                </c:pt>
                <c:pt idx="1664">
                  <c:v>50881</c:v>
                </c:pt>
                <c:pt idx="1665">
                  <c:v>50888</c:v>
                </c:pt>
                <c:pt idx="1666">
                  <c:v>50895</c:v>
                </c:pt>
                <c:pt idx="1667">
                  <c:v>50902</c:v>
                </c:pt>
                <c:pt idx="1668">
                  <c:v>50909</c:v>
                </c:pt>
                <c:pt idx="1669">
                  <c:v>50916</c:v>
                </c:pt>
                <c:pt idx="1670">
                  <c:v>50923</c:v>
                </c:pt>
                <c:pt idx="1671">
                  <c:v>50930</c:v>
                </c:pt>
                <c:pt idx="1672">
                  <c:v>50937</c:v>
                </c:pt>
                <c:pt idx="1673">
                  <c:v>50944</c:v>
                </c:pt>
                <c:pt idx="1674">
                  <c:v>50951</c:v>
                </c:pt>
                <c:pt idx="1675">
                  <c:v>50958</c:v>
                </c:pt>
                <c:pt idx="1676">
                  <c:v>50965</c:v>
                </c:pt>
                <c:pt idx="1677">
                  <c:v>50972</c:v>
                </c:pt>
                <c:pt idx="1678">
                  <c:v>50979</c:v>
                </c:pt>
                <c:pt idx="1679">
                  <c:v>50986</c:v>
                </c:pt>
                <c:pt idx="1680">
                  <c:v>50993</c:v>
                </c:pt>
                <c:pt idx="1681">
                  <c:v>51000</c:v>
                </c:pt>
                <c:pt idx="1682">
                  <c:v>51007</c:v>
                </c:pt>
                <c:pt idx="1683">
                  <c:v>51014</c:v>
                </c:pt>
                <c:pt idx="1684">
                  <c:v>51021</c:v>
                </c:pt>
                <c:pt idx="1685">
                  <c:v>51028</c:v>
                </c:pt>
                <c:pt idx="1686">
                  <c:v>51035</c:v>
                </c:pt>
                <c:pt idx="1687">
                  <c:v>51042</c:v>
                </c:pt>
                <c:pt idx="1688">
                  <c:v>51049</c:v>
                </c:pt>
                <c:pt idx="1689">
                  <c:v>51056</c:v>
                </c:pt>
                <c:pt idx="1690">
                  <c:v>51063</c:v>
                </c:pt>
                <c:pt idx="1691">
                  <c:v>51070</c:v>
                </c:pt>
                <c:pt idx="1692">
                  <c:v>51077</c:v>
                </c:pt>
                <c:pt idx="1693">
                  <c:v>51084</c:v>
                </c:pt>
                <c:pt idx="1694">
                  <c:v>51091</c:v>
                </c:pt>
                <c:pt idx="1695">
                  <c:v>51098</c:v>
                </c:pt>
                <c:pt idx="1696">
                  <c:v>51105</c:v>
                </c:pt>
                <c:pt idx="1697">
                  <c:v>51112</c:v>
                </c:pt>
                <c:pt idx="1698">
                  <c:v>51119</c:v>
                </c:pt>
                <c:pt idx="1699">
                  <c:v>51126</c:v>
                </c:pt>
                <c:pt idx="1700">
                  <c:v>51133</c:v>
                </c:pt>
                <c:pt idx="1701">
                  <c:v>51140</c:v>
                </c:pt>
                <c:pt idx="1702">
                  <c:v>51147</c:v>
                </c:pt>
                <c:pt idx="1703">
                  <c:v>51154</c:v>
                </c:pt>
                <c:pt idx="1704">
                  <c:v>51161</c:v>
                </c:pt>
                <c:pt idx="1705">
                  <c:v>51168</c:v>
                </c:pt>
                <c:pt idx="1706">
                  <c:v>51175</c:v>
                </c:pt>
                <c:pt idx="1707">
                  <c:v>51182</c:v>
                </c:pt>
                <c:pt idx="1708">
                  <c:v>51189</c:v>
                </c:pt>
                <c:pt idx="1709">
                  <c:v>51196</c:v>
                </c:pt>
                <c:pt idx="1710">
                  <c:v>51203</c:v>
                </c:pt>
                <c:pt idx="1711">
                  <c:v>51210</c:v>
                </c:pt>
                <c:pt idx="1712">
                  <c:v>51217</c:v>
                </c:pt>
                <c:pt idx="1713">
                  <c:v>51224</c:v>
                </c:pt>
                <c:pt idx="1714">
                  <c:v>51231</c:v>
                </c:pt>
                <c:pt idx="1715">
                  <c:v>51238</c:v>
                </c:pt>
                <c:pt idx="1716">
                  <c:v>51245</c:v>
                </c:pt>
                <c:pt idx="1717">
                  <c:v>51252</c:v>
                </c:pt>
                <c:pt idx="1718">
                  <c:v>51260</c:v>
                </c:pt>
                <c:pt idx="1719">
                  <c:v>51267</c:v>
                </c:pt>
                <c:pt idx="1720">
                  <c:v>51274</c:v>
                </c:pt>
                <c:pt idx="1721">
                  <c:v>51281</c:v>
                </c:pt>
                <c:pt idx="1722">
                  <c:v>51288</c:v>
                </c:pt>
                <c:pt idx="1723">
                  <c:v>51295</c:v>
                </c:pt>
                <c:pt idx="1724">
                  <c:v>51302</c:v>
                </c:pt>
                <c:pt idx="1725">
                  <c:v>51309</c:v>
                </c:pt>
                <c:pt idx="1726">
                  <c:v>51316</c:v>
                </c:pt>
                <c:pt idx="1727">
                  <c:v>51323</c:v>
                </c:pt>
                <c:pt idx="1728">
                  <c:v>51330</c:v>
                </c:pt>
                <c:pt idx="1729">
                  <c:v>51337</c:v>
                </c:pt>
                <c:pt idx="1730">
                  <c:v>51344</c:v>
                </c:pt>
                <c:pt idx="1731">
                  <c:v>51351</c:v>
                </c:pt>
                <c:pt idx="1732">
                  <c:v>51358</c:v>
                </c:pt>
                <c:pt idx="1733">
                  <c:v>51365</c:v>
                </c:pt>
                <c:pt idx="1734">
                  <c:v>51372</c:v>
                </c:pt>
                <c:pt idx="1735">
                  <c:v>51379</c:v>
                </c:pt>
                <c:pt idx="1736">
                  <c:v>51386</c:v>
                </c:pt>
                <c:pt idx="1737">
                  <c:v>51393</c:v>
                </c:pt>
                <c:pt idx="1738">
                  <c:v>51400</c:v>
                </c:pt>
                <c:pt idx="1739">
                  <c:v>51407</c:v>
                </c:pt>
                <c:pt idx="1740">
                  <c:v>51414</c:v>
                </c:pt>
                <c:pt idx="1741">
                  <c:v>51421</c:v>
                </c:pt>
                <c:pt idx="1742">
                  <c:v>51428</c:v>
                </c:pt>
                <c:pt idx="1743">
                  <c:v>51435</c:v>
                </c:pt>
                <c:pt idx="1744">
                  <c:v>51442</c:v>
                </c:pt>
                <c:pt idx="1745">
                  <c:v>51449</c:v>
                </c:pt>
                <c:pt idx="1746">
                  <c:v>51456</c:v>
                </c:pt>
                <c:pt idx="1747">
                  <c:v>51463</c:v>
                </c:pt>
                <c:pt idx="1748">
                  <c:v>51470</c:v>
                </c:pt>
                <c:pt idx="1749">
                  <c:v>51477</c:v>
                </c:pt>
                <c:pt idx="1750">
                  <c:v>51484</c:v>
                </c:pt>
                <c:pt idx="1751">
                  <c:v>51491</c:v>
                </c:pt>
                <c:pt idx="1752">
                  <c:v>51501</c:v>
                </c:pt>
                <c:pt idx="1753">
                  <c:v>51508</c:v>
                </c:pt>
                <c:pt idx="1754">
                  <c:v>51515</c:v>
                </c:pt>
                <c:pt idx="1755">
                  <c:v>51522</c:v>
                </c:pt>
                <c:pt idx="1756">
                  <c:v>51529</c:v>
                </c:pt>
                <c:pt idx="1757">
                  <c:v>51536</c:v>
                </c:pt>
                <c:pt idx="1758">
                  <c:v>51543</c:v>
                </c:pt>
                <c:pt idx="1759">
                  <c:v>51550</c:v>
                </c:pt>
                <c:pt idx="1760">
                  <c:v>51557</c:v>
                </c:pt>
                <c:pt idx="1761">
                  <c:v>51564</c:v>
                </c:pt>
                <c:pt idx="1762">
                  <c:v>51571</c:v>
                </c:pt>
                <c:pt idx="1763">
                  <c:v>51578</c:v>
                </c:pt>
                <c:pt idx="1764">
                  <c:v>51585</c:v>
                </c:pt>
                <c:pt idx="1765">
                  <c:v>51592</c:v>
                </c:pt>
                <c:pt idx="1766">
                  <c:v>51599</c:v>
                </c:pt>
                <c:pt idx="1767">
                  <c:v>51606</c:v>
                </c:pt>
                <c:pt idx="1768">
                  <c:v>51615</c:v>
                </c:pt>
                <c:pt idx="1769">
                  <c:v>51620</c:v>
                </c:pt>
                <c:pt idx="1770">
                  <c:v>51627</c:v>
                </c:pt>
                <c:pt idx="1771">
                  <c:v>51634</c:v>
                </c:pt>
                <c:pt idx="1772">
                  <c:v>51641</c:v>
                </c:pt>
                <c:pt idx="1773">
                  <c:v>51648</c:v>
                </c:pt>
                <c:pt idx="1774">
                  <c:v>51655</c:v>
                </c:pt>
                <c:pt idx="1775">
                  <c:v>51662</c:v>
                </c:pt>
                <c:pt idx="1776">
                  <c:v>51669</c:v>
                </c:pt>
                <c:pt idx="1777">
                  <c:v>51676</c:v>
                </c:pt>
                <c:pt idx="1778">
                  <c:v>51683</c:v>
                </c:pt>
                <c:pt idx="1779">
                  <c:v>51690</c:v>
                </c:pt>
                <c:pt idx="1780">
                  <c:v>51697</c:v>
                </c:pt>
                <c:pt idx="1781">
                  <c:v>51704</c:v>
                </c:pt>
                <c:pt idx="1782">
                  <c:v>51711</c:v>
                </c:pt>
                <c:pt idx="1783">
                  <c:v>51718</c:v>
                </c:pt>
                <c:pt idx="1784">
                  <c:v>51725</c:v>
                </c:pt>
                <c:pt idx="1785">
                  <c:v>51732</c:v>
                </c:pt>
                <c:pt idx="1786">
                  <c:v>51739</c:v>
                </c:pt>
                <c:pt idx="1787">
                  <c:v>51746</c:v>
                </c:pt>
                <c:pt idx="1788">
                  <c:v>51753</c:v>
                </c:pt>
                <c:pt idx="1789">
                  <c:v>51760</c:v>
                </c:pt>
                <c:pt idx="1790">
                  <c:v>51767</c:v>
                </c:pt>
                <c:pt idx="1791">
                  <c:v>51774</c:v>
                </c:pt>
                <c:pt idx="1792">
                  <c:v>51781</c:v>
                </c:pt>
                <c:pt idx="1793">
                  <c:v>51788</c:v>
                </c:pt>
                <c:pt idx="1794">
                  <c:v>51795</c:v>
                </c:pt>
                <c:pt idx="1795">
                  <c:v>51802</c:v>
                </c:pt>
                <c:pt idx="1796">
                  <c:v>51809</c:v>
                </c:pt>
                <c:pt idx="1797">
                  <c:v>51816</c:v>
                </c:pt>
                <c:pt idx="1798">
                  <c:v>51823</c:v>
                </c:pt>
                <c:pt idx="1799">
                  <c:v>51830</c:v>
                </c:pt>
                <c:pt idx="1800">
                  <c:v>51837</c:v>
                </c:pt>
                <c:pt idx="1801">
                  <c:v>51844</c:v>
                </c:pt>
                <c:pt idx="1802">
                  <c:v>51851</c:v>
                </c:pt>
                <c:pt idx="1803">
                  <c:v>51858</c:v>
                </c:pt>
                <c:pt idx="1804">
                  <c:v>51866</c:v>
                </c:pt>
                <c:pt idx="1805">
                  <c:v>51873</c:v>
                </c:pt>
                <c:pt idx="1806">
                  <c:v>51880</c:v>
                </c:pt>
                <c:pt idx="1807">
                  <c:v>51887</c:v>
                </c:pt>
                <c:pt idx="1808">
                  <c:v>51894</c:v>
                </c:pt>
                <c:pt idx="1809">
                  <c:v>51901</c:v>
                </c:pt>
                <c:pt idx="1810">
                  <c:v>51908</c:v>
                </c:pt>
                <c:pt idx="1811">
                  <c:v>51915</c:v>
                </c:pt>
                <c:pt idx="1812">
                  <c:v>51922</c:v>
                </c:pt>
                <c:pt idx="1813">
                  <c:v>51929</c:v>
                </c:pt>
                <c:pt idx="1814">
                  <c:v>51936</c:v>
                </c:pt>
                <c:pt idx="1815">
                  <c:v>51943</c:v>
                </c:pt>
                <c:pt idx="1816">
                  <c:v>51950</c:v>
                </c:pt>
                <c:pt idx="1817">
                  <c:v>51957</c:v>
                </c:pt>
                <c:pt idx="1818">
                  <c:v>51966</c:v>
                </c:pt>
                <c:pt idx="1819">
                  <c:v>51973</c:v>
                </c:pt>
                <c:pt idx="1820">
                  <c:v>51980</c:v>
                </c:pt>
                <c:pt idx="1821">
                  <c:v>51988</c:v>
                </c:pt>
                <c:pt idx="1822">
                  <c:v>51994</c:v>
                </c:pt>
                <c:pt idx="1823">
                  <c:v>52001</c:v>
                </c:pt>
                <c:pt idx="1824">
                  <c:v>52008</c:v>
                </c:pt>
                <c:pt idx="1825">
                  <c:v>52015</c:v>
                </c:pt>
                <c:pt idx="1826">
                  <c:v>52022</c:v>
                </c:pt>
                <c:pt idx="1827">
                  <c:v>52029</c:v>
                </c:pt>
                <c:pt idx="1828">
                  <c:v>52036</c:v>
                </c:pt>
                <c:pt idx="1829">
                  <c:v>52043</c:v>
                </c:pt>
                <c:pt idx="1830">
                  <c:v>52050</c:v>
                </c:pt>
                <c:pt idx="1831">
                  <c:v>52057</c:v>
                </c:pt>
                <c:pt idx="1832">
                  <c:v>52064</c:v>
                </c:pt>
                <c:pt idx="1833">
                  <c:v>52071</c:v>
                </c:pt>
                <c:pt idx="1834">
                  <c:v>52078</c:v>
                </c:pt>
                <c:pt idx="1835">
                  <c:v>52085</c:v>
                </c:pt>
                <c:pt idx="1836">
                  <c:v>52092</c:v>
                </c:pt>
                <c:pt idx="1837">
                  <c:v>52099</c:v>
                </c:pt>
                <c:pt idx="1838">
                  <c:v>52106</c:v>
                </c:pt>
                <c:pt idx="1839">
                  <c:v>52113</c:v>
                </c:pt>
                <c:pt idx="1840">
                  <c:v>52120</c:v>
                </c:pt>
                <c:pt idx="1841">
                  <c:v>52127</c:v>
                </c:pt>
                <c:pt idx="1842">
                  <c:v>52134</c:v>
                </c:pt>
                <c:pt idx="1843">
                  <c:v>52141</c:v>
                </c:pt>
                <c:pt idx="1844">
                  <c:v>52148</c:v>
                </c:pt>
                <c:pt idx="1845">
                  <c:v>52155</c:v>
                </c:pt>
                <c:pt idx="1846">
                  <c:v>52162</c:v>
                </c:pt>
                <c:pt idx="1847">
                  <c:v>52169</c:v>
                </c:pt>
                <c:pt idx="1848">
                  <c:v>52176</c:v>
                </c:pt>
                <c:pt idx="1849">
                  <c:v>52183</c:v>
                </c:pt>
                <c:pt idx="1850">
                  <c:v>52190</c:v>
                </c:pt>
                <c:pt idx="1851">
                  <c:v>52197</c:v>
                </c:pt>
                <c:pt idx="1852">
                  <c:v>52204</c:v>
                </c:pt>
                <c:pt idx="1853">
                  <c:v>52211</c:v>
                </c:pt>
                <c:pt idx="1854">
                  <c:v>52218</c:v>
                </c:pt>
                <c:pt idx="1855">
                  <c:v>52229</c:v>
                </c:pt>
                <c:pt idx="1856">
                  <c:v>52233</c:v>
                </c:pt>
                <c:pt idx="1857">
                  <c:v>52239</c:v>
                </c:pt>
                <c:pt idx="1858">
                  <c:v>52246</c:v>
                </c:pt>
                <c:pt idx="1859">
                  <c:v>52253</c:v>
                </c:pt>
                <c:pt idx="1860">
                  <c:v>52260</c:v>
                </c:pt>
                <c:pt idx="1861">
                  <c:v>52267</c:v>
                </c:pt>
                <c:pt idx="1862">
                  <c:v>52274</c:v>
                </c:pt>
                <c:pt idx="1863">
                  <c:v>52281</c:v>
                </c:pt>
                <c:pt idx="1864">
                  <c:v>52288</c:v>
                </c:pt>
                <c:pt idx="1865">
                  <c:v>52295</c:v>
                </c:pt>
                <c:pt idx="1866">
                  <c:v>52302</c:v>
                </c:pt>
                <c:pt idx="1867">
                  <c:v>52309</c:v>
                </c:pt>
                <c:pt idx="1868">
                  <c:v>52316</c:v>
                </c:pt>
                <c:pt idx="1869">
                  <c:v>52323</c:v>
                </c:pt>
                <c:pt idx="1870">
                  <c:v>52330</c:v>
                </c:pt>
                <c:pt idx="1871">
                  <c:v>52337</c:v>
                </c:pt>
                <c:pt idx="1872">
                  <c:v>52344</c:v>
                </c:pt>
                <c:pt idx="1873">
                  <c:v>52351</c:v>
                </c:pt>
                <c:pt idx="1874">
                  <c:v>52358</c:v>
                </c:pt>
                <c:pt idx="1875">
                  <c:v>52365</c:v>
                </c:pt>
                <c:pt idx="1876">
                  <c:v>52372</c:v>
                </c:pt>
                <c:pt idx="1877">
                  <c:v>52379</c:v>
                </c:pt>
                <c:pt idx="1878">
                  <c:v>52386</c:v>
                </c:pt>
                <c:pt idx="1879">
                  <c:v>52393</c:v>
                </c:pt>
                <c:pt idx="1880">
                  <c:v>52400</c:v>
                </c:pt>
                <c:pt idx="1881">
                  <c:v>52407</c:v>
                </c:pt>
                <c:pt idx="1882">
                  <c:v>52414</c:v>
                </c:pt>
                <c:pt idx="1883">
                  <c:v>52421</c:v>
                </c:pt>
                <c:pt idx="1884">
                  <c:v>52428</c:v>
                </c:pt>
                <c:pt idx="1885">
                  <c:v>52435</c:v>
                </c:pt>
                <c:pt idx="1886">
                  <c:v>52442</c:v>
                </c:pt>
                <c:pt idx="1887">
                  <c:v>52449</c:v>
                </c:pt>
                <c:pt idx="1888">
                  <c:v>52456</c:v>
                </c:pt>
                <c:pt idx="1889">
                  <c:v>52463</c:v>
                </c:pt>
                <c:pt idx="1890">
                  <c:v>52470</c:v>
                </c:pt>
                <c:pt idx="1891">
                  <c:v>52477</c:v>
                </c:pt>
                <c:pt idx="1892">
                  <c:v>52484</c:v>
                </c:pt>
                <c:pt idx="1893">
                  <c:v>52491</c:v>
                </c:pt>
                <c:pt idx="1894">
                  <c:v>52498</c:v>
                </c:pt>
                <c:pt idx="1895">
                  <c:v>52505</c:v>
                </c:pt>
                <c:pt idx="1896">
                  <c:v>52512</c:v>
                </c:pt>
                <c:pt idx="1897">
                  <c:v>52519</c:v>
                </c:pt>
                <c:pt idx="1898">
                  <c:v>52526</c:v>
                </c:pt>
                <c:pt idx="1899">
                  <c:v>52533</c:v>
                </c:pt>
                <c:pt idx="1900">
                  <c:v>52540</c:v>
                </c:pt>
                <c:pt idx="1901">
                  <c:v>52547</c:v>
                </c:pt>
                <c:pt idx="1902">
                  <c:v>52554</c:v>
                </c:pt>
                <c:pt idx="1903">
                  <c:v>52561</c:v>
                </c:pt>
                <c:pt idx="1904">
                  <c:v>52568</c:v>
                </c:pt>
                <c:pt idx="1905">
                  <c:v>52575</c:v>
                </c:pt>
                <c:pt idx="1906">
                  <c:v>52582</c:v>
                </c:pt>
                <c:pt idx="1907">
                  <c:v>52589</c:v>
                </c:pt>
                <c:pt idx="1908">
                  <c:v>52596</c:v>
                </c:pt>
                <c:pt idx="1909">
                  <c:v>52603</c:v>
                </c:pt>
                <c:pt idx="1910">
                  <c:v>52610</c:v>
                </c:pt>
                <c:pt idx="1911">
                  <c:v>52617</c:v>
                </c:pt>
                <c:pt idx="1912">
                  <c:v>52624</c:v>
                </c:pt>
                <c:pt idx="1913">
                  <c:v>52631</c:v>
                </c:pt>
                <c:pt idx="1914">
                  <c:v>52638</c:v>
                </c:pt>
                <c:pt idx="1915">
                  <c:v>52645</c:v>
                </c:pt>
                <c:pt idx="1916">
                  <c:v>52652</c:v>
                </c:pt>
                <c:pt idx="1917">
                  <c:v>52659</c:v>
                </c:pt>
                <c:pt idx="1918">
                  <c:v>52666</c:v>
                </c:pt>
                <c:pt idx="1919">
                  <c:v>52673</c:v>
                </c:pt>
                <c:pt idx="1920">
                  <c:v>52680</c:v>
                </c:pt>
                <c:pt idx="1921">
                  <c:v>52687</c:v>
                </c:pt>
                <c:pt idx="1922">
                  <c:v>52694</c:v>
                </c:pt>
                <c:pt idx="1923">
                  <c:v>52701</c:v>
                </c:pt>
                <c:pt idx="1924">
                  <c:v>52708</c:v>
                </c:pt>
                <c:pt idx="1925">
                  <c:v>52715</c:v>
                </c:pt>
                <c:pt idx="1926">
                  <c:v>52722</c:v>
                </c:pt>
                <c:pt idx="1927">
                  <c:v>52729</c:v>
                </c:pt>
                <c:pt idx="1928">
                  <c:v>52736</c:v>
                </c:pt>
                <c:pt idx="1929">
                  <c:v>52743</c:v>
                </c:pt>
                <c:pt idx="1930">
                  <c:v>52750</c:v>
                </c:pt>
                <c:pt idx="1931">
                  <c:v>52757</c:v>
                </c:pt>
                <c:pt idx="1932">
                  <c:v>52764</c:v>
                </c:pt>
                <c:pt idx="1933">
                  <c:v>52771</c:v>
                </c:pt>
                <c:pt idx="1934">
                  <c:v>52778</c:v>
                </c:pt>
                <c:pt idx="1935">
                  <c:v>52785</c:v>
                </c:pt>
                <c:pt idx="1936">
                  <c:v>52792</c:v>
                </c:pt>
                <c:pt idx="1937">
                  <c:v>52799</c:v>
                </c:pt>
                <c:pt idx="1938">
                  <c:v>52806</c:v>
                </c:pt>
                <c:pt idx="1939">
                  <c:v>52813</c:v>
                </c:pt>
                <c:pt idx="1940">
                  <c:v>52820</c:v>
                </c:pt>
                <c:pt idx="1941">
                  <c:v>52827</c:v>
                </c:pt>
                <c:pt idx="1942">
                  <c:v>52834</c:v>
                </c:pt>
                <c:pt idx="1943">
                  <c:v>52841</c:v>
                </c:pt>
                <c:pt idx="1944">
                  <c:v>52848</c:v>
                </c:pt>
                <c:pt idx="1945">
                  <c:v>52855</c:v>
                </c:pt>
                <c:pt idx="1946">
                  <c:v>52862</c:v>
                </c:pt>
                <c:pt idx="1947">
                  <c:v>52869</c:v>
                </c:pt>
                <c:pt idx="1948">
                  <c:v>52876</c:v>
                </c:pt>
                <c:pt idx="1949">
                  <c:v>52883</c:v>
                </c:pt>
                <c:pt idx="1950">
                  <c:v>52890</c:v>
                </c:pt>
                <c:pt idx="1951">
                  <c:v>52897</c:v>
                </c:pt>
                <c:pt idx="1952">
                  <c:v>52904</c:v>
                </c:pt>
                <c:pt idx="1953">
                  <c:v>52911</c:v>
                </c:pt>
                <c:pt idx="1954">
                  <c:v>52918</c:v>
                </c:pt>
                <c:pt idx="1955">
                  <c:v>52925</c:v>
                </c:pt>
                <c:pt idx="1956">
                  <c:v>52932</c:v>
                </c:pt>
                <c:pt idx="1957">
                  <c:v>52939</c:v>
                </c:pt>
                <c:pt idx="1958">
                  <c:v>52946</c:v>
                </c:pt>
                <c:pt idx="1959">
                  <c:v>52953</c:v>
                </c:pt>
                <c:pt idx="1960">
                  <c:v>52960</c:v>
                </c:pt>
                <c:pt idx="1961">
                  <c:v>52967</c:v>
                </c:pt>
                <c:pt idx="1962">
                  <c:v>52974</c:v>
                </c:pt>
                <c:pt idx="1963">
                  <c:v>52981</c:v>
                </c:pt>
                <c:pt idx="1964">
                  <c:v>52988</c:v>
                </c:pt>
                <c:pt idx="1965">
                  <c:v>52995</c:v>
                </c:pt>
                <c:pt idx="1966">
                  <c:v>53002</c:v>
                </c:pt>
                <c:pt idx="1967">
                  <c:v>53009</c:v>
                </c:pt>
                <c:pt idx="1968">
                  <c:v>53016</c:v>
                </c:pt>
                <c:pt idx="1969">
                  <c:v>53023</c:v>
                </c:pt>
                <c:pt idx="1970">
                  <c:v>53030</c:v>
                </c:pt>
                <c:pt idx="1971">
                  <c:v>53037</c:v>
                </c:pt>
                <c:pt idx="1972">
                  <c:v>53044</c:v>
                </c:pt>
                <c:pt idx="1973">
                  <c:v>53051</c:v>
                </c:pt>
                <c:pt idx="1974">
                  <c:v>53058</c:v>
                </c:pt>
                <c:pt idx="1975">
                  <c:v>53065</c:v>
                </c:pt>
                <c:pt idx="1976">
                  <c:v>53072</c:v>
                </c:pt>
                <c:pt idx="1977">
                  <c:v>53079</c:v>
                </c:pt>
                <c:pt idx="1978">
                  <c:v>53086</c:v>
                </c:pt>
                <c:pt idx="1979">
                  <c:v>53093</c:v>
                </c:pt>
                <c:pt idx="1980">
                  <c:v>53100</c:v>
                </c:pt>
                <c:pt idx="1981">
                  <c:v>53107</c:v>
                </c:pt>
                <c:pt idx="1982">
                  <c:v>53114</c:v>
                </c:pt>
                <c:pt idx="1983">
                  <c:v>53121</c:v>
                </c:pt>
                <c:pt idx="1984">
                  <c:v>53128</c:v>
                </c:pt>
                <c:pt idx="1985">
                  <c:v>53135</c:v>
                </c:pt>
                <c:pt idx="1986">
                  <c:v>53142</c:v>
                </c:pt>
                <c:pt idx="1987">
                  <c:v>53149</c:v>
                </c:pt>
                <c:pt idx="1988">
                  <c:v>53156</c:v>
                </c:pt>
                <c:pt idx="1989">
                  <c:v>53163</c:v>
                </c:pt>
                <c:pt idx="1990">
                  <c:v>53170</c:v>
                </c:pt>
                <c:pt idx="1991">
                  <c:v>53177</c:v>
                </c:pt>
                <c:pt idx="1992">
                  <c:v>53184</c:v>
                </c:pt>
                <c:pt idx="1993">
                  <c:v>53191</c:v>
                </c:pt>
                <c:pt idx="1994">
                  <c:v>53198</c:v>
                </c:pt>
                <c:pt idx="1995">
                  <c:v>53205</c:v>
                </c:pt>
                <c:pt idx="1996">
                  <c:v>53212</c:v>
                </c:pt>
                <c:pt idx="1997">
                  <c:v>53219</c:v>
                </c:pt>
                <c:pt idx="1998">
                  <c:v>53226</c:v>
                </c:pt>
                <c:pt idx="1999">
                  <c:v>53233</c:v>
                </c:pt>
                <c:pt idx="2000">
                  <c:v>53240</c:v>
                </c:pt>
                <c:pt idx="2001">
                  <c:v>53247</c:v>
                </c:pt>
                <c:pt idx="2002">
                  <c:v>53254</c:v>
                </c:pt>
                <c:pt idx="2003">
                  <c:v>53261</c:v>
                </c:pt>
                <c:pt idx="2004">
                  <c:v>53268</c:v>
                </c:pt>
                <c:pt idx="2005">
                  <c:v>53275</c:v>
                </c:pt>
                <c:pt idx="2006">
                  <c:v>53282</c:v>
                </c:pt>
                <c:pt idx="2007">
                  <c:v>53289</c:v>
                </c:pt>
                <c:pt idx="2008">
                  <c:v>53296</c:v>
                </c:pt>
                <c:pt idx="2009">
                  <c:v>53303</c:v>
                </c:pt>
                <c:pt idx="2010">
                  <c:v>53310</c:v>
                </c:pt>
                <c:pt idx="2011">
                  <c:v>53317</c:v>
                </c:pt>
                <c:pt idx="2012">
                  <c:v>53325</c:v>
                </c:pt>
                <c:pt idx="2013">
                  <c:v>53332</c:v>
                </c:pt>
                <c:pt idx="2014">
                  <c:v>53339</c:v>
                </c:pt>
                <c:pt idx="2015">
                  <c:v>53346</c:v>
                </c:pt>
                <c:pt idx="2016">
                  <c:v>53353</c:v>
                </c:pt>
                <c:pt idx="2017">
                  <c:v>53360</c:v>
                </c:pt>
                <c:pt idx="2018">
                  <c:v>53367</c:v>
                </c:pt>
                <c:pt idx="2019">
                  <c:v>53374</c:v>
                </c:pt>
                <c:pt idx="2020">
                  <c:v>53381</c:v>
                </c:pt>
                <c:pt idx="2021">
                  <c:v>53388</c:v>
                </c:pt>
                <c:pt idx="2022">
                  <c:v>53395</c:v>
                </c:pt>
                <c:pt idx="2023">
                  <c:v>53402</c:v>
                </c:pt>
                <c:pt idx="2024">
                  <c:v>53413</c:v>
                </c:pt>
                <c:pt idx="2025">
                  <c:v>53416</c:v>
                </c:pt>
                <c:pt idx="2026">
                  <c:v>53423</c:v>
                </c:pt>
                <c:pt idx="2027">
                  <c:v>53430</c:v>
                </c:pt>
                <c:pt idx="2028">
                  <c:v>53437</c:v>
                </c:pt>
                <c:pt idx="2029">
                  <c:v>53444</c:v>
                </c:pt>
                <c:pt idx="2030">
                  <c:v>53451</c:v>
                </c:pt>
                <c:pt idx="2031">
                  <c:v>53458</c:v>
                </c:pt>
                <c:pt idx="2032">
                  <c:v>53465</c:v>
                </c:pt>
                <c:pt idx="2033">
                  <c:v>53472</c:v>
                </c:pt>
                <c:pt idx="2034">
                  <c:v>53479</c:v>
                </c:pt>
                <c:pt idx="2035">
                  <c:v>53486</c:v>
                </c:pt>
                <c:pt idx="2036">
                  <c:v>53493</c:v>
                </c:pt>
                <c:pt idx="2037">
                  <c:v>53500</c:v>
                </c:pt>
                <c:pt idx="2038">
                  <c:v>53507</c:v>
                </c:pt>
                <c:pt idx="2039">
                  <c:v>53514</c:v>
                </c:pt>
                <c:pt idx="2040">
                  <c:v>53521</c:v>
                </c:pt>
                <c:pt idx="2041">
                  <c:v>53528</c:v>
                </c:pt>
                <c:pt idx="2042">
                  <c:v>53535</c:v>
                </c:pt>
                <c:pt idx="2043">
                  <c:v>53542</c:v>
                </c:pt>
                <c:pt idx="2044">
                  <c:v>53549</c:v>
                </c:pt>
                <c:pt idx="2045">
                  <c:v>53556</c:v>
                </c:pt>
                <c:pt idx="2046">
                  <c:v>53563</c:v>
                </c:pt>
                <c:pt idx="2047">
                  <c:v>53570</c:v>
                </c:pt>
                <c:pt idx="2048">
                  <c:v>53577</c:v>
                </c:pt>
                <c:pt idx="2049">
                  <c:v>53584</c:v>
                </c:pt>
                <c:pt idx="2050">
                  <c:v>53591</c:v>
                </c:pt>
                <c:pt idx="2051">
                  <c:v>53598</c:v>
                </c:pt>
                <c:pt idx="2052">
                  <c:v>53605</c:v>
                </c:pt>
                <c:pt idx="2053">
                  <c:v>53612</c:v>
                </c:pt>
                <c:pt idx="2054">
                  <c:v>53619</c:v>
                </c:pt>
                <c:pt idx="2055">
                  <c:v>53626</c:v>
                </c:pt>
                <c:pt idx="2056">
                  <c:v>53633</c:v>
                </c:pt>
                <c:pt idx="2057">
                  <c:v>53640</c:v>
                </c:pt>
                <c:pt idx="2058">
                  <c:v>53647</c:v>
                </c:pt>
                <c:pt idx="2059">
                  <c:v>53654</c:v>
                </c:pt>
                <c:pt idx="2060">
                  <c:v>53661</c:v>
                </c:pt>
                <c:pt idx="2061">
                  <c:v>53668</c:v>
                </c:pt>
                <c:pt idx="2062">
                  <c:v>53675</c:v>
                </c:pt>
                <c:pt idx="2063">
                  <c:v>53682</c:v>
                </c:pt>
                <c:pt idx="2064">
                  <c:v>53692</c:v>
                </c:pt>
                <c:pt idx="2065">
                  <c:v>53699</c:v>
                </c:pt>
                <c:pt idx="2066">
                  <c:v>53706</c:v>
                </c:pt>
                <c:pt idx="2067">
                  <c:v>53713</c:v>
                </c:pt>
                <c:pt idx="2068">
                  <c:v>53720</c:v>
                </c:pt>
                <c:pt idx="2069">
                  <c:v>53727</c:v>
                </c:pt>
                <c:pt idx="2070">
                  <c:v>53734</c:v>
                </c:pt>
                <c:pt idx="2071">
                  <c:v>53741</c:v>
                </c:pt>
                <c:pt idx="2072">
                  <c:v>53748</c:v>
                </c:pt>
                <c:pt idx="2073">
                  <c:v>53755</c:v>
                </c:pt>
                <c:pt idx="2074">
                  <c:v>53762</c:v>
                </c:pt>
                <c:pt idx="2075">
                  <c:v>53769</c:v>
                </c:pt>
                <c:pt idx="2076">
                  <c:v>53776</c:v>
                </c:pt>
                <c:pt idx="2077">
                  <c:v>53783</c:v>
                </c:pt>
                <c:pt idx="2078">
                  <c:v>53790</c:v>
                </c:pt>
                <c:pt idx="2079">
                  <c:v>53799</c:v>
                </c:pt>
                <c:pt idx="2080">
                  <c:v>53804</c:v>
                </c:pt>
                <c:pt idx="2081">
                  <c:v>53811</c:v>
                </c:pt>
                <c:pt idx="2082">
                  <c:v>53818</c:v>
                </c:pt>
                <c:pt idx="2083">
                  <c:v>53825</c:v>
                </c:pt>
                <c:pt idx="2084">
                  <c:v>53832</c:v>
                </c:pt>
                <c:pt idx="2085">
                  <c:v>53839</c:v>
                </c:pt>
                <c:pt idx="2086">
                  <c:v>53846</c:v>
                </c:pt>
                <c:pt idx="2087">
                  <c:v>53853</c:v>
                </c:pt>
                <c:pt idx="2088">
                  <c:v>53860</c:v>
                </c:pt>
                <c:pt idx="2089">
                  <c:v>53867</c:v>
                </c:pt>
                <c:pt idx="2090">
                  <c:v>53874</c:v>
                </c:pt>
                <c:pt idx="2091">
                  <c:v>53881</c:v>
                </c:pt>
                <c:pt idx="2092">
                  <c:v>53888</c:v>
                </c:pt>
                <c:pt idx="2093">
                  <c:v>53895</c:v>
                </c:pt>
                <c:pt idx="2094">
                  <c:v>53902</c:v>
                </c:pt>
                <c:pt idx="2095">
                  <c:v>53909</c:v>
                </c:pt>
                <c:pt idx="2096">
                  <c:v>53916</c:v>
                </c:pt>
                <c:pt idx="2097">
                  <c:v>53923</c:v>
                </c:pt>
                <c:pt idx="2098">
                  <c:v>53930</c:v>
                </c:pt>
                <c:pt idx="2099">
                  <c:v>53937</c:v>
                </c:pt>
                <c:pt idx="2100">
                  <c:v>53944</c:v>
                </c:pt>
                <c:pt idx="2101">
                  <c:v>53951</c:v>
                </c:pt>
                <c:pt idx="2102">
                  <c:v>53958</c:v>
                </c:pt>
                <c:pt idx="2103">
                  <c:v>53965</c:v>
                </c:pt>
                <c:pt idx="2104">
                  <c:v>53972</c:v>
                </c:pt>
                <c:pt idx="2105">
                  <c:v>53979</c:v>
                </c:pt>
                <c:pt idx="2106">
                  <c:v>53986</c:v>
                </c:pt>
                <c:pt idx="2107">
                  <c:v>53993</c:v>
                </c:pt>
                <c:pt idx="2108">
                  <c:v>54000</c:v>
                </c:pt>
                <c:pt idx="2109">
                  <c:v>54007</c:v>
                </c:pt>
                <c:pt idx="2110">
                  <c:v>54014</c:v>
                </c:pt>
                <c:pt idx="2111">
                  <c:v>54021</c:v>
                </c:pt>
                <c:pt idx="2112">
                  <c:v>54028</c:v>
                </c:pt>
                <c:pt idx="2113">
                  <c:v>54035</c:v>
                </c:pt>
                <c:pt idx="2114">
                  <c:v>54042</c:v>
                </c:pt>
                <c:pt idx="2115">
                  <c:v>54049</c:v>
                </c:pt>
                <c:pt idx="2116">
                  <c:v>54057</c:v>
                </c:pt>
                <c:pt idx="2117">
                  <c:v>54064</c:v>
                </c:pt>
                <c:pt idx="2118">
                  <c:v>54071</c:v>
                </c:pt>
                <c:pt idx="2119">
                  <c:v>54078</c:v>
                </c:pt>
                <c:pt idx="2120">
                  <c:v>54085</c:v>
                </c:pt>
                <c:pt idx="2121">
                  <c:v>54092</c:v>
                </c:pt>
                <c:pt idx="2122">
                  <c:v>54099</c:v>
                </c:pt>
                <c:pt idx="2123">
                  <c:v>54106</c:v>
                </c:pt>
                <c:pt idx="2124">
                  <c:v>54113</c:v>
                </c:pt>
                <c:pt idx="2125">
                  <c:v>54120</c:v>
                </c:pt>
                <c:pt idx="2126">
                  <c:v>54127</c:v>
                </c:pt>
                <c:pt idx="2127">
                  <c:v>54134</c:v>
                </c:pt>
                <c:pt idx="2128">
                  <c:v>54141</c:v>
                </c:pt>
                <c:pt idx="2129">
                  <c:v>54148</c:v>
                </c:pt>
                <c:pt idx="2130">
                  <c:v>54157</c:v>
                </c:pt>
                <c:pt idx="2131">
                  <c:v>54164</c:v>
                </c:pt>
                <c:pt idx="2132">
                  <c:v>54171</c:v>
                </c:pt>
                <c:pt idx="2133">
                  <c:v>54178</c:v>
                </c:pt>
                <c:pt idx="2134">
                  <c:v>54185</c:v>
                </c:pt>
                <c:pt idx="2135">
                  <c:v>54192</c:v>
                </c:pt>
                <c:pt idx="2136">
                  <c:v>54199</c:v>
                </c:pt>
                <c:pt idx="2137">
                  <c:v>54206</c:v>
                </c:pt>
                <c:pt idx="2138">
                  <c:v>54213</c:v>
                </c:pt>
                <c:pt idx="2139">
                  <c:v>54220</c:v>
                </c:pt>
                <c:pt idx="2140">
                  <c:v>54227</c:v>
                </c:pt>
                <c:pt idx="2141">
                  <c:v>54234</c:v>
                </c:pt>
                <c:pt idx="2142">
                  <c:v>54241</c:v>
                </c:pt>
                <c:pt idx="2143">
                  <c:v>54248</c:v>
                </c:pt>
                <c:pt idx="2144">
                  <c:v>54255</c:v>
                </c:pt>
                <c:pt idx="2145">
                  <c:v>54262</c:v>
                </c:pt>
                <c:pt idx="2146">
                  <c:v>54269</c:v>
                </c:pt>
                <c:pt idx="2147">
                  <c:v>54276</c:v>
                </c:pt>
                <c:pt idx="2148">
                  <c:v>54283</c:v>
                </c:pt>
                <c:pt idx="2149">
                  <c:v>54290</c:v>
                </c:pt>
                <c:pt idx="2150">
                  <c:v>54297</c:v>
                </c:pt>
                <c:pt idx="2151">
                  <c:v>54304</c:v>
                </c:pt>
                <c:pt idx="2152">
                  <c:v>54311</c:v>
                </c:pt>
                <c:pt idx="2153">
                  <c:v>54318</c:v>
                </c:pt>
                <c:pt idx="2154">
                  <c:v>54325</c:v>
                </c:pt>
                <c:pt idx="2155">
                  <c:v>54332</c:v>
                </c:pt>
                <c:pt idx="2156">
                  <c:v>54339</c:v>
                </c:pt>
                <c:pt idx="2157">
                  <c:v>54346</c:v>
                </c:pt>
                <c:pt idx="2158">
                  <c:v>54353</c:v>
                </c:pt>
                <c:pt idx="2159">
                  <c:v>54360</c:v>
                </c:pt>
                <c:pt idx="2160">
                  <c:v>54367</c:v>
                </c:pt>
                <c:pt idx="2161">
                  <c:v>54374</c:v>
                </c:pt>
                <c:pt idx="2162">
                  <c:v>54381</c:v>
                </c:pt>
                <c:pt idx="2163">
                  <c:v>54388</c:v>
                </c:pt>
                <c:pt idx="2164">
                  <c:v>54395</c:v>
                </c:pt>
                <c:pt idx="2165">
                  <c:v>54402</c:v>
                </c:pt>
                <c:pt idx="2166">
                  <c:v>54409</c:v>
                </c:pt>
                <c:pt idx="2167">
                  <c:v>54416</c:v>
                </c:pt>
                <c:pt idx="2168">
                  <c:v>54423</c:v>
                </c:pt>
                <c:pt idx="2169">
                  <c:v>54430</c:v>
                </c:pt>
                <c:pt idx="2170">
                  <c:v>54437</c:v>
                </c:pt>
                <c:pt idx="2171">
                  <c:v>54444</c:v>
                </c:pt>
                <c:pt idx="2172">
                  <c:v>54451</c:v>
                </c:pt>
                <c:pt idx="2173">
                  <c:v>54458</c:v>
                </c:pt>
                <c:pt idx="2174">
                  <c:v>54465</c:v>
                </c:pt>
                <c:pt idx="2175">
                  <c:v>54472</c:v>
                </c:pt>
                <c:pt idx="2176">
                  <c:v>54479</c:v>
                </c:pt>
                <c:pt idx="2177">
                  <c:v>54486</c:v>
                </c:pt>
                <c:pt idx="2178">
                  <c:v>54493</c:v>
                </c:pt>
                <c:pt idx="2179">
                  <c:v>54500</c:v>
                </c:pt>
                <c:pt idx="2180">
                  <c:v>54507</c:v>
                </c:pt>
                <c:pt idx="2181">
                  <c:v>54514</c:v>
                </c:pt>
                <c:pt idx="2182">
                  <c:v>54521</c:v>
                </c:pt>
                <c:pt idx="2183">
                  <c:v>54528</c:v>
                </c:pt>
                <c:pt idx="2184">
                  <c:v>54535</c:v>
                </c:pt>
                <c:pt idx="2185">
                  <c:v>54542</c:v>
                </c:pt>
                <c:pt idx="2186">
                  <c:v>54549</c:v>
                </c:pt>
                <c:pt idx="2187">
                  <c:v>54556</c:v>
                </c:pt>
                <c:pt idx="2188">
                  <c:v>54563</c:v>
                </c:pt>
                <c:pt idx="2189">
                  <c:v>54570</c:v>
                </c:pt>
                <c:pt idx="2190">
                  <c:v>54577</c:v>
                </c:pt>
                <c:pt idx="2191">
                  <c:v>54584</c:v>
                </c:pt>
                <c:pt idx="2192">
                  <c:v>54591</c:v>
                </c:pt>
                <c:pt idx="2193">
                  <c:v>54598</c:v>
                </c:pt>
                <c:pt idx="2194">
                  <c:v>54605</c:v>
                </c:pt>
                <c:pt idx="2195">
                  <c:v>54612</c:v>
                </c:pt>
                <c:pt idx="2196">
                  <c:v>54619</c:v>
                </c:pt>
                <c:pt idx="2197">
                  <c:v>54626</c:v>
                </c:pt>
                <c:pt idx="2198">
                  <c:v>54633</c:v>
                </c:pt>
                <c:pt idx="2199">
                  <c:v>54640</c:v>
                </c:pt>
                <c:pt idx="2200">
                  <c:v>54647</c:v>
                </c:pt>
                <c:pt idx="2201">
                  <c:v>54654</c:v>
                </c:pt>
                <c:pt idx="2202">
                  <c:v>54661</c:v>
                </c:pt>
                <c:pt idx="2203">
                  <c:v>54668</c:v>
                </c:pt>
                <c:pt idx="2204">
                  <c:v>54675</c:v>
                </c:pt>
                <c:pt idx="2205">
                  <c:v>54682</c:v>
                </c:pt>
                <c:pt idx="2206">
                  <c:v>54689</c:v>
                </c:pt>
                <c:pt idx="2207">
                  <c:v>54696</c:v>
                </c:pt>
                <c:pt idx="2208">
                  <c:v>54703</c:v>
                </c:pt>
                <c:pt idx="2209">
                  <c:v>54710</c:v>
                </c:pt>
                <c:pt idx="2210">
                  <c:v>54717</c:v>
                </c:pt>
                <c:pt idx="2211">
                  <c:v>54724</c:v>
                </c:pt>
                <c:pt idx="2212">
                  <c:v>54731</c:v>
                </c:pt>
                <c:pt idx="2213">
                  <c:v>54738</c:v>
                </c:pt>
                <c:pt idx="2214">
                  <c:v>54745</c:v>
                </c:pt>
                <c:pt idx="2215">
                  <c:v>54752</c:v>
                </c:pt>
                <c:pt idx="2216">
                  <c:v>54759</c:v>
                </c:pt>
                <c:pt idx="2217">
                  <c:v>54766</c:v>
                </c:pt>
                <c:pt idx="2218">
                  <c:v>54773</c:v>
                </c:pt>
                <c:pt idx="2219">
                  <c:v>54780</c:v>
                </c:pt>
                <c:pt idx="2220">
                  <c:v>54787</c:v>
                </c:pt>
                <c:pt idx="2221">
                  <c:v>54794</c:v>
                </c:pt>
                <c:pt idx="2222">
                  <c:v>54801</c:v>
                </c:pt>
                <c:pt idx="2223">
                  <c:v>54808</c:v>
                </c:pt>
                <c:pt idx="2224">
                  <c:v>54815</c:v>
                </c:pt>
                <c:pt idx="2225">
                  <c:v>54822</c:v>
                </c:pt>
                <c:pt idx="2226">
                  <c:v>54829</c:v>
                </c:pt>
                <c:pt idx="2227">
                  <c:v>54836</c:v>
                </c:pt>
                <c:pt idx="2228">
                  <c:v>54843</c:v>
                </c:pt>
                <c:pt idx="2229">
                  <c:v>54850</c:v>
                </c:pt>
                <c:pt idx="2230">
                  <c:v>54857</c:v>
                </c:pt>
                <c:pt idx="2231">
                  <c:v>54864</c:v>
                </c:pt>
                <c:pt idx="2232">
                  <c:v>54871</c:v>
                </c:pt>
                <c:pt idx="2233">
                  <c:v>54878</c:v>
                </c:pt>
                <c:pt idx="2234">
                  <c:v>54885</c:v>
                </c:pt>
                <c:pt idx="2235">
                  <c:v>54892</c:v>
                </c:pt>
                <c:pt idx="2236">
                  <c:v>54899</c:v>
                </c:pt>
                <c:pt idx="2237">
                  <c:v>54906</c:v>
                </c:pt>
                <c:pt idx="2238">
                  <c:v>54913</c:v>
                </c:pt>
                <c:pt idx="2239">
                  <c:v>54920</c:v>
                </c:pt>
                <c:pt idx="2240">
                  <c:v>54927</c:v>
                </c:pt>
                <c:pt idx="2241">
                  <c:v>54934</c:v>
                </c:pt>
                <c:pt idx="2242">
                  <c:v>54941</c:v>
                </c:pt>
                <c:pt idx="2243">
                  <c:v>54948</c:v>
                </c:pt>
                <c:pt idx="2244">
                  <c:v>54955</c:v>
                </c:pt>
                <c:pt idx="2245">
                  <c:v>54962</c:v>
                </c:pt>
                <c:pt idx="2246">
                  <c:v>54969</c:v>
                </c:pt>
                <c:pt idx="2247">
                  <c:v>54976</c:v>
                </c:pt>
                <c:pt idx="2248">
                  <c:v>54983</c:v>
                </c:pt>
                <c:pt idx="2249">
                  <c:v>54990</c:v>
                </c:pt>
                <c:pt idx="2250">
                  <c:v>54997</c:v>
                </c:pt>
                <c:pt idx="2251">
                  <c:v>55004</c:v>
                </c:pt>
                <c:pt idx="2252">
                  <c:v>55011</c:v>
                </c:pt>
                <c:pt idx="2253">
                  <c:v>55018</c:v>
                </c:pt>
                <c:pt idx="2254">
                  <c:v>55025</c:v>
                </c:pt>
                <c:pt idx="2255">
                  <c:v>55032</c:v>
                </c:pt>
                <c:pt idx="2256">
                  <c:v>55039</c:v>
                </c:pt>
                <c:pt idx="2257">
                  <c:v>55046</c:v>
                </c:pt>
                <c:pt idx="2258">
                  <c:v>55053</c:v>
                </c:pt>
                <c:pt idx="2259">
                  <c:v>55060</c:v>
                </c:pt>
                <c:pt idx="2260">
                  <c:v>55067</c:v>
                </c:pt>
                <c:pt idx="2261">
                  <c:v>55074</c:v>
                </c:pt>
                <c:pt idx="2262">
                  <c:v>55081</c:v>
                </c:pt>
                <c:pt idx="2263">
                  <c:v>55088</c:v>
                </c:pt>
                <c:pt idx="2264">
                  <c:v>55095</c:v>
                </c:pt>
                <c:pt idx="2265">
                  <c:v>55102</c:v>
                </c:pt>
                <c:pt idx="2266">
                  <c:v>55109</c:v>
                </c:pt>
                <c:pt idx="2267">
                  <c:v>55116</c:v>
                </c:pt>
                <c:pt idx="2268">
                  <c:v>55123</c:v>
                </c:pt>
                <c:pt idx="2269">
                  <c:v>55130</c:v>
                </c:pt>
                <c:pt idx="2270">
                  <c:v>55137</c:v>
                </c:pt>
                <c:pt idx="2271">
                  <c:v>55144</c:v>
                </c:pt>
                <c:pt idx="2272">
                  <c:v>55151</c:v>
                </c:pt>
                <c:pt idx="2273">
                  <c:v>55158</c:v>
                </c:pt>
                <c:pt idx="2274">
                  <c:v>55165</c:v>
                </c:pt>
                <c:pt idx="2275">
                  <c:v>55172</c:v>
                </c:pt>
                <c:pt idx="2276">
                  <c:v>55179</c:v>
                </c:pt>
                <c:pt idx="2277">
                  <c:v>55186</c:v>
                </c:pt>
                <c:pt idx="2278">
                  <c:v>55193</c:v>
                </c:pt>
                <c:pt idx="2279">
                  <c:v>55200</c:v>
                </c:pt>
                <c:pt idx="2280">
                  <c:v>55207</c:v>
                </c:pt>
                <c:pt idx="2281">
                  <c:v>55214</c:v>
                </c:pt>
                <c:pt idx="2282">
                  <c:v>55221</c:v>
                </c:pt>
                <c:pt idx="2283">
                  <c:v>55228</c:v>
                </c:pt>
                <c:pt idx="2284">
                  <c:v>55235</c:v>
                </c:pt>
                <c:pt idx="2285">
                  <c:v>55242</c:v>
                </c:pt>
                <c:pt idx="2286">
                  <c:v>55249</c:v>
                </c:pt>
                <c:pt idx="2287">
                  <c:v>55256</c:v>
                </c:pt>
                <c:pt idx="2288">
                  <c:v>55263</c:v>
                </c:pt>
                <c:pt idx="2289">
                  <c:v>55270</c:v>
                </c:pt>
                <c:pt idx="2290">
                  <c:v>55277</c:v>
                </c:pt>
                <c:pt idx="2291">
                  <c:v>55284</c:v>
                </c:pt>
                <c:pt idx="2292">
                  <c:v>55291</c:v>
                </c:pt>
                <c:pt idx="2293">
                  <c:v>55298</c:v>
                </c:pt>
                <c:pt idx="2294">
                  <c:v>55305</c:v>
                </c:pt>
                <c:pt idx="2295">
                  <c:v>55312</c:v>
                </c:pt>
                <c:pt idx="2296">
                  <c:v>55319</c:v>
                </c:pt>
                <c:pt idx="2297">
                  <c:v>55326</c:v>
                </c:pt>
                <c:pt idx="2298">
                  <c:v>55333</c:v>
                </c:pt>
                <c:pt idx="2299">
                  <c:v>55340</c:v>
                </c:pt>
                <c:pt idx="2300">
                  <c:v>55347</c:v>
                </c:pt>
                <c:pt idx="2301">
                  <c:v>55354</c:v>
                </c:pt>
                <c:pt idx="2302">
                  <c:v>55361</c:v>
                </c:pt>
                <c:pt idx="2303">
                  <c:v>55368</c:v>
                </c:pt>
                <c:pt idx="2304">
                  <c:v>55375</c:v>
                </c:pt>
                <c:pt idx="2305">
                  <c:v>55382</c:v>
                </c:pt>
                <c:pt idx="2306">
                  <c:v>55389</c:v>
                </c:pt>
                <c:pt idx="2307">
                  <c:v>55396</c:v>
                </c:pt>
                <c:pt idx="2308">
                  <c:v>55403</c:v>
                </c:pt>
                <c:pt idx="2309">
                  <c:v>55410</c:v>
                </c:pt>
                <c:pt idx="2310">
                  <c:v>55417</c:v>
                </c:pt>
                <c:pt idx="2311">
                  <c:v>55424</c:v>
                </c:pt>
                <c:pt idx="2312">
                  <c:v>55431</c:v>
                </c:pt>
                <c:pt idx="2313">
                  <c:v>55438</c:v>
                </c:pt>
                <c:pt idx="2314">
                  <c:v>55445</c:v>
                </c:pt>
                <c:pt idx="2315">
                  <c:v>55452</c:v>
                </c:pt>
                <c:pt idx="2316">
                  <c:v>55459</c:v>
                </c:pt>
                <c:pt idx="2317">
                  <c:v>55466</c:v>
                </c:pt>
                <c:pt idx="2318">
                  <c:v>55473</c:v>
                </c:pt>
                <c:pt idx="2319">
                  <c:v>55480</c:v>
                </c:pt>
                <c:pt idx="2320">
                  <c:v>55487</c:v>
                </c:pt>
                <c:pt idx="2321">
                  <c:v>55494</c:v>
                </c:pt>
                <c:pt idx="2322">
                  <c:v>55501</c:v>
                </c:pt>
                <c:pt idx="2323">
                  <c:v>55508</c:v>
                </c:pt>
                <c:pt idx="2324">
                  <c:v>55516</c:v>
                </c:pt>
                <c:pt idx="2325">
                  <c:v>55523</c:v>
                </c:pt>
                <c:pt idx="2326">
                  <c:v>55530</c:v>
                </c:pt>
                <c:pt idx="2327">
                  <c:v>55537</c:v>
                </c:pt>
                <c:pt idx="2328">
                  <c:v>55544</c:v>
                </c:pt>
                <c:pt idx="2329">
                  <c:v>55551</c:v>
                </c:pt>
                <c:pt idx="2330">
                  <c:v>55558</c:v>
                </c:pt>
                <c:pt idx="2331">
                  <c:v>55565</c:v>
                </c:pt>
                <c:pt idx="2332">
                  <c:v>55572</c:v>
                </c:pt>
                <c:pt idx="2333">
                  <c:v>55579</c:v>
                </c:pt>
                <c:pt idx="2334">
                  <c:v>55586</c:v>
                </c:pt>
                <c:pt idx="2335">
                  <c:v>55593</c:v>
                </c:pt>
                <c:pt idx="2336">
                  <c:v>55600</c:v>
                </c:pt>
                <c:pt idx="2337">
                  <c:v>55607</c:v>
                </c:pt>
                <c:pt idx="2338">
                  <c:v>55614</c:v>
                </c:pt>
                <c:pt idx="2339">
                  <c:v>55621</c:v>
                </c:pt>
                <c:pt idx="2340">
                  <c:v>55632</c:v>
                </c:pt>
                <c:pt idx="2341">
                  <c:v>55635</c:v>
                </c:pt>
                <c:pt idx="2342">
                  <c:v>55645</c:v>
                </c:pt>
                <c:pt idx="2343">
                  <c:v>55652</c:v>
                </c:pt>
                <c:pt idx="2344">
                  <c:v>55659</c:v>
                </c:pt>
                <c:pt idx="2345">
                  <c:v>55666</c:v>
                </c:pt>
                <c:pt idx="2346">
                  <c:v>55673</c:v>
                </c:pt>
                <c:pt idx="2347">
                  <c:v>55680</c:v>
                </c:pt>
                <c:pt idx="2348">
                  <c:v>55687</c:v>
                </c:pt>
                <c:pt idx="2349">
                  <c:v>55694</c:v>
                </c:pt>
                <c:pt idx="2350">
                  <c:v>55701</c:v>
                </c:pt>
                <c:pt idx="2351">
                  <c:v>55708</c:v>
                </c:pt>
                <c:pt idx="2352">
                  <c:v>55715</c:v>
                </c:pt>
                <c:pt idx="2353">
                  <c:v>55722</c:v>
                </c:pt>
                <c:pt idx="2354">
                  <c:v>55729</c:v>
                </c:pt>
                <c:pt idx="2355">
                  <c:v>55736</c:v>
                </c:pt>
                <c:pt idx="2356">
                  <c:v>55743</c:v>
                </c:pt>
                <c:pt idx="2357">
                  <c:v>55750</c:v>
                </c:pt>
                <c:pt idx="2358">
                  <c:v>55757</c:v>
                </c:pt>
                <c:pt idx="2359">
                  <c:v>55764</c:v>
                </c:pt>
                <c:pt idx="2360">
                  <c:v>55771</c:v>
                </c:pt>
                <c:pt idx="2361">
                  <c:v>55778</c:v>
                </c:pt>
                <c:pt idx="2362">
                  <c:v>55785</c:v>
                </c:pt>
                <c:pt idx="2363">
                  <c:v>55792</c:v>
                </c:pt>
                <c:pt idx="2364">
                  <c:v>55799</c:v>
                </c:pt>
                <c:pt idx="2365">
                  <c:v>55806</c:v>
                </c:pt>
                <c:pt idx="2366">
                  <c:v>55813</c:v>
                </c:pt>
                <c:pt idx="2367">
                  <c:v>55820</c:v>
                </c:pt>
                <c:pt idx="2368">
                  <c:v>55827</c:v>
                </c:pt>
                <c:pt idx="2369">
                  <c:v>55834</c:v>
                </c:pt>
                <c:pt idx="2370">
                  <c:v>55841</c:v>
                </c:pt>
                <c:pt idx="2371">
                  <c:v>55848</c:v>
                </c:pt>
                <c:pt idx="2372">
                  <c:v>55855</c:v>
                </c:pt>
                <c:pt idx="2373">
                  <c:v>55862</c:v>
                </c:pt>
                <c:pt idx="2374">
                  <c:v>55869</c:v>
                </c:pt>
                <c:pt idx="2375">
                  <c:v>55876</c:v>
                </c:pt>
                <c:pt idx="2376">
                  <c:v>55884</c:v>
                </c:pt>
                <c:pt idx="2377">
                  <c:v>55891</c:v>
                </c:pt>
                <c:pt idx="2378">
                  <c:v>55898</c:v>
                </c:pt>
                <c:pt idx="2379">
                  <c:v>55905</c:v>
                </c:pt>
                <c:pt idx="2380">
                  <c:v>55912</c:v>
                </c:pt>
                <c:pt idx="2381">
                  <c:v>55919</c:v>
                </c:pt>
                <c:pt idx="2382">
                  <c:v>55926</c:v>
                </c:pt>
                <c:pt idx="2383">
                  <c:v>55933</c:v>
                </c:pt>
                <c:pt idx="2384">
                  <c:v>55940</c:v>
                </c:pt>
                <c:pt idx="2385">
                  <c:v>55947</c:v>
                </c:pt>
                <c:pt idx="2386">
                  <c:v>55954</c:v>
                </c:pt>
                <c:pt idx="2387">
                  <c:v>55961</c:v>
                </c:pt>
                <c:pt idx="2388">
                  <c:v>55968</c:v>
                </c:pt>
                <c:pt idx="2389">
                  <c:v>55975</c:v>
                </c:pt>
                <c:pt idx="2390">
                  <c:v>55984</c:v>
                </c:pt>
                <c:pt idx="2391">
                  <c:v>55991</c:v>
                </c:pt>
                <c:pt idx="2392">
                  <c:v>55998</c:v>
                </c:pt>
                <c:pt idx="2393">
                  <c:v>56006</c:v>
                </c:pt>
                <c:pt idx="2394">
                  <c:v>56012</c:v>
                </c:pt>
                <c:pt idx="2395">
                  <c:v>56019</c:v>
                </c:pt>
                <c:pt idx="2396">
                  <c:v>56026</c:v>
                </c:pt>
                <c:pt idx="2397">
                  <c:v>56033</c:v>
                </c:pt>
                <c:pt idx="2398">
                  <c:v>56040</c:v>
                </c:pt>
                <c:pt idx="2399">
                  <c:v>56047</c:v>
                </c:pt>
                <c:pt idx="2400">
                  <c:v>56054</c:v>
                </c:pt>
                <c:pt idx="2401">
                  <c:v>56061</c:v>
                </c:pt>
                <c:pt idx="2402">
                  <c:v>56068</c:v>
                </c:pt>
                <c:pt idx="2403">
                  <c:v>56075</c:v>
                </c:pt>
                <c:pt idx="2404">
                  <c:v>56082</c:v>
                </c:pt>
                <c:pt idx="2405">
                  <c:v>56089</c:v>
                </c:pt>
                <c:pt idx="2406">
                  <c:v>56096</c:v>
                </c:pt>
                <c:pt idx="2407">
                  <c:v>56103</c:v>
                </c:pt>
                <c:pt idx="2408">
                  <c:v>56110</c:v>
                </c:pt>
                <c:pt idx="2409">
                  <c:v>56117</c:v>
                </c:pt>
                <c:pt idx="2410">
                  <c:v>56124</c:v>
                </c:pt>
                <c:pt idx="2411">
                  <c:v>56131</c:v>
                </c:pt>
                <c:pt idx="2412">
                  <c:v>56138</c:v>
                </c:pt>
                <c:pt idx="2413">
                  <c:v>56145</c:v>
                </c:pt>
                <c:pt idx="2414">
                  <c:v>56152</c:v>
                </c:pt>
                <c:pt idx="2415">
                  <c:v>56159</c:v>
                </c:pt>
                <c:pt idx="2416">
                  <c:v>56166</c:v>
                </c:pt>
                <c:pt idx="2417">
                  <c:v>56173</c:v>
                </c:pt>
                <c:pt idx="2418">
                  <c:v>56180</c:v>
                </c:pt>
                <c:pt idx="2419">
                  <c:v>56187</c:v>
                </c:pt>
                <c:pt idx="2420">
                  <c:v>56194</c:v>
                </c:pt>
                <c:pt idx="2421">
                  <c:v>56201</c:v>
                </c:pt>
                <c:pt idx="2422">
                  <c:v>56208</c:v>
                </c:pt>
                <c:pt idx="2423">
                  <c:v>56215</c:v>
                </c:pt>
                <c:pt idx="2424">
                  <c:v>56222</c:v>
                </c:pt>
                <c:pt idx="2425">
                  <c:v>56229</c:v>
                </c:pt>
                <c:pt idx="2426">
                  <c:v>56236</c:v>
                </c:pt>
                <c:pt idx="2427">
                  <c:v>56247</c:v>
                </c:pt>
                <c:pt idx="2428">
                  <c:v>56251</c:v>
                </c:pt>
                <c:pt idx="2429">
                  <c:v>56257</c:v>
                </c:pt>
                <c:pt idx="2430">
                  <c:v>56264</c:v>
                </c:pt>
                <c:pt idx="2431">
                  <c:v>56271</c:v>
                </c:pt>
                <c:pt idx="2432">
                  <c:v>56278</c:v>
                </c:pt>
                <c:pt idx="2433">
                  <c:v>56285</c:v>
                </c:pt>
                <c:pt idx="2434">
                  <c:v>56292</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56369</c:v>
                </c:pt>
                <c:pt idx="2446">
                  <c:v>56376</c:v>
                </c:pt>
                <c:pt idx="2447">
                  <c:v>56383</c:v>
                </c:pt>
                <c:pt idx="2448">
                  <c:v>56390</c:v>
                </c:pt>
                <c:pt idx="2449">
                  <c:v>56397</c:v>
                </c:pt>
                <c:pt idx="2450">
                  <c:v>56404</c:v>
                </c:pt>
                <c:pt idx="2451">
                  <c:v>56411</c:v>
                </c:pt>
                <c:pt idx="2452">
                  <c:v>56418</c:v>
                </c:pt>
                <c:pt idx="2453">
                  <c:v>56425</c:v>
                </c:pt>
                <c:pt idx="2454">
                  <c:v>56432</c:v>
                </c:pt>
                <c:pt idx="2455">
                  <c:v>56439</c:v>
                </c:pt>
                <c:pt idx="2456">
                  <c:v>56446</c:v>
                </c:pt>
                <c:pt idx="2457">
                  <c:v>56453</c:v>
                </c:pt>
                <c:pt idx="2458">
                  <c:v>56460</c:v>
                </c:pt>
                <c:pt idx="2459">
                  <c:v>56467</c:v>
                </c:pt>
                <c:pt idx="2460">
                  <c:v>56474</c:v>
                </c:pt>
                <c:pt idx="2461">
                  <c:v>56481</c:v>
                </c:pt>
                <c:pt idx="2462">
                  <c:v>56488</c:v>
                </c:pt>
                <c:pt idx="2463">
                  <c:v>56495</c:v>
                </c:pt>
                <c:pt idx="2464">
                  <c:v>56502</c:v>
                </c:pt>
                <c:pt idx="2465">
                  <c:v>56509</c:v>
                </c:pt>
                <c:pt idx="2466">
                  <c:v>56516</c:v>
                </c:pt>
                <c:pt idx="2467">
                  <c:v>56523</c:v>
                </c:pt>
                <c:pt idx="2468">
                  <c:v>56530</c:v>
                </c:pt>
                <c:pt idx="2469">
                  <c:v>56537</c:v>
                </c:pt>
                <c:pt idx="2470">
                  <c:v>56544</c:v>
                </c:pt>
                <c:pt idx="2471">
                  <c:v>56551</c:v>
                </c:pt>
                <c:pt idx="2472">
                  <c:v>56558</c:v>
                </c:pt>
                <c:pt idx="2473">
                  <c:v>56565</c:v>
                </c:pt>
                <c:pt idx="2474">
                  <c:v>56572</c:v>
                </c:pt>
                <c:pt idx="2475">
                  <c:v>56579</c:v>
                </c:pt>
                <c:pt idx="2476">
                  <c:v>56586</c:v>
                </c:pt>
                <c:pt idx="2477">
                  <c:v>56593</c:v>
                </c:pt>
                <c:pt idx="2478">
                  <c:v>56600</c:v>
                </c:pt>
                <c:pt idx="2479">
                  <c:v>56607</c:v>
                </c:pt>
                <c:pt idx="2480">
                  <c:v>56614</c:v>
                </c:pt>
                <c:pt idx="2481">
                  <c:v>56621</c:v>
                </c:pt>
                <c:pt idx="2482">
                  <c:v>56628</c:v>
                </c:pt>
                <c:pt idx="2483">
                  <c:v>56635</c:v>
                </c:pt>
                <c:pt idx="2484">
                  <c:v>56642</c:v>
                </c:pt>
                <c:pt idx="2485">
                  <c:v>56649</c:v>
                </c:pt>
                <c:pt idx="2486">
                  <c:v>56656</c:v>
                </c:pt>
                <c:pt idx="2487">
                  <c:v>56663</c:v>
                </c:pt>
                <c:pt idx="2488">
                  <c:v>56670</c:v>
                </c:pt>
                <c:pt idx="2489">
                  <c:v>56677</c:v>
                </c:pt>
                <c:pt idx="2490">
                  <c:v>56684</c:v>
                </c:pt>
                <c:pt idx="2491">
                  <c:v>56691</c:v>
                </c:pt>
                <c:pt idx="2492">
                  <c:v>56698</c:v>
                </c:pt>
                <c:pt idx="2493">
                  <c:v>56705</c:v>
                </c:pt>
                <c:pt idx="2494">
                  <c:v>56712</c:v>
                </c:pt>
                <c:pt idx="2495">
                  <c:v>56719</c:v>
                </c:pt>
                <c:pt idx="2496">
                  <c:v>56726</c:v>
                </c:pt>
                <c:pt idx="2497">
                  <c:v>56733</c:v>
                </c:pt>
                <c:pt idx="2498">
                  <c:v>56740</c:v>
                </c:pt>
                <c:pt idx="2499">
                  <c:v>56747</c:v>
                </c:pt>
                <c:pt idx="2500">
                  <c:v>56754</c:v>
                </c:pt>
                <c:pt idx="2501">
                  <c:v>56761</c:v>
                </c:pt>
                <c:pt idx="2502">
                  <c:v>56768</c:v>
                </c:pt>
                <c:pt idx="2503">
                  <c:v>56775</c:v>
                </c:pt>
                <c:pt idx="2504">
                  <c:v>56782</c:v>
                </c:pt>
                <c:pt idx="2505">
                  <c:v>56789</c:v>
                </c:pt>
                <c:pt idx="2506">
                  <c:v>56796</c:v>
                </c:pt>
                <c:pt idx="2507">
                  <c:v>56803</c:v>
                </c:pt>
                <c:pt idx="2508">
                  <c:v>56810</c:v>
                </c:pt>
                <c:pt idx="2509">
                  <c:v>56817</c:v>
                </c:pt>
                <c:pt idx="2510">
                  <c:v>56824</c:v>
                </c:pt>
                <c:pt idx="2511">
                  <c:v>56831</c:v>
                </c:pt>
                <c:pt idx="2512">
                  <c:v>56838</c:v>
                </c:pt>
                <c:pt idx="2513">
                  <c:v>56845</c:v>
                </c:pt>
                <c:pt idx="2514">
                  <c:v>56852</c:v>
                </c:pt>
                <c:pt idx="2515">
                  <c:v>56859</c:v>
                </c:pt>
                <c:pt idx="2516">
                  <c:v>56866</c:v>
                </c:pt>
                <c:pt idx="2517">
                  <c:v>56873</c:v>
                </c:pt>
                <c:pt idx="2518">
                  <c:v>56880</c:v>
                </c:pt>
                <c:pt idx="2519">
                  <c:v>56887</c:v>
                </c:pt>
                <c:pt idx="2520">
                  <c:v>56894</c:v>
                </c:pt>
                <c:pt idx="2521">
                  <c:v>56901</c:v>
                </c:pt>
                <c:pt idx="2522">
                  <c:v>56908</c:v>
                </c:pt>
                <c:pt idx="2523">
                  <c:v>56915</c:v>
                </c:pt>
                <c:pt idx="2524">
                  <c:v>56922</c:v>
                </c:pt>
                <c:pt idx="2525">
                  <c:v>56929</c:v>
                </c:pt>
                <c:pt idx="2526">
                  <c:v>56936</c:v>
                </c:pt>
                <c:pt idx="2527">
                  <c:v>56943</c:v>
                </c:pt>
                <c:pt idx="2528">
                  <c:v>56950</c:v>
                </c:pt>
                <c:pt idx="2529">
                  <c:v>56957</c:v>
                </c:pt>
                <c:pt idx="2530">
                  <c:v>56964</c:v>
                </c:pt>
                <c:pt idx="2531">
                  <c:v>56971</c:v>
                </c:pt>
                <c:pt idx="2532">
                  <c:v>56978</c:v>
                </c:pt>
                <c:pt idx="2533">
                  <c:v>56985</c:v>
                </c:pt>
                <c:pt idx="2534">
                  <c:v>56992</c:v>
                </c:pt>
                <c:pt idx="2535">
                  <c:v>56999</c:v>
                </c:pt>
                <c:pt idx="2536">
                  <c:v>57006</c:v>
                </c:pt>
                <c:pt idx="2537">
                  <c:v>57013</c:v>
                </c:pt>
                <c:pt idx="2538">
                  <c:v>57020</c:v>
                </c:pt>
                <c:pt idx="2539">
                  <c:v>57027</c:v>
                </c:pt>
                <c:pt idx="2540">
                  <c:v>57034</c:v>
                </c:pt>
                <c:pt idx="2541">
                  <c:v>57041</c:v>
                </c:pt>
                <c:pt idx="2542">
                  <c:v>57048</c:v>
                </c:pt>
                <c:pt idx="2543">
                  <c:v>57055</c:v>
                </c:pt>
                <c:pt idx="2544">
                  <c:v>57062</c:v>
                </c:pt>
                <c:pt idx="2545">
                  <c:v>57069</c:v>
                </c:pt>
                <c:pt idx="2546">
                  <c:v>57076</c:v>
                </c:pt>
                <c:pt idx="2547">
                  <c:v>57083</c:v>
                </c:pt>
                <c:pt idx="2548">
                  <c:v>57090</c:v>
                </c:pt>
                <c:pt idx="2549">
                  <c:v>57097</c:v>
                </c:pt>
                <c:pt idx="2550">
                  <c:v>57104</c:v>
                </c:pt>
                <c:pt idx="2551">
                  <c:v>57111</c:v>
                </c:pt>
                <c:pt idx="2552">
                  <c:v>57118</c:v>
                </c:pt>
                <c:pt idx="2553">
                  <c:v>57125</c:v>
                </c:pt>
                <c:pt idx="2554">
                  <c:v>57132</c:v>
                </c:pt>
                <c:pt idx="2555">
                  <c:v>57139</c:v>
                </c:pt>
                <c:pt idx="2556">
                  <c:v>57146</c:v>
                </c:pt>
                <c:pt idx="2557">
                  <c:v>57153</c:v>
                </c:pt>
                <c:pt idx="2558">
                  <c:v>57160</c:v>
                </c:pt>
                <c:pt idx="2559">
                  <c:v>57167</c:v>
                </c:pt>
                <c:pt idx="2560">
                  <c:v>57174</c:v>
                </c:pt>
                <c:pt idx="2561">
                  <c:v>57181</c:v>
                </c:pt>
                <c:pt idx="2562">
                  <c:v>57188</c:v>
                </c:pt>
                <c:pt idx="2563">
                  <c:v>57195</c:v>
                </c:pt>
                <c:pt idx="2564">
                  <c:v>57202</c:v>
                </c:pt>
                <c:pt idx="2565">
                  <c:v>57209</c:v>
                </c:pt>
                <c:pt idx="2566">
                  <c:v>57216</c:v>
                </c:pt>
                <c:pt idx="2567">
                  <c:v>57223</c:v>
                </c:pt>
                <c:pt idx="2568">
                  <c:v>57230</c:v>
                </c:pt>
                <c:pt idx="2569">
                  <c:v>57237</c:v>
                </c:pt>
                <c:pt idx="2570">
                  <c:v>57244</c:v>
                </c:pt>
                <c:pt idx="2571">
                  <c:v>57251</c:v>
                </c:pt>
                <c:pt idx="2572">
                  <c:v>57258</c:v>
                </c:pt>
                <c:pt idx="2573">
                  <c:v>57265</c:v>
                </c:pt>
                <c:pt idx="2574">
                  <c:v>57272</c:v>
                </c:pt>
                <c:pt idx="2575">
                  <c:v>57279</c:v>
                </c:pt>
                <c:pt idx="2576">
                  <c:v>57286</c:v>
                </c:pt>
                <c:pt idx="2577">
                  <c:v>57293</c:v>
                </c:pt>
                <c:pt idx="2578">
                  <c:v>57300</c:v>
                </c:pt>
                <c:pt idx="2579">
                  <c:v>57307</c:v>
                </c:pt>
                <c:pt idx="2580">
                  <c:v>57314</c:v>
                </c:pt>
                <c:pt idx="2581">
                  <c:v>57321</c:v>
                </c:pt>
                <c:pt idx="2582">
                  <c:v>57328</c:v>
                </c:pt>
                <c:pt idx="2583">
                  <c:v>57335</c:v>
                </c:pt>
                <c:pt idx="2584">
                  <c:v>57343</c:v>
                </c:pt>
                <c:pt idx="2585">
                  <c:v>57350</c:v>
                </c:pt>
                <c:pt idx="2586">
                  <c:v>57357</c:v>
                </c:pt>
                <c:pt idx="2587">
                  <c:v>57364</c:v>
                </c:pt>
                <c:pt idx="2588">
                  <c:v>57371</c:v>
                </c:pt>
                <c:pt idx="2589">
                  <c:v>57378</c:v>
                </c:pt>
                <c:pt idx="2590">
                  <c:v>57385</c:v>
                </c:pt>
                <c:pt idx="2591">
                  <c:v>57392</c:v>
                </c:pt>
                <c:pt idx="2592">
                  <c:v>57399</c:v>
                </c:pt>
                <c:pt idx="2593">
                  <c:v>57406</c:v>
                </c:pt>
                <c:pt idx="2594">
                  <c:v>57413</c:v>
                </c:pt>
                <c:pt idx="2595">
                  <c:v>57420</c:v>
                </c:pt>
                <c:pt idx="2596">
                  <c:v>57427</c:v>
                </c:pt>
                <c:pt idx="2597">
                  <c:v>57434</c:v>
                </c:pt>
                <c:pt idx="2598">
                  <c:v>57441</c:v>
                </c:pt>
                <c:pt idx="2599">
                  <c:v>57448</c:v>
                </c:pt>
                <c:pt idx="2600">
                  <c:v>57459</c:v>
                </c:pt>
                <c:pt idx="2601">
                  <c:v>57462</c:v>
                </c:pt>
                <c:pt idx="2602">
                  <c:v>57469</c:v>
                </c:pt>
                <c:pt idx="2603">
                  <c:v>57476</c:v>
                </c:pt>
                <c:pt idx="2604">
                  <c:v>57483</c:v>
                </c:pt>
                <c:pt idx="2605">
                  <c:v>57490</c:v>
                </c:pt>
                <c:pt idx="2606">
                  <c:v>57497</c:v>
                </c:pt>
                <c:pt idx="2607">
                  <c:v>57504</c:v>
                </c:pt>
                <c:pt idx="2608">
                  <c:v>57511</c:v>
                </c:pt>
                <c:pt idx="2609">
                  <c:v>57518</c:v>
                </c:pt>
                <c:pt idx="2610">
                  <c:v>57525</c:v>
                </c:pt>
                <c:pt idx="2611">
                  <c:v>57532</c:v>
                </c:pt>
                <c:pt idx="2612">
                  <c:v>57539</c:v>
                </c:pt>
                <c:pt idx="2613">
                  <c:v>57546</c:v>
                </c:pt>
                <c:pt idx="2614">
                  <c:v>57553</c:v>
                </c:pt>
                <c:pt idx="2615">
                  <c:v>57560</c:v>
                </c:pt>
                <c:pt idx="2616">
                  <c:v>57567</c:v>
                </c:pt>
                <c:pt idx="2617">
                  <c:v>57574</c:v>
                </c:pt>
                <c:pt idx="2618">
                  <c:v>57581</c:v>
                </c:pt>
                <c:pt idx="2619">
                  <c:v>57588</c:v>
                </c:pt>
                <c:pt idx="2620">
                  <c:v>57595</c:v>
                </c:pt>
                <c:pt idx="2621">
                  <c:v>57602</c:v>
                </c:pt>
                <c:pt idx="2622">
                  <c:v>57609</c:v>
                </c:pt>
                <c:pt idx="2623">
                  <c:v>57616</c:v>
                </c:pt>
                <c:pt idx="2624">
                  <c:v>57623</c:v>
                </c:pt>
                <c:pt idx="2625">
                  <c:v>57630</c:v>
                </c:pt>
                <c:pt idx="2626">
                  <c:v>57637</c:v>
                </c:pt>
                <c:pt idx="2627">
                  <c:v>57644</c:v>
                </c:pt>
                <c:pt idx="2628">
                  <c:v>57651</c:v>
                </c:pt>
                <c:pt idx="2629">
                  <c:v>57658</c:v>
                </c:pt>
                <c:pt idx="2630">
                  <c:v>57665</c:v>
                </c:pt>
                <c:pt idx="2631">
                  <c:v>57672</c:v>
                </c:pt>
                <c:pt idx="2632">
                  <c:v>57679</c:v>
                </c:pt>
                <c:pt idx="2633">
                  <c:v>57686</c:v>
                </c:pt>
                <c:pt idx="2634">
                  <c:v>57693</c:v>
                </c:pt>
                <c:pt idx="2635">
                  <c:v>57700</c:v>
                </c:pt>
                <c:pt idx="2636">
                  <c:v>57710</c:v>
                </c:pt>
                <c:pt idx="2637">
                  <c:v>57717</c:v>
                </c:pt>
                <c:pt idx="2638">
                  <c:v>57724</c:v>
                </c:pt>
                <c:pt idx="2639">
                  <c:v>57731</c:v>
                </c:pt>
                <c:pt idx="2640">
                  <c:v>57738</c:v>
                </c:pt>
                <c:pt idx="2641">
                  <c:v>57745</c:v>
                </c:pt>
                <c:pt idx="2642">
                  <c:v>57752</c:v>
                </c:pt>
                <c:pt idx="2643">
                  <c:v>57759</c:v>
                </c:pt>
                <c:pt idx="2644">
                  <c:v>57766</c:v>
                </c:pt>
                <c:pt idx="2645">
                  <c:v>57773</c:v>
                </c:pt>
                <c:pt idx="2646">
                  <c:v>57780</c:v>
                </c:pt>
                <c:pt idx="2647">
                  <c:v>57787</c:v>
                </c:pt>
                <c:pt idx="2648">
                  <c:v>57794</c:v>
                </c:pt>
                <c:pt idx="2649">
                  <c:v>57801</c:v>
                </c:pt>
                <c:pt idx="2650">
                  <c:v>57808</c:v>
                </c:pt>
                <c:pt idx="2651">
                  <c:v>57817</c:v>
                </c:pt>
                <c:pt idx="2652">
                  <c:v>57822</c:v>
                </c:pt>
                <c:pt idx="2653">
                  <c:v>57829</c:v>
                </c:pt>
                <c:pt idx="2654">
                  <c:v>57836</c:v>
                </c:pt>
                <c:pt idx="2655">
                  <c:v>57843</c:v>
                </c:pt>
                <c:pt idx="2656">
                  <c:v>57850</c:v>
                </c:pt>
                <c:pt idx="2657">
                  <c:v>57857</c:v>
                </c:pt>
                <c:pt idx="2658">
                  <c:v>57864</c:v>
                </c:pt>
                <c:pt idx="2659">
                  <c:v>57871</c:v>
                </c:pt>
                <c:pt idx="2660">
                  <c:v>57878</c:v>
                </c:pt>
                <c:pt idx="2661">
                  <c:v>57885</c:v>
                </c:pt>
                <c:pt idx="2662">
                  <c:v>57892</c:v>
                </c:pt>
                <c:pt idx="2663">
                  <c:v>57899</c:v>
                </c:pt>
                <c:pt idx="2664">
                  <c:v>57906</c:v>
                </c:pt>
                <c:pt idx="2665">
                  <c:v>57913</c:v>
                </c:pt>
                <c:pt idx="2666">
                  <c:v>57920</c:v>
                </c:pt>
                <c:pt idx="2667">
                  <c:v>57927</c:v>
                </c:pt>
                <c:pt idx="2668">
                  <c:v>57934</c:v>
                </c:pt>
                <c:pt idx="2669">
                  <c:v>57941</c:v>
                </c:pt>
                <c:pt idx="2670">
                  <c:v>57948</c:v>
                </c:pt>
                <c:pt idx="2671">
                  <c:v>57955</c:v>
                </c:pt>
                <c:pt idx="2672">
                  <c:v>57962</c:v>
                </c:pt>
                <c:pt idx="2673">
                  <c:v>57969</c:v>
                </c:pt>
                <c:pt idx="2674">
                  <c:v>57976</c:v>
                </c:pt>
                <c:pt idx="2675">
                  <c:v>57983</c:v>
                </c:pt>
                <c:pt idx="2676">
                  <c:v>57990</c:v>
                </c:pt>
                <c:pt idx="2677">
                  <c:v>57997</c:v>
                </c:pt>
                <c:pt idx="2678">
                  <c:v>58004</c:v>
                </c:pt>
                <c:pt idx="2679">
                  <c:v>58011</c:v>
                </c:pt>
                <c:pt idx="2680">
                  <c:v>58018</c:v>
                </c:pt>
                <c:pt idx="2681">
                  <c:v>58025</c:v>
                </c:pt>
                <c:pt idx="2682">
                  <c:v>58032</c:v>
                </c:pt>
                <c:pt idx="2683">
                  <c:v>58039</c:v>
                </c:pt>
                <c:pt idx="2684">
                  <c:v>58046</c:v>
                </c:pt>
                <c:pt idx="2685">
                  <c:v>58053</c:v>
                </c:pt>
                <c:pt idx="2686">
                  <c:v>58060</c:v>
                </c:pt>
                <c:pt idx="2687">
                  <c:v>58067</c:v>
                </c:pt>
                <c:pt idx="2688">
                  <c:v>58075</c:v>
                </c:pt>
                <c:pt idx="2689">
                  <c:v>58082</c:v>
                </c:pt>
                <c:pt idx="2690">
                  <c:v>58089</c:v>
                </c:pt>
                <c:pt idx="2691">
                  <c:v>58096</c:v>
                </c:pt>
                <c:pt idx="2692">
                  <c:v>58103</c:v>
                </c:pt>
                <c:pt idx="2693">
                  <c:v>58110</c:v>
                </c:pt>
                <c:pt idx="2694">
                  <c:v>58117</c:v>
                </c:pt>
                <c:pt idx="2695">
                  <c:v>58124</c:v>
                </c:pt>
                <c:pt idx="2696">
                  <c:v>58131</c:v>
                </c:pt>
                <c:pt idx="2697">
                  <c:v>58138</c:v>
                </c:pt>
                <c:pt idx="2698">
                  <c:v>58145</c:v>
                </c:pt>
                <c:pt idx="2699">
                  <c:v>58152</c:v>
                </c:pt>
                <c:pt idx="2700">
                  <c:v>58159</c:v>
                </c:pt>
                <c:pt idx="2701">
                  <c:v>58168</c:v>
                </c:pt>
                <c:pt idx="2702">
                  <c:v>58175</c:v>
                </c:pt>
                <c:pt idx="2703">
                  <c:v>58182</c:v>
                </c:pt>
                <c:pt idx="2704">
                  <c:v>58189</c:v>
                </c:pt>
                <c:pt idx="2705">
                  <c:v>58197</c:v>
                </c:pt>
                <c:pt idx="2706">
                  <c:v>58203</c:v>
                </c:pt>
                <c:pt idx="2707">
                  <c:v>58210</c:v>
                </c:pt>
                <c:pt idx="2708">
                  <c:v>58217</c:v>
                </c:pt>
                <c:pt idx="2709">
                  <c:v>58224</c:v>
                </c:pt>
                <c:pt idx="2710">
                  <c:v>58231</c:v>
                </c:pt>
                <c:pt idx="2711">
                  <c:v>58238</c:v>
                </c:pt>
                <c:pt idx="2712">
                  <c:v>58245</c:v>
                </c:pt>
                <c:pt idx="2713">
                  <c:v>58252</c:v>
                </c:pt>
                <c:pt idx="2714">
                  <c:v>58259</c:v>
                </c:pt>
                <c:pt idx="2715">
                  <c:v>58266</c:v>
                </c:pt>
                <c:pt idx="2716">
                  <c:v>58273</c:v>
                </c:pt>
                <c:pt idx="2717">
                  <c:v>58280</c:v>
                </c:pt>
                <c:pt idx="2718">
                  <c:v>58287</c:v>
                </c:pt>
                <c:pt idx="2719">
                  <c:v>58294</c:v>
                </c:pt>
                <c:pt idx="2720">
                  <c:v>58301</c:v>
                </c:pt>
                <c:pt idx="2721">
                  <c:v>58308</c:v>
                </c:pt>
                <c:pt idx="2722">
                  <c:v>58315</c:v>
                </c:pt>
                <c:pt idx="2723">
                  <c:v>58322</c:v>
                </c:pt>
                <c:pt idx="2724">
                  <c:v>58329</c:v>
                </c:pt>
                <c:pt idx="2725">
                  <c:v>58336</c:v>
                </c:pt>
                <c:pt idx="2726">
                  <c:v>58343</c:v>
                </c:pt>
                <c:pt idx="2727">
                  <c:v>58350</c:v>
                </c:pt>
                <c:pt idx="2728">
                  <c:v>58357</c:v>
                </c:pt>
                <c:pt idx="2729">
                  <c:v>58364</c:v>
                </c:pt>
                <c:pt idx="2730">
                  <c:v>58371</c:v>
                </c:pt>
                <c:pt idx="2731">
                  <c:v>58378</c:v>
                </c:pt>
                <c:pt idx="2732">
                  <c:v>58385</c:v>
                </c:pt>
                <c:pt idx="2733">
                  <c:v>58392</c:v>
                </c:pt>
                <c:pt idx="2734">
                  <c:v>58399</c:v>
                </c:pt>
                <c:pt idx="2735">
                  <c:v>58406</c:v>
                </c:pt>
                <c:pt idx="2736">
                  <c:v>58413</c:v>
                </c:pt>
                <c:pt idx="2737">
                  <c:v>58420</c:v>
                </c:pt>
                <c:pt idx="2738">
                  <c:v>58427</c:v>
                </c:pt>
                <c:pt idx="2739">
                  <c:v>58438</c:v>
                </c:pt>
                <c:pt idx="2740">
                  <c:v>58442</c:v>
                </c:pt>
                <c:pt idx="2741">
                  <c:v>58448</c:v>
                </c:pt>
                <c:pt idx="2742">
                  <c:v>58455</c:v>
                </c:pt>
                <c:pt idx="2743">
                  <c:v>58462</c:v>
                </c:pt>
                <c:pt idx="2744">
                  <c:v>58469</c:v>
                </c:pt>
                <c:pt idx="2745">
                  <c:v>58476</c:v>
                </c:pt>
                <c:pt idx="2746">
                  <c:v>58483</c:v>
                </c:pt>
                <c:pt idx="2747">
                  <c:v>58490</c:v>
                </c:pt>
                <c:pt idx="2748">
                  <c:v>58497</c:v>
                </c:pt>
                <c:pt idx="2749">
                  <c:v>58504</c:v>
                </c:pt>
                <c:pt idx="2750">
                  <c:v>58511</c:v>
                </c:pt>
                <c:pt idx="2751">
                  <c:v>58518</c:v>
                </c:pt>
                <c:pt idx="2752">
                  <c:v>58525</c:v>
                </c:pt>
                <c:pt idx="2753">
                  <c:v>58532</c:v>
                </c:pt>
                <c:pt idx="2754">
                  <c:v>58539</c:v>
                </c:pt>
                <c:pt idx="2755">
                  <c:v>58546</c:v>
                </c:pt>
                <c:pt idx="2756">
                  <c:v>58553</c:v>
                </c:pt>
                <c:pt idx="2757">
                  <c:v>58560</c:v>
                </c:pt>
                <c:pt idx="2758">
                  <c:v>58567</c:v>
                </c:pt>
                <c:pt idx="2759">
                  <c:v>58574</c:v>
                </c:pt>
                <c:pt idx="2760">
                  <c:v>58581</c:v>
                </c:pt>
                <c:pt idx="2761">
                  <c:v>58588</c:v>
                </c:pt>
                <c:pt idx="2762">
                  <c:v>58595</c:v>
                </c:pt>
                <c:pt idx="2763">
                  <c:v>58602</c:v>
                </c:pt>
                <c:pt idx="2764">
                  <c:v>58609</c:v>
                </c:pt>
                <c:pt idx="2765">
                  <c:v>58616</c:v>
                </c:pt>
                <c:pt idx="2766">
                  <c:v>58623</c:v>
                </c:pt>
                <c:pt idx="2767">
                  <c:v>58630</c:v>
                </c:pt>
                <c:pt idx="2768">
                  <c:v>58637</c:v>
                </c:pt>
                <c:pt idx="2769">
                  <c:v>58644</c:v>
                </c:pt>
                <c:pt idx="2770">
                  <c:v>58651</c:v>
                </c:pt>
                <c:pt idx="2771">
                  <c:v>58658</c:v>
                </c:pt>
                <c:pt idx="2772">
                  <c:v>58665</c:v>
                </c:pt>
                <c:pt idx="2773">
                  <c:v>58672</c:v>
                </c:pt>
                <c:pt idx="2774">
                  <c:v>58679</c:v>
                </c:pt>
                <c:pt idx="2775">
                  <c:v>58686</c:v>
                </c:pt>
                <c:pt idx="2776">
                  <c:v>58693</c:v>
                </c:pt>
                <c:pt idx="2777">
                  <c:v>58700</c:v>
                </c:pt>
                <c:pt idx="2778">
                  <c:v>58707</c:v>
                </c:pt>
                <c:pt idx="2779">
                  <c:v>58714</c:v>
                </c:pt>
                <c:pt idx="2780">
                  <c:v>58721</c:v>
                </c:pt>
                <c:pt idx="2781">
                  <c:v>58728</c:v>
                </c:pt>
                <c:pt idx="2782">
                  <c:v>58735</c:v>
                </c:pt>
                <c:pt idx="2783">
                  <c:v>58742</c:v>
                </c:pt>
                <c:pt idx="2784">
                  <c:v>58749</c:v>
                </c:pt>
                <c:pt idx="2785">
                  <c:v>58756</c:v>
                </c:pt>
                <c:pt idx="2786">
                  <c:v>58763</c:v>
                </c:pt>
                <c:pt idx="2787">
                  <c:v>58770</c:v>
                </c:pt>
                <c:pt idx="2788">
                  <c:v>58777</c:v>
                </c:pt>
                <c:pt idx="2789">
                  <c:v>58784</c:v>
                </c:pt>
                <c:pt idx="2790">
                  <c:v>58791</c:v>
                </c:pt>
                <c:pt idx="2791">
                  <c:v>58798</c:v>
                </c:pt>
                <c:pt idx="2792">
                  <c:v>58805</c:v>
                </c:pt>
                <c:pt idx="2793">
                  <c:v>58812</c:v>
                </c:pt>
                <c:pt idx="2794">
                  <c:v>58819</c:v>
                </c:pt>
                <c:pt idx="2795">
                  <c:v>58826</c:v>
                </c:pt>
                <c:pt idx="2796">
                  <c:v>58833</c:v>
                </c:pt>
                <c:pt idx="2797">
                  <c:v>58840</c:v>
                </c:pt>
                <c:pt idx="2798">
                  <c:v>58847</c:v>
                </c:pt>
                <c:pt idx="2799">
                  <c:v>58854</c:v>
                </c:pt>
                <c:pt idx="2800">
                  <c:v>58861</c:v>
                </c:pt>
                <c:pt idx="2801">
                  <c:v>58868</c:v>
                </c:pt>
                <c:pt idx="2802">
                  <c:v>58875</c:v>
                </c:pt>
                <c:pt idx="2803">
                  <c:v>58882</c:v>
                </c:pt>
                <c:pt idx="2804">
                  <c:v>58889</c:v>
                </c:pt>
                <c:pt idx="2805">
                  <c:v>58896</c:v>
                </c:pt>
                <c:pt idx="2806">
                  <c:v>58903</c:v>
                </c:pt>
                <c:pt idx="2807">
                  <c:v>58910</c:v>
                </c:pt>
                <c:pt idx="2808">
                  <c:v>58917</c:v>
                </c:pt>
                <c:pt idx="2809">
                  <c:v>58924</c:v>
                </c:pt>
                <c:pt idx="2810">
                  <c:v>58931</c:v>
                </c:pt>
                <c:pt idx="2811">
                  <c:v>58938</c:v>
                </c:pt>
                <c:pt idx="2812">
                  <c:v>58945</c:v>
                </c:pt>
                <c:pt idx="2813">
                  <c:v>58952</c:v>
                </c:pt>
                <c:pt idx="2814">
                  <c:v>58959</c:v>
                </c:pt>
                <c:pt idx="2815">
                  <c:v>58966</c:v>
                </c:pt>
                <c:pt idx="2816">
                  <c:v>58973</c:v>
                </c:pt>
                <c:pt idx="2817">
                  <c:v>58980</c:v>
                </c:pt>
                <c:pt idx="2818">
                  <c:v>58987</c:v>
                </c:pt>
                <c:pt idx="2819">
                  <c:v>58994</c:v>
                </c:pt>
                <c:pt idx="2820">
                  <c:v>59001</c:v>
                </c:pt>
                <c:pt idx="2821">
                  <c:v>59008</c:v>
                </c:pt>
                <c:pt idx="2822">
                  <c:v>59015</c:v>
                </c:pt>
                <c:pt idx="2823">
                  <c:v>59022</c:v>
                </c:pt>
                <c:pt idx="2824">
                  <c:v>59029</c:v>
                </c:pt>
                <c:pt idx="2825">
                  <c:v>59036</c:v>
                </c:pt>
                <c:pt idx="2826">
                  <c:v>59043</c:v>
                </c:pt>
                <c:pt idx="2827">
                  <c:v>59050</c:v>
                </c:pt>
                <c:pt idx="2828">
                  <c:v>59057</c:v>
                </c:pt>
                <c:pt idx="2829">
                  <c:v>59064</c:v>
                </c:pt>
                <c:pt idx="2830">
                  <c:v>59071</c:v>
                </c:pt>
                <c:pt idx="2831">
                  <c:v>59078</c:v>
                </c:pt>
                <c:pt idx="2832">
                  <c:v>59085</c:v>
                </c:pt>
                <c:pt idx="2833">
                  <c:v>59092</c:v>
                </c:pt>
                <c:pt idx="2834">
                  <c:v>59099</c:v>
                </c:pt>
                <c:pt idx="2835">
                  <c:v>59106</c:v>
                </c:pt>
                <c:pt idx="2836">
                  <c:v>59113</c:v>
                </c:pt>
                <c:pt idx="2837">
                  <c:v>59120</c:v>
                </c:pt>
                <c:pt idx="2838">
                  <c:v>59127</c:v>
                </c:pt>
                <c:pt idx="2839">
                  <c:v>59134</c:v>
                </c:pt>
                <c:pt idx="2840">
                  <c:v>59141</c:v>
                </c:pt>
                <c:pt idx="2841">
                  <c:v>59148</c:v>
                </c:pt>
                <c:pt idx="2842">
                  <c:v>59155</c:v>
                </c:pt>
                <c:pt idx="2843">
                  <c:v>59162</c:v>
                </c:pt>
                <c:pt idx="2844">
                  <c:v>59169</c:v>
                </c:pt>
                <c:pt idx="2845">
                  <c:v>59176</c:v>
                </c:pt>
                <c:pt idx="2846">
                  <c:v>59183</c:v>
                </c:pt>
                <c:pt idx="2847">
                  <c:v>59190</c:v>
                </c:pt>
                <c:pt idx="2848">
                  <c:v>59197</c:v>
                </c:pt>
                <c:pt idx="2849">
                  <c:v>59204</c:v>
                </c:pt>
                <c:pt idx="2850">
                  <c:v>59211</c:v>
                </c:pt>
                <c:pt idx="2851">
                  <c:v>59218</c:v>
                </c:pt>
                <c:pt idx="2852">
                  <c:v>59225</c:v>
                </c:pt>
                <c:pt idx="2853">
                  <c:v>59232</c:v>
                </c:pt>
                <c:pt idx="2854">
                  <c:v>59239</c:v>
                </c:pt>
                <c:pt idx="2855">
                  <c:v>59246</c:v>
                </c:pt>
                <c:pt idx="2856">
                  <c:v>59253</c:v>
                </c:pt>
                <c:pt idx="2857">
                  <c:v>59260</c:v>
                </c:pt>
                <c:pt idx="2858">
                  <c:v>59267</c:v>
                </c:pt>
                <c:pt idx="2859">
                  <c:v>59274</c:v>
                </c:pt>
                <c:pt idx="2860">
                  <c:v>59281</c:v>
                </c:pt>
                <c:pt idx="2861">
                  <c:v>59288</c:v>
                </c:pt>
                <c:pt idx="2862">
                  <c:v>59295</c:v>
                </c:pt>
                <c:pt idx="2863">
                  <c:v>59302</c:v>
                </c:pt>
                <c:pt idx="2864">
                  <c:v>59309</c:v>
                </c:pt>
                <c:pt idx="2865">
                  <c:v>59316</c:v>
                </c:pt>
                <c:pt idx="2866">
                  <c:v>59323</c:v>
                </c:pt>
                <c:pt idx="2867">
                  <c:v>59330</c:v>
                </c:pt>
                <c:pt idx="2868">
                  <c:v>59337</c:v>
                </c:pt>
                <c:pt idx="2869">
                  <c:v>59344</c:v>
                </c:pt>
                <c:pt idx="2870">
                  <c:v>59351</c:v>
                </c:pt>
                <c:pt idx="2871">
                  <c:v>59358</c:v>
                </c:pt>
                <c:pt idx="2872">
                  <c:v>59365</c:v>
                </c:pt>
                <c:pt idx="2873">
                  <c:v>59372</c:v>
                </c:pt>
                <c:pt idx="2874">
                  <c:v>59379</c:v>
                </c:pt>
                <c:pt idx="2875">
                  <c:v>59386</c:v>
                </c:pt>
                <c:pt idx="2876">
                  <c:v>59393</c:v>
                </c:pt>
                <c:pt idx="2877">
                  <c:v>59400</c:v>
                </c:pt>
                <c:pt idx="2878">
                  <c:v>59407</c:v>
                </c:pt>
                <c:pt idx="2879">
                  <c:v>59414</c:v>
                </c:pt>
                <c:pt idx="2880">
                  <c:v>59421</c:v>
                </c:pt>
                <c:pt idx="2881">
                  <c:v>59428</c:v>
                </c:pt>
                <c:pt idx="2882">
                  <c:v>59435</c:v>
                </c:pt>
                <c:pt idx="2883">
                  <c:v>59442</c:v>
                </c:pt>
                <c:pt idx="2884">
                  <c:v>59449</c:v>
                </c:pt>
                <c:pt idx="2885">
                  <c:v>59456</c:v>
                </c:pt>
                <c:pt idx="2886">
                  <c:v>59463</c:v>
                </c:pt>
                <c:pt idx="2887">
                  <c:v>59470</c:v>
                </c:pt>
                <c:pt idx="2888">
                  <c:v>59477</c:v>
                </c:pt>
                <c:pt idx="2889">
                  <c:v>59484</c:v>
                </c:pt>
                <c:pt idx="2890">
                  <c:v>59491</c:v>
                </c:pt>
                <c:pt idx="2891">
                  <c:v>59498</c:v>
                </c:pt>
                <c:pt idx="2892">
                  <c:v>59505</c:v>
                </c:pt>
                <c:pt idx="2893">
                  <c:v>59512</c:v>
                </c:pt>
                <c:pt idx="2894">
                  <c:v>59519</c:v>
                </c:pt>
                <c:pt idx="2895">
                  <c:v>59526</c:v>
                </c:pt>
                <c:pt idx="2896">
                  <c:v>59534</c:v>
                </c:pt>
                <c:pt idx="2897">
                  <c:v>59541</c:v>
                </c:pt>
                <c:pt idx="2898">
                  <c:v>59548</c:v>
                </c:pt>
                <c:pt idx="2899">
                  <c:v>59555</c:v>
                </c:pt>
                <c:pt idx="2900">
                  <c:v>59562</c:v>
                </c:pt>
                <c:pt idx="2901">
                  <c:v>59569</c:v>
                </c:pt>
                <c:pt idx="2902">
                  <c:v>59576</c:v>
                </c:pt>
                <c:pt idx="2903">
                  <c:v>59583</c:v>
                </c:pt>
                <c:pt idx="2904">
                  <c:v>59590</c:v>
                </c:pt>
                <c:pt idx="2905">
                  <c:v>59597</c:v>
                </c:pt>
                <c:pt idx="2906">
                  <c:v>59604</c:v>
                </c:pt>
                <c:pt idx="2907">
                  <c:v>59611</c:v>
                </c:pt>
                <c:pt idx="2908">
                  <c:v>59618</c:v>
                </c:pt>
                <c:pt idx="2909">
                  <c:v>59625</c:v>
                </c:pt>
                <c:pt idx="2910">
                  <c:v>59632</c:v>
                </c:pt>
                <c:pt idx="2911">
                  <c:v>59643</c:v>
                </c:pt>
                <c:pt idx="2912">
                  <c:v>59646</c:v>
                </c:pt>
                <c:pt idx="2913">
                  <c:v>59653</c:v>
                </c:pt>
                <c:pt idx="2914">
                  <c:v>59660</c:v>
                </c:pt>
                <c:pt idx="2915">
                  <c:v>59667</c:v>
                </c:pt>
                <c:pt idx="2916">
                  <c:v>59674</c:v>
                </c:pt>
                <c:pt idx="2917">
                  <c:v>59681</c:v>
                </c:pt>
                <c:pt idx="2918">
                  <c:v>59688</c:v>
                </c:pt>
                <c:pt idx="2919">
                  <c:v>59695</c:v>
                </c:pt>
                <c:pt idx="2920">
                  <c:v>59702</c:v>
                </c:pt>
                <c:pt idx="2921">
                  <c:v>59709</c:v>
                </c:pt>
                <c:pt idx="2922">
                  <c:v>59716</c:v>
                </c:pt>
                <c:pt idx="2923">
                  <c:v>59723</c:v>
                </c:pt>
                <c:pt idx="2924">
                  <c:v>59730</c:v>
                </c:pt>
                <c:pt idx="2925">
                  <c:v>59737</c:v>
                </c:pt>
                <c:pt idx="2926">
                  <c:v>59744</c:v>
                </c:pt>
                <c:pt idx="2927">
                  <c:v>59751</c:v>
                </c:pt>
                <c:pt idx="2928">
                  <c:v>59758</c:v>
                </c:pt>
                <c:pt idx="2929">
                  <c:v>59765</c:v>
                </c:pt>
                <c:pt idx="2930">
                  <c:v>59772</c:v>
                </c:pt>
                <c:pt idx="2931">
                  <c:v>59779</c:v>
                </c:pt>
                <c:pt idx="2932">
                  <c:v>59786</c:v>
                </c:pt>
                <c:pt idx="2933">
                  <c:v>59793</c:v>
                </c:pt>
                <c:pt idx="2934">
                  <c:v>59800</c:v>
                </c:pt>
                <c:pt idx="2935">
                  <c:v>59807</c:v>
                </c:pt>
                <c:pt idx="2936">
                  <c:v>59814</c:v>
                </c:pt>
                <c:pt idx="2937">
                  <c:v>59821</c:v>
                </c:pt>
                <c:pt idx="2938">
                  <c:v>59828</c:v>
                </c:pt>
                <c:pt idx="2939">
                  <c:v>59835</c:v>
                </c:pt>
                <c:pt idx="2940">
                  <c:v>59842</c:v>
                </c:pt>
                <c:pt idx="2941">
                  <c:v>59849</c:v>
                </c:pt>
                <c:pt idx="2942">
                  <c:v>59856</c:v>
                </c:pt>
                <c:pt idx="2943">
                  <c:v>59863</c:v>
                </c:pt>
                <c:pt idx="2944">
                  <c:v>59870</c:v>
                </c:pt>
                <c:pt idx="2945">
                  <c:v>59877</c:v>
                </c:pt>
                <c:pt idx="2946">
                  <c:v>59884</c:v>
                </c:pt>
                <c:pt idx="2947">
                  <c:v>59891</c:v>
                </c:pt>
                <c:pt idx="2948">
                  <c:v>59901</c:v>
                </c:pt>
                <c:pt idx="2949">
                  <c:v>59908</c:v>
                </c:pt>
                <c:pt idx="2950">
                  <c:v>59915</c:v>
                </c:pt>
                <c:pt idx="2951">
                  <c:v>59922</c:v>
                </c:pt>
                <c:pt idx="2952">
                  <c:v>59929</c:v>
                </c:pt>
                <c:pt idx="2953">
                  <c:v>59936</c:v>
                </c:pt>
                <c:pt idx="2954">
                  <c:v>59943</c:v>
                </c:pt>
                <c:pt idx="2955">
                  <c:v>59950</c:v>
                </c:pt>
                <c:pt idx="2956">
                  <c:v>59957</c:v>
                </c:pt>
                <c:pt idx="2957">
                  <c:v>59964</c:v>
                </c:pt>
                <c:pt idx="2958">
                  <c:v>59971</c:v>
                </c:pt>
                <c:pt idx="2959">
                  <c:v>59978</c:v>
                </c:pt>
                <c:pt idx="2960">
                  <c:v>59985</c:v>
                </c:pt>
                <c:pt idx="2961">
                  <c:v>59992</c:v>
                </c:pt>
                <c:pt idx="2962">
                  <c:v>60001</c:v>
                </c:pt>
                <c:pt idx="2963">
                  <c:v>60006</c:v>
                </c:pt>
                <c:pt idx="2964">
                  <c:v>60013</c:v>
                </c:pt>
                <c:pt idx="2965">
                  <c:v>60020</c:v>
                </c:pt>
                <c:pt idx="2966">
                  <c:v>60028</c:v>
                </c:pt>
                <c:pt idx="2967">
                  <c:v>60035</c:v>
                </c:pt>
                <c:pt idx="2968">
                  <c:v>60042</c:v>
                </c:pt>
                <c:pt idx="2969">
                  <c:v>60049</c:v>
                </c:pt>
                <c:pt idx="2970">
                  <c:v>60056</c:v>
                </c:pt>
                <c:pt idx="2971">
                  <c:v>60063</c:v>
                </c:pt>
                <c:pt idx="2972">
                  <c:v>60070</c:v>
                </c:pt>
                <c:pt idx="2973">
                  <c:v>60077</c:v>
                </c:pt>
                <c:pt idx="2974">
                  <c:v>60084</c:v>
                </c:pt>
                <c:pt idx="2975">
                  <c:v>60091</c:v>
                </c:pt>
                <c:pt idx="2976">
                  <c:v>60098</c:v>
                </c:pt>
                <c:pt idx="2977">
                  <c:v>60105</c:v>
                </c:pt>
                <c:pt idx="2978">
                  <c:v>60112</c:v>
                </c:pt>
                <c:pt idx="2979">
                  <c:v>60119</c:v>
                </c:pt>
                <c:pt idx="2980">
                  <c:v>60126</c:v>
                </c:pt>
                <c:pt idx="2981">
                  <c:v>60133</c:v>
                </c:pt>
                <c:pt idx="2982">
                  <c:v>60140</c:v>
                </c:pt>
                <c:pt idx="2983">
                  <c:v>60147</c:v>
                </c:pt>
                <c:pt idx="2984">
                  <c:v>60154</c:v>
                </c:pt>
                <c:pt idx="2985">
                  <c:v>60161</c:v>
                </c:pt>
                <c:pt idx="2986">
                  <c:v>60168</c:v>
                </c:pt>
                <c:pt idx="2987">
                  <c:v>60175</c:v>
                </c:pt>
                <c:pt idx="2988">
                  <c:v>60182</c:v>
                </c:pt>
                <c:pt idx="2989">
                  <c:v>60189</c:v>
                </c:pt>
                <c:pt idx="2990">
                  <c:v>60196</c:v>
                </c:pt>
                <c:pt idx="2991">
                  <c:v>60203</c:v>
                </c:pt>
                <c:pt idx="2992">
                  <c:v>60210</c:v>
                </c:pt>
                <c:pt idx="2993">
                  <c:v>60217</c:v>
                </c:pt>
                <c:pt idx="2994">
                  <c:v>60224</c:v>
                </c:pt>
                <c:pt idx="2995">
                  <c:v>60231</c:v>
                </c:pt>
                <c:pt idx="2996">
                  <c:v>60238</c:v>
                </c:pt>
                <c:pt idx="2997">
                  <c:v>60245</c:v>
                </c:pt>
                <c:pt idx="2998">
                  <c:v>60252</c:v>
                </c:pt>
                <c:pt idx="2999">
                  <c:v>60259</c:v>
                </c:pt>
                <c:pt idx="3000">
                  <c:v>60267</c:v>
                </c:pt>
                <c:pt idx="3001">
                  <c:v>60274</c:v>
                </c:pt>
                <c:pt idx="3002">
                  <c:v>60281</c:v>
                </c:pt>
                <c:pt idx="3003">
                  <c:v>60288</c:v>
                </c:pt>
                <c:pt idx="3004">
                  <c:v>60295</c:v>
                </c:pt>
                <c:pt idx="3005">
                  <c:v>60302</c:v>
                </c:pt>
                <c:pt idx="3006">
                  <c:v>60309</c:v>
                </c:pt>
                <c:pt idx="3007">
                  <c:v>60316</c:v>
                </c:pt>
                <c:pt idx="3008">
                  <c:v>60323</c:v>
                </c:pt>
                <c:pt idx="3009">
                  <c:v>60330</c:v>
                </c:pt>
                <c:pt idx="3010">
                  <c:v>60337</c:v>
                </c:pt>
                <c:pt idx="3011">
                  <c:v>60344</c:v>
                </c:pt>
                <c:pt idx="3012">
                  <c:v>60351</c:v>
                </c:pt>
                <c:pt idx="3013">
                  <c:v>60359</c:v>
                </c:pt>
                <c:pt idx="3014">
                  <c:v>60366</c:v>
                </c:pt>
                <c:pt idx="3015">
                  <c:v>60373</c:v>
                </c:pt>
                <c:pt idx="3016">
                  <c:v>60380</c:v>
                </c:pt>
                <c:pt idx="3017">
                  <c:v>60387</c:v>
                </c:pt>
                <c:pt idx="3018">
                  <c:v>60394</c:v>
                </c:pt>
                <c:pt idx="3019">
                  <c:v>60401</c:v>
                </c:pt>
                <c:pt idx="3020">
                  <c:v>60408</c:v>
                </c:pt>
                <c:pt idx="3021">
                  <c:v>60415</c:v>
                </c:pt>
                <c:pt idx="3022">
                  <c:v>60422</c:v>
                </c:pt>
                <c:pt idx="3023">
                  <c:v>60429</c:v>
                </c:pt>
                <c:pt idx="3024">
                  <c:v>60436</c:v>
                </c:pt>
                <c:pt idx="3025">
                  <c:v>60443</c:v>
                </c:pt>
                <c:pt idx="3026">
                  <c:v>60450</c:v>
                </c:pt>
                <c:pt idx="3027">
                  <c:v>60457</c:v>
                </c:pt>
                <c:pt idx="3028">
                  <c:v>60464</c:v>
                </c:pt>
                <c:pt idx="3029">
                  <c:v>60471</c:v>
                </c:pt>
                <c:pt idx="3030">
                  <c:v>60478</c:v>
                </c:pt>
                <c:pt idx="3031">
                  <c:v>60485</c:v>
                </c:pt>
                <c:pt idx="3032">
                  <c:v>60492</c:v>
                </c:pt>
                <c:pt idx="3033">
                  <c:v>60499</c:v>
                </c:pt>
                <c:pt idx="3034">
                  <c:v>60506</c:v>
                </c:pt>
                <c:pt idx="3035">
                  <c:v>60513</c:v>
                </c:pt>
                <c:pt idx="3036">
                  <c:v>60520</c:v>
                </c:pt>
                <c:pt idx="3037">
                  <c:v>60527</c:v>
                </c:pt>
                <c:pt idx="3038">
                  <c:v>60534</c:v>
                </c:pt>
                <c:pt idx="3039">
                  <c:v>60541</c:v>
                </c:pt>
                <c:pt idx="3040">
                  <c:v>60548</c:v>
                </c:pt>
                <c:pt idx="3041">
                  <c:v>60555</c:v>
                </c:pt>
                <c:pt idx="3042">
                  <c:v>60562</c:v>
                </c:pt>
                <c:pt idx="3043">
                  <c:v>60569</c:v>
                </c:pt>
                <c:pt idx="3044">
                  <c:v>60576</c:v>
                </c:pt>
                <c:pt idx="3045">
                  <c:v>60583</c:v>
                </c:pt>
                <c:pt idx="3046">
                  <c:v>60590</c:v>
                </c:pt>
                <c:pt idx="3047">
                  <c:v>60597</c:v>
                </c:pt>
                <c:pt idx="3048">
                  <c:v>60604</c:v>
                </c:pt>
                <c:pt idx="3049">
                  <c:v>60611</c:v>
                </c:pt>
                <c:pt idx="3050">
                  <c:v>60618</c:v>
                </c:pt>
                <c:pt idx="3051">
                  <c:v>60625</c:v>
                </c:pt>
                <c:pt idx="3052">
                  <c:v>60632</c:v>
                </c:pt>
                <c:pt idx="3053">
                  <c:v>60639</c:v>
                </c:pt>
                <c:pt idx="3054">
                  <c:v>60646</c:v>
                </c:pt>
                <c:pt idx="3055">
                  <c:v>60653</c:v>
                </c:pt>
                <c:pt idx="3056">
                  <c:v>60660</c:v>
                </c:pt>
                <c:pt idx="3057">
                  <c:v>60667</c:v>
                </c:pt>
                <c:pt idx="3058">
                  <c:v>60674</c:v>
                </c:pt>
                <c:pt idx="3059">
                  <c:v>60681</c:v>
                </c:pt>
                <c:pt idx="3060">
                  <c:v>60688</c:v>
                </c:pt>
                <c:pt idx="3061">
                  <c:v>60695</c:v>
                </c:pt>
                <c:pt idx="3062">
                  <c:v>60702</c:v>
                </c:pt>
                <c:pt idx="3063">
                  <c:v>60709</c:v>
                </c:pt>
                <c:pt idx="3064">
                  <c:v>60716</c:v>
                </c:pt>
                <c:pt idx="3065">
                  <c:v>60723</c:v>
                </c:pt>
                <c:pt idx="3066">
                  <c:v>60730</c:v>
                </c:pt>
                <c:pt idx="3067">
                  <c:v>60737</c:v>
                </c:pt>
                <c:pt idx="3068">
                  <c:v>60744</c:v>
                </c:pt>
                <c:pt idx="3069">
                  <c:v>60751</c:v>
                </c:pt>
                <c:pt idx="3070">
                  <c:v>60758</c:v>
                </c:pt>
                <c:pt idx="3071">
                  <c:v>60765</c:v>
                </c:pt>
                <c:pt idx="3072">
                  <c:v>60772</c:v>
                </c:pt>
                <c:pt idx="3073">
                  <c:v>60779</c:v>
                </c:pt>
                <c:pt idx="3074">
                  <c:v>60786</c:v>
                </c:pt>
                <c:pt idx="3075">
                  <c:v>60793</c:v>
                </c:pt>
                <c:pt idx="3076">
                  <c:v>60800</c:v>
                </c:pt>
                <c:pt idx="3077">
                  <c:v>60807</c:v>
                </c:pt>
                <c:pt idx="3078">
                  <c:v>60814</c:v>
                </c:pt>
                <c:pt idx="3079">
                  <c:v>60821</c:v>
                </c:pt>
                <c:pt idx="3080">
                  <c:v>60828</c:v>
                </c:pt>
                <c:pt idx="3081">
                  <c:v>60835</c:v>
                </c:pt>
                <c:pt idx="3082">
                  <c:v>60842</c:v>
                </c:pt>
                <c:pt idx="3083">
                  <c:v>60849</c:v>
                </c:pt>
                <c:pt idx="3084">
                  <c:v>60856</c:v>
                </c:pt>
                <c:pt idx="3085">
                  <c:v>60863</c:v>
                </c:pt>
                <c:pt idx="3086">
                  <c:v>60870</c:v>
                </c:pt>
                <c:pt idx="3087">
                  <c:v>60877</c:v>
                </c:pt>
                <c:pt idx="3088">
                  <c:v>60884</c:v>
                </c:pt>
                <c:pt idx="3089">
                  <c:v>60891</c:v>
                </c:pt>
                <c:pt idx="3090">
                  <c:v>60898</c:v>
                </c:pt>
                <c:pt idx="3091">
                  <c:v>60905</c:v>
                </c:pt>
                <c:pt idx="3092">
                  <c:v>60912</c:v>
                </c:pt>
                <c:pt idx="3093">
                  <c:v>60919</c:v>
                </c:pt>
                <c:pt idx="3094">
                  <c:v>60926</c:v>
                </c:pt>
                <c:pt idx="3095">
                  <c:v>60933</c:v>
                </c:pt>
                <c:pt idx="3096">
                  <c:v>60940</c:v>
                </c:pt>
                <c:pt idx="3097">
                  <c:v>60947</c:v>
                </c:pt>
                <c:pt idx="3098">
                  <c:v>60954</c:v>
                </c:pt>
                <c:pt idx="3099">
                  <c:v>60961</c:v>
                </c:pt>
                <c:pt idx="3100">
                  <c:v>60968</c:v>
                </c:pt>
                <c:pt idx="3101">
                  <c:v>60975</c:v>
                </c:pt>
                <c:pt idx="3102">
                  <c:v>60982</c:v>
                </c:pt>
                <c:pt idx="3103">
                  <c:v>60989</c:v>
                </c:pt>
                <c:pt idx="3104">
                  <c:v>60996</c:v>
                </c:pt>
                <c:pt idx="3105">
                  <c:v>61003</c:v>
                </c:pt>
                <c:pt idx="3106">
                  <c:v>61010</c:v>
                </c:pt>
                <c:pt idx="3107">
                  <c:v>61017</c:v>
                </c:pt>
                <c:pt idx="3108">
                  <c:v>61024</c:v>
                </c:pt>
                <c:pt idx="3109">
                  <c:v>61031</c:v>
                </c:pt>
                <c:pt idx="3110">
                  <c:v>61038</c:v>
                </c:pt>
                <c:pt idx="3111">
                  <c:v>61045</c:v>
                </c:pt>
                <c:pt idx="3112">
                  <c:v>61052</c:v>
                </c:pt>
                <c:pt idx="3113">
                  <c:v>61059</c:v>
                </c:pt>
                <c:pt idx="3114">
                  <c:v>61066</c:v>
                </c:pt>
                <c:pt idx="3115">
                  <c:v>61073</c:v>
                </c:pt>
                <c:pt idx="3116">
                  <c:v>61080</c:v>
                </c:pt>
                <c:pt idx="3117">
                  <c:v>61087</c:v>
                </c:pt>
                <c:pt idx="3118">
                  <c:v>61094</c:v>
                </c:pt>
                <c:pt idx="3119">
                  <c:v>61101</c:v>
                </c:pt>
                <c:pt idx="3120">
                  <c:v>61108</c:v>
                </c:pt>
                <c:pt idx="3121">
                  <c:v>61115</c:v>
                </c:pt>
                <c:pt idx="3122">
                  <c:v>61122</c:v>
                </c:pt>
                <c:pt idx="3123">
                  <c:v>61129</c:v>
                </c:pt>
                <c:pt idx="3124">
                  <c:v>61136</c:v>
                </c:pt>
                <c:pt idx="3125">
                  <c:v>61143</c:v>
                </c:pt>
                <c:pt idx="3126">
                  <c:v>61150</c:v>
                </c:pt>
                <c:pt idx="3127">
                  <c:v>61157</c:v>
                </c:pt>
                <c:pt idx="3128">
                  <c:v>61164</c:v>
                </c:pt>
                <c:pt idx="3129">
                  <c:v>61171</c:v>
                </c:pt>
                <c:pt idx="3130">
                  <c:v>61178</c:v>
                </c:pt>
                <c:pt idx="3131">
                  <c:v>61185</c:v>
                </c:pt>
                <c:pt idx="3132">
                  <c:v>61192</c:v>
                </c:pt>
                <c:pt idx="3133">
                  <c:v>61199</c:v>
                </c:pt>
                <c:pt idx="3134">
                  <c:v>61206</c:v>
                </c:pt>
                <c:pt idx="3135">
                  <c:v>61213</c:v>
                </c:pt>
                <c:pt idx="3136">
                  <c:v>61220</c:v>
                </c:pt>
                <c:pt idx="3137">
                  <c:v>61227</c:v>
                </c:pt>
                <c:pt idx="3138">
                  <c:v>61234</c:v>
                </c:pt>
                <c:pt idx="3139">
                  <c:v>61241</c:v>
                </c:pt>
                <c:pt idx="3140">
                  <c:v>61248</c:v>
                </c:pt>
                <c:pt idx="3141">
                  <c:v>61255</c:v>
                </c:pt>
                <c:pt idx="3142">
                  <c:v>61262</c:v>
                </c:pt>
                <c:pt idx="3143">
                  <c:v>61269</c:v>
                </c:pt>
                <c:pt idx="3144">
                  <c:v>61276</c:v>
                </c:pt>
                <c:pt idx="3145">
                  <c:v>61283</c:v>
                </c:pt>
                <c:pt idx="3146">
                  <c:v>61290</c:v>
                </c:pt>
                <c:pt idx="3147">
                  <c:v>61297</c:v>
                </c:pt>
                <c:pt idx="3148">
                  <c:v>61304</c:v>
                </c:pt>
                <c:pt idx="3149">
                  <c:v>61311</c:v>
                </c:pt>
                <c:pt idx="3150">
                  <c:v>61318</c:v>
                </c:pt>
                <c:pt idx="3151">
                  <c:v>61325</c:v>
                </c:pt>
                <c:pt idx="3152">
                  <c:v>61332</c:v>
                </c:pt>
                <c:pt idx="3153">
                  <c:v>61339</c:v>
                </c:pt>
                <c:pt idx="3154">
                  <c:v>61346</c:v>
                </c:pt>
                <c:pt idx="3155">
                  <c:v>61353</c:v>
                </c:pt>
                <c:pt idx="3156">
                  <c:v>61360</c:v>
                </c:pt>
                <c:pt idx="3157">
                  <c:v>61367</c:v>
                </c:pt>
                <c:pt idx="3158">
                  <c:v>61374</c:v>
                </c:pt>
                <c:pt idx="3159">
                  <c:v>61381</c:v>
                </c:pt>
                <c:pt idx="3160">
                  <c:v>61388</c:v>
                </c:pt>
                <c:pt idx="3161">
                  <c:v>61395</c:v>
                </c:pt>
                <c:pt idx="3162">
                  <c:v>61402</c:v>
                </c:pt>
                <c:pt idx="3163">
                  <c:v>61409</c:v>
                </c:pt>
                <c:pt idx="3164">
                  <c:v>61416</c:v>
                </c:pt>
                <c:pt idx="3165">
                  <c:v>61423</c:v>
                </c:pt>
                <c:pt idx="3166">
                  <c:v>61430</c:v>
                </c:pt>
                <c:pt idx="3167">
                  <c:v>61437</c:v>
                </c:pt>
                <c:pt idx="3168">
                  <c:v>61444</c:v>
                </c:pt>
                <c:pt idx="3169">
                  <c:v>61451</c:v>
                </c:pt>
                <c:pt idx="3170">
                  <c:v>61458</c:v>
                </c:pt>
                <c:pt idx="3171">
                  <c:v>61465</c:v>
                </c:pt>
                <c:pt idx="3172">
                  <c:v>61472</c:v>
                </c:pt>
                <c:pt idx="3173">
                  <c:v>61479</c:v>
                </c:pt>
                <c:pt idx="3174">
                  <c:v>61487</c:v>
                </c:pt>
                <c:pt idx="3175">
                  <c:v>61494</c:v>
                </c:pt>
                <c:pt idx="3176">
                  <c:v>61501</c:v>
                </c:pt>
                <c:pt idx="3177">
                  <c:v>61508</c:v>
                </c:pt>
                <c:pt idx="3178">
                  <c:v>61515</c:v>
                </c:pt>
                <c:pt idx="3179">
                  <c:v>61522</c:v>
                </c:pt>
                <c:pt idx="3180">
                  <c:v>61529</c:v>
                </c:pt>
                <c:pt idx="3181">
                  <c:v>61536</c:v>
                </c:pt>
                <c:pt idx="3182">
                  <c:v>61543</c:v>
                </c:pt>
                <c:pt idx="3183">
                  <c:v>61550</c:v>
                </c:pt>
                <c:pt idx="3184">
                  <c:v>61557</c:v>
                </c:pt>
                <c:pt idx="3185">
                  <c:v>61564</c:v>
                </c:pt>
                <c:pt idx="3186">
                  <c:v>61571</c:v>
                </c:pt>
                <c:pt idx="3187">
                  <c:v>61578</c:v>
                </c:pt>
                <c:pt idx="3188">
                  <c:v>61585</c:v>
                </c:pt>
                <c:pt idx="3189">
                  <c:v>61592</c:v>
                </c:pt>
                <c:pt idx="3190">
                  <c:v>61599</c:v>
                </c:pt>
                <c:pt idx="3191">
                  <c:v>61606</c:v>
                </c:pt>
                <c:pt idx="3192">
                  <c:v>61613</c:v>
                </c:pt>
                <c:pt idx="3193">
                  <c:v>61620</c:v>
                </c:pt>
                <c:pt idx="3194">
                  <c:v>61627</c:v>
                </c:pt>
                <c:pt idx="3195">
                  <c:v>61634</c:v>
                </c:pt>
                <c:pt idx="3196">
                  <c:v>61641</c:v>
                </c:pt>
                <c:pt idx="3197">
                  <c:v>61648</c:v>
                </c:pt>
                <c:pt idx="3198">
                  <c:v>61655</c:v>
                </c:pt>
                <c:pt idx="3199">
                  <c:v>61662</c:v>
                </c:pt>
                <c:pt idx="3200">
                  <c:v>61669</c:v>
                </c:pt>
                <c:pt idx="3201">
                  <c:v>61676</c:v>
                </c:pt>
                <c:pt idx="3202">
                  <c:v>61683</c:v>
                </c:pt>
                <c:pt idx="3203">
                  <c:v>61690</c:v>
                </c:pt>
                <c:pt idx="3204">
                  <c:v>61697</c:v>
                </c:pt>
                <c:pt idx="3205">
                  <c:v>61704</c:v>
                </c:pt>
                <c:pt idx="3206">
                  <c:v>61711</c:v>
                </c:pt>
                <c:pt idx="3207">
                  <c:v>61718</c:v>
                </c:pt>
                <c:pt idx="3208">
                  <c:v>61728</c:v>
                </c:pt>
                <c:pt idx="3209">
                  <c:v>61735</c:v>
                </c:pt>
                <c:pt idx="3210">
                  <c:v>61742</c:v>
                </c:pt>
                <c:pt idx="3211">
                  <c:v>61749</c:v>
                </c:pt>
                <c:pt idx="3212">
                  <c:v>61756</c:v>
                </c:pt>
                <c:pt idx="3213">
                  <c:v>61763</c:v>
                </c:pt>
                <c:pt idx="3214">
                  <c:v>61770</c:v>
                </c:pt>
                <c:pt idx="3215">
                  <c:v>61777</c:v>
                </c:pt>
                <c:pt idx="3216">
                  <c:v>61784</c:v>
                </c:pt>
                <c:pt idx="3217">
                  <c:v>61791</c:v>
                </c:pt>
                <c:pt idx="3218">
                  <c:v>61798</c:v>
                </c:pt>
                <c:pt idx="3219">
                  <c:v>61805</c:v>
                </c:pt>
                <c:pt idx="3220">
                  <c:v>61812</c:v>
                </c:pt>
                <c:pt idx="3221">
                  <c:v>61819</c:v>
                </c:pt>
                <c:pt idx="3222">
                  <c:v>61826</c:v>
                </c:pt>
                <c:pt idx="3223">
                  <c:v>61835</c:v>
                </c:pt>
                <c:pt idx="3224">
                  <c:v>61840</c:v>
                </c:pt>
                <c:pt idx="3225">
                  <c:v>61847</c:v>
                </c:pt>
                <c:pt idx="3226">
                  <c:v>61854</c:v>
                </c:pt>
                <c:pt idx="3227">
                  <c:v>61861</c:v>
                </c:pt>
                <c:pt idx="3228">
                  <c:v>61868</c:v>
                </c:pt>
                <c:pt idx="3229">
                  <c:v>61875</c:v>
                </c:pt>
                <c:pt idx="3230">
                  <c:v>61882</c:v>
                </c:pt>
                <c:pt idx="3231">
                  <c:v>61889</c:v>
                </c:pt>
                <c:pt idx="3232">
                  <c:v>61896</c:v>
                </c:pt>
                <c:pt idx="3233">
                  <c:v>61903</c:v>
                </c:pt>
                <c:pt idx="3234">
                  <c:v>61910</c:v>
                </c:pt>
                <c:pt idx="3235">
                  <c:v>61917</c:v>
                </c:pt>
                <c:pt idx="3236">
                  <c:v>61924</c:v>
                </c:pt>
                <c:pt idx="3237">
                  <c:v>61931</c:v>
                </c:pt>
                <c:pt idx="3238">
                  <c:v>61938</c:v>
                </c:pt>
                <c:pt idx="3239">
                  <c:v>61945</c:v>
                </c:pt>
                <c:pt idx="3240">
                  <c:v>61952</c:v>
                </c:pt>
                <c:pt idx="3241">
                  <c:v>61959</c:v>
                </c:pt>
                <c:pt idx="3242">
                  <c:v>61966</c:v>
                </c:pt>
                <c:pt idx="3243">
                  <c:v>61973</c:v>
                </c:pt>
                <c:pt idx="3244">
                  <c:v>61980</c:v>
                </c:pt>
                <c:pt idx="3245">
                  <c:v>61987</c:v>
                </c:pt>
                <c:pt idx="3246">
                  <c:v>61994</c:v>
                </c:pt>
                <c:pt idx="3247">
                  <c:v>62001</c:v>
                </c:pt>
                <c:pt idx="3248">
                  <c:v>62008</c:v>
                </c:pt>
                <c:pt idx="3249">
                  <c:v>62015</c:v>
                </c:pt>
                <c:pt idx="3250">
                  <c:v>62022</c:v>
                </c:pt>
                <c:pt idx="3251">
                  <c:v>62029</c:v>
                </c:pt>
                <c:pt idx="3252">
                  <c:v>62036</c:v>
                </c:pt>
                <c:pt idx="3253">
                  <c:v>62043</c:v>
                </c:pt>
                <c:pt idx="3254">
                  <c:v>62050</c:v>
                </c:pt>
                <c:pt idx="3255">
                  <c:v>62057</c:v>
                </c:pt>
                <c:pt idx="3256">
                  <c:v>62064</c:v>
                </c:pt>
                <c:pt idx="3257">
                  <c:v>62071</c:v>
                </c:pt>
                <c:pt idx="3258">
                  <c:v>62078</c:v>
                </c:pt>
                <c:pt idx="3259">
                  <c:v>62085</c:v>
                </c:pt>
                <c:pt idx="3260">
                  <c:v>62093</c:v>
                </c:pt>
                <c:pt idx="3261">
                  <c:v>62100</c:v>
                </c:pt>
                <c:pt idx="3262">
                  <c:v>62107</c:v>
                </c:pt>
                <c:pt idx="3263">
                  <c:v>62114</c:v>
                </c:pt>
                <c:pt idx="3264">
                  <c:v>62121</c:v>
                </c:pt>
                <c:pt idx="3265">
                  <c:v>62128</c:v>
                </c:pt>
                <c:pt idx="3266">
                  <c:v>62135</c:v>
                </c:pt>
                <c:pt idx="3267">
                  <c:v>62142</c:v>
                </c:pt>
                <c:pt idx="3268">
                  <c:v>62149</c:v>
                </c:pt>
                <c:pt idx="3269">
                  <c:v>62156</c:v>
                </c:pt>
                <c:pt idx="3270">
                  <c:v>62163</c:v>
                </c:pt>
                <c:pt idx="3271">
                  <c:v>62170</c:v>
                </c:pt>
                <c:pt idx="3272">
                  <c:v>62177</c:v>
                </c:pt>
                <c:pt idx="3273">
                  <c:v>62186</c:v>
                </c:pt>
                <c:pt idx="3274">
                  <c:v>62193</c:v>
                </c:pt>
                <c:pt idx="3275">
                  <c:v>62200</c:v>
                </c:pt>
                <c:pt idx="3276">
                  <c:v>62207</c:v>
                </c:pt>
                <c:pt idx="3277">
                  <c:v>62215</c:v>
                </c:pt>
                <c:pt idx="3278">
                  <c:v>62221</c:v>
                </c:pt>
                <c:pt idx="3279">
                  <c:v>62228</c:v>
                </c:pt>
                <c:pt idx="3280">
                  <c:v>62235</c:v>
                </c:pt>
                <c:pt idx="3281">
                  <c:v>62242</c:v>
                </c:pt>
                <c:pt idx="3282">
                  <c:v>62249</c:v>
                </c:pt>
                <c:pt idx="3283">
                  <c:v>62256</c:v>
                </c:pt>
                <c:pt idx="3284">
                  <c:v>62263</c:v>
                </c:pt>
                <c:pt idx="3285">
                  <c:v>62270</c:v>
                </c:pt>
                <c:pt idx="3286">
                  <c:v>62277</c:v>
                </c:pt>
                <c:pt idx="3287">
                  <c:v>62284</c:v>
                </c:pt>
                <c:pt idx="3288">
                  <c:v>62291</c:v>
                </c:pt>
                <c:pt idx="3289">
                  <c:v>62298</c:v>
                </c:pt>
                <c:pt idx="3290">
                  <c:v>62305</c:v>
                </c:pt>
                <c:pt idx="3291">
                  <c:v>62312</c:v>
                </c:pt>
                <c:pt idx="3292">
                  <c:v>62319</c:v>
                </c:pt>
                <c:pt idx="3293">
                  <c:v>62326</c:v>
                </c:pt>
                <c:pt idx="3294">
                  <c:v>62333</c:v>
                </c:pt>
                <c:pt idx="3295">
                  <c:v>62340</c:v>
                </c:pt>
                <c:pt idx="3296">
                  <c:v>62347</c:v>
                </c:pt>
                <c:pt idx="3297">
                  <c:v>62354</c:v>
                </c:pt>
                <c:pt idx="3298">
                  <c:v>62361</c:v>
                </c:pt>
                <c:pt idx="3299">
                  <c:v>62368</c:v>
                </c:pt>
                <c:pt idx="3300">
                  <c:v>62375</c:v>
                </c:pt>
                <c:pt idx="3301">
                  <c:v>62382</c:v>
                </c:pt>
                <c:pt idx="3302">
                  <c:v>62389</c:v>
                </c:pt>
                <c:pt idx="3303">
                  <c:v>62396</c:v>
                </c:pt>
                <c:pt idx="3304">
                  <c:v>62403</c:v>
                </c:pt>
                <c:pt idx="3305">
                  <c:v>62410</c:v>
                </c:pt>
                <c:pt idx="3306">
                  <c:v>62417</c:v>
                </c:pt>
                <c:pt idx="3307">
                  <c:v>62424</c:v>
                </c:pt>
                <c:pt idx="3308">
                  <c:v>62431</c:v>
                </c:pt>
                <c:pt idx="3309">
                  <c:v>62438</c:v>
                </c:pt>
                <c:pt idx="3310">
                  <c:v>62445</c:v>
                </c:pt>
                <c:pt idx="3311">
                  <c:v>62456</c:v>
                </c:pt>
                <c:pt idx="3312">
                  <c:v>62460</c:v>
                </c:pt>
                <c:pt idx="3313">
                  <c:v>62466</c:v>
                </c:pt>
                <c:pt idx="3314">
                  <c:v>62473</c:v>
                </c:pt>
                <c:pt idx="3315">
                  <c:v>62480</c:v>
                </c:pt>
                <c:pt idx="3316">
                  <c:v>62487</c:v>
                </c:pt>
                <c:pt idx="3317">
                  <c:v>62494</c:v>
                </c:pt>
                <c:pt idx="3318">
                  <c:v>62501</c:v>
                </c:pt>
                <c:pt idx="3319">
                  <c:v>62508</c:v>
                </c:pt>
                <c:pt idx="3320">
                  <c:v>62515</c:v>
                </c:pt>
                <c:pt idx="3321">
                  <c:v>62522</c:v>
                </c:pt>
                <c:pt idx="3322">
                  <c:v>62529</c:v>
                </c:pt>
                <c:pt idx="3323">
                  <c:v>62536</c:v>
                </c:pt>
                <c:pt idx="3324">
                  <c:v>62543</c:v>
                </c:pt>
                <c:pt idx="3325">
                  <c:v>62550</c:v>
                </c:pt>
                <c:pt idx="3326">
                  <c:v>62557</c:v>
                </c:pt>
                <c:pt idx="3327">
                  <c:v>62564</c:v>
                </c:pt>
                <c:pt idx="3328">
                  <c:v>62571</c:v>
                </c:pt>
                <c:pt idx="3329">
                  <c:v>62578</c:v>
                </c:pt>
                <c:pt idx="3330">
                  <c:v>62585</c:v>
                </c:pt>
                <c:pt idx="3331">
                  <c:v>62592</c:v>
                </c:pt>
                <c:pt idx="3332">
                  <c:v>62599</c:v>
                </c:pt>
                <c:pt idx="3333">
                  <c:v>62606</c:v>
                </c:pt>
                <c:pt idx="3334">
                  <c:v>62613</c:v>
                </c:pt>
                <c:pt idx="3335">
                  <c:v>62620</c:v>
                </c:pt>
                <c:pt idx="3336">
                  <c:v>62627</c:v>
                </c:pt>
                <c:pt idx="3337">
                  <c:v>62634</c:v>
                </c:pt>
                <c:pt idx="3338">
                  <c:v>62641</c:v>
                </c:pt>
                <c:pt idx="3339">
                  <c:v>62648</c:v>
                </c:pt>
                <c:pt idx="3340">
                  <c:v>62655</c:v>
                </c:pt>
                <c:pt idx="3341">
                  <c:v>62662</c:v>
                </c:pt>
                <c:pt idx="3342">
                  <c:v>62669</c:v>
                </c:pt>
                <c:pt idx="3343">
                  <c:v>62676</c:v>
                </c:pt>
                <c:pt idx="3344">
                  <c:v>62683</c:v>
                </c:pt>
                <c:pt idx="3345">
                  <c:v>62690</c:v>
                </c:pt>
                <c:pt idx="3346">
                  <c:v>62697</c:v>
                </c:pt>
                <c:pt idx="3347">
                  <c:v>62704</c:v>
                </c:pt>
                <c:pt idx="3348">
                  <c:v>62711</c:v>
                </c:pt>
                <c:pt idx="3349">
                  <c:v>62718</c:v>
                </c:pt>
                <c:pt idx="3350">
                  <c:v>62725</c:v>
                </c:pt>
                <c:pt idx="3351">
                  <c:v>62732</c:v>
                </c:pt>
                <c:pt idx="3352">
                  <c:v>62739</c:v>
                </c:pt>
                <c:pt idx="3353">
                  <c:v>62746</c:v>
                </c:pt>
                <c:pt idx="3354">
                  <c:v>62753</c:v>
                </c:pt>
                <c:pt idx="3355">
                  <c:v>62760</c:v>
                </c:pt>
                <c:pt idx="3356">
                  <c:v>62767</c:v>
                </c:pt>
                <c:pt idx="3357">
                  <c:v>62774</c:v>
                </c:pt>
                <c:pt idx="3358">
                  <c:v>62781</c:v>
                </c:pt>
                <c:pt idx="3359">
                  <c:v>62788</c:v>
                </c:pt>
                <c:pt idx="3360">
                  <c:v>62795</c:v>
                </c:pt>
                <c:pt idx="3361">
                  <c:v>62802</c:v>
                </c:pt>
                <c:pt idx="3362">
                  <c:v>62809</c:v>
                </c:pt>
                <c:pt idx="3363">
                  <c:v>62816</c:v>
                </c:pt>
                <c:pt idx="3364">
                  <c:v>62823</c:v>
                </c:pt>
                <c:pt idx="3365">
                  <c:v>62830</c:v>
                </c:pt>
                <c:pt idx="3366">
                  <c:v>62837</c:v>
                </c:pt>
                <c:pt idx="3367">
                  <c:v>62844</c:v>
                </c:pt>
                <c:pt idx="3368">
                  <c:v>62851</c:v>
                </c:pt>
                <c:pt idx="3369">
                  <c:v>62858</c:v>
                </c:pt>
                <c:pt idx="3370">
                  <c:v>62865</c:v>
                </c:pt>
                <c:pt idx="3371">
                  <c:v>62872</c:v>
                </c:pt>
                <c:pt idx="3372">
                  <c:v>62879</c:v>
                </c:pt>
                <c:pt idx="3373">
                  <c:v>62886</c:v>
                </c:pt>
                <c:pt idx="3374">
                  <c:v>62893</c:v>
                </c:pt>
                <c:pt idx="3375">
                  <c:v>62900</c:v>
                </c:pt>
                <c:pt idx="3376">
                  <c:v>62907</c:v>
                </c:pt>
                <c:pt idx="3377">
                  <c:v>62914</c:v>
                </c:pt>
                <c:pt idx="3378">
                  <c:v>62921</c:v>
                </c:pt>
                <c:pt idx="3379">
                  <c:v>62928</c:v>
                </c:pt>
                <c:pt idx="3380">
                  <c:v>62935</c:v>
                </c:pt>
                <c:pt idx="3381">
                  <c:v>62942</c:v>
                </c:pt>
                <c:pt idx="3382">
                  <c:v>62949</c:v>
                </c:pt>
                <c:pt idx="3383">
                  <c:v>62956</c:v>
                </c:pt>
                <c:pt idx="3384">
                  <c:v>62963</c:v>
                </c:pt>
                <c:pt idx="3385">
                  <c:v>62970</c:v>
                </c:pt>
                <c:pt idx="3386">
                  <c:v>62977</c:v>
                </c:pt>
                <c:pt idx="3387">
                  <c:v>62984</c:v>
                </c:pt>
                <c:pt idx="3388">
                  <c:v>62991</c:v>
                </c:pt>
                <c:pt idx="3389">
                  <c:v>62998</c:v>
                </c:pt>
                <c:pt idx="3390">
                  <c:v>63005</c:v>
                </c:pt>
                <c:pt idx="3391">
                  <c:v>63012</c:v>
                </c:pt>
                <c:pt idx="3392">
                  <c:v>63019</c:v>
                </c:pt>
                <c:pt idx="3393">
                  <c:v>63026</c:v>
                </c:pt>
                <c:pt idx="3394">
                  <c:v>63033</c:v>
                </c:pt>
                <c:pt idx="3395">
                  <c:v>63040</c:v>
                </c:pt>
                <c:pt idx="3396">
                  <c:v>63047</c:v>
                </c:pt>
                <c:pt idx="3397">
                  <c:v>63054</c:v>
                </c:pt>
                <c:pt idx="3398">
                  <c:v>63061</c:v>
                </c:pt>
                <c:pt idx="3399">
                  <c:v>63068</c:v>
                </c:pt>
                <c:pt idx="3400">
                  <c:v>63075</c:v>
                </c:pt>
                <c:pt idx="3401">
                  <c:v>63082</c:v>
                </c:pt>
                <c:pt idx="3402">
                  <c:v>63089</c:v>
                </c:pt>
                <c:pt idx="3403">
                  <c:v>63096</c:v>
                </c:pt>
                <c:pt idx="3404">
                  <c:v>63103</c:v>
                </c:pt>
                <c:pt idx="3405">
                  <c:v>63110</c:v>
                </c:pt>
                <c:pt idx="3406">
                  <c:v>63117</c:v>
                </c:pt>
                <c:pt idx="3407">
                  <c:v>63124</c:v>
                </c:pt>
                <c:pt idx="3408">
                  <c:v>63131</c:v>
                </c:pt>
                <c:pt idx="3409">
                  <c:v>63138</c:v>
                </c:pt>
                <c:pt idx="3410">
                  <c:v>63145</c:v>
                </c:pt>
                <c:pt idx="3411">
                  <c:v>63152</c:v>
                </c:pt>
                <c:pt idx="3412">
                  <c:v>63159</c:v>
                </c:pt>
                <c:pt idx="3413">
                  <c:v>63166</c:v>
                </c:pt>
                <c:pt idx="3414">
                  <c:v>63173</c:v>
                </c:pt>
                <c:pt idx="3415">
                  <c:v>63180</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63313</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63699</c:v>
                </c:pt>
                <c:pt idx="3490">
                  <c:v>63706</c:v>
                </c:pt>
                <c:pt idx="3491">
                  <c:v>63713</c:v>
                </c:pt>
                <c:pt idx="3492">
                  <c:v>63720</c:v>
                </c:pt>
                <c:pt idx="3493">
                  <c:v>63727</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63919</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Monitor!$AB$19:$AB$3552</c:f>
              <c:numCache>
                <c:formatCode>0.0000%</c:formatCode>
                <c:ptCount val="3534"/>
                <c:pt idx="0">
                  <c:v>8.9946230647619529E-4</c:v>
                </c:pt>
                <c:pt idx="1">
                  <c:v>8.9931786273922398E-4</c:v>
                </c:pt>
                <c:pt idx="2">
                  <c:v>8.9902897526528136E-4</c:v>
                </c:pt>
                <c:pt idx="3">
                  <c:v>8.9797196100249721E-4</c:v>
                </c:pt>
                <c:pt idx="4">
                  <c:v>8.9642898783992564E-4</c:v>
                </c:pt>
                <c:pt idx="5">
                  <c:v>2.3714276045261329E-3</c:v>
                </c:pt>
                <c:pt idx="6">
                  <c:v>8.9426233170541991E-4</c:v>
                </c:pt>
                <c:pt idx="7">
                  <c:v>8.8978897411706726E-4</c:v>
                </c:pt>
                <c:pt idx="8">
                  <c:v>8.8429571353465519E-4</c:v>
                </c:pt>
                <c:pt idx="9">
                  <c:v>8.8212905748008552E-4</c:v>
                </c:pt>
                <c:pt idx="10">
                  <c:v>8.7981795768854454E-4</c:v>
                </c:pt>
                <c:pt idx="11">
                  <c:v>8.7471640432212894E-4</c:v>
                </c:pt>
                <c:pt idx="12">
                  <c:v>8.6912912115266749E-4</c:v>
                </c:pt>
                <c:pt idx="13">
                  <c:v>8.6609580283614207E-4</c:v>
                </c:pt>
                <c:pt idx="14">
                  <c:v>8.6291804078264533E-4</c:v>
                </c:pt>
                <c:pt idx="15">
                  <c:v>8.5959583491224123E-4</c:v>
                </c:pt>
                <c:pt idx="16">
                  <c:v>8.5247196299320649E-4</c:v>
                </c:pt>
                <c:pt idx="17">
                  <c:v>8.4486257486027228E-4</c:v>
                </c:pt>
                <c:pt idx="18">
                  <c:v>8.408181507046919E-4</c:v>
                </c:pt>
                <c:pt idx="19">
                  <c:v>8.366292826522681E-4</c:v>
                </c:pt>
                <c:pt idx="20">
                  <c:v>8.3229597110268116E-4</c:v>
                </c:pt>
                <c:pt idx="21">
                  <c:v>8.2347511247249372E-4</c:v>
                </c:pt>
                <c:pt idx="22">
                  <c:v>8.1485587829277506E-4</c:v>
                </c:pt>
                <c:pt idx="23">
                  <c:v>8.1066797450901618E-4</c:v>
                </c:pt>
                <c:pt idx="24">
                  <c:v>8.0655253348105305E-4</c:v>
                </c:pt>
                <c:pt idx="25">
                  <c:v>1.7236466429149111E-3</c:v>
                </c:pt>
                <c:pt idx="26">
                  <c:v>7.870622710370867E-4</c:v>
                </c:pt>
                <c:pt idx="27">
                  <c:v>7.8338160702351445E-4</c:v>
                </c:pt>
                <c:pt idx="28">
                  <c:v>7.7977340584567401E-4</c:v>
                </c:pt>
                <c:pt idx="29">
                  <c:v>7.7623766750356538E-4</c:v>
                </c:pt>
                <c:pt idx="30">
                  <c:v>7.6940937794311992E-4</c:v>
                </c:pt>
                <c:pt idx="31">
                  <c:v>7.6281934233257687E-4</c:v>
                </c:pt>
                <c:pt idx="32">
                  <c:v>7.5964591800925518E-4</c:v>
                </c:pt>
                <c:pt idx="33">
                  <c:v>7.5654495660160137E-4</c:v>
                </c:pt>
                <c:pt idx="34">
                  <c:v>7.5351645802967937E-4</c:v>
                </c:pt>
                <c:pt idx="35">
                  <c:v>7.4770255632294891E-4</c:v>
                </c:pt>
                <c:pt idx="36">
                  <c:v>7.4212709145982103E-4</c:v>
                </c:pt>
                <c:pt idx="37">
                  <c:v>7.3946090690668598E-4</c:v>
                </c:pt>
                <c:pt idx="38">
                  <c:v>7.3686718510934668E-4</c:v>
                </c:pt>
                <c:pt idx="39">
                  <c:v>7.3434592614773919E-4</c:v>
                </c:pt>
                <c:pt idx="40">
                  <c:v>7.2954642918787727E-4</c:v>
                </c:pt>
                <c:pt idx="41">
                  <c:v>7.2497598588405765E-4</c:v>
                </c:pt>
                <c:pt idx="42">
                  <c:v>7.227598480508135E-4</c:v>
                </c:pt>
                <c:pt idx="43">
                  <c:v>7.2055898016287756E-4</c:v>
                </c:pt>
                <c:pt idx="44">
                  <c:v>7.1837338222024982E-4</c:v>
                </c:pt>
                <c:pt idx="45">
                  <c:v>2.0460772140040717E-3</c:v>
                </c:pt>
                <c:pt idx="46">
                  <c:v>7.097836901426291E-4</c:v>
                </c:pt>
                <c:pt idx="47">
                  <c:v>7.076744420864145E-4</c:v>
                </c:pt>
                <c:pt idx="48">
                  <c:v>7.0558046389557205E-4</c:v>
                </c:pt>
                <c:pt idx="49">
                  <c:v>7.0350175572997387E-4</c:v>
                </c:pt>
                <c:pt idx="50">
                  <c:v>6.9939659802287224E-4</c:v>
                </c:pt>
                <c:pt idx="51">
                  <c:v>6.9533962268053529E-4</c:v>
                </c:pt>
                <c:pt idx="52">
                  <c:v>6.9333726432141418E-4</c:v>
                </c:pt>
                <c:pt idx="53">
                  <c:v>6.9135017590760128E-4</c:v>
                </c:pt>
                <c:pt idx="54">
                  <c:v>6.8937835751903265E-4</c:v>
                </c:pt>
                <c:pt idx="55">
                  <c:v>6.8548692575554071E-4</c:v>
                </c:pt>
                <c:pt idx="56">
                  <c:v>6.8164378341784015E-4</c:v>
                </c:pt>
                <c:pt idx="57">
                  <c:v>6.7974831475581254E-4</c:v>
                </c:pt>
                <c:pt idx="58">
                  <c:v>6.7786811603909314E-4</c:v>
                </c:pt>
                <c:pt idx="59">
                  <c:v>6.76003187347618E-4</c:v>
                </c:pt>
                <c:pt idx="60">
                  <c:v>6.7232548547124793E-4</c:v>
                </c:pt>
                <c:pt idx="61">
                  <c:v>6.6869617219467159E-4</c:v>
                </c:pt>
                <c:pt idx="62">
                  <c:v>6.6690759322973747E-4</c:v>
                </c:pt>
                <c:pt idx="63">
                  <c:v>6.6517720291869864E-4</c:v>
                </c:pt>
                <c:pt idx="64">
                  <c:v>6.6367667545641496E-4</c:v>
                </c:pt>
                <c:pt idx="65">
                  <c:v>6.6158610811051233E-4</c:v>
                </c:pt>
                <c:pt idx="66">
                  <c:v>6.6040238086095826E-4</c:v>
                </c:pt>
                <c:pt idx="67">
                  <c:v>3.2882897654396004E-3</c:v>
                </c:pt>
                <c:pt idx="68">
                  <c:v>6.6040192250760299E-4</c:v>
                </c:pt>
                <c:pt idx="69">
                  <c:v>6.6081086562697067E-4</c:v>
                </c:pt>
                <c:pt idx="70">
                  <c:v>6.6253924280168519E-4</c:v>
                </c:pt>
                <c:pt idx="71">
                  <c:v>6.6517445303837519E-4</c:v>
                </c:pt>
                <c:pt idx="72">
                  <c:v>6.6694730370464583E-4</c:v>
                </c:pt>
                <c:pt idx="73">
                  <c:v>6.6899293576838659E-4</c:v>
                </c:pt>
                <c:pt idx="74">
                  <c:v>6.7131134954934168E-4</c:v>
                </c:pt>
                <c:pt idx="75">
                  <c:v>6.7685872120470947E-4</c:v>
                </c:pt>
                <c:pt idx="76">
                  <c:v>6.8331281944722377E-4</c:v>
                </c:pt>
                <c:pt idx="77">
                  <c:v>6.8699514093495395E-4</c:v>
                </c:pt>
                <c:pt idx="78">
                  <c:v>6.9095024382015424E-4</c:v>
                </c:pt>
                <c:pt idx="79">
                  <c:v>6.9517812826269676E-4</c:v>
                </c:pt>
                <c:pt idx="80">
                  <c:v>7.0454454808910327E-4</c:v>
                </c:pt>
                <c:pt idx="81">
                  <c:v>7.1481748224577757E-4</c:v>
                </c:pt>
                <c:pt idx="82">
                  <c:v>7.2040927479477546E-4</c:v>
                </c:pt>
                <c:pt idx="83">
                  <c:v>7.2627384898105163E-4</c:v>
                </c:pt>
                <c:pt idx="84">
                  <c:v>7.3241120480460609E-4</c:v>
                </c:pt>
                <c:pt idx="85">
                  <c:v>7.447818848049792E-4</c:v>
                </c:pt>
                <c:pt idx="86">
                  <c:v>7.5633852804735113E-4</c:v>
                </c:pt>
                <c:pt idx="87">
                  <c:v>7.6166687333234506E-4</c:v>
                </c:pt>
                <c:pt idx="88">
                  <c:v>7.6672477047345922E-4</c:v>
                </c:pt>
                <c:pt idx="89">
                  <c:v>7.7151221947069359E-4</c:v>
                </c:pt>
                <c:pt idx="90">
                  <c:v>9.1218831800077282E-4</c:v>
                </c:pt>
                <c:pt idx="91">
                  <c:v>7.8795753442051364E-4</c:v>
                </c:pt>
                <c:pt idx="92">
                  <c:v>7.913927427782852E-4</c:v>
                </c:pt>
                <c:pt idx="93">
                  <c:v>7.9455750291224092E-4</c:v>
                </c:pt>
                <c:pt idx="94">
                  <c:v>7.9745181506218898E-4</c:v>
                </c:pt>
                <c:pt idx="95">
                  <c:v>8.0234073334572997E-4</c:v>
                </c:pt>
                <c:pt idx="96">
                  <c:v>8.0632458134388685E-4</c:v>
                </c:pt>
                <c:pt idx="97">
                  <c:v>8.0786665253462786E-4</c:v>
                </c:pt>
                <c:pt idx="98">
                  <c:v>8.0913827542161698E-4</c:v>
                </c:pt>
                <c:pt idx="99">
                  <c:v>8.1013945016472633E-4</c:v>
                </c:pt>
                <c:pt idx="100">
                  <c:v>8.1124213368255482E-4</c:v>
                </c:pt>
                <c:pt idx="101">
                  <c:v>8.1143966705887749E-4</c:v>
                </c:pt>
                <c:pt idx="102">
                  <c:v>8.1108860076284373E-4</c:v>
                </c:pt>
                <c:pt idx="103">
                  <c:v>8.1046708624299413E-4</c:v>
                </c:pt>
                <c:pt idx="104">
                  <c:v>8.095751234993287E-4</c:v>
                </c:pt>
                <c:pt idx="105">
                  <c:v>8.0689151269908166E-4</c:v>
                </c:pt>
                <c:pt idx="106">
                  <c:v>8.0339874624968388E-4</c:v>
                </c:pt>
                <c:pt idx="107">
                  <c:v>8.0173027536822872E-4</c:v>
                </c:pt>
                <c:pt idx="108">
                  <c:v>8.0036708908437504E-4</c:v>
                </c:pt>
                <c:pt idx="109">
                  <c:v>7.993091874780589E-4</c:v>
                </c:pt>
                <c:pt idx="110">
                  <c:v>7.9821276924185725E-4</c:v>
                </c:pt>
                <c:pt idx="111">
                  <c:v>1.2661320727058722E-3</c:v>
                </c:pt>
                <c:pt idx="112">
                  <c:v>7.9859894801082021E-4</c:v>
                </c:pt>
                <c:pt idx="113">
                  <c:v>7.9937275391017693E-4</c:v>
                </c:pt>
                <c:pt idx="114">
                  <c:v>8.0045184440713513E-4</c:v>
                </c:pt>
                <c:pt idx="115">
                  <c:v>8.0362943465139836E-4</c:v>
                </c:pt>
                <c:pt idx="116">
                  <c:v>8.0782105245091884E-4</c:v>
                </c:pt>
                <c:pt idx="117">
                  <c:v>8.1042656593588447E-4</c:v>
                </c:pt>
                <c:pt idx="118">
                  <c:v>8.133373641783237E-4</c:v>
                </c:pt>
                <c:pt idx="119">
                  <c:v>8.1655344685849229E-4</c:v>
                </c:pt>
                <c:pt idx="120">
                  <c:v>8.2400511403513121E-4</c:v>
                </c:pt>
                <c:pt idx="121">
                  <c:v>8.3247062451441423E-4</c:v>
                </c:pt>
                <c:pt idx="122">
                  <c:v>8.3721313074214265E-4</c:v>
                </c:pt>
                <c:pt idx="123">
                  <c:v>8.4226092148753651E-4</c:v>
                </c:pt>
                <c:pt idx="124">
                  <c:v>8.4761399699040396E-4</c:v>
                </c:pt>
                <c:pt idx="125">
                  <c:v>8.5933981496033596E-4</c:v>
                </c:pt>
                <c:pt idx="126">
                  <c:v>8.7207914633680161E-4</c:v>
                </c:pt>
                <c:pt idx="127">
                  <c:v>8.7895864554710101E-4</c:v>
                </c:pt>
                <c:pt idx="128">
                  <c:v>8.8614342959481007E-4</c:v>
                </c:pt>
                <c:pt idx="129">
                  <c:v>8.9347920638083167E-4</c:v>
                </c:pt>
                <c:pt idx="130">
                  <c:v>9.0639340153408909E-4</c:v>
                </c:pt>
                <c:pt idx="131">
                  <c:v>9.1723480778682642E-4</c:v>
                </c:pt>
                <c:pt idx="132">
                  <c:v>9.2162253940486494E-4</c:v>
                </c:pt>
                <c:pt idx="133">
                  <c:v>4.6334375279766249E-3</c:v>
                </c:pt>
                <c:pt idx="134">
                  <c:v>9.2853660016878337E-4</c:v>
                </c:pt>
                <c:pt idx="135">
                  <c:v>9.3276438498435255E-4</c:v>
                </c:pt>
                <c:pt idx="136">
                  <c:v>9.3491911092868918E-4</c:v>
                </c:pt>
                <c:pt idx="137">
                  <c:v>9.3496356968536531E-4</c:v>
                </c:pt>
                <c:pt idx="138">
                  <c:v>9.3438756084474051E-4</c:v>
                </c:pt>
                <c:pt idx="139">
                  <c:v>9.3319108440681475E-4</c:v>
                </c:pt>
                <c:pt idx="140">
                  <c:v>9.287323021833771E-4</c:v>
                </c:pt>
                <c:pt idx="141">
                  <c:v>9.2220050292191047E-4</c:v>
                </c:pt>
                <c:pt idx="142">
                  <c:v>9.1790168873728817E-4</c:v>
                </c:pt>
                <c:pt idx="143">
                  <c:v>9.1298240695536492E-4</c:v>
                </c:pt>
                <c:pt idx="144">
                  <c:v>9.0744265781594891E-4</c:v>
                </c:pt>
                <c:pt idx="145">
                  <c:v>8.9429715619537831E-4</c:v>
                </c:pt>
                <c:pt idx="146">
                  <c:v>8.7907898688399655E-4</c:v>
                </c:pt>
                <c:pt idx="147">
                  <c:v>8.7043690087718062E-4</c:v>
                </c:pt>
                <c:pt idx="148">
                  <c:v>8.6117434751287192E-4</c:v>
                </c:pt>
                <c:pt idx="149">
                  <c:v>8.5129132703087862E-4</c:v>
                </c:pt>
                <c:pt idx="150">
                  <c:v>8.2945897315944705E-4</c:v>
                </c:pt>
                <c:pt idx="151">
                  <c:v>8.0572875931217425E-4</c:v>
                </c:pt>
                <c:pt idx="152">
                  <c:v>7.9378851571831888E-4</c:v>
                </c:pt>
                <c:pt idx="153">
                  <c:v>7.8227291748333982E-4</c:v>
                </c:pt>
                <c:pt idx="154">
                  <c:v>7.7118196452730103E-4</c:v>
                </c:pt>
                <c:pt idx="155">
                  <c:v>2.1664426705125805E-3</c:v>
                </c:pt>
                <c:pt idx="156">
                  <c:v>7.3106460397376338E-4</c:v>
                </c:pt>
                <c:pt idx="157">
                  <c:v>7.2209687653312926E-4</c:v>
                </c:pt>
                <c:pt idx="158">
                  <c:v>7.1355379405169117E-4</c:v>
                </c:pt>
                <c:pt idx="159">
                  <c:v>7.0543535660938517E-4</c:v>
                </c:pt>
                <c:pt idx="160">
                  <c:v>6.9061528970237873E-4</c:v>
                </c:pt>
                <c:pt idx="161">
                  <c:v>6.7720805611237722E-4</c:v>
                </c:pt>
                <c:pt idx="162">
                  <c:v>6.7121284330617925E-4</c:v>
                </c:pt>
                <c:pt idx="163">
                  <c:v>6.6564227513943308E-4</c:v>
                </c:pt>
                <c:pt idx="164">
                  <c:v>6.6049635185194688E-4</c:v>
                </c:pt>
                <c:pt idx="165">
                  <c:v>6.5162116742456533E-4</c:v>
                </c:pt>
                <c:pt idx="166">
                  <c:v>6.4415910653536912E-4</c:v>
                </c:pt>
                <c:pt idx="167">
                  <c:v>6.4113640716456644E-4</c:v>
                </c:pt>
                <c:pt idx="168">
                  <c:v>6.3853835251315161E-4</c:v>
                </c:pt>
                <c:pt idx="169">
                  <c:v>6.3636494242125252E-4</c:v>
                </c:pt>
                <c:pt idx="170">
                  <c:v>6.3343471934373952E-4</c:v>
                </c:pt>
                <c:pt idx="171">
                  <c:v>6.3191774948734292E-4</c:v>
                </c:pt>
                <c:pt idx="172">
                  <c:v>6.3186756299238311E-4</c:v>
                </c:pt>
                <c:pt idx="173">
                  <c:v>6.3207293143463517E-4</c:v>
                </c:pt>
                <c:pt idx="174">
                  <c:v>6.3185749552552295E-4</c:v>
                </c:pt>
                <c:pt idx="175">
                  <c:v>6.294614108082186E-4</c:v>
                </c:pt>
                <c:pt idx="176">
                  <c:v>4.8731543145574818E-3</c:v>
                </c:pt>
                <c:pt idx="177">
                  <c:v>6.2193190501602658E-4</c:v>
                </c:pt>
                <c:pt idx="178">
                  <c:v>6.1817710478528909E-4</c:v>
                </c:pt>
                <c:pt idx="179">
                  <c:v>6.1383241058088345E-4</c:v>
                </c:pt>
                <c:pt idx="180">
                  <c:v>6.0317771934492725E-4</c:v>
                </c:pt>
                <c:pt idx="181">
                  <c:v>5.9055469386670723E-4</c:v>
                </c:pt>
                <c:pt idx="182">
                  <c:v>5.8326052987389687E-4</c:v>
                </c:pt>
                <c:pt idx="183">
                  <c:v>5.7537647206729048E-4</c:v>
                </c:pt>
                <c:pt idx="184">
                  <c:v>5.6690252044688805E-4</c:v>
                </c:pt>
                <c:pt idx="185">
                  <c:v>5.4798913881271005E-4</c:v>
                </c:pt>
                <c:pt idx="186">
                  <c:v>5.2710777686648669E-4</c:v>
                </c:pt>
                <c:pt idx="187">
                  <c:v>5.1568435689652858E-4</c:v>
                </c:pt>
                <c:pt idx="188">
                  <c:v>5.0367104343251867E-4</c:v>
                </c:pt>
                <c:pt idx="189">
                  <c:v>4.9106783655439301E-4</c:v>
                </c:pt>
                <c:pt idx="190">
                  <c:v>4.6389570915295053E-4</c:v>
                </c:pt>
                <c:pt idx="191">
                  <c:v>4.3475607570009345E-4</c:v>
                </c:pt>
                <c:pt idx="192">
                  <c:v>4.1920340255074962E-4</c:v>
                </c:pt>
                <c:pt idx="193">
                  <c:v>4.0306083630703426E-4</c:v>
                </c:pt>
                <c:pt idx="194">
                  <c:v>3.6434047888667109E-4</c:v>
                </c:pt>
                <c:pt idx="195">
                  <c:v>3.309798089201621E-4</c:v>
                </c:pt>
                <c:pt idx="196">
                  <c:v>3.1989470304694123E-4</c:v>
                </c:pt>
                <c:pt idx="197">
                  <c:v>3.0993906745102606E-4</c:v>
                </c:pt>
                <c:pt idx="198">
                  <c:v>2.9817868366621703E-3</c:v>
                </c:pt>
                <c:pt idx="199">
                  <c:v>2.7710294107308187E-4</c:v>
                </c:pt>
                <c:pt idx="200">
                  <c:v>2.7392412578208791E-4</c:v>
                </c:pt>
                <c:pt idx="201">
                  <c:v>2.7187478020884726E-4</c:v>
                </c:pt>
                <c:pt idx="202">
                  <c:v>2.7095490451323201E-4</c:v>
                </c:pt>
                <c:pt idx="203">
                  <c:v>2.7288025958860374E-4</c:v>
                </c:pt>
                <c:pt idx="204">
                  <c:v>2.7857010042708907E-4</c:v>
                </c:pt>
                <c:pt idx="205">
                  <c:v>2.8329757411960088E-4</c:v>
                </c:pt>
                <c:pt idx="206">
                  <c:v>2.891545176897381E-4</c:v>
                </c:pt>
                <c:pt idx="207">
                  <c:v>2.9614093145724496E-4</c:v>
                </c:pt>
                <c:pt idx="208">
                  <c:v>3.1387893268508549E-4</c:v>
                </c:pt>
                <c:pt idx="209">
                  <c:v>3.3538128770160824E-4</c:v>
                </c:pt>
                <c:pt idx="210">
                  <c:v>3.4801505253589937E-4</c:v>
                </c:pt>
                <c:pt idx="211">
                  <c:v>3.6177828804717649E-4</c:v>
                </c:pt>
                <c:pt idx="212">
                  <c:v>3.7667099423543959E-4</c:v>
                </c:pt>
                <c:pt idx="213">
                  <c:v>4.1022177676097726E-4</c:v>
                </c:pt>
                <c:pt idx="214">
                  <c:v>4.4722782869044408E-4</c:v>
                </c:pt>
                <c:pt idx="215">
                  <c:v>4.659156900288508E-4</c:v>
                </c:pt>
                <c:pt idx="216">
                  <c:v>4.8388082197092785E-4</c:v>
                </c:pt>
                <c:pt idx="217">
                  <c:v>5.0112322459661129E-4</c:v>
                </c:pt>
                <c:pt idx="218">
                  <c:v>1.1452055612348744E-3</c:v>
                </c:pt>
                <c:pt idx="219">
                  <c:v>5.6286553873796663E-4</c:v>
                </c:pt>
                <c:pt idx="220">
                  <c:v>5.7649429286321663E-4</c:v>
                </c:pt>
                <c:pt idx="221">
                  <c:v>5.894003169526485E-4</c:v>
                </c:pt>
                <c:pt idx="222">
                  <c:v>6.0158361100626223E-4</c:v>
                </c:pt>
                <c:pt idx="223">
                  <c:v>6.2354217855720151E-4</c:v>
                </c:pt>
                <c:pt idx="224">
                  <c:v>6.4308948550362288E-4</c:v>
                </c:pt>
                <c:pt idx="225">
                  <c:v>6.5165912833897721E-4</c:v>
                </c:pt>
                <c:pt idx="226">
                  <c:v>6.5950604073883312E-4</c:v>
                </c:pt>
                <c:pt idx="227">
                  <c:v>6.6663022270319061E-4</c:v>
                </c:pt>
                <c:pt idx="228">
                  <c:v>6.7847076359761616E-4</c:v>
                </c:pt>
                <c:pt idx="229">
                  <c:v>6.8789964524640368E-4</c:v>
                </c:pt>
                <c:pt idx="230">
                  <c:v>6.9141017431384455E-4</c:v>
                </c:pt>
                <c:pt idx="231">
                  <c:v>6.9419797278591489E-4</c:v>
                </c:pt>
                <c:pt idx="232">
                  <c:v>6.9626304050274257E-4</c:v>
                </c:pt>
                <c:pt idx="233">
                  <c:v>6.9798542708277012E-4</c:v>
                </c:pt>
                <c:pt idx="234">
                  <c:v>6.9729600477685949E-4</c:v>
                </c:pt>
                <c:pt idx="235">
                  <c:v>6.9574741903721815E-4</c:v>
                </c:pt>
                <c:pt idx="236">
                  <c:v>6.9368639248779118E-4</c:v>
                </c:pt>
                <c:pt idx="237">
                  <c:v>6.9195408419098214E-4</c:v>
                </c:pt>
                <c:pt idx="238">
                  <c:v>6.9028748487909297E-4</c:v>
                </c:pt>
                <c:pt idx="239">
                  <c:v>1.8784211307210086E-3</c:v>
                </c:pt>
                <c:pt idx="240">
                  <c:v>6.9137766407934009E-4</c:v>
                </c:pt>
                <c:pt idx="241">
                  <c:v>6.9287940425155625E-4</c:v>
                </c:pt>
                <c:pt idx="242">
                  <c:v>6.9492015254191131E-4</c:v>
                </c:pt>
                <c:pt idx="243">
                  <c:v>7.0079970703851302E-4</c:v>
                </c:pt>
                <c:pt idx="244">
                  <c:v>7.0847322680478442E-4</c:v>
                </c:pt>
                <c:pt idx="245">
                  <c:v>7.1320901576577E-4</c:v>
                </c:pt>
                <c:pt idx="246">
                  <c:v>7.1848381284489449E-4</c:v>
                </c:pt>
                <c:pt idx="247">
                  <c:v>7.2429761820202998E-4</c:v>
                </c:pt>
                <c:pt idx="248">
                  <c:v>7.377234346872541E-4</c:v>
                </c:pt>
                <c:pt idx="249">
                  <c:v>7.5294292209093783E-4</c:v>
                </c:pt>
                <c:pt idx="250">
                  <c:v>7.6145176883812837E-4</c:v>
                </c:pt>
                <c:pt idx="251">
                  <c:v>7.7049962402320205E-4</c:v>
                </c:pt>
                <c:pt idx="252">
                  <c:v>7.8008648756622279E-4</c:v>
                </c:pt>
                <c:pt idx="253">
                  <c:v>8.0105869223245918E-4</c:v>
                </c:pt>
                <c:pt idx="254">
                  <c:v>8.2382402739611393E-4</c:v>
                </c:pt>
                <c:pt idx="255">
                  <c:v>8.3610593384797482E-4</c:v>
                </c:pt>
                <c:pt idx="256">
                  <c:v>8.4892684913739913E-4</c:v>
                </c:pt>
                <c:pt idx="257">
                  <c:v>8.8618931142114832E-4</c:v>
                </c:pt>
                <c:pt idx="258">
                  <c:v>9.190526694080603E-4</c:v>
                </c:pt>
                <c:pt idx="259">
                  <c:v>9.2847874684665044E-4</c:v>
                </c:pt>
                <c:pt idx="260">
                  <c:v>9.3724918290405412E-4</c:v>
                </c:pt>
                <c:pt idx="261">
                  <c:v>9.5260710445188579E-4</c:v>
                </c:pt>
                <c:pt idx="262">
                  <c:v>9.6577451324186825E-4</c:v>
                </c:pt>
                <c:pt idx="263">
                  <c:v>9.7126674207359542E-4</c:v>
                </c:pt>
                <c:pt idx="264">
                  <c:v>9.7610332952413614E-4</c:v>
                </c:pt>
                <c:pt idx="265">
                  <c:v>9.8028427527374618E-4</c:v>
                </c:pt>
                <c:pt idx="266">
                  <c:v>9.8646339798058591E-4</c:v>
                </c:pt>
                <c:pt idx="267">
                  <c:v>9.9045164238198424E-4</c:v>
                </c:pt>
                <c:pt idx="268">
                  <c:v>9.9135438010655719E-4</c:v>
                </c:pt>
                <c:pt idx="269">
                  <c:v>9.916014762101355E-4</c:v>
                </c:pt>
                <c:pt idx="270">
                  <c:v>9.9119293053284707E-4</c:v>
                </c:pt>
                <c:pt idx="271">
                  <c:v>9.8819307976505399E-4</c:v>
                </c:pt>
                <c:pt idx="272">
                  <c:v>9.8300233169368312E-4</c:v>
                </c:pt>
                <c:pt idx="273">
                  <c:v>9.793155779913576E-4</c:v>
                </c:pt>
                <c:pt idx="274">
                  <c:v>9.7497318266803745E-4</c:v>
                </c:pt>
                <c:pt idx="275">
                  <c:v>9.6997514572372268E-4</c:v>
                </c:pt>
                <c:pt idx="276">
                  <c:v>9.5779614841973171E-4</c:v>
                </c:pt>
                <c:pt idx="277">
                  <c:v>9.4342658317536632E-4</c:v>
                </c:pt>
                <c:pt idx="278">
                  <c:v>9.352819126373646E-4</c:v>
                </c:pt>
                <c:pt idx="279">
                  <c:v>9.2713946943767667E-4</c:v>
                </c:pt>
                <c:pt idx="280">
                  <c:v>9.1913082720829209E-4</c:v>
                </c:pt>
                <c:pt idx="281">
                  <c:v>9.0356181376982647E-4</c:v>
                </c:pt>
                <c:pt idx="282">
                  <c:v>8.8843426799378733E-4</c:v>
                </c:pt>
                <c:pt idx="283">
                  <c:v>8.8109463061591953E-4</c:v>
                </c:pt>
                <c:pt idx="284">
                  <c:v>8.7388879412841902E-4</c:v>
                </c:pt>
                <c:pt idx="285">
                  <c:v>8.6681675853128581E-4</c:v>
                </c:pt>
                <c:pt idx="286">
                  <c:v>8.5312071218091035E-4</c:v>
                </c:pt>
                <c:pt idx="287">
                  <c:v>8.398666255260423E-4</c:v>
                </c:pt>
                <c:pt idx="288">
                  <c:v>8.3346359454061769E-4</c:v>
                </c:pt>
                <c:pt idx="289">
                  <c:v>8.2719436436562432E-4</c:v>
                </c:pt>
                <c:pt idx="290">
                  <c:v>8.2105893516093431E-4</c:v>
                </c:pt>
                <c:pt idx="291">
                  <c:v>8.0923589853121314E-4</c:v>
                </c:pt>
                <c:pt idx="292">
                  <c:v>7.9785522676623089E-4</c:v>
                </c:pt>
                <c:pt idx="293">
                  <c:v>7.9238880177356918E-4</c:v>
                </c:pt>
                <c:pt idx="294">
                  <c:v>7.8705617767127478E-4</c:v>
                </c:pt>
                <c:pt idx="295">
                  <c:v>7.8185735445934768E-4</c:v>
                </c:pt>
                <c:pt idx="296">
                  <c:v>7.7190736562648965E-4</c:v>
                </c:pt>
                <c:pt idx="297">
                  <c:v>7.6240006939620741E-4</c:v>
                </c:pt>
                <c:pt idx="298">
                  <c:v>7.5785969372077489E-4</c:v>
                </c:pt>
                <c:pt idx="299">
                  <c:v>7.5340033651727367E-4</c:v>
                </c:pt>
                <c:pt idx="300">
                  <c:v>7.490114411901061E-4</c:v>
                </c:pt>
                <c:pt idx="301">
                  <c:v>7.4047004669175465E-4</c:v>
                </c:pt>
                <c:pt idx="302">
                  <c:v>7.3216047928426065E-4</c:v>
                </c:pt>
                <c:pt idx="303">
                  <c:v>7.2812389365850549E-4</c:v>
                </c:pt>
                <c:pt idx="304">
                  <c:v>7.2415776998902004E-4</c:v>
                </c:pt>
                <c:pt idx="305">
                  <c:v>7.2026210819586822E-4</c:v>
                </c:pt>
                <c:pt idx="306">
                  <c:v>7.1270706864190458E-4</c:v>
                </c:pt>
                <c:pt idx="307">
                  <c:v>7.0538408026621369E-4</c:v>
                </c:pt>
                <c:pt idx="308">
                  <c:v>7.0184072809453824E-4</c:v>
                </c:pt>
                <c:pt idx="309">
                  <c:v>6.9836783779919642E-4</c:v>
                </c:pt>
                <c:pt idx="310">
                  <c:v>6.9496540946012431E-4</c:v>
                </c:pt>
                <c:pt idx="311">
                  <c:v>6.8839674214338231E-4</c:v>
                </c:pt>
                <c:pt idx="312">
                  <c:v>6.820603151069804E-4</c:v>
                </c:pt>
                <c:pt idx="313">
                  <c:v>6.7901019630944859E-4</c:v>
                </c:pt>
                <c:pt idx="314">
                  <c:v>6.7603053938825042E-4</c:v>
                </c:pt>
                <c:pt idx="315">
                  <c:v>6.7312134434338589E-4</c:v>
                </c:pt>
                <c:pt idx="316">
                  <c:v>6.6753906509120498E-4</c:v>
                </c:pt>
                <c:pt idx="317">
                  <c:v>6.6218918324700837E-4</c:v>
                </c:pt>
                <c:pt idx="318">
                  <c:v>6.5963229758381203E-4</c:v>
                </c:pt>
                <c:pt idx="319">
                  <c:v>6.571458740367575E-4</c:v>
                </c:pt>
                <c:pt idx="320">
                  <c:v>6.547299122061645E-4</c:v>
                </c:pt>
                <c:pt idx="321">
                  <c:v>6.5035955551628888E-4</c:v>
                </c:pt>
                <c:pt idx="322">
                  <c:v>6.4669781769666201E-4</c:v>
                </c:pt>
                <c:pt idx="323">
                  <c:v>6.4523554939022176E-4</c:v>
                </c:pt>
                <c:pt idx="324">
                  <c:v>6.4399408893578425E-4</c:v>
                </c:pt>
                <c:pt idx="325">
                  <c:v>6.4297343641328553E-4</c:v>
                </c:pt>
                <c:pt idx="326">
                  <c:v>6.4166930126674515E-4</c:v>
                </c:pt>
                <c:pt idx="327">
                  <c:v>6.4109890500319011E-4</c:v>
                </c:pt>
                <c:pt idx="328">
                  <c:v>6.4118229190057718E-4</c:v>
                </c:pt>
                <c:pt idx="329">
                  <c:v>6.4148648664996699E-4</c:v>
                </c:pt>
                <c:pt idx="330">
                  <c:v>6.4201148925135954E-4</c:v>
                </c:pt>
                <c:pt idx="331">
                  <c:v>6.4379867205310859E-4</c:v>
                </c:pt>
                <c:pt idx="332">
                  <c:v>6.463195784967013E-4</c:v>
                </c:pt>
                <c:pt idx="333">
                  <c:v>6.4794862059791569E-4</c:v>
                </c:pt>
                <c:pt idx="334">
                  <c:v>6.4979847047119677E-4</c:v>
                </c:pt>
                <c:pt idx="335">
                  <c:v>6.5186912835635269E-4</c:v>
                </c:pt>
                <c:pt idx="336">
                  <c:v>6.5674766840828624E-4</c:v>
                </c:pt>
                <c:pt idx="337">
                  <c:v>6.6235983865681192E-4</c:v>
                </c:pt>
                <c:pt idx="338">
                  <c:v>6.6553453604178969E-4</c:v>
                </c:pt>
                <c:pt idx="339">
                  <c:v>6.6893004135870626E-4</c:v>
                </c:pt>
                <c:pt idx="340">
                  <c:v>6.7254635452762557E-4</c:v>
                </c:pt>
                <c:pt idx="341">
                  <c:v>6.8051629382281931E-4</c:v>
                </c:pt>
                <c:pt idx="342">
                  <c:v>6.8916934039542355E-4</c:v>
                </c:pt>
                <c:pt idx="343">
                  <c:v>6.9358761462190444E-4</c:v>
                </c:pt>
                <c:pt idx="344">
                  <c:v>6.979246178584475E-4</c:v>
                </c:pt>
                <c:pt idx="345">
                  <c:v>7.0218035034486093E-4</c:v>
                </c:pt>
                <c:pt idx="346">
                  <c:v>7.1042231452267401E-4</c:v>
                </c:pt>
                <c:pt idx="347">
                  <c:v>7.1839057198985756E-4</c:v>
                </c:pt>
                <c:pt idx="348">
                  <c:v>7.2223995016607034E-4</c:v>
                </c:pt>
                <c:pt idx="349">
                  <c:v>7.2600805759215348E-4</c:v>
                </c:pt>
                <c:pt idx="350">
                  <c:v>7.2969489410823485E-4</c:v>
                </c:pt>
                <c:pt idx="351">
                  <c:v>7.3679917223401503E-4</c:v>
                </c:pt>
                <c:pt idx="352">
                  <c:v>7.4362953155215905E-4</c:v>
                </c:pt>
                <c:pt idx="353">
                  <c:v>7.4691001367810372E-4</c:v>
                </c:pt>
                <c:pt idx="354">
                  <c:v>7.5010922505391875E-4</c:v>
                </c:pt>
                <c:pt idx="355">
                  <c:v>7.5322716543979595E-4</c:v>
                </c:pt>
                <c:pt idx="356">
                  <c:v>7.5919374445732046E-4</c:v>
                </c:pt>
                <c:pt idx="357">
                  <c:v>7.6488621836290349E-4</c:v>
                </c:pt>
                <c:pt idx="358">
                  <c:v>7.6759780443858006E-4</c:v>
                </c:pt>
                <c:pt idx="359">
                  <c:v>7.702281195243188E-4</c:v>
                </c:pt>
                <c:pt idx="360">
                  <c:v>7.727771638599279E-4</c:v>
                </c:pt>
                <c:pt idx="361">
                  <c:v>7.7760602895438069E-4</c:v>
                </c:pt>
                <c:pt idx="362">
                  <c:v>7.8216063186253848E-4</c:v>
                </c:pt>
                <c:pt idx="363">
                  <c:v>7.8430332164813876E-4</c:v>
                </c:pt>
                <c:pt idx="364">
                  <c:v>7.8644421950713195E-4</c:v>
                </c:pt>
                <c:pt idx="365">
                  <c:v>7.8890124169284093E-4</c:v>
                </c:pt>
                <c:pt idx="366">
                  <c:v>7.9513572014633382E-4</c:v>
                </c:pt>
                <c:pt idx="367">
                  <c:v>8.0268536401639778E-4</c:v>
                </c:pt>
                <c:pt idx="368">
                  <c:v>8.0712040307240329E-4</c:v>
                </c:pt>
                <c:pt idx="369">
                  <c:v>8.1195104551845532E-4</c:v>
                </c:pt>
                <c:pt idx="370">
                  <c:v>8.171772912746178E-4</c:v>
                </c:pt>
                <c:pt idx="371">
                  <c:v>8.2895036991992299E-4</c:v>
                </c:pt>
                <c:pt idx="372">
                  <c:v>8.4203830931883772E-4</c:v>
                </c:pt>
                <c:pt idx="373">
                  <c:v>8.4924257250484914E-4</c:v>
                </c:pt>
                <c:pt idx="374">
                  <c:v>8.5684243932071524E-4</c:v>
                </c:pt>
                <c:pt idx="375">
                  <c:v>8.6483790952662787E-4</c:v>
                </c:pt>
                <c:pt idx="376">
                  <c:v>8.8214969052202719E-4</c:v>
                </c:pt>
                <c:pt idx="377">
                  <c:v>9.0077582712844162E-4</c:v>
                </c:pt>
                <c:pt idx="378">
                  <c:v>9.1074931572343587E-4</c:v>
                </c:pt>
                <c:pt idx="379">
                  <c:v>9.2111840810815693E-4</c:v>
                </c:pt>
                <c:pt idx="380">
                  <c:v>9.3188310420266873E-4</c:v>
                </c:pt>
                <c:pt idx="381">
                  <c:v>9.5473370771870236E-4</c:v>
                </c:pt>
                <c:pt idx="382">
                  <c:v>9.7889792719740853E-4</c:v>
                </c:pt>
                <c:pt idx="383">
                  <c:v>9.9164064280010678E-4</c:v>
                </c:pt>
                <c:pt idx="384">
                  <c:v>1.0047789623524039E-3</c:v>
                </c:pt>
                <c:pt idx="385">
                  <c:v>1.0183128859342361E-3</c:v>
                </c:pt>
                <c:pt idx="386">
                  <c:v>1.0467024567351046E-3</c:v>
                </c:pt>
                <c:pt idx="387">
                  <c:v>1.0761900069500285E-3</c:v>
                </c:pt>
                <c:pt idx="388">
                  <c:v>1.0904142610446144E-3</c:v>
                </c:pt>
                <c:pt idx="389">
                  <c:v>1.1037464288143894E-3</c:v>
                </c:pt>
                <c:pt idx="390">
                  <c:v>1.1161865101794177E-3</c:v>
                </c:pt>
                <c:pt idx="391">
                  <c:v>1.1380966489227262E-3</c:v>
                </c:pt>
                <c:pt idx="392">
                  <c:v>1.1570259697535334E-3</c:v>
                </c:pt>
                <c:pt idx="393">
                  <c:v>1.1650056178158508E-3</c:v>
                </c:pt>
                <c:pt idx="394">
                  <c:v>1.1720931789938049E-3</c:v>
                </c:pt>
                <c:pt idx="395">
                  <c:v>1.178288653287396E-3</c:v>
                </c:pt>
                <c:pt idx="396">
                  <c:v>1.1877098969659272E-3</c:v>
                </c:pt>
                <c:pt idx="397">
                  <c:v>1.1941496802592155E-3</c:v>
                </c:pt>
                <c:pt idx="398">
                  <c:v>1.1958847194115663E-3</c:v>
                </c:pt>
                <c:pt idx="399">
                  <c:v>1.1967276714397457E-3</c:v>
                </c:pt>
                <c:pt idx="400">
                  <c:v>1.1966785362638177E-3</c:v>
                </c:pt>
                <c:pt idx="401">
                  <c:v>1.1936105999321711E-3</c:v>
                </c:pt>
                <c:pt idx="402">
                  <c:v>1.187561124957881E-3</c:v>
                </c:pt>
                <c:pt idx="403">
                  <c:v>1.1830515544808407E-3</c:v>
                </c:pt>
                <c:pt idx="404">
                  <c:v>1.1776498970395011E-3</c:v>
                </c:pt>
                <c:pt idx="405">
                  <c:v>1.1713561525539262E-3</c:v>
                </c:pt>
                <c:pt idx="406">
                  <c:v>1.1557987513732826E-3</c:v>
                </c:pt>
                <c:pt idx="407">
                  <c:v>1.1372603061676756E-3</c:v>
                </c:pt>
                <c:pt idx="408">
                  <c:v>1.1267184204832859E-3</c:v>
                </c:pt>
                <c:pt idx="409">
                  <c:v>1.1163459117913277E-3</c:v>
                </c:pt>
                <c:pt idx="410">
                  <c:v>1.1063550729151217E-3</c:v>
                </c:pt>
                <c:pt idx="411">
                  <c:v>1.0876489132272127E-3</c:v>
                </c:pt>
                <c:pt idx="412">
                  <c:v>1.070208413809226E-3</c:v>
                </c:pt>
                <c:pt idx="413">
                  <c:v>1.0621259230525482E-3</c:v>
                </c:pt>
                <c:pt idx="414">
                  <c:v>1.0544251018718143E-3</c:v>
                </c:pt>
                <c:pt idx="415">
                  <c:v>1.0471059501870883E-3</c:v>
                </c:pt>
                <c:pt idx="416">
                  <c:v>1.0337428468965015E-3</c:v>
                </c:pt>
                <c:pt idx="417">
                  <c:v>1.0216460384082637E-3</c:v>
                </c:pt>
                <c:pt idx="418">
                  <c:v>1.0162352341236414E-3</c:v>
                </c:pt>
                <c:pt idx="419">
                  <c:v>1.0112060991751548E-3</c:v>
                </c:pt>
                <c:pt idx="420">
                  <c:v>1.0065586336427401E-3</c:v>
                </c:pt>
                <c:pt idx="421">
                  <c:v>9.9853870350941065E-4</c:v>
                </c:pt>
                <c:pt idx="422">
                  <c:v>9.9178546527411982E-4</c:v>
                </c:pt>
                <c:pt idx="423">
                  <c:v>9.8904634650232026E-4</c:v>
                </c:pt>
                <c:pt idx="424">
                  <c:v>9.8668889706665652E-4</c:v>
                </c:pt>
                <c:pt idx="425">
                  <c:v>9.847131169671286E-4</c:v>
                </c:pt>
                <c:pt idx="426">
                  <c:v>9.8203646665240285E-4</c:v>
                </c:pt>
                <c:pt idx="427">
                  <c:v>9.8062668961063082E-4</c:v>
                </c:pt>
                <c:pt idx="428">
                  <c:v>9.8055925603190985E-4</c:v>
                </c:pt>
                <c:pt idx="429">
                  <c:v>9.8087349170938865E-4</c:v>
                </c:pt>
                <c:pt idx="430">
                  <c:v>9.8145390342807559E-4</c:v>
                </c:pt>
                <c:pt idx="431">
                  <c:v>9.8181075565584308E-4</c:v>
                </c:pt>
                <c:pt idx="432">
                  <c:v>9.8112461722976718E-4</c:v>
                </c:pt>
                <c:pt idx="433">
                  <c:v>9.8026406919693443E-4</c:v>
                </c:pt>
                <c:pt idx="434">
                  <c:v>9.7909223049086336E-4</c:v>
                </c:pt>
                <c:pt idx="435">
                  <c:v>9.7760910127142608E-4</c:v>
                </c:pt>
                <c:pt idx="436">
                  <c:v>9.7360784037547887E-4</c:v>
                </c:pt>
                <c:pt idx="437">
                  <c:v>9.685636780609741E-4</c:v>
                </c:pt>
                <c:pt idx="438">
                  <c:v>9.6552409579508947E-4</c:v>
                </c:pt>
                <c:pt idx="439">
                  <c:v>9.6217322301583863E-4</c:v>
                </c:pt>
                <c:pt idx="440">
                  <c:v>9.5851105964328553E-4</c:v>
                </c:pt>
                <c:pt idx="441">
                  <c:v>9.5015160539446697E-4</c:v>
                </c:pt>
                <c:pt idx="442">
                  <c:v>9.4074950061973084E-4</c:v>
                </c:pt>
                <c:pt idx="443">
                  <c:v>9.3553088452047461E-4</c:v>
                </c:pt>
                <c:pt idx="444">
                  <c:v>9.300009780677243E-4</c:v>
                </c:pt>
                <c:pt idx="445">
                  <c:v>9.2415978102167173E-4</c:v>
                </c:pt>
                <c:pt idx="446">
                  <c:v>9.1144205963900049E-4</c:v>
                </c:pt>
                <c:pt idx="447">
                  <c:v>8.9768208850316E-4</c:v>
                </c:pt>
                <c:pt idx="448">
                  <c:v>8.9028443921002065E-4</c:v>
                </c:pt>
                <c:pt idx="449">
                  <c:v>8.8257549972325933E-4</c:v>
                </c:pt>
                <c:pt idx="450">
                  <c:v>8.7455526980306786E-4</c:v>
                </c:pt>
                <c:pt idx="451">
                  <c:v>8.5295127461026965E-4</c:v>
                </c:pt>
                <c:pt idx="452">
                  <c:v>8.2996505180510383E-4</c:v>
                </c:pt>
                <c:pt idx="453">
                  <c:v>8.2115879703970052E-4</c:v>
                </c:pt>
                <c:pt idx="454">
                  <c:v>8.1312296887681157E-4</c:v>
                </c:pt>
                <c:pt idx="455">
                  <c:v>2.8516699407443724E-3</c:v>
                </c:pt>
                <c:pt idx="456">
                  <c:v>7.8868392161091094E-4</c:v>
                </c:pt>
                <c:pt idx="457">
                  <c:v>7.8450022574116929E-4</c:v>
                </c:pt>
                <c:pt idx="458">
                  <c:v>7.8108695639400594E-4</c:v>
                </c:pt>
                <c:pt idx="459">
                  <c:v>7.7844411332961272E-4</c:v>
                </c:pt>
                <c:pt idx="460">
                  <c:v>7.7572818645954555E-4</c:v>
                </c:pt>
                <c:pt idx="461">
                  <c:v>7.7557700429942145E-4</c:v>
                </c:pt>
                <c:pt idx="462">
                  <c:v>7.76786292808751E-4</c:v>
                </c:pt>
                <c:pt idx="463">
                  <c:v>7.7876600760085068E-4</c:v>
                </c:pt>
                <c:pt idx="464">
                  <c:v>7.8151614875565656E-4</c:v>
                </c:pt>
                <c:pt idx="465">
                  <c:v>7.895862507290019E-4</c:v>
                </c:pt>
                <c:pt idx="466">
                  <c:v>8.0022097716181406E-4</c:v>
                </c:pt>
                <c:pt idx="467">
                  <c:v>8.06823250290023E-4</c:v>
                </c:pt>
                <c:pt idx="468">
                  <c:v>8.141959500207463E-4</c:v>
                </c:pt>
                <c:pt idx="469">
                  <c:v>8.223390762740479E-4</c:v>
                </c:pt>
                <c:pt idx="470">
                  <c:v>8.4119538303006891E-4</c:v>
                </c:pt>
                <c:pt idx="471">
                  <c:v>8.6261584795188639E-4</c:v>
                </c:pt>
                <c:pt idx="472">
                  <c:v>8.7461110785724827E-4</c:v>
                </c:pt>
                <c:pt idx="473">
                  <c:v>8.8722216581516022E-4</c:v>
                </c:pt>
                <c:pt idx="474">
                  <c:v>8.9983050562736366E-4</c:v>
                </c:pt>
                <c:pt idx="475">
                  <c:v>9.2452506959439518E-4</c:v>
                </c:pt>
                <c:pt idx="476">
                  <c:v>9.4869039504175134E-4</c:v>
                </c:pt>
                <c:pt idx="477">
                  <c:v>9.6051199985680569E-4</c:v>
                </c:pt>
                <c:pt idx="478">
                  <c:v>9.7217625757650694E-4</c:v>
                </c:pt>
                <c:pt idx="479">
                  <c:v>9.8368316820085511E-4</c:v>
                </c:pt>
                <c:pt idx="480">
                  <c:v>1.0061753110424121E-3</c:v>
                </c:pt>
                <c:pt idx="481">
                  <c:v>1.0281373394249727E-3</c:v>
                </c:pt>
                <c:pt idx="482">
                  <c:v>1.0388575143327472E-3</c:v>
                </c:pt>
                <c:pt idx="483">
                  <c:v>1.0494203420652326E-3</c:v>
                </c:pt>
                <c:pt idx="484">
                  <c:v>1.0598258226224289E-3</c:v>
                </c:pt>
                <c:pt idx="485">
                  <c:v>1.0801155337070156E-3</c:v>
                </c:pt>
                <c:pt idx="486">
                  <c:v>1.0998742727785782E-3</c:v>
                </c:pt>
                <c:pt idx="487">
                  <c:v>1.1094930172195205E-3</c:v>
                </c:pt>
                <c:pt idx="488">
                  <c:v>1.1189544144052377E-3</c:v>
                </c:pt>
                <c:pt idx="489">
                  <c:v>1.1282584642557936E-3</c:v>
                </c:pt>
                <c:pt idx="490">
                  <c:v>1.1463457232530061E-3</c:v>
                </c:pt>
                <c:pt idx="491">
                  <c:v>1.1639011907060848E-3</c:v>
                </c:pt>
                <c:pt idx="492">
                  <c:v>1.1724185040407065E-3</c:v>
                </c:pt>
                <c:pt idx="493">
                  <c:v>1.1807784700401669E-3</c:v>
                </c:pt>
                <c:pt idx="494">
                  <c:v>1.18898108862453E-3</c:v>
                </c:pt>
                <c:pt idx="495">
                  <c:v>1.2048822712085183E-3</c:v>
                </c:pt>
                <c:pt idx="496">
                  <c:v>1.2202855284648706E-3</c:v>
                </c:pt>
                <c:pt idx="497">
                  <c:v>1.227745154501747E-3</c:v>
                </c:pt>
                <c:pt idx="498">
                  <c:v>1.2350583692555261E-3</c:v>
                </c:pt>
                <c:pt idx="499">
                  <c:v>1.2422251727262079E-3</c:v>
                </c:pt>
                <c:pt idx="500">
                  <c:v>1.2560751242318702E-3</c:v>
                </c:pt>
                <c:pt idx="501">
                  <c:v>1.2694282729786011E-3</c:v>
                </c:pt>
                <c:pt idx="502">
                  <c:v>1.2758630197140519E-3</c:v>
                </c:pt>
                <c:pt idx="503">
                  <c:v>1.2821513549265973E-3</c:v>
                </c:pt>
                <c:pt idx="504">
                  <c:v>1.2882932789359813E-3</c:v>
                </c:pt>
                <c:pt idx="505">
                  <c:v>1.3000937838558713E-3</c:v>
                </c:pt>
                <c:pt idx="506">
                  <c:v>1.3113968607036952E-3</c:v>
                </c:pt>
                <c:pt idx="507">
                  <c:v>1.3168067275781681E-3</c:v>
                </c:pt>
                <c:pt idx="508">
                  <c:v>1.3220701831695436E-3</c:v>
                </c:pt>
                <c:pt idx="509">
                  <c:v>1.3271872271580776E-3</c:v>
                </c:pt>
                <c:pt idx="510">
                  <c:v>1.3369382421668519E-3</c:v>
                </c:pt>
                <c:pt idx="511">
                  <c:v>1.3461912891621353E-3</c:v>
                </c:pt>
                <c:pt idx="512">
                  <c:v>1.3505762758558859E-3</c:v>
                </c:pt>
                <c:pt idx="513">
                  <c:v>1.3548148513464753E-3</c:v>
                </c:pt>
                <c:pt idx="514">
                  <c:v>1.3589070152342231E-3</c:v>
                </c:pt>
                <c:pt idx="515">
                  <c:v>1.3666084925834099E-3</c:v>
                </c:pt>
                <c:pt idx="516">
                  <c:v>1.3738364396509439E-3</c:v>
                </c:pt>
                <c:pt idx="517">
                  <c:v>1.3773458474553024E-3</c:v>
                </c:pt>
                <c:pt idx="518">
                  <c:v>1.4019926178399089E-3</c:v>
                </c:pt>
                <c:pt idx="519">
                  <c:v>1.426780990394505E-3</c:v>
                </c:pt>
                <c:pt idx="520">
                  <c:v>1.458859823664227E-3</c:v>
                </c:pt>
                <c:pt idx="521">
                  <c:v>1.4839718584358508E-3</c:v>
                </c:pt>
                <c:pt idx="522">
                  <c:v>1.5092254955373363E-3</c:v>
                </c:pt>
                <c:pt idx="523">
                  <c:v>1.5346207349686836E-3</c:v>
                </c:pt>
                <c:pt idx="524">
                  <c:v>1.5601575767298925E-3</c:v>
                </c:pt>
                <c:pt idx="525">
                  <c:v>1.5858360209808353E-3</c:v>
                </c:pt>
                <c:pt idx="526">
                  <c:v>1.6116560674817038E-3</c:v>
                </c:pt>
                <c:pt idx="527">
                  <c:v>1.637617716472306E-3</c:v>
                </c:pt>
                <c:pt idx="528">
                  <c:v>1.6637209680325782E-3</c:v>
                </c:pt>
                <c:pt idx="529">
                  <c:v>1.6899658220026481E-3</c:v>
                </c:pt>
                <c:pt idx="530">
                  <c:v>1.7163522784624519E-3</c:v>
                </c:pt>
                <c:pt idx="531">
                  <c:v>1.7428803375718616E-3</c:v>
                </c:pt>
                <c:pt idx="532">
                  <c:v>1.7695499992509411E-3</c:v>
                </c:pt>
                <c:pt idx="533">
                  <c:v>1.7963612635796267E-3</c:v>
                </c:pt>
                <c:pt idx="534">
                  <c:v>1.8233141305579181E-3</c:v>
                </c:pt>
                <c:pt idx="535">
                  <c:v>1.8504086001858155E-3</c:v>
                </c:pt>
                <c:pt idx="536">
                  <c:v>1.877644672543255E-3</c:v>
                </c:pt>
                <c:pt idx="537">
                  <c:v>1.9050223477101724E-3</c:v>
                </c:pt>
                <c:pt idx="538">
                  <c:v>1.932541625686568E-3</c:v>
                </c:pt>
                <c:pt idx="539">
                  <c:v>1.9602025063925055E-3</c:v>
                </c:pt>
                <c:pt idx="540">
                  <c:v>1.9880049900677932E-3</c:v>
                </c:pt>
                <c:pt idx="541">
                  <c:v>2.0159490765525589E-3</c:v>
                </c:pt>
                <c:pt idx="542">
                  <c:v>2.0440347659267388E-3</c:v>
                </c:pt>
                <c:pt idx="543">
                  <c:v>2.0722620583502049E-3</c:v>
                </c:pt>
                <c:pt idx="544">
                  <c:v>2.1006309536630852E-3</c:v>
                </c:pt>
                <c:pt idx="545">
                  <c:v>2.1291414520252516E-3</c:v>
                </c:pt>
                <c:pt idx="546">
                  <c:v>2.1577935534367043E-3</c:v>
                </c:pt>
                <c:pt idx="547">
                  <c:v>2.1865872579773793E-3</c:v>
                </c:pt>
                <c:pt idx="548">
                  <c:v>2.2155225655673405E-3</c:v>
                </c:pt>
                <c:pt idx="549">
                  <c:v>2.2445994763664601E-3</c:v>
                </c:pt>
                <c:pt idx="550">
                  <c:v>2.273817990374738E-3</c:v>
                </c:pt>
                <c:pt idx="551">
                  <c:v>2.3031781075122382E-3</c:v>
                </c:pt>
                <c:pt idx="552">
                  <c:v>2.3326798280187688E-3</c:v>
                </c:pt>
                <c:pt idx="553">
                  <c:v>2.3623231517344578E-3</c:v>
                </c:pt>
                <c:pt idx="554">
                  <c:v>2.3921080788191773E-3</c:v>
                </c:pt>
                <c:pt idx="555">
                  <c:v>2.4220346092729272E-3</c:v>
                </c:pt>
                <c:pt idx="556">
                  <c:v>2.462902759756691E-3</c:v>
                </c:pt>
                <c:pt idx="557">
                  <c:v>2.4909880419166086E-3</c:v>
                </c:pt>
                <c:pt idx="558">
                  <c:v>2.521380263962314E-3</c:v>
                </c:pt>
                <c:pt idx="559">
                  <c:v>2.5519140966245857E-3</c:v>
                </c:pt>
                <c:pt idx="560">
                  <c:v>2.5825895400899412E-3</c:v>
                </c:pt>
                <c:pt idx="561">
                  <c:v>2.6134065944116713E-3</c:v>
                </c:pt>
                <c:pt idx="562">
                  <c:v>2.6443652597230027E-3</c:v>
                </c:pt>
                <c:pt idx="563">
                  <c:v>2.6754655361038715E-3</c:v>
                </c:pt>
                <c:pt idx="564">
                  <c:v>2.7067074236875044E-3</c:v>
                </c:pt>
                <c:pt idx="565">
                  <c:v>2.7380909225804828E-3</c:v>
                </c:pt>
                <c:pt idx="566">
                  <c:v>2.7696160329160335E-3</c:v>
                </c:pt>
                <c:pt idx="567">
                  <c:v>2.8012827547740926E-3</c:v>
                </c:pt>
                <c:pt idx="568">
                  <c:v>2.8330910882612415E-3</c:v>
                </c:pt>
                <c:pt idx="569">
                  <c:v>2.8785569205069805E-3</c:v>
                </c:pt>
                <c:pt idx="570">
                  <c:v>2.896706483079825E-3</c:v>
                </c:pt>
                <c:pt idx="571">
                  <c:v>2.9283317022166244E-3</c:v>
                </c:pt>
                <c:pt idx="572">
                  <c:v>2.9598325549962112E-3</c:v>
                </c:pt>
                <c:pt idx="573">
                  <c:v>2.9912090413386494E-3</c:v>
                </c:pt>
                <c:pt idx="574">
                  <c:v>3.0224611610840668E-3</c:v>
                </c:pt>
                <c:pt idx="575">
                  <c:v>3.0535889142058181E-3</c:v>
                </c:pt>
                <c:pt idx="576">
                  <c:v>3.0845923005973219E-3</c:v>
                </c:pt>
                <c:pt idx="577">
                  <c:v>3.1154713201253514E-3</c:v>
                </c:pt>
                <c:pt idx="578">
                  <c:v>3.1462259726833253E-3</c:v>
                </c:pt>
                <c:pt idx="579">
                  <c:v>3.1768562582445981E-3</c:v>
                </c:pt>
                <c:pt idx="580">
                  <c:v>3.2073621766492977E-3</c:v>
                </c:pt>
                <c:pt idx="581">
                  <c:v>3.2377437278441334E-3</c:v>
                </c:pt>
                <c:pt idx="582">
                  <c:v>3.2680009117225239E-3</c:v>
                </c:pt>
                <c:pt idx="583">
                  <c:v>3.2981337281778877E-3</c:v>
                </c:pt>
                <c:pt idx="584">
                  <c:v>3.3281421771302888E-3</c:v>
                </c:pt>
                <c:pt idx="585">
                  <c:v>3.3580262584465004E-3</c:v>
                </c:pt>
                <c:pt idx="586">
                  <c:v>3.3877859720998771E-3</c:v>
                </c:pt>
                <c:pt idx="587">
                  <c:v>3.4174213179571922E-3</c:v>
                </c:pt>
                <c:pt idx="588">
                  <c:v>3.4469322959385096E-3</c:v>
                </c:pt>
                <c:pt idx="589">
                  <c:v>3.4763189059372479E-3</c:v>
                </c:pt>
                <c:pt idx="590">
                  <c:v>3.5055811478734711E-3</c:v>
                </c:pt>
                <c:pt idx="591">
                  <c:v>3.5347190216672431E-3</c:v>
                </c:pt>
                <c:pt idx="592">
                  <c:v>3.5637325272119824E-3</c:v>
                </c:pt>
                <c:pt idx="593">
                  <c:v>3.5926216644277531E-3</c:v>
                </c:pt>
                <c:pt idx="594">
                  <c:v>3.6213864332079737E-3</c:v>
                </c:pt>
                <c:pt idx="595">
                  <c:v>3.6500268334993535E-3</c:v>
                </c:pt>
                <c:pt idx="596">
                  <c:v>3.6785428651153751E-3</c:v>
                </c:pt>
                <c:pt idx="597">
                  <c:v>3.7069345281093291E-3</c:v>
                </c:pt>
                <c:pt idx="598">
                  <c:v>3.7352018223213435E-3</c:v>
                </c:pt>
                <c:pt idx="599">
                  <c:v>3.7633447476181914E-3</c:v>
                </c:pt>
                <c:pt idx="600">
                  <c:v>3.7913633040265182E-3</c:v>
                </c:pt>
                <c:pt idx="601">
                  <c:v>3.8192574913331612E-3</c:v>
                </c:pt>
                <c:pt idx="602">
                  <c:v>3.8470273095381202E-3</c:v>
                </c:pt>
                <c:pt idx="603">
                  <c:v>3.874672758534814E-3</c:v>
                </c:pt>
                <c:pt idx="604">
                  <c:v>3.9021938381900156E-3</c:v>
                </c:pt>
                <c:pt idx="605">
                  <c:v>3.9295905484770799E-3</c:v>
                </c:pt>
                <c:pt idx="606">
                  <c:v>3.956862889342716E-3</c:v>
                </c:pt>
                <c:pt idx="607">
                  <c:v>3.9840108606004065E-3</c:v>
                </c:pt>
                <c:pt idx="608">
                  <c:v>4.0206336847070645E-3</c:v>
                </c:pt>
                <c:pt idx="609">
                  <c:v>4.0455517289750276E-3</c:v>
                </c:pt>
                <c:pt idx="610">
                  <c:v>4.0722904538892379E-3</c:v>
                </c:pt>
                <c:pt idx="611">
                  <c:v>4.0989048076500723E-3</c:v>
                </c:pt>
                <c:pt idx="612">
                  <c:v>4.1253947904174026E-3</c:v>
                </c:pt>
                <c:pt idx="613">
                  <c:v>4.151760402031357E-3</c:v>
                </c:pt>
                <c:pt idx="614">
                  <c:v>4.1780016425718713E-3</c:v>
                </c:pt>
                <c:pt idx="615">
                  <c:v>4.2041185118790736E-3</c:v>
                </c:pt>
                <c:pt idx="616">
                  <c:v>4.2301110100328998E-3</c:v>
                </c:pt>
                <c:pt idx="617">
                  <c:v>4.2559791369534139E-3</c:v>
                </c:pt>
                <c:pt idx="618">
                  <c:v>4.2817228926406159E-3</c:v>
                </c:pt>
                <c:pt idx="619">
                  <c:v>4.3073422770145697E-3</c:v>
                </c:pt>
                <c:pt idx="620">
                  <c:v>4.3328378385965038E-3</c:v>
                </c:pt>
                <c:pt idx="621">
                  <c:v>4.3583006173619765E-3</c:v>
                </c:pt>
                <c:pt idx="622">
                  <c:v>4.3838002647955676E-3</c:v>
                </c:pt>
                <c:pt idx="623">
                  <c:v>4.4093367807374051E-3</c:v>
                </c:pt>
                <c:pt idx="624">
                  <c:v>4.4422236181507202E-3</c:v>
                </c:pt>
                <c:pt idx="625">
                  <c:v>4.4605204181458191E-3</c:v>
                </c:pt>
                <c:pt idx="626">
                  <c:v>4.4861675396923317E-3</c:v>
                </c:pt>
                <c:pt idx="627">
                  <c:v>4.5118515298270268E-3</c:v>
                </c:pt>
                <c:pt idx="628">
                  <c:v>4.5375723885499042E-3</c:v>
                </c:pt>
                <c:pt idx="629">
                  <c:v>4.563330115860964E-3</c:v>
                </c:pt>
                <c:pt idx="630">
                  <c:v>4.5891247117602063E-3</c:v>
                </c:pt>
                <c:pt idx="631">
                  <c:v>4.614956176247631E-3</c:v>
                </c:pt>
                <c:pt idx="632">
                  <c:v>4.6408245093232381E-3</c:v>
                </c:pt>
                <c:pt idx="633">
                  <c:v>4.6667297109870276E-3</c:v>
                </c:pt>
                <c:pt idx="634">
                  <c:v>4.6926717813988716E-3</c:v>
                </c:pt>
                <c:pt idx="635">
                  <c:v>4.718650720318962E-3</c:v>
                </c:pt>
                <c:pt idx="636">
                  <c:v>4.744666527987107E-3</c:v>
                </c:pt>
                <c:pt idx="637">
                  <c:v>4.7707192042434343E-3</c:v>
                </c:pt>
                <c:pt idx="638">
                  <c:v>4.7968087491678801E-3</c:v>
                </c:pt>
                <c:pt idx="639">
                  <c:v>4.8229351627604444E-3</c:v>
                </c:pt>
                <c:pt idx="640">
                  <c:v>4.8490984450211272E-3</c:v>
                </c:pt>
                <c:pt idx="641">
                  <c:v>4.8752985959499284E-3</c:v>
                </c:pt>
                <c:pt idx="642">
                  <c:v>4.9015356155468481E-3</c:v>
                </c:pt>
                <c:pt idx="643">
                  <c:v>4.9278095038918224E-3</c:v>
                </c:pt>
                <c:pt idx="644">
                  <c:v>4.954120260824979E-3</c:v>
                </c:pt>
                <c:pt idx="645">
                  <c:v>4.9804678865861263E-3</c:v>
                </c:pt>
                <c:pt idx="646">
                  <c:v>5.006852381095328E-3</c:v>
                </c:pt>
                <c:pt idx="647">
                  <c:v>5.0332737442726483E-3</c:v>
                </c:pt>
                <c:pt idx="648">
                  <c:v>5.0597319761980231E-3</c:v>
                </c:pt>
                <c:pt idx="649">
                  <c:v>5.0862270768714524E-3</c:v>
                </c:pt>
                <c:pt idx="650">
                  <c:v>5.1127590462929362E-3</c:v>
                </c:pt>
                <c:pt idx="651">
                  <c:v>5.1393278844624746E-3</c:v>
                </c:pt>
                <c:pt idx="652">
                  <c:v>5.1659335914600035E-3</c:v>
                </c:pt>
                <c:pt idx="653">
                  <c:v>5.192576167125651E-3</c:v>
                </c:pt>
                <c:pt idx="654">
                  <c:v>5.219255611619289E-3</c:v>
                </c:pt>
                <c:pt idx="655">
                  <c:v>5.2459719250208536E-3</c:v>
                </c:pt>
                <c:pt idx="656">
                  <c:v>5.2727251071704728E-3</c:v>
                </c:pt>
                <c:pt idx="657">
                  <c:v>5.2995151580681465E-3</c:v>
                </c:pt>
                <c:pt idx="658">
                  <c:v>5.3263420777938109E-3</c:v>
                </c:pt>
                <c:pt idx="659">
                  <c:v>5.3532058663474658E-3</c:v>
                </c:pt>
                <c:pt idx="660">
                  <c:v>5.3859161295255475E-3</c:v>
                </c:pt>
                <c:pt idx="661">
                  <c:v>5.4108952776754649E-3</c:v>
                </c:pt>
                <c:pt idx="662">
                  <c:v>5.4378749398598103E-3</c:v>
                </c:pt>
                <c:pt idx="663">
                  <c:v>5.4648914707922103E-3</c:v>
                </c:pt>
                <c:pt idx="664">
                  <c:v>5.4919448705526008E-3</c:v>
                </c:pt>
                <c:pt idx="665">
                  <c:v>5.5190351393008541E-3</c:v>
                </c:pt>
                <c:pt idx="666">
                  <c:v>5.546162276877098E-3</c:v>
                </c:pt>
                <c:pt idx="667">
                  <c:v>5.5733262833612685E-3</c:v>
                </c:pt>
                <c:pt idx="668">
                  <c:v>5.6005271586734295E-3</c:v>
                </c:pt>
                <c:pt idx="669">
                  <c:v>5.6277649029734533E-3</c:v>
                </c:pt>
                <c:pt idx="670">
                  <c:v>5.6550395162613398E-3</c:v>
                </c:pt>
                <c:pt idx="671">
                  <c:v>5.6823509983772169E-3</c:v>
                </c:pt>
                <c:pt idx="672">
                  <c:v>5.7096986344529199E-3</c:v>
                </c:pt>
                <c:pt idx="673">
                  <c:v>5.7369637443027699E-3</c:v>
                </c:pt>
                <c:pt idx="674">
                  <c:v>5.7640555301574636E-3</c:v>
                </c:pt>
                <c:pt idx="675">
                  <c:v>5.7986331461279406E-3</c:v>
                </c:pt>
                <c:pt idx="676">
                  <c:v>5.825328762965043E-3</c:v>
                </c:pt>
                <c:pt idx="677">
                  <c:v>5.8576526051679068E-3</c:v>
                </c:pt>
                <c:pt idx="678">
                  <c:v>5.8782000243340349E-3</c:v>
                </c:pt>
                <c:pt idx="679">
                  <c:v>5.9043756688659244E-3</c:v>
                </c:pt>
                <c:pt idx="680">
                  <c:v>5.9303779892427855E-3</c:v>
                </c:pt>
                <c:pt idx="681">
                  <c:v>5.9562069853846822E-3</c:v>
                </c:pt>
                <c:pt idx="682">
                  <c:v>5.9818626572116784E-3</c:v>
                </c:pt>
                <c:pt idx="683">
                  <c:v>6.0073450048037103E-3</c:v>
                </c:pt>
                <c:pt idx="684">
                  <c:v>6.0326540281607777E-3</c:v>
                </c:pt>
                <c:pt idx="685">
                  <c:v>6.0577897270430725E-3</c:v>
                </c:pt>
                <c:pt idx="686">
                  <c:v>6.0827521016104669E-3</c:v>
                </c:pt>
                <c:pt idx="687">
                  <c:v>6.1075411517830247E-3</c:v>
                </c:pt>
                <c:pt idx="688">
                  <c:v>6.13215687748081E-3</c:v>
                </c:pt>
                <c:pt idx="689">
                  <c:v>6.1565992786238866E-3</c:v>
                </c:pt>
                <c:pt idx="690">
                  <c:v>6.1808683552921906E-3</c:v>
                </c:pt>
                <c:pt idx="691">
                  <c:v>6.204964107405786E-3</c:v>
                </c:pt>
                <c:pt idx="692">
                  <c:v>6.2288865348847366E-3</c:v>
                </c:pt>
                <c:pt idx="693">
                  <c:v>6.2526356377290426E-3</c:v>
                </c:pt>
                <c:pt idx="694">
                  <c:v>6.2762114159387039E-3</c:v>
                </c:pt>
                <c:pt idx="695">
                  <c:v>6.2996138694337844E-3</c:v>
                </c:pt>
                <c:pt idx="696">
                  <c:v>6.3228429981343481E-3</c:v>
                </c:pt>
                <c:pt idx="697">
                  <c:v>6.3458988021203311E-3</c:v>
                </c:pt>
                <c:pt idx="698">
                  <c:v>6.3687812813117972E-3</c:v>
                </c:pt>
                <c:pt idx="699">
                  <c:v>6.3914904356288105E-3</c:v>
                </c:pt>
                <c:pt idx="700">
                  <c:v>6.4140262650713709E-3</c:v>
                </c:pt>
                <c:pt idx="701">
                  <c:v>6.4363887696394784E-3</c:v>
                </c:pt>
                <c:pt idx="702">
                  <c:v>6.458577949333133E-3</c:v>
                </c:pt>
                <c:pt idx="703">
                  <c:v>6.4805938039924627E-3</c:v>
                </c:pt>
                <c:pt idx="704">
                  <c:v>6.5024363336174673E-3</c:v>
                </c:pt>
                <c:pt idx="705">
                  <c:v>6.524105538208147E-3</c:v>
                </c:pt>
                <c:pt idx="706">
                  <c:v>6.5456014177645017E-3</c:v>
                </c:pt>
                <c:pt idx="707">
                  <c:v>6.5669239722865314E-3</c:v>
                </c:pt>
                <c:pt idx="708">
                  <c:v>6.5880732016943E-3</c:v>
                </c:pt>
                <c:pt idx="709">
                  <c:v>6.6090491058279355E-3</c:v>
                </c:pt>
                <c:pt idx="710">
                  <c:v>6.6298516848473099E-3</c:v>
                </c:pt>
                <c:pt idx="711">
                  <c:v>6.6550612653104579E-3</c:v>
                </c:pt>
                <c:pt idx="712">
                  <c:v>6.6754811868641184E-3</c:v>
                </c:pt>
                <c:pt idx="713">
                  <c:v>6.6912194704205064E-3</c:v>
                </c:pt>
                <c:pt idx="714">
                  <c:v>6.7113287484232842E-3</c:v>
                </c:pt>
                <c:pt idx="715">
                  <c:v>6.7312647011519289E-3</c:v>
                </c:pt>
                <c:pt idx="716">
                  <c:v>6.7510273283666322E-3</c:v>
                </c:pt>
                <c:pt idx="717">
                  <c:v>6.7706166303072024E-3</c:v>
                </c:pt>
                <c:pt idx="718">
                  <c:v>6.7900326068137673E-3</c:v>
                </c:pt>
                <c:pt idx="719">
                  <c:v>6.8092752578063909E-3</c:v>
                </c:pt>
                <c:pt idx="720">
                  <c:v>6.8283445834449452E-3</c:v>
                </c:pt>
                <c:pt idx="721">
                  <c:v>6.8472405834096861E-3</c:v>
                </c:pt>
                <c:pt idx="722">
                  <c:v>6.8659632580203578E-3</c:v>
                </c:pt>
                <c:pt idx="723">
                  <c:v>6.8845126068772799E-3</c:v>
                </c:pt>
                <c:pt idx="724">
                  <c:v>6.9028954418115518E-3</c:v>
                </c:pt>
                <c:pt idx="725">
                  <c:v>6.9268511947608857E-3</c:v>
                </c:pt>
                <c:pt idx="726">
                  <c:v>6.9398222765215678E-3</c:v>
                </c:pt>
                <c:pt idx="727">
                  <c:v>6.9584548249057576E-3</c:v>
                </c:pt>
                <c:pt idx="728">
                  <c:v>6.9772001274159834E-3</c:v>
                </c:pt>
                <c:pt idx="729">
                  <c:v>6.9960581839723091E-3</c:v>
                </c:pt>
                <c:pt idx="730">
                  <c:v>7.0150289946546707E-3</c:v>
                </c:pt>
                <c:pt idx="731">
                  <c:v>7.0341125593831322E-3</c:v>
                </c:pt>
                <c:pt idx="732">
                  <c:v>7.0533088782376296E-3</c:v>
                </c:pt>
                <c:pt idx="733">
                  <c:v>7.0726179512980991E-3</c:v>
                </c:pt>
                <c:pt idx="734">
                  <c:v>7.0920397784846045E-3</c:v>
                </c:pt>
                <c:pt idx="735">
                  <c:v>7.1115743597971459E-3</c:v>
                </c:pt>
                <c:pt idx="736">
                  <c:v>7.1312216953955954E-3</c:v>
                </c:pt>
                <c:pt idx="737">
                  <c:v>7.1509817852000168E-3</c:v>
                </c:pt>
                <c:pt idx="738">
                  <c:v>7.1708546292104103E-3</c:v>
                </c:pt>
                <c:pt idx="739">
                  <c:v>7.1908402273468397E-3</c:v>
                </c:pt>
                <c:pt idx="740">
                  <c:v>7.2109385800089854E-3</c:v>
                </c:pt>
                <c:pt idx="741">
                  <c:v>7.2311496867172309E-3</c:v>
                </c:pt>
                <c:pt idx="742">
                  <c:v>7.2514735478712566E-3</c:v>
                </c:pt>
                <c:pt idx="743">
                  <c:v>7.2719101633911265E-3</c:v>
                </c:pt>
                <c:pt idx="744">
                  <c:v>7.2924595331169684E-3</c:v>
                </c:pt>
                <c:pt idx="745">
                  <c:v>7.3131216572885904E-3</c:v>
                </c:pt>
                <c:pt idx="746">
                  <c:v>7.3338965359059927E-3</c:v>
                </c:pt>
                <c:pt idx="747">
                  <c:v>7.354784168889239E-3</c:v>
                </c:pt>
                <c:pt idx="748">
                  <c:v>7.3757845562383295E-3</c:v>
                </c:pt>
                <c:pt idx="749">
                  <c:v>7.3968976981131362E-3</c:v>
                </c:pt>
                <c:pt idx="750">
                  <c:v>7.4181235943537871E-3</c:v>
                </c:pt>
                <c:pt idx="751">
                  <c:v>7.4394622452000903E-3</c:v>
                </c:pt>
                <c:pt idx="752">
                  <c:v>7.4609136504921736E-3</c:v>
                </c:pt>
                <c:pt idx="753">
                  <c:v>7.4824778103099732E-3</c:v>
                </c:pt>
                <c:pt idx="754">
                  <c:v>7.504154724653489E-3</c:v>
                </c:pt>
                <c:pt idx="755">
                  <c:v>7.5259443936026571E-3</c:v>
                </c:pt>
                <c:pt idx="756">
                  <c:v>7.5478468171574775E-3</c:v>
                </c:pt>
                <c:pt idx="757">
                  <c:v>7.5698619952380142E-3</c:v>
                </c:pt>
                <c:pt idx="758">
                  <c:v>7.5919899280041392E-3</c:v>
                </c:pt>
                <c:pt idx="759">
                  <c:v>7.6142306154558526E-3</c:v>
                </c:pt>
                <c:pt idx="760">
                  <c:v>7.6365840574332822E-3</c:v>
                </c:pt>
                <c:pt idx="761">
                  <c:v>7.6590502542561723E-3</c:v>
                </c:pt>
                <c:pt idx="762">
                  <c:v>7.6816292057646507E-3</c:v>
                </c:pt>
                <c:pt idx="763">
                  <c:v>7.7043209119587175E-3</c:v>
                </c:pt>
                <c:pt idx="764">
                  <c:v>7.7271253729183087E-3</c:v>
                </c:pt>
                <c:pt idx="765">
                  <c:v>7.7500425886434243E-3</c:v>
                </c:pt>
                <c:pt idx="766">
                  <c:v>7.7730725592140004E-3</c:v>
                </c:pt>
                <c:pt idx="767">
                  <c:v>7.7962152845501009E-3</c:v>
                </c:pt>
                <c:pt idx="768">
                  <c:v>7.819470764811598E-3</c:v>
                </c:pt>
                <c:pt idx="769">
                  <c:v>7.8428389998386194E-3</c:v>
                </c:pt>
                <c:pt idx="770">
                  <c:v>7.8663199897111014E-3</c:v>
                </c:pt>
                <c:pt idx="771">
                  <c:v>7.8899137346688519E-3</c:v>
                </c:pt>
                <c:pt idx="772">
                  <c:v>7.9136202343921269E-3</c:v>
                </c:pt>
                <c:pt idx="773">
                  <c:v>7.9374394891207345E-3</c:v>
                </c:pt>
                <c:pt idx="774">
                  <c:v>7.9613714987747386E-3</c:v>
                </c:pt>
                <c:pt idx="775">
                  <c:v>7.9854162635939474E-3</c:v>
                </c:pt>
                <c:pt idx="776">
                  <c:v>8.0095730200291371E-3</c:v>
                </c:pt>
                <c:pt idx="777">
                  <c:v>8.033715085575821E-3</c:v>
                </c:pt>
                <c:pt idx="778">
                  <c:v>8.057745539842287E-3</c:v>
                </c:pt>
                <c:pt idx="779">
                  <c:v>8.0888390319433512E-3</c:v>
                </c:pt>
                <c:pt idx="780">
                  <c:v>8.1054716147743733E-3</c:v>
                </c:pt>
                <c:pt idx="781">
                  <c:v>8.1291672352801214E-3</c:v>
                </c:pt>
                <c:pt idx="782">
                  <c:v>8.1527512445056516E-3</c:v>
                </c:pt>
                <c:pt idx="783">
                  <c:v>8.1762236423710277E-3</c:v>
                </c:pt>
                <c:pt idx="784">
                  <c:v>8.1995844290361219E-3</c:v>
                </c:pt>
                <c:pt idx="785">
                  <c:v>8.22283360418119E-3</c:v>
                </c:pt>
                <c:pt idx="786">
                  <c:v>8.2459711680460401E-3</c:v>
                </c:pt>
                <c:pt idx="787">
                  <c:v>8.2689971205507362E-3</c:v>
                </c:pt>
                <c:pt idx="788">
                  <c:v>8.2919114616153422E-3</c:v>
                </c:pt>
                <c:pt idx="789">
                  <c:v>8.314714191079986E-3</c:v>
                </c:pt>
                <c:pt idx="790">
                  <c:v>8.3374053092644118E-3</c:v>
                </c:pt>
                <c:pt idx="791">
                  <c:v>8.3599848159288115E-3</c:v>
                </c:pt>
                <c:pt idx="792">
                  <c:v>8.382452711073185E-3</c:v>
                </c:pt>
                <c:pt idx="793">
                  <c:v>8.4048089946175963E-3</c:v>
                </c:pt>
                <c:pt idx="794">
                  <c:v>8.4270536666419815E-3</c:v>
                </c:pt>
                <c:pt idx="795">
                  <c:v>8.4491867270664045E-3</c:v>
                </c:pt>
                <c:pt idx="796">
                  <c:v>8.4712081760507374E-3</c:v>
                </c:pt>
                <c:pt idx="797">
                  <c:v>8.493118013275236E-3</c:v>
                </c:pt>
                <c:pt idx="798">
                  <c:v>8.5149162389797084E-3</c:v>
                </c:pt>
                <c:pt idx="799">
                  <c:v>8.5366028529243465E-3</c:v>
                </c:pt>
                <c:pt idx="800">
                  <c:v>8.5581778552690224E-3</c:v>
                </c:pt>
                <c:pt idx="801">
                  <c:v>8.579641245853864E-3</c:v>
                </c:pt>
                <c:pt idx="802">
                  <c:v>8.6009930247588073E-3</c:v>
                </c:pt>
                <c:pt idx="803">
                  <c:v>8.6222331919039163E-3</c:v>
                </c:pt>
                <c:pt idx="804">
                  <c:v>8.6433617473691271E-3</c:v>
                </c:pt>
                <c:pt idx="805">
                  <c:v>8.6643786910745035E-3</c:v>
                </c:pt>
                <c:pt idx="806">
                  <c:v>8.6852840228601735E-3</c:v>
                </c:pt>
                <c:pt idx="807">
                  <c:v>8.7060777429659453E-3</c:v>
                </c:pt>
                <c:pt idx="808">
                  <c:v>8.7267598511520106E-3</c:v>
                </c:pt>
                <c:pt idx="809">
                  <c:v>8.7473303475782416E-3</c:v>
                </c:pt>
                <c:pt idx="810">
                  <c:v>8.7677892320847661E-3</c:v>
                </c:pt>
                <c:pt idx="811">
                  <c:v>8.7881365047515203E-3</c:v>
                </c:pt>
                <c:pt idx="812">
                  <c:v>8.808372165418632E-3</c:v>
                </c:pt>
                <c:pt idx="813">
                  <c:v>8.8284962142459733E-3</c:v>
                </c:pt>
                <c:pt idx="814">
                  <c:v>8.8485086510736721E-3</c:v>
                </c:pt>
                <c:pt idx="815">
                  <c:v>8.8684094759816645E-3</c:v>
                </c:pt>
                <c:pt idx="816">
                  <c:v>8.8881986888900144E-3</c:v>
                </c:pt>
                <c:pt idx="817">
                  <c:v>8.9078762897987218E-3</c:v>
                </c:pt>
                <c:pt idx="818">
                  <c:v>8.9274422787077867E-3</c:v>
                </c:pt>
                <c:pt idx="819">
                  <c:v>8.9468966555372731E-3</c:v>
                </c:pt>
                <c:pt idx="820">
                  <c:v>8.9662394202871809E-3</c:v>
                </c:pt>
                <c:pt idx="821">
                  <c:v>8.9854705730374462E-3</c:v>
                </c:pt>
                <c:pt idx="822">
                  <c:v>9.004590113708133E-3</c:v>
                </c:pt>
                <c:pt idx="823">
                  <c:v>9.0235980422193052E-3</c:v>
                </c:pt>
                <c:pt idx="824">
                  <c:v>9.0424943586508988E-3</c:v>
                </c:pt>
                <c:pt idx="825">
                  <c:v>9.0612790629229778E-3</c:v>
                </c:pt>
                <c:pt idx="826">
                  <c:v>9.0799521550355422E-3</c:v>
                </c:pt>
                <c:pt idx="827">
                  <c:v>9.098513634988592E-3</c:v>
                </c:pt>
                <c:pt idx="828">
                  <c:v>9.1169635027021911E-3</c:v>
                </c:pt>
                <c:pt idx="829">
                  <c:v>9.1352639222819221E-3</c:v>
                </c:pt>
                <c:pt idx="830">
                  <c:v>9.1589626484473996E-3</c:v>
                </c:pt>
                <c:pt idx="831">
                  <c:v>9.1712677543576149E-3</c:v>
                </c:pt>
                <c:pt idx="832">
                  <c:v>9.1889708687720173E-3</c:v>
                </c:pt>
                <c:pt idx="833">
                  <c:v>9.2064747822107051E-3</c:v>
                </c:pt>
                <c:pt idx="834">
                  <c:v>9.2237794945937424E-3</c:v>
                </c:pt>
                <c:pt idx="835">
                  <c:v>9.2408850059211289E-3</c:v>
                </c:pt>
                <c:pt idx="836">
                  <c:v>9.2577913159530567E-3</c:v>
                </c:pt>
                <c:pt idx="837">
                  <c:v>9.2744984249293339E-3</c:v>
                </c:pt>
                <c:pt idx="838">
                  <c:v>9.2910063325302161E-3</c:v>
                </c:pt>
                <c:pt idx="839">
                  <c:v>9.3073150390754478E-3</c:v>
                </c:pt>
                <c:pt idx="840">
                  <c:v>9.3234245443252206E-3</c:v>
                </c:pt>
                <c:pt idx="841">
                  <c:v>9.3393348482795346E-3</c:v>
                </c:pt>
                <c:pt idx="842">
                  <c:v>9.3550459509383899E-3</c:v>
                </c:pt>
                <c:pt idx="843">
                  <c:v>9.3705578523017863E-3</c:v>
                </c:pt>
                <c:pt idx="844">
                  <c:v>9.3858705522897878E-3</c:v>
                </c:pt>
                <c:pt idx="845">
                  <c:v>9.4009840508224585E-3</c:v>
                </c:pt>
                <c:pt idx="846">
                  <c:v>9.4158983479797342E-3</c:v>
                </c:pt>
                <c:pt idx="847">
                  <c:v>9.4306134437616151E-3</c:v>
                </c:pt>
                <c:pt idx="848">
                  <c:v>9.4451293380082291E-3</c:v>
                </c:pt>
                <c:pt idx="849">
                  <c:v>9.4594460307995121E-3</c:v>
                </c:pt>
                <c:pt idx="850">
                  <c:v>9.4735635220555281E-3</c:v>
                </c:pt>
                <c:pt idx="851">
                  <c:v>9.4874818118562132E-3</c:v>
                </c:pt>
                <c:pt idx="852">
                  <c:v>9.5012009000416953E-3</c:v>
                </c:pt>
                <c:pt idx="853">
                  <c:v>9.5147207866119743E-3</c:v>
                </c:pt>
                <c:pt idx="854">
                  <c:v>9.5280414716469863E-3</c:v>
                </c:pt>
                <c:pt idx="855">
                  <c:v>9.5411629550667953E-3</c:v>
                </c:pt>
                <c:pt idx="856">
                  <c:v>9.5540852368714013E-3</c:v>
                </c:pt>
                <c:pt idx="857">
                  <c:v>9.5668083169009321E-3</c:v>
                </c:pt>
                <c:pt idx="858">
                  <c:v>9.579332195395196E-3</c:v>
                </c:pt>
                <c:pt idx="859">
                  <c:v>9.5916568720344486E-3</c:v>
                </c:pt>
                <c:pt idx="860">
                  <c:v>9.6037823470584982E-3</c:v>
                </c:pt>
                <c:pt idx="861">
                  <c:v>9.6157086203074726E-3</c:v>
                </c:pt>
                <c:pt idx="862">
                  <c:v>9.6274356917813719E-3</c:v>
                </c:pt>
                <c:pt idx="863">
                  <c:v>9.6389635614801961E-3</c:v>
                </c:pt>
                <c:pt idx="864">
                  <c:v>9.650292229324009E-3</c:v>
                </c:pt>
                <c:pt idx="865">
                  <c:v>9.6614216953927468E-3</c:v>
                </c:pt>
                <c:pt idx="866">
                  <c:v>9.6723519596064733E-3</c:v>
                </c:pt>
                <c:pt idx="867">
                  <c:v>9.6830830219651887E-3</c:v>
                </c:pt>
                <c:pt idx="868">
                  <c:v>9.6977172768930586E-3</c:v>
                </c:pt>
                <c:pt idx="869">
                  <c:v>9.7071235193180172E-3</c:v>
                </c:pt>
                <c:pt idx="870">
                  <c:v>9.7172006048307225E-3</c:v>
                </c:pt>
                <c:pt idx="871">
                  <c:v>9.7270784782033104E-3</c:v>
                </c:pt>
                <c:pt idx="872">
                  <c:v>9.736757139435781E-3</c:v>
                </c:pt>
                <c:pt idx="873">
                  <c:v>9.7462365883949076E-3</c:v>
                </c:pt>
                <c:pt idx="874">
                  <c:v>9.7555168250806901E-3</c:v>
                </c:pt>
                <c:pt idx="875">
                  <c:v>9.7645978494664831E-3</c:v>
                </c:pt>
                <c:pt idx="876">
                  <c:v>9.7734796614457053E-3</c:v>
                </c:pt>
                <c:pt idx="877">
                  <c:v>9.7821622610183567E-3</c:v>
                </c:pt>
                <c:pt idx="878">
                  <c:v>9.7906456481311466E-3</c:v>
                </c:pt>
                <c:pt idx="879">
                  <c:v>9.7989298227307842E-3</c:v>
                </c:pt>
                <c:pt idx="880">
                  <c:v>9.8070147848172695E-3</c:v>
                </c:pt>
                <c:pt idx="881">
                  <c:v>9.8181330687907575E-3</c:v>
                </c:pt>
                <c:pt idx="882">
                  <c:v>9.8229784659942254E-3</c:v>
                </c:pt>
                <c:pt idx="883">
                  <c:v>9.8310242134225234E-3</c:v>
                </c:pt>
                <c:pt idx="884">
                  <c:v>9.8391150584031806E-3</c:v>
                </c:pt>
                <c:pt idx="885">
                  <c:v>9.8472510009361969E-3</c:v>
                </c:pt>
                <c:pt idx="886">
                  <c:v>9.857507537116561E-3</c:v>
                </c:pt>
                <c:pt idx="887">
                  <c:v>9.8657461083817566E-3</c:v>
                </c:pt>
                <c:pt idx="888">
                  <c:v>9.8740297743749039E-3</c:v>
                </c:pt>
                <c:pt idx="889">
                  <c:v>9.8823585351759391E-3</c:v>
                </c:pt>
                <c:pt idx="890">
                  <c:v>9.890732390704926E-3</c:v>
                </c:pt>
                <c:pt idx="891">
                  <c:v>9.8991513408819287E-3</c:v>
                </c:pt>
                <c:pt idx="892">
                  <c:v>9.9076153858668192E-3</c:v>
                </c:pt>
                <c:pt idx="893">
                  <c:v>9.9161245255796615E-3</c:v>
                </c:pt>
                <c:pt idx="894">
                  <c:v>9.9246787601003916E-3</c:v>
                </c:pt>
                <c:pt idx="895">
                  <c:v>9.9332780892691375E-3</c:v>
                </c:pt>
                <c:pt idx="896">
                  <c:v>9.9419225133257072E-3</c:v>
                </c:pt>
                <c:pt idx="897">
                  <c:v>9.9506120320302927E-3</c:v>
                </c:pt>
                <c:pt idx="898">
                  <c:v>9.9593466454628299E-3</c:v>
                </c:pt>
                <c:pt idx="899">
                  <c:v>9.968126353783191E-3</c:v>
                </c:pt>
                <c:pt idx="900">
                  <c:v>9.9769511567515679E-3</c:v>
                </c:pt>
                <c:pt idx="901">
                  <c:v>9.9858210545278325E-3</c:v>
                </c:pt>
                <c:pt idx="902">
                  <c:v>9.994736047111985E-3</c:v>
                </c:pt>
                <c:pt idx="903">
                  <c:v>1.0003696134424089E-2</c:v>
                </c:pt>
                <c:pt idx="904">
                  <c:v>1.0012701316544081E-2</c:v>
                </c:pt>
                <c:pt idx="905">
                  <c:v>1.0021751593471961E-2</c:v>
                </c:pt>
                <c:pt idx="906">
                  <c:v>1.0030846965127793E-2</c:v>
                </c:pt>
                <c:pt idx="907">
                  <c:v>1.0039987431591513E-2</c:v>
                </c:pt>
                <c:pt idx="908">
                  <c:v>1.0049172992943056E-2</c:v>
                </c:pt>
                <c:pt idx="909">
                  <c:v>1.0058403648942615E-2</c:v>
                </c:pt>
                <c:pt idx="910">
                  <c:v>1.0067679399829998E-2</c:v>
                </c:pt>
                <c:pt idx="911">
                  <c:v>1.0077000245525269E-2</c:v>
                </c:pt>
                <c:pt idx="912">
                  <c:v>1.0086366186028428E-2</c:v>
                </c:pt>
                <c:pt idx="913">
                  <c:v>1.0095777221339475E-2</c:v>
                </c:pt>
                <c:pt idx="914">
                  <c:v>1.0105233351378473E-2</c:v>
                </c:pt>
                <c:pt idx="915">
                  <c:v>1.0114734576305295E-2</c:v>
                </c:pt>
                <c:pt idx="916">
                  <c:v>1.0124280896199878E-2</c:v>
                </c:pt>
                <c:pt idx="917">
                  <c:v>1.0133872310662539E-2</c:v>
                </c:pt>
                <c:pt idx="918">
                  <c:v>1.0143508820092961E-2</c:v>
                </c:pt>
                <c:pt idx="919">
                  <c:v>1.0153190424331271E-2</c:v>
                </c:pt>
                <c:pt idx="920">
                  <c:v>1.0165150908294507E-2</c:v>
                </c:pt>
                <c:pt idx="921">
                  <c:v>1.0174088569065987E-2</c:v>
                </c:pt>
                <c:pt idx="922">
                  <c:v>1.0183911900014664E-2</c:v>
                </c:pt>
                <c:pt idx="923">
                  <c:v>1.0193780325691293E-2</c:v>
                </c:pt>
                <c:pt idx="924">
                  <c:v>1.0203693846335682E-2</c:v>
                </c:pt>
                <c:pt idx="925">
                  <c:v>1.0213652461787959E-2</c:v>
                </c:pt>
                <c:pt idx="926">
                  <c:v>1.0223656172048123E-2</c:v>
                </c:pt>
                <c:pt idx="927">
                  <c:v>1.0233704977196112E-2</c:v>
                </c:pt>
                <c:pt idx="928">
                  <c:v>1.0243798877231924E-2</c:v>
                </c:pt>
                <c:pt idx="929">
                  <c:v>1.0253937872155561E-2</c:v>
                </c:pt>
                <c:pt idx="930">
                  <c:v>1.0264121961807149E-2</c:v>
                </c:pt>
                <c:pt idx="931">
                  <c:v>1.0274351146426497E-2</c:v>
                </c:pt>
                <c:pt idx="932">
                  <c:v>1.0284622477332306E-2</c:v>
                </c:pt>
                <c:pt idx="933">
                  <c:v>1.0294853390648839E-2</c:v>
                </c:pt>
                <c:pt idx="934">
                  <c:v>1.0305005553039592E-2</c:v>
                </c:pt>
                <c:pt idx="935">
                  <c:v>1.0315078964824309E-2</c:v>
                </c:pt>
                <c:pt idx="936">
                  <c:v>1.0327914778915925E-2</c:v>
                </c:pt>
                <c:pt idx="937">
                  <c:v>1.0340916903492925E-2</c:v>
                </c:pt>
                <c:pt idx="938">
                  <c:v>1.0347622848012605E-2</c:v>
                </c:pt>
                <c:pt idx="939">
                  <c:v>1.0357358756492019E-2</c:v>
                </c:pt>
                <c:pt idx="940">
                  <c:v>1.0367015914125588E-2</c:v>
                </c:pt>
                <c:pt idx="941">
                  <c:v>1.0376594320993249E-2</c:v>
                </c:pt>
                <c:pt idx="942">
                  <c:v>1.0386093977095001E-2</c:v>
                </c:pt>
                <c:pt idx="943">
                  <c:v>1.0395514882350909E-2</c:v>
                </c:pt>
                <c:pt idx="944">
                  <c:v>1.0404857036760973E-2</c:v>
                </c:pt>
                <c:pt idx="945">
                  <c:v>1.0414120440405128E-2</c:v>
                </c:pt>
                <c:pt idx="946">
                  <c:v>1.0423305093203439E-2</c:v>
                </c:pt>
                <c:pt idx="947">
                  <c:v>1.0432410995235841E-2</c:v>
                </c:pt>
                <c:pt idx="948">
                  <c:v>1.0441438146422399E-2</c:v>
                </c:pt>
                <c:pt idx="949">
                  <c:v>1.0450386546603241E-2</c:v>
                </c:pt>
                <c:pt idx="950">
                  <c:v>1.045925619609811E-2</c:v>
                </c:pt>
                <c:pt idx="951">
                  <c:v>1.0468047094667199E-2</c:v>
                </c:pt>
                <c:pt idx="952">
                  <c:v>1.0476759242390443E-2</c:v>
                </c:pt>
                <c:pt idx="953">
                  <c:v>1.0485392639267843E-2</c:v>
                </c:pt>
                <c:pt idx="954">
                  <c:v>1.0493947285299399E-2</c:v>
                </c:pt>
                <c:pt idx="955">
                  <c:v>1.0502423180405174E-2</c:v>
                </c:pt>
                <c:pt idx="956">
                  <c:v>1.0510820324585168E-2</c:v>
                </c:pt>
                <c:pt idx="957">
                  <c:v>1.0519138717919319E-2</c:v>
                </c:pt>
                <c:pt idx="958">
                  <c:v>1.0527378360327688E-2</c:v>
                </c:pt>
                <c:pt idx="959">
                  <c:v>1.053553925197015E-2</c:v>
                </c:pt>
                <c:pt idx="960">
                  <c:v>1.0543621392526958E-2</c:v>
                </c:pt>
                <c:pt idx="961">
                  <c:v>1.0551624782317859E-2</c:v>
                </c:pt>
                <c:pt idx="962">
                  <c:v>1.0559549421103043E-2</c:v>
                </c:pt>
                <c:pt idx="963">
                  <c:v>1.0567395309042382E-2</c:v>
                </c:pt>
                <c:pt idx="964">
                  <c:v>1.0575162445976005E-2</c:v>
                </c:pt>
                <c:pt idx="965">
                  <c:v>1.0582850831983848E-2</c:v>
                </c:pt>
                <c:pt idx="966">
                  <c:v>1.059046046706591E-2</c:v>
                </c:pt>
                <c:pt idx="967">
                  <c:v>1.0597991351302127E-2</c:v>
                </c:pt>
                <c:pt idx="968">
                  <c:v>1.0605443484532628E-2</c:v>
                </c:pt>
                <c:pt idx="969">
                  <c:v>1.0612816866757413E-2</c:v>
                </c:pt>
                <c:pt idx="970">
                  <c:v>1.0620111498056417E-2</c:v>
                </c:pt>
                <c:pt idx="971">
                  <c:v>1.0631415381086029E-2</c:v>
                </c:pt>
                <c:pt idx="972">
                  <c:v>1.0636802954140379E-2</c:v>
                </c:pt>
                <c:pt idx="973">
                  <c:v>1.0641522886158938E-2</c:v>
                </c:pt>
                <c:pt idx="974">
                  <c:v>1.0648502513674885E-2</c:v>
                </c:pt>
                <c:pt idx="975">
                  <c:v>1.0655403390105178E-2</c:v>
                </c:pt>
                <c:pt idx="976">
                  <c:v>1.0662225515609691E-2</c:v>
                </c:pt>
                <c:pt idx="977">
                  <c:v>1.0668968890108488E-2</c:v>
                </c:pt>
                <c:pt idx="978">
                  <c:v>1.0675633513601568E-2</c:v>
                </c:pt>
                <c:pt idx="979">
                  <c:v>1.0682219386168867E-2</c:v>
                </c:pt>
                <c:pt idx="980">
                  <c:v>1.0688726507570578E-2</c:v>
                </c:pt>
                <c:pt idx="981">
                  <c:v>1.0695154878046509E-2</c:v>
                </c:pt>
                <c:pt idx="982">
                  <c:v>1.0701504497596659E-2</c:v>
                </c:pt>
                <c:pt idx="983">
                  <c:v>1.0707775366061156E-2</c:v>
                </c:pt>
                <c:pt idx="984">
                  <c:v>1.0713967483519937E-2</c:v>
                </c:pt>
                <c:pt idx="985">
                  <c:v>1.0722450124797334E-2</c:v>
                </c:pt>
                <c:pt idx="986">
                  <c:v>1.0726115465340413E-2</c:v>
                </c:pt>
                <c:pt idx="987">
                  <c:v>1.0732071329702109E-2</c:v>
                </c:pt>
                <c:pt idx="988">
                  <c:v>1.0737948443138023E-2</c:v>
                </c:pt>
                <c:pt idx="989">
                  <c:v>1.0745459131669133E-2</c:v>
                </c:pt>
                <c:pt idx="990">
                  <c:v>1.0749466416672959E-2</c:v>
                </c:pt>
                <c:pt idx="991">
                  <c:v>1.0755107276851916E-2</c:v>
                </c:pt>
                <c:pt idx="992">
                  <c:v>1.0760669386105093E-2</c:v>
                </c:pt>
                <c:pt idx="993">
                  <c:v>1.0766152744192681E-2</c:v>
                </c:pt>
                <c:pt idx="994">
                  <c:v>1.0771557351274552E-2</c:v>
                </c:pt>
                <c:pt idx="995">
                  <c:v>1.0776883207270771E-2</c:v>
                </c:pt>
                <c:pt idx="996">
                  <c:v>1.0782130312181337E-2</c:v>
                </c:pt>
                <c:pt idx="997">
                  <c:v>1.0787298666086187E-2</c:v>
                </c:pt>
                <c:pt idx="998">
                  <c:v>1.0792388268905384E-2</c:v>
                </c:pt>
                <c:pt idx="999">
                  <c:v>1.0797399120558993E-2</c:v>
                </c:pt>
                <c:pt idx="1000">
                  <c:v>1.0802331221206884E-2</c:v>
                </c:pt>
                <c:pt idx="1001">
                  <c:v>1.080718457084906E-2</c:v>
                </c:pt>
                <c:pt idx="1002">
                  <c:v>1.0811959169325647E-2</c:v>
                </c:pt>
                <c:pt idx="1003">
                  <c:v>1.0816655016796517E-2</c:v>
                </c:pt>
                <c:pt idx="1004">
                  <c:v>1.0821272113021863E-2</c:v>
                </c:pt>
                <c:pt idx="1005">
                  <c:v>1.0825810458241492E-2</c:v>
                </c:pt>
                <c:pt idx="1006">
                  <c:v>1.0830270052375468E-2</c:v>
                </c:pt>
                <c:pt idx="1007">
                  <c:v>1.0834650895423792E-2</c:v>
                </c:pt>
                <c:pt idx="1008">
                  <c:v>1.0838952987386463E-2</c:v>
                </c:pt>
                <c:pt idx="1009">
                  <c:v>1.0843176328183546E-2</c:v>
                </c:pt>
                <c:pt idx="1010">
                  <c:v>1.0847320917894976E-2</c:v>
                </c:pt>
                <c:pt idx="1011">
                  <c:v>1.0851386756600689E-2</c:v>
                </c:pt>
                <c:pt idx="1012">
                  <c:v>1.0855373843980942E-2</c:v>
                </c:pt>
                <c:pt idx="1013">
                  <c:v>1.0859282180355478E-2</c:v>
                </c:pt>
                <c:pt idx="1014">
                  <c:v>1.0863111765644362E-2</c:v>
                </c:pt>
                <c:pt idx="1015">
                  <c:v>1.0866862599847593E-2</c:v>
                </c:pt>
                <c:pt idx="1016">
                  <c:v>1.08705346828053E-2</c:v>
                </c:pt>
                <c:pt idx="1017">
                  <c:v>1.0874128014677353E-2</c:v>
                </c:pt>
                <c:pt idx="1018">
                  <c:v>1.0877642595463755E-2</c:v>
                </c:pt>
                <c:pt idx="1019">
                  <c:v>1.0881078425084567E-2</c:v>
                </c:pt>
                <c:pt idx="1020">
                  <c:v>1.0884435503699663E-2</c:v>
                </c:pt>
                <c:pt idx="1021">
                  <c:v>1.0887713830989298E-2</c:v>
                </c:pt>
                <c:pt idx="1022">
                  <c:v>1.0890913407193281E-2</c:v>
                </c:pt>
                <c:pt idx="1023">
                  <c:v>1.0895186300012849E-2</c:v>
                </c:pt>
                <c:pt idx="1024">
                  <c:v>1.0898211773444633E-2</c:v>
                </c:pt>
                <c:pt idx="1025">
                  <c:v>1.0900039629131442E-2</c:v>
                </c:pt>
                <c:pt idx="1026">
                  <c:v>1.0902924200832942E-2</c:v>
                </c:pt>
                <c:pt idx="1027">
                  <c:v>1.0905730021368853E-2</c:v>
                </c:pt>
                <c:pt idx="1028">
                  <c:v>1.0908457090739176E-2</c:v>
                </c:pt>
                <c:pt idx="1029">
                  <c:v>1.0911105408943911E-2</c:v>
                </c:pt>
                <c:pt idx="1030">
                  <c:v>1.0913674976062993E-2</c:v>
                </c:pt>
                <c:pt idx="1031">
                  <c:v>1.091616579193655E-2</c:v>
                </c:pt>
                <c:pt idx="1032">
                  <c:v>1.0918577856724454E-2</c:v>
                </c:pt>
                <c:pt idx="1033">
                  <c:v>1.092091117034677E-2</c:v>
                </c:pt>
                <c:pt idx="1034">
                  <c:v>1.0923165732803497E-2</c:v>
                </c:pt>
                <c:pt idx="1035">
                  <c:v>1.0925341544094636E-2</c:v>
                </c:pt>
                <c:pt idx="1036">
                  <c:v>1.0928693393404743E-2</c:v>
                </c:pt>
                <c:pt idx="1037">
                  <c:v>1.0929498425653605E-2</c:v>
                </c:pt>
                <c:pt idx="1038">
                  <c:v>1.0931534399443166E-2</c:v>
                </c:pt>
                <c:pt idx="1039">
                  <c:v>1.0933547864677706E-2</c:v>
                </c:pt>
                <c:pt idx="1040">
                  <c:v>1.0935538821437163E-2</c:v>
                </c:pt>
                <c:pt idx="1041">
                  <c:v>1.0937507269801472E-2</c:v>
                </c:pt>
                <c:pt idx="1042">
                  <c:v>1.0939453209450889E-2</c:v>
                </c:pt>
                <c:pt idx="1043">
                  <c:v>1.0941376640545286E-2</c:v>
                </c:pt>
                <c:pt idx="1044">
                  <c:v>1.0943277563244536E-2</c:v>
                </c:pt>
                <c:pt idx="1045">
                  <c:v>1.0945155977468701E-2</c:v>
                </c:pt>
                <c:pt idx="1046">
                  <c:v>1.0947011883057911E-2</c:v>
                </c:pt>
                <c:pt idx="1047">
                  <c:v>1.0948845280172037E-2</c:v>
                </c:pt>
                <c:pt idx="1048">
                  <c:v>1.0950656168731143E-2</c:v>
                </c:pt>
                <c:pt idx="1049">
                  <c:v>1.0952444548815166E-2</c:v>
                </c:pt>
                <c:pt idx="1050">
                  <c:v>1.0954210420344168E-2</c:v>
                </c:pt>
                <c:pt idx="1051">
                  <c:v>1.0955953783398087E-2</c:v>
                </c:pt>
                <c:pt idx="1052">
                  <c:v>1.0957674637896986E-2</c:v>
                </c:pt>
                <c:pt idx="1053">
                  <c:v>1.0959372983920801E-2</c:v>
                </c:pt>
                <c:pt idx="1054">
                  <c:v>1.096104882130966E-2</c:v>
                </c:pt>
                <c:pt idx="1055">
                  <c:v>1.0962702150223436E-2</c:v>
                </c:pt>
                <c:pt idx="1056">
                  <c:v>1.0964332970662127E-2</c:v>
                </c:pt>
                <c:pt idx="1057">
                  <c:v>1.0965941282545799E-2</c:v>
                </c:pt>
                <c:pt idx="1058">
                  <c:v>1.0967527085954387E-2</c:v>
                </c:pt>
                <c:pt idx="1059">
                  <c:v>1.0969090380728019E-2</c:v>
                </c:pt>
                <c:pt idx="1060">
                  <c:v>1.0970631167106504E-2</c:v>
                </c:pt>
                <c:pt idx="1061">
                  <c:v>1.0972149444770096E-2</c:v>
                </c:pt>
                <c:pt idx="1062">
                  <c:v>1.0973645214118477E-2</c:v>
                </c:pt>
                <c:pt idx="1063">
                  <c:v>1.0975118474831902E-2</c:v>
                </c:pt>
                <c:pt idx="1064">
                  <c:v>1.0976569227070243E-2</c:v>
                </c:pt>
                <c:pt idx="1065">
                  <c:v>1.0977997470753564E-2</c:v>
                </c:pt>
                <c:pt idx="1066">
                  <c:v>1.0979403205881866E-2</c:v>
                </c:pt>
                <c:pt idx="1067">
                  <c:v>1.0980786432535083E-2</c:v>
                </c:pt>
                <c:pt idx="1068">
                  <c:v>1.0982147150633281E-2</c:v>
                </c:pt>
                <c:pt idx="1069">
                  <c:v>1.0983485360176459E-2</c:v>
                </c:pt>
                <c:pt idx="1070">
                  <c:v>1.098480106132449E-2</c:v>
                </c:pt>
                <c:pt idx="1071">
                  <c:v>1.0986094253757628E-2</c:v>
                </c:pt>
                <c:pt idx="1072">
                  <c:v>1.0987364937795618E-2</c:v>
                </c:pt>
                <c:pt idx="1073">
                  <c:v>1.0988613113198653E-2</c:v>
                </c:pt>
                <c:pt idx="1074">
                  <c:v>1.098983878020654E-2</c:v>
                </c:pt>
                <c:pt idx="1075">
                  <c:v>1.0991041938659407E-2</c:v>
                </c:pt>
                <c:pt idx="1076">
                  <c:v>1.0992222588477318E-2</c:v>
                </c:pt>
                <c:pt idx="1077">
                  <c:v>1.0993380729820146E-2</c:v>
                </c:pt>
                <c:pt idx="1078">
                  <c:v>1.0994516362687889E-2</c:v>
                </c:pt>
                <c:pt idx="1079">
                  <c:v>1.0995629486920677E-2</c:v>
                </c:pt>
                <c:pt idx="1080">
                  <c:v>1.0996720102678381E-2</c:v>
                </c:pt>
                <c:pt idx="1081">
                  <c:v>1.0997788209961001E-2</c:v>
                </c:pt>
                <c:pt idx="1082">
                  <c:v>1.0998833808688602E-2</c:v>
                </c:pt>
                <c:pt idx="1083">
                  <c:v>1.0999856898781246E-2</c:v>
                </c:pt>
                <c:pt idx="1084">
                  <c:v>1.1000857480398807E-2</c:v>
                </c:pt>
                <c:pt idx="1085">
                  <c:v>1.1001835553541284E-2</c:v>
                </c:pt>
                <c:pt idx="1086">
                  <c:v>1.1002791118208677E-2</c:v>
                </c:pt>
                <c:pt idx="1087">
                  <c:v>1.1003724174241114E-2</c:v>
                </c:pt>
                <c:pt idx="1088">
                  <c:v>1.1004634721718531E-2</c:v>
                </c:pt>
                <c:pt idx="1089">
                  <c:v>1.1005522760800801E-2</c:v>
                </c:pt>
                <c:pt idx="1090">
                  <c:v>1.1006388291168179E-2</c:v>
                </c:pt>
                <c:pt idx="1091">
                  <c:v>1.1008140738763217E-2</c:v>
                </c:pt>
                <c:pt idx="1092">
                  <c:v>1.1008051826557619E-2</c:v>
                </c:pt>
                <c:pt idx="1093">
                  <c:v>1.1008849831339873E-2</c:v>
                </c:pt>
                <c:pt idx="1094">
                  <c:v>1.1009625327647043E-2</c:v>
                </c:pt>
                <c:pt idx="1095">
                  <c:v>1.1010378315559066E-2</c:v>
                </c:pt>
                <c:pt idx="1096">
                  <c:v>1.1011108794756197E-2</c:v>
                </c:pt>
                <c:pt idx="1097">
                  <c:v>1.101181676555818E-2</c:v>
                </c:pt>
                <c:pt idx="1098">
                  <c:v>1.1012502227725207E-2</c:v>
                </c:pt>
                <c:pt idx="1099">
                  <c:v>1.1013165181337214E-2</c:v>
                </c:pt>
                <c:pt idx="1100">
                  <c:v>1.1013805626474138E-2</c:v>
                </c:pt>
                <c:pt idx="1101">
                  <c:v>1.1014423563056042E-2</c:v>
                </c:pt>
                <c:pt idx="1102">
                  <c:v>1.1015018991162862E-2</c:v>
                </c:pt>
                <c:pt idx="1103">
                  <c:v>1.1015591910714662E-2</c:v>
                </c:pt>
                <c:pt idx="1104">
                  <c:v>1.1016142321631506E-2</c:v>
                </c:pt>
                <c:pt idx="1105">
                  <c:v>1.1016670224233138E-2</c:v>
                </c:pt>
                <c:pt idx="1106">
                  <c:v>1.1017175618039943E-2</c:v>
                </c:pt>
                <c:pt idx="1107">
                  <c:v>1.1017658503451599E-2</c:v>
                </c:pt>
                <c:pt idx="1108">
                  <c:v>1.1018118880388172E-2</c:v>
                </c:pt>
                <c:pt idx="1109">
                  <c:v>1.101855674868979E-2</c:v>
                </c:pt>
                <c:pt idx="1110">
                  <c:v>1.1018972108436387E-2</c:v>
                </c:pt>
                <c:pt idx="1111">
                  <c:v>1.1019364959787836E-2</c:v>
                </c:pt>
                <c:pt idx="1112">
                  <c:v>1.1019735302424394E-2</c:v>
                </c:pt>
                <c:pt idx="1113">
                  <c:v>1.102008313674574E-2</c:v>
                </c:pt>
                <c:pt idx="1114">
                  <c:v>1.1020408462352194E-2</c:v>
                </c:pt>
                <c:pt idx="1115">
                  <c:v>1.1020711279483564E-2</c:v>
                </c:pt>
                <c:pt idx="1116">
                  <c:v>1.1020991588059914E-2</c:v>
                </c:pt>
                <c:pt idx="1117">
                  <c:v>1.1021249388081245E-2</c:v>
                </c:pt>
                <c:pt idx="1118">
                  <c:v>1.1021484679627491E-2</c:v>
                </c:pt>
                <c:pt idx="1119">
                  <c:v>1.1021697462618718E-2</c:v>
                </c:pt>
                <c:pt idx="1120">
                  <c:v>1.1021887737054925E-2</c:v>
                </c:pt>
                <c:pt idx="1121">
                  <c:v>1.1022055503016048E-2</c:v>
                </c:pt>
                <c:pt idx="1122">
                  <c:v>1.1022200760422152E-2</c:v>
                </c:pt>
                <c:pt idx="1123">
                  <c:v>1.1022323509273235E-2</c:v>
                </c:pt>
                <c:pt idx="1124">
                  <c:v>1.1022423749569299E-2</c:v>
                </c:pt>
                <c:pt idx="1125">
                  <c:v>1.1022501481310343E-2</c:v>
                </c:pt>
                <c:pt idx="1126">
                  <c:v>1.1022556704576303E-2</c:v>
                </c:pt>
                <c:pt idx="1127">
                  <c:v>1.1022589419287243E-2</c:v>
                </c:pt>
                <c:pt idx="1128">
                  <c:v>1.1023103779141952E-2</c:v>
                </c:pt>
                <c:pt idx="1129">
                  <c:v>1.1022917016649814E-2</c:v>
                </c:pt>
                <c:pt idx="1130">
                  <c:v>1.1022875772228602E-2</c:v>
                </c:pt>
                <c:pt idx="1131">
                  <c:v>1.1022812017893457E-2</c:v>
                </c:pt>
                <c:pt idx="1132">
                  <c:v>1.102272575364438E-2</c:v>
                </c:pt>
                <c:pt idx="1133">
                  <c:v>1.102261697948137E-2</c:v>
                </c:pt>
                <c:pt idx="1134">
                  <c:v>1.1022485695404427E-2</c:v>
                </c:pt>
                <c:pt idx="1135">
                  <c:v>1.1022331901413551E-2</c:v>
                </c:pt>
                <c:pt idx="1136">
                  <c:v>1.1022155597482097E-2</c:v>
                </c:pt>
                <c:pt idx="1137">
                  <c:v>1.1021956783690001E-2</c:v>
                </c:pt>
                <c:pt idx="1138">
                  <c:v>1.1021735459930682E-2</c:v>
                </c:pt>
                <c:pt idx="1139">
                  <c:v>1.102149162631072E-2</c:v>
                </c:pt>
                <c:pt idx="1140">
                  <c:v>1.102122528275018E-2</c:v>
                </c:pt>
                <c:pt idx="1141">
                  <c:v>1.1020468530702487E-2</c:v>
                </c:pt>
                <c:pt idx="1142">
                  <c:v>1.1020625065913947E-2</c:v>
                </c:pt>
                <c:pt idx="1143">
                  <c:v>1.1020291192638254E-2</c:v>
                </c:pt>
                <c:pt idx="1144">
                  <c:v>1.1019934809421983E-2</c:v>
                </c:pt>
                <c:pt idx="1145">
                  <c:v>1.1019555916318424E-2</c:v>
                </c:pt>
                <c:pt idx="1146">
                  <c:v>1.1019154513274287E-2</c:v>
                </c:pt>
                <c:pt idx="1147">
                  <c:v>1.1018730600342863E-2</c:v>
                </c:pt>
                <c:pt idx="1148">
                  <c:v>1.1018284177524151E-2</c:v>
                </c:pt>
                <c:pt idx="1149">
                  <c:v>1.1017815244764861E-2</c:v>
                </c:pt>
                <c:pt idx="1150">
                  <c:v>1.1017323802064993E-2</c:v>
                </c:pt>
                <c:pt idx="1151">
                  <c:v>1.1016809849504483E-2</c:v>
                </c:pt>
                <c:pt idx="1152">
                  <c:v>1.1016273387003395E-2</c:v>
                </c:pt>
                <c:pt idx="1153">
                  <c:v>1.1015714414615019E-2</c:v>
                </c:pt>
                <c:pt idx="1154">
                  <c:v>1.101513293231271E-2</c:v>
                </c:pt>
                <c:pt idx="1155">
                  <c:v>1.1014528940123114E-2</c:v>
                </c:pt>
                <c:pt idx="1156">
                  <c:v>1.101390243799294E-2</c:v>
                </c:pt>
                <c:pt idx="1157">
                  <c:v>1.1013253425975478E-2</c:v>
                </c:pt>
                <c:pt idx="1158">
                  <c:v>1.1012581904017438E-2</c:v>
                </c:pt>
                <c:pt idx="1159">
                  <c:v>1.1011887872145465E-2</c:v>
                </c:pt>
                <c:pt idx="1160">
                  <c:v>1.101117133041285E-2</c:v>
                </c:pt>
                <c:pt idx="1161">
                  <c:v>1.1010432278766302E-2</c:v>
                </c:pt>
                <c:pt idx="1162">
                  <c:v>1.1009670717179176E-2</c:v>
                </c:pt>
                <c:pt idx="1163">
                  <c:v>1.1008886645731408E-2</c:v>
                </c:pt>
                <c:pt idx="1164">
                  <c:v>1.1008080064343062E-2</c:v>
                </c:pt>
                <c:pt idx="1165">
                  <c:v>1.1007250973094074E-2</c:v>
                </c:pt>
                <c:pt idx="1166">
                  <c:v>1.1006399371877862E-2</c:v>
                </c:pt>
                <c:pt idx="1167">
                  <c:v>1.1005525260801008E-2</c:v>
                </c:pt>
                <c:pt idx="1168">
                  <c:v>1.1004628639836866E-2</c:v>
                </c:pt>
                <c:pt idx="1169">
                  <c:v>1.1003709508932147E-2</c:v>
                </c:pt>
                <c:pt idx="1170">
                  <c:v>1.1002767868113494E-2</c:v>
                </c:pt>
                <c:pt idx="1171">
                  <c:v>1.10018037174342E-2</c:v>
                </c:pt>
                <c:pt idx="1172">
                  <c:v>1.1000817056840972E-2</c:v>
                </c:pt>
                <c:pt idx="1173">
                  <c:v>1.0999807886333812E-2</c:v>
                </c:pt>
                <c:pt idx="1174">
                  <c:v>1.099877620596601E-2</c:v>
                </c:pt>
                <c:pt idx="1175">
                  <c:v>1.0997722015630984E-2</c:v>
                </c:pt>
                <c:pt idx="1176">
                  <c:v>1.0996645315435316E-2</c:v>
                </c:pt>
                <c:pt idx="1177">
                  <c:v>1.0995546105352361E-2</c:v>
                </c:pt>
                <c:pt idx="1178">
                  <c:v>1.0994424385355472E-2</c:v>
                </c:pt>
                <c:pt idx="1179">
                  <c:v>1.0993280155471297E-2</c:v>
                </c:pt>
                <c:pt idx="1180">
                  <c:v>1.0991523568435468E-2</c:v>
                </c:pt>
                <c:pt idx="1181">
                  <c:v>1.0990244880400013E-2</c:v>
                </c:pt>
                <c:pt idx="1182">
                  <c:v>1.0989026763752463E-2</c:v>
                </c:pt>
                <c:pt idx="1183">
                  <c:v>1.0987786138709765E-2</c:v>
                </c:pt>
                <c:pt idx="1184">
                  <c:v>1.0986523004952176E-2</c:v>
                </c:pt>
                <c:pt idx="1185">
                  <c:v>1.0985237362799438E-2</c:v>
                </c:pt>
                <c:pt idx="1186">
                  <c:v>1.0983929212091681E-2</c:v>
                </c:pt>
                <c:pt idx="1187">
                  <c:v>1.0982598552828904E-2</c:v>
                </c:pt>
                <c:pt idx="1188">
                  <c:v>1.0981245385091043E-2</c:v>
                </c:pt>
                <c:pt idx="1189">
                  <c:v>1.0979869708798162E-2</c:v>
                </c:pt>
                <c:pt idx="1190">
                  <c:v>1.0978471523950262E-2</c:v>
                </c:pt>
                <c:pt idx="1191">
                  <c:v>1.0977050830627277E-2</c:v>
                </c:pt>
                <c:pt idx="1192">
                  <c:v>1.0975607691898759E-2</c:v>
                </c:pt>
                <c:pt idx="1193">
                  <c:v>1.0974152599771969E-2</c:v>
                </c:pt>
                <c:pt idx="1194">
                  <c:v>1.0972693580946213E-2</c:v>
                </c:pt>
                <c:pt idx="1195">
                  <c:v>1.0971230635501428E-2</c:v>
                </c:pt>
                <c:pt idx="1196">
                  <c:v>1.0969343935904874E-2</c:v>
                </c:pt>
                <c:pt idx="1197">
                  <c:v>1.0968292964674831E-2</c:v>
                </c:pt>
                <c:pt idx="1198">
                  <c:v>1.0966818239372955E-2</c:v>
                </c:pt>
                <c:pt idx="1199">
                  <c:v>1.0965339587372114E-2</c:v>
                </c:pt>
                <c:pt idx="1200">
                  <c:v>1.0963857008832179E-2</c:v>
                </c:pt>
                <c:pt idx="1201">
                  <c:v>1.0962370503513341E-2</c:v>
                </c:pt>
                <c:pt idx="1202">
                  <c:v>1.0960880071735346E-2</c:v>
                </c:pt>
                <c:pt idx="1203">
                  <c:v>1.0959385713178449E-2</c:v>
                </c:pt>
                <c:pt idx="1204">
                  <c:v>1.0957887428002522E-2</c:v>
                </c:pt>
                <c:pt idx="1205">
                  <c:v>1.0956385216287501E-2</c:v>
                </c:pt>
                <c:pt idx="1206">
                  <c:v>1.0954879077873514E-2</c:v>
                </c:pt>
                <c:pt idx="1207">
                  <c:v>1.0953369012920433E-2</c:v>
                </c:pt>
                <c:pt idx="1208">
                  <c:v>1.095185502118845E-2</c:v>
                </c:pt>
                <c:pt idx="1209">
                  <c:v>1.0950337102917373E-2</c:v>
                </c:pt>
                <c:pt idx="1210">
                  <c:v>1.0948815257947331E-2</c:v>
                </c:pt>
                <c:pt idx="1211">
                  <c:v>1.0947289486438194E-2</c:v>
                </c:pt>
                <c:pt idx="1212">
                  <c:v>1.0945759788310028E-2</c:v>
                </c:pt>
                <c:pt idx="1213">
                  <c:v>1.0944226163482895E-2</c:v>
                </c:pt>
                <c:pt idx="1214">
                  <c:v>1.0942688612036733E-2</c:v>
                </c:pt>
                <c:pt idx="1215">
                  <c:v>1.0941147133891604E-2</c:v>
                </c:pt>
                <c:pt idx="1216">
                  <c:v>1.0939601729207382E-2</c:v>
                </c:pt>
                <c:pt idx="1217">
                  <c:v>1.093805239790413E-2</c:v>
                </c:pt>
                <c:pt idx="1218">
                  <c:v>1.0936499139901912E-2</c:v>
                </c:pt>
                <c:pt idx="1219">
                  <c:v>1.0934941955280664E-2</c:v>
                </c:pt>
                <c:pt idx="1220">
                  <c:v>1.0933380844120322E-2</c:v>
                </c:pt>
                <c:pt idx="1221">
                  <c:v>1.0931815806181078E-2</c:v>
                </c:pt>
                <c:pt idx="1222">
                  <c:v>1.093024684170274E-2</c:v>
                </c:pt>
                <c:pt idx="1223">
                  <c:v>1.0928673950605372E-2</c:v>
                </c:pt>
                <c:pt idx="1224">
                  <c:v>1.0927097132809038E-2</c:v>
                </c:pt>
                <c:pt idx="1225">
                  <c:v>1.0925516388473611E-2</c:v>
                </c:pt>
                <c:pt idx="1226">
                  <c:v>1.0923931717439217E-2</c:v>
                </c:pt>
                <c:pt idx="1227">
                  <c:v>1.0922343119785793E-2</c:v>
                </c:pt>
                <c:pt idx="1228">
                  <c:v>1.092075059551334E-2</c:v>
                </c:pt>
                <c:pt idx="1229">
                  <c:v>1.0919154144621857E-2</c:v>
                </c:pt>
                <c:pt idx="1230">
                  <c:v>1.0917553767031407E-2</c:v>
                </c:pt>
                <c:pt idx="1231">
                  <c:v>1.0915949462821928E-2</c:v>
                </c:pt>
                <c:pt idx="1232">
                  <c:v>1.0914161528261523E-2</c:v>
                </c:pt>
                <c:pt idx="1233">
                  <c:v>1.0912498445909691E-2</c:v>
                </c:pt>
                <c:pt idx="1234">
                  <c:v>1.0910881800931804E-2</c:v>
                </c:pt>
                <c:pt idx="1235">
                  <c:v>1.0909261229334888E-2</c:v>
                </c:pt>
                <c:pt idx="1236">
                  <c:v>1.0907636730959069E-2</c:v>
                </c:pt>
                <c:pt idx="1237">
                  <c:v>1.0906008306124093E-2</c:v>
                </c:pt>
                <c:pt idx="1238">
                  <c:v>1.0904375954670087E-2</c:v>
                </c:pt>
                <c:pt idx="1239">
                  <c:v>1.0902739676437179E-2</c:v>
                </c:pt>
                <c:pt idx="1240">
                  <c:v>1.0901099471665177E-2</c:v>
                </c:pt>
                <c:pt idx="1241">
                  <c:v>1.0899455340194208E-2</c:v>
                </c:pt>
                <c:pt idx="1242">
                  <c:v>1.089780728210421E-2</c:v>
                </c:pt>
                <c:pt idx="1243">
                  <c:v>1.0896155297555055E-2</c:v>
                </c:pt>
                <c:pt idx="1244">
                  <c:v>1.0894499386147061E-2</c:v>
                </c:pt>
                <c:pt idx="1245">
                  <c:v>1.0892839548199973E-2</c:v>
                </c:pt>
                <c:pt idx="1246">
                  <c:v>1.0891175783633855E-2</c:v>
                </c:pt>
                <c:pt idx="1247">
                  <c:v>1.0889030888092677E-2</c:v>
                </c:pt>
                <c:pt idx="1248">
                  <c:v>1.0887358148305992E-2</c:v>
                </c:pt>
                <c:pt idx="1249">
                  <c:v>1.0885530822148937E-2</c:v>
                </c:pt>
                <c:pt idx="1250">
                  <c:v>1.0884000889035406E-2</c:v>
                </c:pt>
                <c:pt idx="1251">
                  <c:v>1.0882316369391631E-2</c:v>
                </c:pt>
                <c:pt idx="1252">
                  <c:v>1.0880627923208763E-2</c:v>
                </c:pt>
                <c:pt idx="1253">
                  <c:v>1.0878935550326929E-2</c:v>
                </c:pt>
                <c:pt idx="1254">
                  <c:v>1.0877239250826065E-2</c:v>
                </c:pt>
                <c:pt idx="1255">
                  <c:v>1.0875539024706171E-2</c:v>
                </c:pt>
                <c:pt idx="1256">
                  <c:v>1.0873834871967247E-2</c:v>
                </c:pt>
                <c:pt idx="1257">
                  <c:v>1.0872126792529357E-2</c:v>
                </c:pt>
                <c:pt idx="1258">
                  <c:v>1.087041478663231E-2</c:v>
                </c:pt>
                <c:pt idx="1259">
                  <c:v>1.086869885395636E-2</c:v>
                </c:pt>
                <c:pt idx="1260">
                  <c:v>1.086697899466138E-2</c:v>
                </c:pt>
                <c:pt idx="1261">
                  <c:v>1.0865255208747371E-2</c:v>
                </c:pt>
                <c:pt idx="1262">
                  <c:v>1.0863527496214331E-2</c:v>
                </c:pt>
                <c:pt idx="1263">
                  <c:v>1.0861795857142198E-2</c:v>
                </c:pt>
                <c:pt idx="1264">
                  <c:v>1.0860060291291163E-2</c:v>
                </c:pt>
                <c:pt idx="1265">
                  <c:v>1.0858320798821097E-2</c:v>
                </c:pt>
                <c:pt idx="1266">
                  <c:v>1.0856577379891874E-2</c:v>
                </c:pt>
                <c:pt idx="1267">
                  <c:v>1.0854830034183749E-2</c:v>
                </c:pt>
                <c:pt idx="1268">
                  <c:v>1.085307876193653E-2</c:v>
                </c:pt>
                <c:pt idx="1269">
                  <c:v>1.0851323562990345E-2</c:v>
                </c:pt>
                <c:pt idx="1270">
                  <c:v>1.0849564437345194E-2</c:v>
                </c:pt>
                <c:pt idx="1271">
                  <c:v>1.0847801385240885E-2</c:v>
                </c:pt>
                <c:pt idx="1272">
                  <c:v>1.084603440643761E-2</c:v>
                </c:pt>
                <c:pt idx="1273">
                  <c:v>1.0844263501015305E-2</c:v>
                </c:pt>
                <c:pt idx="1274">
                  <c:v>1.0842488668973971E-2</c:v>
                </c:pt>
                <c:pt idx="1275">
                  <c:v>1.084070991023367E-2</c:v>
                </c:pt>
                <c:pt idx="1276">
                  <c:v>1.0838927224954276E-2</c:v>
                </c:pt>
                <c:pt idx="1277">
                  <c:v>1.0837140612895979E-2</c:v>
                </c:pt>
                <c:pt idx="1278">
                  <c:v>1.0835350074378525E-2</c:v>
                </c:pt>
                <c:pt idx="1279">
                  <c:v>1.0833555609162104E-2</c:v>
                </c:pt>
                <c:pt idx="1280">
                  <c:v>1.0831757217326654E-2</c:v>
                </c:pt>
                <c:pt idx="1281">
                  <c:v>1.0829954898872174E-2</c:v>
                </c:pt>
                <c:pt idx="1282">
                  <c:v>1.0828148653798664E-2</c:v>
                </c:pt>
                <c:pt idx="1283">
                  <c:v>1.0825302335257803E-2</c:v>
                </c:pt>
                <c:pt idx="1284">
                  <c:v>1.0824330767178481E-2</c:v>
                </c:pt>
                <c:pt idx="1285">
                  <c:v>1.0822706358704082E-2</c:v>
                </c:pt>
                <c:pt idx="1286">
                  <c:v>1.0820884407234388E-2</c:v>
                </c:pt>
                <c:pt idx="1287">
                  <c:v>1.0819058528985792E-2</c:v>
                </c:pt>
                <c:pt idx="1288">
                  <c:v>1.0817228724118166E-2</c:v>
                </c:pt>
                <c:pt idx="1289">
                  <c:v>1.0815394992631511E-2</c:v>
                </c:pt>
                <c:pt idx="1290">
                  <c:v>1.0813557334525825E-2</c:v>
                </c:pt>
                <c:pt idx="1291">
                  <c:v>1.0811715749721174E-2</c:v>
                </c:pt>
                <c:pt idx="1292">
                  <c:v>1.0809870238457364E-2</c:v>
                </c:pt>
                <c:pt idx="1293">
                  <c:v>1.0808020800414653E-2</c:v>
                </c:pt>
                <c:pt idx="1294">
                  <c:v>1.0806167435752911E-2</c:v>
                </c:pt>
                <c:pt idx="1295">
                  <c:v>1.0804310144632012E-2</c:v>
                </c:pt>
                <c:pt idx="1296">
                  <c:v>1.080256459826856E-2</c:v>
                </c:pt>
                <c:pt idx="1297">
                  <c:v>1.080058378221338E-2</c:v>
                </c:pt>
                <c:pt idx="1298">
                  <c:v>1.0798714711075519E-2</c:v>
                </c:pt>
                <c:pt idx="1299">
                  <c:v>1.0796841713398564E-2</c:v>
                </c:pt>
                <c:pt idx="1300">
                  <c:v>1.0794964788942707E-2</c:v>
                </c:pt>
                <c:pt idx="1301">
                  <c:v>1.0793083937947756E-2</c:v>
                </c:pt>
                <c:pt idx="1302">
                  <c:v>1.0791199160333775E-2</c:v>
                </c:pt>
                <c:pt idx="1303">
                  <c:v>1.0789310456100765E-2</c:v>
                </c:pt>
                <c:pt idx="1304">
                  <c:v>1.0787417825248724E-2</c:v>
                </c:pt>
                <c:pt idx="1305">
                  <c:v>1.0785521267697717E-2</c:v>
                </c:pt>
                <c:pt idx="1306">
                  <c:v>1.0783620783607617E-2</c:v>
                </c:pt>
                <c:pt idx="1307">
                  <c:v>1.0781716372818551E-2</c:v>
                </c:pt>
                <c:pt idx="1308">
                  <c:v>1.0779808035410454E-2</c:v>
                </c:pt>
                <c:pt idx="1309">
                  <c:v>1.0777895771463264E-2</c:v>
                </c:pt>
                <c:pt idx="1310">
                  <c:v>1.0775979580817108E-2</c:v>
                </c:pt>
                <c:pt idx="1311">
                  <c:v>1.0774059463551922E-2</c:v>
                </c:pt>
                <c:pt idx="1312">
                  <c:v>1.0772135419747642E-2</c:v>
                </c:pt>
                <c:pt idx="1313">
                  <c:v>1.0770207449164459E-2</c:v>
                </c:pt>
                <c:pt idx="1314">
                  <c:v>1.0768275552042184E-2</c:v>
                </c:pt>
                <c:pt idx="1315">
                  <c:v>1.0766339728300878E-2</c:v>
                </c:pt>
                <c:pt idx="1316">
                  <c:v>1.0764399977860606E-2</c:v>
                </c:pt>
                <c:pt idx="1317">
                  <c:v>1.076245630088124E-2</c:v>
                </c:pt>
                <c:pt idx="1318">
                  <c:v>1.0760508697282845E-2</c:v>
                </c:pt>
                <c:pt idx="1319">
                  <c:v>1.0758557166985483E-2</c:v>
                </c:pt>
                <c:pt idx="1320">
                  <c:v>1.0756601710069091E-2</c:v>
                </c:pt>
                <c:pt idx="1321">
                  <c:v>1.0754642326613606E-2</c:v>
                </c:pt>
                <c:pt idx="1322">
                  <c:v>1.0752679016459155E-2</c:v>
                </c:pt>
                <c:pt idx="1323">
                  <c:v>1.0750711779685673E-2</c:v>
                </c:pt>
                <c:pt idx="1324">
                  <c:v>1.0748740616293162E-2</c:v>
                </c:pt>
                <c:pt idx="1325">
                  <c:v>1.0746765526281621E-2</c:v>
                </c:pt>
                <c:pt idx="1326">
                  <c:v>1.074478650965105E-2</c:v>
                </c:pt>
                <c:pt idx="1327">
                  <c:v>1.0742803566401449E-2</c:v>
                </c:pt>
                <c:pt idx="1328">
                  <c:v>1.0740816696532818E-2</c:v>
                </c:pt>
                <c:pt idx="1329">
                  <c:v>1.0738825900045157E-2</c:v>
                </c:pt>
                <c:pt idx="1330">
                  <c:v>1.073683117685853E-2</c:v>
                </c:pt>
                <c:pt idx="1331">
                  <c:v>1.0734832527052873E-2</c:v>
                </c:pt>
                <c:pt idx="1332">
                  <c:v>1.0732829950708123E-2</c:v>
                </c:pt>
                <c:pt idx="1333">
                  <c:v>1.0730823447664406E-2</c:v>
                </c:pt>
                <c:pt idx="1334">
                  <c:v>1.0728813018001659E-2</c:v>
                </c:pt>
                <c:pt idx="1335">
                  <c:v>1.0726798661799819E-2</c:v>
                </c:pt>
                <c:pt idx="1336">
                  <c:v>1.0724780378899013E-2</c:v>
                </c:pt>
                <c:pt idx="1337">
                  <c:v>1.0722758169379176E-2</c:v>
                </c:pt>
                <c:pt idx="1338">
                  <c:v>1.0720732033320246E-2</c:v>
                </c:pt>
                <c:pt idx="1339">
                  <c:v>1.071870197056235E-2</c:v>
                </c:pt>
                <c:pt idx="1340">
                  <c:v>1.0716667981185424E-2</c:v>
                </c:pt>
                <c:pt idx="1341">
                  <c:v>1.0714630065189468E-2</c:v>
                </c:pt>
                <c:pt idx="1342">
                  <c:v>1.0712588222574482E-2</c:v>
                </c:pt>
                <c:pt idx="1343">
                  <c:v>1.0710542453340466E-2</c:v>
                </c:pt>
                <c:pt idx="1344">
                  <c:v>1.0708492757407484E-2</c:v>
                </c:pt>
                <c:pt idx="1345">
                  <c:v>1.0706439134935408E-2</c:v>
                </c:pt>
                <c:pt idx="1346">
                  <c:v>1.0704381585764366E-2</c:v>
                </c:pt>
                <c:pt idx="1347">
                  <c:v>1.0702320110054231E-2</c:v>
                </c:pt>
                <c:pt idx="1348">
                  <c:v>1.0700254707725065E-2</c:v>
                </c:pt>
                <c:pt idx="1349">
                  <c:v>1.0698185378696934E-2</c:v>
                </c:pt>
                <c:pt idx="1350">
                  <c:v>1.0696112123049772E-2</c:v>
                </c:pt>
                <c:pt idx="1351">
                  <c:v>1.0694075953672666E-2</c:v>
                </c:pt>
                <c:pt idx="1352">
                  <c:v>1.0691953831978296E-2</c:v>
                </c:pt>
                <c:pt idx="1353">
                  <c:v>1.0689868796553981E-2</c:v>
                </c:pt>
                <c:pt idx="1354">
                  <c:v>1.06877798344307E-2</c:v>
                </c:pt>
                <c:pt idx="1355">
                  <c:v>1.0685686945608452E-2</c:v>
                </c:pt>
                <c:pt idx="1356">
                  <c:v>1.0683590130327048E-2</c:v>
                </c:pt>
                <c:pt idx="1357">
                  <c:v>1.0681489388346677E-2</c:v>
                </c:pt>
                <c:pt idx="1358">
                  <c:v>1.0679384719747276E-2</c:v>
                </c:pt>
                <c:pt idx="1359">
                  <c:v>1.0677276124528845E-2</c:v>
                </c:pt>
                <c:pt idx="1360">
                  <c:v>1.0675163602611448E-2</c:v>
                </c:pt>
                <c:pt idx="1361">
                  <c:v>1.0673047154234894E-2</c:v>
                </c:pt>
                <c:pt idx="1362">
                  <c:v>1.0670926779159373E-2</c:v>
                </c:pt>
                <c:pt idx="1363">
                  <c:v>1.0668802477464823E-2</c:v>
                </c:pt>
                <c:pt idx="1364">
                  <c:v>1.0666674249071306E-2</c:v>
                </c:pt>
                <c:pt idx="1365">
                  <c:v>1.0664542094218632E-2</c:v>
                </c:pt>
                <c:pt idx="1366">
                  <c:v>1.066240601250712E-2</c:v>
                </c:pt>
                <c:pt idx="1367">
                  <c:v>1.0660266004336449E-2</c:v>
                </c:pt>
                <c:pt idx="1368">
                  <c:v>1.0658122069546749E-2</c:v>
                </c:pt>
                <c:pt idx="1369">
                  <c:v>1.0655974208138019E-2</c:v>
                </c:pt>
                <c:pt idx="1370">
                  <c:v>1.0653822420030323E-2</c:v>
                </c:pt>
                <c:pt idx="1371">
                  <c:v>1.0651666705383533E-2</c:v>
                </c:pt>
                <c:pt idx="1372">
                  <c:v>1.0649507064117714E-2</c:v>
                </c:pt>
                <c:pt idx="1373">
                  <c:v>1.0647343496152928E-2</c:v>
                </c:pt>
                <c:pt idx="1374">
                  <c:v>1.0645176001649048E-2</c:v>
                </c:pt>
                <c:pt idx="1375">
                  <c:v>1.0643004580366267E-2</c:v>
                </c:pt>
                <c:pt idx="1376">
                  <c:v>1.0640829232624327E-2</c:v>
                </c:pt>
                <c:pt idx="1377">
                  <c:v>1.0638649958183422E-2</c:v>
                </c:pt>
                <c:pt idx="1378">
                  <c:v>1.0636466757123486E-2</c:v>
                </c:pt>
                <c:pt idx="1379">
                  <c:v>1.0634279629524457E-2</c:v>
                </c:pt>
                <c:pt idx="1380">
                  <c:v>1.0632088575226462E-2</c:v>
                </c:pt>
                <c:pt idx="1381">
                  <c:v>1.0629893594389372E-2</c:v>
                </c:pt>
                <c:pt idx="1382">
                  <c:v>1.0627694686853317E-2</c:v>
                </c:pt>
                <c:pt idx="1383">
                  <c:v>1.0625491852698232E-2</c:v>
                </c:pt>
                <c:pt idx="1384">
                  <c:v>1.0623285091844181E-2</c:v>
                </c:pt>
                <c:pt idx="1385">
                  <c:v>1.0621074404530972E-2</c:v>
                </c:pt>
                <c:pt idx="1386">
                  <c:v>1.0618859790518798E-2</c:v>
                </c:pt>
                <c:pt idx="1387">
                  <c:v>1.0616641249967529E-2</c:v>
                </c:pt>
                <c:pt idx="1388">
                  <c:v>1.0614418782717294E-2</c:v>
                </c:pt>
                <c:pt idx="1389">
                  <c:v>1.061219238884803E-2</c:v>
                </c:pt>
                <c:pt idx="1390">
                  <c:v>1.0609962068279799E-2</c:v>
                </c:pt>
                <c:pt idx="1391">
                  <c:v>1.0607727821172475E-2</c:v>
                </c:pt>
                <c:pt idx="1392">
                  <c:v>1.0605489647526056E-2</c:v>
                </c:pt>
                <c:pt idx="1393">
                  <c:v>1.0603247547180672E-2</c:v>
                </c:pt>
                <c:pt idx="1394">
                  <c:v>1.0601001520136322E-2</c:v>
                </c:pt>
                <c:pt idx="1395">
                  <c:v>1.0598751566552878E-2</c:v>
                </c:pt>
                <c:pt idx="1396">
                  <c:v>1.059649768643034E-2</c:v>
                </c:pt>
                <c:pt idx="1397">
                  <c:v>1.0594239879608836E-2</c:v>
                </c:pt>
                <c:pt idx="1398">
                  <c:v>1.0591978146088366E-2</c:v>
                </c:pt>
                <c:pt idx="1399">
                  <c:v>1.0589712486028802E-2</c:v>
                </c:pt>
                <c:pt idx="1400">
                  <c:v>1.0587442899350208E-2</c:v>
                </c:pt>
                <c:pt idx="1401">
                  <c:v>1.058516938613252E-2</c:v>
                </c:pt>
                <c:pt idx="1402">
                  <c:v>1.0582862598251808E-2</c:v>
                </c:pt>
                <c:pt idx="1403">
                  <c:v>1.0580610579600247E-2</c:v>
                </c:pt>
                <c:pt idx="1404">
                  <c:v>1.0578325286445533E-2</c:v>
                </c:pt>
                <c:pt idx="1405">
                  <c:v>1.057603606667179E-2</c:v>
                </c:pt>
                <c:pt idx="1406">
                  <c:v>1.0573742920279017E-2</c:v>
                </c:pt>
                <c:pt idx="1407">
                  <c:v>1.0571445847187277E-2</c:v>
                </c:pt>
                <c:pt idx="1408">
                  <c:v>1.0569144847556444E-2</c:v>
                </c:pt>
                <c:pt idx="1409">
                  <c:v>1.0566839921306581E-2</c:v>
                </c:pt>
                <c:pt idx="1410">
                  <c:v>1.0564531068517624E-2</c:v>
                </c:pt>
                <c:pt idx="1411">
                  <c:v>1.0562218289029701E-2</c:v>
                </c:pt>
                <c:pt idx="1412">
                  <c:v>1.0559901582842812E-2</c:v>
                </c:pt>
                <c:pt idx="1413">
                  <c:v>1.0557580950116829E-2</c:v>
                </c:pt>
                <c:pt idx="1414">
                  <c:v>1.0555256390691881E-2</c:v>
                </c:pt>
                <c:pt idx="1415">
                  <c:v>1.0552927904807774E-2</c:v>
                </c:pt>
                <c:pt idx="1416">
                  <c:v>1.0550595492224701E-2</c:v>
                </c:pt>
                <c:pt idx="1417">
                  <c:v>1.0548259153022599E-2</c:v>
                </c:pt>
                <c:pt idx="1418">
                  <c:v>1.054591888712153E-2</c:v>
                </c:pt>
                <c:pt idx="1419">
                  <c:v>1.0543574694761304E-2</c:v>
                </c:pt>
                <c:pt idx="1420">
                  <c:v>1.0541226575622176E-2</c:v>
                </c:pt>
                <c:pt idx="1421">
                  <c:v>1.0538874529943953E-2</c:v>
                </c:pt>
                <c:pt idx="1422">
                  <c:v>1.0536518557726637E-2</c:v>
                </c:pt>
                <c:pt idx="1423">
                  <c:v>1.0534158658730419E-2</c:v>
                </c:pt>
                <c:pt idx="1424">
                  <c:v>1.0531794833195107E-2</c:v>
                </c:pt>
                <c:pt idx="1425">
                  <c:v>1.0529427081120701E-2</c:v>
                </c:pt>
                <c:pt idx="1426">
                  <c:v>1.052705540234733E-2</c:v>
                </c:pt>
                <c:pt idx="1427">
                  <c:v>1.0524679796954928E-2</c:v>
                </c:pt>
                <c:pt idx="1428">
                  <c:v>1.0522300264943496E-2</c:v>
                </c:pt>
                <c:pt idx="1429">
                  <c:v>1.0519916806313034E-2</c:v>
                </c:pt>
                <c:pt idx="1430">
                  <c:v>1.0517529421063543E-2</c:v>
                </c:pt>
                <c:pt idx="1431">
                  <c:v>1.0515138109195021E-2</c:v>
                </c:pt>
                <c:pt idx="1432">
                  <c:v>1.051274287070747E-2</c:v>
                </c:pt>
                <c:pt idx="1433">
                  <c:v>1.0510343705600889E-2</c:v>
                </c:pt>
                <c:pt idx="1434">
                  <c:v>1.0507940613955213E-2</c:v>
                </c:pt>
                <c:pt idx="1435">
                  <c:v>1.0505533595610572E-2</c:v>
                </c:pt>
                <c:pt idx="1436">
                  <c:v>1.0503122650726837E-2</c:v>
                </c:pt>
                <c:pt idx="1437">
                  <c:v>1.0500707779144136E-2</c:v>
                </c:pt>
                <c:pt idx="1438">
                  <c:v>1.0498288981022341E-2</c:v>
                </c:pt>
                <c:pt idx="1439">
                  <c:v>1.049586625620158E-2</c:v>
                </c:pt>
                <c:pt idx="1440">
                  <c:v>1.0493030676030912E-2</c:v>
                </c:pt>
                <c:pt idx="1441">
                  <c:v>1.0490619516145827E-2</c:v>
                </c:pt>
                <c:pt idx="1442">
                  <c:v>1.0488183747678903E-2</c:v>
                </c:pt>
                <c:pt idx="1443">
                  <c:v>1.0485744052406432E-2</c:v>
                </c:pt>
                <c:pt idx="1444">
                  <c:v>1.0483300430301767E-2</c:v>
                </c:pt>
                <c:pt idx="1445">
                  <c:v>1.0480852881418201E-2</c:v>
                </c:pt>
                <c:pt idx="1446">
                  <c:v>1.0478401405702442E-2</c:v>
                </c:pt>
                <c:pt idx="1447">
                  <c:v>1.0475946003181136E-2</c:v>
                </c:pt>
                <c:pt idx="1448">
                  <c:v>1.0473486673827637E-2</c:v>
                </c:pt>
                <c:pt idx="1449">
                  <c:v>1.0471023417695235E-2</c:v>
                </c:pt>
                <c:pt idx="1450">
                  <c:v>1.0468556234757287E-2</c:v>
                </c:pt>
                <c:pt idx="1451">
                  <c:v>1.0466085124987146E-2</c:v>
                </c:pt>
                <c:pt idx="1452">
                  <c:v>1.0462244191309367E-2</c:v>
                </c:pt>
                <c:pt idx="1453">
                  <c:v>1.0461135077761696E-2</c:v>
                </c:pt>
                <c:pt idx="1454">
                  <c:v>1.045867326876504E-2</c:v>
                </c:pt>
                <c:pt idx="1455">
                  <c:v>1.0456225979034173E-2</c:v>
                </c:pt>
                <c:pt idx="1456">
                  <c:v>1.0453793208569095E-2</c:v>
                </c:pt>
                <c:pt idx="1457">
                  <c:v>1.0451374957289872E-2</c:v>
                </c:pt>
                <c:pt idx="1458">
                  <c:v>1.0448971225329728E-2</c:v>
                </c:pt>
                <c:pt idx="1459">
                  <c:v>1.0446582012528793E-2</c:v>
                </c:pt>
                <c:pt idx="1460">
                  <c:v>1.0444207319073584E-2</c:v>
                </c:pt>
                <c:pt idx="1461">
                  <c:v>1.0441847144804228E-2</c:v>
                </c:pt>
                <c:pt idx="1462">
                  <c:v>1.0439501489800662E-2</c:v>
                </c:pt>
                <c:pt idx="1463">
                  <c:v>1.0437170354009595E-2</c:v>
                </c:pt>
                <c:pt idx="1464">
                  <c:v>1.0434853737484318E-2</c:v>
                </c:pt>
                <c:pt idx="1465">
                  <c:v>1.0432551640171539E-2</c:v>
                </c:pt>
                <c:pt idx="1466">
                  <c:v>1.043026406212455E-2</c:v>
                </c:pt>
                <c:pt idx="1467">
                  <c:v>1.0427991003316706E-2</c:v>
                </c:pt>
                <c:pt idx="1468">
                  <c:v>1.0425732463748005E-2</c:v>
                </c:pt>
                <c:pt idx="1469">
                  <c:v>1.0423488443391804E-2</c:v>
                </c:pt>
                <c:pt idx="1470">
                  <c:v>1.0421258942274747E-2</c:v>
                </c:pt>
                <c:pt idx="1471">
                  <c:v>1.0419043960396834E-2</c:v>
                </c:pt>
                <c:pt idx="1472">
                  <c:v>1.0416843497784711E-2</c:v>
                </c:pt>
                <c:pt idx="1473">
                  <c:v>1.0414657554385087E-2</c:v>
                </c:pt>
                <c:pt idx="1474">
                  <c:v>1.0412486130197962E-2</c:v>
                </c:pt>
                <c:pt idx="1475">
                  <c:v>1.0410329225276627E-2</c:v>
                </c:pt>
                <c:pt idx="1476">
                  <c:v>1.040818683956779E-2</c:v>
                </c:pt>
                <c:pt idx="1477">
                  <c:v>1.0406058973071453E-2</c:v>
                </c:pt>
                <c:pt idx="1478">
                  <c:v>1.0403945625840905E-2</c:v>
                </c:pt>
                <c:pt idx="1479">
                  <c:v>1.040184679779621E-2</c:v>
                </c:pt>
                <c:pt idx="1480">
                  <c:v>1.0399762489017306E-2</c:v>
                </c:pt>
                <c:pt idx="1481">
                  <c:v>1.03976926994509E-2</c:v>
                </c:pt>
                <c:pt idx="1482">
                  <c:v>1.0395637429123639E-2</c:v>
                </c:pt>
                <c:pt idx="1483">
                  <c:v>1.0393596678035522E-2</c:v>
                </c:pt>
                <c:pt idx="1484">
                  <c:v>1.0391570446133258E-2</c:v>
                </c:pt>
                <c:pt idx="1485">
                  <c:v>1.0389558733470139E-2</c:v>
                </c:pt>
                <c:pt idx="1486">
                  <c:v>1.0387561540019519E-2</c:v>
                </c:pt>
                <c:pt idx="1487">
                  <c:v>1.0385578865808043E-2</c:v>
                </c:pt>
                <c:pt idx="1488">
                  <c:v>1.0383610710809066E-2</c:v>
                </c:pt>
                <c:pt idx="1489">
                  <c:v>1.0381657075049233E-2</c:v>
                </c:pt>
                <c:pt idx="1490">
                  <c:v>1.0379717958501899E-2</c:v>
                </c:pt>
                <c:pt idx="1491">
                  <c:v>1.0377793361167065E-2</c:v>
                </c:pt>
                <c:pt idx="1492">
                  <c:v>1.0375055068228001E-2</c:v>
                </c:pt>
                <c:pt idx="1493">
                  <c:v>1.0373149805920079E-2</c:v>
                </c:pt>
                <c:pt idx="1494">
                  <c:v>1.0371273022791172E-2</c:v>
                </c:pt>
                <c:pt idx="1495">
                  <c:v>1.0369410757968822E-2</c:v>
                </c:pt>
                <c:pt idx="1496">
                  <c:v>1.0367563011532965E-2</c:v>
                </c:pt>
                <c:pt idx="1497">
                  <c:v>1.0365729783403665E-2</c:v>
                </c:pt>
                <c:pt idx="1498">
                  <c:v>1.0363911073660859E-2</c:v>
                </c:pt>
                <c:pt idx="1499">
                  <c:v>1.0362106882304545E-2</c:v>
                </c:pt>
                <c:pt idx="1500">
                  <c:v>1.0360317209334724E-2</c:v>
                </c:pt>
                <c:pt idx="1501">
                  <c:v>1.035854205467146E-2</c:v>
                </c:pt>
                <c:pt idx="1502">
                  <c:v>1.0356781418394689E-2</c:v>
                </c:pt>
                <c:pt idx="1503">
                  <c:v>1.0355035300424476E-2</c:v>
                </c:pt>
                <c:pt idx="1504">
                  <c:v>1.0353303700920691E-2</c:v>
                </c:pt>
                <c:pt idx="1505">
                  <c:v>1.0351586619643527E-2</c:v>
                </c:pt>
                <c:pt idx="1506">
                  <c:v>1.0349884056832792E-2</c:v>
                </c:pt>
                <c:pt idx="1507">
                  <c:v>1.0347716380554317E-2</c:v>
                </c:pt>
                <c:pt idx="1508">
                  <c:v>1.034652248621093E-2</c:v>
                </c:pt>
                <c:pt idx="1509">
                  <c:v>1.0344863478399802E-2</c:v>
                </c:pt>
                <c:pt idx="1510">
                  <c:v>1.0342985247149272E-2</c:v>
                </c:pt>
                <c:pt idx="1511">
                  <c:v>1.0341357350052149E-2</c:v>
                </c:pt>
                <c:pt idx="1512">
                  <c:v>1.0339743971421456E-2</c:v>
                </c:pt>
                <c:pt idx="1513">
                  <c:v>1.0338145111097319E-2</c:v>
                </c:pt>
                <c:pt idx="1514">
                  <c:v>1.0336560769159675E-2</c:v>
                </c:pt>
                <c:pt idx="1515">
                  <c:v>1.0334990945528588E-2</c:v>
                </c:pt>
                <c:pt idx="1516">
                  <c:v>1.0333435640283994E-2</c:v>
                </c:pt>
                <c:pt idx="1517">
                  <c:v>1.0331894853425894E-2</c:v>
                </c:pt>
                <c:pt idx="1518">
                  <c:v>1.0330368584954286E-2</c:v>
                </c:pt>
                <c:pt idx="1519">
                  <c:v>1.0328856834789235E-2</c:v>
                </c:pt>
                <c:pt idx="1520">
                  <c:v>1.0327359603010677E-2</c:v>
                </c:pt>
                <c:pt idx="1521">
                  <c:v>1.0325876889618613E-2</c:v>
                </c:pt>
                <c:pt idx="1522">
                  <c:v>1.0324408694453169E-2</c:v>
                </c:pt>
                <c:pt idx="1523">
                  <c:v>1.0322955017674218E-2</c:v>
                </c:pt>
                <c:pt idx="1524">
                  <c:v>1.0321515859361696E-2</c:v>
                </c:pt>
                <c:pt idx="1525">
                  <c:v>1.0320091219355731E-2</c:v>
                </c:pt>
                <c:pt idx="1526">
                  <c:v>1.0318681097656324E-2</c:v>
                </c:pt>
                <c:pt idx="1527">
                  <c:v>1.0317285494343409E-2</c:v>
                </c:pt>
                <c:pt idx="1528">
                  <c:v>1.0315904409337051E-2</c:v>
                </c:pt>
                <c:pt idx="1529">
                  <c:v>1.0314537842717186E-2</c:v>
                </c:pt>
                <c:pt idx="1530">
                  <c:v>1.0313185794483815E-2</c:v>
                </c:pt>
                <c:pt idx="1531">
                  <c:v>1.0311848264636936E-2</c:v>
                </c:pt>
                <c:pt idx="1532">
                  <c:v>1.0310525253016678E-2</c:v>
                </c:pt>
                <c:pt idx="1533">
                  <c:v>1.0309216759862849E-2</c:v>
                </c:pt>
                <c:pt idx="1534">
                  <c:v>1.0307922785015577E-2</c:v>
                </c:pt>
                <c:pt idx="1535">
                  <c:v>1.0306643328554799E-2</c:v>
                </c:pt>
                <c:pt idx="1536">
                  <c:v>1.0305378390480513E-2</c:v>
                </c:pt>
                <c:pt idx="1537">
                  <c:v>1.0304127970632848E-2</c:v>
                </c:pt>
                <c:pt idx="1538">
                  <c:v>1.0302892069251612E-2</c:v>
                </c:pt>
                <c:pt idx="1539">
                  <c:v>1.0301670686176934E-2</c:v>
                </c:pt>
                <c:pt idx="1540">
                  <c:v>1.0300463821408812E-2</c:v>
                </c:pt>
                <c:pt idx="1541">
                  <c:v>1.0299271475107119E-2</c:v>
                </c:pt>
                <c:pt idx="1542">
                  <c:v>1.0298093647032047E-2</c:v>
                </c:pt>
                <c:pt idx="1543">
                  <c:v>1.0296930337423404E-2</c:v>
                </c:pt>
                <c:pt idx="1544">
                  <c:v>1.0295684522012571E-2</c:v>
                </c:pt>
                <c:pt idx="1545">
                  <c:v>1.0294486419315518E-2</c:v>
                </c:pt>
                <c:pt idx="1546">
                  <c:v>1.0293368738727438E-2</c:v>
                </c:pt>
                <c:pt idx="1547">
                  <c:v>1.0292265576605786E-2</c:v>
                </c:pt>
                <c:pt idx="1548">
                  <c:v>1.0291176932710755E-2</c:v>
                </c:pt>
                <c:pt idx="1549">
                  <c:v>1.0290102807282153E-2</c:v>
                </c:pt>
                <c:pt idx="1550">
                  <c:v>1.0289043200000236E-2</c:v>
                </c:pt>
                <c:pt idx="1551">
                  <c:v>1.0287998111344621E-2</c:v>
                </c:pt>
                <c:pt idx="1552">
                  <c:v>1.028696754083569E-2</c:v>
                </c:pt>
                <c:pt idx="1553">
                  <c:v>1.0285951488713252E-2</c:v>
                </c:pt>
                <c:pt idx="1554">
                  <c:v>1.0284949955057243E-2</c:v>
                </c:pt>
                <c:pt idx="1555">
                  <c:v>1.0283962939627855E-2</c:v>
                </c:pt>
                <c:pt idx="1556">
                  <c:v>1.0282990442584961E-2</c:v>
                </c:pt>
                <c:pt idx="1557">
                  <c:v>1.0282032463848623E-2</c:v>
                </c:pt>
                <c:pt idx="1558">
                  <c:v>1.0280955408603631E-2</c:v>
                </c:pt>
                <c:pt idx="1559">
                  <c:v>1.0280028540741171E-2</c:v>
                </c:pt>
                <c:pt idx="1560">
                  <c:v>1.0279116191105331E-2</c:v>
                </c:pt>
                <c:pt idx="1561">
                  <c:v>1.0278468207698399E-2</c:v>
                </c:pt>
                <c:pt idx="1562">
                  <c:v>1.027733504699313E-2</c:v>
                </c:pt>
                <c:pt idx="1563">
                  <c:v>1.0276466252516769E-2</c:v>
                </c:pt>
                <c:pt idx="1564">
                  <c:v>1.0275611976346966E-2</c:v>
                </c:pt>
                <c:pt idx="1565">
                  <c:v>1.0274772218483719E-2</c:v>
                </c:pt>
                <c:pt idx="1566">
                  <c:v>1.0273946979006965E-2</c:v>
                </c:pt>
                <c:pt idx="1567">
                  <c:v>1.0273136257836768E-2</c:v>
                </c:pt>
                <c:pt idx="1568">
                  <c:v>1.0272340055053064E-2</c:v>
                </c:pt>
                <c:pt idx="1569">
                  <c:v>1.0271558370575917E-2</c:v>
                </c:pt>
                <c:pt idx="1570">
                  <c:v>1.0270791204565199E-2</c:v>
                </c:pt>
                <c:pt idx="1571">
                  <c:v>1.0270038556781103E-2</c:v>
                </c:pt>
                <c:pt idx="1572">
                  <c:v>1.0269300427383499E-2</c:v>
                </c:pt>
                <c:pt idx="1573">
                  <c:v>1.0268576816292452E-2</c:v>
                </c:pt>
                <c:pt idx="1574">
                  <c:v>1.0267867723667834E-2</c:v>
                </c:pt>
                <c:pt idx="1575">
                  <c:v>1.0267173149269837E-2</c:v>
                </c:pt>
                <c:pt idx="1576">
                  <c:v>1.0266493093258333E-2</c:v>
                </c:pt>
                <c:pt idx="1577">
                  <c:v>1.0265827555633322E-2</c:v>
                </c:pt>
                <c:pt idx="1578">
                  <c:v>1.0265176536314868E-2</c:v>
                </c:pt>
                <c:pt idx="1579">
                  <c:v>1.0264540035302971E-2</c:v>
                </c:pt>
                <c:pt idx="1580">
                  <c:v>1.0263918052757504E-2</c:v>
                </c:pt>
                <c:pt idx="1581">
                  <c:v>1.0263310588518593E-2</c:v>
                </c:pt>
                <c:pt idx="1582">
                  <c:v>1.0262717642586239E-2</c:v>
                </c:pt>
                <c:pt idx="1583">
                  <c:v>1.0262139215040378E-2</c:v>
                </c:pt>
                <c:pt idx="1584">
                  <c:v>1.0261575305801074E-2</c:v>
                </c:pt>
                <c:pt idx="1585">
                  <c:v>1.0261025914948263E-2</c:v>
                </c:pt>
                <c:pt idx="1586">
                  <c:v>1.0260491042481945E-2</c:v>
                </c:pt>
                <c:pt idx="1587">
                  <c:v>1.0259970688242248E-2</c:v>
                </c:pt>
                <c:pt idx="1588">
                  <c:v>1.025946485246898E-2</c:v>
                </c:pt>
                <c:pt idx="1589">
                  <c:v>1.0258973534922333E-2</c:v>
                </c:pt>
                <c:pt idx="1590">
                  <c:v>1.0258496735842115E-2</c:v>
                </c:pt>
                <c:pt idx="1591">
                  <c:v>1.0258034455068454E-2</c:v>
                </c:pt>
                <c:pt idx="1592">
                  <c:v>1.025758669260135E-2</c:v>
                </c:pt>
                <c:pt idx="1593">
                  <c:v>1.0257153448520739E-2</c:v>
                </c:pt>
                <c:pt idx="1594">
                  <c:v>1.0256734722826621E-2</c:v>
                </c:pt>
                <c:pt idx="1595">
                  <c:v>1.025668427601989E-2</c:v>
                </c:pt>
                <c:pt idx="1596">
                  <c:v>1.025629766497671E-2</c:v>
                </c:pt>
                <c:pt idx="1597">
                  <c:v>1.0255565655663545E-2</c:v>
                </c:pt>
                <c:pt idx="1598">
                  <c:v>1.0255205003355528E-2</c:v>
                </c:pt>
                <c:pt idx="1599">
                  <c:v>1.0254858869354067E-2</c:v>
                </c:pt>
                <c:pt idx="1600">
                  <c:v>1.0254527253659163E-2</c:v>
                </c:pt>
                <c:pt idx="1601">
                  <c:v>1.0254210156350752E-2</c:v>
                </c:pt>
                <c:pt idx="1602">
                  <c:v>1.0253907577428834E-2</c:v>
                </c:pt>
                <c:pt idx="1603">
                  <c:v>1.0253619516733536E-2</c:v>
                </c:pt>
                <c:pt idx="1604">
                  <c:v>1.0253345974504668E-2</c:v>
                </c:pt>
                <c:pt idx="1605">
                  <c:v>1.0253086950582357E-2</c:v>
                </c:pt>
                <c:pt idx="1606">
                  <c:v>1.0252842445046539E-2</c:v>
                </c:pt>
                <c:pt idx="1607">
                  <c:v>1.0252612457817278E-2</c:v>
                </c:pt>
                <c:pt idx="1608">
                  <c:v>1.025239698897451E-2</c:v>
                </c:pt>
                <c:pt idx="1609">
                  <c:v>1.0252196038358363E-2</c:v>
                </c:pt>
                <c:pt idx="1610">
                  <c:v>1.0252009606208645E-2</c:v>
                </c:pt>
                <c:pt idx="1611">
                  <c:v>1.0251837692365484E-2</c:v>
                </c:pt>
                <c:pt idx="1612">
                  <c:v>1.0252222173468439E-2</c:v>
                </c:pt>
                <c:pt idx="1613">
                  <c:v>1.0251537419758705E-2</c:v>
                </c:pt>
                <c:pt idx="1614">
                  <c:v>1.0251409060915151E-2</c:v>
                </c:pt>
                <c:pt idx="1615">
                  <c:v>1.0251295220538026E-2</c:v>
                </c:pt>
                <c:pt idx="1616">
                  <c:v>1.0251195898387522E-2</c:v>
                </c:pt>
                <c:pt idx="1617">
                  <c:v>1.0251111094623511E-2</c:v>
                </c:pt>
                <c:pt idx="1618">
                  <c:v>1.0251040809245993E-2</c:v>
                </c:pt>
                <c:pt idx="1619">
                  <c:v>1.0250985042175031E-2</c:v>
                </c:pt>
                <c:pt idx="1620">
                  <c:v>1.0250943793490563E-2</c:v>
                </c:pt>
                <c:pt idx="1621">
                  <c:v>1.0250917063112652E-2</c:v>
                </c:pt>
                <c:pt idx="1622">
                  <c:v>1.0250904851041298E-2</c:v>
                </c:pt>
                <c:pt idx="1623">
                  <c:v>1.0250907157356437E-2</c:v>
                </c:pt>
                <c:pt idx="1624">
                  <c:v>1.0250923982058069E-2</c:v>
                </c:pt>
                <c:pt idx="1625">
                  <c:v>1.0250955325066258E-2</c:v>
                </c:pt>
                <c:pt idx="1626">
                  <c:v>1.025100118646094E-2</c:v>
                </c:pt>
                <c:pt idx="1627">
                  <c:v>1.0251061566082242E-2</c:v>
                </c:pt>
                <c:pt idx="1628">
                  <c:v>1.0251136464169974E-2</c:v>
                </c:pt>
                <c:pt idx="1629">
                  <c:v>1.0251225880564263E-2</c:v>
                </c:pt>
                <c:pt idx="1630">
                  <c:v>1.0251329815345045E-2</c:v>
                </c:pt>
                <c:pt idx="1631">
                  <c:v>1.0251448268432384E-2</c:v>
                </c:pt>
                <c:pt idx="1632">
                  <c:v>1.0251581239906216E-2</c:v>
                </c:pt>
                <c:pt idx="1633">
                  <c:v>1.0251728729686604E-2</c:v>
                </c:pt>
                <c:pt idx="1634">
                  <c:v>1.0251890737853486E-2</c:v>
                </c:pt>
                <c:pt idx="1635">
                  <c:v>1.0252067264326925E-2</c:v>
                </c:pt>
                <c:pt idx="1636">
                  <c:v>1.0252258309186857E-2</c:v>
                </c:pt>
                <c:pt idx="1637">
                  <c:v>1.0252463872353346E-2</c:v>
                </c:pt>
                <c:pt idx="1638">
                  <c:v>1.0252683953826391E-2</c:v>
                </c:pt>
                <c:pt idx="1639">
                  <c:v>1.025291855368593E-2</c:v>
                </c:pt>
                <c:pt idx="1640">
                  <c:v>1.0253167671931962E-2</c:v>
                </c:pt>
                <c:pt idx="1641">
                  <c:v>1.0253431308484551E-2</c:v>
                </c:pt>
                <c:pt idx="1642">
                  <c:v>1.0253709463423633E-2</c:v>
                </c:pt>
                <c:pt idx="1643">
                  <c:v>1.0254002136669271E-2</c:v>
                </c:pt>
                <c:pt idx="1644">
                  <c:v>1.0254309328221467E-2</c:v>
                </c:pt>
                <c:pt idx="1645">
                  <c:v>1.0254631038240092E-2</c:v>
                </c:pt>
                <c:pt idx="1646">
                  <c:v>1.0254967266565274E-2</c:v>
                </c:pt>
                <c:pt idx="1647">
                  <c:v>1.0255318013197012E-2</c:v>
                </c:pt>
                <c:pt idx="1648">
                  <c:v>1.0255683278135308E-2</c:v>
                </c:pt>
                <c:pt idx="1649">
                  <c:v>1.0256063061460097E-2</c:v>
                </c:pt>
                <c:pt idx="1650">
                  <c:v>1.0256457363171378E-2</c:v>
                </c:pt>
                <c:pt idx="1651">
                  <c:v>1.0256866183269153E-2</c:v>
                </c:pt>
                <c:pt idx="1652">
                  <c:v>1.0257289521593549E-2</c:v>
                </c:pt>
                <c:pt idx="1653">
                  <c:v>1.0257727378304438E-2</c:v>
                </c:pt>
                <c:pt idx="1654">
                  <c:v>1.0258179753401819E-2</c:v>
                </c:pt>
                <c:pt idx="1655">
                  <c:v>1.0258646646805758E-2</c:v>
                </c:pt>
                <c:pt idx="1656">
                  <c:v>1.025912805859619E-2</c:v>
                </c:pt>
                <c:pt idx="1657">
                  <c:v>1.0259623988773114E-2</c:v>
                </c:pt>
                <c:pt idx="1658">
                  <c:v>1.026013443717666E-2</c:v>
                </c:pt>
                <c:pt idx="1659">
                  <c:v>1.0260659404046635E-2</c:v>
                </c:pt>
                <c:pt idx="1660">
                  <c:v>1.0261198889223166E-2</c:v>
                </c:pt>
                <c:pt idx="1661">
                  <c:v>1.0261752892626319E-2</c:v>
                </c:pt>
                <c:pt idx="1662">
                  <c:v>1.0263071932511636E-2</c:v>
                </c:pt>
                <c:pt idx="1663">
                  <c:v>1.0262904454672039E-2</c:v>
                </c:pt>
                <c:pt idx="1664">
                  <c:v>1.0263502013314607E-2</c:v>
                </c:pt>
                <c:pt idx="1665">
                  <c:v>1.0264114090183796E-2</c:v>
                </c:pt>
                <c:pt idx="1666">
                  <c:v>1.0264740685439477E-2</c:v>
                </c:pt>
                <c:pt idx="1667">
                  <c:v>1.0265381799081652E-2</c:v>
                </c:pt>
                <c:pt idx="1668">
                  <c:v>1.0266037431030384E-2</c:v>
                </c:pt>
                <c:pt idx="1669">
                  <c:v>1.0266707581285672E-2</c:v>
                </c:pt>
                <c:pt idx="1670">
                  <c:v>1.026739225000739E-2</c:v>
                </c:pt>
                <c:pt idx="1671">
                  <c:v>1.0268091436955729E-2</c:v>
                </c:pt>
                <c:pt idx="1672">
                  <c:v>1.026880514229056E-2</c:v>
                </c:pt>
                <c:pt idx="1673">
                  <c:v>1.0269533366091821E-2</c:v>
                </c:pt>
                <c:pt idx="1674">
                  <c:v>1.0270276108039766E-2</c:v>
                </c:pt>
                <c:pt idx="1675">
                  <c:v>1.0271033368454141E-2</c:v>
                </c:pt>
                <c:pt idx="1676">
                  <c:v>1.0271805147175073E-2</c:v>
                </c:pt>
                <c:pt idx="1677">
                  <c:v>1.0272591444362433E-2</c:v>
                </c:pt>
                <c:pt idx="1678">
                  <c:v>1.0273392259696479E-2</c:v>
                </c:pt>
                <c:pt idx="1679">
                  <c:v>1.0274207593496953E-2</c:v>
                </c:pt>
                <c:pt idx="1680">
                  <c:v>1.0275037445603985E-2</c:v>
                </c:pt>
                <c:pt idx="1681">
                  <c:v>1.027588181609751E-2</c:v>
                </c:pt>
                <c:pt idx="1682">
                  <c:v>1.0276740704977527E-2</c:v>
                </c:pt>
                <c:pt idx="1683">
                  <c:v>1.0277614112164102E-2</c:v>
                </c:pt>
                <c:pt idx="1684">
                  <c:v>1.0278502037737169E-2</c:v>
                </c:pt>
                <c:pt idx="1685">
                  <c:v>1.0279404481616794E-2</c:v>
                </c:pt>
                <c:pt idx="1686">
                  <c:v>1.0280321443802976E-2</c:v>
                </c:pt>
                <c:pt idx="1687">
                  <c:v>1.0281252924455586E-2</c:v>
                </c:pt>
                <c:pt idx="1688">
                  <c:v>1.0282198923254882E-2</c:v>
                </c:pt>
                <c:pt idx="1689">
                  <c:v>1.0283159440680478E-2</c:v>
                </c:pt>
                <c:pt idx="1690">
                  <c:v>1.028413447625276E-2</c:v>
                </c:pt>
                <c:pt idx="1691">
                  <c:v>1.028512403029147E-2</c:v>
                </c:pt>
                <c:pt idx="1692">
                  <c:v>1.0286128102556802E-2</c:v>
                </c:pt>
                <c:pt idx="1693">
                  <c:v>1.0287146693208626E-2</c:v>
                </c:pt>
                <c:pt idx="1694">
                  <c:v>1.0288179802246944E-2</c:v>
                </c:pt>
                <c:pt idx="1695">
                  <c:v>1.0289227429671755E-2</c:v>
                </c:pt>
                <c:pt idx="1696">
                  <c:v>1.0290289575483058E-2</c:v>
                </c:pt>
                <c:pt idx="1697">
                  <c:v>1.0291366239520983E-2</c:v>
                </c:pt>
                <c:pt idx="1698">
                  <c:v>1.0292457422025336E-2</c:v>
                </c:pt>
                <c:pt idx="1699">
                  <c:v>1.0293563122756311E-2</c:v>
                </c:pt>
                <c:pt idx="1700">
                  <c:v>1.0294683341953714E-2</c:v>
                </c:pt>
                <c:pt idx="1701">
                  <c:v>1.0295818079457675E-2</c:v>
                </c:pt>
                <c:pt idx="1702">
                  <c:v>1.0296967335348128E-2</c:v>
                </c:pt>
                <c:pt idx="1703">
                  <c:v>1.0298131109465203E-2</c:v>
                </c:pt>
                <c:pt idx="1704">
                  <c:v>1.0299309402048706E-2</c:v>
                </c:pt>
                <c:pt idx="1705">
                  <c:v>1.0300502212938767E-2</c:v>
                </c:pt>
                <c:pt idx="1706">
                  <c:v>1.030170954221532E-2</c:v>
                </c:pt>
                <c:pt idx="1707">
                  <c:v>1.0302931389878367E-2</c:v>
                </c:pt>
                <c:pt idx="1708">
                  <c:v>1.0304167755847971E-2</c:v>
                </c:pt>
                <c:pt idx="1709">
                  <c:v>1.0305418640124131E-2</c:v>
                </c:pt>
                <c:pt idx="1710">
                  <c:v>1.0306684042866721E-2</c:v>
                </c:pt>
                <c:pt idx="1711">
                  <c:v>1.0307963963915867E-2</c:v>
                </c:pt>
                <c:pt idx="1712">
                  <c:v>1.0309258403271571E-2</c:v>
                </c:pt>
                <c:pt idx="1713">
                  <c:v>1.0311526168127472E-2</c:v>
                </c:pt>
                <c:pt idx="1714">
                  <c:v>1.0311860802367789E-2</c:v>
                </c:pt>
                <c:pt idx="1715">
                  <c:v>1.0313145442282234E-2</c:v>
                </c:pt>
                <c:pt idx="1716">
                  <c:v>1.0314417923122932E-2</c:v>
                </c:pt>
                <c:pt idx="1717">
                  <c:v>1.0315678245129689E-2</c:v>
                </c:pt>
                <c:pt idx="1718">
                  <c:v>1.0317576397111949E-2</c:v>
                </c:pt>
                <c:pt idx="1719">
                  <c:v>1.0318808997826778E-2</c:v>
                </c:pt>
                <c:pt idx="1720">
                  <c:v>1.0320029438934952E-2</c:v>
                </c:pt>
                <c:pt idx="1721">
                  <c:v>1.0321237720409826E-2</c:v>
                </c:pt>
                <c:pt idx="1722">
                  <c:v>1.0322433842224754E-2</c:v>
                </c:pt>
                <c:pt idx="1723">
                  <c:v>1.0323617804433027E-2</c:v>
                </c:pt>
                <c:pt idx="1724">
                  <c:v>1.0324789606981355E-2</c:v>
                </c:pt>
                <c:pt idx="1725">
                  <c:v>1.0325949249949673E-2</c:v>
                </c:pt>
                <c:pt idx="1726">
                  <c:v>1.03270967332314E-2</c:v>
                </c:pt>
                <c:pt idx="1727">
                  <c:v>1.0328232056879827E-2</c:v>
                </c:pt>
                <c:pt idx="1728">
                  <c:v>1.0329355220894954E-2</c:v>
                </c:pt>
                <c:pt idx="1729">
                  <c:v>1.033046622527678E-2</c:v>
                </c:pt>
                <c:pt idx="1730">
                  <c:v>1.0331565070025306E-2</c:v>
                </c:pt>
                <c:pt idx="1731">
                  <c:v>1.0332651755140532E-2</c:v>
                </c:pt>
                <c:pt idx="1732">
                  <c:v>1.0333726280569167E-2</c:v>
                </c:pt>
                <c:pt idx="1733">
                  <c:v>1.0334788646444437E-2</c:v>
                </c:pt>
                <c:pt idx="1734">
                  <c:v>1.0335838852633117E-2</c:v>
                </c:pt>
                <c:pt idx="1735">
                  <c:v>1.0336876899161851E-2</c:v>
                </c:pt>
                <c:pt idx="1736">
                  <c:v>1.033790278608393E-2</c:v>
                </c:pt>
                <c:pt idx="1737">
                  <c:v>1.0338916513346064E-2</c:v>
                </c:pt>
                <c:pt idx="1738">
                  <c:v>1.0339918080974897E-2</c:v>
                </c:pt>
                <c:pt idx="1739">
                  <c:v>1.0340907488997075E-2</c:v>
                </c:pt>
                <c:pt idx="1740">
                  <c:v>1.0341884737332663E-2</c:v>
                </c:pt>
                <c:pt idx="1741">
                  <c:v>1.0342849826061595E-2</c:v>
                </c:pt>
                <c:pt idx="1742">
                  <c:v>1.0343802755130582E-2</c:v>
                </c:pt>
                <c:pt idx="1743">
                  <c:v>1.0344743524566269E-2</c:v>
                </c:pt>
                <c:pt idx="1744">
                  <c:v>1.0345672134315365E-2</c:v>
                </c:pt>
                <c:pt idx="1745">
                  <c:v>1.0346588584457805E-2</c:v>
                </c:pt>
                <c:pt idx="1746">
                  <c:v>1.0347492874993591E-2</c:v>
                </c:pt>
                <c:pt idx="1747">
                  <c:v>1.0348385005816141E-2</c:v>
                </c:pt>
                <c:pt idx="1748">
                  <c:v>1.0349264977085326E-2</c:v>
                </c:pt>
                <c:pt idx="1749">
                  <c:v>1.035013278861463E-2</c:v>
                </c:pt>
                <c:pt idx="1750">
                  <c:v>1.0350988440563924E-2</c:v>
                </c:pt>
                <c:pt idx="1751">
                  <c:v>1.0351831932853273E-2</c:v>
                </c:pt>
                <c:pt idx="1752">
                  <c:v>1.0352808414229031E-2</c:v>
                </c:pt>
                <c:pt idx="1753">
                  <c:v>1.035341657543043E-2</c:v>
                </c:pt>
                <c:pt idx="1754">
                  <c:v>1.0354220068382602E-2</c:v>
                </c:pt>
                <c:pt idx="1755">
                  <c:v>1.0355011402340963E-2</c:v>
                </c:pt>
                <c:pt idx="1756">
                  <c:v>1.0355790577385449E-2</c:v>
                </c:pt>
                <c:pt idx="1757">
                  <c:v>1.0356557593516058E-2</c:v>
                </c:pt>
                <c:pt idx="1758">
                  <c:v>1.0357312450732792E-2</c:v>
                </c:pt>
                <c:pt idx="1759">
                  <c:v>1.0358055148955714E-2</c:v>
                </c:pt>
                <c:pt idx="1760">
                  <c:v>1.0358785688184824E-2</c:v>
                </c:pt>
                <c:pt idx="1761">
                  <c:v>1.0359504068500058E-2</c:v>
                </c:pt>
                <c:pt idx="1762">
                  <c:v>1.0360210289821481E-2</c:v>
                </c:pt>
                <c:pt idx="1763">
                  <c:v>1.0360904352229028E-2</c:v>
                </c:pt>
                <c:pt idx="1764">
                  <c:v>1.0361586255642763E-2</c:v>
                </c:pt>
                <c:pt idx="1765">
                  <c:v>1.0362256000222558E-2</c:v>
                </c:pt>
                <c:pt idx="1766">
                  <c:v>1.0362913585728606E-2</c:v>
                </c:pt>
                <c:pt idx="1767">
                  <c:v>1.0363559012320778E-2</c:v>
                </c:pt>
                <c:pt idx="1768">
                  <c:v>1.0364370980333604E-2</c:v>
                </c:pt>
                <c:pt idx="1769">
                  <c:v>1.0364813388683558E-2</c:v>
                </c:pt>
                <c:pt idx="1770">
                  <c:v>1.0365422338534103E-2</c:v>
                </c:pt>
                <c:pt idx="1771">
                  <c:v>1.0366019129230963E-2</c:v>
                </c:pt>
                <c:pt idx="1772">
                  <c:v>1.036660376117382E-2</c:v>
                </c:pt>
                <c:pt idx="1773">
                  <c:v>1.0367176234122866E-2</c:v>
                </c:pt>
                <c:pt idx="1774">
                  <c:v>1.0367736548078099E-2</c:v>
                </c:pt>
                <c:pt idx="1775">
                  <c:v>1.0368284703039521E-2</c:v>
                </c:pt>
                <c:pt idx="1776">
                  <c:v>1.0368820699087067E-2</c:v>
                </c:pt>
                <c:pt idx="1777">
                  <c:v>1.0369344536220737E-2</c:v>
                </c:pt>
                <c:pt idx="1778">
                  <c:v>1.0369856214440532E-2</c:v>
                </c:pt>
                <c:pt idx="1779">
                  <c:v>1.0370355733666514E-2</c:v>
                </c:pt>
                <c:pt idx="1780">
                  <c:v>1.0370843093898685E-2</c:v>
                </c:pt>
                <c:pt idx="1781">
                  <c:v>1.0371318295137044E-2</c:v>
                </c:pt>
                <c:pt idx="1782">
                  <c:v>1.0371781337541464E-2</c:v>
                </c:pt>
                <c:pt idx="1783">
                  <c:v>1.0372232220952071E-2</c:v>
                </c:pt>
                <c:pt idx="1784">
                  <c:v>1.0372670945448803E-2</c:v>
                </c:pt>
                <c:pt idx="1785">
                  <c:v>1.0373097510951723E-2</c:v>
                </c:pt>
                <c:pt idx="1786">
                  <c:v>1.0373511917460831E-2</c:v>
                </c:pt>
                <c:pt idx="1787">
                  <c:v>1.0373914165056064E-2</c:v>
                </c:pt>
                <c:pt idx="1788">
                  <c:v>1.0374304253737421E-2</c:v>
                </c:pt>
                <c:pt idx="1789">
                  <c:v>1.0374682183424966E-2</c:v>
                </c:pt>
                <c:pt idx="1790">
                  <c:v>1.0375047954198635E-2</c:v>
                </c:pt>
                <c:pt idx="1791">
                  <c:v>1.0375401566058429E-2</c:v>
                </c:pt>
                <c:pt idx="1792">
                  <c:v>1.0375743018844474E-2</c:v>
                </c:pt>
                <c:pt idx="1793">
                  <c:v>1.0376072312716644E-2</c:v>
                </c:pt>
                <c:pt idx="1794">
                  <c:v>1.0376389447834811E-2</c:v>
                </c:pt>
                <c:pt idx="1795">
                  <c:v>1.0376694423719357E-2</c:v>
                </c:pt>
                <c:pt idx="1796">
                  <c:v>1.0376987240769964E-2</c:v>
                </c:pt>
                <c:pt idx="1797">
                  <c:v>1.0377267898906695E-2</c:v>
                </c:pt>
                <c:pt idx="1798">
                  <c:v>1.0377536398049614E-2</c:v>
                </c:pt>
                <c:pt idx="1799">
                  <c:v>1.0377792738198721E-2</c:v>
                </c:pt>
                <c:pt idx="1800">
                  <c:v>1.0378036919513889E-2</c:v>
                </c:pt>
                <c:pt idx="1801">
                  <c:v>1.0378268941675373E-2</c:v>
                </c:pt>
                <c:pt idx="1802">
                  <c:v>1.0378488805002917E-2</c:v>
                </c:pt>
                <c:pt idx="1803">
                  <c:v>1.0378696509496521E-2</c:v>
                </c:pt>
                <c:pt idx="1804">
                  <c:v>1.0379081958808989E-2</c:v>
                </c:pt>
                <c:pt idx="1805">
                  <c:v>1.0379100646940032E-2</c:v>
                </c:pt>
                <c:pt idx="1806">
                  <c:v>1.0379270137361729E-2</c:v>
                </c:pt>
                <c:pt idx="1807">
                  <c:v>1.0379427469029423E-2</c:v>
                </c:pt>
                <c:pt idx="1808">
                  <c:v>1.0379572641623369E-2</c:v>
                </c:pt>
                <c:pt idx="1809">
                  <c:v>1.0379705655383376E-2</c:v>
                </c:pt>
                <c:pt idx="1810">
                  <c:v>1.037982651014957E-2</c:v>
                </c:pt>
                <c:pt idx="1811">
                  <c:v>1.0379935205921953E-2</c:v>
                </c:pt>
                <c:pt idx="1812">
                  <c:v>1.0380031742700524E-2</c:v>
                </c:pt>
                <c:pt idx="1813">
                  <c:v>1.0380116120565219E-2</c:v>
                </c:pt>
                <c:pt idx="1814">
                  <c:v>1.0380188339516039E-2</c:v>
                </c:pt>
                <c:pt idx="1815">
                  <c:v>1.0380248399473047E-2</c:v>
                </c:pt>
                <c:pt idx="1816">
                  <c:v>1.0380296300596115E-2</c:v>
                </c:pt>
                <c:pt idx="1817">
                  <c:v>1.0380332042645435E-2</c:v>
                </c:pt>
                <c:pt idx="1818">
                  <c:v>1.0380360130577415E-2</c:v>
                </c:pt>
                <c:pt idx="1819">
                  <c:v>1.0380368080777913E-2</c:v>
                </c:pt>
                <c:pt idx="1820">
                  <c:v>1.0380363871904663E-2</c:v>
                </c:pt>
                <c:pt idx="1821">
                  <c:v>1.0380639824285609E-2</c:v>
                </c:pt>
                <c:pt idx="1822">
                  <c:v>1.0380318977576408E-2</c:v>
                </c:pt>
                <c:pt idx="1823">
                  <c:v>1.0380278291881595E-2</c:v>
                </c:pt>
                <c:pt idx="1824">
                  <c:v>1.0380225447352842E-2</c:v>
                </c:pt>
                <c:pt idx="1825">
                  <c:v>1.0380160443830277E-2</c:v>
                </c:pt>
                <c:pt idx="1826">
                  <c:v>1.0380083281313901E-2</c:v>
                </c:pt>
                <c:pt idx="1827">
                  <c:v>1.0379993959963585E-2</c:v>
                </c:pt>
                <c:pt idx="1828">
                  <c:v>1.0379892479539521E-2</c:v>
                </c:pt>
                <c:pt idx="1829">
                  <c:v>1.0379778840281517E-2</c:v>
                </c:pt>
                <c:pt idx="1830">
                  <c:v>1.0379653042029702E-2</c:v>
                </c:pt>
                <c:pt idx="1831">
                  <c:v>1.0379515084704138E-2</c:v>
                </c:pt>
                <c:pt idx="1832">
                  <c:v>1.0379364968624571E-2</c:v>
                </c:pt>
                <c:pt idx="1833">
                  <c:v>1.0379202693391321E-2</c:v>
                </c:pt>
                <c:pt idx="1834">
                  <c:v>1.0379028259404066E-2</c:v>
                </c:pt>
                <c:pt idx="1835">
                  <c:v>1.0378841666343064E-2</c:v>
                </c:pt>
                <c:pt idx="1836">
                  <c:v>1.0378642914368186E-2</c:v>
                </c:pt>
                <c:pt idx="1837">
                  <c:v>1.0378432003399496E-2</c:v>
                </c:pt>
                <c:pt idx="1838">
                  <c:v>1.037820893351693E-2</c:v>
                </c:pt>
                <c:pt idx="1839">
                  <c:v>1.0377973704640553E-2</c:v>
                </c:pt>
                <c:pt idx="1840">
                  <c:v>1.0377726316930236E-2</c:v>
                </c:pt>
                <c:pt idx="1841">
                  <c:v>1.0377466770146171E-2</c:v>
                </c:pt>
                <c:pt idx="1842">
                  <c:v>1.037719506444823E-2</c:v>
                </c:pt>
                <c:pt idx="1843">
                  <c:v>1.037691119991635E-2</c:v>
                </c:pt>
                <c:pt idx="1844">
                  <c:v>1.037661517615085E-2</c:v>
                </c:pt>
                <c:pt idx="1845">
                  <c:v>1.0376306993711282E-2</c:v>
                </c:pt>
                <c:pt idx="1846">
                  <c:v>1.0375986652197966E-2</c:v>
                </c:pt>
                <c:pt idx="1847">
                  <c:v>1.0375654151770775E-2</c:v>
                </c:pt>
                <c:pt idx="1848">
                  <c:v>1.0375309492269835E-2</c:v>
                </c:pt>
                <c:pt idx="1849">
                  <c:v>1.0374952673934956E-2</c:v>
                </c:pt>
                <c:pt idx="1850">
                  <c:v>1.0374583696766138E-2</c:v>
                </c:pt>
                <c:pt idx="1851">
                  <c:v>1.0374202560443635E-2</c:v>
                </c:pt>
                <c:pt idx="1852">
                  <c:v>1.0373809265207257E-2</c:v>
                </c:pt>
                <c:pt idx="1853">
                  <c:v>1.0373403811057003E-2</c:v>
                </c:pt>
                <c:pt idx="1854">
                  <c:v>1.0372986197992873E-2</c:v>
                </c:pt>
                <c:pt idx="1855">
                  <c:v>1.0372305382748692E-2</c:v>
                </c:pt>
                <c:pt idx="1856">
                  <c:v>1.0372284743844773E-2</c:v>
                </c:pt>
                <c:pt idx="1857">
                  <c:v>1.0371660404997485E-2</c:v>
                </c:pt>
                <c:pt idx="1858">
                  <c:v>1.037119415611798E-2</c:v>
                </c:pt>
                <c:pt idx="1859">
                  <c:v>1.0370715748244663E-2</c:v>
                </c:pt>
                <c:pt idx="1860">
                  <c:v>1.0370225181457471E-2</c:v>
                </c:pt>
                <c:pt idx="1861">
                  <c:v>1.0369722455676467E-2</c:v>
                </c:pt>
                <c:pt idx="1862">
                  <c:v>1.0369207570981587E-2</c:v>
                </c:pt>
                <c:pt idx="1863">
                  <c:v>1.0368680527292895E-2</c:v>
                </c:pt>
                <c:pt idx="1864">
                  <c:v>1.0368141324690328E-2</c:v>
                </c:pt>
                <c:pt idx="1865">
                  <c:v>1.0367589963093948E-2</c:v>
                </c:pt>
                <c:pt idx="1866">
                  <c:v>1.0367026442663629E-2</c:v>
                </c:pt>
                <c:pt idx="1867">
                  <c:v>1.0366450763159563E-2</c:v>
                </c:pt>
                <c:pt idx="1868">
                  <c:v>1.0366289437678589E-2</c:v>
                </c:pt>
                <c:pt idx="1869">
                  <c:v>1.0365262927409802E-2</c:v>
                </c:pt>
                <c:pt idx="1870">
                  <c:v>1.0364650771084172E-2</c:v>
                </c:pt>
                <c:pt idx="1871">
                  <c:v>1.0364026455844666E-2</c:v>
                </c:pt>
                <c:pt idx="1872">
                  <c:v>1.0363389981611348E-2</c:v>
                </c:pt>
                <c:pt idx="1873">
                  <c:v>1.0363048058441571E-2</c:v>
                </c:pt>
                <c:pt idx="1874">
                  <c:v>1.036208055632315E-2</c:v>
                </c:pt>
                <c:pt idx="1875">
                  <c:v>1.0361407605268269E-2</c:v>
                </c:pt>
                <c:pt idx="1876">
                  <c:v>1.0360722495299513E-2</c:v>
                </c:pt>
                <c:pt idx="1877">
                  <c:v>1.0360025226336944E-2</c:v>
                </c:pt>
                <c:pt idx="1878">
                  <c:v>1.03593157984605E-2</c:v>
                </c:pt>
                <c:pt idx="1879">
                  <c:v>1.0358594211590244E-2</c:v>
                </c:pt>
                <c:pt idx="1880">
                  <c:v>1.0357860465806112E-2</c:v>
                </c:pt>
                <c:pt idx="1881">
                  <c:v>1.0357114561028169E-2</c:v>
                </c:pt>
                <c:pt idx="1882">
                  <c:v>1.035635649733635E-2</c:v>
                </c:pt>
                <c:pt idx="1883">
                  <c:v>1.0355586274650719E-2</c:v>
                </c:pt>
                <c:pt idx="1884">
                  <c:v>1.0354803893131148E-2</c:v>
                </c:pt>
                <c:pt idx="1885">
                  <c:v>1.035400935253783E-2</c:v>
                </c:pt>
                <c:pt idx="1886">
                  <c:v>1.0353202653030635E-2</c:v>
                </c:pt>
                <c:pt idx="1887">
                  <c:v>1.0352383794609565E-2</c:v>
                </c:pt>
                <c:pt idx="1888">
                  <c:v>1.0351552777194684E-2</c:v>
                </c:pt>
                <c:pt idx="1889">
                  <c:v>1.035070960078599E-2</c:v>
                </c:pt>
                <c:pt idx="1890">
                  <c:v>1.0349854265543357E-2</c:v>
                </c:pt>
                <c:pt idx="1891">
                  <c:v>1.0348986771306912E-2</c:v>
                </c:pt>
                <c:pt idx="1892">
                  <c:v>1.0348107118156591E-2</c:v>
                </c:pt>
                <c:pt idx="1893">
                  <c:v>1.0347215305932522E-2</c:v>
                </c:pt>
                <c:pt idx="1894">
                  <c:v>1.034631133495445E-2</c:v>
                </c:pt>
                <c:pt idx="1895">
                  <c:v>1.0345395204822694E-2</c:v>
                </c:pt>
                <c:pt idx="1896">
                  <c:v>1.0344466915936934E-2</c:v>
                </c:pt>
                <c:pt idx="1897">
                  <c:v>1.034352646789749E-2</c:v>
                </c:pt>
                <c:pt idx="1898">
                  <c:v>1.0342573861104043E-2</c:v>
                </c:pt>
                <c:pt idx="1899">
                  <c:v>1.0341609095316784E-2</c:v>
                </c:pt>
                <c:pt idx="1900">
                  <c:v>1.0340632170535713E-2</c:v>
                </c:pt>
                <c:pt idx="1901">
                  <c:v>1.033964308676083E-2</c:v>
                </c:pt>
                <c:pt idx="1902">
                  <c:v>1.0338641844072072E-2</c:v>
                </c:pt>
                <c:pt idx="1903">
                  <c:v>1.0337628442549374E-2</c:v>
                </c:pt>
                <c:pt idx="1904">
                  <c:v>1.0336602881952928E-2</c:v>
                </c:pt>
                <c:pt idx="1905">
                  <c:v>1.033556516236267E-2</c:v>
                </c:pt>
                <c:pt idx="1906">
                  <c:v>1.0334515284018408E-2</c:v>
                </c:pt>
                <c:pt idx="1907">
                  <c:v>1.0333668836626231E-2</c:v>
                </c:pt>
                <c:pt idx="1908">
                  <c:v>1.03325919420727E-2</c:v>
                </c:pt>
                <c:pt idx="1909">
                  <c:v>1.0331292694942817E-2</c:v>
                </c:pt>
                <c:pt idx="1910">
                  <c:v>1.0330194180703245E-2</c:v>
                </c:pt>
                <c:pt idx="1911">
                  <c:v>1.0329083507469861E-2</c:v>
                </c:pt>
                <c:pt idx="1912">
                  <c:v>1.0327960675402537E-2</c:v>
                </c:pt>
                <c:pt idx="1913">
                  <c:v>1.0326825684261465E-2</c:v>
                </c:pt>
                <c:pt idx="1914">
                  <c:v>1.0325678534286453E-2</c:v>
                </c:pt>
                <c:pt idx="1915">
                  <c:v>1.032451922531763E-2</c:v>
                </c:pt>
                <c:pt idx="1916">
                  <c:v>1.0323347757354995E-2</c:v>
                </c:pt>
                <c:pt idx="1917">
                  <c:v>1.0322164130478484E-2</c:v>
                </c:pt>
                <c:pt idx="1918">
                  <c:v>1.0320968344688097E-2</c:v>
                </c:pt>
                <c:pt idx="1919">
                  <c:v>1.0319760399983835E-2</c:v>
                </c:pt>
                <c:pt idx="1920">
                  <c:v>1.0318540296285761E-2</c:v>
                </c:pt>
                <c:pt idx="1921">
                  <c:v>1.0317308033673811E-2</c:v>
                </c:pt>
                <c:pt idx="1922">
                  <c:v>1.0316063611988113E-2</c:v>
                </c:pt>
                <c:pt idx="1923">
                  <c:v>1.0315036587250859E-2</c:v>
                </c:pt>
                <c:pt idx="1924">
                  <c:v>1.0313538291955027E-2</c:v>
                </c:pt>
                <c:pt idx="1925">
                  <c:v>1.0312257393527702E-2</c:v>
                </c:pt>
                <c:pt idx="1926">
                  <c:v>1.0310964336186501E-2</c:v>
                </c:pt>
                <c:pt idx="1927">
                  <c:v>1.0309659119851489E-2</c:v>
                </c:pt>
                <c:pt idx="1928">
                  <c:v>1.03083417446026E-2</c:v>
                </c:pt>
                <c:pt idx="1929">
                  <c:v>1.0307012210439837E-2</c:v>
                </c:pt>
                <c:pt idx="1930">
                  <c:v>1.0305670517203325E-2</c:v>
                </c:pt>
                <c:pt idx="1931">
                  <c:v>1.0304316665132873E-2</c:v>
                </c:pt>
                <c:pt idx="1932">
                  <c:v>1.0302950654148546E-2</c:v>
                </c:pt>
                <c:pt idx="1933">
                  <c:v>1.0301572484170407E-2</c:v>
                </c:pt>
                <c:pt idx="1934">
                  <c:v>1.0300182155278392E-2</c:v>
                </c:pt>
                <c:pt idx="1935">
                  <c:v>1.0298779667472502E-2</c:v>
                </c:pt>
                <c:pt idx="1936">
                  <c:v>1.0297365020592864E-2</c:v>
                </c:pt>
                <c:pt idx="1937">
                  <c:v>1.0295938214959222E-2</c:v>
                </c:pt>
                <c:pt idx="1938">
                  <c:v>1.029449925009196E-2</c:v>
                </c:pt>
                <c:pt idx="1939">
                  <c:v>1.0293048126470694E-2</c:v>
                </c:pt>
                <c:pt idx="1940">
                  <c:v>1.0291584843935553E-2</c:v>
                </c:pt>
                <c:pt idx="1941">
                  <c:v>1.02901094024066E-2</c:v>
                </c:pt>
                <c:pt idx="1942">
                  <c:v>1.0288621801963771E-2</c:v>
                </c:pt>
                <c:pt idx="1943">
                  <c:v>1.028712204252713E-2</c:v>
                </c:pt>
                <c:pt idx="1944">
                  <c:v>1.028561012425655E-2</c:v>
                </c:pt>
                <c:pt idx="1945">
                  <c:v>1.0284086046912222E-2</c:v>
                </c:pt>
                <c:pt idx="1946">
                  <c:v>1.0282549810733954E-2</c:v>
                </c:pt>
                <c:pt idx="1947">
                  <c:v>1.0281001415561875E-2</c:v>
                </c:pt>
                <c:pt idx="1948">
                  <c:v>1.0279440861475919E-2</c:v>
                </c:pt>
                <c:pt idx="1949">
                  <c:v>1.0277868148396152E-2</c:v>
                </c:pt>
                <c:pt idx="1950">
                  <c:v>1.0276283276402509E-2</c:v>
                </c:pt>
                <c:pt idx="1951">
                  <c:v>1.0274686245494991E-2</c:v>
                </c:pt>
                <c:pt idx="1952">
                  <c:v>1.0273077055513724E-2</c:v>
                </c:pt>
                <c:pt idx="1953">
                  <c:v>1.0271455706698518E-2</c:v>
                </c:pt>
                <c:pt idx="1954">
                  <c:v>1.0269822198969436E-2</c:v>
                </c:pt>
                <c:pt idx="1955">
                  <c:v>1.0268176532246542E-2</c:v>
                </c:pt>
                <c:pt idx="1956">
                  <c:v>1.0266518706689709E-2</c:v>
                </c:pt>
                <c:pt idx="1957">
                  <c:v>1.0264848722059128E-2</c:v>
                </c:pt>
                <c:pt idx="1958">
                  <c:v>1.0263166578514671E-2</c:v>
                </c:pt>
                <c:pt idx="1959">
                  <c:v>1.0261472276136274E-2</c:v>
                </c:pt>
                <c:pt idx="1960">
                  <c:v>1.025976581468413E-2</c:v>
                </c:pt>
                <c:pt idx="1961">
                  <c:v>1.025804719431811E-2</c:v>
                </c:pt>
                <c:pt idx="1962">
                  <c:v>1.025631641511815E-2</c:v>
                </c:pt>
                <c:pt idx="1963">
                  <c:v>1.0254573476924378E-2</c:v>
                </c:pt>
                <c:pt idx="1964">
                  <c:v>1.0252818379656858E-2</c:v>
                </c:pt>
                <c:pt idx="1965">
                  <c:v>1.0251051123635335E-2</c:v>
                </c:pt>
                <c:pt idx="1966">
                  <c:v>1.024927170862E-2</c:v>
                </c:pt>
                <c:pt idx="1967">
                  <c:v>1.024748013469079E-2</c:v>
                </c:pt>
                <c:pt idx="1968">
                  <c:v>1.0245676401767767E-2</c:v>
                </c:pt>
                <c:pt idx="1969">
                  <c:v>1.0243860509850933E-2</c:v>
                </c:pt>
                <c:pt idx="1970">
                  <c:v>1.0242032459100159E-2</c:v>
                </c:pt>
                <c:pt idx="1971">
                  <c:v>1.0240192249435509E-2</c:v>
                </c:pt>
                <c:pt idx="1972">
                  <c:v>1.0238339880697112E-2</c:v>
                </c:pt>
                <c:pt idx="1973">
                  <c:v>1.0236482891894383E-2</c:v>
                </c:pt>
                <c:pt idx="1974">
                  <c:v>1.0234685031697666E-2</c:v>
                </c:pt>
                <c:pt idx="1975">
                  <c:v>1.0232784673922524E-2</c:v>
                </c:pt>
                <c:pt idx="1976">
                  <c:v>1.023094350422582E-2</c:v>
                </c:pt>
                <c:pt idx="1977">
                  <c:v>1.0229107627495182E-2</c:v>
                </c:pt>
                <c:pt idx="1978">
                  <c:v>1.0227277043490801E-2</c:v>
                </c:pt>
                <c:pt idx="1979">
                  <c:v>1.0225451752452486E-2</c:v>
                </c:pt>
                <c:pt idx="1980">
                  <c:v>1.0223631754140428E-2</c:v>
                </c:pt>
                <c:pt idx="1981">
                  <c:v>1.0221817048874371E-2</c:v>
                </c:pt>
                <c:pt idx="1982">
                  <c:v>1.0220007636254635E-2</c:v>
                </c:pt>
                <c:pt idx="1983">
                  <c:v>1.0218203516680902E-2</c:v>
                </c:pt>
                <c:pt idx="1984">
                  <c:v>1.0216404689833425E-2</c:v>
                </c:pt>
                <c:pt idx="1985">
                  <c:v>1.0214611155952014E-2</c:v>
                </c:pt>
                <c:pt idx="1986">
                  <c:v>1.0212822914876796E-2</c:v>
                </c:pt>
                <c:pt idx="1987">
                  <c:v>1.0211039966767643E-2</c:v>
                </c:pt>
                <c:pt idx="1988">
                  <c:v>1.0209262311384748E-2</c:v>
                </c:pt>
                <c:pt idx="1989">
                  <c:v>1.0207489948887982E-2</c:v>
                </c:pt>
                <c:pt idx="1990">
                  <c:v>1.0205722879277346E-2</c:v>
                </c:pt>
                <c:pt idx="1991">
                  <c:v>1.0203961102472903E-2</c:v>
                </c:pt>
                <c:pt idx="1992">
                  <c:v>1.0202204618554589E-2</c:v>
                </c:pt>
                <c:pt idx="1993">
                  <c:v>1.0200453427522405E-2</c:v>
                </c:pt>
                <c:pt idx="1994">
                  <c:v>1.019870752937635E-2</c:v>
                </c:pt>
                <c:pt idx="1995">
                  <c:v>1.0196966924036488E-2</c:v>
                </c:pt>
                <c:pt idx="1996">
                  <c:v>1.0195231611582756E-2</c:v>
                </c:pt>
                <c:pt idx="1997">
                  <c:v>1.0193501591935217E-2</c:v>
                </c:pt>
                <c:pt idx="1998">
                  <c:v>1.0191776865173807E-2</c:v>
                </c:pt>
                <c:pt idx="1999">
                  <c:v>1.0190057431298527E-2</c:v>
                </c:pt>
                <c:pt idx="2000">
                  <c:v>1.0188343290309376E-2</c:v>
                </c:pt>
                <c:pt idx="2001">
                  <c:v>1.0186634442126419E-2</c:v>
                </c:pt>
                <c:pt idx="2002">
                  <c:v>1.0184930886749655E-2</c:v>
                </c:pt>
                <c:pt idx="2003">
                  <c:v>1.0183232624338956E-2</c:v>
                </c:pt>
                <c:pt idx="2004">
                  <c:v>1.0181539654734451E-2</c:v>
                </c:pt>
                <c:pt idx="2005">
                  <c:v>1.0179851977936138E-2</c:v>
                </c:pt>
                <c:pt idx="2006">
                  <c:v>1.0178169594103892E-2</c:v>
                </c:pt>
                <c:pt idx="2007">
                  <c:v>1.0176492503157775E-2</c:v>
                </c:pt>
                <c:pt idx="2008">
                  <c:v>1.0174820704937915E-2</c:v>
                </c:pt>
                <c:pt idx="2009">
                  <c:v>1.0173154199604184E-2</c:v>
                </c:pt>
                <c:pt idx="2010">
                  <c:v>1.0171492987236519E-2</c:v>
                </c:pt>
                <c:pt idx="2011">
                  <c:v>1.0169837067595111E-2</c:v>
                </c:pt>
                <c:pt idx="2012">
                  <c:v>1.0168029039887561E-2</c:v>
                </c:pt>
                <c:pt idx="2013">
                  <c:v>1.0166359103092049E-2</c:v>
                </c:pt>
                <c:pt idx="2014">
                  <c:v>1.016472048180006E-2</c:v>
                </c:pt>
                <c:pt idx="2015">
                  <c:v>1.0163087153634009E-2</c:v>
                </c:pt>
                <c:pt idx="2016">
                  <c:v>1.0161459118673832E-2</c:v>
                </c:pt>
                <c:pt idx="2017">
                  <c:v>1.0159836376919529E-2</c:v>
                </c:pt>
                <c:pt idx="2018">
                  <c:v>1.0158218928264517E-2</c:v>
                </c:pt>
                <c:pt idx="2019">
                  <c:v>1.015660677281538E-2</c:v>
                </c:pt>
                <c:pt idx="2020">
                  <c:v>1.0154999910572116E-2</c:v>
                </c:pt>
                <c:pt idx="2021">
                  <c:v>1.0153398341454789E-2</c:v>
                </c:pt>
                <c:pt idx="2022">
                  <c:v>1.0151802065490045E-2</c:v>
                </c:pt>
                <c:pt idx="2023">
                  <c:v>1.0150211082757821E-2</c:v>
                </c:pt>
                <c:pt idx="2024">
                  <c:v>1.0147661351851411E-2</c:v>
                </c:pt>
                <c:pt idx="2025">
                  <c:v>1.0147044996724475E-2</c:v>
                </c:pt>
                <c:pt idx="2026">
                  <c:v>1.0145469893476644E-2</c:v>
                </c:pt>
                <c:pt idx="2027">
                  <c:v>1.0143900083381396E-2</c:v>
                </c:pt>
                <c:pt idx="2028">
                  <c:v>1.0142335566438732E-2</c:v>
                </c:pt>
                <c:pt idx="2029">
                  <c:v>1.0140776342728586E-2</c:v>
                </c:pt>
                <c:pt idx="2030">
                  <c:v>1.0139222412117732E-2</c:v>
                </c:pt>
                <c:pt idx="2031">
                  <c:v>1.0137673774712752E-2</c:v>
                </c:pt>
                <c:pt idx="2032">
                  <c:v>1.0136130430460355E-2</c:v>
                </c:pt>
                <c:pt idx="2033">
                  <c:v>1.0134592379387186E-2</c:v>
                </c:pt>
                <c:pt idx="2034">
                  <c:v>1.01330596214666E-2</c:v>
                </c:pt>
                <c:pt idx="2035">
                  <c:v>1.0131532156725243E-2</c:v>
                </c:pt>
                <c:pt idx="2036">
                  <c:v>1.0130009985136468E-2</c:v>
                </c:pt>
                <c:pt idx="2037">
                  <c:v>1.0128493106726921E-2</c:v>
                </c:pt>
                <c:pt idx="2038">
                  <c:v>1.0126981521496603E-2</c:v>
                </c:pt>
                <c:pt idx="2039">
                  <c:v>1.0125475229418868E-2</c:v>
                </c:pt>
                <c:pt idx="2040">
                  <c:v>1.0123974230493715E-2</c:v>
                </c:pt>
                <c:pt idx="2041">
                  <c:v>1.0122478524747791E-2</c:v>
                </c:pt>
                <c:pt idx="2042">
                  <c:v>1.0120988112181095E-2</c:v>
                </c:pt>
                <c:pt idx="2043">
                  <c:v>1.0119502992766982E-2</c:v>
                </c:pt>
                <c:pt idx="2044">
                  <c:v>1.0118023166532097E-2</c:v>
                </c:pt>
                <c:pt idx="2045">
                  <c:v>1.0116548633449796E-2</c:v>
                </c:pt>
                <c:pt idx="2046">
                  <c:v>1.0115079393520077E-2</c:v>
                </c:pt>
                <c:pt idx="2047">
                  <c:v>1.0113615446769586E-2</c:v>
                </c:pt>
                <c:pt idx="2048">
                  <c:v>1.0112156793171678E-2</c:v>
                </c:pt>
                <c:pt idx="2049">
                  <c:v>1.0110703432779644E-2</c:v>
                </c:pt>
                <c:pt idx="2050">
                  <c:v>1.0109255365540193E-2</c:v>
                </c:pt>
                <c:pt idx="2051">
                  <c:v>1.0107812591400034E-2</c:v>
                </c:pt>
                <c:pt idx="2052">
                  <c:v>1.0106375110492394E-2</c:v>
                </c:pt>
                <c:pt idx="2053">
                  <c:v>1.0104942922710691E-2</c:v>
                </c:pt>
                <c:pt idx="2054">
                  <c:v>1.0103516028108217E-2</c:v>
                </c:pt>
                <c:pt idx="2055">
                  <c:v>1.0102094426684971E-2</c:v>
                </c:pt>
                <c:pt idx="2056">
                  <c:v>1.0100678118414308E-2</c:v>
                </c:pt>
                <c:pt idx="2057">
                  <c:v>1.0099267103296228E-2</c:v>
                </c:pt>
                <c:pt idx="2058">
                  <c:v>1.0097861381357376E-2</c:v>
                </c:pt>
                <c:pt idx="2059">
                  <c:v>1.0096460952571107E-2</c:v>
                </c:pt>
                <c:pt idx="2060">
                  <c:v>1.0095065816964066E-2</c:v>
                </c:pt>
                <c:pt idx="2061">
                  <c:v>1.0093675974482963E-2</c:v>
                </c:pt>
                <c:pt idx="2062">
                  <c:v>1.0092291425181088E-2</c:v>
                </c:pt>
                <c:pt idx="2063">
                  <c:v>1.0090912169031796E-2</c:v>
                </c:pt>
                <c:pt idx="2064">
                  <c:v>1.0088907397109992E-2</c:v>
                </c:pt>
                <c:pt idx="2065">
                  <c:v>1.0087496761341797E-2</c:v>
                </c:pt>
                <c:pt idx="2066">
                  <c:v>1.0086134973299465E-2</c:v>
                </c:pt>
                <c:pt idx="2067">
                  <c:v>1.0084778478143264E-2</c:v>
                </c:pt>
                <c:pt idx="2068">
                  <c:v>1.0083427275793255E-2</c:v>
                </c:pt>
                <c:pt idx="2069">
                  <c:v>1.0082081366409312E-2</c:v>
                </c:pt>
                <c:pt idx="2070">
                  <c:v>1.0080740749831563E-2</c:v>
                </c:pt>
                <c:pt idx="2071">
                  <c:v>1.0079405426139942E-2</c:v>
                </c:pt>
                <c:pt idx="2072">
                  <c:v>1.0078075395254515E-2</c:v>
                </c:pt>
                <c:pt idx="2073">
                  <c:v>1.0076750657175282E-2</c:v>
                </c:pt>
                <c:pt idx="2074">
                  <c:v>1.0075431211982178E-2</c:v>
                </c:pt>
                <c:pt idx="2075">
                  <c:v>1.0074117059755139E-2</c:v>
                </c:pt>
                <c:pt idx="2076">
                  <c:v>1.0072808200254357E-2</c:v>
                </c:pt>
                <c:pt idx="2077">
                  <c:v>1.0071504633639705E-2</c:v>
                </c:pt>
                <c:pt idx="2078">
                  <c:v>1.0070206359831246E-2</c:v>
                </c:pt>
                <c:pt idx="2079">
                  <c:v>1.0068544928039103E-2</c:v>
                </c:pt>
                <c:pt idx="2080">
                  <c:v>1.0067625690872717E-2</c:v>
                </c:pt>
                <c:pt idx="2081">
                  <c:v>1.0066343295722646E-2</c:v>
                </c:pt>
                <c:pt idx="2082">
                  <c:v>1.0065066193378769E-2</c:v>
                </c:pt>
                <c:pt idx="2083">
                  <c:v>1.0063794383921021E-2</c:v>
                </c:pt>
                <c:pt idx="2084">
                  <c:v>1.0062527867269466E-2</c:v>
                </c:pt>
                <c:pt idx="2085">
                  <c:v>1.0061266643504041E-2</c:v>
                </c:pt>
                <c:pt idx="2086">
                  <c:v>1.0060010712464873E-2</c:v>
                </c:pt>
                <c:pt idx="2087">
                  <c:v>1.005876007439177E-2</c:v>
                </c:pt>
                <c:pt idx="2088">
                  <c:v>1.0057514729124861E-2</c:v>
                </c:pt>
                <c:pt idx="2089">
                  <c:v>1.0056274676903953E-2</c:v>
                </c:pt>
                <c:pt idx="2090">
                  <c:v>1.0055039917409303E-2</c:v>
                </c:pt>
                <c:pt idx="2091">
                  <c:v>1.0053810450560974E-2</c:v>
                </c:pt>
                <c:pt idx="2092">
                  <c:v>1.0052586276838582E-2</c:v>
                </c:pt>
                <c:pt idx="2093">
                  <c:v>1.0051367395842448E-2</c:v>
                </c:pt>
                <c:pt idx="2094">
                  <c:v>1.0050153807732443E-2</c:v>
                </c:pt>
                <c:pt idx="2095">
                  <c:v>1.0048945512508567E-2</c:v>
                </c:pt>
                <c:pt idx="2096">
                  <c:v>1.0047742510090885E-2</c:v>
                </c:pt>
                <c:pt idx="2097">
                  <c:v>1.0046544800559332E-2</c:v>
                </c:pt>
                <c:pt idx="2098">
                  <c:v>1.0045352383913908E-2</c:v>
                </c:pt>
                <c:pt idx="2099">
                  <c:v>1.0044165260074678E-2</c:v>
                </c:pt>
                <c:pt idx="2100">
                  <c:v>1.0042983429041641E-2</c:v>
                </c:pt>
                <c:pt idx="2101">
                  <c:v>1.0041806890894733E-2</c:v>
                </c:pt>
                <c:pt idx="2102">
                  <c:v>1.0040635645554019E-2</c:v>
                </c:pt>
                <c:pt idx="2103">
                  <c:v>1.003946969317937E-2</c:v>
                </c:pt>
                <c:pt idx="2104">
                  <c:v>1.0038309033610915E-2</c:v>
                </c:pt>
                <c:pt idx="2105">
                  <c:v>1.0037153666848653E-2</c:v>
                </c:pt>
                <c:pt idx="2106">
                  <c:v>1.0036003593052456E-2</c:v>
                </c:pt>
                <c:pt idx="2107">
                  <c:v>1.0034858811982517E-2</c:v>
                </c:pt>
                <c:pt idx="2108">
                  <c:v>1.0033719323798707E-2</c:v>
                </c:pt>
                <c:pt idx="2109">
                  <c:v>1.0032585128501026E-2</c:v>
                </c:pt>
                <c:pt idx="2110">
                  <c:v>1.0031456226009539E-2</c:v>
                </c:pt>
                <c:pt idx="2111">
                  <c:v>1.0030332616404181E-2</c:v>
                </c:pt>
                <c:pt idx="2112">
                  <c:v>1.0029214299605016E-2</c:v>
                </c:pt>
                <c:pt idx="2113">
                  <c:v>1.0028101275691981E-2</c:v>
                </c:pt>
                <c:pt idx="2114">
                  <c:v>1.0026993544665075E-2</c:v>
                </c:pt>
                <c:pt idx="2115">
                  <c:v>1.0025891106444362E-2</c:v>
                </c:pt>
                <c:pt idx="2116">
                  <c:v>1.0024699132564763E-2</c:v>
                </c:pt>
                <c:pt idx="2117">
                  <c:v>1.0023546561725993E-2</c:v>
                </c:pt>
                <c:pt idx="2118">
                  <c:v>1.0022460758198903E-2</c:v>
                </c:pt>
                <c:pt idx="2119">
                  <c:v>1.0021380247557943E-2</c:v>
                </c:pt>
                <c:pt idx="2120">
                  <c:v>1.0020305029723175E-2</c:v>
                </c:pt>
                <c:pt idx="2121">
                  <c:v>1.0019235104694602E-2</c:v>
                </c:pt>
                <c:pt idx="2122">
                  <c:v>1.0018170472552157E-2</c:v>
                </c:pt>
                <c:pt idx="2123">
                  <c:v>1.0017111133375778E-2</c:v>
                </c:pt>
                <c:pt idx="2124">
                  <c:v>1.0016057086925656E-2</c:v>
                </c:pt>
                <c:pt idx="2125">
                  <c:v>1.0015008333281727E-2</c:v>
                </c:pt>
                <c:pt idx="2126">
                  <c:v>1.00139648726838E-2</c:v>
                </c:pt>
                <c:pt idx="2127">
                  <c:v>1.0012926704732195E-2</c:v>
                </c:pt>
                <c:pt idx="2128">
                  <c:v>1.0011893829666718E-2</c:v>
                </c:pt>
                <c:pt idx="2129">
                  <c:v>1.0010866247487371E-2</c:v>
                </c:pt>
                <c:pt idx="2130">
                  <c:v>1.000955284777838E-2</c:v>
                </c:pt>
                <c:pt idx="2131">
                  <c:v>1.0008537363441761E-2</c:v>
                </c:pt>
                <c:pt idx="2132">
                  <c:v>1.0007527172071207E-2</c:v>
                </c:pt>
                <c:pt idx="2133">
                  <c:v>1.0006724894526808E-2</c:v>
                </c:pt>
                <c:pt idx="2134">
                  <c:v>1.0005522667908551E-2</c:v>
                </c:pt>
                <c:pt idx="2135">
                  <c:v>1.0004528355116449E-2</c:v>
                </c:pt>
                <c:pt idx="2136">
                  <c:v>1.000353933513054E-2</c:v>
                </c:pt>
                <c:pt idx="2137">
                  <c:v>1.0002555608110697E-2</c:v>
                </c:pt>
                <c:pt idx="2138">
                  <c:v>1.0001577173737175E-2</c:v>
                </c:pt>
                <c:pt idx="2139">
                  <c:v>1.0000604032409655E-2</c:v>
                </c:pt>
                <c:pt idx="2140">
                  <c:v>9.9996361838883274E-3</c:v>
                </c:pt>
                <c:pt idx="2141">
                  <c:v>9.9986736280932575E-3</c:v>
                </c:pt>
                <c:pt idx="2142">
                  <c:v>9.9977163651843171E-3</c:v>
                </c:pt>
                <c:pt idx="2143">
                  <c:v>9.996764395241442E-3</c:v>
                </c:pt>
                <c:pt idx="2144">
                  <c:v>9.9958177180248242E-3</c:v>
                </c:pt>
                <c:pt idx="2145">
                  <c:v>9.9948763337742719E-3</c:v>
                </c:pt>
                <c:pt idx="2146">
                  <c:v>9.9939402422499768E-3</c:v>
                </c:pt>
                <c:pt idx="2147">
                  <c:v>9.9930094436917472E-3</c:v>
                </c:pt>
                <c:pt idx="2148">
                  <c:v>9.9920839378597748E-3</c:v>
                </c:pt>
                <c:pt idx="2149">
                  <c:v>9.9911637249139318E-3</c:v>
                </c:pt>
                <c:pt idx="2150">
                  <c:v>9.9902488049341542E-3</c:v>
                </c:pt>
                <c:pt idx="2151">
                  <c:v>9.98933917776057E-3</c:v>
                </c:pt>
                <c:pt idx="2152">
                  <c:v>9.9884348433132431E-3</c:v>
                </c:pt>
                <c:pt idx="2153">
                  <c:v>9.9875358018319815E-3</c:v>
                </c:pt>
                <c:pt idx="2154">
                  <c:v>9.9866420531569133E-3</c:v>
                </c:pt>
                <c:pt idx="2155">
                  <c:v>9.9857535973679745E-3</c:v>
                </c:pt>
                <c:pt idx="2156">
                  <c:v>9.984870434385229E-3</c:v>
                </c:pt>
                <c:pt idx="2157">
                  <c:v>9.9839925642886129E-3</c:v>
                </c:pt>
                <c:pt idx="2158">
                  <c:v>9.9831199869981901E-3</c:v>
                </c:pt>
                <c:pt idx="2159">
                  <c:v>9.9822527025938967E-3</c:v>
                </c:pt>
                <c:pt idx="2160">
                  <c:v>9.9813907109957967E-3</c:v>
                </c:pt>
                <c:pt idx="2161">
                  <c:v>9.980534012283826E-3</c:v>
                </c:pt>
                <c:pt idx="2162">
                  <c:v>9.9796826064579847E-3</c:v>
                </c:pt>
                <c:pt idx="2163">
                  <c:v>9.9788364934383367E-3</c:v>
                </c:pt>
                <c:pt idx="2164">
                  <c:v>9.9779956733048181E-3</c:v>
                </c:pt>
                <c:pt idx="2165">
                  <c:v>9.9771601460574288E-3</c:v>
                </c:pt>
                <c:pt idx="2166">
                  <c:v>9.9763299115362969E-3</c:v>
                </c:pt>
                <c:pt idx="2167">
                  <c:v>9.9757435737579669E-3</c:v>
                </c:pt>
                <c:pt idx="2168">
                  <c:v>9.9749249911162963E-3</c:v>
                </c:pt>
                <c:pt idx="2169">
                  <c:v>9.9738709652097413E-3</c:v>
                </c:pt>
                <c:pt idx="2170">
                  <c:v>9.9730619021531908E-3</c:v>
                </c:pt>
                <c:pt idx="2171">
                  <c:v>9.9722581319028336E-3</c:v>
                </c:pt>
                <c:pt idx="2172">
                  <c:v>9.9714596546185419E-3</c:v>
                </c:pt>
                <c:pt idx="2173">
                  <c:v>9.9706664700605074E-3</c:v>
                </c:pt>
                <c:pt idx="2174">
                  <c:v>9.9698785783886024E-3</c:v>
                </c:pt>
                <c:pt idx="2175">
                  <c:v>9.9690959795228906E-3</c:v>
                </c:pt>
                <c:pt idx="2176">
                  <c:v>9.9683186736232443E-3</c:v>
                </c:pt>
                <c:pt idx="2177">
                  <c:v>9.9675466605297913E-3</c:v>
                </c:pt>
                <c:pt idx="2178">
                  <c:v>9.9667799401625956E-3</c:v>
                </c:pt>
                <c:pt idx="2179">
                  <c:v>9.9660185127614653E-3</c:v>
                </c:pt>
                <c:pt idx="2180">
                  <c:v>9.9652623781665284E-3</c:v>
                </c:pt>
                <c:pt idx="2181">
                  <c:v>9.9645115364577208E-3</c:v>
                </c:pt>
                <c:pt idx="2182">
                  <c:v>9.9637659875551066E-3</c:v>
                </c:pt>
                <c:pt idx="2183">
                  <c:v>9.9633667568745921E-3</c:v>
                </c:pt>
                <c:pt idx="2184">
                  <c:v>9.9622907684882023E-3</c:v>
                </c:pt>
                <c:pt idx="2185">
                  <c:v>9.9615610980841041E-3</c:v>
                </c:pt>
                <c:pt idx="2186">
                  <c:v>9.9608367206460713E-3</c:v>
                </c:pt>
                <c:pt idx="2187">
                  <c:v>9.9601176359342958E-3</c:v>
                </c:pt>
                <c:pt idx="2188">
                  <c:v>9.9594038441885857E-3</c:v>
                </c:pt>
                <c:pt idx="2189">
                  <c:v>9.958695345249069E-3</c:v>
                </c:pt>
                <c:pt idx="2190">
                  <c:v>9.9579921391956816E-3</c:v>
                </c:pt>
                <c:pt idx="2191">
                  <c:v>9.9572942260284236E-3</c:v>
                </c:pt>
                <c:pt idx="2192">
                  <c:v>9.9566016055074869E-3</c:v>
                </c:pt>
                <c:pt idx="2193">
                  <c:v>9.9559142779526155E-3</c:v>
                </c:pt>
                <c:pt idx="2194">
                  <c:v>9.9552322433638096E-3</c:v>
                </c:pt>
                <c:pt idx="2195">
                  <c:v>9.954555501501261E-3</c:v>
                </c:pt>
                <c:pt idx="2196">
                  <c:v>9.9538840524449057E-3</c:v>
                </c:pt>
                <c:pt idx="2197">
                  <c:v>9.9532178962746798E-3</c:v>
                </c:pt>
                <c:pt idx="2198">
                  <c:v>9.9525570330705193E-3</c:v>
                </c:pt>
                <c:pt idx="2199">
                  <c:v>9.95190146251268E-3</c:v>
                </c:pt>
                <c:pt idx="2200">
                  <c:v>9.9512511849209062E-3</c:v>
                </c:pt>
                <c:pt idx="2201">
                  <c:v>9.9506062002152618E-3</c:v>
                </c:pt>
                <c:pt idx="2202">
                  <c:v>9.9499665083158106E-3</c:v>
                </c:pt>
                <c:pt idx="2203">
                  <c:v>9.9493321093024889E-3</c:v>
                </c:pt>
                <c:pt idx="2204">
                  <c:v>9.9487030030953605E-3</c:v>
                </c:pt>
                <c:pt idx="2205">
                  <c:v>9.9480791897743615E-3</c:v>
                </c:pt>
                <c:pt idx="2206">
                  <c:v>9.9474606692595557E-3</c:v>
                </c:pt>
                <c:pt idx="2207">
                  <c:v>9.9468474414710073E-3</c:v>
                </c:pt>
                <c:pt idx="2208">
                  <c:v>9.9462395067284604E-3</c:v>
                </c:pt>
                <c:pt idx="2209">
                  <c:v>9.9456368647921067E-3</c:v>
                </c:pt>
                <c:pt idx="2210">
                  <c:v>9.9450395156619464E-3</c:v>
                </c:pt>
                <c:pt idx="2211">
                  <c:v>9.9444474594179155E-3</c:v>
                </c:pt>
                <c:pt idx="2212">
                  <c:v>9.9438606959800779E-3</c:v>
                </c:pt>
                <c:pt idx="2213">
                  <c:v>9.9432792254283697E-3</c:v>
                </c:pt>
                <c:pt idx="2214">
                  <c:v>9.9427030476029188E-3</c:v>
                </c:pt>
                <c:pt idx="2215">
                  <c:v>9.9421321627435333E-3</c:v>
                </c:pt>
                <c:pt idx="2216">
                  <c:v>9.9415665707702772E-3</c:v>
                </c:pt>
                <c:pt idx="2217">
                  <c:v>9.9410062716032144E-3</c:v>
                </c:pt>
                <c:pt idx="2218">
                  <c:v>9.940451265322281E-3</c:v>
                </c:pt>
                <c:pt idx="2219">
                  <c:v>9.9399015517676048E-3</c:v>
                </c:pt>
                <c:pt idx="2220">
                  <c:v>9.9393571311789941E-3</c:v>
                </c:pt>
                <c:pt idx="2221">
                  <c:v>9.9388180033965767E-3</c:v>
                </c:pt>
                <c:pt idx="2222">
                  <c:v>9.9382841684203527E-3</c:v>
                </c:pt>
                <c:pt idx="2223">
                  <c:v>9.937755626330258E-3</c:v>
                </c:pt>
                <c:pt idx="2224">
                  <c:v>9.9372323771262927E-3</c:v>
                </c:pt>
                <c:pt idx="2225">
                  <c:v>9.9367144207285207E-3</c:v>
                </c:pt>
                <c:pt idx="2226">
                  <c:v>9.9362017571369421E-3</c:v>
                </c:pt>
                <c:pt idx="2227">
                  <c:v>9.9356943864314928E-3</c:v>
                </c:pt>
                <c:pt idx="2228">
                  <c:v>9.935192308612173E-3</c:v>
                </c:pt>
                <c:pt idx="2229">
                  <c:v>9.9346955235191103E-3</c:v>
                </c:pt>
                <c:pt idx="2230">
                  <c:v>9.9342040313921132E-3</c:v>
                </c:pt>
                <c:pt idx="2231">
                  <c:v>9.9337178321512454E-3</c:v>
                </c:pt>
                <c:pt idx="2232">
                  <c:v>9.9332367761562068E-3</c:v>
                </c:pt>
                <c:pt idx="2233">
                  <c:v>9.9327360544521071E-3</c:v>
                </c:pt>
                <c:pt idx="2234">
                  <c:v>9.9325827391396615E-3</c:v>
                </c:pt>
                <c:pt idx="2235">
                  <c:v>9.9316186725051381E-3</c:v>
                </c:pt>
                <c:pt idx="2236">
                  <c:v>9.9310020121023967E-3</c:v>
                </c:pt>
                <c:pt idx="2237">
                  <c:v>9.9303467053335481E-3</c:v>
                </c:pt>
                <c:pt idx="2238">
                  <c:v>9.9296527525982725E-3</c:v>
                </c:pt>
                <c:pt idx="2239">
                  <c:v>9.9289201534169536E-3</c:v>
                </c:pt>
                <c:pt idx="2240">
                  <c:v>9.9281489080293994E-3</c:v>
                </c:pt>
                <c:pt idx="2241">
                  <c:v>9.9273390163556741E-3</c:v>
                </c:pt>
                <c:pt idx="2242">
                  <c:v>9.9264904784757135E-3</c:v>
                </c:pt>
                <c:pt idx="2243">
                  <c:v>9.9256032943095818E-3</c:v>
                </c:pt>
                <c:pt idx="2244">
                  <c:v>9.9246774639372148E-3</c:v>
                </c:pt>
                <c:pt idx="2245">
                  <c:v>9.9237129873586127E-3</c:v>
                </c:pt>
                <c:pt idx="2246">
                  <c:v>9.9227098644938394E-3</c:v>
                </c:pt>
                <c:pt idx="2247">
                  <c:v>9.921668095502767E-3</c:v>
                </c:pt>
                <c:pt idx="2248">
                  <c:v>9.9205876801455872E-3</c:v>
                </c:pt>
                <c:pt idx="2249">
                  <c:v>9.9194686185821723E-3</c:v>
                </c:pt>
                <c:pt idx="2250">
                  <c:v>9.9183109106526501E-3</c:v>
                </c:pt>
                <c:pt idx="2251">
                  <c:v>9.9171145566767649E-3</c:v>
                </c:pt>
                <c:pt idx="2252">
                  <c:v>9.9158795563347724E-3</c:v>
                </c:pt>
                <c:pt idx="2253">
                  <c:v>9.9146059098664807E-3</c:v>
                </c:pt>
                <c:pt idx="2254">
                  <c:v>9.9132936170320818E-3</c:v>
                </c:pt>
                <c:pt idx="2255">
                  <c:v>9.9119426779914477E-3</c:v>
                </c:pt>
                <c:pt idx="2256">
                  <c:v>9.9105530927445784E-3</c:v>
                </c:pt>
                <c:pt idx="2257">
                  <c:v>9.9091248612115379E-3</c:v>
                </c:pt>
                <c:pt idx="2258">
                  <c:v>9.9076579834722622E-3</c:v>
                </c:pt>
                <c:pt idx="2259">
                  <c:v>9.9061524595267514E-3</c:v>
                </c:pt>
                <c:pt idx="2260">
                  <c:v>9.9046082893750054E-3</c:v>
                </c:pt>
                <c:pt idx="2261">
                  <c:v>9.9030254728571521E-3</c:v>
                </c:pt>
                <c:pt idx="2262">
                  <c:v>9.9014040101330636E-3</c:v>
                </c:pt>
                <c:pt idx="2263">
                  <c:v>9.899743901282676E-3</c:v>
                </c:pt>
                <c:pt idx="2264">
                  <c:v>9.8980451460661811E-3</c:v>
                </c:pt>
                <c:pt idx="2265">
                  <c:v>9.8963077448033232E-3</c:v>
                </c:pt>
                <c:pt idx="2266">
                  <c:v>9.8945316970944219E-3</c:v>
                </c:pt>
                <c:pt idx="2267">
                  <c:v>9.8927170032592215E-3</c:v>
                </c:pt>
                <c:pt idx="2268">
                  <c:v>9.8908636631378499E-3</c:v>
                </c:pt>
                <c:pt idx="2269">
                  <c:v>9.8889716768102431E-3</c:v>
                </c:pt>
                <c:pt idx="2270">
                  <c:v>9.8870410441964651E-3</c:v>
                </c:pt>
                <c:pt idx="2271">
                  <c:v>9.885071765456388E-3</c:v>
                </c:pt>
                <c:pt idx="2272">
                  <c:v>9.8830638404301396E-3</c:v>
                </c:pt>
                <c:pt idx="2273">
                  <c:v>9.8810172692775922E-3</c:v>
                </c:pt>
                <c:pt idx="2274">
                  <c:v>9.8789320516790013E-3</c:v>
                </c:pt>
                <c:pt idx="2275">
                  <c:v>9.8768081880340475E-3</c:v>
                </c:pt>
                <c:pt idx="2276">
                  <c:v>9.8746456780229863E-3</c:v>
                </c:pt>
                <c:pt idx="2277">
                  <c:v>9.872444521885626E-3</c:v>
                </c:pt>
                <c:pt idx="2278">
                  <c:v>9.8702047195420306E-3</c:v>
                </c:pt>
                <c:pt idx="2279">
                  <c:v>9.8679262709122639E-3</c:v>
                </c:pt>
                <c:pt idx="2280">
                  <c:v>9.865609175996326E-3</c:v>
                </c:pt>
                <c:pt idx="2281">
                  <c:v>9.8632534350340251E-3</c:v>
                </c:pt>
                <c:pt idx="2282">
                  <c:v>9.8608590477855529E-3</c:v>
                </c:pt>
                <c:pt idx="2283">
                  <c:v>9.8584260141709734E-3</c:v>
                </c:pt>
                <c:pt idx="2284">
                  <c:v>9.8559543344300948E-3</c:v>
                </c:pt>
                <c:pt idx="2285">
                  <c:v>9.8532582117929479E-3</c:v>
                </c:pt>
                <c:pt idx="2286">
                  <c:v>9.8508950364095682E-3</c:v>
                </c:pt>
                <c:pt idx="2287">
                  <c:v>9.848307417970048E-3</c:v>
                </c:pt>
                <c:pt idx="2288">
                  <c:v>9.8456811533242927E-3</c:v>
                </c:pt>
                <c:pt idx="2289">
                  <c:v>9.8430162424723022E-3</c:v>
                </c:pt>
                <c:pt idx="2290">
                  <c:v>9.8403126854940126E-3</c:v>
                </c:pt>
                <c:pt idx="2291">
                  <c:v>9.8375704821496157E-3</c:v>
                </c:pt>
                <c:pt idx="2292">
                  <c:v>9.8347896327588558E-3</c:v>
                </c:pt>
                <c:pt idx="2293">
                  <c:v>9.8319701370019885E-3</c:v>
                </c:pt>
                <c:pt idx="2294">
                  <c:v>9.8291119951188222E-3</c:v>
                </c:pt>
                <c:pt idx="2295">
                  <c:v>9.8262152069494846E-3</c:v>
                </c:pt>
                <c:pt idx="2296">
                  <c:v>9.8232797726538479E-3</c:v>
                </c:pt>
                <c:pt idx="2297">
                  <c:v>9.820305692151976E-3</c:v>
                </c:pt>
                <c:pt idx="2298">
                  <c:v>9.8172929652839969E-3</c:v>
                </c:pt>
                <c:pt idx="2299">
                  <c:v>9.8142415923696547E-3</c:v>
                </c:pt>
                <c:pt idx="2300">
                  <c:v>9.8111515732490773E-3</c:v>
                </c:pt>
                <c:pt idx="2301">
                  <c:v>9.8080229078423287E-3</c:v>
                </c:pt>
                <c:pt idx="2302">
                  <c:v>9.8048555963092809E-3</c:v>
                </c:pt>
                <c:pt idx="2303">
                  <c:v>9.801649638490062E-3</c:v>
                </c:pt>
                <c:pt idx="2304">
                  <c:v>9.7984050344646079E-3</c:v>
                </c:pt>
                <c:pt idx="2305">
                  <c:v>9.7951217842329186E-3</c:v>
                </c:pt>
                <c:pt idx="2306">
                  <c:v>9.7917998878749302E-3</c:v>
                </c:pt>
                <c:pt idx="2307">
                  <c:v>9.7884393452307705E-3</c:v>
                </c:pt>
                <c:pt idx="2308">
                  <c:v>9.7850401564603118E-3</c:v>
                </c:pt>
                <c:pt idx="2309">
                  <c:v>9.7816023214836179E-3</c:v>
                </c:pt>
                <c:pt idx="2310">
                  <c:v>9.7781258403006888E-3</c:v>
                </c:pt>
                <c:pt idx="2311">
                  <c:v>9.7746107129115245E-3</c:v>
                </c:pt>
                <c:pt idx="2312">
                  <c:v>9.7710569393960611E-3</c:v>
                </c:pt>
                <c:pt idx="2313">
                  <c:v>9.7674645195144905E-3</c:v>
                </c:pt>
                <c:pt idx="2314">
                  <c:v>9.7638334535865567E-3</c:v>
                </c:pt>
                <c:pt idx="2315">
                  <c:v>9.7601637414523879E-3</c:v>
                </c:pt>
                <c:pt idx="2316">
                  <c:v>9.7564553831119838E-3</c:v>
                </c:pt>
                <c:pt idx="2317">
                  <c:v>9.7527083785653446E-3</c:v>
                </c:pt>
                <c:pt idx="2318">
                  <c:v>9.7489227278124702E-3</c:v>
                </c:pt>
                <c:pt idx="2319">
                  <c:v>9.7450984308533606E-3</c:v>
                </c:pt>
                <c:pt idx="2320">
                  <c:v>9.7412354877679519E-3</c:v>
                </c:pt>
                <c:pt idx="2321">
                  <c:v>9.737333898476308E-3</c:v>
                </c:pt>
                <c:pt idx="2322">
                  <c:v>9.7333936630583651E-3</c:v>
                </c:pt>
                <c:pt idx="2323">
                  <c:v>9.7294147813542509E-3</c:v>
                </c:pt>
                <c:pt idx="2324">
                  <c:v>9.7243465507790283E-3</c:v>
                </c:pt>
                <c:pt idx="2325">
                  <c:v>9.7204372633186154E-3</c:v>
                </c:pt>
                <c:pt idx="2326">
                  <c:v>9.7163311796588658E-3</c:v>
                </c:pt>
                <c:pt idx="2327">
                  <c:v>9.7121864478477704E-3</c:v>
                </c:pt>
                <c:pt idx="2328">
                  <c:v>9.7080030679119744E-3</c:v>
                </c:pt>
                <c:pt idx="2329">
                  <c:v>9.7037810397715418E-3</c:v>
                </c:pt>
                <c:pt idx="2330">
                  <c:v>9.6995203635064087E-3</c:v>
                </c:pt>
                <c:pt idx="2331">
                  <c:v>9.6952210390632843E-3</c:v>
                </c:pt>
                <c:pt idx="2332">
                  <c:v>9.6908830664688139E-3</c:v>
                </c:pt>
                <c:pt idx="2333">
                  <c:v>9.6865064457762884E-3</c:v>
                </c:pt>
                <c:pt idx="2334">
                  <c:v>9.6820911769324169E-3</c:v>
                </c:pt>
                <c:pt idx="2335">
                  <c:v>9.6776372599371996E-3</c:v>
                </c:pt>
                <c:pt idx="2336">
                  <c:v>9.6731446948172817E-3</c:v>
                </c:pt>
                <c:pt idx="2337">
                  <c:v>9.6686134815460179E-3</c:v>
                </c:pt>
                <c:pt idx="2338">
                  <c:v>9.6640436202033442E-3</c:v>
                </c:pt>
                <c:pt idx="2339">
                  <c:v>9.6594351107093246E-3</c:v>
                </c:pt>
                <c:pt idx="2340">
                  <c:v>9.6525259347046699E-3</c:v>
                </c:pt>
                <c:pt idx="2341">
                  <c:v>9.6501021474004745E-3</c:v>
                </c:pt>
                <c:pt idx="2342">
                  <c:v>9.6437626722689629E-3</c:v>
                </c:pt>
                <c:pt idx="2343">
                  <c:v>9.6389887837045052E-3</c:v>
                </c:pt>
                <c:pt idx="2344">
                  <c:v>9.6341762490936844E-3</c:v>
                </c:pt>
                <c:pt idx="2345">
                  <c:v>9.6293250682766285E-3</c:v>
                </c:pt>
                <c:pt idx="2346">
                  <c:v>9.6244352413332734E-3</c:v>
                </c:pt>
                <c:pt idx="2347">
                  <c:v>9.6195067681836832E-3</c:v>
                </c:pt>
                <c:pt idx="2348">
                  <c:v>9.6145396489877299E-3</c:v>
                </c:pt>
                <c:pt idx="2349">
                  <c:v>9.6095338835855415E-3</c:v>
                </c:pt>
                <c:pt idx="2350">
                  <c:v>9.6044894719771179E-3</c:v>
                </c:pt>
                <c:pt idx="2351">
                  <c:v>9.5994064142423952E-3</c:v>
                </c:pt>
                <c:pt idx="2352">
                  <c:v>9.5942847104613094E-3</c:v>
                </c:pt>
                <c:pt idx="2353">
                  <c:v>9.5891243605539245E-3</c:v>
                </c:pt>
                <c:pt idx="2354">
                  <c:v>9.5839253643603683E-3</c:v>
                </c:pt>
                <c:pt idx="2355">
                  <c:v>9.5786877221204492E-3</c:v>
                </c:pt>
                <c:pt idx="2356">
                  <c:v>9.5734114337542309E-3</c:v>
                </c:pt>
                <c:pt idx="2357">
                  <c:v>9.5680964993416495E-3</c:v>
                </c:pt>
                <c:pt idx="2358">
                  <c:v>9.5627429186428969E-3</c:v>
                </c:pt>
                <c:pt idx="2359">
                  <c:v>9.5573506919777174E-3</c:v>
                </c:pt>
                <c:pt idx="2360">
                  <c:v>9.5519198191862387E-3</c:v>
                </c:pt>
                <c:pt idx="2361">
                  <c:v>9.5464503000286527E-3</c:v>
                </c:pt>
                <c:pt idx="2362">
                  <c:v>9.5409421349845758E-3</c:v>
                </c:pt>
                <c:pt idx="2363">
                  <c:v>9.5353953238141997E-3</c:v>
                </c:pt>
                <c:pt idx="2364">
                  <c:v>9.5298098664375885E-3</c:v>
                </c:pt>
                <c:pt idx="2365">
                  <c:v>9.5241857628547422E-3</c:v>
                </c:pt>
                <c:pt idx="2366">
                  <c:v>9.5185230133054688E-3</c:v>
                </c:pt>
                <c:pt idx="2367">
                  <c:v>9.5128216176298963E-3</c:v>
                </c:pt>
                <c:pt idx="2368">
                  <c:v>9.5070815758280247E-3</c:v>
                </c:pt>
                <c:pt idx="2369">
                  <c:v>9.5013028878199179E-3</c:v>
                </c:pt>
                <c:pt idx="2370">
                  <c:v>9.4954855539253202E-3</c:v>
                </c:pt>
                <c:pt idx="2371">
                  <c:v>9.4896295738244874E-3</c:v>
                </c:pt>
                <c:pt idx="2372">
                  <c:v>9.4837349474374832E-3</c:v>
                </c:pt>
                <c:pt idx="2373">
                  <c:v>9.4778016751639882E-3</c:v>
                </c:pt>
                <c:pt idx="2374">
                  <c:v>9.471829756764194E-3</c:v>
                </c:pt>
                <c:pt idx="2375">
                  <c:v>9.4658191922381008E-3</c:v>
                </c:pt>
                <c:pt idx="2376">
                  <c:v>9.4585928492740834E-3</c:v>
                </c:pt>
                <c:pt idx="2377">
                  <c:v>9.452809276213614E-3</c:v>
                </c:pt>
                <c:pt idx="2378">
                  <c:v>9.4466772526846654E-3</c:v>
                </c:pt>
                <c:pt idx="2379">
                  <c:v>9.4405065828695456E-3</c:v>
                </c:pt>
                <c:pt idx="2380">
                  <c:v>9.4342972669281266E-3</c:v>
                </c:pt>
                <c:pt idx="2381">
                  <c:v>9.4280493050202807E-3</c:v>
                </c:pt>
                <c:pt idx="2382">
                  <c:v>9.4217626969861357E-3</c:v>
                </c:pt>
                <c:pt idx="2383">
                  <c:v>9.4154374429056276E-3</c:v>
                </c:pt>
                <c:pt idx="2384">
                  <c:v>9.4090735426988203E-3</c:v>
                </c:pt>
                <c:pt idx="2385">
                  <c:v>9.4026709964456501E-3</c:v>
                </c:pt>
                <c:pt idx="2386">
                  <c:v>9.3962298040661807E-3</c:v>
                </c:pt>
                <c:pt idx="2387">
                  <c:v>9.3897499657202843E-3</c:v>
                </c:pt>
                <c:pt idx="2388">
                  <c:v>9.3832314811681528E-3</c:v>
                </c:pt>
                <c:pt idx="2389">
                  <c:v>9.3766743505696581E-3</c:v>
                </c:pt>
                <c:pt idx="2390">
                  <c:v>9.3681869680928287E-3</c:v>
                </c:pt>
                <c:pt idx="2391">
                  <c:v>9.3615415036740757E-3</c:v>
                </c:pt>
                <c:pt idx="2392">
                  <c:v>9.3548573932888957E-3</c:v>
                </c:pt>
                <c:pt idx="2393">
                  <c:v>9.3464491333072885E-3</c:v>
                </c:pt>
                <c:pt idx="2394">
                  <c:v>9.3413732340597022E-3</c:v>
                </c:pt>
                <c:pt idx="2395">
                  <c:v>9.3345731853755609E-3</c:v>
                </c:pt>
                <c:pt idx="2396">
                  <c:v>9.3277344907249926E-3</c:v>
                </c:pt>
                <c:pt idx="2397">
                  <c:v>9.3208571499481252E-3</c:v>
                </c:pt>
                <c:pt idx="2398">
                  <c:v>9.3139411631248947E-3</c:v>
                </c:pt>
                <c:pt idx="2399">
                  <c:v>9.3069865303352373E-3</c:v>
                </c:pt>
                <c:pt idx="2400">
                  <c:v>9.2999932513393446E-3</c:v>
                </c:pt>
                <c:pt idx="2401">
                  <c:v>9.292961326377025E-3</c:v>
                </c:pt>
                <c:pt idx="2402">
                  <c:v>9.2858907553683423E-3</c:v>
                </c:pt>
                <c:pt idx="2403">
                  <c:v>9.2787815384731687E-3</c:v>
                </c:pt>
                <c:pt idx="2404">
                  <c:v>9.2716336754516959E-3</c:v>
                </c:pt>
                <c:pt idx="2405">
                  <c:v>9.264447166223988E-3</c:v>
                </c:pt>
                <c:pt idx="2406">
                  <c:v>9.2572220111897252E-3</c:v>
                </c:pt>
                <c:pt idx="2407">
                  <c:v>9.2499582100291633E-3</c:v>
                </c:pt>
                <c:pt idx="2408">
                  <c:v>9.2426557628222383E-3</c:v>
                </c:pt>
                <c:pt idx="2409">
                  <c:v>9.2353146696488864E-3</c:v>
                </c:pt>
                <c:pt idx="2410">
                  <c:v>9.2279349305091074E-3</c:v>
                </c:pt>
                <c:pt idx="2411">
                  <c:v>9.2205165451630933E-3</c:v>
                </c:pt>
                <c:pt idx="2412">
                  <c:v>9.2130595140105243E-3</c:v>
                </c:pt>
                <c:pt idx="2413">
                  <c:v>9.2055638366517201E-3</c:v>
                </c:pt>
                <c:pt idx="2414">
                  <c:v>9.1980295134064249E-3</c:v>
                </c:pt>
                <c:pt idx="2415">
                  <c:v>9.1904565440348307E-3</c:v>
                </c:pt>
                <c:pt idx="2416">
                  <c:v>9.1828449287767455E-3</c:v>
                </c:pt>
                <c:pt idx="2417">
                  <c:v>9.1751946675522333E-3</c:v>
                </c:pt>
                <c:pt idx="2418">
                  <c:v>9.167505760201422E-3</c:v>
                </c:pt>
                <c:pt idx="2419">
                  <c:v>9.1597782069641198E-3</c:v>
                </c:pt>
                <c:pt idx="2420">
                  <c:v>9.1520120076005185E-3</c:v>
                </c:pt>
                <c:pt idx="2421">
                  <c:v>9.1442071622704901E-3</c:v>
                </c:pt>
                <c:pt idx="2422">
                  <c:v>9.1363636710539708E-3</c:v>
                </c:pt>
                <c:pt idx="2423">
                  <c:v>9.1284815337111525E-3</c:v>
                </c:pt>
                <c:pt idx="2424">
                  <c:v>9.1205607504818431E-3</c:v>
                </c:pt>
                <c:pt idx="2425">
                  <c:v>9.1126013212061707E-3</c:v>
                </c:pt>
                <c:pt idx="2426">
                  <c:v>9.1046032460440074E-3</c:v>
                </c:pt>
                <c:pt idx="2427">
                  <c:v>9.0919567613845231E-3</c:v>
                </c:pt>
                <c:pt idx="2428">
                  <c:v>9.0864058800566028E-3</c:v>
                </c:pt>
                <c:pt idx="2429">
                  <c:v>9.0803771444392112E-3</c:v>
                </c:pt>
                <c:pt idx="2430">
                  <c:v>9.0722244852514677E-3</c:v>
                </c:pt>
                <c:pt idx="2431">
                  <c:v>9.0640331801772334E-3</c:v>
                </c:pt>
                <c:pt idx="2432">
                  <c:v>9.055803229216508E-3</c:v>
                </c:pt>
                <c:pt idx="2433">
                  <c:v>9.0475346321294836E-3</c:v>
                </c:pt>
                <c:pt idx="2434">
                  <c:v>9.0392273890760322E-3</c:v>
                </c:pt>
                <c:pt idx="2435">
                  <c:v>9.0308815001360898E-3</c:v>
                </c:pt>
                <c:pt idx="2436">
                  <c:v>9.0224969652297204E-3</c:v>
                </c:pt>
                <c:pt idx="2437">
                  <c:v>9.0140737843569241E-3</c:v>
                </c:pt>
                <c:pt idx="2438">
                  <c:v>9.0056119575976368E-3</c:v>
                </c:pt>
                <c:pt idx="2439">
                  <c:v>8.9971114848719225E-3</c:v>
                </c:pt>
                <c:pt idx="2440">
                  <c:v>8.9865733557505934E-3</c:v>
                </c:pt>
                <c:pt idx="2441">
                  <c:v>8.9799946013613408E-3</c:v>
                </c:pt>
                <c:pt idx="2442">
                  <c:v>8.9713781908962176E-3</c:v>
                </c:pt>
                <c:pt idx="2443">
                  <c:v>8.9627231343847313E-3</c:v>
                </c:pt>
                <c:pt idx="2444">
                  <c:v>8.9540294319867542E-3</c:v>
                </c:pt>
                <c:pt idx="2445">
                  <c:v>8.943753620564987E-3</c:v>
                </c:pt>
                <c:pt idx="2446">
                  <c:v>8.9365260892115828E-3</c:v>
                </c:pt>
                <c:pt idx="2447">
                  <c:v>8.9277164489942606E-3</c:v>
                </c:pt>
                <c:pt idx="2448">
                  <c:v>8.9188681628105115E-3</c:v>
                </c:pt>
                <c:pt idx="2449">
                  <c:v>8.9099812308202075E-3</c:v>
                </c:pt>
                <c:pt idx="2450">
                  <c:v>8.9010556527835405E-3</c:v>
                </c:pt>
                <c:pt idx="2451">
                  <c:v>8.8920914289403186E-3</c:v>
                </c:pt>
                <c:pt idx="2452">
                  <c:v>8.8830885590507336E-3</c:v>
                </c:pt>
                <c:pt idx="2453">
                  <c:v>8.8740470433545937E-3</c:v>
                </c:pt>
                <c:pt idx="2454">
                  <c:v>8.8649668816920268E-3</c:v>
                </c:pt>
                <c:pt idx="2455">
                  <c:v>8.855848074142969E-3</c:v>
                </c:pt>
                <c:pt idx="2456">
                  <c:v>8.8466906206274842E-3</c:v>
                </c:pt>
                <c:pt idx="2457">
                  <c:v>8.8374945214653167E-3</c:v>
                </c:pt>
                <c:pt idx="2458">
                  <c:v>8.82825977617685E-3</c:v>
                </c:pt>
                <c:pt idx="2459">
                  <c:v>8.8189863850818284E-3</c:v>
                </c:pt>
                <c:pt idx="2460">
                  <c:v>8.8096743480203799E-3</c:v>
                </c:pt>
                <c:pt idx="2461">
                  <c:v>8.8003236651523764E-3</c:v>
                </c:pt>
                <c:pt idx="2462">
                  <c:v>8.7909343364778181E-3</c:v>
                </c:pt>
                <c:pt idx="2463">
                  <c:v>8.7815063617568967E-3</c:v>
                </c:pt>
                <c:pt idx="2464">
                  <c:v>8.7720397413093565E-3</c:v>
                </c:pt>
                <c:pt idx="2465">
                  <c:v>8.7625344748953893E-3</c:v>
                </c:pt>
                <c:pt idx="2466">
                  <c:v>8.7529905625949311E-3</c:v>
                </c:pt>
                <c:pt idx="2467">
                  <c:v>8.743408004407982E-3</c:v>
                </c:pt>
                <c:pt idx="2468">
                  <c:v>8.7337868004944141E-3</c:v>
                </c:pt>
                <c:pt idx="2469">
                  <c:v>8.7241269506144192E-3</c:v>
                </c:pt>
                <c:pt idx="2470">
                  <c:v>8.7144284548479334E-3</c:v>
                </c:pt>
                <c:pt idx="2471">
                  <c:v>8.7046913133548287E-3</c:v>
                </c:pt>
                <c:pt idx="2472">
                  <c:v>8.694915525895297E-3</c:v>
                </c:pt>
                <c:pt idx="2473">
                  <c:v>8.6851010927091465E-3</c:v>
                </c:pt>
                <c:pt idx="2474">
                  <c:v>8.675248013556569E-3</c:v>
                </c:pt>
                <c:pt idx="2475">
                  <c:v>8.6653562887573088E-3</c:v>
                </c:pt>
                <c:pt idx="2476">
                  <c:v>8.6554259179116855E-3</c:v>
                </c:pt>
                <c:pt idx="2477">
                  <c:v>8.6454569012595073E-3</c:v>
                </c:pt>
                <c:pt idx="2478">
                  <c:v>8.6354492388007742E-3</c:v>
                </c:pt>
                <c:pt idx="2479">
                  <c:v>8.6235544690715926E-3</c:v>
                </c:pt>
                <c:pt idx="2480">
                  <c:v>8.6134605088439287E-3</c:v>
                </c:pt>
                <c:pt idx="2481">
                  <c:v>8.6051943765053096E-3</c:v>
                </c:pt>
                <c:pt idx="2482">
                  <c:v>8.5950321307404209E-3</c:v>
                </c:pt>
                <c:pt idx="2483">
                  <c:v>8.5848312391689774E-3</c:v>
                </c:pt>
                <c:pt idx="2484">
                  <c:v>8.574591701790979E-3</c:v>
                </c:pt>
                <c:pt idx="2485">
                  <c:v>8.5643135186064256E-3</c:v>
                </c:pt>
                <c:pt idx="2486">
                  <c:v>8.5539966896952535E-3</c:v>
                </c:pt>
                <c:pt idx="2487">
                  <c:v>8.5436412148975904E-3</c:v>
                </c:pt>
                <c:pt idx="2488">
                  <c:v>8.5332470942933725E-3</c:v>
                </c:pt>
                <c:pt idx="2489">
                  <c:v>8.5228143279625357E-3</c:v>
                </c:pt>
                <c:pt idx="2490">
                  <c:v>8.5123429156652719E-3</c:v>
                </c:pt>
                <c:pt idx="2491">
                  <c:v>8.5018328578012614E-3</c:v>
                </c:pt>
                <c:pt idx="2492">
                  <c:v>8.4912856747543231E-3</c:v>
                </c:pt>
                <c:pt idx="2493">
                  <c:v>8.480743949181857E-3</c:v>
                </c:pt>
                <c:pt idx="2494">
                  <c:v>8.470227451189416E-3</c:v>
                </c:pt>
                <c:pt idx="2495">
                  <c:v>8.4571411466853874E-3</c:v>
                </c:pt>
                <c:pt idx="2496">
                  <c:v>8.4492701379446089E-3</c:v>
                </c:pt>
                <c:pt idx="2497">
                  <c:v>8.4388293227721789E-3</c:v>
                </c:pt>
                <c:pt idx="2498">
                  <c:v>8.4284137351797739E-3</c:v>
                </c:pt>
                <c:pt idx="2499">
                  <c:v>8.4180233752473299E-3</c:v>
                </c:pt>
                <c:pt idx="2500">
                  <c:v>8.407658242974847E-3</c:v>
                </c:pt>
                <c:pt idx="2501">
                  <c:v>8.397318338202453E-3</c:v>
                </c:pt>
                <c:pt idx="2502">
                  <c:v>8.38700366109002E-3</c:v>
                </c:pt>
                <c:pt idx="2503">
                  <c:v>8.3767142115576121E-3</c:v>
                </c:pt>
                <c:pt idx="2504">
                  <c:v>8.3664499896851652E-3</c:v>
                </c:pt>
                <c:pt idx="2505">
                  <c:v>8.3562109953927433E-3</c:v>
                </c:pt>
                <c:pt idx="2506">
                  <c:v>8.3459972286803463E-3</c:v>
                </c:pt>
                <c:pt idx="2507">
                  <c:v>8.3358086895479744E-3</c:v>
                </c:pt>
                <c:pt idx="2508">
                  <c:v>8.3256453780755635E-3</c:v>
                </c:pt>
                <c:pt idx="2509">
                  <c:v>8.3155072941831776E-3</c:v>
                </c:pt>
                <c:pt idx="2510">
                  <c:v>8.3053944377908806E-3</c:v>
                </c:pt>
                <c:pt idx="2511">
                  <c:v>8.2953068090585447E-3</c:v>
                </c:pt>
                <c:pt idx="2512">
                  <c:v>8.2852444079062337E-3</c:v>
                </c:pt>
                <c:pt idx="2513">
                  <c:v>8.2752072344138838E-3</c:v>
                </c:pt>
                <c:pt idx="2514">
                  <c:v>8.2651952884216229E-3</c:v>
                </c:pt>
                <c:pt idx="2515">
                  <c:v>8.2552085700093869E-3</c:v>
                </c:pt>
                <c:pt idx="2516">
                  <c:v>8.2452470791771759E-3</c:v>
                </c:pt>
                <c:pt idx="2517">
                  <c:v>8.2353108159249899E-3</c:v>
                </c:pt>
                <c:pt idx="2518">
                  <c:v>8.2253997802528289E-3</c:v>
                </c:pt>
                <c:pt idx="2519">
                  <c:v>8.2155139721606929E-3</c:v>
                </c:pt>
                <c:pt idx="2520">
                  <c:v>8.2056533915686458E-3</c:v>
                </c:pt>
                <c:pt idx="2521">
                  <c:v>8.1958180386365598E-3</c:v>
                </c:pt>
                <c:pt idx="2522">
                  <c:v>8.1860079132844987E-3</c:v>
                </c:pt>
                <c:pt idx="2523">
                  <c:v>8.1762230154325266E-3</c:v>
                </c:pt>
                <c:pt idx="2524">
                  <c:v>8.1664633451605795E-3</c:v>
                </c:pt>
                <c:pt idx="2525">
                  <c:v>8.1567289023887213E-3</c:v>
                </c:pt>
                <c:pt idx="2526">
                  <c:v>8.1470196872768241E-3</c:v>
                </c:pt>
                <c:pt idx="2527">
                  <c:v>8.137335699744952E-3</c:v>
                </c:pt>
                <c:pt idx="2528">
                  <c:v>8.1276769395532966E-3</c:v>
                </c:pt>
                <c:pt idx="2529">
                  <c:v>8.1180434071814744E-3</c:v>
                </c:pt>
                <c:pt idx="2530">
                  <c:v>8.1084351022298051E-3</c:v>
                </c:pt>
                <c:pt idx="2531">
                  <c:v>8.0988520247782247E-3</c:v>
                </c:pt>
                <c:pt idx="2532">
                  <c:v>8.0892941749866054E-3</c:v>
                </c:pt>
                <c:pt idx="2533">
                  <c:v>8.079761552615139E-3</c:v>
                </c:pt>
                <c:pt idx="2534">
                  <c:v>8.0702541578236975E-3</c:v>
                </c:pt>
                <c:pt idx="2535">
                  <c:v>8.0607719906922171E-3</c:v>
                </c:pt>
                <c:pt idx="2536">
                  <c:v>8.0513150509808895E-3</c:v>
                </c:pt>
                <c:pt idx="2537">
                  <c:v>8.0418833387696509E-3</c:v>
                </c:pt>
                <c:pt idx="2538">
                  <c:v>8.0324768541384373E-3</c:v>
                </c:pt>
                <c:pt idx="2539">
                  <c:v>8.0230955970872486E-3</c:v>
                </c:pt>
                <c:pt idx="2540">
                  <c:v>8.0137395675361489E-3</c:v>
                </c:pt>
                <c:pt idx="2541">
                  <c:v>8.0044087654851381E-3</c:v>
                </c:pt>
                <c:pt idx="2542">
                  <c:v>7.9951031909342163E-3</c:v>
                </c:pt>
                <c:pt idx="2543">
                  <c:v>7.9858228440432555E-3</c:v>
                </c:pt>
                <c:pt idx="2544">
                  <c:v>7.9765677245724476E-3</c:v>
                </c:pt>
                <c:pt idx="2545">
                  <c:v>7.9650583021013688E-3</c:v>
                </c:pt>
                <c:pt idx="2546">
                  <c:v>7.9581331681310985E-3</c:v>
                </c:pt>
                <c:pt idx="2547">
                  <c:v>7.9489537312404934E-3</c:v>
                </c:pt>
                <c:pt idx="2548">
                  <c:v>7.9397995218499773E-3</c:v>
                </c:pt>
                <c:pt idx="2549">
                  <c:v>7.9306705399595501E-3</c:v>
                </c:pt>
                <c:pt idx="2550">
                  <c:v>7.9215667855692118E-3</c:v>
                </c:pt>
                <c:pt idx="2551">
                  <c:v>7.9124882587588985E-3</c:v>
                </c:pt>
                <c:pt idx="2552">
                  <c:v>7.903434959288802E-3</c:v>
                </c:pt>
                <c:pt idx="2553">
                  <c:v>7.8944068875586026E-3</c:v>
                </c:pt>
                <c:pt idx="2554">
                  <c:v>7.8854040431686201E-3</c:v>
                </c:pt>
                <c:pt idx="2555">
                  <c:v>7.8764264262787265E-3</c:v>
                </c:pt>
                <c:pt idx="2556">
                  <c:v>7.8674740369688578E-3</c:v>
                </c:pt>
                <c:pt idx="2557">
                  <c:v>7.8585468750791421E-3</c:v>
                </c:pt>
                <c:pt idx="2558">
                  <c:v>7.8496449407694513E-3</c:v>
                </c:pt>
                <c:pt idx="2559">
                  <c:v>7.8407682338799134E-3</c:v>
                </c:pt>
                <c:pt idx="2560">
                  <c:v>7.8319167544105284E-3</c:v>
                </c:pt>
                <c:pt idx="2561">
                  <c:v>7.8230905026810404E-3</c:v>
                </c:pt>
                <c:pt idx="2562">
                  <c:v>7.8142894781318972E-3</c:v>
                </c:pt>
                <c:pt idx="2563">
                  <c:v>7.8055136813226511E-3</c:v>
                </c:pt>
                <c:pt idx="2564">
                  <c:v>7.7967631118536218E-3</c:v>
                </c:pt>
                <c:pt idx="2565">
                  <c:v>7.7880377698846814E-3</c:v>
                </c:pt>
                <c:pt idx="2566">
                  <c:v>7.77933765541583E-3</c:v>
                </c:pt>
                <c:pt idx="2567">
                  <c:v>7.7706627684470675E-3</c:v>
                </c:pt>
                <c:pt idx="2568">
                  <c:v>7.7620131088984579E-3</c:v>
                </c:pt>
                <c:pt idx="2569">
                  <c:v>7.7533886768499372E-3</c:v>
                </c:pt>
                <c:pt idx="2570">
                  <c:v>7.7447894723015054E-3</c:v>
                </c:pt>
                <c:pt idx="2571">
                  <c:v>7.7362154952531625E-3</c:v>
                </c:pt>
                <c:pt idx="2572">
                  <c:v>7.7276667455450365E-3</c:v>
                </c:pt>
                <c:pt idx="2573">
                  <c:v>7.7191432233369994E-3</c:v>
                </c:pt>
                <c:pt idx="2574">
                  <c:v>7.7106449287089873E-3</c:v>
                </c:pt>
                <c:pt idx="2575">
                  <c:v>7.7021718615011281E-3</c:v>
                </c:pt>
                <c:pt idx="2576">
                  <c:v>7.6937240217134217E-3</c:v>
                </c:pt>
                <c:pt idx="2577">
                  <c:v>7.6853014094258043E-3</c:v>
                </c:pt>
                <c:pt idx="2578">
                  <c:v>7.6769040244784037E-3</c:v>
                </c:pt>
                <c:pt idx="2579">
                  <c:v>7.6685318671110281E-3</c:v>
                </c:pt>
                <c:pt idx="2580">
                  <c:v>7.6601849371638053E-3</c:v>
                </c:pt>
                <c:pt idx="2581">
                  <c:v>7.6518632347166715E-3</c:v>
                </c:pt>
                <c:pt idx="2582">
                  <c:v>7.6435667596896906E-3</c:v>
                </c:pt>
                <c:pt idx="2583">
                  <c:v>7.6352955120828625E-3</c:v>
                </c:pt>
                <c:pt idx="2584">
                  <c:v>7.6243531198505465E-3</c:v>
                </c:pt>
                <c:pt idx="2585">
                  <c:v>7.6166458489090871E-3</c:v>
                </c:pt>
                <c:pt idx="2586">
                  <c:v>7.6084571452206262E-3</c:v>
                </c:pt>
                <c:pt idx="2587">
                  <c:v>7.6002936703645219E-3</c:v>
                </c:pt>
                <c:pt idx="2588">
                  <c:v>7.5921554244207101E-3</c:v>
                </c:pt>
                <c:pt idx="2589">
                  <c:v>7.584042407389191E-3</c:v>
                </c:pt>
                <c:pt idx="2590">
                  <c:v>7.5759546191367377E-3</c:v>
                </c:pt>
                <c:pt idx="2591">
                  <c:v>7.5678920597699317E-3</c:v>
                </c:pt>
                <c:pt idx="2592">
                  <c:v>7.559854729288773E-3</c:v>
                </c:pt>
                <c:pt idx="2593">
                  <c:v>7.5518426275866801E-3</c:v>
                </c:pt>
                <c:pt idx="2594">
                  <c:v>7.5438557548235252E-3</c:v>
                </c:pt>
                <c:pt idx="2595">
                  <c:v>7.5358941108394362E-3</c:v>
                </c:pt>
                <c:pt idx="2596">
                  <c:v>7.527957695714349E-3</c:v>
                </c:pt>
                <c:pt idx="2597">
                  <c:v>7.5200465094216185E-3</c:v>
                </c:pt>
                <c:pt idx="2598">
                  <c:v>7.5121605519079537E-3</c:v>
                </c:pt>
                <c:pt idx="2599">
                  <c:v>7.5042998232532909E-3</c:v>
                </c:pt>
                <c:pt idx="2600">
                  <c:v>7.4929578457894053E-3</c:v>
                </c:pt>
                <c:pt idx="2601">
                  <c:v>7.4886540523610989E-3</c:v>
                </c:pt>
                <c:pt idx="2602">
                  <c:v>7.4808690101235698E-3</c:v>
                </c:pt>
                <c:pt idx="2603">
                  <c:v>7.4731091966917518E-3</c:v>
                </c:pt>
                <c:pt idx="2604">
                  <c:v>7.465374612065645E-3</c:v>
                </c:pt>
                <c:pt idx="2605">
                  <c:v>7.4576652561653134E-3</c:v>
                </c:pt>
                <c:pt idx="2606">
                  <c:v>7.4499811291239837E-3</c:v>
                </c:pt>
                <c:pt idx="2607">
                  <c:v>7.4423222308617198E-3</c:v>
                </c:pt>
                <c:pt idx="2608">
                  <c:v>7.4346885613252311E-3</c:v>
                </c:pt>
                <c:pt idx="2609">
                  <c:v>7.4270801205944537E-3</c:v>
                </c:pt>
                <c:pt idx="2610">
                  <c:v>7.4194969086160967E-3</c:v>
                </c:pt>
                <c:pt idx="2611">
                  <c:v>7.4119389254168055E-3</c:v>
                </c:pt>
                <c:pt idx="2612">
                  <c:v>7.4044061709432896E-3</c:v>
                </c:pt>
                <c:pt idx="2613">
                  <c:v>7.3968986452488394E-3</c:v>
                </c:pt>
                <c:pt idx="2614">
                  <c:v>7.3894163482535191E-3</c:v>
                </c:pt>
                <c:pt idx="2615">
                  <c:v>7.38195928006391E-3</c:v>
                </c:pt>
                <c:pt idx="2616">
                  <c:v>7.3745274405467853E-3</c:v>
                </c:pt>
                <c:pt idx="2617">
                  <c:v>7.3671208298087265E-3</c:v>
                </c:pt>
                <c:pt idx="2618">
                  <c:v>7.3597394477697975E-3</c:v>
                </c:pt>
                <c:pt idx="2619">
                  <c:v>7.352383294483289E-3</c:v>
                </c:pt>
                <c:pt idx="2620">
                  <c:v>7.3450523698959103E-3</c:v>
                </c:pt>
                <c:pt idx="2621">
                  <c:v>7.3377466740343067E-3</c:v>
                </c:pt>
                <c:pt idx="2622">
                  <c:v>7.3304662068718329E-3</c:v>
                </c:pt>
                <c:pt idx="2623">
                  <c:v>7.3232109683818436E-3</c:v>
                </c:pt>
                <c:pt idx="2624">
                  <c:v>7.3159809586975655E-3</c:v>
                </c:pt>
                <c:pt idx="2625">
                  <c:v>7.3087761776058358E-3</c:v>
                </c:pt>
                <c:pt idx="2626">
                  <c:v>7.3015966252398812E-3</c:v>
                </c:pt>
                <c:pt idx="2627">
                  <c:v>7.2944423015730564E-3</c:v>
                </c:pt>
                <c:pt idx="2628">
                  <c:v>7.2873132065787161E-3</c:v>
                </c:pt>
                <c:pt idx="2629">
                  <c:v>7.2802093402568602E-3</c:v>
                </c:pt>
                <c:pt idx="2630">
                  <c:v>7.2731307025808434E-3</c:v>
                </c:pt>
                <c:pt idx="2631">
                  <c:v>7.2660772936306017E-3</c:v>
                </c:pt>
                <c:pt idx="2632">
                  <c:v>7.2590491132995538E-3</c:v>
                </c:pt>
                <c:pt idx="2633">
                  <c:v>7.2520461616676357E-3</c:v>
                </c:pt>
                <c:pt idx="2634">
                  <c:v>7.2450684386549113E-3</c:v>
                </c:pt>
                <c:pt idx="2635">
                  <c:v>7.2381159442880261E-3</c:v>
                </c:pt>
                <c:pt idx="2636">
                  <c:v>7.2286480883487769E-3</c:v>
                </c:pt>
                <c:pt idx="2637">
                  <c:v>7.2221742038003356E-3</c:v>
                </c:pt>
                <c:pt idx="2638">
                  <c:v>7.2153048790912777E-3</c:v>
                </c:pt>
                <c:pt idx="2639">
                  <c:v>7.2084607815625645E-3</c:v>
                </c:pt>
                <c:pt idx="2640">
                  <c:v>7.2016419116138763E-3</c:v>
                </c:pt>
                <c:pt idx="2641">
                  <c:v>7.1948482689254689E-3</c:v>
                </c:pt>
                <c:pt idx="2642">
                  <c:v>7.1880798536572144E-3</c:v>
                </c:pt>
                <c:pt idx="2643">
                  <c:v>7.1813366657291766E-3</c:v>
                </c:pt>
                <c:pt idx="2644">
                  <c:v>7.1746187050614196E-3</c:v>
                </c:pt>
                <c:pt idx="2645">
                  <c:v>7.1679259717338795E-3</c:v>
                </c:pt>
                <c:pt idx="2646">
                  <c:v>7.1612584659064282E-3</c:v>
                </c:pt>
                <c:pt idx="2647">
                  <c:v>7.1546161873392577E-3</c:v>
                </c:pt>
                <c:pt idx="2648">
                  <c:v>7.147999136032368E-3</c:v>
                </c:pt>
                <c:pt idx="2649">
                  <c:v>7.1414073122255672E-3</c:v>
                </c:pt>
                <c:pt idx="2650">
                  <c:v>7.1348407156790472E-3</c:v>
                </c:pt>
                <c:pt idx="2651">
                  <c:v>7.1264350174615743E-3</c:v>
                </c:pt>
                <c:pt idx="2652">
                  <c:v>7.1217832046865936E-3</c:v>
                </c:pt>
                <c:pt idx="2653">
                  <c:v>7.115292290080788E-3</c:v>
                </c:pt>
                <c:pt idx="2654">
                  <c:v>7.1088266029750713E-3</c:v>
                </c:pt>
                <c:pt idx="2655">
                  <c:v>7.1023861431296353E-3</c:v>
                </c:pt>
                <c:pt idx="2656">
                  <c:v>7.0959709106244162E-3</c:v>
                </c:pt>
                <c:pt idx="2657">
                  <c:v>7.0895809054594139E-3</c:v>
                </c:pt>
                <c:pt idx="2658">
                  <c:v>7.0832161276346284E-3</c:v>
                </c:pt>
                <c:pt idx="2659">
                  <c:v>7.0768765771500597E-3</c:v>
                </c:pt>
                <c:pt idx="2660">
                  <c:v>7.0705622539257718E-3</c:v>
                </c:pt>
                <c:pt idx="2661">
                  <c:v>7.0642731582015728E-3</c:v>
                </c:pt>
                <c:pt idx="2662">
                  <c:v>7.0580092895777824E-3</c:v>
                </c:pt>
                <c:pt idx="2663">
                  <c:v>7.051770648454081E-3</c:v>
                </c:pt>
                <c:pt idx="2664">
                  <c:v>7.0455572345906603E-3</c:v>
                </c:pt>
                <c:pt idx="2665">
                  <c:v>7.0393690479875204E-3</c:v>
                </c:pt>
                <c:pt idx="2666">
                  <c:v>7.0332060888844694E-3</c:v>
                </c:pt>
                <c:pt idx="2667">
                  <c:v>7.0270683569617631E-3</c:v>
                </c:pt>
                <c:pt idx="2668">
                  <c:v>7.0209558523792737E-3</c:v>
                </c:pt>
                <c:pt idx="2669">
                  <c:v>7.014868575137001E-3</c:v>
                </c:pt>
                <c:pt idx="2670">
                  <c:v>7.0088065252349452E-3</c:v>
                </c:pt>
                <c:pt idx="2671">
                  <c:v>7.0027697025132341E-3</c:v>
                </c:pt>
                <c:pt idx="2672">
                  <c:v>6.9967581072916119E-3</c:v>
                </c:pt>
                <c:pt idx="2673">
                  <c:v>6.9907717392503343E-3</c:v>
                </c:pt>
                <c:pt idx="2674">
                  <c:v>6.9848105986292097E-3</c:v>
                </c:pt>
                <c:pt idx="2675">
                  <c:v>6.9788746852683659E-3</c:v>
                </c:pt>
                <c:pt idx="2676">
                  <c:v>6.9729639992477388E-3</c:v>
                </c:pt>
                <c:pt idx="2677">
                  <c:v>6.9670785404873925E-3</c:v>
                </c:pt>
                <c:pt idx="2678">
                  <c:v>6.9612183091471991E-3</c:v>
                </c:pt>
                <c:pt idx="2679">
                  <c:v>6.9553833049074143E-3</c:v>
                </c:pt>
                <c:pt idx="2680">
                  <c:v>6.9495735280877824E-3</c:v>
                </c:pt>
                <c:pt idx="2681">
                  <c:v>6.9437889786083673E-3</c:v>
                </c:pt>
                <c:pt idx="2682">
                  <c:v>6.938029656389233E-3</c:v>
                </c:pt>
                <c:pt idx="2683">
                  <c:v>6.9322955614303794E-3</c:v>
                </c:pt>
                <c:pt idx="2684">
                  <c:v>6.9265866938916787E-3</c:v>
                </c:pt>
                <c:pt idx="2685">
                  <c:v>6.9209030534533866E-3</c:v>
                </c:pt>
                <c:pt idx="2686">
                  <c:v>6.9152446403553114E-3</c:v>
                </c:pt>
                <c:pt idx="2687">
                  <c:v>6.9096114547573251E-3</c:v>
                </c:pt>
                <c:pt idx="2688">
                  <c:v>6.9028713161500832E-3</c:v>
                </c:pt>
                <c:pt idx="2689">
                  <c:v>6.8976252914954017E-3</c:v>
                </c:pt>
                <c:pt idx="2690">
                  <c:v>6.8920713915154863E-3</c:v>
                </c:pt>
                <c:pt idx="2691">
                  <c:v>6.8865427189557238E-3</c:v>
                </c:pt>
                <c:pt idx="2692">
                  <c:v>6.881039273576306E-3</c:v>
                </c:pt>
                <c:pt idx="2693">
                  <c:v>6.8755610554571689E-3</c:v>
                </c:pt>
                <c:pt idx="2694">
                  <c:v>6.8701080645983126E-3</c:v>
                </c:pt>
                <c:pt idx="2695">
                  <c:v>6.8646803012395452E-3</c:v>
                </c:pt>
                <c:pt idx="2696">
                  <c:v>6.8592777649811865E-3</c:v>
                </c:pt>
                <c:pt idx="2697">
                  <c:v>6.8539004559831085E-3</c:v>
                </c:pt>
                <c:pt idx="2698">
                  <c:v>6.8485483744051834E-3</c:v>
                </c:pt>
                <c:pt idx="2699">
                  <c:v>6.843221520007603E-3</c:v>
                </c:pt>
                <c:pt idx="2700">
                  <c:v>6.8379198929502394E-3</c:v>
                </c:pt>
                <c:pt idx="2701">
                  <c:v>6.8311405839160955E-3</c:v>
                </c:pt>
                <c:pt idx="2702">
                  <c:v>6.8258966192136228E-3</c:v>
                </c:pt>
                <c:pt idx="2703">
                  <c:v>6.8206778818513669E-3</c:v>
                </c:pt>
                <c:pt idx="2704">
                  <c:v>6.8154843715895197E-3</c:v>
                </c:pt>
                <c:pt idx="2705">
                  <c:v>6.808973021223963E-3</c:v>
                </c:pt>
                <c:pt idx="2706">
                  <c:v>6.8051730330065396E-3</c:v>
                </c:pt>
                <c:pt idx="2707">
                  <c:v>6.8000552046054707E-3</c:v>
                </c:pt>
                <c:pt idx="2708">
                  <c:v>6.7949626035446187E-3</c:v>
                </c:pt>
                <c:pt idx="2709">
                  <c:v>6.7898952299039195E-3</c:v>
                </c:pt>
                <c:pt idx="2710">
                  <c:v>6.7848530832836929E-3</c:v>
                </c:pt>
                <c:pt idx="2711">
                  <c:v>6.7798361640036831E-3</c:v>
                </c:pt>
                <c:pt idx="2712">
                  <c:v>6.774844471983954E-3</c:v>
                </c:pt>
                <c:pt idx="2713">
                  <c:v>6.7698780073843778E-3</c:v>
                </c:pt>
                <c:pt idx="2714">
                  <c:v>6.7649367698052743E-3</c:v>
                </c:pt>
                <c:pt idx="2715">
                  <c:v>6.7600207596463235E-3</c:v>
                </c:pt>
                <c:pt idx="2716">
                  <c:v>6.7551299766677175E-3</c:v>
                </c:pt>
                <c:pt idx="2717">
                  <c:v>6.7502644209493923E-3</c:v>
                </c:pt>
                <c:pt idx="2718">
                  <c:v>6.7454240926512199E-3</c:v>
                </c:pt>
                <c:pt idx="2719">
                  <c:v>6.7406089914534562E-3</c:v>
                </c:pt>
                <c:pt idx="2720">
                  <c:v>6.7358191175959092E-3</c:v>
                </c:pt>
                <c:pt idx="2721">
                  <c:v>6.7310544709986431E-3</c:v>
                </c:pt>
                <c:pt idx="2722">
                  <c:v>6.7263150515817216E-3</c:v>
                </c:pt>
                <c:pt idx="2723">
                  <c:v>6.721600859505017E-3</c:v>
                </c:pt>
                <c:pt idx="2724">
                  <c:v>6.716911894608657E-3</c:v>
                </c:pt>
                <c:pt idx="2725">
                  <c:v>6.7122481569725778E-3</c:v>
                </c:pt>
                <c:pt idx="2726">
                  <c:v>6.7076096465967794E-3</c:v>
                </c:pt>
                <c:pt idx="2727">
                  <c:v>6.7029963634812617E-3</c:v>
                </c:pt>
                <c:pt idx="2728">
                  <c:v>6.6984083077059609E-3</c:v>
                </c:pt>
                <c:pt idx="2729">
                  <c:v>6.6938454791110047E-3</c:v>
                </c:pt>
                <c:pt idx="2730">
                  <c:v>6.6893078776963932E-3</c:v>
                </c:pt>
                <c:pt idx="2731">
                  <c:v>6.6847955036219986E-3</c:v>
                </c:pt>
                <c:pt idx="2732">
                  <c:v>6.6803083568078847E-3</c:v>
                </c:pt>
                <c:pt idx="2733">
                  <c:v>6.6758464370941795E-3</c:v>
                </c:pt>
                <c:pt idx="2734">
                  <c:v>6.6714097448006271E-3</c:v>
                </c:pt>
                <c:pt idx="2735">
                  <c:v>6.6669982796874194E-3</c:v>
                </c:pt>
                <c:pt idx="2736">
                  <c:v>6.6626120419144286E-3</c:v>
                </c:pt>
                <c:pt idx="2737">
                  <c:v>6.6582510312418464E-3</c:v>
                </c:pt>
                <c:pt idx="2738">
                  <c:v>6.6539152478295449E-3</c:v>
                </c:pt>
                <c:pt idx="2739">
                  <c:v>6.6471528432732185E-3</c:v>
                </c:pt>
                <c:pt idx="2740">
                  <c:v>6.6442224114560133E-3</c:v>
                </c:pt>
                <c:pt idx="2741">
                  <c:v>6.6410592611543251E-3</c:v>
                </c:pt>
                <c:pt idx="2742">
                  <c:v>6.6368243867032106E-3</c:v>
                </c:pt>
                <c:pt idx="2743">
                  <c:v>6.6326147395123769E-3</c:v>
                </c:pt>
                <c:pt idx="2744">
                  <c:v>6.6284303195018879E-3</c:v>
                </c:pt>
                <c:pt idx="2745">
                  <c:v>6.6242711269115517E-3</c:v>
                </c:pt>
                <c:pt idx="2746">
                  <c:v>6.6201371614216242E-3</c:v>
                </c:pt>
                <c:pt idx="2747">
                  <c:v>6.6160284231120414E-3</c:v>
                </c:pt>
                <c:pt idx="2748">
                  <c:v>6.6119449120627394E-3</c:v>
                </c:pt>
                <c:pt idx="2749">
                  <c:v>6.6078866283536541E-3</c:v>
                </c:pt>
                <c:pt idx="2750">
                  <c:v>6.6038535718249136E-3</c:v>
                </c:pt>
                <c:pt idx="2751">
                  <c:v>6.5998457425564538E-3</c:v>
                </c:pt>
                <c:pt idx="2752">
                  <c:v>6.5958631717233374E-3</c:v>
                </c:pt>
                <c:pt idx="2753">
                  <c:v>6.5919110422996141E-3</c:v>
                </c:pt>
                <c:pt idx="2754">
                  <c:v>6.5879933198331742E-3</c:v>
                </c:pt>
                <c:pt idx="2755">
                  <c:v>6.5832482669225811E-3</c:v>
                </c:pt>
                <c:pt idx="2756">
                  <c:v>6.5802610951326557E-3</c:v>
                </c:pt>
                <c:pt idx="2757">
                  <c:v>6.5764465929785132E-3</c:v>
                </c:pt>
                <c:pt idx="2758">
                  <c:v>6.572666497701718E-3</c:v>
                </c:pt>
                <c:pt idx="2759">
                  <c:v>6.56892080930227E-3</c:v>
                </c:pt>
                <c:pt idx="2760">
                  <c:v>6.5652095276202971E-3</c:v>
                </c:pt>
                <c:pt idx="2761">
                  <c:v>6.5615326527357354E-3</c:v>
                </c:pt>
                <c:pt idx="2762">
                  <c:v>6.5578901847285209E-3</c:v>
                </c:pt>
                <c:pt idx="2763">
                  <c:v>6.5542821235187176E-3</c:v>
                </c:pt>
                <c:pt idx="2764">
                  <c:v>6.5507084690263895E-3</c:v>
                </c:pt>
                <c:pt idx="2765">
                  <c:v>6.5471692214114086E-3</c:v>
                </c:pt>
                <c:pt idx="2766">
                  <c:v>6.5436643806737749E-3</c:v>
                </c:pt>
                <c:pt idx="2767">
                  <c:v>6.5401939466536163E-3</c:v>
                </c:pt>
                <c:pt idx="2768">
                  <c:v>6.536757919510805E-3</c:v>
                </c:pt>
                <c:pt idx="2769">
                  <c:v>6.5333562990854688E-3</c:v>
                </c:pt>
                <c:pt idx="2770">
                  <c:v>6.5299890854575438E-3</c:v>
                </c:pt>
                <c:pt idx="2771">
                  <c:v>6.5266562786270299E-3</c:v>
                </c:pt>
                <c:pt idx="2772">
                  <c:v>6.5233578786738633E-3</c:v>
                </c:pt>
                <c:pt idx="2773">
                  <c:v>6.5200938855181079E-3</c:v>
                </c:pt>
                <c:pt idx="2774">
                  <c:v>6.5168642990798276E-3</c:v>
                </c:pt>
                <c:pt idx="2775">
                  <c:v>6.5136691195188945E-3</c:v>
                </c:pt>
                <c:pt idx="2776">
                  <c:v>6.5105083467553726E-3</c:v>
                </c:pt>
                <c:pt idx="2777">
                  <c:v>6.5073819807892619E-3</c:v>
                </c:pt>
                <c:pt idx="2778">
                  <c:v>6.5042900215406263E-3</c:v>
                </c:pt>
                <c:pt idx="2779">
                  <c:v>6.5012324691693379E-3</c:v>
                </c:pt>
                <c:pt idx="2780">
                  <c:v>6.4982093235155247E-3</c:v>
                </c:pt>
                <c:pt idx="2781">
                  <c:v>6.4952205846591227E-3</c:v>
                </c:pt>
                <c:pt idx="2782">
                  <c:v>6.4922662526800679E-3</c:v>
                </c:pt>
                <c:pt idx="2783">
                  <c:v>6.4893463274184882E-3</c:v>
                </c:pt>
                <c:pt idx="2784">
                  <c:v>6.4864608089543196E-3</c:v>
                </c:pt>
                <c:pt idx="2785">
                  <c:v>6.4836096972875623E-3</c:v>
                </c:pt>
                <c:pt idx="2786">
                  <c:v>6.4807929924182162E-3</c:v>
                </c:pt>
                <c:pt idx="2787">
                  <c:v>6.4780106943462812E-3</c:v>
                </c:pt>
                <c:pt idx="2788">
                  <c:v>6.4752628029918213E-3</c:v>
                </c:pt>
                <c:pt idx="2789">
                  <c:v>6.4725493185147087E-3</c:v>
                </c:pt>
                <c:pt idx="2790">
                  <c:v>6.4698702407550712E-3</c:v>
                </c:pt>
                <c:pt idx="2791">
                  <c:v>6.467225569872781E-3</c:v>
                </c:pt>
                <c:pt idx="2792">
                  <c:v>6.4646153056280298E-3</c:v>
                </c:pt>
                <c:pt idx="2793">
                  <c:v>6.4620394483405619E-3</c:v>
                </c:pt>
                <c:pt idx="2794">
                  <c:v>6.459497997690633E-3</c:v>
                </c:pt>
                <c:pt idx="2795">
                  <c:v>6.4569909539979875E-3</c:v>
                </c:pt>
                <c:pt idx="2796">
                  <c:v>6.454518316942881E-3</c:v>
                </c:pt>
                <c:pt idx="2797">
                  <c:v>6.4520800866052497E-3</c:v>
                </c:pt>
                <c:pt idx="2798">
                  <c:v>6.4496762631449656E-3</c:v>
                </c:pt>
                <c:pt idx="2799">
                  <c:v>6.4473068464021566E-3</c:v>
                </c:pt>
                <c:pt idx="2800">
                  <c:v>6.4449718366166309E-3</c:v>
                </c:pt>
                <c:pt idx="2801">
                  <c:v>6.4426712334686442E-3</c:v>
                </c:pt>
                <c:pt idx="2802">
                  <c:v>6.4404050370381327E-3</c:v>
                </c:pt>
                <c:pt idx="2803">
                  <c:v>6.4381732474050324E-3</c:v>
                </c:pt>
                <c:pt idx="2804">
                  <c:v>6.4359758646492793E-3</c:v>
                </c:pt>
                <c:pt idx="2805">
                  <c:v>6.4338128885310653E-3</c:v>
                </c:pt>
                <c:pt idx="2806">
                  <c:v>6.4313129538398073E-3</c:v>
                </c:pt>
                <c:pt idx="2807">
                  <c:v>6.4295901568467428E-3</c:v>
                </c:pt>
                <c:pt idx="2808">
                  <c:v>6.4275304011207623E-3</c:v>
                </c:pt>
                <c:pt idx="2809">
                  <c:v>6.425505052112257E-3</c:v>
                </c:pt>
                <c:pt idx="2810">
                  <c:v>6.4235141100610349E-3</c:v>
                </c:pt>
                <c:pt idx="2811">
                  <c:v>6.4215575745674158E-3</c:v>
                </c:pt>
                <c:pt idx="2812">
                  <c:v>6.419635445951144E-3</c:v>
                </c:pt>
                <c:pt idx="2813">
                  <c:v>6.4177477240523473E-3</c:v>
                </c:pt>
                <c:pt idx="2814">
                  <c:v>6.4158944089509617E-3</c:v>
                </c:pt>
                <c:pt idx="2815">
                  <c:v>6.4140755006469874E-3</c:v>
                </c:pt>
                <c:pt idx="2816">
                  <c:v>6.4122909990604882E-3</c:v>
                </c:pt>
                <c:pt idx="2817">
                  <c:v>6.4105409043513362E-3</c:v>
                </c:pt>
                <c:pt idx="2818">
                  <c:v>6.4088252163596593E-3</c:v>
                </c:pt>
                <c:pt idx="2819">
                  <c:v>6.4071439350055215E-3</c:v>
                </c:pt>
                <c:pt idx="2820">
                  <c:v>6.4054970605287309E-3</c:v>
                </c:pt>
                <c:pt idx="2821">
                  <c:v>6.4038845927694155E-3</c:v>
                </c:pt>
                <c:pt idx="2822">
                  <c:v>6.4023065318874472E-3</c:v>
                </c:pt>
                <c:pt idx="2823">
                  <c:v>6.4007628776430181E-3</c:v>
                </c:pt>
                <c:pt idx="2824">
                  <c:v>6.3992536301960001E-3</c:v>
                </c:pt>
                <c:pt idx="2825">
                  <c:v>6.3977787895463933E-3</c:v>
                </c:pt>
                <c:pt idx="2826">
                  <c:v>6.3963383556941977E-3</c:v>
                </c:pt>
                <c:pt idx="2827">
                  <c:v>6.3949323286394133E-3</c:v>
                </c:pt>
                <c:pt idx="2828">
                  <c:v>6.3935607081422319E-3</c:v>
                </c:pt>
                <c:pt idx="2829">
                  <c:v>6.3922234945223977E-3</c:v>
                </c:pt>
                <c:pt idx="2830">
                  <c:v>6.3909206876200386E-3</c:v>
                </c:pt>
                <c:pt idx="2831">
                  <c:v>6.3896522875950268E-3</c:v>
                </c:pt>
                <c:pt idx="2832">
                  <c:v>6.3884182942874901E-3</c:v>
                </c:pt>
                <c:pt idx="2833">
                  <c:v>6.3872187076174924E-3</c:v>
                </c:pt>
                <c:pt idx="2834">
                  <c:v>6.386053527824842E-3</c:v>
                </c:pt>
                <c:pt idx="2835">
                  <c:v>6.3849227549095389E-3</c:v>
                </c:pt>
                <c:pt idx="2836">
                  <c:v>6.3838263885518387E-3</c:v>
                </c:pt>
                <c:pt idx="2837">
                  <c:v>6.3827644289915497E-3</c:v>
                </c:pt>
                <c:pt idx="2838">
                  <c:v>6.3817368762286719E-3</c:v>
                </c:pt>
                <c:pt idx="2839">
                  <c:v>6.3807437301832692E-3</c:v>
                </c:pt>
                <c:pt idx="2840">
                  <c:v>6.3797849910152138E-3</c:v>
                </c:pt>
                <c:pt idx="2841">
                  <c:v>6.3788606584846974E-3</c:v>
                </c:pt>
                <c:pt idx="2842">
                  <c:v>6.3779707327515922E-3</c:v>
                </c:pt>
                <c:pt idx="2843">
                  <c:v>6.3771152138158982E-3</c:v>
                </c:pt>
                <c:pt idx="2844">
                  <c:v>6.3762941015177432E-3</c:v>
                </c:pt>
                <c:pt idx="2845">
                  <c:v>6.3755073960969355E-3</c:v>
                </c:pt>
                <c:pt idx="2846">
                  <c:v>6.374755097473539E-3</c:v>
                </c:pt>
                <c:pt idx="2847">
                  <c:v>6.3740372054077454E-3</c:v>
                </c:pt>
                <c:pt idx="2848">
                  <c:v>6.3733537202192991E-3</c:v>
                </c:pt>
                <c:pt idx="2849">
                  <c:v>6.372704641828264E-3</c:v>
                </c:pt>
                <c:pt idx="2850">
                  <c:v>6.372089970154704E-3</c:v>
                </c:pt>
                <c:pt idx="2851">
                  <c:v>6.3715097052785552E-3</c:v>
                </c:pt>
                <c:pt idx="2852">
                  <c:v>6.3709638471198815E-3</c:v>
                </c:pt>
                <c:pt idx="2853">
                  <c:v>6.3704523956786829E-3</c:v>
                </c:pt>
                <c:pt idx="2854">
                  <c:v>6.3699753509549595E-3</c:v>
                </c:pt>
                <c:pt idx="2855">
                  <c:v>6.3695327131085833E-3</c:v>
                </c:pt>
                <c:pt idx="2856">
                  <c:v>6.3692402277926163E-3</c:v>
                </c:pt>
                <c:pt idx="2857">
                  <c:v>6.3687506575682562E-3</c:v>
                </c:pt>
                <c:pt idx="2858">
                  <c:v>6.3684112399542414E-3</c:v>
                </c:pt>
                <c:pt idx="2859">
                  <c:v>6.3681062290577017E-3</c:v>
                </c:pt>
                <c:pt idx="2860">
                  <c:v>6.3678356249585732E-3</c:v>
                </c:pt>
                <c:pt idx="2861">
                  <c:v>6.3675994275769199E-3</c:v>
                </c:pt>
                <c:pt idx="2862">
                  <c:v>6.3673976369926777E-3</c:v>
                </c:pt>
                <c:pt idx="2863">
                  <c:v>6.3672302532058467E-3</c:v>
                </c:pt>
                <c:pt idx="2864">
                  <c:v>6.3670972760565547E-3</c:v>
                </c:pt>
                <c:pt idx="2865">
                  <c:v>6.36699870578461E-3</c:v>
                </c:pt>
                <c:pt idx="2866">
                  <c:v>6.3669345421502044E-3</c:v>
                </c:pt>
                <c:pt idx="2867">
                  <c:v>6.3669047851533378E-3</c:v>
                </c:pt>
                <c:pt idx="2868">
                  <c:v>6.3669094351936906E-3</c:v>
                </c:pt>
                <c:pt idx="2869">
                  <c:v>6.3669484918715824E-3</c:v>
                </c:pt>
                <c:pt idx="2870">
                  <c:v>6.3670219552669494E-3</c:v>
                </c:pt>
                <c:pt idx="2871">
                  <c:v>6.3671298254597275E-3</c:v>
                </c:pt>
                <c:pt idx="2872">
                  <c:v>6.3672721024499168E-3</c:v>
                </c:pt>
                <c:pt idx="2873">
                  <c:v>6.3674487860776452E-3</c:v>
                </c:pt>
                <c:pt idx="2874">
                  <c:v>6.3676598765827208E-3</c:v>
                </c:pt>
                <c:pt idx="2875">
                  <c:v>6.3679053738052716E-3</c:v>
                </c:pt>
                <c:pt idx="2876">
                  <c:v>6.3681852777452974E-3</c:v>
                </c:pt>
                <c:pt idx="2877">
                  <c:v>6.3684995884027984E-3</c:v>
                </c:pt>
                <c:pt idx="2878">
                  <c:v>6.3688483058577106E-3</c:v>
                </c:pt>
                <c:pt idx="2879">
                  <c:v>6.3692314301100339E-3</c:v>
                </c:pt>
                <c:pt idx="2880">
                  <c:v>6.3696489610798324E-3</c:v>
                </c:pt>
                <c:pt idx="2881">
                  <c:v>6.3701008987671059E-3</c:v>
                </c:pt>
                <c:pt idx="2882">
                  <c:v>6.3705872433317268E-3</c:v>
                </c:pt>
                <c:pt idx="2883">
                  <c:v>6.3711079945338867E-3</c:v>
                </c:pt>
                <c:pt idx="2884">
                  <c:v>6.3716631525334577E-3</c:v>
                </c:pt>
                <c:pt idx="2885">
                  <c:v>6.3722527171705678E-3</c:v>
                </c:pt>
                <c:pt idx="2886">
                  <c:v>6.3728766888448973E-3</c:v>
                </c:pt>
                <c:pt idx="2887">
                  <c:v>6.3735350670768298E-3</c:v>
                </c:pt>
                <c:pt idx="2888">
                  <c:v>6.3742278521061735E-3</c:v>
                </c:pt>
                <c:pt idx="2889">
                  <c:v>6.3749550439329283E-3</c:v>
                </c:pt>
                <c:pt idx="2890">
                  <c:v>6.3757166424771583E-3</c:v>
                </c:pt>
                <c:pt idx="2891">
                  <c:v>6.3765126477388634E-3</c:v>
                </c:pt>
                <c:pt idx="2892">
                  <c:v>6.3773430597180436E-3</c:v>
                </c:pt>
                <c:pt idx="2893">
                  <c:v>6.3782078786545071E-3</c:v>
                </c:pt>
                <c:pt idx="2894">
                  <c:v>6.3791071042285097E-3</c:v>
                </c:pt>
                <c:pt idx="2895">
                  <c:v>6.3800407365199874E-3</c:v>
                </c:pt>
                <c:pt idx="2896">
                  <c:v>6.3815329572469714E-3</c:v>
                </c:pt>
                <c:pt idx="2897">
                  <c:v>6.3824173383419947E-3</c:v>
                </c:pt>
                <c:pt idx="2898">
                  <c:v>6.3834640585991309E-3</c:v>
                </c:pt>
                <c:pt idx="2899">
                  <c:v>6.3845451867727832E-3</c:v>
                </c:pt>
                <c:pt idx="2900">
                  <c:v>6.3856607229695328E-3</c:v>
                </c:pt>
                <c:pt idx="2901">
                  <c:v>6.3868106671360891E-3</c:v>
                </c:pt>
                <c:pt idx="2902">
                  <c:v>6.3879950193523882E-3</c:v>
                </c:pt>
                <c:pt idx="2903">
                  <c:v>6.3892137794852033E-3</c:v>
                </c:pt>
                <c:pt idx="2904">
                  <c:v>6.3904669476144704E-3</c:v>
                </c:pt>
                <c:pt idx="2905">
                  <c:v>6.3917545237934803E-3</c:v>
                </c:pt>
                <c:pt idx="2906">
                  <c:v>6.3930765079422969E-3</c:v>
                </c:pt>
                <c:pt idx="2907">
                  <c:v>6.3944329000609201E-3</c:v>
                </c:pt>
                <c:pt idx="2908">
                  <c:v>6.3958237002026408E-3</c:v>
                </c:pt>
                <c:pt idx="2909">
                  <c:v>6.3972489083141681E-3</c:v>
                </c:pt>
                <c:pt idx="2910">
                  <c:v>6.3987085244487929E-3</c:v>
                </c:pt>
                <c:pt idx="2911">
                  <c:v>6.4007393388720857E-3</c:v>
                </c:pt>
                <c:pt idx="2912">
                  <c:v>6.4017309807073985E-3</c:v>
                </c:pt>
                <c:pt idx="2913">
                  <c:v>6.4032938208313794E-3</c:v>
                </c:pt>
                <c:pt idx="2914">
                  <c:v>6.404891068925167E-3</c:v>
                </c:pt>
                <c:pt idx="2915">
                  <c:v>6.4065227250686974E-3</c:v>
                </c:pt>
                <c:pt idx="2916">
                  <c:v>6.4081887892086797E-3</c:v>
                </c:pt>
                <c:pt idx="2917">
                  <c:v>6.4098892613451142E-3</c:v>
                </c:pt>
                <c:pt idx="2918">
                  <c:v>6.411624141504646E-3</c:v>
                </c:pt>
                <c:pt idx="2919">
                  <c:v>6.4133934296872752E-3</c:v>
                </c:pt>
                <c:pt idx="2920">
                  <c:v>6.4151971258130658E-3</c:v>
                </c:pt>
                <c:pt idx="2921">
                  <c:v>6.4170352300418898E-3</c:v>
                </c:pt>
                <c:pt idx="2922">
                  <c:v>6.4189077422405205E-3</c:v>
                </c:pt>
                <c:pt idx="2923">
                  <c:v>6.4208146624622486E-3</c:v>
                </c:pt>
                <c:pt idx="2924">
                  <c:v>6.4227559907070741E-3</c:v>
                </c:pt>
                <c:pt idx="2925">
                  <c:v>6.4247317269483517E-3</c:v>
                </c:pt>
                <c:pt idx="2926">
                  <c:v>6.426741871239372E-3</c:v>
                </c:pt>
                <c:pt idx="2927">
                  <c:v>6.4287864235268444E-3</c:v>
                </c:pt>
                <c:pt idx="2928">
                  <c:v>6.4308653838374141E-3</c:v>
                </c:pt>
                <c:pt idx="2929">
                  <c:v>6.432978752224372E-3</c:v>
                </c:pt>
                <c:pt idx="2930">
                  <c:v>6.4351265286344272E-3</c:v>
                </c:pt>
                <c:pt idx="2931">
                  <c:v>6.4373087130142892E-3</c:v>
                </c:pt>
                <c:pt idx="2932">
                  <c:v>6.4395253054705393E-3</c:v>
                </c:pt>
                <c:pt idx="2933">
                  <c:v>6.4417763059232414E-3</c:v>
                </c:pt>
                <c:pt idx="2934">
                  <c:v>6.4440617144256862E-3</c:v>
                </c:pt>
                <c:pt idx="2935">
                  <c:v>6.4463815310045192E-3</c:v>
                </c:pt>
                <c:pt idx="2936">
                  <c:v>6.4487357555798042E-3</c:v>
                </c:pt>
                <c:pt idx="2937">
                  <c:v>6.4511243882314773E-3</c:v>
                </c:pt>
                <c:pt idx="2938">
                  <c:v>6.4535474289062478E-3</c:v>
                </c:pt>
                <c:pt idx="2939">
                  <c:v>6.456004877630761E-3</c:v>
                </c:pt>
                <c:pt idx="2940">
                  <c:v>6.458496734405017E-3</c:v>
                </c:pt>
                <c:pt idx="2941">
                  <c:v>6.4610229992023704E-3</c:v>
                </c:pt>
                <c:pt idx="2942">
                  <c:v>6.4635836721027573E-3</c:v>
                </c:pt>
                <c:pt idx="2943">
                  <c:v>6.4661787530262416E-3</c:v>
                </c:pt>
                <c:pt idx="2944">
                  <c:v>6.4688082420261139E-3</c:v>
                </c:pt>
                <c:pt idx="2945">
                  <c:v>6.471472139075729E-3</c:v>
                </c:pt>
                <c:pt idx="2946">
                  <c:v>6.4741704441750869E-3</c:v>
                </c:pt>
                <c:pt idx="2947">
                  <c:v>6.4769031573508329E-3</c:v>
                </c:pt>
                <c:pt idx="2948">
                  <c:v>6.4806083979984663E-3</c:v>
                </c:pt>
                <c:pt idx="2949">
                  <c:v>6.4831615761473671E-3</c:v>
                </c:pt>
                <c:pt idx="2950">
                  <c:v>6.4860072418504444E-3</c:v>
                </c:pt>
                <c:pt idx="2951">
                  <c:v>6.4888873143509329E-3</c:v>
                </c:pt>
                <c:pt idx="2952">
                  <c:v>6.4918017936488326E-3</c:v>
                </c:pt>
                <c:pt idx="2953">
                  <c:v>6.4947506798240795E-3</c:v>
                </c:pt>
                <c:pt idx="2954">
                  <c:v>6.4977339727168015E-3</c:v>
                </c:pt>
                <c:pt idx="2955">
                  <c:v>6.5007516723269987E-3</c:v>
                </c:pt>
                <c:pt idx="2956">
                  <c:v>6.5038037788944791E-3</c:v>
                </c:pt>
                <c:pt idx="2957">
                  <c:v>6.5068902920994987E-3</c:v>
                </c:pt>
                <c:pt idx="2958">
                  <c:v>6.5100112122618015E-3</c:v>
                </c:pt>
                <c:pt idx="2959">
                  <c:v>6.5131665391415794E-3</c:v>
                </c:pt>
                <c:pt idx="2960">
                  <c:v>6.5163562727388324E-3</c:v>
                </c:pt>
                <c:pt idx="2961">
                  <c:v>6.5195804132933688E-3</c:v>
                </c:pt>
                <c:pt idx="2962">
                  <c:v>6.5237762935765886E-3</c:v>
                </c:pt>
                <c:pt idx="2963">
                  <c:v>6.5261319145548669E-3</c:v>
                </c:pt>
                <c:pt idx="2964">
                  <c:v>6.5294592754217007E-3</c:v>
                </c:pt>
                <c:pt idx="2965">
                  <c:v>6.5328210430859457E-3</c:v>
                </c:pt>
                <c:pt idx="2966">
                  <c:v>6.5367051940867782E-3</c:v>
                </c:pt>
                <c:pt idx="2967">
                  <c:v>6.540140690614038E-3</c:v>
                </c:pt>
                <c:pt idx="2968">
                  <c:v>6.543610593938709E-3</c:v>
                </c:pt>
                <c:pt idx="2969">
                  <c:v>6.5471149040607912E-3</c:v>
                </c:pt>
                <c:pt idx="2970">
                  <c:v>6.5506536209802846E-3</c:v>
                </c:pt>
                <c:pt idx="2971">
                  <c:v>6.5542267447771252E-3</c:v>
                </c:pt>
                <c:pt idx="2972">
                  <c:v>6.5578342752914409E-3</c:v>
                </c:pt>
                <c:pt idx="2973">
                  <c:v>6.5614762126831039E-3</c:v>
                </c:pt>
                <c:pt idx="2974">
                  <c:v>6.565152556872178E-3</c:v>
                </c:pt>
                <c:pt idx="2975">
                  <c:v>6.5688633077787273E-3</c:v>
                </c:pt>
                <c:pt idx="2976">
                  <c:v>6.5726084656425598E-3</c:v>
                </c:pt>
                <c:pt idx="2977">
                  <c:v>6.5763880303038036E-3</c:v>
                </c:pt>
                <c:pt idx="2978">
                  <c:v>6.5802020017624585E-3</c:v>
                </c:pt>
                <c:pt idx="2979">
                  <c:v>6.5840503799385885E-3</c:v>
                </c:pt>
                <c:pt idx="2980">
                  <c:v>6.5879331650720019E-3</c:v>
                </c:pt>
                <c:pt idx="2981">
                  <c:v>6.5918503570028264E-3</c:v>
                </c:pt>
                <c:pt idx="2982">
                  <c:v>6.595801955651126E-3</c:v>
                </c:pt>
                <c:pt idx="2983">
                  <c:v>6.5997879610968369E-3</c:v>
                </c:pt>
                <c:pt idx="2984">
                  <c:v>6.603808373499831E-3</c:v>
                </c:pt>
                <c:pt idx="2985">
                  <c:v>6.6078631926203002E-3</c:v>
                </c:pt>
                <c:pt idx="2986">
                  <c:v>6.6119524186181167E-3</c:v>
                </c:pt>
                <c:pt idx="2987">
                  <c:v>6.6160760515732164E-3</c:v>
                </c:pt>
                <c:pt idx="2988">
                  <c:v>6.6202340911658553E-3</c:v>
                </c:pt>
                <c:pt idx="2989">
                  <c:v>6.6244265375559053E-3</c:v>
                </c:pt>
                <c:pt idx="2990">
                  <c:v>6.6286533908233025E-3</c:v>
                </c:pt>
                <c:pt idx="2991">
                  <c:v>6.6329146510479831E-3</c:v>
                </c:pt>
                <c:pt idx="2992">
                  <c:v>6.6372103179901387E-3</c:v>
                </c:pt>
                <c:pt idx="2993">
                  <c:v>6.6415403917297056E-3</c:v>
                </c:pt>
                <c:pt idx="2994">
                  <c:v>6.6459048724265557E-3</c:v>
                </c:pt>
                <c:pt idx="2995">
                  <c:v>6.650303759840881E-3</c:v>
                </c:pt>
                <c:pt idx="2996">
                  <c:v>6.6547370541325535E-3</c:v>
                </c:pt>
                <c:pt idx="2997">
                  <c:v>6.6592047553015732E-3</c:v>
                </c:pt>
                <c:pt idx="2998">
                  <c:v>6.6637068632680041E-3</c:v>
                </c:pt>
                <c:pt idx="2999">
                  <c:v>6.6682433781117822E-3</c:v>
                </c:pt>
                <c:pt idx="3000">
                  <c:v>6.6738602076732434E-3</c:v>
                </c:pt>
                <c:pt idx="3001">
                  <c:v>6.6780803409560718E-3</c:v>
                </c:pt>
                <c:pt idx="3002">
                  <c:v>6.6827249916201481E-3</c:v>
                </c:pt>
                <c:pt idx="3003">
                  <c:v>6.6874040490816355E-3</c:v>
                </c:pt>
                <c:pt idx="3004">
                  <c:v>6.6921175133405342E-3</c:v>
                </c:pt>
                <c:pt idx="3005">
                  <c:v>6.69686538447678E-3</c:v>
                </c:pt>
                <c:pt idx="3006">
                  <c:v>6.7016476624903731E-3</c:v>
                </c:pt>
                <c:pt idx="3007">
                  <c:v>6.7064643473013774E-3</c:v>
                </c:pt>
                <c:pt idx="3008">
                  <c:v>6.7113154389897289E-3</c:v>
                </c:pt>
                <c:pt idx="3009">
                  <c:v>6.7162009375554277E-3</c:v>
                </c:pt>
                <c:pt idx="3010">
                  <c:v>6.7211208429984737E-3</c:v>
                </c:pt>
                <c:pt idx="3011">
                  <c:v>6.7260751552389308E-3</c:v>
                </c:pt>
                <c:pt idx="3012">
                  <c:v>6.7310627764349817E-3</c:v>
                </c:pt>
                <c:pt idx="3013">
                  <c:v>6.736764892654179E-3</c:v>
                </c:pt>
                <c:pt idx="3014">
                  <c:v>6.7417417017789916E-3</c:v>
                </c:pt>
                <c:pt idx="3015">
                  <c:v>6.7467068042681433E-3</c:v>
                </c:pt>
                <c:pt idx="3016">
                  <c:v>6.7516602004413784E-3</c:v>
                </c:pt>
                <c:pt idx="3017">
                  <c:v>6.7578494283715429E-3</c:v>
                </c:pt>
                <c:pt idx="3018">
                  <c:v>6.7615318732006102E-3</c:v>
                </c:pt>
                <c:pt idx="3019">
                  <c:v>6.766450149866543E-3</c:v>
                </c:pt>
                <c:pt idx="3020">
                  <c:v>6.7713567200566871E-3</c:v>
                </c:pt>
                <c:pt idx="3021">
                  <c:v>6.7762515838509785E-3</c:v>
                </c:pt>
                <c:pt idx="3022">
                  <c:v>6.7811347410895451E-3</c:v>
                </c:pt>
                <c:pt idx="3023">
                  <c:v>6.7860061918523229E-3</c:v>
                </c:pt>
                <c:pt idx="3024">
                  <c:v>6.7908659362192481E-3</c:v>
                </c:pt>
                <c:pt idx="3025">
                  <c:v>6.7957139739505124E-3</c:v>
                </c:pt>
                <c:pt idx="3026">
                  <c:v>6.800550305285924E-3</c:v>
                </c:pt>
                <c:pt idx="3027">
                  <c:v>6.8053749302254829E-3</c:v>
                </c:pt>
                <c:pt idx="3028">
                  <c:v>6.810187848529381E-3</c:v>
                </c:pt>
                <c:pt idx="3029">
                  <c:v>6.8149890604374264E-3</c:v>
                </c:pt>
                <c:pt idx="3030">
                  <c:v>6.819778565869683E-3</c:v>
                </c:pt>
                <c:pt idx="3031">
                  <c:v>6.8245563648261509E-3</c:v>
                </c:pt>
                <c:pt idx="3032">
                  <c:v>6.829322457226894E-3</c:v>
                </c:pt>
                <c:pt idx="3033">
                  <c:v>6.8340768433916566E-3</c:v>
                </c:pt>
                <c:pt idx="3034">
                  <c:v>6.8388195227608861E-3</c:v>
                </c:pt>
                <c:pt idx="3035">
                  <c:v>6.843550495734263E-3</c:v>
                </c:pt>
                <c:pt idx="3036">
                  <c:v>6.8482697623917232E-3</c:v>
                </c:pt>
                <c:pt idx="3037">
                  <c:v>6.8529773223335866E-3</c:v>
                </c:pt>
                <c:pt idx="3038">
                  <c:v>6.8576731758795972E-3</c:v>
                </c:pt>
                <c:pt idx="3039">
                  <c:v>6.8623573228698831E-3</c:v>
                </c:pt>
                <c:pt idx="3040">
                  <c:v>6.8670297634643163E-3</c:v>
                </c:pt>
                <c:pt idx="3041">
                  <c:v>6.8716904976628967E-3</c:v>
                </c:pt>
                <c:pt idx="3042">
                  <c:v>6.8763395253057524E-3</c:v>
                </c:pt>
                <c:pt idx="3043">
                  <c:v>6.8809768463928833E-3</c:v>
                </c:pt>
                <c:pt idx="3044">
                  <c:v>6.8856024610841615E-3</c:v>
                </c:pt>
                <c:pt idx="3045">
                  <c:v>6.8902163692197149E-3</c:v>
                </c:pt>
                <c:pt idx="3046">
                  <c:v>6.8948185708794796E-3</c:v>
                </c:pt>
                <c:pt idx="3047">
                  <c:v>6.8994090660634555E-3</c:v>
                </c:pt>
                <c:pt idx="3048">
                  <c:v>6.9039878547716427E-3</c:v>
                </c:pt>
                <c:pt idx="3049">
                  <c:v>6.908554936924105E-3</c:v>
                </c:pt>
                <c:pt idx="3050">
                  <c:v>6.9131103126007787E-3</c:v>
                </c:pt>
                <c:pt idx="3051">
                  <c:v>6.9188254029017848E-3</c:v>
                </c:pt>
                <c:pt idx="3052">
                  <c:v>6.9233551183445208E-3</c:v>
                </c:pt>
                <c:pt idx="3053">
                  <c:v>6.9267062007760671E-3</c:v>
                </c:pt>
                <c:pt idx="3054">
                  <c:v>6.9312147506295219E-3</c:v>
                </c:pt>
                <c:pt idx="3055">
                  <c:v>6.9357115937673797E-3</c:v>
                </c:pt>
                <c:pt idx="3056">
                  <c:v>6.9401967305893209E-3</c:v>
                </c:pt>
                <c:pt idx="3057">
                  <c:v>6.9446701608555372E-3</c:v>
                </c:pt>
                <c:pt idx="3058">
                  <c:v>6.9491318846459649E-3</c:v>
                </c:pt>
                <c:pt idx="3059">
                  <c:v>6.9535819019606038E-3</c:v>
                </c:pt>
                <c:pt idx="3060">
                  <c:v>6.9580202127994539E-3</c:v>
                </c:pt>
                <c:pt idx="3061">
                  <c:v>6.9624468169227072E-3</c:v>
                </c:pt>
                <c:pt idx="3062">
                  <c:v>6.9668617148099798E-3</c:v>
                </c:pt>
                <c:pt idx="3063">
                  <c:v>6.9712649060615917E-3</c:v>
                </c:pt>
                <c:pt idx="3064">
                  <c:v>6.9756563909173508E-3</c:v>
                </c:pt>
                <c:pt idx="3065">
                  <c:v>6.9800361691374491E-3</c:v>
                </c:pt>
                <c:pt idx="3066">
                  <c:v>6.9859209849880699E-3</c:v>
                </c:pt>
                <c:pt idx="3067">
                  <c:v>6.9887606063900876E-3</c:v>
                </c:pt>
                <c:pt idx="3068">
                  <c:v>6.9931052651028835E-3</c:v>
                </c:pt>
                <c:pt idx="3069">
                  <c:v>6.9974382174997629E-3</c:v>
                </c:pt>
                <c:pt idx="3070">
                  <c:v>7.0017594634208535E-3</c:v>
                </c:pt>
                <c:pt idx="3071">
                  <c:v>7.0060690026263472E-3</c:v>
                </c:pt>
                <c:pt idx="3072">
                  <c:v>7.0103668355159243E-3</c:v>
                </c:pt>
                <c:pt idx="3073">
                  <c:v>7.0146529617698405E-3</c:v>
                </c:pt>
                <c:pt idx="3074">
                  <c:v>7.0189273816279041E-3</c:v>
                </c:pt>
                <c:pt idx="3075">
                  <c:v>7.0231900949302428E-3</c:v>
                </c:pt>
                <c:pt idx="3076">
                  <c:v>7.0274411016768568E-3</c:v>
                </c:pt>
                <c:pt idx="3077">
                  <c:v>7.0316804021075541E-3</c:v>
                </c:pt>
                <c:pt idx="3078">
                  <c:v>7.0359079959025905E-3</c:v>
                </c:pt>
                <c:pt idx="3079">
                  <c:v>7.0401238832218382E-3</c:v>
                </c:pt>
                <c:pt idx="3080">
                  <c:v>7.0443280640652972E-3</c:v>
                </c:pt>
                <c:pt idx="3081">
                  <c:v>7.0485205382730953E-3</c:v>
                </c:pt>
                <c:pt idx="3082">
                  <c:v>7.0527013060850408E-3</c:v>
                </c:pt>
                <c:pt idx="3083">
                  <c:v>7.0568703674211974E-3</c:v>
                </c:pt>
                <c:pt idx="3084">
                  <c:v>7.0610277222815654E-3</c:v>
                </c:pt>
                <c:pt idx="3085">
                  <c:v>7.0651733705062725E-3</c:v>
                </c:pt>
                <c:pt idx="3086">
                  <c:v>7.0693073123351269E-3</c:v>
                </c:pt>
                <c:pt idx="3087">
                  <c:v>7.0734295476082565E-3</c:v>
                </c:pt>
                <c:pt idx="3088">
                  <c:v>7.0775400764055973E-3</c:v>
                </c:pt>
                <c:pt idx="3089">
                  <c:v>7.0816388986472134E-3</c:v>
                </c:pt>
                <c:pt idx="3090">
                  <c:v>7.0857260144130407E-3</c:v>
                </c:pt>
                <c:pt idx="3091">
                  <c:v>7.0898014236231433E-3</c:v>
                </c:pt>
                <c:pt idx="3092">
                  <c:v>7.093865126357457E-3</c:v>
                </c:pt>
                <c:pt idx="3093">
                  <c:v>7.0979171226159821E-3</c:v>
                </c:pt>
                <c:pt idx="3094">
                  <c:v>7.1019574123987184E-3</c:v>
                </c:pt>
                <c:pt idx="3095">
                  <c:v>7.1059859956257299E-3</c:v>
                </c:pt>
                <c:pt idx="3096">
                  <c:v>7.1100028723769526E-3</c:v>
                </c:pt>
                <c:pt idx="3097">
                  <c:v>7.1140080424125784E-3</c:v>
                </c:pt>
                <c:pt idx="3098">
                  <c:v>7.1180015062921598E-3</c:v>
                </c:pt>
                <c:pt idx="3099">
                  <c:v>7.1219832633762081E-3</c:v>
                </c:pt>
                <c:pt idx="3100">
                  <c:v>7.1259533141443399E-3</c:v>
                </c:pt>
                <c:pt idx="3101">
                  <c:v>7.1299116582768107E-3</c:v>
                </c:pt>
                <c:pt idx="3102">
                  <c:v>7.1338582959334929E-3</c:v>
                </c:pt>
                <c:pt idx="3103">
                  <c:v>7.1377932270344502E-3</c:v>
                </c:pt>
                <c:pt idx="3104">
                  <c:v>7.1417164516596188E-3</c:v>
                </c:pt>
                <c:pt idx="3105">
                  <c:v>7.1456279698089986E-3</c:v>
                </c:pt>
                <c:pt idx="3106">
                  <c:v>7.1495277814026537E-3</c:v>
                </c:pt>
                <c:pt idx="3107">
                  <c:v>7.1534158864405839E-3</c:v>
                </c:pt>
                <c:pt idx="3108">
                  <c:v>7.1572922850826615E-3</c:v>
                </c:pt>
                <c:pt idx="3109">
                  <c:v>7.1611569771690142E-3</c:v>
                </c:pt>
                <c:pt idx="3110">
                  <c:v>7.1650099626197061E-3</c:v>
                </c:pt>
                <c:pt idx="3111">
                  <c:v>7.1688512416745453E-3</c:v>
                </c:pt>
                <c:pt idx="3112">
                  <c:v>7.1726808141736598E-3</c:v>
                </c:pt>
                <c:pt idx="3113">
                  <c:v>7.1764986802769215E-3</c:v>
                </c:pt>
                <c:pt idx="3114">
                  <c:v>7.1803048396645863E-3</c:v>
                </c:pt>
                <c:pt idx="3115">
                  <c:v>7.1840992926563985E-3</c:v>
                </c:pt>
                <c:pt idx="3116">
                  <c:v>7.1878820391724219E-3</c:v>
                </c:pt>
                <c:pt idx="3117">
                  <c:v>7.1930155542414553E-3</c:v>
                </c:pt>
                <c:pt idx="3118">
                  <c:v>7.1954124125372942E-3</c:v>
                </c:pt>
                <c:pt idx="3119">
                  <c:v>7.1991600393062072E-3</c:v>
                </c:pt>
                <c:pt idx="3120">
                  <c:v>7.2028959597592035E-3</c:v>
                </c:pt>
                <c:pt idx="3121">
                  <c:v>7.2066201735765389E-3</c:v>
                </c:pt>
                <c:pt idx="3122">
                  <c:v>7.2103326809180857E-3</c:v>
                </c:pt>
                <c:pt idx="3123">
                  <c:v>7.2140334817039076E-3</c:v>
                </c:pt>
                <c:pt idx="3124">
                  <c:v>7.2177225760938768E-3</c:v>
                </c:pt>
                <c:pt idx="3125">
                  <c:v>7.2213999638481852E-3</c:v>
                </c:pt>
                <c:pt idx="3126">
                  <c:v>7.2250656451267048E-3</c:v>
                </c:pt>
                <c:pt idx="3127">
                  <c:v>7.2287196198494996E-3</c:v>
                </c:pt>
                <c:pt idx="3128">
                  <c:v>7.2323618880965057E-3</c:v>
                </c:pt>
                <c:pt idx="3129">
                  <c:v>7.2359924498677231E-3</c:v>
                </c:pt>
                <c:pt idx="3130">
                  <c:v>7.2396113050032795E-3</c:v>
                </c:pt>
                <c:pt idx="3131">
                  <c:v>7.2432184536630473E-3</c:v>
                </c:pt>
                <c:pt idx="3132">
                  <c:v>7.2468138957670902E-3</c:v>
                </c:pt>
                <c:pt idx="3133">
                  <c:v>7.2503976313154084E-3</c:v>
                </c:pt>
                <c:pt idx="3134">
                  <c:v>7.2539696604678738E-3</c:v>
                </c:pt>
                <c:pt idx="3135">
                  <c:v>7.2575299831445506E-3</c:v>
                </c:pt>
                <c:pt idx="3136">
                  <c:v>7.2610785991056304E-3</c:v>
                </c:pt>
                <c:pt idx="3137">
                  <c:v>7.2646155085909214E-3</c:v>
                </c:pt>
                <c:pt idx="3138">
                  <c:v>7.2681407116004237E-3</c:v>
                </c:pt>
                <c:pt idx="3139">
                  <c:v>7.2716542080542013E-3</c:v>
                </c:pt>
                <c:pt idx="3140">
                  <c:v>7.27515599803219E-3</c:v>
                </c:pt>
                <c:pt idx="3141">
                  <c:v>7.278646081374518E-3</c:v>
                </c:pt>
                <c:pt idx="3142">
                  <c:v>7.2821244584009293E-3</c:v>
                </c:pt>
                <c:pt idx="3143">
                  <c:v>7.2855911287117436E-3</c:v>
                </c:pt>
                <c:pt idx="3144">
                  <c:v>7.2890460924668332E-3</c:v>
                </c:pt>
                <c:pt idx="3145">
                  <c:v>7.2924893498260701E-3</c:v>
                </c:pt>
                <c:pt idx="3146">
                  <c:v>7.2959209005496461E-3</c:v>
                </c:pt>
                <c:pt idx="3147">
                  <c:v>7.2993407447974334E-3</c:v>
                </c:pt>
                <c:pt idx="3148">
                  <c:v>7.3027488826493681E-3</c:v>
                </c:pt>
                <c:pt idx="3149">
                  <c:v>7.3061453137857058E-3</c:v>
                </c:pt>
                <c:pt idx="3150">
                  <c:v>7.3095300385261908E-3</c:v>
                </c:pt>
                <c:pt idx="3151">
                  <c:v>7.3129030565510789E-3</c:v>
                </c:pt>
                <c:pt idx="3152">
                  <c:v>7.3162643682600503E-3</c:v>
                </c:pt>
                <c:pt idx="3153">
                  <c:v>7.3196139733333609E-3</c:v>
                </c:pt>
                <c:pt idx="3154">
                  <c:v>7.3229518717710107E-3</c:v>
                </c:pt>
                <c:pt idx="3155">
                  <c:v>7.3262780638927438E-3</c:v>
                </c:pt>
                <c:pt idx="3156">
                  <c:v>7.3295925493788161E-3</c:v>
                </c:pt>
                <c:pt idx="3157">
                  <c:v>7.3328953283091636E-3</c:v>
                </c:pt>
                <c:pt idx="3158">
                  <c:v>7.3361864007637223E-3</c:v>
                </c:pt>
                <c:pt idx="3159">
                  <c:v>7.3394657666625562E-3</c:v>
                </c:pt>
                <c:pt idx="3160">
                  <c:v>7.3427334260056654E-3</c:v>
                </c:pt>
                <c:pt idx="3161">
                  <c:v>7.3459893788729858E-3</c:v>
                </c:pt>
                <c:pt idx="3162">
                  <c:v>7.3492336251046453E-3</c:v>
                </c:pt>
                <c:pt idx="3163">
                  <c:v>7.3524661649404521E-3</c:v>
                </c:pt>
                <c:pt idx="3164">
                  <c:v>7.3556869981405981E-3</c:v>
                </c:pt>
                <c:pt idx="3165">
                  <c:v>7.3588961248649554E-3</c:v>
                </c:pt>
                <c:pt idx="3166">
                  <c:v>7.3620935450335878E-3</c:v>
                </c:pt>
                <c:pt idx="3167">
                  <c:v>7.3652792586464955E-3</c:v>
                </c:pt>
                <c:pt idx="3168">
                  <c:v>7.3684532657836144E-3</c:v>
                </c:pt>
                <c:pt idx="3169">
                  <c:v>7.3716155663650085E-3</c:v>
                </c:pt>
                <c:pt idx="3170">
                  <c:v>7.3747661603107417E-3</c:v>
                </c:pt>
                <c:pt idx="3171">
                  <c:v>7.3779050478606223E-3</c:v>
                </c:pt>
                <c:pt idx="3172">
                  <c:v>7.3822260639655468E-3</c:v>
                </c:pt>
                <c:pt idx="3173">
                  <c:v>7.384147703213273E-3</c:v>
                </c:pt>
                <c:pt idx="3174">
                  <c:v>7.3882876569264511E-3</c:v>
                </c:pt>
                <c:pt idx="3175">
                  <c:v>7.3913765003741361E-3</c:v>
                </c:pt>
                <c:pt idx="3176">
                  <c:v>7.3944536368131253E-3</c:v>
                </c:pt>
                <c:pt idx="3177">
                  <c:v>7.3975190663233548E-3</c:v>
                </c:pt>
                <c:pt idx="3178">
                  <c:v>7.4005727888515338E-3</c:v>
                </c:pt>
                <c:pt idx="3179">
                  <c:v>7.4036148044243077E-3</c:v>
                </c:pt>
                <c:pt idx="3180">
                  <c:v>7.4066451130416766E-3</c:v>
                </c:pt>
                <c:pt idx="3181">
                  <c:v>7.4096637146503497E-3</c:v>
                </c:pt>
                <c:pt idx="3182">
                  <c:v>7.4126706093036177E-3</c:v>
                </c:pt>
                <c:pt idx="3183">
                  <c:v>7.4156657970281259E-3</c:v>
                </c:pt>
                <c:pt idx="3184">
                  <c:v>7.418649277717293E-3</c:v>
                </c:pt>
                <c:pt idx="3185">
                  <c:v>7.421621051451055E-3</c:v>
                </c:pt>
                <c:pt idx="3186">
                  <c:v>7.4245811182294119E-3</c:v>
                </c:pt>
                <c:pt idx="3187">
                  <c:v>7.4275294780257184E-3</c:v>
                </c:pt>
                <c:pt idx="3188">
                  <c:v>7.4304661308399744E-3</c:v>
                </c:pt>
                <c:pt idx="3189">
                  <c:v>7.4333910766988254E-3</c:v>
                </c:pt>
                <c:pt idx="3190">
                  <c:v>7.4363043155489805E-3</c:v>
                </c:pt>
                <c:pt idx="3191">
                  <c:v>7.4392058474437306E-3</c:v>
                </c:pt>
                <c:pt idx="3192">
                  <c:v>7.4420956723297849E-3</c:v>
                </c:pt>
                <c:pt idx="3193">
                  <c:v>7.444973790260434E-3</c:v>
                </c:pt>
                <c:pt idx="3194">
                  <c:v>7.4478402012356781E-3</c:v>
                </c:pt>
                <c:pt idx="3195">
                  <c:v>7.4506949051755811E-3</c:v>
                </c:pt>
                <c:pt idx="3196">
                  <c:v>7.4535379021600789E-3</c:v>
                </c:pt>
                <c:pt idx="3197">
                  <c:v>7.456369192135881E-3</c:v>
                </c:pt>
                <c:pt idx="3198">
                  <c:v>7.4591887752095687E-3</c:v>
                </c:pt>
                <c:pt idx="3199">
                  <c:v>7.4619966512212699E-3</c:v>
                </c:pt>
                <c:pt idx="3200">
                  <c:v>7.464792820277566E-3</c:v>
                </c:pt>
                <c:pt idx="3201">
                  <c:v>7.4675772823251663E-3</c:v>
                </c:pt>
                <c:pt idx="3202">
                  <c:v>7.4703500374173615E-3</c:v>
                </c:pt>
                <c:pt idx="3203">
                  <c:v>7.4731110855008609E-3</c:v>
                </c:pt>
                <c:pt idx="3204">
                  <c:v>7.4758604265756645E-3</c:v>
                </c:pt>
                <c:pt idx="3205">
                  <c:v>7.4785980606684177E-3</c:v>
                </c:pt>
                <c:pt idx="3206">
                  <c:v>7.4813239878057658E-3</c:v>
                </c:pt>
                <c:pt idx="3207">
                  <c:v>7.4840382079077727E-3</c:v>
                </c:pt>
                <c:pt idx="3208">
                  <c:v>7.4876252500644114E-3</c:v>
                </c:pt>
                <c:pt idx="3209">
                  <c:v>7.4900424218871109E-3</c:v>
                </c:pt>
                <c:pt idx="3210">
                  <c:v>7.4927180648742819E-3</c:v>
                </c:pt>
                <c:pt idx="3211">
                  <c:v>7.4953820011458561E-3</c:v>
                </c:pt>
                <c:pt idx="3212">
                  <c:v>7.4980342310215775E-3</c:v>
                </c:pt>
                <c:pt idx="3213">
                  <c:v>7.5006747543415742E-3</c:v>
                </c:pt>
                <c:pt idx="3214">
                  <c:v>7.5033035711857821E-3</c:v>
                </c:pt>
                <c:pt idx="3215">
                  <c:v>7.5059206813143931E-3</c:v>
                </c:pt>
                <c:pt idx="3216">
                  <c:v>7.5085260848872792E-3</c:v>
                </c:pt>
                <c:pt idx="3217">
                  <c:v>7.5111197821442488E-3</c:v>
                </c:pt>
                <c:pt idx="3218">
                  <c:v>7.5137017725257493E-3</c:v>
                </c:pt>
                <c:pt idx="3219">
                  <c:v>7.5162720565113972E-3</c:v>
                </c:pt>
                <c:pt idx="3220">
                  <c:v>7.5188306341011923E-3</c:v>
                </c:pt>
                <c:pt idx="3221">
                  <c:v>7.5213775049753906E-3</c:v>
                </c:pt>
                <c:pt idx="3222">
                  <c:v>7.523912669213928E-3</c:v>
                </c:pt>
                <c:pt idx="3223">
                  <c:v>7.5271549649258418E-3</c:v>
                </c:pt>
                <c:pt idx="3224">
                  <c:v>7.5289478784235087E-3</c:v>
                </c:pt>
                <c:pt idx="3225">
                  <c:v>7.5314479229948716E-3</c:v>
                </c:pt>
                <c:pt idx="3226">
                  <c:v>7.533936261170382E-3</c:v>
                </c:pt>
                <c:pt idx="3227">
                  <c:v>7.5364128928701035E-3</c:v>
                </c:pt>
                <c:pt idx="3228">
                  <c:v>7.5388778179341642E-3</c:v>
                </c:pt>
                <c:pt idx="3229">
                  <c:v>7.5413310364425001E-3</c:v>
                </c:pt>
                <c:pt idx="3230">
                  <c:v>7.5437725483151752E-3</c:v>
                </c:pt>
                <c:pt idx="3231">
                  <c:v>7.5462023537919976E-3</c:v>
                </c:pt>
                <c:pt idx="3232">
                  <c:v>7.548620452553223E-3</c:v>
                </c:pt>
                <c:pt idx="3233">
                  <c:v>7.5510268447587237E-3</c:v>
                </c:pt>
                <c:pt idx="3234">
                  <c:v>7.5534215305683716E-3</c:v>
                </c:pt>
                <c:pt idx="3235">
                  <c:v>7.5558045098222948E-3</c:v>
                </c:pt>
                <c:pt idx="3236">
                  <c:v>7.558175782360621E-3</c:v>
                </c:pt>
                <c:pt idx="3237">
                  <c:v>7.5605353484231586E-3</c:v>
                </c:pt>
                <c:pt idx="3238">
                  <c:v>7.5628832080099073E-3</c:v>
                </c:pt>
                <c:pt idx="3239">
                  <c:v>7.5652193609609952E-3</c:v>
                </c:pt>
                <c:pt idx="3240">
                  <c:v>7.5675438074362944E-3</c:v>
                </c:pt>
                <c:pt idx="3241">
                  <c:v>7.5698565472759327E-3</c:v>
                </c:pt>
                <c:pt idx="3242">
                  <c:v>7.5721575806397823E-3</c:v>
                </c:pt>
                <c:pt idx="3243">
                  <c:v>7.574446907367971E-3</c:v>
                </c:pt>
                <c:pt idx="3244">
                  <c:v>7.5767245275404349E-3</c:v>
                </c:pt>
                <c:pt idx="3245">
                  <c:v>7.5789904412371101E-3</c:v>
                </c:pt>
                <c:pt idx="3246">
                  <c:v>7.5812446483780604E-3</c:v>
                </c:pt>
                <c:pt idx="3247">
                  <c:v>7.5834871488034139E-3</c:v>
                </c:pt>
                <c:pt idx="3248">
                  <c:v>7.5857179428329147E-3</c:v>
                </c:pt>
                <c:pt idx="3249">
                  <c:v>7.5879370302267546E-3</c:v>
                </c:pt>
                <c:pt idx="3250">
                  <c:v>7.5901444110648697E-3</c:v>
                </c:pt>
                <c:pt idx="3251">
                  <c:v>7.5923400854271961E-3</c:v>
                </c:pt>
                <c:pt idx="3252">
                  <c:v>7.5945240532337976E-3</c:v>
                </c:pt>
                <c:pt idx="3253">
                  <c:v>7.5966963144047384E-3</c:v>
                </c:pt>
                <c:pt idx="3254">
                  <c:v>7.5988568690199543E-3</c:v>
                </c:pt>
                <c:pt idx="3255">
                  <c:v>7.6010057169995093E-3</c:v>
                </c:pt>
                <c:pt idx="3256">
                  <c:v>7.6031428586631478E-3</c:v>
                </c:pt>
                <c:pt idx="3257">
                  <c:v>7.6052682936911253E-3</c:v>
                </c:pt>
                <c:pt idx="3258">
                  <c:v>7.607382022003506E-3</c:v>
                </c:pt>
                <c:pt idx="3259">
                  <c:v>7.6094840438400979E-3</c:v>
                </c:pt>
                <c:pt idx="3260">
                  <c:v>7.6121012071661553E-3</c:v>
                </c:pt>
                <c:pt idx="3261">
                  <c:v>7.6139489563598062E-3</c:v>
                </c:pt>
                <c:pt idx="3262">
                  <c:v>7.616014186186959E-3</c:v>
                </c:pt>
                <c:pt idx="3263">
                  <c:v>7.618067709378451E-3</c:v>
                </c:pt>
                <c:pt idx="3264">
                  <c:v>7.6201095260941543E-3</c:v>
                </c:pt>
                <c:pt idx="3265">
                  <c:v>7.6221396361741967E-3</c:v>
                </c:pt>
                <c:pt idx="3266">
                  <c:v>7.6241580398583864E-3</c:v>
                </c:pt>
                <c:pt idx="3267">
                  <c:v>7.6261647368269792E-3</c:v>
                </c:pt>
                <c:pt idx="3268">
                  <c:v>7.6281597273197832E-3</c:v>
                </c:pt>
                <c:pt idx="3269">
                  <c:v>7.6301430111769264E-3</c:v>
                </c:pt>
                <c:pt idx="3270">
                  <c:v>7.6321145885582808E-3</c:v>
                </c:pt>
                <c:pt idx="3271">
                  <c:v>7.6340744593039744E-3</c:v>
                </c:pt>
                <c:pt idx="3272">
                  <c:v>7.6360226235738793E-3</c:v>
                </c:pt>
                <c:pt idx="3273">
                  <c:v>7.6385133487200108E-3</c:v>
                </c:pt>
                <c:pt idx="3274">
                  <c:v>7.6404420577524945E-3</c:v>
                </c:pt>
                <c:pt idx="3275">
                  <c:v>7.6423633198619001E-3</c:v>
                </c:pt>
                <c:pt idx="3276">
                  <c:v>7.6442771352880357E-3</c:v>
                </c:pt>
                <c:pt idx="3277">
                  <c:v>7.6468891868763933E-3</c:v>
                </c:pt>
                <c:pt idx="3278">
                  <c:v>7.6480824258506885E-3</c:v>
                </c:pt>
                <c:pt idx="3279">
                  <c:v>7.6499739010671419E-3</c:v>
                </c:pt>
                <c:pt idx="3280">
                  <c:v>7.6518579295203892E-3</c:v>
                </c:pt>
                <c:pt idx="3281">
                  <c:v>7.6537345112104305E-3</c:v>
                </c:pt>
                <c:pt idx="3282">
                  <c:v>7.6556036462971377E-3</c:v>
                </c:pt>
                <c:pt idx="3283">
                  <c:v>7.6574653345407029E-3</c:v>
                </c:pt>
                <c:pt idx="3284">
                  <c:v>7.6593195758611898E-3</c:v>
                </c:pt>
                <c:pt idx="3285">
                  <c:v>7.6611663705783428E-3</c:v>
                </c:pt>
                <c:pt idx="3286">
                  <c:v>7.6630057186921618E-3</c:v>
                </c:pt>
                <c:pt idx="3287">
                  <c:v>7.6648376199628387E-3</c:v>
                </c:pt>
                <c:pt idx="3288">
                  <c:v>7.6666620744703096E-3</c:v>
                </c:pt>
                <c:pt idx="3289">
                  <c:v>7.6684790821346382E-3</c:v>
                </c:pt>
                <c:pt idx="3290">
                  <c:v>7.670288643275569E-3</c:v>
                </c:pt>
                <c:pt idx="3291">
                  <c:v>7.6720907574934216E-3</c:v>
                </c:pt>
                <c:pt idx="3292">
                  <c:v>7.6738854251079403E-3</c:v>
                </c:pt>
                <c:pt idx="3293">
                  <c:v>7.6756726457993807E-3</c:v>
                </c:pt>
                <c:pt idx="3294">
                  <c:v>7.6774524198874872E-3</c:v>
                </c:pt>
                <c:pt idx="3295">
                  <c:v>7.6792247471324515E-3</c:v>
                </c:pt>
                <c:pt idx="3296">
                  <c:v>7.6809896276941458E-3</c:v>
                </c:pt>
                <c:pt idx="3297">
                  <c:v>7.6827470614926341E-3</c:v>
                </c:pt>
                <c:pt idx="3298">
                  <c:v>7.6844970486078523E-3</c:v>
                </c:pt>
                <c:pt idx="3299">
                  <c:v>7.6862395888799284E-3</c:v>
                </c:pt>
                <c:pt idx="3300">
                  <c:v>7.6879746824687345E-3</c:v>
                </c:pt>
                <c:pt idx="3301">
                  <c:v>7.6897023292943345E-3</c:v>
                </c:pt>
                <c:pt idx="3302">
                  <c:v>7.6914225292767924E-3</c:v>
                </c:pt>
                <c:pt idx="3303">
                  <c:v>7.6931352827358523E-3</c:v>
                </c:pt>
                <c:pt idx="3304">
                  <c:v>7.6948405892718341E-3</c:v>
                </c:pt>
                <c:pt idx="3305">
                  <c:v>7.6965384490446098E-3</c:v>
                </c:pt>
                <c:pt idx="3306">
                  <c:v>7.6982288622140516E-3</c:v>
                </c:pt>
                <c:pt idx="3307">
                  <c:v>7.6999118286202872E-3</c:v>
                </c:pt>
                <c:pt idx="3308">
                  <c:v>7.7015873481833808E-3</c:v>
                </c:pt>
                <c:pt idx="3309">
                  <c:v>7.7032554211431403E-3</c:v>
                </c:pt>
                <c:pt idx="3310">
                  <c:v>7.7049160471798217E-3</c:v>
                </c:pt>
                <c:pt idx="3311">
                  <c:v>7.7075105569868185E-3</c:v>
                </c:pt>
                <c:pt idx="3312">
                  <c:v>7.7088488173426839E-3</c:v>
                </c:pt>
                <c:pt idx="3313">
                  <c:v>7.7098532450303736E-3</c:v>
                </c:pt>
                <c:pt idx="3314">
                  <c:v>7.7114840841741028E-3</c:v>
                </c:pt>
                <c:pt idx="3315">
                  <c:v>7.7131074764746899E-3</c:v>
                </c:pt>
                <c:pt idx="3316">
                  <c:v>7.714723422171943E-3</c:v>
                </c:pt>
                <c:pt idx="3317">
                  <c:v>7.7163319210260539E-3</c:v>
                </c:pt>
                <c:pt idx="3318">
                  <c:v>7.7179329731169588E-3</c:v>
                </c:pt>
                <c:pt idx="3319">
                  <c:v>7.7195265786045297E-3</c:v>
                </c:pt>
                <c:pt idx="3320">
                  <c:v>7.7211127372489585E-3</c:v>
                </c:pt>
                <c:pt idx="3321">
                  <c:v>7.7226914491301812E-3</c:v>
                </c:pt>
                <c:pt idx="3322">
                  <c:v>7.7242627142481979E-3</c:v>
                </c:pt>
                <c:pt idx="3323">
                  <c:v>7.7258265326829445E-3</c:v>
                </c:pt>
                <c:pt idx="3324">
                  <c:v>7.727382904354485E-3</c:v>
                </c:pt>
                <c:pt idx="3325">
                  <c:v>7.7289318292628195E-3</c:v>
                </c:pt>
                <c:pt idx="3326">
                  <c:v>7.7304733074079479E-3</c:v>
                </c:pt>
                <c:pt idx="3327">
                  <c:v>7.7327762914354281E-3</c:v>
                </c:pt>
                <c:pt idx="3328">
                  <c:v>7.7335339234885225E-3</c:v>
                </c:pt>
                <c:pt idx="3329">
                  <c:v>7.7356268476824752E-3</c:v>
                </c:pt>
                <c:pt idx="3330">
                  <c:v>7.7365647525962089E-3</c:v>
                </c:pt>
                <c:pt idx="3331">
                  <c:v>7.738068997005243E-3</c:v>
                </c:pt>
                <c:pt idx="3332">
                  <c:v>7.739565794651071E-3</c:v>
                </c:pt>
                <c:pt idx="3333">
                  <c:v>7.741055145693565E-3</c:v>
                </c:pt>
                <c:pt idx="3334">
                  <c:v>7.7425370497330448E-3</c:v>
                </c:pt>
                <c:pt idx="3335">
                  <c:v>7.7440115071691906E-3</c:v>
                </c:pt>
                <c:pt idx="3336">
                  <c:v>7.7454785179220664E-3</c:v>
                </c:pt>
                <c:pt idx="3337">
                  <c:v>7.7469380818318001E-3</c:v>
                </c:pt>
                <c:pt idx="3338">
                  <c:v>7.7483901988983916E-3</c:v>
                </c:pt>
                <c:pt idx="3339">
                  <c:v>7.7498348693616492E-3</c:v>
                </c:pt>
                <c:pt idx="3340">
                  <c:v>7.7512720931416368E-3</c:v>
                </c:pt>
                <c:pt idx="3341">
                  <c:v>7.7527018700784822E-3</c:v>
                </c:pt>
                <c:pt idx="3342">
                  <c:v>7.7541242003320576E-3</c:v>
                </c:pt>
                <c:pt idx="3343">
                  <c:v>7.7555390837424909E-3</c:v>
                </c:pt>
                <c:pt idx="3344">
                  <c:v>7.756946520309782E-3</c:v>
                </c:pt>
                <c:pt idx="3345">
                  <c:v>7.7583465102737392E-3</c:v>
                </c:pt>
                <c:pt idx="3346">
                  <c:v>7.7597390535544264E-3</c:v>
                </c:pt>
                <c:pt idx="3347">
                  <c:v>7.7611241499919714E-3</c:v>
                </c:pt>
                <c:pt idx="3348">
                  <c:v>7.7625017996663104E-3</c:v>
                </c:pt>
                <c:pt idx="3349">
                  <c:v>7.7638720025774433E-3</c:v>
                </c:pt>
                <c:pt idx="3350">
                  <c:v>7.7652347588053061E-3</c:v>
                </c:pt>
                <c:pt idx="3351">
                  <c:v>7.7665900681900268E-3</c:v>
                </c:pt>
                <c:pt idx="3352">
                  <c:v>7.7679379308914775E-3</c:v>
                </c:pt>
                <c:pt idx="3353">
                  <c:v>7.7692783468297222E-3</c:v>
                </c:pt>
                <c:pt idx="3354">
                  <c:v>7.7706113160846968E-3</c:v>
                </c:pt>
                <c:pt idx="3355">
                  <c:v>7.7719368384165932E-3</c:v>
                </c:pt>
                <c:pt idx="3356">
                  <c:v>7.7732549141451557E-3</c:v>
                </c:pt>
                <c:pt idx="3357">
                  <c:v>7.7745655431105121E-3</c:v>
                </c:pt>
                <c:pt idx="3358">
                  <c:v>7.7758687253126624E-3</c:v>
                </c:pt>
                <c:pt idx="3359">
                  <c:v>7.7771644607516066E-3</c:v>
                </c:pt>
                <c:pt idx="3360">
                  <c:v>7.7784527494273448E-3</c:v>
                </c:pt>
                <c:pt idx="3361">
                  <c:v>7.7797335913398769E-3</c:v>
                </c:pt>
                <c:pt idx="3362">
                  <c:v>7.7810069864892029E-3</c:v>
                </c:pt>
                <c:pt idx="3363">
                  <c:v>7.7827955159937012E-3</c:v>
                </c:pt>
                <c:pt idx="3364">
                  <c:v>7.7840525034478247E-3</c:v>
                </c:pt>
                <c:pt idx="3365">
                  <c:v>7.7847824915977526E-3</c:v>
                </c:pt>
                <c:pt idx="3366">
                  <c:v>7.7860260996942543E-3</c:v>
                </c:pt>
                <c:pt idx="3367">
                  <c:v>7.787262261107486E-3</c:v>
                </c:pt>
                <c:pt idx="3368">
                  <c:v>7.7884909757575116E-3</c:v>
                </c:pt>
                <c:pt idx="3369">
                  <c:v>7.7897122437242672E-3</c:v>
                </c:pt>
                <c:pt idx="3370">
                  <c:v>7.7909260650077528E-3</c:v>
                </c:pt>
                <c:pt idx="3371">
                  <c:v>7.7921324393681601E-3</c:v>
                </c:pt>
                <c:pt idx="3372">
                  <c:v>7.7933313670452975E-3</c:v>
                </c:pt>
                <c:pt idx="3373">
                  <c:v>7.7945228478792927E-3</c:v>
                </c:pt>
                <c:pt idx="3374">
                  <c:v>7.795706882109954E-3</c:v>
                </c:pt>
                <c:pt idx="3375">
                  <c:v>7.7968834694974731E-3</c:v>
                </c:pt>
                <c:pt idx="3376">
                  <c:v>7.7980526101217862E-3</c:v>
                </c:pt>
                <c:pt idx="3377">
                  <c:v>7.7992143042227013E-3</c:v>
                </c:pt>
                <c:pt idx="3378">
                  <c:v>7.8010348841495158E-3</c:v>
                </c:pt>
                <c:pt idx="3379">
                  <c:v>7.8015153517352331E-3</c:v>
                </c:pt>
                <c:pt idx="3380">
                  <c:v>7.8026547053067219E-3</c:v>
                </c:pt>
                <c:pt idx="3381">
                  <c:v>7.8037866121949406E-3</c:v>
                </c:pt>
                <c:pt idx="3382">
                  <c:v>7.8049110723199533E-3</c:v>
                </c:pt>
                <c:pt idx="3383">
                  <c:v>7.8060280857616959E-3</c:v>
                </c:pt>
                <c:pt idx="3384">
                  <c:v>7.8071376524402325E-3</c:v>
                </c:pt>
                <c:pt idx="3385">
                  <c:v>7.8082397722756269E-3</c:v>
                </c:pt>
                <c:pt idx="3386">
                  <c:v>7.8093344454277513E-3</c:v>
                </c:pt>
                <c:pt idx="3387">
                  <c:v>7.8104216718166697E-3</c:v>
                </c:pt>
                <c:pt idx="3388">
                  <c:v>7.8115014514423819E-3</c:v>
                </c:pt>
                <c:pt idx="3389">
                  <c:v>7.8125737843048881E-3</c:v>
                </c:pt>
                <c:pt idx="3390">
                  <c:v>7.8136386704841243E-3</c:v>
                </c:pt>
                <c:pt idx="3391">
                  <c:v>7.8146961099001544E-3</c:v>
                </c:pt>
                <c:pt idx="3392">
                  <c:v>7.8157461024730424E-3</c:v>
                </c:pt>
                <c:pt idx="3393">
                  <c:v>7.8167886482827242E-3</c:v>
                </c:pt>
                <c:pt idx="3394">
                  <c:v>7.8178237474890722E-3</c:v>
                </c:pt>
                <c:pt idx="3395">
                  <c:v>7.818851399852278E-3</c:v>
                </c:pt>
                <c:pt idx="3396">
                  <c:v>7.8198716053723416E-3</c:v>
                </c:pt>
                <c:pt idx="3397">
                  <c:v>7.8208843642890713E-3</c:v>
                </c:pt>
                <c:pt idx="3398">
                  <c:v>7.8218896763626589E-3</c:v>
                </c:pt>
                <c:pt idx="3399">
                  <c:v>7.8228875417529764E-3</c:v>
                </c:pt>
                <c:pt idx="3400">
                  <c:v>7.8238779603001518E-3</c:v>
                </c:pt>
                <c:pt idx="3401">
                  <c:v>7.8248609320841211E-3</c:v>
                </c:pt>
                <c:pt idx="3402">
                  <c:v>7.8258364572647565E-3</c:v>
                </c:pt>
                <c:pt idx="3403">
                  <c:v>7.8268045355223137E-3</c:v>
                </c:pt>
                <c:pt idx="3404">
                  <c:v>7.8277651671765369E-3</c:v>
                </c:pt>
                <c:pt idx="3405">
                  <c:v>7.8287183520675541E-3</c:v>
                </c:pt>
                <c:pt idx="3406">
                  <c:v>7.829664090035493E-3</c:v>
                </c:pt>
                <c:pt idx="3407">
                  <c:v>7.830602381320162E-3</c:v>
                </c:pt>
                <c:pt idx="3408">
                  <c:v>7.8315332258416248E-3</c:v>
                </c:pt>
                <c:pt idx="3409">
                  <c:v>7.8324566236798177E-3</c:v>
                </c:pt>
                <c:pt idx="3410">
                  <c:v>7.8333725747548044E-3</c:v>
                </c:pt>
                <c:pt idx="3411">
                  <c:v>7.8342810790665851E-3</c:v>
                </c:pt>
                <c:pt idx="3412">
                  <c:v>7.8351821366151597E-3</c:v>
                </c:pt>
                <c:pt idx="3413">
                  <c:v>7.8360757474804643E-3</c:v>
                </c:pt>
                <c:pt idx="3414">
                  <c:v>7.8369619115026268E-3</c:v>
                </c:pt>
                <c:pt idx="3415">
                  <c:v>7.8378406286816471E-3</c:v>
                </c:pt>
                <c:pt idx="3416">
                  <c:v>7.8387118992573335E-3</c:v>
                </c:pt>
                <c:pt idx="3417">
                  <c:v>7.8395757229898777E-3</c:v>
                </c:pt>
                <c:pt idx="3418">
                  <c:v>7.8404321000391519E-3</c:v>
                </c:pt>
                <c:pt idx="3419">
                  <c:v>7.8412810304051561E-3</c:v>
                </c:pt>
                <c:pt idx="3420">
                  <c:v>7.8421225138480821E-3</c:v>
                </c:pt>
                <c:pt idx="3421">
                  <c:v>7.8429565506077381E-3</c:v>
                </c:pt>
                <c:pt idx="3422">
                  <c:v>7.843783140604188E-3</c:v>
                </c:pt>
                <c:pt idx="3423">
                  <c:v>7.8446022838374319E-3</c:v>
                </c:pt>
                <c:pt idx="3424">
                  <c:v>7.8454139803874057E-3</c:v>
                </c:pt>
                <c:pt idx="3425">
                  <c:v>7.8462182300143013E-3</c:v>
                </c:pt>
                <c:pt idx="3426">
                  <c:v>7.847015033037863E-3</c:v>
                </c:pt>
                <c:pt idx="3427">
                  <c:v>7.8478043892982186E-3</c:v>
                </c:pt>
                <c:pt idx="3428">
                  <c:v>7.8491504324311734E-3</c:v>
                </c:pt>
                <c:pt idx="3429">
                  <c:v>7.8493607614493754E-3</c:v>
                </c:pt>
                <c:pt idx="3430">
                  <c:v>7.8501277774201128E-3</c:v>
                </c:pt>
                <c:pt idx="3431">
                  <c:v>7.8508873466276441E-3</c:v>
                </c:pt>
                <c:pt idx="3432">
                  <c:v>7.8516394690719693E-3</c:v>
                </c:pt>
                <c:pt idx="3433">
                  <c:v>7.8523841447530884E-3</c:v>
                </c:pt>
                <c:pt idx="3434">
                  <c:v>7.8531213737509376E-3</c:v>
                </c:pt>
                <c:pt idx="3435">
                  <c:v>7.8538511559855806E-3</c:v>
                </c:pt>
                <c:pt idx="3436">
                  <c:v>7.8545734913770815E-3</c:v>
                </c:pt>
                <c:pt idx="3437">
                  <c:v>7.8552883799254403E-3</c:v>
                </c:pt>
                <c:pt idx="3438">
                  <c:v>7.8559958218704651E-3</c:v>
                </c:pt>
                <c:pt idx="3439">
                  <c:v>7.8566958171322199E-3</c:v>
                </c:pt>
                <c:pt idx="3440">
                  <c:v>7.8573883654708965E-3</c:v>
                </c:pt>
                <c:pt idx="3441">
                  <c:v>7.858073467046367E-3</c:v>
                </c:pt>
                <c:pt idx="3442">
                  <c:v>7.8587511220185036E-3</c:v>
                </c:pt>
                <c:pt idx="3443">
                  <c:v>7.859421330147498E-3</c:v>
                </c:pt>
                <c:pt idx="3444">
                  <c:v>7.8600840915132864E-3</c:v>
                </c:pt>
                <c:pt idx="3445">
                  <c:v>7.8607394062757407E-3</c:v>
                </c:pt>
                <c:pt idx="3446">
                  <c:v>7.8613872740351809E-3</c:v>
                </c:pt>
                <c:pt idx="3447">
                  <c:v>7.8620276951912871E-3</c:v>
                </c:pt>
                <c:pt idx="3448">
                  <c:v>7.8626606694243151E-3</c:v>
                </c:pt>
                <c:pt idx="3449">
                  <c:v>7.8632861971339452E-3</c:v>
                </c:pt>
                <c:pt idx="3450">
                  <c:v>7.8639042779204971E-3</c:v>
                </c:pt>
                <c:pt idx="3451">
                  <c:v>7.8645149120237789E-3</c:v>
                </c:pt>
                <c:pt idx="3452">
                  <c:v>7.8651180994437908E-3</c:v>
                </c:pt>
                <c:pt idx="3453">
                  <c:v>7.8657138400206605E-3</c:v>
                </c:pt>
                <c:pt idx="3454">
                  <c:v>7.8663021337543881E-3</c:v>
                </c:pt>
                <c:pt idx="3455">
                  <c:v>7.8668829808048457E-3</c:v>
                </c:pt>
                <c:pt idx="3456">
                  <c:v>7.8674563810920972E-3</c:v>
                </c:pt>
                <c:pt idx="3457">
                  <c:v>7.8680223346960787E-3</c:v>
                </c:pt>
                <c:pt idx="3458">
                  <c:v>7.8685808414569181E-3</c:v>
                </c:pt>
                <c:pt idx="3459">
                  <c:v>7.8691319015344874E-3</c:v>
                </c:pt>
                <c:pt idx="3460">
                  <c:v>7.8696755148488506E-3</c:v>
                </c:pt>
                <c:pt idx="3461">
                  <c:v>7.8702116814000078E-3</c:v>
                </c:pt>
                <c:pt idx="3462">
                  <c:v>7.8707404010280868E-3</c:v>
                </c:pt>
                <c:pt idx="3463">
                  <c:v>7.8712616741327679E-3</c:v>
                </c:pt>
                <c:pt idx="3464">
                  <c:v>7.8717755003143708E-3</c:v>
                </c:pt>
                <c:pt idx="3465">
                  <c:v>7.8722818798127037E-3</c:v>
                </c:pt>
                <c:pt idx="3466">
                  <c:v>7.8727808126277665E-3</c:v>
                </c:pt>
                <c:pt idx="3467">
                  <c:v>7.8732722986796233E-3</c:v>
                </c:pt>
                <c:pt idx="3468">
                  <c:v>7.8741856411412847E-3</c:v>
                </c:pt>
                <c:pt idx="3469">
                  <c:v>7.8745399203672406E-3</c:v>
                </c:pt>
                <c:pt idx="3470">
                  <c:v>7.8750069588817695E-3</c:v>
                </c:pt>
                <c:pt idx="3471">
                  <c:v>7.8754665503133481E-3</c:v>
                </c:pt>
                <c:pt idx="3472">
                  <c:v>7.8759186946619764E-3</c:v>
                </c:pt>
                <c:pt idx="3473">
                  <c:v>7.8763633918743636E-3</c:v>
                </c:pt>
                <c:pt idx="3474">
                  <c:v>7.8768006420837366E-3</c:v>
                </c:pt>
                <c:pt idx="3475">
                  <c:v>7.8772304451568687E-3</c:v>
                </c:pt>
                <c:pt idx="3476">
                  <c:v>7.8776528012003411E-3</c:v>
                </c:pt>
                <c:pt idx="3477">
                  <c:v>7.8780677101342178E-3</c:v>
                </c:pt>
                <c:pt idx="3478">
                  <c:v>7.8784751719851442E-3</c:v>
                </c:pt>
                <c:pt idx="3479">
                  <c:v>7.878875186726475E-3</c:v>
                </c:pt>
                <c:pt idx="3480">
                  <c:v>7.8792677544115008E-3</c:v>
                </c:pt>
                <c:pt idx="3481">
                  <c:v>7.8796528750402217E-3</c:v>
                </c:pt>
                <c:pt idx="3482">
                  <c:v>7.8800305485593469E-3</c:v>
                </c:pt>
                <c:pt idx="3483">
                  <c:v>7.8803847117381309E-3</c:v>
                </c:pt>
                <c:pt idx="3484">
                  <c:v>7.8807635543221011E-3</c:v>
                </c:pt>
                <c:pt idx="3485">
                  <c:v>7.8811188866190207E-3</c:v>
                </c:pt>
                <c:pt idx="3486">
                  <c:v>7.8814667718063447E-3</c:v>
                </c:pt>
                <c:pt idx="3487">
                  <c:v>7.8818072099107184E-3</c:v>
                </c:pt>
                <c:pt idx="3488">
                  <c:v>7.8821402009321417E-3</c:v>
                </c:pt>
                <c:pt idx="3489">
                  <c:v>7.8824657448706148E-3</c:v>
                </c:pt>
                <c:pt idx="3490">
                  <c:v>7.8827838417527829E-3</c:v>
                </c:pt>
                <c:pt idx="3491">
                  <c:v>7.8830944915253554E-3</c:v>
                </c:pt>
                <c:pt idx="3492">
                  <c:v>7.8833976942416228E-3</c:v>
                </c:pt>
                <c:pt idx="3493">
                  <c:v>7.8836934498216493E-3</c:v>
                </c:pt>
                <c:pt idx="3494">
                  <c:v>7.8839817583453708E-3</c:v>
                </c:pt>
                <c:pt idx="3495">
                  <c:v>7.8842626197861421E-3</c:v>
                </c:pt>
                <c:pt idx="3496">
                  <c:v>7.8845360341706083E-3</c:v>
                </c:pt>
                <c:pt idx="3497">
                  <c:v>7.8848020014188336E-3</c:v>
                </c:pt>
                <c:pt idx="3498">
                  <c:v>7.8850605216373992E-3</c:v>
                </c:pt>
                <c:pt idx="3499">
                  <c:v>7.8853115947730146E-3</c:v>
                </c:pt>
                <c:pt idx="3500">
                  <c:v>7.8855552207723889E-3</c:v>
                </c:pt>
                <c:pt idx="3501">
                  <c:v>7.8857913997154583E-3</c:v>
                </c:pt>
                <c:pt idx="3502">
                  <c:v>7.8860201315755774E-3</c:v>
                </c:pt>
                <c:pt idx="3503">
                  <c:v>7.8862414163793915E-3</c:v>
                </c:pt>
                <c:pt idx="3504">
                  <c:v>7.8864552540469646E-3</c:v>
                </c:pt>
                <c:pt idx="3505">
                  <c:v>7.8866616446848781E-3</c:v>
                </c:pt>
                <c:pt idx="3506">
                  <c:v>7.8868605881599052E-3</c:v>
                </c:pt>
                <c:pt idx="3507">
                  <c:v>7.8870520846319181E-3</c:v>
                </c:pt>
                <c:pt idx="3508">
                  <c:v>7.8872361339943353E-3</c:v>
                </c:pt>
                <c:pt idx="3509">
                  <c:v>7.8874127362738022E-3</c:v>
                </c:pt>
                <c:pt idx="3510">
                  <c:v>7.8875818914969642E-3</c:v>
                </c:pt>
                <c:pt idx="3511">
                  <c:v>7.8877435995838852E-3</c:v>
                </c:pt>
                <c:pt idx="3512">
                  <c:v>7.8878978606145012E-3</c:v>
                </c:pt>
                <c:pt idx="3513">
                  <c:v>7.8880446745621668E-3</c:v>
                </c:pt>
                <c:pt idx="3514">
                  <c:v>7.8881840413735915E-3</c:v>
                </c:pt>
                <c:pt idx="3515">
                  <c:v>7.888315961182002E-3</c:v>
                </c:pt>
                <c:pt idx="3516">
                  <c:v>7.888440433827526E-3</c:v>
                </c:pt>
                <c:pt idx="3517">
                  <c:v>7.8885574594966812E-3</c:v>
                </c:pt>
                <c:pt idx="3518">
                  <c:v>7.88866703800295E-3</c:v>
                </c:pt>
                <c:pt idx="3519">
                  <c:v>7.8887691694529138E-3</c:v>
                </c:pt>
                <c:pt idx="3520">
                  <c:v>7.8888094620355176E-3</c:v>
                </c:pt>
                <c:pt idx="3521">
                  <c:v>7.8888018276224159E-3</c:v>
                </c:pt>
                <c:pt idx="3522">
                  <c:v>7.8888794866216472E-3</c:v>
                </c:pt>
                <c:pt idx="3523">
                  <c:v>7.8889496989376084E-3</c:v>
                </c:pt>
                <c:pt idx="3524">
                  <c:v>7.8890124644104276E-3</c:v>
                </c:pt>
                <c:pt idx="3525">
                  <c:v>7.8890677831999767E-3</c:v>
                </c:pt>
                <c:pt idx="3526">
                  <c:v>7.8891156553062558E-3</c:v>
                </c:pt>
                <c:pt idx="3527">
                  <c:v>7.8891560804095207E-3</c:v>
                </c:pt>
                <c:pt idx="3528">
                  <c:v>7.8891890589893876E-3</c:v>
                </c:pt>
                <c:pt idx="3529">
                  <c:v>7.8892145907261124E-3</c:v>
                </c:pt>
                <c:pt idx="3530">
                  <c:v>7.8892326756996312E-3</c:v>
                </c:pt>
                <c:pt idx="3531">
                  <c:v>7.8892433138300078E-3</c:v>
                </c:pt>
                <c:pt idx="3532">
                  <c:v>#N/A</c:v>
                </c:pt>
                <c:pt idx="3533">
                  <c:v>#N/A</c:v>
                </c:pt>
              </c:numCache>
            </c:numRef>
          </c:val>
          <c:smooth val="0"/>
        </c:ser>
        <c:dLbls>
          <c:showLegendKey val="0"/>
          <c:showVal val="0"/>
          <c:showCatName val="0"/>
          <c:showSerName val="0"/>
          <c:showPercent val="0"/>
          <c:showBubbleSize val="0"/>
        </c:dLbls>
        <c:marker val="1"/>
        <c:smooth val="0"/>
        <c:axId val="591952128"/>
        <c:axId val="591966592"/>
      </c:lineChart>
      <c:dateAx>
        <c:axId val="591952128"/>
        <c:scaling>
          <c:orientation val="minMax"/>
          <c:max val="4281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91966592"/>
        <c:crosses val="autoZero"/>
        <c:auto val="1"/>
        <c:lblOffset val="100"/>
        <c:baseTimeUnit val="days"/>
        <c:majorUnit val="3"/>
        <c:majorTimeUnit val="months"/>
      </c:dateAx>
      <c:valAx>
        <c:axId val="591966592"/>
        <c:scaling>
          <c:orientation val="minMax"/>
          <c:max val="5.0000000000000001E-3"/>
          <c:min val="0"/>
        </c:scaling>
        <c:delete val="0"/>
        <c:axPos val="l"/>
        <c:majorGridlines/>
        <c:numFmt formatCode="0.00%" sourceLinked="0"/>
        <c:majorTickMark val="out"/>
        <c:minorTickMark val="none"/>
        <c:tickLblPos val="nextTo"/>
        <c:crossAx val="59195212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39" customWidth="1"/>
    <col min="3" max="3" width="18" style="139" bestFit="1" customWidth="1"/>
    <col min="4" max="4" width="23.85546875" style="139" bestFit="1" customWidth="1"/>
    <col min="5" max="5" width="22" style="139" bestFit="1" customWidth="1"/>
    <col min="6" max="7" width="2.7109375" style="139" customWidth="1"/>
    <col min="8" max="8" width="4" style="139" bestFit="1" customWidth="1"/>
    <col min="9" max="9" width="3.28515625" style="139" bestFit="1" customWidth="1"/>
    <col min="10" max="11" width="2.7109375" style="139" customWidth="1"/>
    <col min="12" max="12" width="18.5703125" style="139" bestFit="1" customWidth="1"/>
    <col min="13" max="13" width="53.7109375" style="139" bestFit="1" customWidth="1"/>
    <col min="14" max="14" width="2.7109375" style="139" customWidth="1"/>
    <col min="15" max="16384" width="8" style="139"/>
  </cols>
  <sheetData>
    <row r="1" spans="2:14" ht="12" thickBot="1" x14ac:dyDescent="0.25">
      <c r="B1" s="139" t="str">
        <f>_xll.qlxlVersion(TRUE,Trigger)</f>
        <v>QuantLibXL 1.5.0 - MS VC++ 9.0 - Multithreaded Dynamic Runtime library - Release Configuration - Dec 24 2014 09:17:06</v>
      </c>
    </row>
    <row r="2" spans="2:14" ht="18.75" thickBot="1" x14ac:dyDescent="0.3">
      <c r="B2" s="330" t="s">
        <v>83</v>
      </c>
      <c r="C2" s="331"/>
      <c r="D2" s="331"/>
      <c r="E2" s="331"/>
      <c r="F2" s="332"/>
      <c r="K2" s="330" t="s">
        <v>104</v>
      </c>
      <c r="L2" s="331"/>
      <c r="M2" s="331"/>
      <c r="N2" s="333"/>
    </row>
    <row r="3" spans="2:14" ht="12" thickBot="1" x14ac:dyDescent="0.25">
      <c r="B3" s="25"/>
      <c r="C3" s="54"/>
      <c r="D3" s="23"/>
      <c r="E3" s="23"/>
      <c r="F3" s="22"/>
      <c r="K3" s="88"/>
      <c r="L3" s="91"/>
      <c r="M3" s="91"/>
      <c r="N3" s="90"/>
    </row>
    <row r="4" spans="2:14" x14ac:dyDescent="0.2">
      <c r="B4" s="25"/>
      <c r="C4" s="53" t="s">
        <v>82</v>
      </c>
      <c r="D4" s="40" t="s">
        <v>79</v>
      </c>
      <c r="E4" s="23"/>
      <c r="F4" s="22"/>
      <c r="H4" s="141" t="s">
        <v>81</v>
      </c>
      <c r="I4" s="142"/>
      <c r="K4" s="88"/>
      <c r="L4" s="87" t="s">
        <v>103</v>
      </c>
      <c r="M4" s="81" t="b">
        <v>0</v>
      </c>
      <c r="N4" s="86"/>
    </row>
    <row r="5" spans="2:14" x14ac:dyDescent="0.2">
      <c r="B5" s="25"/>
      <c r="C5" s="52" t="s">
        <v>80</v>
      </c>
      <c r="D5" s="26">
        <v>6</v>
      </c>
      <c r="E5" s="23"/>
      <c r="F5" s="22"/>
      <c r="H5" s="143" t="s">
        <v>79</v>
      </c>
      <c r="I5" s="144" t="s">
        <v>78</v>
      </c>
      <c r="K5" s="88"/>
      <c r="L5" s="87" t="s">
        <v>102</v>
      </c>
      <c r="M5" s="89"/>
      <c r="N5" s="86"/>
    </row>
    <row r="6" spans="2:14" x14ac:dyDescent="0.2">
      <c r="B6" s="25"/>
      <c r="C6" s="52" t="s">
        <v>77</v>
      </c>
      <c r="D6" s="26" t="str">
        <f>_xll.qlPeriodEquivalent(D5&amp;"M")</f>
        <v>6M</v>
      </c>
      <c r="E6" s="23"/>
      <c r="F6" s="22"/>
      <c r="H6" s="143" t="s">
        <v>76</v>
      </c>
      <c r="I6" s="144"/>
      <c r="K6" s="88"/>
      <c r="L6" s="87" t="s">
        <v>101</v>
      </c>
      <c r="M6" s="78" t="b">
        <v>1</v>
      </c>
      <c r="N6" s="86"/>
    </row>
    <row r="7" spans="2:14" ht="12" thickBot="1" x14ac:dyDescent="0.25">
      <c r="B7" s="25"/>
      <c r="C7" s="52" t="s">
        <v>75</v>
      </c>
      <c r="D7" s="26" t="str">
        <f>Months&amp;IF(UPPER(Currency)="EUR","E","L")</f>
        <v>6E</v>
      </c>
      <c r="E7" s="23"/>
      <c r="F7" s="22"/>
      <c r="H7" s="143" t="s">
        <v>74</v>
      </c>
      <c r="I7" s="144"/>
      <c r="K7" s="85"/>
      <c r="L7" s="84"/>
      <c r="M7" s="84"/>
      <c r="N7" s="83"/>
    </row>
    <row r="8" spans="2:14" ht="12" thickBot="1" x14ac:dyDescent="0.25">
      <c r="B8" s="25"/>
      <c r="C8" s="52" t="s">
        <v>73</v>
      </c>
      <c r="D8" s="26" t="str">
        <f>VLOOKUP(Currency,H4:I8,2)</f>
        <v>AB</v>
      </c>
      <c r="E8" s="23"/>
      <c r="F8" s="22"/>
      <c r="H8" s="145" t="s">
        <v>72</v>
      </c>
      <c r="I8" s="146" t="s">
        <v>71</v>
      </c>
      <c r="K8" s="140"/>
      <c r="L8" s="140"/>
      <c r="M8" s="140"/>
      <c r="N8" s="140"/>
    </row>
    <row r="9" spans="2:14" ht="18.75" thickBot="1" x14ac:dyDescent="0.3">
      <c r="B9" s="25"/>
      <c r="C9" s="52" t="s">
        <v>70</v>
      </c>
      <c r="D9" s="26" t="str">
        <f>Currency&amp;"_YC"&amp;IndexTenor&amp;"RH"</f>
        <v>EUR_YC6MRH</v>
      </c>
      <c r="E9" s="23"/>
      <c r="F9" s="22"/>
      <c r="K9" s="330" t="s">
        <v>100</v>
      </c>
      <c r="L9" s="331"/>
      <c r="M9" s="331"/>
      <c r="N9" s="333"/>
    </row>
    <row r="10" spans="2:14" ht="12.75" x14ac:dyDescent="0.2">
      <c r="B10" s="25"/>
      <c r="C10" s="51" t="s">
        <v>69</v>
      </c>
      <c r="D10" s="26" t="b">
        <v>1</v>
      </c>
      <c r="E10" s="23"/>
      <c r="F10" s="22"/>
      <c r="K10" s="80"/>
      <c r="L10" s="82"/>
      <c r="M10" s="82"/>
      <c r="N10" s="77"/>
    </row>
    <row r="11" spans="2:14" ht="12.75" x14ac:dyDescent="0.2">
      <c r="B11" s="25"/>
      <c r="C11" s="51" t="s">
        <v>68</v>
      </c>
      <c r="D11" s="50"/>
      <c r="E11" s="23"/>
      <c r="F11" s="22"/>
      <c r="K11" s="80"/>
      <c r="L11" s="79" t="s">
        <v>99</v>
      </c>
      <c r="M11" s="81" t="s">
        <v>98</v>
      </c>
      <c r="N11" s="77"/>
    </row>
    <row r="12" spans="2:14" ht="12.75" x14ac:dyDescent="0.2">
      <c r="B12" s="25"/>
      <c r="C12" s="49" t="s">
        <v>67</v>
      </c>
      <c r="D12" s="48" t="b">
        <v>1</v>
      </c>
      <c r="E12" s="23"/>
      <c r="F12" s="22"/>
      <c r="K12" s="80"/>
      <c r="L12" s="79" t="s">
        <v>97</v>
      </c>
      <c r="M12" s="78" t="s">
        <v>96</v>
      </c>
      <c r="N12" s="77"/>
    </row>
    <row r="13" spans="2:14" ht="12.75" x14ac:dyDescent="0.2">
      <c r="B13" s="25"/>
      <c r="C13" s="30"/>
      <c r="D13" s="30"/>
      <c r="E13" s="23"/>
      <c r="F13" s="22"/>
      <c r="K13" s="80"/>
      <c r="L13" s="79" t="s">
        <v>121</v>
      </c>
      <c r="M13" s="81" t="s">
        <v>120</v>
      </c>
      <c r="N13" s="77"/>
    </row>
    <row r="14" spans="2:14" ht="12.75" x14ac:dyDescent="0.2">
      <c r="B14" s="25"/>
      <c r="C14" s="45" t="s">
        <v>66</v>
      </c>
      <c r="D14" s="47" t="str">
        <f>_xll.qlPiecewiseYieldCurve(D16,NDays,Calendar,_xll.ohPack(Selected!D2:D126),DayCounter,JumpQuotes,JumpDates,Accuracy,TraitsID,InterpolatorID,Permanent,,ObjectOverwrite)</f>
        <v>_EURYC6M#0002</v>
      </c>
      <c r="E14" s="23"/>
      <c r="F14" s="22"/>
      <c r="K14" s="80"/>
      <c r="L14" s="79" t="s">
        <v>119</v>
      </c>
      <c r="M14" s="81" t="s">
        <v>118</v>
      </c>
      <c r="N14" s="77"/>
    </row>
    <row r="15" spans="2:14" ht="12.75" x14ac:dyDescent="0.2">
      <c r="B15" s="25"/>
      <c r="C15" s="32" t="s">
        <v>45</v>
      </c>
      <c r="D15" s="46" t="str">
        <f>_xll.ohRangeRetrieveError(YieldCurve)</f>
        <v/>
      </c>
      <c r="E15" s="23"/>
      <c r="F15" s="22"/>
      <c r="K15" s="80"/>
      <c r="L15" s="79" t="s">
        <v>117</v>
      </c>
      <c r="M15" s="81" t="str">
        <f>PROPER(Currency)&amp;"ON"</f>
        <v>EurON</v>
      </c>
      <c r="N15" s="77"/>
    </row>
    <row r="16" spans="2:14" ht="13.5" thickBot="1" x14ac:dyDescent="0.25">
      <c r="B16" s="25"/>
      <c r="C16" s="45" t="s">
        <v>65</v>
      </c>
      <c r="D16" s="44" t="str">
        <f>"_"&amp;Currency&amp;"YC"&amp;IndexTenor</f>
        <v>_EURYC6M</v>
      </c>
      <c r="E16" s="23"/>
      <c r="F16" s="22"/>
      <c r="K16" s="76"/>
      <c r="L16" s="75"/>
      <c r="M16" s="75"/>
      <c r="N16" s="74"/>
    </row>
    <row r="17" spans="2:6" x14ac:dyDescent="0.2">
      <c r="B17" s="25"/>
      <c r="C17" s="34" t="s">
        <v>64</v>
      </c>
      <c r="D17" s="43">
        <v>2</v>
      </c>
      <c r="E17" s="23"/>
      <c r="F17" s="22"/>
    </row>
    <row r="18" spans="2:6" x14ac:dyDescent="0.2">
      <c r="B18" s="25"/>
      <c r="C18" s="34" t="s">
        <v>63</v>
      </c>
      <c r="D18" s="42" t="s">
        <v>137</v>
      </c>
      <c r="E18" s="23"/>
      <c r="F18" s="22"/>
    </row>
    <row r="19" spans="2:6" x14ac:dyDescent="0.2">
      <c r="B19" s="25"/>
      <c r="C19" s="34" t="s">
        <v>62</v>
      </c>
      <c r="D19" s="42"/>
      <c r="E19" s="23"/>
      <c r="F19" s="22"/>
    </row>
    <row r="20" spans="2:6" x14ac:dyDescent="0.2">
      <c r="B20" s="25"/>
      <c r="C20" s="34" t="s">
        <v>61</v>
      </c>
      <c r="D20" s="41" t="str">
        <f>Currency&amp;"TOY_SYNTH"&amp;IndexTenor&amp;"_Quote"</f>
        <v>EURTOY_SYNTH6M_Quote</v>
      </c>
      <c r="E20" s="40" t="str">
        <f>Currency&amp;"TOY2_SYNTH"&amp;IndexTenor&amp;"_Quote"</f>
        <v>EURTOY2_SYNTH6M_Quote</v>
      </c>
      <c r="F20" s="22"/>
    </row>
    <row r="21" spans="2:6" x14ac:dyDescent="0.2">
      <c r="B21" s="25"/>
      <c r="C21" s="34" t="s">
        <v>60</v>
      </c>
      <c r="D21" s="39">
        <f>DATE(YEAR(_xll.qlCalendarAdvance(Calendar,_xll.qlSettingsEvaluationDate(Trigger),NDays&amp;"D")),12,31)</f>
        <v>42369</v>
      </c>
      <c r="E21" s="38">
        <f>DATE(YEAR(D21+1),12,31)</f>
        <v>42735</v>
      </c>
      <c r="F21" s="22"/>
    </row>
    <row r="22" spans="2:6" x14ac:dyDescent="0.2">
      <c r="B22" s="25"/>
      <c r="C22" s="34" t="s">
        <v>59</v>
      </c>
      <c r="D22" s="37"/>
      <c r="E22" s="36"/>
      <c r="F22" s="22"/>
    </row>
    <row r="23" spans="2:6" x14ac:dyDescent="0.2">
      <c r="B23" s="25"/>
      <c r="C23" s="34" t="s">
        <v>58</v>
      </c>
      <c r="D23" s="35" t="e">
        <f>NA()</f>
        <v>#N/A</v>
      </c>
      <c r="E23" s="23"/>
      <c r="F23" s="22"/>
    </row>
    <row r="24" spans="2:6" x14ac:dyDescent="0.2">
      <c r="B24" s="25"/>
      <c r="C24" s="34" t="s">
        <v>57</v>
      </c>
      <c r="D24" s="33" t="s">
        <v>56</v>
      </c>
      <c r="E24" s="23"/>
      <c r="F24" s="22"/>
    </row>
    <row r="25" spans="2:6" x14ac:dyDescent="0.2">
      <c r="B25" s="25"/>
      <c r="C25" s="32" t="s">
        <v>55</v>
      </c>
      <c r="D25" s="31" t="s">
        <v>54</v>
      </c>
      <c r="E25" s="23"/>
      <c r="F25" s="22"/>
    </row>
    <row r="26" spans="2:6" x14ac:dyDescent="0.2">
      <c r="B26" s="25"/>
      <c r="C26" s="30"/>
      <c r="D26" s="30"/>
      <c r="E26" s="23"/>
      <c r="F26" s="22"/>
    </row>
    <row r="27" spans="2:6" x14ac:dyDescent="0.2">
      <c r="B27" s="25"/>
      <c r="C27" s="29">
        <f>_xll.qlTermStructureReferenceDate(YieldCurve)</f>
        <v>42087</v>
      </c>
      <c r="D27" s="28">
        <f>MAX(_xll.ohPack(Selected!J1:J126))</f>
        <v>1</v>
      </c>
      <c r="E27" s="23"/>
      <c r="F27" s="22"/>
    </row>
    <row r="28" spans="2:6" x14ac:dyDescent="0.2">
      <c r="B28" s="25"/>
      <c r="C28" s="27">
        <f>MAX(_xll.ohPack(Selected!I2:I126))</f>
        <v>64003</v>
      </c>
      <c r="D28" s="26">
        <f>MIN(_xll.ohPack(Selected!J1:J126))</f>
        <v>0.59752170147199513</v>
      </c>
      <c r="E28" s="23"/>
      <c r="F28" s="22"/>
    </row>
    <row r="29" spans="2:6" x14ac:dyDescent="0.2">
      <c r="B29" s="25"/>
      <c r="C29" s="160" t="s">
        <v>45</v>
      </c>
      <c r="D29" s="161" t="str">
        <f>_xll.ohRangeRetrieveError(Selected!J1)</f>
        <v/>
      </c>
      <c r="E29" s="23"/>
      <c r="F29" s="22"/>
    </row>
    <row r="30" spans="2:6" ht="11.25" customHeight="1" x14ac:dyDescent="0.2">
      <c r="B30" s="25"/>
      <c r="C30" s="160" t="str">
        <f>[1]Euribor!$E$11</f>
        <v>EUR6M#0000</v>
      </c>
      <c r="D30" s="26" t="b">
        <f>_xll.qlRelinkableHandleLinkTo(C30,YieldCurve)</f>
        <v>1</v>
      </c>
      <c r="E30" s="23"/>
      <c r="F30" s="22"/>
    </row>
    <row r="31" spans="2:6" x14ac:dyDescent="0.2">
      <c r="B31" s="25"/>
      <c r="C31" s="24" t="s">
        <v>142</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6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60"/>
  </cols>
  <sheetData>
    <row r="1" spans="2:10" ht="33.75" x14ac:dyDescent="0.2">
      <c r="B1" s="148" t="s">
        <v>44</v>
      </c>
      <c r="C1" s="148" t="s">
        <v>159</v>
      </c>
      <c r="D1" s="148" t="s">
        <v>43</v>
      </c>
      <c r="E1" s="148" t="s">
        <v>42</v>
      </c>
      <c r="F1" s="148" t="s">
        <v>41</v>
      </c>
      <c r="G1" s="148" t="s">
        <v>40</v>
      </c>
      <c r="H1" s="148" t="s">
        <v>39</v>
      </c>
      <c r="I1" s="148" t="s">
        <v>38</v>
      </c>
      <c r="J1" s="148" t="s">
        <v>37</v>
      </c>
    </row>
    <row r="2" spans="2:10" x14ac:dyDescent="0.2">
      <c r="B2" s="266" t="str">
        <f>Deposits!J3</f>
        <v>obj_0089d#0001</v>
      </c>
      <c r="C2" s="149" t="str">
        <f>_xll.qlRateHelperQuoteName(B2)</f>
        <v>EURSND_SYNTH6M_Quote</v>
      </c>
      <c r="D2" s="150">
        <f>_xll.qlRateHelperQuoteValue($B2,Trigger)</f>
        <v>1.0629999999999999E-3</v>
      </c>
      <c r="E2" s="150"/>
      <c r="F2" s="151" t="b">
        <v>0</v>
      </c>
      <c r="G2" s="151">
        <v>10</v>
      </c>
      <c r="H2" s="151">
        <v>1</v>
      </c>
      <c r="I2" s="156">
        <f>_xll.qlRateHelperEarliestDate($B2,Trigger)</f>
        <v>42087</v>
      </c>
      <c r="J2" s="157">
        <f>_xll.qlRateHelperLatestDate($B2,Trigger)</f>
        <v>42088</v>
      </c>
    </row>
    <row r="3" spans="2:10" x14ac:dyDescent="0.2">
      <c r="B3" s="266" t="str">
        <f>Deposits!J4</f>
        <v>obj_008b4#0001</v>
      </c>
      <c r="C3" s="149" t="str">
        <f>_xll.qlRateHelperQuoteName(B3)</f>
        <v>EURSWD_SYNTH6M_Quote</v>
      </c>
      <c r="D3" s="150">
        <f>_xll.qlRateHelperQuoteValue($B3,Trigger)</f>
        <v>9.7000000000000005E-4</v>
      </c>
      <c r="E3" s="150"/>
      <c r="F3" s="151" t="b">
        <v>0</v>
      </c>
      <c r="G3" s="151">
        <v>10</v>
      </c>
      <c r="H3" s="151">
        <v>1</v>
      </c>
      <c r="I3" s="156">
        <f>_xll.qlRateHelperEarliestDate($B3,Trigger)</f>
        <v>42087</v>
      </c>
      <c r="J3" s="157">
        <f>_xll.qlRateHelperLatestDate($B3,Trigger)</f>
        <v>42094</v>
      </c>
    </row>
    <row r="4" spans="2:10" x14ac:dyDescent="0.2">
      <c r="B4" s="266" t="str">
        <f>Deposits!J5</f>
        <v>obj_008a8#0001</v>
      </c>
      <c r="C4" s="149" t="str">
        <f>_xll.qlRateHelperQuoteName(B4)</f>
        <v>EUR2WD_SYNTH6M_Quote</v>
      </c>
      <c r="D4" s="150">
        <f>_xll.qlRateHelperQuoteValue($B4,Trigger)</f>
        <v>1.0399999999999999E-3</v>
      </c>
      <c r="E4" s="150"/>
      <c r="F4" s="151" t="b">
        <v>0</v>
      </c>
      <c r="G4" s="151">
        <v>10</v>
      </c>
      <c r="H4" s="151">
        <v>1</v>
      </c>
      <c r="I4" s="156">
        <f>_xll.qlRateHelperEarliestDate($B4,Trigger)</f>
        <v>42087</v>
      </c>
      <c r="J4" s="157">
        <f>_xll.qlRateHelperLatestDate($B4,Trigger)</f>
        <v>42101</v>
      </c>
    </row>
    <row r="5" spans="2:10" x14ac:dyDescent="0.2">
      <c r="B5" s="266" t="str">
        <f>Deposits!J6</f>
        <v>obj_008b1#0001</v>
      </c>
      <c r="C5" s="149" t="str">
        <f>_xll.qlRateHelperQuoteName(B5)</f>
        <v>EUR3WD_SYNTH6M_Quote</v>
      </c>
      <c r="D5" s="150">
        <f>_xll.qlRateHelperQuoteValue($B5,Trigger)</f>
        <v>9.6900000000000003E-4</v>
      </c>
      <c r="E5" s="150"/>
      <c r="F5" s="151" t="b">
        <v>0</v>
      </c>
      <c r="G5" s="151">
        <v>10</v>
      </c>
      <c r="H5" s="151">
        <v>1</v>
      </c>
      <c r="I5" s="156">
        <f>_xll.qlRateHelperEarliestDate($B5,Trigger)</f>
        <v>42087</v>
      </c>
      <c r="J5" s="157">
        <f>_xll.qlRateHelperLatestDate($B5,Trigger)</f>
        <v>42108</v>
      </c>
    </row>
    <row r="6" spans="2:10" x14ac:dyDescent="0.2">
      <c r="B6" s="266" t="str">
        <f>Deposits!J7</f>
        <v>obj_008a3#0001</v>
      </c>
      <c r="C6" s="149" t="str">
        <f>_xll.qlRateHelperQuoteName(B6)</f>
        <v>EUR1MD_SYNTH6M_Quote</v>
      </c>
      <c r="D6" s="150">
        <f>_xll.qlRateHelperQuoteValue($B6,Trigger)</f>
        <v>9.2400000000000002E-4</v>
      </c>
      <c r="E6" s="150"/>
      <c r="F6" s="151" t="b">
        <v>1</v>
      </c>
      <c r="G6" s="151">
        <v>10</v>
      </c>
      <c r="H6" s="151">
        <v>1</v>
      </c>
      <c r="I6" s="156">
        <f>_xll.qlRateHelperEarliestDate($B6,Trigger)</f>
        <v>42087</v>
      </c>
      <c r="J6" s="157">
        <f>_xll.qlRateHelperLatestDate($B6,Trigger)</f>
        <v>42118</v>
      </c>
    </row>
    <row r="7" spans="2:10" x14ac:dyDescent="0.2">
      <c r="B7" s="266" t="str">
        <f>Deposits!J8</f>
        <v>obj_008a5#0001</v>
      </c>
      <c r="C7" s="149" t="str">
        <f>_xll.qlRateHelperQuoteName(B7)</f>
        <v>EUR2MD_SYNTH6M_Quote</v>
      </c>
      <c r="D7" s="150">
        <f>_xll.qlRateHelperQuoteValue($B7,Trigger)</f>
        <v>9.0799999999999995E-4</v>
      </c>
      <c r="E7" s="150"/>
      <c r="F7" s="151" t="b">
        <v>1</v>
      </c>
      <c r="G7" s="151">
        <v>10</v>
      </c>
      <c r="H7" s="151">
        <v>1</v>
      </c>
      <c r="I7" s="156">
        <f>_xll.qlRateHelperEarliestDate($B7,Trigger)</f>
        <v>42087</v>
      </c>
      <c r="J7" s="157">
        <f>_xll.qlRateHelperLatestDate($B7,Trigger)</f>
        <v>42149</v>
      </c>
    </row>
    <row r="8" spans="2:10" x14ac:dyDescent="0.2">
      <c r="B8" s="266" t="str">
        <f>Deposits!J9</f>
        <v>obj_00899#0001</v>
      </c>
      <c r="C8" s="149" t="str">
        <f>_xll.qlRateHelperQuoteName(B8)</f>
        <v>EUR3MD_SYNTH6M_Quote</v>
      </c>
      <c r="D8" s="150">
        <f>_xll.qlRateHelperQuoteValue($B8,Trigger)</f>
        <v>8.8199999999999997E-4</v>
      </c>
      <c r="E8" s="150"/>
      <c r="F8" s="151" t="b">
        <v>1</v>
      </c>
      <c r="G8" s="151">
        <v>10</v>
      </c>
      <c r="H8" s="151">
        <v>1</v>
      </c>
      <c r="I8" s="156">
        <f>_xll.qlRateHelperEarliestDate($B8,Trigger)</f>
        <v>42087</v>
      </c>
      <c r="J8" s="157">
        <f>_xll.qlRateHelperLatestDate($B8,Trigger)</f>
        <v>42179</v>
      </c>
    </row>
    <row r="9" spans="2:10" x14ac:dyDescent="0.2">
      <c r="B9" s="266" t="str">
        <f>Deposits!J10</f>
        <v>obj_00893#0001</v>
      </c>
      <c r="C9" s="149" t="str">
        <f>_xll.qlRateHelperQuoteName(B9)</f>
        <v>EUR4MD_SYNTH6M_Quote</v>
      </c>
      <c r="D9" s="150">
        <f>_xll.qlRateHelperQuoteValue($B9,Trigger)</f>
        <v>8.5400000000000005E-4</v>
      </c>
      <c r="E9" s="150"/>
      <c r="F9" s="151" t="b">
        <v>1</v>
      </c>
      <c r="G9" s="151">
        <v>10</v>
      </c>
      <c r="H9" s="151">
        <v>1</v>
      </c>
      <c r="I9" s="156">
        <f>_xll.qlRateHelperEarliestDate($B9,Trigger)</f>
        <v>42087</v>
      </c>
      <c r="J9" s="157">
        <f>_xll.qlRateHelperLatestDate($B9,Trigger)</f>
        <v>42209</v>
      </c>
    </row>
    <row r="10" spans="2:10" x14ac:dyDescent="0.2">
      <c r="B10" s="266" t="str">
        <f>Deposits!J11</f>
        <v>obj_008bb#0001</v>
      </c>
      <c r="C10" s="149" t="str">
        <f>_xll.qlRateHelperQuoteName(B10)</f>
        <v>EUR5MD_SYNTH6M_Quote</v>
      </c>
      <c r="D10" s="150">
        <f>_xll.qlRateHelperQuoteValue($B10,Trigger)</f>
        <v>8.4400000000000002E-4</v>
      </c>
      <c r="E10" s="150"/>
      <c r="F10" s="151" t="b">
        <v>1</v>
      </c>
      <c r="G10" s="151">
        <v>10</v>
      </c>
      <c r="H10" s="151">
        <v>1</v>
      </c>
      <c r="I10" s="156">
        <f>_xll.qlRateHelperEarliestDate($B10,Trigger)</f>
        <v>42087</v>
      </c>
      <c r="J10" s="157">
        <f>_xll.qlRateHelperLatestDate($B10,Trigger)</f>
        <v>42240</v>
      </c>
    </row>
    <row r="11" spans="2:10" x14ac:dyDescent="0.2">
      <c r="B11" s="267" t="str">
        <f>Deposits!J12</f>
        <v>obj_008a1#0001</v>
      </c>
      <c r="C11" s="152" t="str">
        <f>_xll.qlRateHelperQuoteName(B11)</f>
        <v>EUR6MD_SYNTH6M_Quote</v>
      </c>
      <c r="D11" s="153">
        <f>_xll.qlRateHelperQuoteValue($B11,Trigger)</f>
        <v>8.43E-4</v>
      </c>
      <c r="E11" s="153"/>
      <c r="F11" s="154" t="b">
        <v>1</v>
      </c>
      <c r="G11" s="154">
        <v>10</v>
      </c>
      <c r="H11" s="154">
        <v>1</v>
      </c>
      <c r="I11" s="158">
        <f>_xll.qlRateHelperEarliestDate($B11,Trigger)</f>
        <v>42087</v>
      </c>
      <c r="J11" s="159">
        <f>_xll.qlRateHelperLatestDate($B11,Trigger)</f>
        <v>42271</v>
      </c>
    </row>
    <row r="12" spans="2:10" x14ac:dyDescent="0.2">
      <c r="B12" s="266" t="str">
        <f>FRAs!H3</f>
        <v>obj_00806#0001</v>
      </c>
      <c r="C12" s="149" t="str">
        <f>_xll.qlRateHelperQuoteName(B12)</f>
        <v>EUR1x7F_Quote</v>
      </c>
      <c r="D12" s="150">
        <f>_xll.qlRateHelperQuoteValue($B12,Trigger)</f>
        <v>8.6000000000000009E-4</v>
      </c>
      <c r="E12" s="150"/>
      <c r="F12" s="151" t="b">
        <v>1</v>
      </c>
      <c r="G12" s="151">
        <v>20</v>
      </c>
      <c r="H12" s="151">
        <v>1</v>
      </c>
      <c r="I12" s="156">
        <f>_xll.qlRateHelperEarliestDate($B12,Trigger)</f>
        <v>42118</v>
      </c>
      <c r="J12" s="157">
        <f>_xll.qlRateHelperLatestDate($B12,Trigger)</f>
        <v>42303</v>
      </c>
    </row>
    <row r="13" spans="2:10" x14ac:dyDescent="0.2">
      <c r="B13" s="266" t="str">
        <f>FRAs!H4</f>
        <v>obj_007ad#0001</v>
      </c>
      <c r="C13" s="149" t="str">
        <f>_xll.qlRateHelperQuoteName(B13)</f>
        <v>EUR2x8F_Quote</v>
      </c>
      <c r="D13" s="150">
        <f>_xll.qlRateHelperQuoteValue($B13,Trigger)</f>
        <v>8.5000000000000006E-4</v>
      </c>
      <c r="E13" s="150"/>
      <c r="F13" s="151" t="b">
        <v>1</v>
      </c>
      <c r="G13" s="151">
        <v>20</v>
      </c>
      <c r="H13" s="151">
        <v>1</v>
      </c>
      <c r="I13" s="156">
        <f>_xll.qlRateHelperEarliestDate($B13,Trigger)</f>
        <v>42149</v>
      </c>
      <c r="J13" s="157">
        <f>_xll.qlRateHelperLatestDate($B13,Trigger)</f>
        <v>42333</v>
      </c>
    </row>
    <row r="14" spans="2:10" x14ac:dyDescent="0.2">
      <c r="B14" s="266" t="str">
        <f>FRAs!H5</f>
        <v>obj_0082f#0001</v>
      </c>
      <c r="C14" s="149" t="str">
        <f>_xll.qlRateHelperQuoteName(B14)</f>
        <v>EUR3x9F_Quote</v>
      </c>
      <c r="D14" s="150">
        <f>_xll.qlRateHelperQuoteValue($B14,Trigger)</f>
        <v>8.3000000000000001E-4</v>
      </c>
      <c r="E14" s="150"/>
      <c r="F14" s="151" t="b">
        <v>1</v>
      </c>
      <c r="G14" s="151">
        <v>20</v>
      </c>
      <c r="H14" s="151">
        <v>1</v>
      </c>
      <c r="I14" s="156">
        <f>_xll.qlRateHelperEarliestDate($B14,Trigger)</f>
        <v>42179</v>
      </c>
      <c r="J14" s="157">
        <f>_xll.qlRateHelperLatestDate($B14,Trigger)</f>
        <v>42362</v>
      </c>
    </row>
    <row r="15" spans="2:10" x14ac:dyDescent="0.2">
      <c r="B15" s="266" t="str">
        <f>FRAs!H6</f>
        <v>obj_00782#0001</v>
      </c>
      <c r="C15" s="149" t="str">
        <f>_xll.qlRateHelperQuoteName(B15)</f>
        <v>EUR4x10F_Quote</v>
      </c>
      <c r="D15" s="150">
        <f>_xll.qlRateHelperQuoteValue($B15,Trigger)</f>
        <v>8.1000000000000006E-4</v>
      </c>
      <c r="E15" s="150"/>
      <c r="F15" s="151" t="b">
        <v>1</v>
      </c>
      <c r="G15" s="151">
        <v>20</v>
      </c>
      <c r="H15" s="151">
        <v>1</v>
      </c>
      <c r="I15" s="156">
        <f>_xll.qlRateHelperEarliestDate($B15,Trigger)</f>
        <v>42209</v>
      </c>
      <c r="J15" s="157">
        <f>_xll.qlRateHelperLatestDate($B15,Trigger)</f>
        <v>42394</v>
      </c>
    </row>
    <row r="16" spans="2:10" x14ac:dyDescent="0.2">
      <c r="B16" s="266" t="str">
        <f>FRAs!H7</f>
        <v>obj_007b4#0001</v>
      </c>
      <c r="C16" s="149" t="str">
        <f>_xll.qlRateHelperQuoteName(B16)</f>
        <v>EUR5x11F_Quote</v>
      </c>
      <c r="D16" s="150">
        <f>_xll.qlRateHelperQuoteValue($B16,Trigger)</f>
        <v>7.9000000000000012E-4</v>
      </c>
      <c r="E16" s="150"/>
      <c r="F16" s="151" t="b">
        <v>1</v>
      </c>
      <c r="G16" s="151">
        <v>20</v>
      </c>
      <c r="H16" s="151">
        <v>1</v>
      </c>
      <c r="I16" s="156">
        <f>_xll.qlRateHelperEarliestDate($B16,Trigger)</f>
        <v>42240</v>
      </c>
      <c r="J16" s="157">
        <f>_xll.qlRateHelperLatestDate($B16,Trigger)</f>
        <v>42424</v>
      </c>
    </row>
    <row r="17" spans="2:12" x14ac:dyDescent="0.2">
      <c r="B17" s="266" t="str">
        <f>FRAs!H8</f>
        <v>obj_00891#0001</v>
      </c>
      <c r="C17" s="149" t="str">
        <f>_xll.qlRateHelperQuoteName(B17)</f>
        <v>EUR6x12F_Quote</v>
      </c>
      <c r="D17" s="150">
        <f>_xll.qlRateHelperQuoteValue($B17,Trigger)</f>
        <v>7.8000000000000009E-4</v>
      </c>
      <c r="E17" s="150"/>
      <c r="F17" s="151" t="b">
        <v>1</v>
      </c>
      <c r="G17" s="151">
        <v>20</v>
      </c>
      <c r="H17" s="151">
        <v>1</v>
      </c>
      <c r="I17" s="156">
        <f>_xll.qlRateHelperEarliestDate($B17,Trigger)</f>
        <v>42271</v>
      </c>
      <c r="J17" s="157">
        <f>_xll.qlRateHelperLatestDate($B17,Trigger)</f>
        <v>42453</v>
      </c>
    </row>
    <row r="18" spans="2:12" x14ac:dyDescent="0.2">
      <c r="B18" s="266" t="str">
        <f>FRAs!H9</f>
        <v>obj_007ee#0001</v>
      </c>
      <c r="C18" s="149" t="str">
        <f>_xll.qlRateHelperQuoteName(B18)</f>
        <v>EUR7x13F_Quote</v>
      </c>
      <c r="D18" s="150">
        <f>_xll.qlRateHelperQuoteValue($B18,Trigger)</f>
        <v>7.7000000000000018E-4</v>
      </c>
      <c r="E18" s="150"/>
      <c r="F18" s="151" t="b">
        <v>1</v>
      </c>
      <c r="G18" s="151">
        <v>20</v>
      </c>
      <c r="H18" s="151">
        <v>1</v>
      </c>
      <c r="I18" s="156">
        <f>_xll.qlRateHelperEarliestDate($B18,Trigger)</f>
        <v>42303</v>
      </c>
      <c r="J18" s="157">
        <f>_xll.qlRateHelperLatestDate($B18,Trigger)</f>
        <v>42486</v>
      </c>
    </row>
    <row r="19" spans="2:12" x14ac:dyDescent="0.2">
      <c r="B19" s="266" t="str">
        <f>FRAs!H10</f>
        <v>obj_007df#0001</v>
      </c>
      <c r="C19" s="149" t="str">
        <f>_xll.qlRateHelperQuoteName(B19)</f>
        <v>EUR8x14F_Quote</v>
      </c>
      <c r="D19" s="150">
        <f>_xll.qlRateHelperQuoteValue($B19,Trigger)</f>
        <v>7.7000000000000018E-4</v>
      </c>
      <c r="E19" s="150"/>
      <c r="F19" s="151" t="b">
        <v>1</v>
      </c>
      <c r="G19" s="151">
        <v>20</v>
      </c>
      <c r="H19" s="151">
        <v>1</v>
      </c>
      <c r="I19" s="156">
        <f>_xll.qlRateHelperEarliestDate($B19,Trigger)</f>
        <v>42332</v>
      </c>
      <c r="J19" s="157">
        <f>_xll.qlRateHelperLatestDate($B19,Trigger)</f>
        <v>42514</v>
      </c>
    </row>
    <row r="20" spans="2:12" x14ac:dyDescent="0.2">
      <c r="B20" s="266" t="str">
        <f>FRAs!H11</f>
        <v>obj_00781#0001</v>
      </c>
      <c r="C20" s="149" t="str">
        <f>_xll.qlRateHelperQuoteName(B20)</f>
        <v>EUR9x15F_Quote</v>
      </c>
      <c r="D20" s="150">
        <f>_xll.qlRateHelperQuoteValue($B20,Trigger)</f>
        <v>7.7000000000000018E-4</v>
      </c>
      <c r="E20" s="150"/>
      <c r="F20" s="151" t="b">
        <v>1</v>
      </c>
      <c r="G20" s="151">
        <v>20</v>
      </c>
      <c r="H20" s="151">
        <v>1</v>
      </c>
      <c r="I20" s="156">
        <f>_xll.qlRateHelperEarliestDate($B20,Trigger)</f>
        <v>42362</v>
      </c>
      <c r="J20" s="157">
        <f>_xll.qlRateHelperLatestDate($B20,Trigger)</f>
        <v>42545</v>
      </c>
    </row>
    <row r="21" spans="2:12" x14ac:dyDescent="0.2">
      <c r="B21" s="266" t="str">
        <f>FRAs!H12</f>
        <v>obj_0081e#0001</v>
      </c>
      <c r="C21" s="149" t="str">
        <f>_xll.qlRateHelperQuoteName(B21)</f>
        <v>EUR10x16F_Quote</v>
      </c>
      <c r="D21" s="150">
        <f>_xll.qlRateHelperQuoteValue($B21,Trigger)</f>
        <v>7.7000000000000018E-4</v>
      </c>
      <c r="E21" s="150"/>
      <c r="F21" s="151" t="b">
        <v>1</v>
      </c>
      <c r="G21" s="151">
        <v>20</v>
      </c>
      <c r="H21" s="151">
        <v>1</v>
      </c>
      <c r="I21" s="156">
        <f>_xll.qlRateHelperEarliestDate($B21,Trigger)</f>
        <v>42394</v>
      </c>
      <c r="J21" s="157">
        <f>_xll.qlRateHelperLatestDate($B21,Trigger)</f>
        <v>42576</v>
      </c>
    </row>
    <row r="22" spans="2:12" x14ac:dyDescent="0.2">
      <c r="B22" s="266" t="str">
        <f>FRAs!H13</f>
        <v>obj_00765#0001</v>
      </c>
      <c r="C22" s="149" t="str">
        <f>_xll.qlRateHelperQuoteName(B22)</f>
        <v>EUR11x17F_Quote</v>
      </c>
      <c r="D22" s="150">
        <f>_xll.qlRateHelperQuoteValue($B22,Trigger)</f>
        <v>7.8000000000000009E-4</v>
      </c>
      <c r="E22" s="150"/>
      <c r="F22" s="151" t="b">
        <v>1</v>
      </c>
      <c r="G22" s="151">
        <v>20</v>
      </c>
      <c r="H22" s="151">
        <v>1</v>
      </c>
      <c r="I22" s="156">
        <f>_xll.qlRateHelperEarliestDate($B22,Trigger)</f>
        <v>42424</v>
      </c>
      <c r="J22" s="157">
        <f>_xll.qlRateHelperLatestDate($B22,Trigger)</f>
        <v>42606</v>
      </c>
    </row>
    <row r="23" spans="2:12" x14ac:dyDescent="0.2">
      <c r="B23" s="266" t="str">
        <f>FRAs!H14</f>
        <v>obj_00857#0001</v>
      </c>
      <c r="C23" s="149" t="str">
        <f>_xll.qlRateHelperQuoteName(B23)</f>
        <v>EUR12x18F_Quote</v>
      </c>
      <c r="D23" s="150">
        <f>_xll.qlRateHelperQuoteValue($B23,Trigger)</f>
        <v>8.0000000000000015E-4</v>
      </c>
      <c r="E23" s="150"/>
      <c r="F23" s="151" t="b">
        <v>1</v>
      </c>
      <c r="G23" s="151">
        <v>20</v>
      </c>
      <c r="H23" s="151">
        <v>1</v>
      </c>
      <c r="I23" s="156">
        <f>_xll.qlRateHelperEarliestDate($B23,Trigger)</f>
        <v>42453</v>
      </c>
      <c r="J23" s="157">
        <f>_xll.qlRateHelperLatestDate($B23,Trigger)</f>
        <v>42639</v>
      </c>
    </row>
    <row r="24" spans="2:12" x14ac:dyDescent="0.2">
      <c r="B24" s="266" t="str">
        <f>FRAs!H15</f>
        <v>obj_007d5#0001</v>
      </c>
      <c r="C24" s="149" t="str">
        <f>_xll.qlRateHelperQuoteName(B24)</f>
        <v>EUR13x19F_Quote</v>
      </c>
      <c r="D24" s="150">
        <f>_xll.qlRateHelperQuoteValue($B24,Trigger)</f>
        <v>8.3000000000000001E-4</v>
      </c>
      <c r="E24" s="150"/>
      <c r="F24" s="151" t="b">
        <v>1</v>
      </c>
      <c r="G24" s="151">
        <v>20</v>
      </c>
      <c r="H24" s="151">
        <v>1</v>
      </c>
      <c r="I24" s="156">
        <f>_xll.qlRateHelperEarliestDate($B24,Trigger)</f>
        <v>42485</v>
      </c>
      <c r="J24" s="157">
        <f>_xll.qlRateHelperLatestDate($B24,Trigger)</f>
        <v>42668</v>
      </c>
    </row>
    <row r="25" spans="2:12" x14ac:dyDescent="0.2">
      <c r="B25" s="266" t="str">
        <f>FRAs!H16</f>
        <v>obj_00780#0001</v>
      </c>
      <c r="C25" s="149" t="str">
        <f>_xll.qlRateHelperQuoteName(B25)</f>
        <v>EUR14x20F_Quote</v>
      </c>
      <c r="D25" s="150">
        <f>_xll.qlRateHelperQuoteValue($B25,Trigger)</f>
        <v>8.6000000000000009E-4</v>
      </c>
      <c r="E25" s="150"/>
      <c r="F25" s="151" t="b">
        <v>1</v>
      </c>
      <c r="G25" s="151">
        <v>20</v>
      </c>
      <c r="H25" s="151">
        <v>1</v>
      </c>
      <c r="I25" s="156">
        <f>_xll.qlRateHelperEarliestDate($B25,Trigger)</f>
        <v>42514</v>
      </c>
      <c r="J25" s="157">
        <f>_xll.qlRateHelperLatestDate($B25,Trigger)</f>
        <v>42698</v>
      </c>
    </row>
    <row r="26" spans="2:12" x14ac:dyDescent="0.2">
      <c r="B26" s="266" t="str">
        <f>FRAs!H17</f>
        <v>obj_00864#0001</v>
      </c>
      <c r="C26" s="149" t="str">
        <f>_xll.qlRateHelperQuoteName(B26)</f>
        <v>EUR15x21F_Quote</v>
      </c>
      <c r="D26" s="150">
        <f>_xll.qlRateHelperQuoteValue($B26,Trigger)</f>
        <v>8.9999999999999998E-4</v>
      </c>
      <c r="E26" s="150"/>
      <c r="F26" s="151" t="b">
        <v>1</v>
      </c>
      <c r="G26" s="151">
        <v>20</v>
      </c>
      <c r="H26" s="151">
        <v>1</v>
      </c>
      <c r="I26" s="156">
        <f>_xll.qlRateHelperEarliestDate($B26,Trigger)</f>
        <v>42545</v>
      </c>
      <c r="J26" s="157">
        <f>_xll.qlRateHelperLatestDate($B26,Trigger)</f>
        <v>42731</v>
      </c>
    </row>
    <row r="27" spans="2:12" x14ac:dyDescent="0.2">
      <c r="B27" s="266" t="str">
        <f>FRAs!H18</f>
        <v>obj_00830#0001</v>
      </c>
      <c r="C27" s="149" t="str">
        <f>_xll.qlRateHelperQuoteName(B27)</f>
        <v>EUR16x22F_Quote</v>
      </c>
      <c r="D27" s="150">
        <f>_xll.qlRateHelperQuoteValue($B27,Trigger)</f>
        <v>9.6000000000000002E-4</v>
      </c>
      <c r="E27" s="150"/>
      <c r="F27" s="151" t="b">
        <v>1</v>
      </c>
      <c r="G27" s="151">
        <v>20</v>
      </c>
      <c r="H27" s="151">
        <v>1</v>
      </c>
      <c r="I27" s="156">
        <f>_xll.qlRateHelperEarliestDate($B27,Trigger)</f>
        <v>42576</v>
      </c>
      <c r="J27" s="157">
        <f>_xll.qlRateHelperLatestDate($B27,Trigger)</f>
        <v>42760</v>
      </c>
    </row>
    <row r="28" spans="2:12" x14ac:dyDescent="0.2">
      <c r="B28" s="266" t="str">
        <f>FRAs!H19</f>
        <v>obj_008ba#0001</v>
      </c>
      <c r="C28" s="149" t="str">
        <f>_xll.qlRateHelperQuoteName(B28)</f>
        <v>EUR17x23F_Quote</v>
      </c>
      <c r="D28" s="150">
        <f>_xll.qlRateHelperQuoteValue($B28,Trigger)</f>
        <v>1.01E-3</v>
      </c>
      <c r="E28" s="150"/>
      <c r="F28" s="151" t="b">
        <v>1</v>
      </c>
      <c r="G28" s="151">
        <v>20</v>
      </c>
      <c r="H28" s="151">
        <v>1</v>
      </c>
      <c r="I28" s="156">
        <f>_xll.qlRateHelperEarliestDate($B28,Trigger)</f>
        <v>42606</v>
      </c>
      <c r="J28" s="157">
        <f>_xll.qlRateHelperLatestDate($B28,Trigger)</f>
        <v>42790</v>
      </c>
    </row>
    <row r="29" spans="2:12" x14ac:dyDescent="0.2">
      <c r="B29" s="267" t="str">
        <f>FRAs!H20</f>
        <v>obj_007ef#0001</v>
      </c>
      <c r="C29" s="152" t="str">
        <f>_xll.qlRateHelperQuoteName(B29)</f>
        <v>EUR18x24F_Quote</v>
      </c>
      <c r="D29" s="153">
        <f>_xll.qlRateHelperQuoteValue($B29,Trigger)</f>
        <v>1.0800000000000002E-3</v>
      </c>
      <c r="E29" s="153"/>
      <c r="F29" s="154" t="b">
        <v>1</v>
      </c>
      <c r="G29" s="154">
        <v>20</v>
      </c>
      <c r="H29" s="154">
        <v>1</v>
      </c>
      <c r="I29" s="158">
        <f>_xll.qlRateHelperEarliestDate($B29,Trigger)</f>
        <v>42639</v>
      </c>
      <c r="J29" s="159">
        <f>_xll.qlRateHelperLatestDate($B29,Trigger)</f>
        <v>42821</v>
      </c>
    </row>
    <row r="30" spans="2:12" x14ac:dyDescent="0.2">
      <c r="B30" s="266" t="str">
        <f>Swaps!K5</f>
        <v>obj_008bc#0001</v>
      </c>
      <c r="C30" s="149" t="str">
        <f>_xll.qlRateHelperQuoteName(B30)</f>
        <v>EURAB6E1Y_Quote</v>
      </c>
      <c r="D30" s="150">
        <f>_xll.qlRateHelperQuoteValue($B30,Trigger)</f>
        <v>8.5000000000000006E-4</v>
      </c>
      <c r="E30" s="150">
        <f>_xll.qlSwapRateHelperSpread($B30,Trigger)</f>
        <v>0</v>
      </c>
      <c r="F30" s="151" t="b">
        <v>0</v>
      </c>
      <c r="G30" s="151">
        <v>50</v>
      </c>
      <c r="H30" s="151">
        <v>1</v>
      </c>
      <c r="I30" s="156">
        <f>_xll.qlRateHelperEarliestDate($B30,Trigger)</f>
        <v>42087</v>
      </c>
      <c r="J30" s="157">
        <f>_xll.qlRateHelperLatestDate($B30,Trigger)</f>
        <v>42453</v>
      </c>
      <c r="L30" s="155"/>
    </row>
    <row r="31" spans="2:12" x14ac:dyDescent="0.2">
      <c r="B31" s="266" t="str">
        <f>Swaps!K6</f>
        <v>obj_008b6#0001</v>
      </c>
      <c r="C31" s="149" t="str">
        <f>_xll.qlRateHelperQuoteName(B31)</f>
        <v>EURAB6E15M_Quote</v>
      </c>
      <c r="D31" s="150">
        <f>_xll.qlRateHelperQuoteValue($B31,Trigger)</f>
        <v>6.9000000000000008E-4</v>
      </c>
      <c r="E31" s="150">
        <f>_xll.qlSwapRateHelperSpread($B31,Trigger)</f>
        <v>0</v>
      </c>
      <c r="F31" s="151" t="b">
        <v>0</v>
      </c>
      <c r="G31" s="151">
        <v>50</v>
      </c>
      <c r="H31" s="151">
        <v>1</v>
      </c>
      <c r="I31" s="156">
        <f>_xll.qlRateHelperEarliestDate($B31,Trigger)</f>
        <v>42087</v>
      </c>
      <c r="J31" s="157">
        <f>_xll.qlRateHelperLatestDate($B31,Trigger)</f>
        <v>42545</v>
      </c>
      <c r="L31" s="155"/>
    </row>
    <row r="32" spans="2:12" x14ac:dyDescent="0.2">
      <c r="B32" s="266" t="str">
        <f>Swaps!K7</f>
        <v>obj_0078e#0001</v>
      </c>
      <c r="C32" s="149" t="str">
        <f>_xll.qlRateHelperQuoteName(B32)</f>
        <v>EURAB6E18M_Quote</v>
      </c>
      <c r="D32" s="150">
        <f>_xll.qlRateHelperQuoteValue($B32,Trigger)</f>
        <v>8.4000000000000014E-4</v>
      </c>
      <c r="E32" s="150">
        <f>_xll.qlSwapRateHelperSpread($B32,Trigger)</f>
        <v>0</v>
      </c>
      <c r="F32" s="151" t="b">
        <v>0</v>
      </c>
      <c r="G32" s="151">
        <v>50</v>
      </c>
      <c r="H32" s="151">
        <v>1</v>
      </c>
      <c r="I32" s="156">
        <f>_xll.qlRateHelperEarliestDate($B32,Trigger)</f>
        <v>42087</v>
      </c>
      <c r="J32" s="157">
        <f>_xll.qlRateHelperLatestDate($B32,Trigger)</f>
        <v>42639</v>
      </c>
      <c r="L32" s="155"/>
    </row>
    <row r="33" spans="2:12" x14ac:dyDescent="0.2">
      <c r="B33" s="266" t="str">
        <f>Swaps!K8</f>
        <v>obj_008b3#0001</v>
      </c>
      <c r="C33" s="149" t="str">
        <f>_xll.qlRateHelperQuoteName(B33)</f>
        <v>EURAB6E21M_Quote</v>
      </c>
      <c r="D33" s="150">
        <f>_xll.qlRateHelperQuoteValue($B33,Trigger)</f>
        <v>7.6000000000000015E-4</v>
      </c>
      <c r="E33" s="150">
        <f>_xll.qlSwapRateHelperSpread($B33,Trigger)</f>
        <v>0</v>
      </c>
      <c r="F33" s="151" t="b">
        <v>0</v>
      </c>
      <c r="G33" s="151">
        <v>50</v>
      </c>
      <c r="H33" s="151">
        <v>1</v>
      </c>
      <c r="I33" s="156">
        <f>_xll.qlRateHelperEarliestDate($B33,Trigger)</f>
        <v>42087</v>
      </c>
      <c r="J33" s="157">
        <f>_xll.qlRateHelperLatestDate($B33,Trigger)</f>
        <v>42731</v>
      </c>
      <c r="L33" s="155"/>
    </row>
    <row r="34" spans="2:12" x14ac:dyDescent="0.2">
      <c r="B34" s="266" t="str">
        <f>Swaps!K9</f>
        <v>obj_008aa#0001</v>
      </c>
      <c r="C34" s="149" t="str">
        <f>_xll.qlRateHelperQuoteName(B34)</f>
        <v>EURAB6E2Y_Quote</v>
      </c>
      <c r="D34" s="150">
        <f>_xll.qlRateHelperQuoteValue($B34,Trigger)</f>
        <v>8.9999999999999998E-4</v>
      </c>
      <c r="E34" s="150">
        <f>_xll.qlSwapRateHelperSpread($B34,Trigger)</f>
        <v>0</v>
      </c>
      <c r="F34" s="151" t="b">
        <v>0</v>
      </c>
      <c r="G34" s="151">
        <v>50</v>
      </c>
      <c r="H34" s="151">
        <v>1</v>
      </c>
      <c r="I34" s="156">
        <f>_xll.qlRateHelperEarliestDate($B34,Trigger)</f>
        <v>42087</v>
      </c>
      <c r="J34" s="157">
        <f>_xll.qlRateHelperLatestDate($B34,Trigger)</f>
        <v>42818</v>
      </c>
      <c r="L34" s="155"/>
    </row>
    <row r="35" spans="2:12" x14ac:dyDescent="0.2">
      <c r="B35" s="266" t="str">
        <f>Swaps!K10</f>
        <v>obj_00894#0001</v>
      </c>
      <c r="C35" s="149" t="str">
        <f>_xll.qlRateHelperQuoteName(B35)</f>
        <v>EURAB6E3Y_Quote</v>
      </c>
      <c r="D35" s="150">
        <f>_xll.qlRateHelperQuoteValue($B35,Trigger)</f>
        <v>1.2999999999999999E-3</v>
      </c>
      <c r="E35" s="150">
        <f>_xll.qlSwapRateHelperSpread($B35,Trigger)</f>
        <v>0</v>
      </c>
      <c r="F35" s="151" t="b">
        <v>1</v>
      </c>
      <c r="G35" s="151">
        <v>50</v>
      </c>
      <c r="H35" s="151">
        <v>1</v>
      </c>
      <c r="I35" s="156">
        <f>_xll.qlRateHelperEarliestDate($B35,Trigger)</f>
        <v>42087</v>
      </c>
      <c r="J35" s="157">
        <f>_xll.qlRateHelperLatestDate($B35,Trigger)</f>
        <v>43185</v>
      </c>
      <c r="L35" s="155"/>
    </row>
    <row r="36" spans="2:12" x14ac:dyDescent="0.2">
      <c r="B36" s="266" t="str">
        <f>Swaps!K11</f>
        <v>obj_008bd#0001</v>
      </c>
      <c r="C36" s="149" t="str">
        <f>_xll.qlRateHelperQuoteName(B36)</f>
        <v>EURAB6E4Y_Quote</v>
      </c>
      <c r="D36" s="150">
        <f>_xll.qlRateHelperQuoteValue($B36,Trigger)</f>
        <v>1.89E-3</v>
      </c>
      <c r="E36" s="150">
        <f>_xll.qlSwapRateHelperSpread($B36,Trigger)</f>
        <v>0</v>
      </c>
      <c r="F36" s="151" t="b">
        <v>1</v>
      </c>
      <c r="G36" s="151">
        <v>50</v>
      </c>
      <c r="H36" s="151">
        <v>1</v>
      </c>
      <c r="I36" s="156">
        <f>_xll.qlRateHelperEarliestDate($B36,Trigger)</f>
        <v>42087</v>
      </c>
      <c r="J36" s="157">
        <f>_xll.qlRateHelperLatestDate($B36,Trigger)</f>
        <v>43549</v>
      </c>
      <c r="L36" s="155"/>
    </row>
    <row r="37" spans="2:12" x14ac:dyDescent="0.2">
      <c r="B37" s="266" t="str">
        <f>Swaps!K12</f>
        <v>obj_008ad#0001</v>
      </c>
      <c r="C37" s="149" t="str">
        <f>_xll.qlRateHelperQuoteName(B37)</f>
        <v>EURAB6E5Y_Quote</v>
      </c>
      <c r="D37" s="150">
        <f>_xll.qlRateHelperQuoteValue($B37,Trigger)</f>
        <v>2.5300000000000001E-3</v>
      </c>
      <c r="E37" s="150">
        <f>_xll.qlSwapRateHelperSpread($B37,Trigger)</f>
        <v>0</v>
      </c>
      <c r="F37" s="151" t="b">
        <v>1</v>
      </c>
      <c r="G37" s="151">
        <v>50</v>
      </c>
      <c r="H37" s="151">
        <v>1</v>
      </c>
      <c r="I37" s="156">
        <f>_xll.qlRateHelperEarliestDate($B37,Trigger)</f>
        <v>42087</v>
      </c>
      <c r="J37" s="157">
        <f>_xll.qlRateHelperLatestDate($B37,Trigger)</f>
        <v>43914</v>
      </c>
      <c r="L37" s="155"/>
    </row>
    <row r="38" spans="2:12" x14ac:dyDescent="0.2">
      <c r="B38" s="266" t="str">
        <f>Swaps!K13</f>
        <v>obj_0089c#0001</v>
      </c>
      <c r="C38" s="149" t="str">
        <f>_xll.qlRateHelperQuoteName(B38)</f>
        <v>EURAB6E6Y_Quote</v>
      </c>
      <c r="D38" s="150">
        <f>_xll.qlRateHelperQuoteValue($B38,Trigger)</f>
        <v>3.1799999999999997E-3</v>
      </c>
      <c r="E38" s="150">
        <f>_xll.qlSwapRateHelperSpread($B38,Trigger)</f>
        <v>0</v>
      </c>
      <c r="F38" s="151" t="b">
        <v>1</v>
      </c>
      <c r="G38" s="151">
        <v>50</v>
      </c>
      <c r="H38" s="151">
        <v>1</v>
      </c>
      <c r="I38" s="156">
        <f>_xll.qlRateHelperEarliestDate($B38,Trigger)</f>
        <v>42087</v>
      </c>
      <c r="J38" s="157">
        <f>_xll.qlRateHelperLatestDate($B38,Trigger)</f>
        <v>44279</v>
      </c>
      <c r="L38" s="155"/>
    </row>
    <row r="39" spans="2:12" x14ac:dyDescent="0.2">
      <c r="B39" s="266" t="str">
        <f>Swaps!K14</f>
        <v>obj_00896#0001</v>
      </c>
      <c r="C39" s="149" t="str">
        <f>_xll.qlRateHelperQuoteName(B39)</f>
        <v>EURAB6E7Y_Quote</v>
      </c>
      <c r="D39" s="150">
        <f>_xll.qlRateHelperQuoteValue($B39,Trigger)</f>
        <v>3.8E-3</v>
      </c>
      <c r="E39" s="150">
        <f>_xll.qlSwapRateHelperSpread($B39,Trigger)</f>
        <v>0</v>
      </c>
      <c r="F39" s="151" t="b">
        <v>1</v>
      </c>
      <c r="G39" s="151">
        <v>50</v>
      </c>
      <c r="H39" s="151">
        <v>1</v>
      </c>
      <c r="I39" s="156">
        <f>_xll.qlRateHelperEarliestDate($B39,Trigger)</f>
        <v>42087</v>
      </c>
      <c r="J39" s="157">
        <f>_xll.qlRateHelperLatestDate($B39,Trigger)</f>
        <v>44644</v>
      </c>
      <c r="L39" s="155"/>
    </row>
    <row r="40" spans="2:12" x14ac:dyDescent="0.2">
      <c r="B40" s="266" t="str">
        <f>Swaps!K15</f>
        <v>obj_008b7#0001</v>
      </c>
      <c r="C40" s="149" t="str">
        <f>_xll.qlRateHelperQuoteName(B40)</f>
        <v>EURAB6E8Y_Quote</v>
      </c>
      <c r="D40" s="150">
        <f>_xll.qlRateHelperQuoteValue($B40,Trigger)</f>
        <v>4.4099999999999999E-3</v>
      </c>
      <c r="E40" s="150">
        <f>_xll.qlSwapRateHelperSpread($B40,Trigger)</f>
        <v>0</v>
      </c>
      <c r="F40" s="151" t="b">
        <v>1</v>
      </c>
      <c r="G40" s="151">
        <v>50</v>
      </c>
      <c r="H40" s="151">
        <v>1</v>
      </c>
      <c r="I40" s="156">
        <f>_xll.qlRateHelperEarliestDate($B40,Trigger)</f>
        <v>42087</v>
      </c>
      <c r="J40" s="157">
        <f>_xll.qlRateHelperLatestDate($B40,Trigger)</f>
        <v>45009</v>
      </c>
      <c r="L40" s="155"/>
    </row>
    <row r="41" spans="2:12" x14ac:dyDescent="0.2">
      <c r="B41" s="266" t="str">
        <f>Swaps!K16</f>
        <v>obj_008bf#0001</v>
      </c>
      <c r="C41" s="149" t="str">
        <f>_xll.qlRateHelperQuoteName(B41)</f>
        <v>EURAB6E9Y_Quote</v>
      </c>
      <c r="D41" s="150">
        <f>_xll.qlRateHelperQuoteValue($B41,Trigger)</f>
        <v>4.9899999999999996E-3</v>
      </c>
      <c r="E41" s="150">
        <f>_xll.qlSwapRateHelperSpread($B41,Trigger)</f>
        <v>0</v>
      </c>
      <c r="F41" s="151" t="b">
        <v>1</v>
      </c>
      <c r="G41" s="151">
        <v>50</v>
      </c>
      <c r="H41" s="151">
        <v>1</v>
      </c>
      <c r="I41" s="156">
        <f>_xll.qlRateHelperEarliestDate($B41,Trigger)</f>
        <v>42087</v>
      </c>
      <c r="J41" s="157">
        <f>_xll.qlRateHelperLatestDate($B41,Trigger)</f>
        <v>45376</v>
      </c>
      <c r="L41" s="155"/>
    </row>
    <row r="42" spans="2:12" x14ac:dyDescent="0.2">
      <c r="B42" s="266" t="str">
        <f>Swaps!K17</f>
        <v>obj_008ac#0001</v>
      </c>
      <c r="C42" s="149" t="str">
        <f>_xll.qlRateHelperQuoteName(B42)</f>
        <v>EURAB6E10Y_Quote</v>
      </c>
      <c r="D42" s="150">
        <f>_xll.qlRateHelperQuoteValue($B42,Trigger)</f>
        <v>5.5000000000000005E-3</v>
      </c>
      <c r="E42" s="150">
        <f>_xll.qlSwapRateHelperSpread($B42,Trigger)</f>
        <v>0</v>
      </c>
      <c r="F42" s="151" t="b">
        <v>1</v>
      </c>
      <c r="G42" s="151">
        <v>50</v>
      </c>
      <c r="H42" s="151">
        <v>1</v>
      </c>
      <c r="I42" s="156">
        <f>_xll.qlRateHelperEarliestDate($B42,Trigger)</f>
        <v>42087</v>
      </c>
      <c r="J42" s="157">
        <f>_xll.qlRateHelperLatestDate($B42,Trigger)</f>
        <v>45740</v>
      </c>
      <c r="L42" s="155"/>
    </row>
    <row r="43" spans="2:12" x14ac:dyDescent="0.2">
      <c r="B43" s="266" t="str">
        <f>Swaps!K18</f>
        <v>obj_008af#0001</v>
      </c>
      <c r="C43" s="149" t="str">
        <f>_xll.qlRateHelperQuoteName(B43)</f>
        <v>EURAB6E11Y_Quote</v>
      </c>
      <c r="D43" s="150">
        <f>_xll.qlRateHelperQuoteValue($B43,Trigger)</f>
        <v>5.96E-3</v>
      </c>
      <c r="E43" s="150">
        <f>_xll.qlSwapRateHelperSpread($B43,Trigger)</f>
        <v>0</v>
      </c>
      <c r="F43" s="151" t="b">
        <v>0</v>
      </c>
      <c r="G43" s="151">
        <v>50</v>
      </c>
      <c r="H43" s="151">
        <v>1</v>
      </c>
      <c r="I43" s="156">
        <f>_xll.qlRateHelperEarliestDate($B43,Trigger)</f>
        <v>42087</v>
      </c>
      <c r="J43" s="157">
        <f>_xll.qlRateHelperLatestDate($B43,Trigger)</f>
        <v>46105</v>
      </c>
      <c r="L43" s="155"/>
    </row>
    <row r="44" spans="2:12" x14ac:dyDescent="0.2">
      <c r="B44" s="266" t="str">
        <f>Swaps!K19</f>
        <v>obj_008b2#0001</v>
      </c>
      <c r="C44" s="149" t="str">
        <f>_xll.qlRateHelperQuoteName(B44)</f>
        <v>EURAB6E12Y_Quote</v>
      </c>
      <c r="D44" s="150">
        <f>_xll.qlRateHelperQuoteValue($B44,Trigger)</f>
        <v>6.3699999999999998E-3</v>
      </c>
      <c r="E44" s="150">
        <f>_xll.qlSwapRateHelperSpread($B44,Trigger)</f>
        <v>0</v>
      </c>
      <c r="F44" s="151" t="b">
        <v>1</v>
      </c>
      <c r="G44" s="151">
        <v>50</v>
      </c>
      <c r="H44" s="151">
        <v>1</v>
      </c>
      <c r="I44" s="156">
        <f>_xll.qlRateHelperEarliestDate($B44,Trigger)</f>
        <v>42087</v>
      </c>
      <c r="J44" s="157">
        <f>_xll.qlRateHelperLatestDate($B44,Trigger)</f>
        <v>46470</v>
      </c>
      <c r="L44" s="155"/>
    </row>
    <row r="45" spans="2:12" x14ac:dyDescent="0.2">
      <c r="B45" s="266" t="str">
        <f>Swaps!K20</f>
        <v>obj_00892#0001</v>
      </c>
      <c r="C45" s="149" t="str">
        <f>_xll.qlRateHelperQuoteName(B45)</f>
        <v>EURAB6E13Y_Quote</v>
      </c>
      <c r="D45" s="150">
        <f>_xll.qlRateHelperQuoteValue($B45,Trigger)</f>
        <v>6.7400000000000003E-3</v>
      </c>
      <c r="E45" s="150">
        <f>_xll.qlSwapRateHelperSpread($B45,Trigger)</f>
        <v>0</v>
      </c>
      <c r="F45" s="151" t="b">
        <v>0</v>
      </c>
      <c r="G45" s="151">
        <v>50</v>
      </c>
      <c r="H45" s="151">
        <v>1</v>
      </c>
      <c r="I45" s="156">
        <f>_xll.qlRateHelperEarliestDate($B45,Trigger)</f>
        <v>42087</v>
      </c>
      <c r="J45" s="157">
        <f>_xll.qlRateHelperLatestDate($B45,Trigger)</f>
        <v>46836</v>
      </c>
      <c r="L45" s="155"/>
    </row>
    <row r="46" spans="2:12" x14ac:dyDescent="0.2">
      <c r="B46" s="266" t="str">
        <f>Swaps!K21</f>
        <v>obj_008b8#0001</v>
      </c>
      <c r="C46" s="149" t="str">
        <f>_xll.qlRateHelperQuoteName(B46)</f>
        <v>EURAB6E14Y_Quote</v>
      </c>
      <c r="D46" s="150">
        <f>_xll.qlRateHelperQuoteValue($B46,Trigger)</f>
        <v>7.0399999999999994E-3</v>
      </c>
      <c r="E46" s="150">
        <f>_xll.qlSwapRateHelperSpread($B46,Trigger)</f>
        <v>0</v>
      </c>
      <c r="F46" s="151" t="b">
        <v>0</v>
      </c>
      <c r="G46" s="151">
        <v>50</v>
      </c>
      <c r="H46" s="151">
        <v>1</v>
      </c>
      <c r="I46" s="156">
        <f>_xll.qlRateHelperEarliestDate($B46,Trigger)</f>
        <v>42087</v>
      </c>
      <c r="J46" s="157">
        <f>_xll.qlRateHelperLatestDate($B46,Trigger)</f>
        <v>47203</v>
      </c>
      <c r="L46" s="155"/>
    </row>
    <row r="47" spans="2:12" x14ac:dyDescent="0.2">
      <c r="B47" s="266" t="str">
        <f>Swaps!K22</f>
        <v>obj_008a7#0001</v>
      </c>
      <c r="C47" s="280" t="str">
        <f>_xll.qlRateHelperQuoteName(B47)</f>
        <v>EURAB6E15Y_Quote</v>
      </c>
      <c r="D47" s="281">
        <f>_xll.qlRateHelperQuoteValue($B47,Trigger)</f>
        <v>7.3000000000000001E-3</v>
      </c>
      <c r="E47" s="281">
        <f>_xll.qlSwapRateHelperSpread($B47,Trigger)</f>
        <v>0</v>
      </c>
      <c r="F47" s="282" t="b">
        <v>1</v>
      </c>
      <c r="G47" s="282">
        <v>50</v>
      </c>
      <c r="H47" s="282">
        <v>1</v>
      </c>
      <c r="I47" s="283">
        <f>_xll.qlRateHelperEarliestDate($B47,Trigger)</f>
        <v>42087</v>
      </c>
      <c r="J47" s="284">
        <f>_xll.qlRateHelperLatestDate($B47,Trigger)</f>
        <v>47567</v>
      </c>
      <c r="L47" s="155"/>
    </row>
    <row r="48" spans="2:12" x14ac:dyDescent="0.2">
      <c r="B48" s="266" t="str">
        <f>Swaps!K23</f>
        <v>obj_008a6#0001</v>
      </c>
      <c r="C48" s="149" t="str">
        <f>_xll.qlRateHelperQuoteName(B48)</f>
        <v>EURAB6E16Y_Quote</v>
      </c>
      <c r="D48" s="150">
        <f>_xll.qlRateHelperQuoteValue($B48,Trigger)</f>
        <v>7.5199999999999998E-3</v>
      </c>
      <c r="E48" s="150">
        <f>_xll.qlSwapRateHelperSpread($B48,Trigger)</f>
        <v>0</v>
      </c>
      <c r="F48" s="151" t="b">
        <v>0</v>
      </c>
      <c r="G48" s="151">
        <v>50</v>
      </c>
      <c r="H48" s="151">
        <v>1</v>
      </c>
      <c r="I48" s="156">
        <f>_xll.qlRateHelperEarliestDate($B48,Trigger)</f>
        <v>42087</v>
      </c>
      <c r="J48" s="157">
        <f>_xll.qlRateHelperLatestDate($B48,Trigger)</f>
        <v>47931</v>
      </c>
      <c r="L48" s="155"/>
    </row>
    <row r="49" spans="2:12" x14ac:dyDescent="0.2">
      <c r="B49" s="266" t="str">
        <f>Swaps!K24</f>
        <v>obj_00897#0001</v>
      </c>
      <c r="C49" s="149" t="str">
        <f>_xll.qlRateHelperQuoteName(B49)</f>
        <v>EURAB6E17Y_Quote</v>
      </c>
      <c r="D49" s="150">
        <f>_xll.qlRateHelperQuoteValue($B49,Trigger)</f>
        <v>7.729999999999999E-3</v>
      </c>
      <c r="E49" s="150">
        <f>_xll.qlSwapRateHelperSpread($B49,Trigger)</f>
        <v>0</v>
      </c>
      <c r="F49" s="151" t="b">
        <v>0</v>
      </c>
      <c r="G49" s="151">
        <v>50</v>
      </c>
      <c r="H49" s="151">
        <v>1</v>
      </c>
      <c r="I49" s="156">
        <f>_xll.qlRateHelperEarliestDate($B49,Trigger)</f>
        <v>42087</v>
      </c>
      <c r="J49" s="157">
        <f>_xll.qlRateHelperLatestDate($B49,Trigger)</f>
        <v>48297</v>
      </c>
      <c r="L49" s="155"/>
    </row>
    <row r="50" spans="2:12" x14ac:dyDescent="0.2">
      <c r="B50" s="266" t="str">
        <f>Swaps!K25</f>
        <v>obj_00895#0001</v>
      </c>
      <c r="C50" s="149" t="str">
        <f>_xll.qlRateHelperQuoteName(B50)</f>
        <v>EURAB6E18Y_Quote</v>
      </c>
      <c r="D50" s="150">
        <f>_xll.qlRateHelperQuoteValue($B50,Trigger)</f>
        <v>7.8899999999999994E-3</v>
      </c>
      <c r="E50" s="150">
        <f>_xll.qlSwapRateHelperSpread($B50,Trigger)</f>
        <v>0</v>
      </c>
      <c r="F50" s="151" t="b">
        <v>0</v>
      </c>
      <c r="G50" s="151">
        <v>50</v>
      </c>
      <c r="H50" s="151">
        <v>1</v>
      </c>
      <c r="I50" s="156">
        <f>_xll.qlRateHelperEarliestDate($B50,Trigger)</f>
        <v>42087</v>
      </c>
      <c r="J50" s="157">
        <f>_xll.qlRateHelperLatestDate($B50,Trigger)</f>
        <v>48662</v>
      </c>
      <c r="L50" s="155"/>
    </row>
    <row r="51" spans="2:12" x14ac:dyDescent="0.2">
      <c r="B51" s="266" t="str">
        <f>Swaps!K26</f>
        <v>obj_008b9#0001</v>
      </c>
      <c r="C51" s="149" t="str">
        <f>_xll.qlRateHelperQuoteName(B51)</f>
        <v>EURAB6E19Y_Quote</v>
      </c>
      <c r="D51" s="150">
        <f>_xll.qlRateHelperQuoteValue($B51,Trigger)</f>
        <v>8.0400000000000003E-3</v>
      </c>
      <c r="E51" s="150">
        <f>_xll.qlSwapRateHelperSpread($B51,Trigger)</f>
        <v>0</v>
      </c>
      <c r="F51" s="151" t="b">
        <v>0</v>
      </c>
      <c r="G51" s="151">
        <v>50</v>
      </c>
      <c r="H51" s="151">
        <v>1</v>
      </c>
      <c r="I51" s="156">
        <f>_xll.qlRateHelperEarliestDate($B51,Trigger)</f>
        <v>42087</v>
      </c>
      <c r="J51" s="157">
        <f>_xll.qlRateHelperLatestDate($B51,Trigger)</f>
        <v>49027</v>
      </c>
      <c r="L51" s="155"/>
    </row>
    <row r="52" spans="2:12" x14ac:dyDescent="0.2">
      <c r="B52" s="266" t="str">
        <f>Swaps!K27</f>
        <v>obj_008a9#0001</v>
      </c>
      <c r="C52" s="149" t="str">
        <f>_xll.qlRateHelperQuoteName(B52)</f>
        <v>EURAB6E20Y_Quote</v>
      </c>
      <c r="D52" s="150">
        <f>_xll.qlRateHelperQuoteValue($B52,Trigger)</f>
        <v>8.1600000000000006E-3</v>
      </c>
      <c r="E52" s="150">
        <f>_xll.qlSwapRateHelperSpread($B52,Trigger)</f>
        <v>0</v>
      </c>
      <c r="F52" s="151" t="b">
        <v>1</v>
      </c>
      <c r="G52" s="151">
        <v>50</v>
      </c>
      <c r="H52" s="151">
        <v>1</v>
      </c>
      <c r="I52" s="156">
        <f>_xll.qlRateHelperEarliestDate($B52,Trigger)</f>
        <v>42087</v>
      </c>
      <c r="J52" s="157">
        <f>_xll.qlRateHelperLatestDate($B52,Trigger)</f>
        <v>49395</v>
      </c>
      <c r="L52" s="155"/>
    </row>
    <row r="53" spans="2:12" x14ac:dyDescent="0.2">
      <c r="B53" s="266" t="str">
        <f>Swaps!K28</f>
        <v>obj_008c0#0001</v>
      </c>
      <c r="C53" s="149" t="str">
        <f>_xll.qlRateHelperQuoteName(B53)</f>
        <v>EURAB6E21Y_Quote</v>
      </c>
      <c r="D53" s="150">
        <f>_xll.qlRateHelperQuoteValue($B53,Trigger)</f>
        <v>8.2700000000000013E-3</v>
      </c>
      <c r="E53" s="150">
        <f>_xll.qlSwapRateHelperSpread($B53,Trigger)</f>
        <v>0</v>
      </c>
      <c r="F53" s="151" t="b">
        <v>0</v>
      </c>
      <c r="G53" s="151">
        <v>50</v>
      </c>
      <c r="H53" s="151">
        <v>1</v>
      </c>
      <c r="I53" s="156">
        <f>_xll.qlRateHelperEarliestDate($B53,Trigger)</f>
        <v>42087</v>
      </c>
      <c r="J53" s="157">
        <f>_xll.qlRateHelperLatestDate($B53,Trigger)</f>
        <v>49758</v>
      </c>
      <c r="L53" s="155"/>
    </row>
    <row r="54" spans="2:12" x14ac:dyDescent="0.2">
      <c r="B54" s="266" t="str">
        <f>Swaps!K29</f>
        <v>obj_008ab#0001</v>
      </c>
      <c r="C54" s="149" t="str">
        <f>_xll.qlRateHelperQuoteName(B54)</f>
        <v>EURAB6E22Y_Quote</v>
      </c>
      <c r="D54" s="150">
        <f>_xll.qlRateHelperQuoteValue($B54,Trigger)</f>
        <v>8.3600000000000011E-3</v>
      </c>
      <c r="E54" s="150">
        <f>_xll.qlSwapRateHelperSpread($B54,Trigger)</f>
        <v>0</v>
      </c>
      <c r="F54" s="151" t="b">
        <v>0</v>
      </c>
      <c r="G54" s="151">
        <v>50</v>
      </c>
      <c r="H54" s="151">
        <v>1</v>
      </c>
      <c r="I54" s="156">
        <f>_xll.qlRateHelperEarliestDate($B54,Trigger)</f>
        <v>42087</v>
      </c>
      <c r="J54" s="157">
        <f>_xll.qlRateHelperLatestDate($B54,Trigger)</f>
        <v>50123</v>
      </c>
      <c r="L54" s="155"/>
    </row>
    <row r="55" spans="2:12" x14ac:dyDescent="0.2">
      <c r="B55" s="266" t="str">
        <f>Swaps!K30</f>
        <v>obj_008a2#0001</v>
      </c>
      <c r="C55" s="149" t="str">
        <f>_xll.qlRateHelperQuoteName(B55)</f>
        <v>EURAB6E23Y_Quote</v>
      </c>
      <c r="D55" s="150">
        <f>_xll.qlRateHelperQuoteValue($B55,Trigger)</f>
        <v>8.4400000000000013E-3</v>
      </c>
      <c r="E55" s="150">
        <f>_xll.qlSwapRateHelperSpread($B55,Trigger)</f>
        <v>0</v>
      </c>
      <c r="F55" s="151" t="b">
        <v>0</v>
      </c>
      <c r="G55" s="151">
        <v>50</v>
      </c>
      <c r="H55" s="151">
        <v>1</v>
      </c>
      <c r="I55" s="156">
        <f>_xll.qlRateHelperEarliestDate($B55,Trigger)</f>
        <v>42087</v>
      </c>
      <c r="J55" s="157">
        <f>_xll.qlRateHelperLatestDate($B55,Trigger)</f>
        <v>50488</v>
      </c>
      <c r="L55" s="155"/>
    </row>
    <row r="56" spans="2:12" x14ac:dyDescent="0.2">
      <c r="B56" s="266" t="str">
        <f>Swaps!K31</f>
        <v>obj_0089e#0001</v>
      </c>
      <c r="C56" s="149" t="str">
        <f>_xll.qlRateHelperQuoteName(B56)</f>
        <v>EURAB6E24Y_Quote</v>
      </c>
      <c r="D56" s="150">
        <f>_xll.qlRateHelperQuoteValue($B56,Trigger)</f>
        <v>8.5200000000000015E-3</v>
      </c>
      <c r="E56" s="150">
        <f>_xll.qlSwapRateHelperSpread($B56,Trigger)</f>
        <v>0</v>
      </c>
      <c r="F56" s="151" t="b">
        <v>0</v>
      </c>
      <c r="G56" s="151">
        <v>50</v>
      </c>
      <c r="H56" s="151">
        <v>1</v>
      </c>
      <c r="I56" s="156">
        <f>_xll.qlRateHelperEarliestDate($B56,Trigger)</f>
        <v>42087</v>
      </c>
      <c r="J56" s="157">
        <f>_xll.qlRateHelperLatestDate($B56,Trigger)</f>
        <v>50853</v>
      </c>
      <c r="L56" s="155"/>
    </row>
    <row r="57" spans="2:12" x14ac:dyDescent="0.2">
      <c r="B57" s="266" t="str">
        <f>Swaps!K32</f>
        <v>obj_008ae#0001</v>
      </c>
      <c r="C57" s="149" t="str">
        <f>_xll.qlRateHelperQuoteName(B57)</f>
        <v>EURAB6E25Y_Quote</v>
      </c>
      <c r="D57" s="150">
        <f>_xll.qlRateHelperQuoteValue($B57,Trigger)</f>
        <v>8.5900000000000004E-3</v>
      </c>
      <c r="E57" s="150">
        <f>_xll.qlSwapRateHelperSpread($B57,Trigger)</f>
        <v>0</v>
      </c>
      <c r="F57" s="151" t="b">
        <v>1</v>
      </c>
      <c r="G57" s="151">
        <v>50</v>
      </c>
      <c r="H57" s="151">
        <v>1</v>
      </c>
      <c r="I57" s="156">
        <f>_xll.qlRateHelperEarliestDate($B57,Trigger)</f>
        <v>42087</v>
      </c>
      <c r="J57" s="157">
        <f>_xll.qlRateHelperLatestDate($B57,Trigger)</f>
        <v>51221</v>
      </c>
      <c r="L57" s="155"/>
    </row>
    <row r="58" spans="2:12" x14ac:dyDescent="0.2">
      <c r="B58" s="266" t="str">
        <f>Swaps!K33</f>
        <v>obj_008b5#0001</v>
      </c>
      <c r="C58" s="149" t="str">
        <f>_xll.qlRateHelperQuoteName(B58)</f>
        <v>EURAB6E26Y_Quote</v>
      </c>
      <c r="D58" s="150">
        <f>_xll.qlRateHelperQuoteValue($B58,Trigger)</f>
        <v>8.6599999999999993E-3</v>
      </c>
      <c r="E58" s="150">
        <f>_xll.qlSwapRateHelperSpread($B58,Trigger)</f>
        <v>0</v>
      </c>
      <c r="F58" s="151" t="b">
        <v>0</v>
      </c>
      <c r="G58" s="151">
        <v>50</v>
      </c>
      <c r="H58" s="151">
        <v>1</v>
      </c>
      <c r="I58" s="156">
        <f>_xll.qlRateHelperEarliestDate($B58,Trigger)</f>
        <v>42087</v>
      </c>
      <c r="J58" s="157">
        <f>_xll.qlRateHelperLatestDate($B58,Trigger)</f>
        <v>51585</v>
      </c>
      <c r="L58" s="155"/>
    </row>
    <row r="59" spans="2:12" x14ac:dyDescent="0.2">
      <c r="B59" s="266" t="str">
        <f>Swaps!K34</f>
        <v>obj_0089f#0001</v>
      </c>
      <c r="C59" s="149" t="str">
        <f>_xll.qlRateHelperQuoteName(B59)</f>
        <v>EURAB6E27Y_Quote</v>
      </c>
      <c r="D59" s="150">
        <f>_xll.qlRateHelperQuoteValue($B59,Trigger)</f>
        <v>8.7200000000000003E-3</v>
      </c>
      <c r="E59" s="150">
        <f>_xll.qlSwapRateHelperSpread($B59,Trigger)</f>
        <v>0</v>
      </c>
      <c r="F59" s="151" t="b">
        <v>0</v>
      </c>
      <c r="G59" s="151">
        <v>50</v>
      </c>
      <c r="H59" s="151">
        <v>1</v>
      </c>
      <c r="I59" s="156">
        <f>_xll.qlRateHelperEarliestDate($B59,Trigger)</f>
        <v>42087</v>
      </c>
      <c r="J59" s="157">
        <f>_xll.qlRateHelperLatestDate($B59,Trigger)</f>
        <v>51949</v>
      </c>
      <c r="L59" s="155"/>
    </row>
    <row r="60" spans="2:12" x14ac:dyDescent="0.2">
      <c r="B60" s="266" t="str">
        <f>Swaps!K35</f>
        <v>obj_0089a#0001</v>
      </c>
      <c r="C60" s="149" t="str">
        <f>_xll.qlRateHelperQuoteName(B60)</f>
        <v>EURAB6E28Y_Quote</v>
      </c>
      <c r="D60" s="150">
        <f>_xll.qlRateHelperQuoteValue($B60,Trigger)</f>
        <v>8.7799999999999996E-3</v>
      </c>
      <c r="E60" s="150">
        <f>_xll.qlSwapRateHelperSpread($B60,Trigger)</f>
        <v>0</v>
      </c>
      <c r="F60" s="151" t="b">
        <v>0</v>
      </c>
      <c r="G60" s="151">
        <v>50</v>
      </c>
      <c r="H60" s="151">
        <v>1</v>
      </c>
      <c r="I60" s="156">
        <f>_xll.qlRateHelperEarliestDate($B60,Trigger)</f>
        <v>42087</v>
      </c>
      <c r="J60" s="157">
        <f>_xll.qlRateHelperLatestDate($B60,Trigger)</f>
        <v>52314</v>
      </c>
      <c r="L60" s="155"/>
    </row>
    <row r="61" spans="2:12" x14ac:dyDescent="0.2">
      <c r="B61" s="266" t="str">
        <f>Swaps!K36</f>
        <v>obj_008b0#0001</v>
      </c>
      <c r="C61" s="149" t="str">
        <f>_xll.qlRateHelperQuoteName(B61)</f>
        <v>EURAB6E29Y_Quote</v>
      </c>
      <c r="D61" s="150">
        <f>_xll.qlRateHelperQuoteValue($B61,Trigger)</f>
        <v>8.8299999999999993E-3</v>
      </c>
      <c r="E61" s="150">
        <f>_xll.qlSwapRateHelperSpread($B61,Trigger)</f>
        <v>0</v>
      </c>
      <c r="F61" s="151" t="b">
        <v>0</v>
      </c>
      <c r="G61" s="151">
        <v>50</v>
      </c>
      <c r="H61" s="151">
        <v>1</v>
      </c>
      <c r="I61" s="156">
        <f>_xll.qlRateHelperEarliestDate($B61,Trigger)</f>
        <v>42087</v>
      </c>
      <c r="J61" s="157">
        <f>_xll.qlRateHelperLatestDate($B61,Trigger)</f>
        <v>52680</v>
      </c>
      <c r="L61" s="155"/>
    </row>
    <row r="62" spans="2:12" x14ac:dyDescent="0.2">
      <c r="B62" s="266" t="str">
        <f>Swaps!K37</f>
        <v>obj_008be#0001</v>
      </c>
      <c r="C62" s="149" t="str">
        <f>_xll.qlRateHelperQuoteName(B62)</f>
        <v>EURAB6E30Y_Quote</v>
      </c>
      <c r="D62" s="150">
        <f>_xll.qlRateHelperQuoteValue($B62,Trigger)</f>
        <v>8.8800000000000007E-3</v>
      </c>
      <c r="E62" s="150">
        <f>_xll.qlSwapRateHelperSpread($B62,Trigger)</f>
        <v>0</v>
      </c>
      <c r="F62" s="151" t="b">
        <v>1</v>
      </c>
      <c r="G62" s="151">
        <v>50</v>
      </c>
      <c r="H62" s="151">
        <v>1</v>
      </c>
      <c r="I62" s="156">
        <f>_xll.qlRateHelperEarliestDate($B62,Trigger)</f>
        <v>42087</v>
      </c>
      <c r="J62" s="157">
        <f>_xll.qlRateHelperLatestDate($B62,Trigger)</f>
        <v>53045</v>
      </c>
      <c r="L62" s="155"/>
    </row>
    <row r="63" spans="2:12" x14ac:dyDescent="0.2">
      <c r="B63" s="266" t="str">
        <f>Swaps!K38</f>
        <v>obj_008a0#0001</v>
      </c>
      <c r="C63" s="149" t="str">
        <f>_xll.qlRateHelperQuoteName(B63)</f>
        <v>EURAB6E35Y_Quote</v>
      </c>
      <c r="D63" s="150">
        <f>_xll.qlRateHelperQuoteValue($B63,Trigger)</f>
        <v>9.0500000000000008E-3</v>
      </c>
      <c r="E63" s="150">
        <f>_xll.qlSwapRateHelperSpread($B63,Trigger)</f>
        <v>0</v>
      </c>
      <c r="F63" s="151" t="b">
        <v>1</v>
      </c>
      <c r="G63" s="151">
        <v>50</v>
      </c>
      <c r="H63" s="151">
        <v>1</v>
      </c>
      <c r="I63" s="156">
        <f>_xll.qlRateHelperEarliestDate($B63,Trigger)</f>
        <v>42087</v>
      </c>
      <c r="J63" s="157">
        <f>_xll.qlRateHelperLatestDate($B63,Trigger)</f>
        <v>54871</v>
      </c>
      <c r="L63" s="155"/>
    </row>
    <row r="64" spans="2:12" x14ac:dyDescent="0.2">
      <c r="B64" s="266" t="str">
        <f>Swaps!K39</f>
        <v>obj_008a4#0001</v>
      </c>
      <c r="C64" s="149" t="str">
        <f>_xll.qlRateHelperQuoteName(B64)</f>
        <v>EURAB6E40Y_Quote</v>
      </c>
      <c r="D64" s="150">
        <f>_xll.qlRateHelperQuoteValue($B64,Trigger)</f>
        <v>9.11E-3</v>
      </c>
      <c r="E64" s="150">
        <f>_xll.qlSwapRateHelperSpread($B64,Trigger)</f>
        <v>0</v>
      </c>
      <c r="F64" s="151" t="b">
        <v>1</v>
      </c>
      <c r="G64" s="151">
        <v>50</v>
      </c>
      <c r="H64" s="151">
        <v>1</v>
      </c>
      <c r="I64" s="156">
        <f>_xll.qlRateHelperEarliestDate($B64,Trigger)</f>
        <v>42087</v>
      </c>
      <c r="J64" s="157">
        <f>_xll.qlRateHelperLatestDate($B64,Trigger)</f>
        <v>56697</v>
      </c>
      <c r="L64" s="155"/>
    </row>
    <row r="65" spans="2:12" x14ac:dyDescent="0.2">
      <c r="B65" s="266" t="str">
        <f>Swaps!K40</f>
        <v>obj_0089b#0001</v>
      </c>
      <c r="C65" s="149" t="str">
        <f>_xll.qlRateHelperQuoteName(B65)</f>
        <v>EURAB6E50Y_Quote</v>
      </c>
      <c r="D65" s="150">
        <f>_xll.qlRateHelperQuoteValue($B65,Trigger)</f>
        <v>8.77E-3</v>
      </c>
      <c r="E65" s="150">
        <f>_xll.qlSwapRateHelperSpread($B65,Trigger)</f>
        <v>0</v>
      </c>
      <c r="F65" s="151" t="b">
        <v>1</v>
      </c>
      <c r="G65" s="151">
        <v>50</v>
      </c>
      <c r="H65" s="151">
        <v>1</v>
      </c>
      <c r="I65" s="156">
        <f>_xll.qlRateHelperEarliestDate($B65,Trigger)</f>
        <v>42087</v>
      </c>
      <c r="J65" s="157">
        <f>_xll.qlRateHelperLatestDate($B65,Trigger)</f>
        <v>60350</v>
      </c>
      <c r="L65" s="155"/>
    </row>
    <row r="66" spans="2:12" x14ac:dyDescent="0.2">
      <c r="B66" s="267" t="str">
        <f>Swaps!K41</f>
        <v>obj_00898#0001</v>
      </c>
      <c r="C66" s="152" t="str">
        <f>_xll.qlRateHelperQuoteName(B66)</f>
        <v>EURAB6E60Y_Quote</v>
      </c>
      <c r="D66" s="153">
        <f>_xll.qlRateHelperQuoteValue($B66,Trigger)</f>
        <v>8.6199999999999992E-3</v>
      </c>
      <c r="E66" s="153">
        <f>_xll.qlSwapRateHelperSpread($B66,Trigger)</f>
        <v>0</v>
      </c>
      <c r="F66" s="154" t="b">
        <v>1</v>
      </c>
      <c r="G66" s="154">
        <v>50</v>
      </c>
      <c r="H66" s="154">
        <v>1</v>
      </c>
      <c r="I66" s="158">
        <f>_xll.qlRateHelperEarliestDate($B66,Trigger)</f>
        <v>42087</v>
      </c>
      <c r="J66" s="159">
        <f>_xll.qlRateHelperLatestDate($B66,Trigger)</f>
        <v>64003</v>
      </c>
      <c r="L66" s="155"/>
    </row>
    <row r="67" spans="2:12" x14ac:dyDescent="0.2">
      <c r="B67" s="268" t="str">
        <f>ForwardSwaps!J6</f>
        <v>obj_007c4#0001</v>
      </c>
      <c r="C67" s="251" t="str">
        <f>_xll.qlRateHelperQuoteName(B67)</f>
        <v>EUR1F1Y_Quote</v>
      </c>
      <c r="D67" s="269">
        <f>_xll.qlRateHelperQuoteValue($B67,Trigger)</f>
        <v>1E-3</v>
      </c>
      <c r="E67" s="269">
        <f>_xll.qlSwapRateHelperSpread($B67,Trigger)</f>
        <v>0</v>
      </c>
      <c r="F67" s="270" t="b">
        <v>0</v>
      </c>
      <c r="G67" s="270">
        <v>50</v>
      </c>
      <c r="H67" s="270">
        <v>1</v>
      </c>
      <c r="I67" s="271">
        <f>_xll.qlRateHelperEarliestDate($B67,Trigger)</f>
        <v>42453</v>
      </c>
      <c r="J67" s="272">
        <f>_xll.qlRateHelperLatestDate($B67,Trigger)</f>
        <v>42818</v>
      </c>
      <c r="L67" s="155"/>
    </row>
    <row r="68" spans="2:12" x14ac:dyDescent="0.2">
      <c r="B68" s="266" t="str">
        <f>ForwardSwaps!J7</f>
        <v>obj_0074a#0001</v>
      </c>
      <c r="C68" s="149" t="str">
        <f>_xll.qlRateHelperQuoteName(B68)</f>
        <v>EUR1F2Y_Quote</v>
      </c>
      <c r="D68" s="150">
        <f>_xll.qlRateHelperQuoteValue($B68,Trigger)</f>
        <v>1.5199999999999999E-3</v>
      </c>
      <c r="E68" s="150">
        <f>_xll.qlSwapRateHelperSpread($B68,Trigger)</f>
        <v>0</v>
      </c>
      <c r="F68" s="151" t="b">
        <v>0</v>
      </c>
      <c r="G68" s="151">
        <v>50</v>
      </c>
      <c r="H68" s="151">
        <v>1</v>
      </c>
      <c r="I68" s="156">
        <f>_xll.qlRateHelperEarliestDate($B68,Trigger)</f>
        <v>42453</v>
      </c>
      <c r="J68" s="157">
        <f>_xll.qlRateHelperLatestDate($B68,Trigger)</f>
        <v>43185</v>
      </c>
      <c r="L68" s="155"/>
    </row>
    <row r="69" spans="2:12" x14ac:dyDescent="0.2">
      <c r="B69" s="266" t="str">
        <f>ForwardSwaps!J8</f>
        <v>obj_00837#0001</v>
      </c>
      <c r="C69" s="149" t="str">
        <f>_xll.qlRateHelperQuoteName(B69)</f>
        <v>EUR1F3Y_Quote</v>
      </c>
      <c r="D69" s="150">
        <f>_xll.qlRateHelperQuoteValue($B69,Trigger)</f>
        <v>2.2500000000000003E-3</v>
      </c>
      <c r="E69" s="150">
        <f>_xll.qlSwapRateHelperSpread($B69,Trigger)</f>
        <v>0</v>
      </c>
      <c r="F69" s="151" t="b">
        <v>0</v>
      </c>
      <c r="G69" s="151">
        <v>50</v>
      </c>
      <c r="H69" s="151">
        <v>1</v>
      </c>
      <c r="I69" s="156">
        <f>_xll.qlRateHelperEarliestDate($B69,Trigger)</f>
        <v>42453</v>
      </c>
      <c r="J69" s="157">
        <f>_xll.qlRateHelperLatestDate($B69,Trigger)</f>
        <v>43549</v>
      </c>
      <c r="L69" s="155"/>
    </row>
    <row r="70" spans="2:12" x14ac:dyDescent="0.2">
      <c r="B70" s="266" t="str">
        <f>ForwardSwaps!J9</f>
        <v>obj_00794#0001</v>
      </c>
      <c r="C70" s="149" t="str">
        <f>_xll.qlRateHelperQuoteName(B70)</f>
        <v>EUR1F4Y_Quote</v>
      </c>
      <c r="D70" s="150">
        <f>_xll.qlRateHelperQuoteValue($B70,Trigger)</f>
        <v>2.97E-3</v>
      </c>
      <c r="E70" s="150">
        <f>_xll.qlSwapRateHelperSpread($B70,Trigger)</f>
        <v>0</v>
      </c>
      <c r="F70" s="151" t="b">
        <v>0</v>
      </c>
      <c r="G70" s="151">
        <v>50</v>
      </c>
      <c r="H70" s="151">
        <v>1</v>
      </c>
      <c r="I70" s="156">
        <f>_xll.qlRateHelperEarliestDate($B70,Trigger)</f>
        <v>42453</v>
      </c>
      <c r="J70" s="157">
        <f>_xll.qlRateHelperLatestDate($B70,Trigger)</f>
        <v>43914</v>
      </c>
      <c r="L70" s="155"/>
    </row>
    <row r="71" spans="2:12" x14ac:dyDescent="0.2">
      <c r="B71" s="266" t="str">
        <f>ForwardSwaps!J10</f>
        <v>obj_00810#0001</v>
      </c>
      <c r="C71" s="149" t="str">
        <f>_xll.qlRateHelperQuoteName(B71)</f>
        <v>EUR1F5Y_Quote</v>
      </c>
      <c r="D71" s="150">
        <f>_xll.qlRateHelperQuoteValue($B71,Trigger)</f>
        <v>3.6700000000000001E-3</v>
      </c>
      <c r="E71" s="150">
        <f>_xll.qlSwapRateHelperSpread($B71,Trigger)</f>
        <v>0</v>
      </c>
      <c r="F71" s="151" t="b">
        <v>0</v>
      </c>
      <c r="G71" s="151">
        <v>50</v>
      </c>
      <c r="H71" s="151">
        <v>1</v>
      </c>
      <c r="I71" s="156">
        <f>_xll.qlRateHelperEarliestDate($B71,Trigger)</f>
        <v>42453</v>
      </c>
      <c r="J71" s="157">
        <f>_xll.qlRateHelperLatestDate($B71,Trigger)</f>
        <v>44279</v>
      </c>
      <c r="L71" s="155"/>
    </row>
    <row r="72" spans="2:12" x14ac:dyDescent="0.2">
      <c r="B72" s="266" t="str">
        <f>ForwardSwaps!J11</f>
        <v>obj_0087a#0001</v>
      </c>
      <c r="C72" s="149" t="str">
        <f>_xll.qlRateHelperQuoteName(B72)</f>
        <v>EUR1F6Y_Quote</v>
      </c>
      <c r="D72" s="150">
        <f>_xll.qlRateHelperQuoteValue($B72,Trigger)</f>
        <v>4.3200000000000009E-3</v>
      </c>
      <c r="E72" s="150">
        <f>_xll.qlSwapRateHelperSpread($B72,Trigger)</f>
        <v>0</v>
      </c>
      <c r="F72" s="151" t="b">
        <v>0</v>
      </c>
      <c r="G72" s="151">
        <v>50</v>
      </c>
      <c r="H72" s="151">
        <v>1</v>
      </c>
      <c r="I72" s="156">
        <f>_xll.qlRateHelperEarliestDate($B72,Trigger)</f>
        <v>42453</v>
      </c>
      <c r="J72" s="157">
        <f>_xll.qlRateHelperLatestDate($B72,Trigger)</f>
        <v>44644</v>
      </c>
      <c r="L72" s="155"/>
    </row>
    <row r="73" spans="2:12" x14ac:dyDescent="0.2">
      <c r="B73" s="266" t="str">
        <f>ForwardSwaps!J12</f>
        <v>obj_00846#0001</v>
      </c>
      <c r="C73" s="149" t="str">
        <f>_xll.qlRateHelperQuoteName(B73)</f>
        <v>EUR1F7Y_Quote</v>
      </c>
      <c r="D73" s="150">
        <f>_xll.qlRateHelperQuoteValue($B73,Trigger)</f>
        <v>4.9400000000000008E-3</v>
      </c>
      <c r="E73" s="150">
        <f>_xll.qlSwapRateHelperSpread($B73,Trigger)</f>
        <v>0</v>
      </c>
      <c r="F73" s="151" t="b">
        <v>0</v>
      </c>
      <c r="G73" s="151">
        <v>50</v>
      </c>
      <c r="H73" s="151">
        <v>1</v>
      </c>
      <c r="I73" s="156">
        <f>_xll.qlRateHelperEarliestDate($B73,Trigger)</f>
        <v>42453</v>
      </c>
      <c r="J73" s="157">
        <f>_xll.qlRateHelperLatestDate($B73,Trigger)</f>
        <v>45009</v>
      </c>
      <c r="L73" s="155"/>
    </row>
    <row r="74" spans="2:12" x14ac:dyDescent="0.2">
      <c r="B74" s="266" t="str">
        <f>ForwardSwaps!J13</f>
        <v>obj_00758#0001</v>
      </c>
      <c r="C74" s="149" t="str">
        <f>_xll.qlRateHelperQuoteName(B74)</f>
        <v>EUR1F8Y_Quote</v>
      </c>
      <c r="D74" s="150">
        <f>_xll.qlRateHelperQuoteValue($B74,Trigger)</f>
        <v>5.5300000000000002E-3</v>
      </c>
      <c r="E74" s="150">
        <f>_xll.qlSwapRateHelperSpread($B74,Trigger)</f>
        <v>0</v>
      </c>
      <c r="F74" s="151" t="b">
        <v>0</v>
      </c>
      <c r="G74" s="151">
        <v>50</v>
      </c>
      <c r="H74" s="151">
        <v>1</v>
      </c>
      <c r="I74" s="156">
        <f>_xll.qlRateHelperEarliestDate($B74,Trigger)</f>
        <v>42453</v>
      </c>
      <c r="J74" s="157">
        <f>_xll.qlRateHelperLatestDate($B74,Trigger)</f>
        <v>45376</v>
      </c>
      <c r="L74" s="155"/>
    </row>
    <row r="75" spans="2:12" x14ac:dyDescent="0.2">
      <c r="B75" s="266" t="str">
        <f>ForwardSwaps!J14</f>
        <v>obj_00768#0001</v>
      </c>
      <c r="C75" s="149" t="str">
        <f>_xll.qlRateHelperQuoteName(B75)</f>
        <v>EUR1F9Y_Quote</v>
      </c>
      <c r="D75" s="150">
        <f>_xll.qlRateHelperQuoteValue($B75,Trigger)</f>
        <v>6.0400000000000002E-3</v>
      </c>
      <c r="E75" s="150">
        <f>_xll.qlSwapRateHelperSpread($B75,Trigger)</f>
        <v>0</v>
      </c>
      <c r="F75" s="151" t="b">
        <v>0</v>
      </c>
      <c r="G75" s="151">
        <v>50</v>
      </c>
      <c r="H75" s="151">
        <v>1</v>
      </c>
      <c r="I75" s="156">
        <f>_xll.qlRateHelperEarliestDate($B75,Trigger)</f>
        <v>42453</v>
      </c>
      <c r="J75" s="157">
        <f>_xll.qlRateHelperLatestDate($B75,Trigger)</f>
        <v>45740</v>
      </c>
      <c r="L75" s="155"/>
    </row>
    <row r="76" spans="2:12" x14ac:dyDescent="0.2">
      <c r="B76" s="266" t="str">
        <f>ForwardSwaps!J15</f>
        <v>obj_00793#0001</v>
      </c>
      <c r="C76" s="149" t="str">
        <f>_xll.qlRateHelperQuoteName(B76)</f>
        <v>EUR1F10Y_Quote</v>
      </c>
      <c r="D76" s="150">
        <f>_xll.qlRateHelperQuoteValue($B76,Trigger)</f>
        <v>6.5000000000000006E-3</v>
      </c>
      <c r="E76" s="150">
        <f>_xll.qlSwapRateHelperSpread($B76,Trigger)</f>
        <v>0</v>
      </c>
      <c r="F76" s="151" t="b">
        <v>0</v>
      </c>
      <c r="G76" s="151">
        <v>50</v>
      </c>
      <c r="H76" s="151">
        <v>1</v>
      </c>
      <c r="I76" s="156">
        <f>_xll.qlRateHelperEarliestDate($B76,Trigger)</f>
        <v>42453</v>
      </c>
      <c r="J76" s="157">
        <f>_xll.qlRateHelperLatestDate($B76,Trigger)</f>
        <v>46105</v>
      </c>
      <c r="L76" s="155"/>
    </row>
    <row r="77" spans="2:12" x14ac:dyDescent="0.2">
      <c r="B77" s="266" t="str">
        <f>ForwardSwaps!J16</f>
        <v>obj_007cf#0001</v>
      </c>
      <c r="C77" s="149" t="str">
        <f>_xll.qlRateHelperQuoteName(B77)</f>
        <v>EUR1F11Y_Quote</v>
      </c>
      <c r="D77" s="150">
        <f>_xll.qlRateHelperQuoteValue($B77,Trigger)</f>
        <v>6.9000000000000008E-3</v>
      </c>
      <c r="E77" s="150">
        <f>_xll.qlSwapRateHelperSpread($B77,Trigger)</f>
        <v>0</v>
      </c>
      <c r="F77" s="151" t="b">
        <v>0</v>
      </c>
      <c r="G77" s="151">
        <v>50</v>
      </c>
      <c r="H77" s="151">
        <v>1</v>
      </c>
      <c r="I77" s="156">
        <f>_xll.qlRateHelperEarliestDate($B77,Trigger)</f>
        <v>42453</v>
      </c>
      <c r="J77" s="157">
        <f>_xll.qlRateHelperLatestDate($B77,Trigger)</f>
        <v>46470</v>
      </c>
      <c r="L77" s="155"/>
    </row>
    <row r="78" spans="2:12" x14ac:dyDescent="0.2">
      <c r="B78" s="266" t="str">
        <f>ForwardSwaps!J17</f>
        <v>obj_00802#0001</v>
      </c>
      <c r="C78" s="149" t="str">
        <f>_xll.qlRateHelperQuoteName(B78)</f>
        <v>EUR1F12Y_Quote</v>
      </c>
      <c r="D78" s="150">
        <f>_xll.qlRateHelperQuoteValue($B78,Trigger)</f>
        <v>7.26E-3</v>
      </c>
      <c r="E78" s="150">
        <f>_xll.qlSwapRateHelperSpread($B78,Trigger)</f>
        <v>0</v>
      </c>
      <c r="F78" s="151" t="b">
        <v>0</v>
      </c>
      <c r="G78" s="151">
        <v>50</v>
      </c>
      <c r="H78" s="151">
        <v>1</v>
      </c>
      <c r="I78" s="156">
        <f>_xll.qlRateHelperEarliestDate($B78,Trigger)</f>
        <v>42453</v>
      </c>
      <c r="J78" s="157">
        <f>_xll.qlRateHelperLatestDate($B78,Trigger)</f>
        <v>46836</v>
      </c>
      <c r="L78" s="155"/>
    </row>
    <row r="79" spans="2:12" x14ac:dyDescent="0.2">
      <c r="B79" s="266" t="str">
        <f>ForwardSwaps!J18</f>
        <v>obj_00743#0001</v>
      </c>
      <c r="C79" s="149" t="str">
        <f>_xll.qlRateHelperQuoteName(B79)</f>
        <v>EUR1F13Y_Quote</v>
      </c>
      <c r="D79" s="150">
        <f>_xll.qlRateHelperQuoteValue($B79,Trigger)</f>
        <v>7.5500000000000003E-3</v>
      </c>
      <c r="E79" s="150">
        <f>_xll.qlSwapRateHelperSpread($B79,Trigger)</f>
        <v>0</v>
      </c>
      <c r="F79" s="151" t="b">
        <v>0</v>
      </c>
      <c r="G79" s="151">
        <v>50</v>
      </c>
      <c r="H79" s="151">
        <v>1</v>
      </c>
      <c r="I79" s="156">
        <f>_xll.qlRateHelperEarliestDate($B79,Trigger)</f>
        <v>42453</v>
      </c>
      <c r="J79" s="157">
        <f>_xll.qlRateHelperLatestDate($B79,Trigger)</f>
        <v>47203</v>
      </c>
      <c r="L79" s="155"/>
    </row>
    <row r="80" spans="2:12" x14ac:dyDescent="0.2">
      <c r="B80" s="266" t="str">
        <f>ForwardSwaps!J19</f>
        <v>obj_00850#0001</v>
      </c>
      <c r="C80" s="280" t="str">
        <f>_xll.qlRateHelperQuoteName(B80)</f>
        <v>EUR1F14Y_Quote</v>
      </c>
      <c r="D80" s="281">
        <f>_xll.qlRateHelperQuoteValue($B80,Trigger)</f>
        <v>7.79E-3</v>
      </c>
      <c r="E80" s="281">
        <f>_xll.qlSwapRateHelperSpread($B80,Trigger)</f>
        <v>0</v>
      </c>
      <c r="F80" s="282" t="b">
        <v>0</v>
      </c>
      <c r="G80" s="282">
        <v>50</v>
      </c>
      <c r="H80" s="282">
        <v>1</v>
      </c>
      <c r="I80" s="283">
        <f>_xll.qlRateHelperEarliestDate($B80,Trigger)</f>
        <v>42453</v>
      </c>
      <c r="J80" s="284">
        <f>_xll.qlRateHelperLatestDate($B80,Trigger)</f>
        <v>47567</v>
      </c>
      <c r="L80" s="155"/>
    </row>
    <row r="81" spans="2:12" x14ac:dyDescent="0.2">
      <c r="B81" s="266" t="str">
        <f>ForwardSwaps!J20</f>
        <v>obj_007f4#0001</v>
      </c>
      <c r="C81" s="149" t="str">
        <f>_xll.qlRateHelperQuoteName(B81)</f>
        <v>EUR1F15Y_Quote</v>
      </c>
      <c r="D81" s="150">
        <f>_xll.qlRateHelperQuoteValue($B81,Trigger)</f>
        <v>8.0000000000000002E-3</v>
      </c>
      <c r="E81" s="150">
        <f>_xll.qlSwapRateHelperSpread($B81,Trigger)</f>
        <v>0</v>
      </c>
      <c r="F81" s="151" t="b">
        <v>0</v>
      </c>
      <c r="G81" s="151">
        <v>50</v>
      </c>
      <c r="H81" s="151">
        <v>1</v>
      </c>
      <c r="I81" s="156">
        <f>_xll.qlRateHelperEarliestDate($B81,Trigger)</f>
        <v>42453</v>
      </c>
      <c r="J81" s="157">
        <f>_xll.qlRateHelperLatestDate($B81,Trigger)</f>
        <v>47931</v>
      </c>
      <c r="L81" s="155"/>
    </row>
    <row r="82" spans="2:12" x14ac:dyDescent="0.2">
      <c r="B82" s="266" t="str">
        <f>ForwardSwaps!J21</f>
        <v>obj_0088c#0001</v>
      </c>
      <c r="C82" s="149" t="str">
        <f>_xll.qlRateHelperQuoteName(B82)</f>
        <v>EUR1F20Y_Quote</v>
      </c>
      <c r="D82" s="150">
        <f>_xll.qlRateHelperQuoteValue($B82,Trigger)</f>
        <v>8.6800000000000002E-3</v>
      </c>
      <c r="E82" s="150">
        <f>_xll.qlSwapRateHelperSpread($B82,Trigger)</f>
        <v>0</v>
      </c>
      <c r="F82" s="151" t="b">
        <v>0</v>
      </c>
      <c r="G82" s="151">
        <v>50</v>
      </c>
      <c r="H82" s="151">
        <v>1</v>
      </c>
      <c r="I82" s="156">
        <f>_xll.qlRateHelperEarliestDate($B82,Trigger)</f>
        <v>42453</v>
      </c>
      <c r="J82" s="157">
        <f>_xll.qlRateHelperLatestDate($B82,Trigger)</f>
        <v>49758</v>
      </c>
      <c r="L82" s="155"/>
    </row>
    <row r="83" spans="2:12" x14ac:dyDescent="0.2">
      <c r="B83" s="266" t="str">
        <f>ForwardSwaps!J22</f>
        <v>obj_007ac#0001</v>
      </c>
      <c r="C83" s="149" t="str">
        <f>_xll.qlRateHelperQuoteName(B83)</f>
        <v>EUR1F25Y_Quote</v>
      </c>
      <c r="D83" s="150">
        <f>_xll.qlRateHelperQuoteValue($B83,Trigger)</f>
        <v>9.0199999999999985E-3</v>
      </c>
      <c r="E83" s="150">
        <f>_xll.qlSwapRateHelperSpread($B83,Trigger)</f>
        <v>0</v>
      </c>
      <c r="F83" s="151" t="b">
        <v>0</v>
      </c>
      <c r="G83" s="151">
        <v>50</v>
      </c>
      <c r="H83" s="151">
        <v>1</v>
      </c>
      <c r="I83" s="156">
        <f>_xll.qlRateHelperEarliestDate($B83,Trigger)</f>
        <v>42453</v>
      </c>
      <c r="J83" s="157">
        <f>_xll.qlRateHelperLatestDate($B83,Trigger)</f>
        <v>51585</v>
      </c>
      <c r="L83" s="155"/>
    </row>
    <row r="84" spans="2:12" x14ac:dyDescent="0.2">
      <c r="B84" s="267" t="str">
        <f>ForwardSwaps!J23</f>
        <v>obj_0078f#0001</v>
      </c>
      <c r="C84" s="152" t="str">
        <f>_xll.qlRateHelperQuoteName(B84)</f>
        <v>EUR1F30Y_Quote</v>
      </c>
      <c r="D84" s="153">
        <f>_xll.qlRateHelperQuoteValue($B84,Trigger)</f>
        <v>9.2399999999999999E-3</v>
      </c>
      <c r="E84" s="153">
        <f>_xll.qlSwapRateHelperSpread($B84,Trigger)</f>
        <v>0</v>
      </c>
      <c r="F84" s="154" t="b">
        <v>0</v>
      </c>
      <c r="G84" s="154">
        <v>50</v>
      </c>
      <c r="H84" s="154">
        <v>1</v>
      </c>
      <c r="I84" s="158">
        <f>_xll.qlRateHelperEarliestDate($B84,Trigger)</f>
        <v>42453</v>
      </c>
      <c r="J84" s="159">
        <f>_xll.qlRateHelperLatestDate($B84,Trigger)</f>
        <v>53413</v>
      </c>
      <c r="L84" s="155"/>
    </row>
    <row r="85" spans="2:12" x14ac:dyDescent="0.2">
      <c r="B85" s="268" t="str">
        <f>ForwardSwaps!J24</f>
        <v>obj_00745#0001</v>
      </c>
      <c r="C85" s="251" t="str">
        <f>_xll.qlRateHelperQuoteName(B85)</f>
        <v>EUR2F1Y_Quote</v>
      </c>
      <c r="D85" s="269">
        <f>_xll.qlRateHelperQuoteValue($B85,Trigger)</f>
        <v>2.0899999999999998E-3</v>
      </c>
      <c r="E85" s="269">
        <f>_xll.qlSwapRateHelperSpread($B85,Trigger)</f>
        <v>0</v>
      </c>
      <c r="F85" s="270" t="b">
        <v>0</v>
      </c>
      <c r="G85" s="270">
        <v>50</v>
      </c>
      <c r="H85" s="270">
        <v>1</v>
      </c>
      <c r="I85" s="271">
        <f>_xll.qlRateHelperEarliestDate($B85,Trigger)</f>
        <v>42818</v>
      </c>
      <c r="J85" s="272">
        <f>_xll.qlRateHelperLatestDate($B85,Trigger)</f>
        <v>43185</v>
      </c>
      <c r="L85" s="155"/>
    </row>
    <row r="86" spans="2:12" x14ac:dyDescent="0.2">
      <c r="B86" s="266" t="str">
        <f>ForwardSwaps!J25</f>
        <v>obj_00851#0001</v>
      </c>
      <c r="C86" s="149" t="str">
        <f>_xll.qlRateHelperQuoteName(B86)</f>
        <v>EUR2F2Y_Quote</v>
      </c>
      <c r="D86" s="150">
        <f>_xll.qlRateHelperQuoteValue($B86,Trigger)</f>
        <v>2.8999999999999998E-3</v>
      </c>
      <c r="E86" s="150">
        <f>_xll.qlSwapRateHelperSpread($B86,Trigger)</f>
        <v>0</v>
      </c>
      <c r="F86" s="151" t="b">
        <v>0</v>
      </c>
      <c r="G86" s="151">
        <v>50</v>
      </c>
      <c r="H86" s="151">
        <v>1</v>
      </c>
      <c r="I86" s="156">
        <f>_xll.qlRateHelperEarliestDate($B86,Trigger)</f>
        <v>42818</v>
      </c>
      <c r="J86" s="157">
        <f>_xll.qlRateHelperLatestDate($B86,Trigger)</f>
        <v>43549</v>
      </c>
      <c r="L86" s="155"/>
    </row>
    <row r="87" spans="2:12" x14ac:dyDescent="0.2">
      <c r="B87" s="266" t="str">
        <f>ForwardSwaps!J26</f>
        <v>obj_0088b#0001</v>
      </c>
      <c r="C87" s="149" t="str">
        <f>_xll.qlRateHelperQuoteName(B87)</f>
        <v>EUR2F3Y_Quote</v>
      </c>
      <c r="D87" s="150">
        <f>_xll.qlRateHelperQuoteValue($B87,Trigger)</f>
        <v>3.65E-3</v>
      </c>
      <c r="E87" s="150">
        <f>_xll.qlSwapRateHelperSpread($B87,Trigger)</f>
        <v>0</v>
      </c>
      <c r="F87" s="151" t="b">
        <v>0</v>
      </c>
      <c r="G87" s="151">
        <v>50</v>
      </c>
      <c r="H87" s="151">
        <v>1</v>
      </c>
      <c r="I87" s="156">
        <f>_xll.qlRateHelperEarliestDate($B87,Trigger)</f>
        <v>42818</v>
      </c>
      <c r="J87" s="157">
        <f>_xll.qlRateHelperLatestDate($B87,Trigger)</f>
        <v>43914</v>
      </c>
      <c r="L87" s="155"/>
    </row>
    <row r="88" spans="2:12" x14ac:dyDescent="0.2">
      <c r="B88" s="266" t="str">
        <f>ForwardSwaps!J27</f>
        <v>obj_007fc#0001</v>
      </c>
      <c r="C88" s="149" t="str">
        <f>_xll.qlRateHelperQuoteName(B88)</f>
        <v>EUR2F4Y_Quote</v>
      </c>
      <c r="D88" s="150">
        <f>_xll.qlRateHelperQuoteValue($B88,Trigger)</f>
        <v>4.3499999999999997E-3</v>
      </c>
      <c r="E88" s="150">
        <f>_xll.qlSwapRateHelperSpread($B88,Trigger)</f>
        <v>0</v>
      </c>
      <c r="F88" s="151" t="b">
        <v>0</v>
      </c>
      <c r="G88" s="151">
        <v>50</v>
      </c>
      <c r="H88" s="151">
        <v>1</v>
      </c>
      <c r="I88" s="156">
        <f>_xll.qlRateHelperEarliestDate($B88,Trigger)</f>
        <v>42818</v>
      </c>
      <c r="J88" s="157">
        <f>_xll.qlRateHelperLatestDate($B88,Trigger)</f>
        <v>44279</v>
      </c>
      <c r="L88" s="155"/>
    </row>
    <row r="89" spans="2:12" x14ac:dyDescent="0.2">
      <c r="B89" s="266" t="str">
        <f>ForwardSwaps!J28</f>
        <v>obj_00853#0001</v>
      </c>
      <c r="C89" s="149" t="str">
        <f>_xll.qlRateHelperQuoteName(B89)</f>
        <v>EUR2F5Y_Quote</v>
      </c>
      <c r="D89" s="150">
        <f>_xll.qlRateHelperQuoteValue($B89,Trigger)</f>
        <v>4.9899999999999996E-3</v>
      </c>
      <c r="E89" s="150">
        <f>_xll.qlSwapRateHelperSpread($B89,Trigger)</f>
        <v>0</v>
      </c>
      <c r="F89" s="151" t="b">
        <v>0</v>
      </c>
      <c r="G89" s="151">
        <v>50</v>
      </c>
      <c r="H89" s="151">
        <v>1</v>
      </c>
      <c r="I89" s="156">
        <f>_xll.qlRateHelperEarliestDate($B89,Trigger)</f>
        <v>42818</v>
      </c>
      <c r="J89" s="157">
        <f>_xll.qlRateHelperLatestDate($B89,Trigger)</f>
        <v>44644</v>
      </c>
      <c r="L89" s="155"/>
    </row>
    <row r="90" spans="2:12" x14ac:dyDescent="0.2">
      <c r="B90" s="266" t="str">
        <f>ForwardSwaps!J29</f>
        <v>obj_0077c#0001</v>
      </c>
      <c r="C90" s="149" t="str">
        <f>_xll.qlRateHelperQuoteName(B90)</f>
        <v>EUR2F6Y_Quote</v>
      </c>
      <c r="D90" s="150">
        <f>_xll.qlRateHelperQuoteValue($B90,Trigger)</f>
        <v>5.6100000000000004E-3</v>
      </c>
      <c r="E90" s="150">
        <f>_xll.qlSwapRateHelperSpread($B90,Trigger)</f>
        <v>0</v>
      </c>
      <c r="F90" s="151" t="b">
        <v>0</v>
      </c>
      <c r="G90" s="151">
        <v>50</v>
      </c>
      <c r="H90" s="151">
        <v>1</v>
      </c>
      <c r="I90" s="156">
        <f>_xll.qlRateHelperEarliestDate($B90,Trigger)</f>
        <v>42818</v>
      </c>
      <c r="J90" s="157">
        <f>_xll.qlRateHelperLatestDate($B90,Trigger)</f>
        <v>45009</v>
      </c>
      <c r="L90" s="155"/>
    </row>
    <row r="91" spans="2:12" x14ac:dyDescent="0.2">
      <c r="B91" s="266" t="str">
        <f>ForwardSwaps!J30</f>
        <v>obj_00844#0001</v>
      </c>
      <c r="C91" s="149" t="str">
        <f>_xll.qlRateHelperQuoteName(B91)</f>
        <v>EUR2F7Y_Quote</v>
      </c>
      <c r="D91" s="150">
        <f>_xll.qlRateHelperQuoteValue($B91,Trigger)</f>
        <v>6.1900000000000002E-3</v>
      </c>
      <c r="E91" s="150">
        <f>_xll.qlSwapRateHelperSpread($B91,Trigger)</f>
        <v>0</v>
      </c>
      <c r="F91" s="151" t="b">
        <v>0</v>
      </c>
      <c r="G91" s="151">
        <v>50</v>
      </c>
      <c r="H91" s="151">
        <v>1</v>
      </c>
      <c r="I91" s="156">
        <f>_xll.qlRateHelperEarliestDate($B91,Trigger)</f>
        <v>42818</v>
      </c>
      <c r="J91" s="157">
        <f>_xll.qlRateHelperLatestDate($B91,Trigger)</f>
        <v>45376</v>
      </c>
      <c r="L91" s="155"/>
    </row>
    <row r="92" spans="2:12" x14ac:dyDescent="0.2">
      <c r="B92" s="266" t="str">
        <f>ForwardSwaps!J31</f>
        <v>obj_0082d#0001</v>
      </c>
      <c r="C92" s="149" t="str">
        <f>_xll.qlRateHelperQuoteName(B92)</f>
        <v>EUR2F8Y_Quote</v>
      </c>
      <c r="D92" s="150">
        <f>_xll.qlRateHelperQuoteValue($B92,Trigger)</f>
        <v>6.6900000000000006E-3</v>
      </c>
      <c r="E92" s="150">
        <f>_xll.qlSwapRateHelperSpread($B92,Trigger)</f>
        <v>0</v>
      </c>
      <c r="F92" s="151" t="b">
        <v>0</v>
      </c>
      <c r="G92" s="151">
        <v>50</v>
      </c>
      <c r="H92" s="151">
        <v>1</v>
      </c>
      <c r="I92" s="156">
        <f>_xll.qlRateHelperEarliestDate($B92,Trigger)</f>
        <v>42818</v>
      </c>
      <c r="J92" s="157">
        <f>_xll.qlRateHelperLatestDate($B92,Trigger)</f>
        <v>45740</v>
      </c>
      <c r="L92" s="155"/>
    </row>
    <row r="93" spans="2:12" x14ac:dyDescent="0.2">
      <c r="B93" s="266" t="str">
        <f>ForwardSwaps!J32</f>
        <v>obj_0073f#0001</v>
      </c>
      <c r="C93" s="149" t="str">
        <f>_xll.qlRateHelperQuoteName(B93)</f>
        <v>EUR2F9Y_Quote</v>
      </c>
      <c r="D93" s="150">
        <f>_xll.qlRateHelperQuoteValue($B93,Trigger)</f>
        <v>7.1199999999999996E-3</v>
      </c>
      <c r="E93" s="150">
        <f>_xll.qlSwapRateHelperSpread($B93,Trigger)</f>
        <v>0</v>
      </c>
      <c r="F93" s="151" t="b">
        <v>0</v>
      </c>
      <c r="G93" s="151">
        <v>50</v>
      </c>
      <c r="H93" s="151">
        <v>1</v>
      </c>
      <c r="I93" s="156">
        <f>_xll.qlRateHelperEarliestDate($B93,Trigger)</f>
        <v>42818</v>
      </c>
      <c r="J93" s="157">
        <f>_xll.qlRateHelperLatestDate($B93,Trigger)</f>
        <v>46105</v>
      </c>
      <c r="L93" s="155"/>
    </row>
    <row r="94" spans="2:12" x14ac:dyDescent="0.2">
      <c r="B94" s="266" t="str">
        <f>ForwardSwaps!J33</f>
        <v>obj_00751#0001</v>
      </c>
      <c r="C94" s="149" t="str">
        <f>_xll.qlRateHelperQuoteName(B94)</f>
        <v>EUR2F10Y_Quote</v>
      </c>
      <c r="D94" s="150">
        <f>_xll.qlRateHelperQuoteValue($B94,Trigger)</f>
        <v>7.5100000000000002E-3</v>
      </c>
      <c r="E94" s="150">
        <f>_xll.qlSwapRateHelperSpread($B94,Trigger)</f>
        <v>0</v>
      </c>
      <c r="F94" s="151" t="b">
        <v>0</v>
      </c>
      <c r="G94" s="151">
        <v>50</v>
      </c>
      <c r="H94" s="151">
        <v>1</v>
      </c>
      <c r="I94" s="156">
        <f>_xll.qlRateHelperEarliestDate($B94,Trigger)</f>
        <v>42818</v>
      </c>
      <c r="J94" s="157">
        <f>_xll.qlRateHelperLatestDate($B94,Trigger)</f>
        <v>46470</v>
      </c>
      <c r="L94" s="155"/>
    </row>
    <row r="95" spans="2:12" x14ac:dyDescent="0.2">
      <c r="B95" s="266" t="str">
        <f>ForwardSwaps!J34</f>
        <v>obj_007cd#0001</v>
      </c>
      <c r="C95" s="149" t="str">
        <f>_xll.qlRateHelperQuoteName(B95)</f>
        <v>EUR2F11Y_Quote</v>
      </c>
      <c r="D95" s="150">
        <f>_xll.qlRateHelperQuoteValue($B95,Trigger)</f>
        <v>7.8499999999999993E-3</v>
      </c>
      <c r="E95" s="150">
        <f>_xll.qlSwapRateHelperSpread($B95,Trigger)</f>
        <v>0</v>
      </c>
      <c r="F95" s="151" t="b">
        <v>0</v>
      </c>
      <c r="G95" s="151">
        <v>50</v>
      </c>
      <c r="H95" s="151">
        <v>1</v>
      </c>
      <c r="I95" s="156">
        <f>_xll.qlRateHelperEarliestDate($B95,Trigger)</f>
        <v>42818</v>
      </c>
      <c r="J95" s="157">
        <f>_xll.qlRateHelperLatestDate($B95,Trigger)</f>
        <v>46836</v>
      </c>
      <c r="L95" s="155"/>
    </row>
    <row r="96" spans="2:12" x14ac:dyDescent="0.2">
      <c r="B96" s="266" t="str">
        <f>ForwardSwaps!J35</f>
        <v>obj_0087f#0001</v>
      </c>
      <c r="C96" s="149" t="str">
        <f>_xll.qlRateHelperQuoteName(B96)</f>
        <v>EUR2F12Y_Quote</v>
      </c>
      <c r="D96" s="150">
        <f>_xll.qlRateHelperQuoteValue($B96,Trigger)</f>
        <v>8.1099999999999992E-3</v>
      </c>
      <c r="E96" s="150">
        <f>_xll.qlSwapRateHelperSpread($B96,Trigger)</f>
        <v>0</v>
      </c>
      <c r="F96" s="151" t="b">
        <v>0</v>
      </c>
      <c r="G96" s="151">
        <v>50</v>
      </c>
      <c r="H96" s="151">
        <v>1</v>
      </c>
      <c r="I96" s="156">
        <f>_xll.qlRateHelperEarliestDate($B96,Trigger)</f>
        <v>42818</v>
      </c>
      <c r="J96" s="157">
        <f>_xll.qlRateHelperLatestDate($B96,Trigger)</f>
        <v>47203</v>
      </c>
      <c r="L96" s="155"/>
    </row>
    <row r="97" spans="2:12" x14ac:dyDescent="0.2">
      <c r="B97" s="266" t="str">
        <f>ForwardSwaps!J36</f>
        <v>obj_00872#0001</v>
      </c>
      <c r="C97" s="149" t="str">
        <f>_xll.qlRateHelperQuoteName(B97)</f>
        <v>EUR2F13Y_Quote</v>
      </c>
      <c r="D97" s="150">
        <f>_xll.qlRateHelperQuoteValue($B97,Trigger)</f>
        <v>8.3400000000000002E-3</v>
      </c>
      <c r="E97" s="150">
        <f>_xll.qlSwapRateHelperSpread($B97,Trigger)</f>
        <v>0</v>
      </c>
      <c r="F97" s="151" t="b">
        <v>0</v>
      </c>
      <c r="G97" s="151">
        <v>50</v>
      </c>
      <c r="H97" s="151">
        <v>1</v>
      </c>
      <c r="I97" s="156">
        <f>_xll.qlRateHelperEarliestDate($B97,Trigger)</f>
        <v>42818</v>
      </c>
      <c r="J97" s="157">
        <f>_xll.qlRateHelperLatestDate($B97,Trigger)</f>
        <v>47567</v>
      </c>
      <c r="L97" s="155"/>
    </row>
    <row r="98" spans="2:12" x14ac:dyDescent="0.2">
      <c r="B98" s="266" t="str">
        <f>ForwardSwaps!J37</f>
        <v>obj_007a0#0001</v>
      </c>
      <c r="C98" s="149" t="str">
        <f>_xll.qlRateHelperQuoteName(B98)</f>
        <v>EUR2F14Y_Quote</v>
      </c>
      <c r="D98" s="150">
        <f>_xll.qlRateHelperQuoteValue($B98,Trigger)</f>
        <v>8.5199999999999998E-3</v>
      </c>
      <c r="E98" s="150">
        <f>_xll.qlSwapRateHelperSpread($B98,Trigger)</f>
        <v>0</v>
      </c>
      <c r="F98" s="151" t="b">
        <v>0</v>
      </c>
      <c r="G98" s="151">
        <v>50</v>
      </c>
      <c r="H98" s="151">
        <v>1</v>
      </c>
      <c r="I98" s="156">
        <f>_xll.qlRateHelperEarliestDate($B98,Trigger)</f>
        <v>42818</v>
      </c>
      <c r="J98" s="157">
        <f>_xll.qlRateHelperLatestDate($B98,Trigger)</f>
        <v>47931</v>
      </c>
      <c r="L98" s="155"/>
    </row>
    <row r="99" spans="2:12" x14ac:dyDescent="0.2">
      <c r="B99" s="266" t="str">
        <f>ForwardSwaps!J38</f>
        <v>obj_00813#0001</v>
      </c>
      <c r="C99" s="149" t="str">
        <f>_xll.qlRateHelperQuoteName(B99)</f>
        <v>EUR2F15Y_Quote</v>
      </c>
      <c r="D99" s="150">
        <f>_xll.qlRateHelperQuoteValue($B99,Trigger)</f>
        <v>8.6999999999999994E-3</v>
      </c>
      <c r="E99" s="150">
        <f>_xll.qlSwapRateHelperSpread($B99,Trigger)</f>
        <v>0</v>
      </c>
      <c r="F99" s="151" t="b">
        <v>0</v>
      </c>
      <c r="G99" s="151">
        <v>50</v>
      </c>
      <c r="H99" s="151">
        <v>1</v>
      </c>
      <c r="I99" s="156">
        <f>_xll.qlRateHelperEarliestDate($B99,Trigger)</f>
        <v>42818</v>
      </c>
      <c r="J99" s="157">
        <f>_xll.qlRateHelperLatestDate($B99,Trigger)</f>
        <v>48297</v>
      </c>
      <c r="L99" s="155"/>
    </row>
    <row r="100" spans="2:12" x14ac:dyDescent="0.2">
      <c r="B100" s="266" t="str">
        <f>ForwardSwaps!J39</f>
        <v>obj_0082e#0001</v>
      </c>
      <c r="C100" s="149" t="str">
        <f>_xll.qlRateHelperQuoteName(B100)</f>
        <v>EUR2F20Y_Quote</v>
      </c>
      <c r="D100" s="150">
        <f>_xll.qlRateHelperQuoteValue($B100,Trigger)</f>
        <v>9.1700000000000011E-3</v>
      </c>
      <c r="E100" s="150">
        <f>_xll.qlSwapRateHelperSpread($B100,Trigger)</f>
        <v>0</v>
      </c>
      <c r="F100" s="151" t="b">
        <v>0</v>
      </c>
      <c r="G100" s="151">
        <v>50</v>
      </c>
      <c r="H100" s="151">
        <v>1</v>
      </c>
      <c r="I100" s="156">
        <f>_xll.qlRateHelperEarliestDate($B100,Trigger)</f>
        <v>42818</v>
      </c>
      <c r="J100" s="157">
        <f>_xll.qlRateHelperLatestDate($B100,Trigger)</f>
        <v>50123</v>
      </c>
      <c r="L100" s="155"/>
    </row>
    <row r="101" spans="2:12" x14ac:dyDescent="0.2">
      <c r="B101" s="266" t="str">
        <f>ForwardSwaps!J40</f>
        <v>obj_00860#0001</v>
      </c>
      <c r="C101" s="149" t="str">
        <f>_xll.qlRateHelperQuoteName(B101)</f>
        <v>EUR2F25Y_Quote</v>
      </c>
      <c r="D101" s="150">
        <f>_xll.qlRateHelperQuoteValue($B101,Trigger)</f>
        <v>9.4199999999999996E-3</v>
      </c>
      <c r="E101" s="150">
        <f>_xll.qlSwapRateHelperSpread($B101,Trigger)</f>
        <v>0</v>
      </c>
      <c r="F101" s="151" t="b">
        <v>0</v>
      </c>
      <c r="G101" s="151">
        <v>50</v>
      </c>
      <c r="H101" s="151">
        <v>1</v>
      </c>
      <c r="I101" s="156">
        <f>_xll.qlRateHelperEarliestDate($B101,Trigger)</f>
        <v>42818</v>
      </c>
      <c r="J101" s="157">
        <f>_xll.qlRateHelperLatestDate($B101,Trigger)</f>
        <v>51949</v>
      </c>
      <c r="L101" s="155"/>
    </row>
    <row r="102" spans="2:12" x14ac:dyDescent="0.2">
      <c r="B102" s="267" t="str">
        <f>ForwardSwaps!J41</f>
        <v>obj_00795#0001</v>
      </c>
      <c r="C102" s="152" t="str">
        <f>_xll.qlRateHelperQuoteName(B102)</f>
        <v>EUR2F30Y_Quote</v>
      </c>
      <c r="D102" s="153">
        <f>_xll.qlRateHelperQuoteValue($B102,Trigger)</f>
        <v>9.58E-3</v>
      </c>
      <c r="E102" s="153">
        <f>_xll.qlSwapRateHelperSpread($B102,Trigger)</f>
        <v>0</v>
      </c>
      <c r="F102" s="154" t="b">
        <v>0</v>
      </c>
      <c r="G102" s="154">
        <v>50</v>
      </c>
      <c r="H102" s="154">
        <v>1</v>
      </c>
      <c r="I102" s="158">
        <f>_xll.qlRateHelperEarliestDate($B102,Trigger)</f>
        <v>42818</v>
      </c>
      <c r="J102" s="159">
        <f>_xll.qlRateHelperLatestDate($B102,Trigger)</f>
        <v>53776</v>
      </c>
      <c r="L102" s="155"/>
    </row>
    <row r="103" spans="2:12" x14ac:dyDescent="0.2">
      <c r="B103" s="268" t="str">
        <f>ForwardSwaps!J42</f>
        <v>obj_0082b#0001</v>
      </c>
      <c r="C103" s="251" t="str">
        <f>_xll.qlRateHelperQuoteName(B103)</f>
        <v>EUR3F1Y_Quote</v>
      </c>
      <c r="D103" s="269">
        <f>_xll.qlRateHelperQuoteValue($B103,Trigger)</f>
        <v>3.7099999999999998E-3</v>
      </c>
      <c r="E103" s="269">
        <f>_xll.qlSwapRateHelperSpread($B103,Trigger)</f>
        <v>0</v>
      </c>
      <c r="F103" s="270" t="b">
        <v>0</v>
      </c>
      <c r="G103" s="270">
        <v>50</v>
      </c>
      <c r="H103" s="270">
        <v>1</v>
      </c>
      <c r="I103" s="271">
        <f>_xll.qlRateHelperEarliestDate($B103,Trigger)</f>
        <v>43185</v>
      </c>
      <c r="J103" s="272">
        <f>_xll.qlRateHelperLatestDate($B103,Trigger)</f>
        <v>43550</v>
      </c>
      <c r="L103" s="155"/>
    </row>
    <row r="104" spans="2:12" x14ac:dyDescent="0.2">
      <c r="B104" s="266" t="str">
        <f>ForwardSwaps!J43</f>
        <v>obj_00759#0001</v>
      </c>
      <c r="C104" s="149" t="str">
        <f>_xll.qlRateHelperQuoteName(B104)</f>
        <v>EUR3F2Y_Quote</v>
      </c>
      <c r="D104" s="150">
        <f>_xll.qlRateHelperQuoteValue($B104,Trigger)</f>
        <v>4.4400000000000004E-3</v>
      </c>
      <c r="E104" s="150">
        <f>_xll.qlSwapRateHelperSpread($B104,Trigger)</f>
        <v>0</v>
      </c>
      <c r="F104" s="151" t="b">
        <v>0</v>
      </c>
      <c r="G104" s="151">
        <v>50</v>
      </c>
      <c r="H104" s="151">
        <v>1</v>
      </c>
      <c r="I104" s="156">
        <f>_xll.qlRateHelperEarliestDate($B104,Trigger)</f>
        <v>43185</v>
      </c>
      <c r="J104" s="157">
        <f>_xll.qlRateHelperLatestDate($B104,Trigger)</f>
        <v>43916</v>
      </c>
      <c r="L104" s="155"/>
    </row>
    <row r="105" spans="2:12" x14ac:dyDescent="0.2">
      <c r="B105" s="266" t="str">
        <f>ForwardSwaps!J44</f>
        <v>obj_0084a#0001</v>
      </c>
      <c r="C105" s="149" t="str">
        <f>_xll.qlRateHelperQuoteName(B105)</f>
        <v>EUR3F3Y_Quote</v>
      </c>
      <c r="D105" s="150">
        <f>_xll.qlRateHelperQuoteValue($B105,Trigger)</f>
        <v>5.11E-3</v>
      </c>
      <c r="E105" s="150">
        <f>_xll.qlSwapRateHelperSpread($B105,Trigger)</f>
        <v>0</v>
      </c>
      <c r="F105" s="151" t="b">
        <v>0</v>
      </c>
      <c r="G105" s="151">
        <v>50</v>
      </c>
      <c r="H105" s="151">
        <v>1</v>
      </c>
      <c r="I105" s="156">
        <f>_xll.qlRateHelperEarliestDate($B105,Trigger)</f>
        <v>43185</v>
      </c>
      <c r="J105" s="157">
        <f>_xll.qlRateHelperLatestDate($B105,Trigger)</f>
        <v>44281</v>
      </c>
      <c r="L105" s="155"/>
    </row>
    <row r="106" spans="2:12" x14ac:dyDescent="0.2">
      <c r="B106" s="266" t="str">
        <f>ForwardSwaps!J45</f>
        <v>obj_007f8#0001</v>
      </c>
      <c r="C106" s="149" t="str">
        <f>_xll.qlRateHelperQuoteName(B106)</f>
        <v>EUR3F4Y_Quote</v>
      </c>
      <c r="D106" s="150">
        <f>_xll.qlRateHelperQuoteValue($B106,Trigger)</f>
        <v>5.7199999999999994E-3</v>
      </c>
      <c r="E106" s="150">
        <f>_xll.qlSwapRateHelperSpread($B106,Trigger)</f>
        <v>0</v>
      </c>
      <c r="F106" s="151" t="b">
        <v>0</v>
      </c>
      <c r="G106" s="151">
        <v>50</v>
      </c>
      <c r="H106" s="151">
        <v>1</v>
      </c>
      <c r="I106" s="156">
        <f>_xll.qlRateHelperEarliestDate($B106,Trigger)</f>
        <v>43185</v>
      </c>
      <c r="J106" s="157">
        <f>_xll.qlRateHelperLatestDate($B106,Trigger)</f>
        <v>44648</v>
      </c>
      <c r="L106" s="155"/>
    </row>
    <row r="107" spans="2:12" x14ac:dyDescent="0.2">
      <c r="B107" s="266" t="str">
        <f>ForwardSwaps!J46</f>
        <v>obj_00800#0001</v>
      </c>
      <c r="C107" s="149" t="str">
        <f>_xll.qlRateHelperQuoteName(B107)</f>
        <v>EUR3F5Y_Quote</v>
      </c>
      <c r="D107" s="150">
        <f>_xll.qlRateHelperQuoteValue($B107,Trigger)</f>
        <v>6.3299999999999997E-3</v>
      </c>
      <c r="E107" s="150">
        <f>_xll.qlSwapRateHelperSpread($B107,Trigger)</f>
        <v>0</v>
      </c>
      <c r="F107" s="151" t="b">
        <v>0</v>
      </c>
      <c r="G107" s="151">
        <v>50</v>
      </c>
      <c r="H107" s="151">
        <v>1</v>
      </c>
      <c r="I107" s="156">
        <f>_xll.qlRateHelperEarliestDate($B107,Trigger)</f>
        <v>43185</v>
      </c>
      <c r="J107" s="157">
        <f>_xll.qlRateHelperLatestDate($B107,Trigger)</f>
        <v>45012</v>
      </c>
      <c r="L107" s="155"/>
    </row>
    <row r="108" spans="2:12" x14ac:dyDescent="0.2">
      <c r="B108" s="266" t="str">
        <f>ForwardSwaps!J47</f>
        <v>obj_007c1#0001</v>
      </c>
      <c r="C108" s="149" t="str">
        <f>_xll.qlRateHelperQuoteName(B108)</f>
        <v>EUR3F6Y_Quote</v>
      </c>
      <c r="D108" s="150">
        <f>_xll.qlRateHelperQuoteValue($B108,Trigger)</f>
        <v>6.8899999999999994E-3</v>
      </c>
      <c r="E108" s="150">
        <f>_xll.qlSwapRateHelperSpread($B108,Trigger)</f>
        <v>0</v>
      </c>
      <c r="F108" s="151" t="b">
        <v>0</v>
      </c>
      <c r="G108" s="151">
        <v>50</v>
      </c>
      <c r="H108" s="151">
        <v>1</v>
      </c>
      <c r="I108" s="156">
        <f>_xll.qlRateHelperEarliestDate($B108,Trigger)</f>
        <v>43185</v>
      </c>
      <c r="J108" s="157">
        <f>_xll.qlRateHelperLatestDate($B108,Trigger)</f>
        <v>45377</v>
      </c>
      <c r="L108" s="155"/>
    </row>
    <row r="109" spans="2:12" x14ac:dyDescent="0.2">
      <c r="B109" s="266" t="str">
        <f>ForwardSwaps!J48</f>
        <v>obj_00783#0001</v>
      </c>
      <c r="C109" s="149" t="str">
        <f>_xll.qlRateHelperQuoteName(B109)</f>
        <v>EUR3F7Y_Quote</v>
      </c>
      <c r="D109" s="150">
        <f>_xll.qlRateHelperQuoteValue($B109,Trigger)</f>
        <v>7.3600000000000002E-3</v>
      </c>
      <c r="E109" s="150">
        <f>_xll.qlSwapRateHelperSpread($B109,Trigger)</f>
        <v>0</v>
      </c>
      <c r="F109" s="151" t="b">
        <v>0</v>
      </c>
      <c r="G109" s="151">
        <v>50</v>
      </c>
      <c r="H109" s="151">
        <v>1</v>
      </c>
      <c r="I109" s="156">
        <f>_xll.qlRateHelperEarliestDate($B109,Trigger)</f>
        <v>43185</v>
      </c>
      <c r="J109" s="157">
        <f>_xll.qlRateHelperLatestDate($B109,Trigger)</f>
        <v>45742</v>
      </c>
      <c r="L109" s="155"/>
    </row>
    <row r="110" spans="2:12" x14ac:dyDescent="0.2">
      <c r="B110" s="266" t="str">
        <f>ForwardSwaps!J49</f>
        <v>obj_007b9#0001</v>
      </c>
      <c r="C110" s="149" t="str">
        <f>_xll.qlRateHelperQuoteName(B110)</f>
        <v>EUR3F8Y_Quote</v>
      </c>
      <c r="D110" s="150">
        <f>_xll.qlRateHelperQuoteValue($B110,Trigger)</f>
        <v>7.7699999999999991E-3</v>
      </c>
      <c r="E110" s="150">
        <f>_xll.qlSwapRateHelperSpread($B110,Trigger)</f>
        <v>0</v>
      </c>
      <c r="F110" s="151" t="b">
        <v>0</v>
      </c>
      <c r="G110" s="151">
        <v>50</v>
      </c>
      <c r="H110" s="151">
        <v>1</v>
      </c>
      <c r="I110" s="156">
        <f>_xll.qlRateHelperEarliestDate($B110,Trigger)</f>
        <v>43185</v>
      </c>
      <c r="J110" s="157">
        <f>_xll.qlRateHelperLatestDate($B110,Trigger)</f>
        <v>46107</v>
      </c>
      <c r="L110" s="155"/>
    </row>
    <row r="111" spans="2:12" x14ac:dyDescent="0.2">
      <c r="B111" s="266" t="str">
        <f>ForwardSwaps!J50</f>
        <v>obj_0084b#0001</v>
      </c>
      <c r="C111" s="149" t="str">
        <f>_xll.qlRateHelperQuoteName(B111)</f>
        <v>EUR3F9Y_Quote</v>
      </c>
      <c r="D111" s="150">
        <f>_xll.qlRateHelperQuoteValue($B111,Trigger)</f>
        <v>8.1199999999999987E-3</v>
      </c>
      <c r="E111" s="150">
        <f>_xll.qlSwapRateHelperSpread($B111,Trigger)</f>
        <v>0</v>
      </c>
      <c r="F111" s="151" t="b">
        <v>0</v>
      </c>
      <c r="G111" s="151">
        <v>50</v>
      </c>
      <c r="H111" s="151">
        <v>1</v>
      </c>
      <c r="I111" s="156">
        <f>_xll.qlRateHelperEarliestDate($B111,Trigger)</f>
        <v>43185</v>
      </c>
      <c r="J111" s="157">
        <f>_xll.qlRateHelperLatestDate($B111,Trigger)</f>
        <v>46476</v>
      </c>
      <c r="L111" s="155"/>
    </row>
    <row r="112" spans="2:12" x14ac:dyDescent="0.2">
      <c r="B112" s="266" t="str">
        <f>ForwardSwaps!J51</f>
        <v>obj_007db#0001</v>
      </c>
      <c r="C112" s="149" t="str">
        <f>_xll.qlRateHelperQuoteName(B112)</f>
        <v>EUR3F10Y_Quote</v>
      </c>
      <c r="D112" s="150">
        <f>_xll.qlRateHelperQuoteValue($B112,Trigger)</f>
        <v>8.4399999999999996E-3</v>
      </c>
      <c r="E112" s="150">
        <f>_xll.qlSwapRateHelperSpread($B112,Trigger)</f>
        <v>0</v>
      </c>
      <c r="F112" s="151" t="b">
        <v>0</v>
      </c>
      <c r="G112" s="151">
        <v>50</v>
      </c>
      <c r="H112" s="151">
        <v>1</v>
      </c>
      <c r="I112" s="156">
        <f>_xll.qlRateHelperEarliestDate($B112,Trigger)</f>
        <v>43185</v>
      </c>
      <c r="J112" s="157">
        <f>_xll.qlRateHelperLatestDate($B112,Trigger)</f>
        <v>46839</v>
      </c>
      <c r="L112" s="155"/>
    </row>
    <row r="113" spans="2:12" x14ac:dyDescent="0.2">
      <c r="B113" s="266" t="str">
        <f>ForwardSwaps!J52</f>
        <v>obj_00776#0001</v>
      </c>
      <c r="C113" s="149" t="str">
        <f>_xll.qlRateHelperQuoteName(B113)</f>
        <v>EUR3F11Y_Quote</v>
      </c>
      <c r="D113" s="150">
        <f>_xll.qlRateHelperQuoteValue($B113,Trigger)</f>
        <v>8.6800000000000002E-3</v>
      </c>
      <c r="E113" s="150">
        <f>_xll.qlSwapRateHelperSpread($B113,Trigger)</f>
        <v>0</v>
      </c>
      <c r="F113" s="151" t="b">
        <v>0</v>
      </c>
      <c r="G113" s="151">
        <v>50</v>
      </c>
      <c r="H113" s="151">
        <v>1</v>
      </c>
      <c r="I113" s="156">
        <f>_xll.qlRateHelperEarliestDate($B113,Trigger)</f>
        <v>43185</v>
      </c>
      <c r="J113" s="157">
        <f>_xll.qlRateHelperLatestDate($B113,Trigger)</f>
        <v>47203</v>
      </c>
      <c r="L113" s="155"/>
    </row>
    <row r="114" spans="2:12" x14ac:dyDescent="0.2">
      <c r="B114" s="266" t="str">
        <f>ForwardSwaps!J53</f>
        <v>obj_00796#0001</v>
      </c>
      <c r="C114" s="149" t="str">
        <f>_xll.qlRateHelperQuoteName(B114)</f>
        <v>EUR3F12Y_Quote</v>
      </c>
      <c r="D114" s="150">
        <f>_xll.qlRateHelperQuoteValue($B114,Trigger)</f>
        <v>8.8800000000000007E-3</v>
      </c>
      <c r="E114" s="150">
        <f>_xll.qlSwapRateHelperSpread($B114,Trigger)</f>
        <v>0</v>
      </c>
      <c r="F114" s="151" t="b">
        <v>0</v>
      </c>
      <c r="G114" s="151">
        <v>50</v>
      </c>
      <c r="H114" s="151">
        <v>1</v>
      </c>
      <c r="I114" s="156">
        <f>_xll.qlRateHelperEarliestDate($B114,Trigger)</f>
        <v>43185</v>
      </c>
      <c r="J114" s="157">
        <f>_xll.qlRateHelperLatestDate($B114,Trigger)</f>
        <v>47568</v>
      </c>
      <c r="L114" s="155"/>
    </row>
    <row r="115" spans="2:12" x14ac:dyDescent="0.2">
      <c r="B115" s="266" t="str">
        <f>ForwardSwaps!J54</f>
        <v>obj_00881#0001</v>
      </c>
      <c r="C115" s="149" t="str">
        <f>_xll.qlRateHelperQuoteName(B115)</f>
        <v>EUR3F13Y_Quote</v>
      </c>
      <c r="D115" s="150">
        <f>_xll.qlRateHelperQuoteValue($B115,Trigger)</f>
        <v>9.0399999999999994E-3</v>
      </c>
      <c r="E115" s="150">
        <f>_xll.qlSwapRateHelperSpread($B115,Trigger)</f>
        <v>0</v>
      </c>
      <c r="F115" s="151" t="b">
        <v>0</v>
      </c>
      <c r="G115" s="151">
        <v>50</v>
      </c>
      <c r="H115" s="151">
        <v>1</v>
      </c>
      <c r="I115" s="156">
        <f>_xll.qlRateHelperEarliestDate($B115,Trigger)</f>
        <v>43185</v>
      </c>
      <c r="J115" s="157">
        <f>_xll.qlRateHelperLatestDate($B115,Trigger)</f>
        <v>47933</v>
      </c>
      <c r="L115" s="155"/>
    </row>
    <row r="116" spans="2:12" x14ac:dyDescent="0.2">
      <c r="B116" s="266" t="str">
        <f>ForwardSwaps!J55</f>
        <v>obj_00882#0001</v>
      </c>
      <c r="C116" s="149" t="str">
        <f>_xll.qlRateHelperQuoteName(B116)</f>
        <v>EUR3F14Y_Quote</v>
      </c>
      <c r="D116" s="150">
        <f>_xll.qlRateHelperQuoteValue($B116,Trigger)</f>
        <v>9.1899999999999985E-3</v>
      </c>
      <c r="E116" s="150">
        <f>_xll.qlSwapRateHelperSpread($B116,Trigger)</f>
        <v>0</v>
      </c>
      <c r="F116" s="151" t="b">
        <v>0</v>
      </c>
      <c r="G116" s="151">
        <v>50</v>
      </c>
      <c r="H116" s="151">
        <v>1</v>
      </c>
      <c r="I116" s="156">
        <f>_xll.qlRateHelperEarliestDate($B116,Trigger)</f>
        <v>43185</v>
      </c>
      <c r="J116" s="157">
        <f>_xll.qlRateHelperLatestDate($B116,Trigger)</f>
        <v>48303</v>
      </c>
      <c r="L116" s="155"/>
    </row>
    <row r="117" spans="2:12" x14ac:dyDescent="0.2">
      <c r="B117" s="266" t="str">
        <f>ForwardSwaps!J56</f>
        <v>obj_0086f#0001</v>
      </c>
      <c r="C117" s="149" t="str">
        <f>_xll.qlRateHelperQuoteName(B117)</f>
        <v>EUR3F15Y_Quote</v>
      </c>
      <c r="D117" s="150">
        <f>_xll.qlRateHelperQuoteValue($B117,Trigger)</f>
        <v>9.2899999999999996E-3</v>
      </c>
      <c r="E117" s="150">
        <f>_xll.qlSwapRateHelperSpread($B117,Trigger)</f>
        <v>0</v>
      </c>
      <c r="F117" s="151" t="b">
        <v>0</v>
      </c>
      <c r="G117" s="151">
        <v>50</v>
      </c>
      <c r="H117" s="151">
        <v>1</v>
      </c>
      <c r="I117" s="156">
        <f>_xll.qlRateHelperEarliestDate($B117,Trigger)</f>
        <v>43185</v>
      </c>
      <c r="J117" s="157">
        <f>_xll.qlRateHelperLatestDate($B117,Trigger)</f>
        <v>48666</v>
      </c>
      <c r="L117" s="155"/>
    </row>
    <row r="118" spans="2:12" x14ac:dyDescent="0.2">
      <c r="B118" s="266" t="str">
        <f>ForwardSwaps!J57</f>
        <v>obj_007fd#0001</v>
      </c>
      <c r="C118" s="149" t="str">
        <f>_xll.qlRateHelperQuoteName(B118)</f>
        <v>EUR3F20Y_Quote</v>
      </c>
      <c r="D118" s="150">
        <f>_xll.qlRateHelperQuoteValue($B118,Trigger)</f>
        <v>9.6100000000000005E-3</v>
      </c>
      <c r="E118" s="150">
        <f>_xll.qlSwapRateHelperSpread($B118,Trigger)</f>
        <v>0</v>
      </c>
      <c r="F118" s="151" t="b">
        <v>0</v>
      </c>
      <c r="G118" s="151">
        <v>50</v>
      </c>
      <c r="H118" s="151">
        <v>1</v>
      </c>
      <c r="I118" s="156">
        <f>_xll.qlRateHelperEarliestDate($B118,Trigger)</f>
        <v>43185</v>
      </c>
      <c r="J118" s="157">
        <f>_xll.qlRateHelperLatestDate($B118,Trigger)</f>
        <v>50490</v>
      </c>
      <c r="L118" s="155"/>
    </row>
    <row r="119" spans="2:12" x14ac:dyDescent="0.2">
      <c r="B119" s="266" t="str">
        <f>ForwardSwaps!J58</f>
        <v>obj_00862#0001</v>
      </c>
      <c r="C119" s="149" t="str">
        <f>_xll.qlRateHelperQuoteName(B119)</f>
        <v>EUR3F25Y_Quote</v>
      </c>
      <c r="D119" s="150">
        <f>_xll.qlRateHelperQuoteValue($B119,Trigger)</f>
        <v>9.7899999999999984E-3</v>
      </c>
      <c r="E119" s="150">
        <f>_xll.qlSwapRateHelperSpread($B119,Trigger)</f>
        <v>0</v>
      </c>
      <c r="F119" s="151" t="b">
        <v>0</v>
      </c>
      <c r="G119" s="151">
        <v>50</v>
      </c>
      <c r="H119" s="151">
        <v>1</v>
      </c>
      <c r="I119" s="156">
        <f>_xll.qlRateHelperEarliestDate($B119,Trigger)</f>
        <v>43185</v>
      </c>
      <c r="J119" s="157">
        <f>_xll.qlRateHelperLatestDate($B119,Trigger)</f>
        <v>52316</v>
      </c>
      <c r="L119" s="155"/>
    </row>
    <row r="120" spans="2:12" x14ac:dyDescent="0.2">
      <c r="B120" s="267" t="str">
        <f>ForwardSwaps!J59</f>
        <v>obj_0076f#0001</v>
      </c>
      <c r="C120" s="152" t="str">
        <f>_xll.qlRateHelperQuoteName(B120)</f>
        <v>EUR3F30Y_Quote</v>
      </c>
      <c r="D120" s="153">
        <f>_xll.qlRateHelperQuoteValue($B120,Trigger)</f>
        <v>9.8800000000000016E-3</v>
      </c>
      <c r="E120" s="153">
        <f>_xll.qlSwapRateHelperSpread($B120,Trigger)</f>
        <v>0</v>
      </c>
      <c r="F120" s="154" t="b">
        <v>0</v>
      </c>
      <c r="G120" s="154">
        <v>50</v>
      </c>
      <c r="H120" s="154">
        <v>1</v>
      </c>
      <c r="I120" s="158">
        <f>_xll.qlRateHelperEarliestDate($B120,Trigger)</f>
        <v>43185</v>
      </c>
      <c r="J120" s="159">
        <f>_xll.qlRateHelperLatestDate($B120,Trigger)</f>
        <v>54143</v>
      </c>
      <c r="L120" s="155"/>
    </row>
    <row r="121" spans="2:12" x14ac:dyDescent="0.2">
      <c r="B121" s="268" t="str">
        <f>ForwardSwaps!J60</f>
        <v>obj_007a2#0001</v>
      </c>
      <c r="C121" s="251" t="str">
        <f>_xll.qlRateHelperQuoteName(B121)</f>
        <v>EUR4F1Y_Quote</v>
      </c>
      <c r="D121" s="269">
        <f>_xll.qlRateHelperQuoteValue($B121,Trigger)</f>
        <v>5.1600000000000005E-3</v>
      </c>
      <c r="E121" s="269">
        <f>_xll.qlSwapRateHelperSpread($B121,Trigger)</f>
        <v>0</v>
      </c>
      <c r="F121" s="270" t="b">
        <v>0</v>
      </c>
      <c r="G121" s="270">
        <v>50</v>
      </c>
      <c r="H121" s="270">
        <v>1</v>
      </c>
      <c r="I121" s="271">
        <f>_xll.qlRateHelperEarliestDate($B121,Trigger)</f>
        <v>43549</v>
      </c>
      <c r="J121" s="272">
        <f>_xll.qlRateHelperLatestDate($B121,Trigger)</f>
        <v>43915</v>
      </c>
      <c r="L121" s="155"/>
    </row>
    <row r="122" spans="2:12" x14ac:dyDescent="0.2">
      <c r="B122" s="266" t="str">
        <f>ForwardSwaps!J61</f>
        <v>obj_00885#0001</v>
      </c>
      <c r="C122" s="149" t="str">
        <f>_xll.qlRateHelperQuoteName(B122)</f>
        <v>EUR4F2Y_Quote</v>
      </c>
      <c r="D122" s="150">
        <f>_xll.qlRateHelperQuoteValue($B122,Trigger)</f>
        <v>5.8200000000000005E-3</v>
      </c>
      <c r="E122" s="150">
        <f>_xll.qlSwapRateHelperSpread($B122,Trigger)</f>
        <v>0</v>
      </c>
      <c r="F122" s="151" t="b">
        <v>0</v>
      </c>
      <c r="G122" s="151">
        <v>50</v>
      </c>
      <c r="H122" s="151">
        <v>1</v>
      </c>
      <c r="I122" s="156">
        <f>_xll.qlRateHelperEarliestDate($B122,Trigger)</f>
        <v>43549</v>
      </c>
      <c r="J122" s="157">
        <f>_xll.qlRateHelperLatestDate($B122,Trigger)</f>
        <v>44280</v>
      </c>
      <c r="L122" s="155"/>
    </row>
    <row r="123" spans="2:12" x14ac:dyDescent="0.2">
      <c r="B123" s="266" t="str">
        <f>ForwardSwaps!J62</f>
        <v>obj_00861#0001</v>
      </c>
      <c r="C123" s="149" t="str">
        <f>_xll.qlRateHelperQuoteName(B123)</f>
        <v>EUR4F3Y_Quote</v>
      </c>
      <c r="D123" s="150">
        <f>_xll.qlRateHelperQuoteValue($B123,Trigger)</f>
        <v>6.4000000000000003E-3</v>
      </c>
      <c r="E123" s="150">
        <f>_xll.qlSwapRateHelperSpread($B123,Trigger)</f>
        <v>0</v>
      </c>
      <c r="F123" s="151" t="b">
        <v>0</v>
      </c>
      <c r="G123" s="151">
        <v>50</v>
      </c>
      <c r="H123" s="151">
        <v>1</v>
      </c>
      <c r="I123" s="156">
        <f>_xll.qlRateHelperEarliestDate($B123,Trigger)</f>
        <v>43549</v>
      </c>
      <c r="J123" s="157">
        <f>_xll.qlRateHelperLatestDate($B123,Trigger)</f>
        <v>44645</v>
      </c>
      <c r="L123" s="155"/>
    </row>
    <row r="124" spans="2:12" x14ac:dyDescent="0.2">
      <c r="B124" s="266" t="str">
        <f>ForwardSwaps!J63</f>
        <v>obj_0075f#0001</v>
      </c>
      <c r="C124" s="149" t="str">
        <f>_xll.qlRateHelperQuoteName(B124)</f>
        <v>EUR4F4Y_Quote</v>
      </c>
      <c r="D124" s="150">
        <f>_xll.qlRateHelperQuoteValue($B124,Trigger)</f>
        <v>6.9900000000000006E-3</v>
      </c>
      <c r="E124" s="150">
        <f>_xll.qlSwapRateHelperSpread($B124,Trigger)</f>
        <v>0</v>
      </c>
      <c r="F124" s="151" t="b">
        <v>0</v>
      </c>
      <c r="G124" s="151">
        <v>50</v>
      </c>
      <c r="H124" s="151">
        <v>1</v>
      </c>
      <c r="I124" s="156">
        <f>_xll.qlRateHelperEarliestDate($B124,Trigger)</f>
        <v>43549</v>
      </c>
      <c r="J124" s="157">
        <f>_xll.qlRateHelperLatestDate($B124,Trigger)</f>
        <v>45012</v>
      </c>
      <c r="L124" s="155"/>
    </row>
    <row r="125" spans="2:12" x14ac:dyDescent="0.2">
      <c r="B125" s="266" t="str">
        <f>ForwardSwaps!J64</f>
        <v>obj_007ce#0001</v>
      </c>
      <c r="C125" s="149" t="str">
        <f>_xll.qlRateHelperQuoteName(B125)</f>
        <v>EUR4F5Y_Quote</v>
      </c>
      <c r="D125" s="150">
        <f>_xll.qlRateHelperQuoteValue($B125,Trigger)</f>
        <v>7.5300000000000002E-3</v>
      </c>
      <c r="E125" s="150">
        <f>_xll.qlSwapRateHelperSpread($B125,Trigger)</f>
        <v>0</v>
      </c>
      <c r="F125" s="151" t="b">
        <v>0</v>
      </c>
      <c r="G125" s="151">
        <v>50</v>
      </c>
      <c r="H125" s="151">
        <v>1</v>
      </c>
      <c r="I125" s="156">
        <f>_xll.qlRateHelperEarliestDate($B125,Trigger)</f>
        <v>43549</v>
      </c>
      <c r="J125" s="157">
        <f>_xll.qlRateHelperLatestDate($B125,Trigger)</f>
        <v>45376</v>
      </c>
      <c r="L125" s="155"/>
    </row>
    <row r="126" spans="2:12" x14ac:dyDescent="0.2">
      <c r="B126" s="266" t="str">
        <f>ForwardSwaps!J65</f>
        <v>obj_00757#0001</v>
      </c>
      <c r="C126" s="149" t="str">
        <f>_xll.qlRateHelperQuoteName(B126)</f>
        <v>EUR4F6Y_Quote</v>
      </c>
      <c r="D126" s="150">
        <f>_xll.qlRateHelperQuoteValue($B126,Trigger)</f>
        <v>7.9699999999999997E-3</v>
      </c>
      <c r="E126" s="150">
        <f>_xll.qlSwapRateHelperSpread($B126,Trigger)</f>
        <v>0</v>
      </c>
      <c r="F126" s="151" t="b">
        <v>0</v>
      </c>
      <c r="G126" s="151">
        <v>50</v>
      </c>
      <c r="H126" s="151">
        <v>1</v>
      </c>
      <c r="I126" s="156">
        <f>_xll.qlRateHelperEarliestDate($B126,Trigger)</f>
        <v>43549</v>
      </c>
      <c r="J126" s="157">
        <f>_xll.qlRateHelperLatestDate($B126,Trigger)</f>
        <v>45741</v>
      </c>
      <c r="L126" s="155"/>
    </row>
    <row r="127" spans="2:12" x14ac:dyDescent="0.2">
      <c r="B127" s="266" t="str">
        <f>ForwardSwaps!J66</f>
        <v>obj_00798#0001</v>
      </c>
      <c r="C127" s="149" t="str">
        <f>_xll.qlRateHelperQuoteName(B127)</f>
        <v>EUR4F7Y_Quote</v>
      </c>
      <c r="D127" s="150">
        <f>_xll.qlRateHelperQuoteValue($B127,Trigger)</f>
        <v>8.3599999999999994E-3</v>
      </c>
      <c r="E127" s="150">
        <f>_xll.qlSwapRateHelperSpread($B127,Trigger)</f>
        <v>0</v>
      </c>
      <c r="F127" s="151" t="b">
        <v>0</v>
      </c>
      <c r="G127" s="151">
        <v>50</v>
      </c>
      <c r="H127" s="151">
        <v>1</v>
      </c>
      <c r="I127" s="156">
        <f>_xll.qlRateHelperEarliestDate($B127,Trigger)</f>
        <v>43549</v>
      </c>
      <c r="J127" s="157">
        <f>_xll.qlRateHelperLatestDate($B127,Trigger)</f>
        <v>46106</v>
      </c>
      <c r="L127" s="155"/>
    </row>
    <row r="128" spans="2:12" x14ac:dyDescent="0.2">
      <c r="B128" s="266" t="str">
        <f>ForwardSwaps!J67</f>
        <v>obj_00880#0001</v>
      </c>
      <c r="C128" s="149" t="str">
        <f>_xll.qlRateHelperQuoteName(B128)</f>
        <v>EUR4F8Y_Quote</v>
      </c>
      <c r="D128" s="150">
        <f>_xll.qlRateHelperQuoteValue($B128,Trigger)</f>
        <v>8.6899999999999998E-3</v>
      </c>
      <c r="E128" s="150">
        <f>_xll.qlSwapRateHelperSpread($B128,Trigger)</f>
        <v>0</v>
      </c>
      <c r="F128" s="151" t="b">
        <v>0</v>
      </c>
      <c r="G128" s="151">
        <v>50</v>
      </c>
      <c r="H128" s="151">
        <v>1</v>
      </c>
      <c r="I128" s="156">
        <f>_xll.qlRateHelperEarliestDate($B128,Trigger)</f>
        <v>43549</v>
      </c>
      <c r="J128" s="157">
        <f>_xll.qlRateHelperLatestDate($B128,Trigger)</f>
        <v>46471</v>
      </c>
      <c r="L128" s="155"/>
    </row>
    <row r="129" spans="2:12" x14ac:dyDescent="0.2">
      <c r="B129" s="266" t="str">
        <f>ForwardSwaps!J68</f>
        <v>obj_00871#0001</v>
      </c>
      <c r="C129" s="149" t="str">
        <f>_xll.qlRateHelperQuoteName(B129)</f>
        <v>EUR4F9Y_Quote</v>
      </c>
      <c r="D129" s="150">
        <f>_xll.qlRateHelperQuoteValue($B129,Trigger)</f>
        <v>8.9800000000000001E-3</v>
      </c>
      <c r="E129" s="150">
        <f>_xll.qlSwapRateHelperSpread($B129,Trigger)</f>
        <v>0</v>
      </c>
      <c r="F129" s="151" t="b">
        <v>0</v>
      </c>
      <c r="G129" s="151">
        <v>50</v>
      </c>
      <c r="H129" s="151">
        <v>1</v>
      </c>
      <c r="I129" s="156">
        <f>_xll.qlRateHelperEarliestDate($B129,Trigger)</f>
        <v>43549</v>
      </c>
      <c r="J129" s="157">
        <f>_xll.qlRateHelperLatestDate($B129,Trigger)</f>
        <v>46839</v>
      </c>
      <c r="L129" s="155"/>
    </row>
    <row r="130" spans="2:12" x14ac:dyDescent="0.2">
      <c r="B130" s="266" t="str">
        <f>ForwardSwaps!J69</f>
        <v>obj_00839#0001</v>
      </c>
      <c r="C130" s="149" t="str">
        <f>_xll.qlRateHelperQuoteName(B130)</f>
        <v>EUR4F10Y_Quote</v>
      </c>
      <c r="D130" s="150">
        <f>_xll.qlRateHelperQuoteValue($B130,Trigger)</f>
        <v>9.1899999999999985E-3</v>
      </c>
      <c r="E130" s="150">
        <f>_xll.qlSwapRateHelperSpread($B130,Trigger)</f>
        <v>0</v>
      </c>
      <c r="F130" s="151" t="b">
        <v>0</v>
      </c>
      <c r="G130" s="151">
        <v>50</v>
      </c>
      <c r="H130" s="151">
        <v>1</v>
      </c>
      <c r="I130" s="156">
        <f>_xll.qlRateHelperEarliestDate($B130,Trigger)</f>
        <v>43549</v>
      </c>
      <c r="J130" s="157">
        <f>_xll.qlRateHelperLatestDate($B130,Trigger)</f>
        <v>47203</v>
      </c>
      <c r="L130" s="155"/>
    </row>
    <row r="131" spans="2:12" x14ac:dyDescent="0.2">
      <c r="B131" s="266" t="str">
        <f>ForwardSwaps!J70</f>
        <v>obj_0088a#0001</v>
      </c>
      <c r="C131" s="149" t="str">
        <f>_xll.qlRateHelperQuoteName(B131)</f>
        <v>EUR4F11Y_Quote</v>
      </c>
      <c r="D131" s="150">
        <f>_xll.qlRateHelperQuoteValue($B131,Trigger)</f>
        <v>9.3600000000000003E-3</v>
      </c>
      <c r="E131" s="150">
        <f>_xll.qlSwapRateHelperSpread($B131,Trigger)</f>
        <v>0</v>
      </c>
      <c r="F131" s="151" t="b">
        <v>0</v>
      </c>
      <c r="G131" s="151">
        <v>50</v>
      </c>
      <c r="H131" s="151">
        <v>1</v>
      </c>
      <c r="I131" s="156">
        <f>_xll.qlRateHelperEarliestDate($B131,Trigger)</f>
        <v>43549</v>
      </c>
      <c r="J131" s="157">
        <f>_xll.qlRateHelperLatestDate($B131,Trigger)</f>
        <v>47567</v>
      </c>
      <c r="L131" s="155"/>
    </row>
    <row r="132" spans="2:12" x14ac:dyDescent="0.2">
      <c r="B132" s="266" t="str">
        <f>ForwardSwaps!J71</f>
        <v>obj_00838#0001</v>
      </c>
      <c r="C132" s="149" t="str">
        <f>_xll.qlRateHelperQuoteName(B132)</f>
        <v>EUR4F12Y_Quote</v>
      </c>
      <c r="D132" s="150">
        <f>_xll.qlRateHelperQuoteValue($B132,Trigger)</f>
        <v>9.4999999999999998E-3</v>
      </c>
      <c r="E132" s="150">
        <f>_xll.qlSwapRateHelperSpread($B132,Trigger)</f>
        <v>0</v>
      </c>
      <c r="F132" s="151" t="b">
        <v>0</v>
      </c>
      <c r="G132" s="151">
        <v>50</v>
      </c>
      <c r="H132" s="151">
        <v>1</v>
      </c>
      <c r="I132" s="156">
        <f>_xll.qlRateHelperEarliestDate($B132,Trigger)</f>
        <v>43549</v>
      </c>
      <c r="J132" s="157">
        <f>_xll.qlRateHelperLatestDate($B132,Trigger)</f>
        <v>47932</v>
      </c>
      <c r="L132" s="155"/>
    </row>
    <row r="133" spans="2:12" x14ac:dyDescent="0.2">
      <c r="B133" s="266" t="str">
        <f>ForwardSwaps!J72</f>
        <v>obj_00873#0001</v>
      </c>
      <c r="C133" s="149" t="str">
        <f>_xll.qlRateHelperQuoteName(B133)</f>
        <v>EUR4F13Y_Quote</v>
      </c>
      <c r="D133" s="150">
        <f>_xll.qlRateHelperQuoteValue($B133,Trigger)</f>
        <v>9.6300000000000014E-3</v>
      </c>
      <c r="E133" s="150">
        <f>_xll.qlSwapRateHelperSpread($B133,Trigger)</f>
        <v>0</v>
      </c>
      <c r="F133" s="151" t="b">
        <v>0</v>
      </c>
      <c r="G133" s="151">
        <v>50</v>
      </c>
      <c r="H133" s="151">
        <v>1</v>
      </c>
      <c r="I133" s="156">
        <f>_xll.qlRateHelperEarliestDate($B133,Trigger)</f>
        <v>43549</v>
      </c>
      <c r="J133" s="157">
        <f>_xll.qlRateHelperLatestDate($B133,Trigger)</f>
        <v>48298</v>
      </c>
      <c r="L133" s="155"/>
    </row>
    <row r="134" spans="2:12" x14ac:dyDescent="0.2">
      <c r="B134" s="266" t="str">
        <f>ForwardSwaps!J73</f>
        <v>obj_0080a#0001</v>
      </c>
      <c r="C134" s="149" t="str">
        <f>_xll.qlRateHelperQuoteName(B134)</f>
        <v>EUR4F14Y_Quote</v>
      </c>
      <c r="D134" s="150">
        <f>_xll.qlRateHelperQuoteValue($B134,Trigger)</f>
        <v>9.7100000000000016E-3</v>
      </c>
      <c r="E134" s="150">
        <f>_xll.qlSwapRateHelperSpread($B134,Trigger)</f>
        <v>0</v>
      </c>
      <c r="F134" s="151" t="b">
        <v>0</v>
      </c>
      <c r="G134" s="151">
        <v>50</v>
      </c>
      <c r="H134" s="151">
        <v>1</v>
      </c>
      <c r="I134" s="156">
        <f>_xll.qlRateHelperEarliestDate($B134,Trigger)</f>
        <v>43549</v>
      </c>
      <c r="J134" s="157">
        <f>_xll.qlRateHelperLatestDate($B134,Trigger)</f>
        <v>48663</v>
      </c>
      <c r="L134" s="155"/>
    </row>
    <row r="135" spans="2:12" x14ac:dyDescent="0.2">
      <c r="B135" s="266" t="str">
        <f>ForwardSwaps!J74</f>
        <v>obj_0073d#0001</v>
      </c>
      <c r="C135" s="149" t="str">
        <f>_xll.qlRateHelperQuoteName(B135)</f>
        <v>EUR4F15Y_Quote</v>
      </c>
      <c r="D135" s="150">
        <f>_xll.qlRateHelperQuoteValue($B135,Trigger)</f>
        <v>9.7899999999999984E-3</v>
      </c>
      <c r="E135" s="150">
        <f>_xll.qlSwapRateHelperSpread($B135,Trigger)</f>
        <v>0</v>
      </c>
      <c r="F135" s="151" t="b">
        <v>0</v>
      </c>
      <c r="G135" s="151">
        <v>50</v>
      </c>
      <c r="H135" s="151">
        <v>1</v>
      </c>
      <c r="I135" s="156">
        <f>_xll.qlRateHelperEarliestDate($B135,Trigger)</f>
        <v>43549</v>
      </c>
      <c r="J135" s="157">
        <f>_xll.qlRateHelperLatestDate($B135,Trigger)</f>
        <v>49030</v>
      </c>
      <c r="L135" s="155"/>
    </row>
    <row r="136" spans="2:12" x14ac:dyDescent="0.2">
      <c r="B136" s="266" t="str">
        <f>ForwardSwaps!J75</f>
        <v>obj_007f7#0001</v>
      </c>
      <c r="C136" s="149" t="str">
        <f>_xll.qlRateHelperQuoteName(B136)</f>
        <v>EUR4F20Y_Quote</v>
      </c>
      <c r="D136" s="150">
        <f>_xll.qlRateHelperQuoteValue($B136,Trigger)</f>
        <v>9.9700000000000014E-3</v>
      </c>
      <c r="E136" s="150">
        <f>_xll.qlSwapRateHelperSpread($B136,Trigger)</f>
        <v>0</v>
      </c>
      <c r="F136" s="151" t="b">
        <v>0</v>
      </c>
      <c r="G136" s="151">
        <v>50</v>
      </c>
      <c r="H136" s="151">
        <v>1</v>
      </c>
      <c r="I136" s="156">
        <f>_xll.qlRateHelperEarliestDate($B136,Trigger)</f>
        <v>43549</v>
      </c>
      <c r="J136" s="157">
        <f>_xll.qlRateHelperLatestDate($B136,Trigger)</f>
        <v>50854</v>
      </c>
      <c r="L136" s="155"/>
    </row>
    <row r="137" spans="2:12" x14ac:dyDescent="0.2">
      <c r="B137" s="266" t="str">
        <f>ForwardSwaps!J76</f>
        <v>obj_007f5#0001</v>
      </c>
      <c r="C137" s="149" t="str">
        <f>_xll.qlRateHelperQuoteName(B137)</f>
        <v>EUR4F25Y_Quote</v>
      </c>
      <c r="D137" s="150">
        <f>_xll.qlRateHelperQuoteValue($B137,Trigger)</f>
        <v>1.008E-2</v>
      </c>
      <c r="E137" s="150">
        <f>_xll.qlSwapRateHelperSpread($B137,Trigger)</f>
        <v>0</v>
      </c>
      <c r="F137" s="151" t="b">
        <v>0</v>
      </c>
      <c r="G137" s="151">
        <v>50</v>
      </c>
      <c r="H137" s="151">
        <v>1</v>
      </c>
      <c r="I137" s="156">
        <f>_xll.qlRateHelperEarliestDate($B137,Trigger)</f>
        <v>43549</v>
      </c>
      <c r="J137" s="157">
        <f>_xll.qlRateHelperLatestDate($B137,Trigger)</f>
        <v>52681</v>
      </c>
      <c r="L137" s="155"/>
    </row>
    <row r="138" spans="2:12" x14ac:dyDescent="0.2">
      <c r="B138" s="267" t="str">
        <f>ForwardSwaps!J77</f>
        <v>obj_00750#0001</v>
      </c>
      <c r="C138" s="152" t="str">
        <f>_xll.qlRateHelperQuoteName(B138)</f>
        <v>EUR4F30Y_Quote</v>
      </c>
      <c r="D138" s="153">
        <f>_xll.qlRateHelperQuoteValue($B138,Trigger)</f>
        <v>1.0120000000000001E-2</v>
      </c>
      <c r="E138" s="153">
        <f>_xll.qlSwapRateHelperSpread($B138,Trigger)</f>
        <v>0</v>
      </c>
      <c r="F138" s="154" t="b">
        <v>0</v>
      </c>
      <c r="G138" s="154">
        <v>50</v>
      </c>
      <c r="H138" s="154">
        <v>1</v>
      </c>
      <c r="I138" s="158">
        <f>_xll.qlRateHelperEarliestDate($B138,Trigger)</f>
        <v>43549</v>
      </c>
      <c r="J138" s="159">
        <f>_xll.qlRateHelperLatestDate($B138,Trigger)</f>
        <v>54507</v>
      </c>
      <c r="L138" s="155"/>
    </row>
    <row r="139" spans="2:12" x14ac:dyDescent="0.2">
      <c r="B139" s="268" t="str">
        <f>ForwardSwaps!J78</f>
        <v>obj_0085a#0001</v>
      </c>
      <c r="C139" s="251" t="str">
        <f>_xll.qlRateHelperQuoteName(B139)</f>
        <v>EUR5F1Y_Quote</v>
      </c>
      <c r="D139" s="269">
        <f>_xll.qlRateHelperQuoteValue($B139,Trigger)</f>
        <v>6.4700000000000001E-3</v>
      </c>
      <c r="E139" s="269">
        <f>_xll.qlSwapRateHelperSpread($B139,Trigger)</f>
        <v>0</v>
      </c>
      <c r="F139" s="270" t="b">
        <v>0</v>
      </c>
      <c r="G139" s="270">
        <v>50</v>
      </c>
      <c r="H139" s="270">
        <v>1</v>
      </c>
      <c r="I139" s="271">
        <f>_xll.qlRateHelperEarliestDate($B139,Trigger)</f>
        <v>43914</v>
      </c>
      <c r="J139" s="272">
        <f>_xll.qlRateHelperLatestDate($B139,Trigger)</f>
        <v>44279</v>
      </c>
      <c r="L139" s="155"/>
    </row>
    <row r="140" spans="2:12" x14ac:dyDescent="0.2">
      <c r="B140" s="266" t="str">
        <f>ForwardSwaps!J79</f>
        <v>obj_00820#0001</v>
      </c>
      <c r="C140" s="149" t="str">
        <f>_xll.qlRateHelperQuoteName(B140)</f>
        <v>EUR5F2Y_Quote</v>
      </c>
      <c r="D140" s="150">
        <f>_xll.qlRateHelperQuoteValue($B140,Trigger)</f>
        <v>7.0199999999999993E-3</v>
      </c>
      <c r="E140" s="150">
        <f>_xll.qlSwapRateHelperSpread($B140,Trigger)</f>
        <v>0</v>
      </c>
      <c r="F140" s="151" t="b">
        <v>0</v>
      </c>
      <c r="G140" s="151">
        <v>50</v>
      </c>
      <c r="H140" s="151">
        <v>1</v>
      </c>
      <c r="I140" s="156">
        <f>_xll.qlRateHelperEarliestDate($B140,Trigger)</f>
        <v>43914</v>
      </c>
      <c r="J140" s="157">
        <f>_xll.qlRateHelperLatestDate($B140,Trigger)</f>
        <v>44644</v>
      </c>
      <c r="L140" s="155"/>
    </row>
    <row r="141" spans="2:12" x14ac:dyDescent="0.2">
      <c r="B141" s="266" t="str">
        <f>ForwardSwaps!J80</f>
        <v>obj_007d1#0001</v>
      </c>
      <c r="C141" s="149" t="str">
        <f>_xll.qlRateHelperQuoteName(B141)</f>
        <v>EUR5F3Y_Quote</v>
      </c>
      <c r="D141" s="150">
        <f>_xll.qlRateHelperQuoteValue($B141,Trigger)</f>
        <v>7.6E-3</v>
      </c>
      <c r="E141" s="150">
        <f>_xll.qlSwapRateHelperSpread($B141,Trigger)</f>
        <v>0</v>
      </c>
      <c r="F141" s="151" t="b">
        <v>0</v>
      </c>
      <c r="G141" s="151">
        <v>50</v>
      </c>
      <c r="H141" s="151">
        <v>1</v>
      </c>
      <c r="I141" s="156">
        <f>_xll.qlRateHelperEarliestDate($B141,Trigger)</f>
        <v>43914</v>
      </c>
      <c r="J141" s="157">
        <f>_xll.qlRateHelperLatestDate($B141,Trigger)</f>
        <v>45009</v>
      </c>
      <c r="L141" s="155"/>
    </row>
    <row r="142" spans="2:12" x14ac:dyDescent="0.2">
      <c r="B142" s="266" t="str">
        <f>ForwardSwaps!J81</f>
        <v>obj_007e3#0001</v>
      </c>
      <c r="C142" s="149" t="str">
        <f>_xll.qlRateHelperQuoteName(B142)</f>
        <v>EUR5F4Y_Quote</v>
      </c>
      <c r="D142" s="150">
        <f>_xll.qlRateHelperQuoteValue($B142,Trigger)</f>
        <v>8.1300000000000001E-3</v>
      </c>
      <c r="E142" s="150">
        <f>_xll.qlSwapRateHelperSpread($B142,Trigger)</f>
        <v>0</v>
      </c>
      <c r="F142" s="151" t="b">
        <v>0</v>
      </c>
      <c r="G142" s="151">
        <v>50</v>
      </c>
      <c r="H142" s="151">
        <v>1</v>
      </c>
      <c r="I142" s="156">
        <f>_xll.qlRateHelperEarliestDate($B142,Trigger)</f>
        <v>43914</v>
      </c>
      <c r="J142" s="157">
        <f>_xll.qlRateHelperLatestDate($B142,Trigger)</f>
        <v>45376</v>
      </c>
      <c r="L142" s="155"/>
    </row>
    <row r="143" spans="2:12" x14ac:dyDescent="0.2">
      <c r="B143" s="266" t="str">
        <f>ForwardSwaps!J82</f>
        <v>obj_00868#0001</v>
      </c>
      <c r="C143" s="149" t="str">
        <f>_xll.qlRateHelperQuoteName(B143)</f>
        <v>EUR5F5Y_Quote</v>
      </c>
      <c r="D143" s="150">
        <f>_xll.qlRateHelperQuoteValue($B143,Trigger)</f>
        <v>8.539999999999999E-3</v>
      </c>
      <c r="E143" s="150">
        <f>_xll.qlSwapRateHelperSpread($B143,Trigger)</f>
        <v>0</v>
      </c>
      <c r="F143" s="151" t="b">
        <v>0</v>
      </c>
      <c r="G143" s="151">
        <v>50</v>
      </c>
      <c r="H143" s="151">
        <v>1</v>
      </c>
      <c r="I143" s="156">
        <f>_xll.qlRateHelperEarliestDate($B143,Trigger)</f>
        <v>43914</v>
      </c>
      <c r="J143" s="157">
        <f>_xll.qlRateHelperLatestDate($B143,Trigger)</f>
        <v>45740</v>
      </c>
      <c r="L143" s="155"/>
    </row>
    <row r="144" spans="2:12" x14ac:dyDescent="0.2">
      <c r="B144" s="266" t="str">
        <f>ForwardSwaps!J83</f>
        <v>obj_00809#0001</v>
      </c>
      <c r="C144" s="149" t="str">
        <f>_xll.qlRateHelperQuoteName(B144)</f>
        <v>EUR5F6Y_Quote</v>
      </c>
      <c r="D144" s="150">
        <f>_xll.qlRateHelperQuoteValue($B144,Trigger)</f>
        <v>8.8999999999999999E-3</v>
      </c>
      <c r="E144" s="150">
        <f>_xll.qlSwapRateHelperSpread($B144,Trigger)</f>
        <v>0</v>
      </c>
      <c r="F144" s="151" t="b">
        <v>0</v>
      </c>
      <c r="G144" s="151">
        <v>50</v>
      </c>
      <c r="H144" s="151">
        <v>1</v>
      </c>
      <c r="I144" s="156">
        <f>_xll.qlRateHelperEarliestDate($B144,Trigger)</f>
        <v>43914</v>
      </c>
      <c r="J144" s="157">
        <f>_xll.qlRateHelperLatestDate($B144,Trigger)</f>
        <v>46105</v>
      </c>
      <c r="L144" s="155"/>
    </row>
    <row r="145" spans="2:12" x14ac:dyDescent="0.2">
      <c r="B145" s="266" t="str">
        <f>ForwardSwaps!J84</f>
        <v>obj_007bc#0001</v>
      </c>
      <c r="C145" s="149" t="str">
        <f>_xll.qlRateHelperQuoteName(B145)</f>
        <v>EUR5F7Y_Quote</v>
      </c>
      <c r="D145" s="150">
        <f>_xll.qlRateHelperQuoteValue($B145,Trigger)</f>
        <v>9.1999999999999998E-3</v>
      </c>
      <c r="E145" s="150">
        <f>_xll.qlSwapRateHelperSpread($B145,Trigger)</f>
        <v>0</v>
      </c>
      <c r="F145" s="151" t="b">
        <v>0</v>
      </c>
      <c r="G145" s="151">
        <v>50</v>
      </c>
      <c r="H145" s="151">
        <v>1</v>
      </c>
      <c r="I145" s="156">
        <f>_xll.qlRateHelperEarliestDate($B145,Trigger)</f>
        <v>43914</v>
      </c>
      <c r="J145" s="157">
        <f>_xll.qlRateHelperLatestDate($B145,Trigger)</f>
        <v>46470</v>
      </c>
      <c r="L145" s="155"/>
    </row>
    <row r="146" spans="2:12" x14ac:dyDescent="0.2">
      <c r="B146" s="266" t="str">
        <f>ForwardSwaps!J85</f>
        <v>obj_00805#0001</v>
      </c>
      <c r="C146" s="149" t="str">
        <f>_xll.qlRateHelperQuoteName(B146)</f>
        <v>EUR5F8Y_Quote</v>
      </c>
      <c r="D146" s="150">
        <f>_xll.qlRateHelperQuoteValue($B146,Trigger)</f>
        <v>9.470000000000001E-3</v>
      </c>
      <c r="E146" s="150">
        <f>_xll.qlSwapRateHelperSpread($B146,Trigger)</f>
        <v>0</v>
      </c>
      <c r="F146" s="151" t="b">
        <v>0</v>
      </c>
      <c r="G146" s="151">
        <v>50</v>
      </c>
      <c r="H146" s="151">
        <v>1</v>
      </c>
      <c r="I146" s="156">
        <f>_xll.qlRateHelperEarliestDate($B146,Trigger)</f>
        <v>43914</v>
      </c>
      <c r="J146" s="157">
        <f>_xll.qlRateHelperLatestDate($B146,Trigger)</f>
        <v>46836</v>
      </c>
      <c r="L146" s="155"/>
    </row>
    <row r="147" spans="2:12" x14ac:dyDescent="0.2">
      <c r="B147" s="266" t="str">
        <f>ForwardSwaps!J86</f>
        <v>obj_0078d#0001</v>
      </c>
      <c r="C147" s="149" t="str">
        <f>_xll.qlRateHelperQuoteName(B147)</f>
        <v>EUR5F9Y_Quote</v>
      </c>
      <c r="D147" s="150">
        <f>_xll.qlRateHelperQuoteValue($B147,Trigger)</f>
        <v>9.6500000000000006E-3</v>
      </c>
      <c r="E147" s="150">
        <f>_xll.qlSwapRateHelperSpread($B147,Trigger)</f>
        <v>0</v>
      </c>
      <c r="F147" s="151" t="b">
        <v>0</v>
      </c>
      <c r="G147" s="151">
        <v>50</v>
      </c>
      <c r="H147" s="151">
        <v>1</v>
      </c>
      <c r="I147" s="156">
        <f>_xll.qlRateHelperEarliestDate($B147,Trigger)</f>
        <v>43914</v>
      </c>
      <c r="J147" s="157">
        <f>_xll.qlRateHelperLatestDate($B147,Trigger)</f>
        <v>47203</v>
      </c>
      <c r="L147" s="155"/>
    </row>
    <row r="148" spans="2:12" x14ac:dyDescent="0.2">
      <c r="B148" s="266" t="str">
        <f>ForwardSwaps!J87</f>
        <v>obj_0083e#0001</v>
      </c>
      <c r="C148" s="149" t="str">
        <f>_xll.qlRateHelperQuoteName(B148)</f>
        <v>EUR5F10Y_Quote</v>
      </c>
      <c r="D148" s="150">
        <f>_xll.qlRateHelperQuoteValue($B148,Trigger)</f>
        <v>9.8000000000000014E-3</v>
      </c>
      <c r="E148" s="150">
        <f>_xll.qlSwapRateHelperSpread($B148,Trigger)</f>
        <v>0</v>
      </c>
      <c r="F148" s="151" t="b">
        <v>0</v>
      </c>
      <c r="G148" s="151">
        <v>50</v>
      </c>
      <c r="H148" s="151">
        <v>1</v>
      </c>
      <c r="I148" s="156">
        <f>_xll.qlRateHelperEarliestDate($B148,Trigger)</f>
        <v>43914</v>
      </c>
      <c r="J148" s="157">
        <f>_xll.qlRateHelperLatestDate($B148,Trigger)</f>
        <v>47567</v>
      </c>
      <c r="L148" s="155"/>
    </row>
    <row r="149" spans="2:12" x14ac:dyDescent="0.2">
      <c r="B149" s="266" t="str">
        <f>ForwardSwaps!J88</f>
        <v>obj_007c9#0001</v>
      </c>
      <c r="C149" s="149" t="str">
        <f>_xll.qlRateHelperQuoteName(B149)</f>
        <v>EUR5F11Y_Quote</v>
      </c>
      <c r="D149" s="150">
        <f>_xll.qlRateHelperQuoteValue($B149,Trigger)</f>
        <v>9.8999999999999991E-3</v>
      </c>
      <c r="E149" s="150">
        <f>_xll.qlSwapRateHelperSpread($B149,Trigger)</f>
        <v>0</v>
      </c>
      <c r="F149" s="151" t="b">
        <v>0</v>
      </c>
      <c r="G149" s="151">
        <v>50</v>
      </c>
      <c r="H149" s="151">
        <v>1</v>
      </c>
      <c r="I149" s="156">
        <f>_xll.qlRateHelperEarliestDate($B149,Trigger)</f>
        <v>43914</v>
      </c>
      <c r="J149" s="157">
        <f>_xll.qlRateHelperLatestDate($B149,Trigger)</f>
        <v>47931</v>
      </c>
      <c r="L149" s="155"/>
    </row>
    <row r="150" spans="2:12" x14ac:dyDescent="0.2">
      <c r="B150" s="266" t="str">
        <f>ForwardSwaps!J89</f>
        <v>obj_00799#0001</v>
      </c>
      <c r="C150" s="149" t="str">
        <f>_xll.qlRateHelperQuoteName(B150)</f>
        <v>EUR5F12Y_Quote</v>
      </c>
      <c r="D150" s="150">
        <f>_xll.qlRateHelperQuoteValue($B150,Trigger)</f>
        <v>1.0019999999999999E-2</v>
      </c>
      <c r="E150" s="150">
        <f>_xll.qlSwapRateHelperSpread($B150,Trigger)</f>
        <v>0</v>
      </c>
      <c r="F150" s="151" t="b">
        <v>0</v>
      </c>
      <c r="G150" s="151">
        <v>50</v>
      </c>
      <c r="H150" s="151">
        <v>1</v>
      </c>
      <c r="I150" s="156">
        <f>_xll.qlRateHelperEarliestDate($B150,Trigger)</f>
        <v>43914</v>
      </c>
      <c r="J150" s="157">
        <f>_xll.qlRateHelperLatestDate($B150,Trigger)</f>
        <v>48297</v>
      </c>
      <c r="L150" s="155"/>
    </row>
    <row r="151" spans="2:12" x14ac:dyDescent="0.2">
      <c r="B151" s="266" t="str">
        <f>ForwardSwaps!J90</f>
        <v>obj_007dc#0001</v>
      </c>
      <c r="C151" s="149" t="str">
        <f>_xll.qlRateHelperQuoteName(B151)</f>
        <v>EUR5F13Y_Quote</v>
      </c>
      <c r="D151" s="150">
        <f>_xll.qlRateHelperQuoteValue($B151,Trigger)</f>
        <v>1.008E-2</v>
      </c>
      <c r="E151" s="150">
        <f>_xll.qlSwapRateHelperSpread($B151,Trigger)</f>
        <v>0</v>
      </c>
      <c r="F151" s="151" t="b">
        <v>0</v>
      </c>
      <c r="G151" s="151">
        <v>50</v>
      </c>
      <c r="H151" s="151">
        <v>1</v>
      </c>
      <c r="I151" s="156">
        <f>_xll.qlRateHelperEarliestDate($B151,Trigger)</f>
        <v>43914</v>
      </c>
      <c r="J151" s="157">
        <f>_xll.qlRateHelperLatestDate($B151,Trigger)</f>
        <v>48662</v>
      </c>
      <c r="L151" s="155"/>
    </row>
    <row r="152" spans="2:12" x14ac:dyDescent="0.2">
      <c r="B152" s="266" t="str">
        <f>ForwardSwaps!J91</f>
        <v>obj_00824#0001</v>
      </c>
      <c r="C152" s="149" t="str">
        <f>_xll.qlRateHelperQuoteName(B152)</f>
        <v>EUR5F14Y_Quote</v>
      </c>
      <c r="D152" s="150">
        <f>_xll.qlRateHelperQuoteValue($B152,Trigger)</f>
        <v>1.014E-2</v>
      </c>
      <c r="E152" s="150">
        <f>_xll.qlSwapRateHelperSpread($B152,Trigger)</f>
        <v>0</v>
      </c>
      <c r="F152" s="151" t="b">
        <v>0</v>
      </c>
      <c r="G152" s="151">
        <v>50</v>
      </c>
      <c r="H152" s="151">
        <v>1</v>
      </c>
      <c r="I152" s="156">
        <f>_xll.qlRateHelperEarliestDate($B152,Trigger)</f>
        <v>43914</v>
      </c>
      <c r="J152" s="157">
        <f>_xll.qlRateHelperLatestDate($B152,Trigger)</f>
        <v>49027</v>
      </c>
      <c r="L152" s="155"/>
    </row>
    <row r="153" spans="2:12" x14ac:dyDescent="0.2">
      <c r="B153" s="266" t="str">
        <f>ForwardSwaps!J92</f>
        <v>obj_00755#0001</v>
      </c>
      <c r="C153" s="149" t="str">
        <f>_xll.qlRateHelperQuoteName(B153)</f>
        <v>EUR5F15Y_Quote</v>
      </c>
      <c r="D153" s="150">
        <f>_xll.qlRateHelperQuoteValue($B153,Trigger)</f>
        <v>1.0169999999999998E-2</v>
      </c>
      <c r="E153" s="150">
        <f>_xll.qlSwapRateHelperSpread($B153,Trigger)</f>
        <v>0</v>
      </c>
      <c r="F153" s="151" t="b">
        <v>0</v>
      </c>
      <c r="G153" s="151">
        <v>50</v>
      </c>
      <c r="H153" s="151">
        <v>1</v>
      </c>
      <c r="I153" s="156">
        <f>_xll.qlRateHelperEarliestDate($B153,Trigger)</f>
        <v>43914</v>
      </c>
      <c r="J153" s="157">
        <f>_xll.qlRateHelperLatestDate($B153,Trigger)</f>
        <v>49395</v>
      </c>
      <c r="L153" s="155"/>
    </row>
    <row r="154" spans="2:12" x14ac:dyDescent="0.2">
      <c r="B154" s="266" t="str">
        <f>ForwardSwaps!J93</f>
        <v>obj_007b1#0001</v>
      </c>
      <c r="C154" s="149" t="str">
        <f>_xll.qlRateHelperQuoteName(B154)</f>
        <v>EUR5F20Y_Quote</v>
      </c>
      <c r="D154" s="150">
        <f>_xll.qlRateHelperQuoteValue($B154,Trigger)</f>
        <v>1.026E-2</v>
      </c>
      <c r="E154" s="150">
        <f>_xll.qlSwapRateHelperSpread($B154,Trigger)</f>
        <v>0</v>
      </c>
      <c r="F154" s="151" t="b">
        <v>0</v>
      </c>
      <c r="G154" s="151">
        <v>50</v>
      </c>
      <c r="H154" s="151">
        <v>1</v>
      </c>
      <c r="I154" s="156">
        <f>_xll.qlRateHelperEarliestDate($B154,Trigger)</f>
        <v>43914</v>
      </c>
      <c r="J154" s="157">
        <f>_xll.qlRateHelperLatestDate($B154,Trigger)</f>
        <v>51221</v>
      </c>
      <c r="L154" s="155"/>
    </row>
    <row r="155" spans="2:12" x14ac:dyDescent="0.2">
      <c r="B155" s="266" t="str">
        <f>ForwardSwaps!J94</f>
        <v>obj_00801#0001</v>
      </c>
      <c r="C155" s="149" t="str">
        <f>_xll.qlRateHelperQuoteName(B155)</f>
        <v>EUR5F25Y_Quote</v>
      </c>
      <c r="D155" s="150">
        <f>_xll.qlRateHelperQuoteValue($B155,Trigger)</f>
        <v>1.031E-2</v>
      </c>
      <c r="E155" s="150">
        <f>_xll.qlSwapRateHelperSpread($B155,Trigger)</f>
        <v>0</v>
      </c>
      <c r="F155" s="151" t="b">
        <v>0</v>
      </c>
      <c r="G155" s="151">
        <v>50</v>
      </c>
      <c r="H155" s="151">
        <v>1</v>
      </c>
      <c r="I155" s="156">
        <f>_xll.qlRateHelperEarliestDate($B155,Trigger)</f>
        <v>43914</v>
      </c>
      <c r="J155" s="157">
        <f>_xll.qlRateHelperLatestDate($B155,Trigger)</f>
        <v>53045</v>
      </c>
      <c r="L155" s="155"/>
    </row>
    <row r="156" spans="2:12" x14ac:dyDescent="0.2">
      <c r="B156" s="267" t="str">
        <f>ForwardSwaps!J95</f>
        <v>obj_0074c#0001</v>
      </c>
      <c r="C156" s="152" t="str">
        <f>_xll.qlRateHelperQuoteName(B156)</f>
        <v>EUR5F30Y_Quote</v>
      </c>
      <c r="D156" s="153">
        <f>_xll.qlRateHelperQuoteValue($B156,Trigger)</f>
        <v>1.031E-2</v>
      </c>
      <c r="E156" s="153">
        <f>_xll.qlSwapRateHelperSpread($B156,Trigger)</f>
        <v>0</v>
      </c>
      <c r="F156" s="154" t="b">
        <v>0</v>
      </c>
      <c r="G156" s="154">
        <v>50</v>
      </c>
      <c r="H156" s="154">
        <v>1</v>
      </c>
      <c r="I156" s="158">
        <f>_xll.qlRateHelperEarliestDate($B156,Trigger)</f>
        <v>43914</v>
      </c>
      <c r="J156" s="159">
        <f>_xll.qlRateHelperLatestDate($B156,Trigger)</f>
        <v>54871</v>
      </c>
      <c r="L156" s="155"/>
    </row>
    <row r="157" spans="2:12" x14ac:dyDescent="0.2">
      <c r="B157" s="268" t="str">
        <f>ForwardSwaps!J96</f>
        <v>obj_007f1#0001</v>
      </c>
      <c r="C157" s="251" t="str">
        <f>_xll.qlRateHelperQuoteName(B157)</f>
        <v>EUR6F1Y_Quote</v>
      </c>
      <c r="D157" s="269">
        <f>_xll.qlRateHelperQuoteValue($B157,Trigger)</f>
        <v>7.5700000000000003E-3</v>
      </c>
      <c r="E157" s="269">
        <f>_xll.qlSwapRateHelperSpread($B157,Trigger)</f>
        <v>0</v>
      </c>
      <c r="F157" s="270" t="b">
        <v>0</v>
      </c>
      <c r="G157" s="270">
        <v>50</v>
      </c>
      <c r="H157" s="270">
        <v>1</v>
      </c>
      <c r="I157" s="271">
        <f>_xll.qlRateHelperEarliestDate($B157,Trigger)</f>
        <v>44279</v>
      </c>
      <c r="J157" s="272">
        <f>_xll.qlRateHelperLatestDate($B157,Trigger)</f>
        <v>44644</v>
      </c>
      <c r="L157" s="155"/>
    </row>
    <row r="158" spans="2:12" x14ac:dyDescent="0.2">
      <c r="B158" s="266" t="str">
        <f>ForwardSwaps!J97</f>
        <v>obj_007cb#0001</v>
      </c>
      <c r="C158" s="149" t="str">
        <f>_xll.qlRateHelperQuoteName(B158)</f>
        <v>EUR6F2Y_Quote</v>
      </c>
      <c r="D158" s="150">
        <f>_xll.qlRateHelperQuoteValue($B158,Trigger)</f>
        <v>8.1700000000000002E-3</v>
      </c>
      <c r="E158" s="150">
        <f>_xll.qlSwapRateHelperSpread($B158,Trigger)</f>
        <v>0</v>
      </c>
      <c r="F158" s="151" t="b">
        <v>0</v>
      </c>
      <c r="G158" s="151">
        <v>50</v>
      </c>
      <c r="H158" s="151">
        <v>1</v>
      </c>
      <c r="I158" s="156">
        <f>_xll.qlRateHelperEarliestDate($B158,Trigger)</f>
        <v>44279</v>
      </c>
      <c r="J158" s="157">
        <f>_xll.qlRateHelperLatestDate($B158,Trigger)</f>
        <v>45009</v>
      </c>
      <c r="L158" s="155"/>
    </row>
    <row r="159" spans="2:12" x14ac:dyDescent="0.2">
      <c r="B159" s="266" t="str">
        <f>ForwardSwaps!J98</f>
        <v>obj_007ea#0001</v>
      </c>
      <c r="C159" s="149" t="str">
        <f>_xll.qlRateHelperQuoteName(B159)</f>
        <v>EUR6F3Y_Quote</v>
      </c>
      <c r="D159" s="150">
        <f>_xll.qlRateHelperQuoteValue($B159,Trigger)</f>
        <v>8.6800000000000002E-3</v>
      </c>
      <c r="E159" s="150">
        <f>_xll.qlSwapRateHelperSpread($B159,Trigger)</f>
        <v>0</v>
      </c>
      <c r="F159" s="151" t="b">
        <v>0</v>
      </c>
      <c r="G159" s="151">
        <v>50</v>
      </c>
      <c r="H159" s="151">
        <v>1</v>
      </c>
      <c r="I159" s="156">
        <f>_xll.qlRateHelperEarliestDate($B159,Trigger)</f>
        <v>44279</v>
      </c>
      <c r="J159" s="157">
        <f>_xll.qlRateHelperLatestDate($B159,Trigger)</f>
        <v>45376</v>
      </c>
      <c r="L159" s="155"/>
    </row>
    <row r="160" spans="2:12" x14ac:dyDescent="0.2">
      <c r="B160" s="266" t="str">
        <f>ForwardSwaps!J99</f>
        <v>obj_0085b#0001</v>
      </c>
      <c r="C160" s="149" t="str">
        <f>_xll.qlRateHelperQuoteName(B160)</f>
        <v>EUR6F4Y_Quote</v>
      </c>
      <c r="D160" s="150">
        <f>_xll.qlRateHelperQuoteValue($B160,Trigger)</f>
        <v>9.0699999999999999E-3</v>
      </c>
      <c r="E160" s="150">
        <f>_xll.qlSwapRateHelperSpread($B160,Trigger)</f>
        <v>0</v>
      </c>
      <c r="F160" s="151" t="b">
        <v>0</v>
      </c>
      <c r="G160" s="151">
        <v>50</v>
      </c>
      <c r="H160" s="151">
        <v>1</v>
      </c>
      <c r="I160" s="156">
        <f>_xll.qlRateHelperEarliestDate($B160,Trigger)</f>
        <v>44279</v>
      </c>
      <c r="J160" s="157">
        <f>_xll.qlRateHelperLatestDate($B160,Trigger)</f>
        <v>45740</v>
      </c>
      <c r="L160" s="155"/>
    </row>
    <row r="161" spans="2:12" x14ac:dyDescent="0.2">
      <c r="B161" s="266" t="str">
        <f>ForwardSwaps!J100</f>
        <v>obj_0077d#0001</v>
      </c>
      <c r="C161" s="149" t="str">
        <f>_xll.qlRateHelperQuoteName(B161)</f>
        <v>EUR6F5Y_Quote</v>
      </c>
      <c r="D161" s="150">
        <f>_xll.qlRateHelperQuoteValue($B161,Trigger)</f>
        <v>9.3900000000000008E-3</v>
      </c>
      <c r="E161" s="150">
        <f>_xll.qlSwapRateHelperSpread($B161,Trigger)</f>
        <v>0</v>
      </c>
      <c r="F161" s="151" t="b">
        <v>0</v>
      </c>
      <c r="G161" s="151">
        <v>50</v>
      </c>
      <c r="H161" s="151">
        <v>1</v>
      </c>
      <c r="I161" s="156">
        <f>_xll.qlRateHelperEarliestDate($B161,Trigger)</f>
        <v>44279</v>
      </c>
      <c r="J161" s="157">
        <f>_xll.qlRateHelperLatestDate($B161,Trigger)</f>
        <v>46105</v>
      </c>
      <c r="L161" s="155"/>
    </row>
    <row r="162" spans="2:12" x14ac:dyDescent="0.2">
      <c r="B162" s="266" t="str">
        <f>ForwardSwaps!J101</f>
        <v>obj_00774#0001</v>
      </c>
      <c r="C162" s="149" t="str">
        <f>_xll.qlRateHelperQuoteName(B162)</f>
        <v>EUR6F6Y_Quote</v>
      </c>
      <c r="D162" s="150">
        <f>_xll.qlRateHelperQuoteValue($B162,Trigger)</f>
        <v>9.6699999999999998E-3</v>
      </c>
      <c r="E162" s="150">
        <f>_xll.qlSwapRateHelperSpread($B162,Trigger)</f>
        <v>0</v>
      </c>
      <c r="F162" s="151" t="b">
        <v>0</v>
      </c>
      <c r="G162" s="151">
        <v>50</v>
      </c>
      <c r="H162" s="151">
        <v>1</v>
      </c>
      <c r="I162" s="156">
        <f>_xll.qlRateHelperEarliestDate($B162,Trigger)</f>
        <v>44279</v>
      </c>
      <c r="J162" s="157">
        <f>_xll.qlRateHelperLatestDate($B162,Trigger)</f>
        <v>46470</v>
      </c>
      <c r="L162" s="155"/>
    </row>
    <row r="163" spans="2:12" x14ac:dyDescent="0.2">
      <c r="B163" s="266" t="str">
        <f>ForwardSwaps!J102</f>
        <v>obj_00876#0001</v>
      </c>
      <c r="C163" s="149" t="str">
        <f>_xll.qlRateHelperQuoteName(B163)</f>
        <v>EUR6F7Y_Quote</v>
      </c>
      <c r="D163" s="150">
        <f>_xll.qlRateHelperQuoteValue($B163,Trigger)</f>
        <v>9.9100000000000004E-3</v>
      </c>
      <c r="E163" s="150">
        <f>_xll.qlSwapRateHelperSpread($B163,Trigger)</f>
        <v>0</v>
      </c>
      <c r="F163" s="151" t="b">
        <v>0</v>
      </c>
      <c r="G163" s="151">
        <v>50</v>
      </c>
      <c r="H163" s="151">
        <v>1</v>
      </c>
      <c r="I163" s="156">
        <f>_xll.qlRateHelperEarliestDate($B163,Trigger)</f>
        <v>44279</v>
      </c>
      <c r="J163" s="157">
        <f>_xll.qlRateHelperLatestDate($B163,Trigger)</f>
        <v>46836</v>
      </c>
      <c r="L163" s="155"/>
    </row>
    <row r="164" spans="2:12" x14ac:dyDescent="0.2">
      <c r="B164" s="266" t="str">
        <f>ForwardSwaps!J103</f>
        <v>obj_007e6#0001</v>
      </c>
      <c r="C164" s="149" t="str">
        <f>_xll.qlRateHelperQuoteName(B164)</f>
        <v>EUR6F8Y_Quote</v>
      </c>
      <c r="D164" s="150">
        <f>_xll.qlRateHelperQuoteValue($B164,Trigger)</f>
        <v>1.0059999999999999E-2</v>
      </c>
      <c r="E164" s="150">
        <f>_xll.qlSwapRateHelperSpread($B164,Trigger)</f>
        <v>0</v>
      </c>
      <c r="F164" s="151" t="b">
        <v>0</v>
      </c>
      <c r="G164" s="151">
        <v>50</v>
      </c>
      <c r="H164" s="151">
        <v>1</v>
      </c>
      <c r="I164" s="156">
        <f>_xll.qlRateHelperEarliestDate($B164,Trigger)</f>
        <v>44279</v>
      </c>
      <c r="J164" s="157">
        <f>_xll.qlRateHelperLatestDate($B164,Trigger)</f>
        <v>47203</v>
      </c>
      <c r="L164" s="155"/>
    </row>
    <row r="165" spans="2:12" x14ac:dyDescent="0.2">
      <c r="B165" s="266" t="str">
        <f>ForwardSwaps!J104</f>
        <v>obj_0086a#0001</v>
      </c>
      <c r="C165" s="149" t="str">
        <f>_xll.qlRateHelperQuoteName(B165)</f>
        <v>EUR6F9Y_Quote</v>
      </c>
      <c r="D165" s="150">
        <f>_xll.qlRateHelperQuoteValue($B165,Trigger)</f>
        <v>1.018E-2</v>
      </c>
      <c r="E165" s="150">
        <f>_xll.qlSwapRateHelperSpread($B165,Trigger)</f>
        <v>0</v>
      </c>
      <c r="F165" s="151" t="b">
        <v>0</v>
      </c>
      <c r="G165" s="151">
        <v>50</v>
      </c>
      <c r="H165" s="151">
        <v>1</v>
      </c>
      <c r="I165" s="156">
        <f>_xll.qlRateHelperEarliestDate($B165,Trigger)</f>
        <v>44279</v>
      </c>
      <c r="J165" s="157">
        <f>_xll.qlRateHelperLatestDate($B165,Trigger)</f>
        <v>47567</v>
      </c>
      <c r="L165" s="155"/>
    </row>
    <row r="166" spans="2:12" x14ac:dyDescent="0.2">
      <c r="B166" s="266" t="str">
        <f>ForwardSwaps!J105</f>
        <v>obj_007a3#0001</v>
      </c>
      <c r="C166" s="149" t="str">
        <f>_xll.qlRateHelperQuoteName(B166)</f>
        <v>EUR6F10Y_Quote</v>
      </c>
      <c r="D166" s="150">
        <f>_xll.qlRateHelperQuoteValue($B166,Trigger)</f>
        <v>1.026E-2</v>
      </c>
      <c r="E166" s="150">
        <f>_xll.qlSwapRateHelperSpread($B166,Trigger)</f>
        <v>0</v>
      </c>
      <c r="F166" s="151" t="b">
        <v>0</v>
      </c>
      <c r="G166" s="151">
        <v>50</v>
      </c>
      <c r="H166" s="151">
        <v>1</v>
      </c>
      <c r="I166" s="156">
        <f>_xll.qlRateHelperEarliestDate($B166,Trigger)</f>
        <v>44279</v>
      </c>
      <c r="J166" s="157">
        <f>_xll.qlRateHelperLatestDate($B166,Trigger)</f>
        <v>47931</v>
      </c>
      <c r="L166" s="155"/>
    </row>
    <row r="167" spans="2:12" x14ac:dyDescent="0.2">
      <c r="B167" s="266" t="str">
        <f>ForwardSwaps!J106</f>
        <v>obj_0082c#0001</v>
      </c>
      <c r="C167" s="149" t="str">
        <f>_xll.qlRateHelperQuoteName(B167)</f>
        <v>EUR6F11Y_Quote</v>
      </c>
      <c r="D167" s="150">
        <f>_xll.qlRateHelperQuoteValue($B167,Trigger)</f>
        <v>1.0360000000000001E-2</v>
      </c>
      <c r="E167" s="150">
        <f>_xll.qlSwapRateHelperSpread($B167,Trigger)</f>
        <v>0</v>
      </c>
      <c r="F167" s="151" t="b">
        <v>0</v>
      </c>
      <c r="G167" s="151">
        <v>50</v>
      </c>
      <c r="H167" s="151">
        <v>1</v>
      </c>
      <c r="I167" s="156">
        <f>_xll.qlRateHelperEarliestDate($B167,Trigger)</f>
        <v>44279</v>
      </c>
      <c r="J167" s="157">
        <f>_xll.qlRateHelperLatestDate($B167,Trigger)</f>
        <v>48297</v>
      </c>
      <c r="L167" s="155"/>
    </row>
    <row r="168" spans="2:12" x14ac:dyDescent="0.2">
      <c r="B168" s="266" t="str">
        <f>ForwardSwaps!J107</f>
        <v>obj_00827#0001</v>
      </c>
      <c r="C168" s="149" t="str">
        <f>_xll.qlRateHelperQuoteName(B168)</f>
        <v>EUR6F12Y_Quote</v>
      </c>
      <c r="D168" s="150">
        <f>_xll.qlRateHelperQuoteValue($B168,Trigger)</f>
        <v>1.039E-2</v>
      </c>
      <c r="E168" s="150">
        <f>_xll.qlSwapRateHelperSpread($B168,Trigger)</f>
        <v>0</v>
      </c>
      <c r="F168" s="151" t="b">
        <v>0</v>
      </c>
      <c r="G168" s="151">
        <v>50</v>
      </c>
      <c r="H168" s="151">
        <v>1</v>
      </c>
      <c r="I168" s="156">
        <f>_xll.qlRateHelperEarliestDate($B168,Trigger)</f>
        <v>44279</v>
      </c>
      <c r="J168" s="157">
        <f>_xll.qlRateHelperLatestDate($B168,Trigger)</f>
        <v>48662</v>
      </c>
      <c r="L168" s="155"/>
    </row>
    <row r="169" spans="2:12" x14ac:dyDescent="0.2">
      <c r="B169" s="266" t="str">
        <f>ForwardSwaps!J108</f>
        <v>obj_007c5#0001</v>
      </c>
      <c r="C169" s="149" t="str">
        <f>_xll.qlRateHelperQuoteName(B169)</f>
        <v>EUR6F13Y_Quote</v>
      </c>
      <c r="D169" s="150">
        <f>_xll.qlRateHelperQuoteValue($B169,Trigger)</f>
        <v>1.044E-2</v>
      </c>
      <c r="E169" s="150">
        <f>_xll.qlSwapRateHelperSpread($B169,Trigger)</f>
        <v>0</v>
      </c>
      <c r="F169" s="151" t="b">
        <v>0</v>
      </c>
      <c r="G169" s="151">
        <v>50</v>
      </c>
      <c r="H169" s="151">
        <v>1</v>
      </c>
      <c r="I169" s="156">
        <f>_xll.qlRateHelperEarliestDate($B169,Trigger)</f>
        <v>44279</v>
      </c>
      <c r="J169" s="157">
        <f>_xll.qlRateHelperLatestDate($B169,Trigger)</f>
        <v>49027</v>
      </c>
      <c r="L169" s="155"/>
    </row>
    <row r="170" spans="2:12" x14ac:dyDescent="0.2">
      <c r="B170" s="266" t="str">
        <f>ForwardSwaps!J109</f>
        <v>obj_007dd#0001</v>
      </c>
      <c r="C170" s="149" t="str">
        <f>_xll.qlRateHelperQuoteName(B170)</f>
        <v>EUR6F14Y_Quote</v>
      </c>
      <c r="D170" s="150">
        <f>_xll.qlRateHelperQuoteValue($B170,Trigger)</f>
        <v>1.0449999999999999E-2</v>
      </c>
      <c r="E170" s="150">
        <f>_xll.qlSwapRateHelperSpread($B170,Trigger)</f>
        <v>0</v>
      </c>
      <c r="F170" s="151" t="b">
        <v>0</v>
      </c>
      <c r="G170" s="151">
        <v>50</v>
      </c>
      <c r="H170" s="151">
        <v>1</v>
      </c>
      <c r="I170" s="156">
        <f>_xll.qlRateHelperEarliestDate($B170,Trigger)</f>
        <v>44279</v>
      </c>
      <c r="J170" s="157">
        <f>_xll.qlRateHelperLatestDate($B170,Trigger)</f>
        <v>49395</v>
      </c>
      <c r="L170" s="155"/>
    </row>
    <row r="171" spans="2:12" x14ac:dyDescent="0.2">
      <c r="B171" s="266" t="str">
        <f>ForwardSwaps!J110</f>
        <v>obj_00888#0001</v>
      </c>
      <c r="C171" s="149" t="str">
        <f>_xll.qlRateHelperQuoteName(B171)</f>
        <v>EUR6F15Y_Quote</v>
      </c>
      <c r="D171" s="150">
        <f>_xll.qlRateHelperQuoteValue($B171,Trigger)</f>
        <v>1.047E-2</v>
      </c>
      <c r="E171" s="150">
        <f>_xll.qlSwapRateHelperSpread($B171,Trigger)</f>
        <v>0</v>
      </c>
      <c r="F171" s="151" t="b">
        <v>0</v>
      </c>
      <c r="G171" s="151">
        <v>50</v>
      </c>
      <c r="H171" s="151">
        <v>1</v>
      </c>
      <c r="I171" s="156">
        <f>_xll.qlRateHelperEarliestDate($B171,Trigger)</f>
        <v>44279</v>
      </c>
      <c r="J171" s="157">
        <f>_xll.qlRateHelperLatestDate($B171,Trigger)</f>
        <v>49758</v>
      </c>
      <c r="L171" s="155"/>
    </row>
    <row r="172" spans="2:12" x14ac:dyDescent="0.2">
      <c r="B172" s="266" t="str">
        <f>ForwardSwaps!J111</f>
        <v>obj_0082a#0001</v>
      </c>
      <c r="C172" s="149" t="str">
        <f>_xll.qlRateHelperQuoteName(B172)</f>
        <v>EUR6F20Y_Quote</v>
      </c>
      <c r="D172" s="150">
        <f>_xll.qlRateHelperQuoteValue($B172,Trigger)</f>
        <v>1.048E-2</v>
      </c>
      <c r="E172" s="150">
        <f>_xll.qlSwapRateHelperSpread($B172,Trigger)</f>
        <v>0</v>
      </c>
      <c r="F172" s="151" t="b">
        <v>0</v>
      </c>
      <c r="G172" s="151">
        <v>50</v>
      </c>
      <c r="H172" s="151">
        <v>1</v>
      </c>
      <c r="I172" s="156">
        <f>_xll.qlRateHelperEarliestDate($B172,Trigger)</f>
        <v>44279</v>
      </c>
      <c r="J172" s="157">
        <f>_xll.qlRateHelperLatestDate($B172,Trigger)</f>
        <v>51585</v>
      </c>
      <c r="L172" s="155"/>
    </row>
    <row r="173" spans="2:12" x14ac:dyDescent="0.2">
      <c r="B173" s="266" t="str">
        <f>ForwardSwaps!J112</f>
        <v>obj_00756#0001</v>
      </c>
      <c r="C173" s="149" t="str">
        <f>_xll.qlRateHelperQuoteName(B173)</f>
        <v>EUR6F25Y_Quote</v>
      </c>
      <c r="D173" s="150">
        <f>_xll.qlRateHelperQuoteValue($B173,Trigger)</f>
        <v>1.0489999999999999E-2</v>
      </c>
      <c r="E173" s="150">
        <f>_xll.qlSwapRateHelperSpread($B173,Trigger)</f>
        <v>0</v>
      </c>
      <c r="F173" s="151" t="b">
        <v>0</v>
      </c>
      <c r="G173" s="151">
        <v>50</v>
      </c>
      <c r="H173" s="151">
        <v>1</v>
      </c>
      <c r="I173" s="156">
        <f>_xll.qlRateHelperEarliestDate($B173,Trigger)</f>
        <v>44279</v>
      </c>
      <c r="J173" s="157">
        <f>_xll.qlRateHelperLatestDate($B173,Trigger)</f>
        <v>53413</v>
      </c>
      <c r="L173" s="155"/>
    </row>
    <row r="174" spans="2:12" x14ac:dyDescent="0.2">
      <c r="B174" s="267" t="str">
        <f>ForwardSwaps!J113</f>
        <v>obj_00865#0001</v>
      </c>
      <c r="C174" s="152" t="str">
        <f>_xll.qlRateHelperQuoteName(B174)</f>
        <v>EUR6F30Y_Quote</v>
      </c>
      <c r="D174" s="153">
        <f>_xll.qlRateHelperQuoteValue($B174,Trigger)</f>
        <v>1.0449999999999999E-2</v>
      </c>
      <c r="E174" s="153">
        <f>_xll.qlSwapRateHelperSpread($B174,Trigger)</f>
        <v>0</v>
      </c>
      <c r="F174" s="154" t="b">
        <v>0</v>
      </c>
      <c r="G174" s="154">
        <v>50</v>
      </c>
      <c r="H174" s="154">
        <v>1</v>
      </c>
      <c r="I174" s="158">
        <f>_xll.qlRateHelperEarliestDate($B174,Trigger)</f>
        <v>44279</v>
      </c>
      <c r="J174" s="159">
        <f>_xll.qlRateHelperLatestDate($B174,Trigger)</f>
        <v>55236</v>
      </c>
      <c r="L174" s="155"/>
    </row>
    <row r="175" spans="2:12" x14ac:dyDescent="0.2">
      <c r="B175" s="268" t="str">
        <f>ForwardSwaps!J114</f>
        <v>obj_0074f#0001</v>
      </c>
      <c r="C175" s="251" t="str">
        <f>_xll.qlRateHelperQuoteName(B175)</f>
        <v>EUR7F1Y_Quote</v>
      </c>
      <c r="D175" s="269">
        <f>_xll.qlRateHelperQuoteValue($B175,Trigger)</f>
        <v>8.7600000000000004E-3</v>
      </c>
      <c r="E175" s="269">
        <f>_xll.qlSwapRateHelperSpread($B175,Trigger)</f>
        <v>0</v>
      </c>
      <c r="F175" s="270" t="b">
        <v>0</v>
      </c>
      <c r="G175" s="270">
        <v>50</v>
      </c>
      <c r="H175" s="270">
        <v>1</v>
      </c>
      <c r="I175" s="271">
        <f>_xll.qlRateHelperEarliestDate($B175,Trigger)</f>
        <v>44644</v>
      </c>
      <c r="J175" s="272">
        <f>_xll.qlRateHelperLatestDate($B175,Trigger)</f>
        <v>45009</v>
      </c>
      <c r="L175" s="155"/>
    </row>
    <row r="176" spans="2:12" x14ac:dyDescent="0.2">
      <c r="B176" s="266" t="str">
        <f>ForwardSwaps!J115</f>
        <v>obj_00790#0001</v>
      </c>
      <c r="C176" s="149" t="str">
        <f>_xll.qlRateHelperQuoteName(B176)</f>
        <v>EUR7F2Y_Quote</v>
      </c>
      <c r="D176" s="150">
        <f>_xll.qlRateHelperQuoteValue($B176,Trigger)</f>
        <v>9.2399999999999999E-3</v>
      </c>
      <c r="E176" s="150">
        <f>_xll.qlSwapRateHelperSpread($B176,Trigger)</f>
        <v>0</v>
      </c>
      <c r="F176" s="151" t="b">
        <v>0</v>
      </c>
      <c r="G176" s="151">
        <v>50</v>
      </c>
      <c r="H176" s="151">
        <v>1</v>
      </c>
      <c r="I176" s="156">
        <f>_xll.qlRateHelperEarliestDate($B176,Trigger)</f>
        <v>44644</v>
      </c>
      <c r="J176" s="157">
        <f>_xll.qlRateHelperLatestDate($B176,Trigger)</f>
        <v>45376</v>
      </c>
      <c r="L176" s="155"/>
    </row>
    <row r="177" spans="2:12" x14ac:dyDescent="0.2">
      <c r="B177" s="266" t="str">
        <f>ForwardSwaps!J116</f>
        <v>obj_007d6#0001</v>
      </c>
      <c r="C177" s="149" t="str">
        <f>_xll.qlRateHelperQuoteName(B177)</f>
        <v>EUR7F3Y_Quote</v>
      </c>
      <c r="D177" s="150">
        <f>_xll.qlRateHelperQuoteValue($B177,Trigger)</f>
        <v>9.5700000000000004E-3</v>
      </c>
      <c r="E177" s="150">
        <f>_xll.qlSwapRateHelperSpread($B177,Trigger)</f>
        <v>0</v>
      </c>
      <c r="F177" s="151" t="b">
        <v>0</v>
      </c>
      <c r="G177" s="151">
        <v>50</v>
      </c>
      <c r="H177" s="151">
        <v>1</v>
      </c>
      <c r="I177" s="156">
        <f>_xll.qlRateHelperEarliestDate($B177,Trigger)</f>
        <v>44644</v>
      </c>
      <c r="J177" s="157">
        <f>_xll.qlRateHelperLatestDate($B177,Trigger)</f>
        <v>45740</v>
      </c>
      <c r="L177" s="155"/>
    </row>
    <row r="178" spans="2:12" x14ac:dyDescent="0.2">
      <c r="B178" s="266" t="str">
        <f>ForwardSwaps!J117</f>
        <v>obj_00752#0001</v>
      </c>
      <c r="C178" s="149" t="str">
        <f>_xll.qlRateHelperQuoteName(B178)</f>
        <v>EUR7F4Y_Quote</v>
      </c>
      <c r="D178" s="150">
        <f>_xll.qlRateHelperQuoteValue($B178,Trigger)</f>
        <v>9.8600000000000007E-3</v>
      </c>
      <c r="E178" s="150">
        <f>_xll.qlSwapRateHelperSpread($B178,Trigger)</f>
        <v>0</v>
      </c>
      <c r="F178" s="151" t="b">
        <v>0</v>
      </c>
      <c r="G178" s="151">
        <v>50</v>
      </c>
      <c r="H178" s="151">
        <v>1</v>
      </c>
      <c r="I178" s="156">
        <f>_xll.qlRateHelperEarliestDate($B178,Trigger)</f>
        <v>44644</v>
      </c>
      <c r="J178" s="157">
        <f>_xll.qlRateHelperLatestDate($B178,Trigger)</f>
        <v>46105</v>
      </c>
      <c r="L178" s="155"/>
    </row>
    <row r="179" spans="2:12" x14ac:dyDescent="0.2">
      <c r="B179" s="266" t="str">
        <f>ForwardSwaps!J118</f>
        <v>obj_007f0#0001</v>
      </c>
      <c r="C179" s="149" t="str">
        <f>_xll.qlRateHelperQuoteName(B179)</f>
        <v>EUR7F5Y_Quote</v>
      </c>
      <c r="D179" s="150">
        <f>_xll.qlRateHelperQuoteValue($B179,Trigger)</f>
        <v>1.01E-2</v>
      </c>
      <c r="E179" s="150">
        <f>_xll.qlSwapRateHelperSpread($B179,Trigger)</f>
        <v>0</v>
      </c>
      <c r="F179" s="151" t="b">
        <v>0</v>
      </c>
      <c r="G179" s="151">
        <v>50</v>
      </c>
      <c r="H179" s="151">
        <v>1</v>
      </c>
      <c r="I179" s="156">
        <f>_xll.qlRateHelperEarliestDate($B179,Trigger)</f>
        <v>44644</v>
      </c>
      <c r="J179" s="157">
        <f>_xll.qlRateHelperLatestDate($B179,Trigger)</f>
        <v>46470</v>
      </c>
      <c r="L179" s="155"/>
    </row>
    <row r="180" spans="2:12" x14ac:dyDescent="0.2">
      <c r="B180" s="266" t="str">
        <f>ForwardSwaps!J119</f>
        <v>obj_0081b#0001</v>
      </c>
      <c r="C180" s="149" t="str">
        <f>_xll.qlRateHelperQuoteName(B180)</f>
        <v>EUR7F6Y_Quote</v>
      </c>
      <c r="D180" s="150">
        <f>_xll.qlRateHelperQuoteValue($B180,Trigger)</f>
        <v>1.031E-2</v>
      </c>
      <c r="E180" s="150">
        <f>_xll.qlSwapRateHelperSpread($B180,Trigger)</f>
        <v>0</v>
      </c>
      <c r="F180" s="151" t="b">
        <v>0</v>
      </c>
      <c r="G180" s="151">
        <v>50</v>
      </c>
      <c r="H180" s="151">
        <v>1</v>
      </c>
      <c r="I180" s="156">
        <f>_xll.qlRateHelperEarliestDate($B180,Trigger)</f>
        <v>44644</v>
      </c>
      <c r="J180" s="157">
        <f>_xll.qlRateHelperLatestDate($B180,Trigger)</f>
        <v>46836</v>
      </c>
      <c r="L180" s="155"/>
    </row>
    <row r="181" spans="2:12" x14ac:dyDescent="0.2">
      <c r="B181" s="266" t="str">
        <f>ForwardSwaps!J120</f>
        <v>obj_0084d#0001</v>
      </c>
      <c r="C181" s="149" t="str">
        <f>_xll.qlRateHelperQuoteName(B181)</f>
        <v>EUR7F7Y_Quote</v>
      </c>
      <c r="D181" s="150">
        <f>_xll.qlRateHelperQuoteValue($B181,Trigger)</f>
        <v>1.042E-2</v>
      </c>
      <c r="E181" s="150">
        <f>_xll.qlSwapRateHelperSpread($B181,Trigger)</f>
        <v>0</v>
      </c>
      <c r="F181" s="151" t="b">
        <v>0</v>
      </c>
      <c r="G181" s="151">
        <v>50</v>
      </c>
      <c r="H181" s="151">
        <v>1</v>
      </c>
      <c r="I181" s="156">
        <f>_xll.qlRateHelperEarliestDate($B181,Trigger)</f>
        <v>44644</v>
      </c>
      <c r="J181" s="157">
        <f>_xll.qlRateHelperLatestDate($B181,Trigger)</f>
        <v>47203</v>
      </c>
      <c r="L181" s="155"/>
    </row>
    <row r="182" spans="2:12" x14ac:dyDescent="0.2">
      <c r="B182" s="266" t="str">
        <f>ForwardSwaps!J121</f>
        <v>obj_0079e#0001</v>
      </c>
      <c r="C182" s="149" t="str">
        <f>_xll.qlRateHelperQuoteName(B182)</f>
        <v>EUR7F8Y_Quote</v>
      </c>
      <c r="D182" s="150">
        <f>_xll.qlRateHelperQuoteValue($B182,Trigger)</f>
        <v>1.052E-2</v>
      </c>
      <c r="E182" s="150">
        <f>_xll.qlSwapRateHelperSpread($B182,Trigger)</f>
        <v>0</v>
      </c>
      <c r="F182" s="151" t="b">
        <v>0</v>
      </c>
      <c r="G182" s="151">
        <v>50</v>
      </c>
      <c r="H182" s="151">
        <v>1</v>
      </c>
      <c r="I182" s="156">
        <f>_xll.qlRateHelperEarliestDate($B182,Trigger)</f>
        <v>44644</v>
      </c>
      <c r="J182" s="157">
        <f>_xll.qlRateHelperLatestDate($B182,Trigger)</f>
        <v>47567</v>
      </c>
      <c r="L182" s="155"/>
    </row>
    <row r="183" spans="2:12" x14ac:dyDescent="0.2">
      <c r="B183" s="266" t="str">
        <f>ForwardSwaps!J122</f>
        <v>obj_007a4#0001</v>
      </c>
      <c r="C183" s="149" t="str">
        <f>_xll.qlRateHelperQuoteName(B183)</f>
        <v>EUR7F9Y_Quote</v>
      </c>
      <c r="D183" s="150">
        <f>_xll.qlRateHelperQuoteValue($B183,Trigger)</f>
        <v>1.057E-2</v>
      </c>
      <c r="E183" s="150">
        <f>_xll.qlSwapRateHelperSpread($B183,Trigger)</f>
        <v>0</v>
      </c>
      <c r="F183" s="151" t="b">
        <v>0</v>
      </c>
      <c r="G183" s="151">
        <v>50</v>
      </c>
      <c r="H183" s="151">
        <v>1</v>
      </c>
      <c r="I183" s="156">
        <f>_xll.qlRateHelperEarliestDate($B183,Trigger)</f>
        <v>44644</v>
      </c>
      <c r="J183" s="157">
        <f>_xll.qlRateHelperLatestDate($B183,Trigger)</f>
        <v>47931</v>
      </c>
      <c r="L183" s="155"/>
    </row>
    <row r="184" spans="2:12" x14ac:dyDescent="0.2">
      <c r="B184" s="266" t="str">
        <f>ForwardSwaps!J123</f>
        <v>obj_00773#0001</v>
      </c>
      <c r="C184" s="149" t="str">
        <f>_xll.qlRateHelperQuoteName(B184)</f>
        <v>EUR7F10Y_Quote</v>
      </c>
      <c r="D184" s="150">
        <f>_xll.qlRateHelperQuoteValue($B184,Trigger)</f>
        <v>1.065E-2</v>
      </c>
      <c r="E184" s="150">
        <f>_xll.qlSwapRateHelperSpread($B184,Trigger)</f>
        <v>0</v>
      </c>
      <c r="F184" s="151" t="b">
        <v>0</v>
      </c>
      <c r="G184" s="151">
        <v>50</v>
      </c>
      <c r="H184" s="151">
        <v>1</v>
      </c>
      <c r="I184" s="156">
        <f>_xll.qlRateHelperEarliestDate($B184,Trigger)</f>
        <v>44644</v>
      </c>
      <c r="J184" s="157">
        <f>_xll.qlRateHelperLatestDate($B184,Trigger)</f>
        <v>48297</v>
      </c>
      <c r="L184" s="155"/>
    </row>
    <row r="185" spans="2:12" x14ac:dyDescent="0.2">
      <c r="B185" s="266" t="str">
        <f>ForwardSwaps!J124</f>
        <v>obj_0076e#0001</v>
      </c>
      <c r="C185" s="149" t="str">
        <f>_xll.qlRateHelperQuoteName(B185)</f>
        <v>EUR7F11Y_Quote</v>
      </c>
      <c r="D185" s="150">
        <f>_xll.qlRateHelperQuoteValue($B185,Trigger)</f>
        <v>1.0660000000000001E-2</v>
      </c>
      <c r="E185" s="150">
        <f>_xll.qlSwapRateHelperSpread($B185,Trigger)</f>
        <v>0</v>
      </c>
      <c r="F185" s="151" t="b">
        <v>0</v>
      </c>
      <c r="G185" s="151">
        <v>50</v>
      </c>
      <c r="H185" s="151">
        <v>1</v>
      </c>
      <c r="I185" s="156">
        <f>_xll.qlRateHelperEarliestDate($B185,Trigger)</f>
        <v>44644</v>
      </c>
      <c r="J185" s="157">
        <f>_xll.qlRateHelperLatestDate($B185,Trigger)</f>
        <v>48662</v>
      </c>
      <c r="L185" s="155"/>
    </row>
    <row r="186" spans="2:12" x14ac:dyDescent="0.2">
      <c r="B186" s="266" t="str">
        <f>ForwardSwaps!J125</f>
        <v>obj_007a6#0001</v>
      </c>
      <c r="C186" s="149" t="str">
        <f>_xll.qlRateHelperQuoteName(B186)</f>
        <v>EUR7F12Y_Quote</v>
      </c>
      <c r="D186" s="150">
        <f>_xll.qlRateHelperQuoteValue($B186,Trigger)</f>
        <v>1.069E-2</v>
      </c>
      <c r="E186" s="150">
        <f>_xll.qlSwapRateHelperSpread($B186,Trigger)</f>
        <v>0</v>
      </c>
      <c r="F186" s="151" t="b">
        <v>0</v>
      </c>
      <c r="G186" s="151">
        <v>50</v>
      </c>
      <c r="H186" s="151">
        <v>1</v>
      </c>
      <c r="I186" s="156">
        <f>_xll.qlRateHelperEarliestDate($B186,Trigger)</f>
        <v>44644</v>
      </c>
      <c r="J186" s="157">
        <f>_xll.qlRateHelperLatestDate($B186,Trigger)</f>
        <v>49027</v>
      </c>
      <c r="L186" s="155"/>
    </row>
    <row r="187" spans="2:12" x14ac:dyDescent="0.2">
      <c r="B187" s="266" t="str">
        <f>ForwardSwaps!J126</f>
        <v>obj_0087e#0001</v>
      </c>
      <c r="C187" s="149" t="str">
        <f>_xll.qlRateHelperQuoteName(B187)</f>
        <v>EUR7F13Y_Quote</v>
      </c>
      <c r="D187" s="150">
        <f>_xll.qlRateHelperQuoteValue($B187,Trigger)</f>
        <v>1.069E-2</v>
      </c>
      <c r="E187" s="150">
        <f>_xll.qlSwapRateHelperSpread($B187,Trigger)</f>
        <v>0</v>
      </c>
      <c r="F187" s="151" t="b">
        <v>0</v>
      </c>
      <c r="G187" s="151">
        <v>50</v>
      </c>
      <c r="H187" s="151">
        <v>1</v>
      </c>
      <c r="I187" s="156">
        <f>_xll.qlRateHelperEarliestDate($B187,Trigger)</f>
        <v>44644</v>
      </c>
      <c r="J187" s="157">
        <f>_xll.qlRateHelperLatestDate($B187,Trigger)</f>
        <v>49395</v>
      </c>
      <c r="L187" s="155"/>
    </row>
    <row r="188" spans="2:12" x14ac:dyDescent="0.2">
      <c r="B188" s="266" t="str">
        <f>ForwardSwaps!J127</f>
        <v>obj_007e2#0001</v>
      </c>
      <c r="C188" s="149" t="str">
        <f>_xll.qlRateHelperQuoteName(B188)</f>
        <v>EUR7F14Y_Quote</v>
      </c>
      <c r="D188" s="150">
        <f>_xll.qlRateHelperQuoteValue($B188,Trigger)</f>
        <v>1.069E-2</v>
      </c>
      <c r="E188" s="150">
        <f>_xll.qlSwapRateHelperSpread($B188,Trigger)</f>
        <v>0</v>
      </c>
      <c r="F188" s="151" t="b">
        <v>0</v>
      </c>
      <c r="G188" s="151">
        <v>50</v>
      </c>
      <c r="H188" s="151">
        <v>1</v>
      </c>
      <c r="I188" s="156">
        <f>_xll.qlRateHelperEarliestDate($B188,Trigger)</f>
        <v>44644</v>
      </c>
      <c r="J188" s="157">
        <f>_xll.qlRateHelperLatestDate($B188,Trigger)</f>
        <v>49758</v>
      </c>
      <c r="L188" s="155"/>
    </row>
    <row r="189" spans="2:12" x14ac:dyDescent="0.2">
      <c r="B189" s="266" t="str">
        <f>ForwardSwaps!J128</f>
        <v>obj_0081d#0001</v>
      </c>
      <c r="C189" s="149" t="str">
        <f>_xll.qlRateHelperQuoteName(B189)</f>
        <v>EUR7F15Y_Quote</v>
      </c>
      <c r="D189" s="150">
        <f>_xll.qlRateHelperQuoteValue($B189,Trigger)</f>
        <v>1.0669999999999999E-2</v>
      </c>
      <c r="E189" s="150">
        <f>_xll.qlSwapRateHelperSpread($B189,Trigger)</f>
        <v>0</v>
      </c>
      <c r="F189" s="151" t="b">
        <v>0</v>
      </c>
      <c r="G189" s="151">
        <v>50</v>
      </c>
      <c r="H189" s="151">
        <v>1</v>
      </c>
      <c r="I189" s="156">
        <f>_xll.qlRateHelperEarliestDate($B189,Trigger)</f>
        <v>44644</v>
      </c>
      <c r="J189" s="157">
        <f>_xll.qlRateHelperLatestDate($B189,Trigger)</f>
        <v>50123</v>
      </c>
      <c r="L189" s="155"/>
    </row>
    <row r="190" spans="2:12" x14ac:dyDescent="0.2">
      <c r="B190" s="266" t="str">
        <f>ForwardSwaps!J129</f>
        <v>obj_007c0#0001</v>
      </c>
      <c r="C190" s="149" t="str">
        <f>_xll.qlRateHelperQuoteName(B190)</f>
        <v>EUR7F20Y_Quote</v>
      </c>
      <c r="D190" s="150">
        <f>_xll.qlRateHelperQuoteValue($B190,Trigger)</f>
        <v>1.064E-2</v>
      </c>
      <c r="E190" s="150">
        <f>_xll.qlSwapRateHelperSpread($B190,Trigger)</f>
        <v>0</v>
      </c>
      <c r="F190" s="151" t="b">
        <v>0</v>
      </c>
      <c r="G190" s="151">
        <v>50</v>
      </c>
      <c r="H190" s="151">
        <v>1</v>
      </c>
      <c r="I190" s="156">
        <f>_xll.qlRateHelperEarliestDate($B190,Trigger)</f>
        <v>44644</v>
      </c>
      <c r="J190" s="157">
        <f>_xll.qlRateHelperLatestDate($B190,Trigger)</f>
        <v>51949</v>
      </c>
      <c r="L190" s="155"/>
    </row>
    <row r="191" spans="2:12" x14ac:dyDescent="0.2">
      <c r="B191" s="266" t="str">
        <f>ForwardSwaps!J130</f>
        <v>obj_00884#0001</v>
      </c>
      <c r="C191" s="149" t="str">
        <f>_xll.qlRateHelperQuoteName(B191)</f>
        <v>EUR7F25Y_Quote</v>
      </c>
      <c r="D191" s="150">
        <f>_xll.qlRateHelperQuoteValue($B191,Trigger)</f>
        <v>1.061E-2</v>
      </c>
      <c r="E191" s="150">
        <f>_xll.qlSwapRateHelperSpread($B191,Trigger)</f>
        <v>0</v>
      </c>
      <c r="F191" s="151" t="b">
        <v>0</v>
      </c>
      <c r="G191" s="151">
        <v>50</v>
      </c>
      <c r="H191" s="151">
        <v>1</v>
      </c>
      <c r="I191" s="156">
        <f>_xll.qlRateHelperEarliestDate($B191,Trigger)</f>
        <v>44644</v>
      </c>
      <c r="J191" s="157">
        <f>_xll.qlRateHelperLatestDate($B191,Trigger)</f>
        <v>53776</v>
      </c>
      <c r="L191" s="155"/>
    </row>
    <row r="192" spans="2:12" x14ac:dyDescent="0.2">
      <c r="B192" s="267" t="str">
        <f>ForwardSwaps!J131</f>
        <v>obj_0076b#0001</v>
      </c>
      <c r="C192" s="152" t="str">
        <f>_xll.qlRateHelperQuoteName(B192)</f>
        <v>EUR7F30Y_Quote</v>
      </c>
      <c r="D192" s="153">
        <f>_xll.qlRateHelperQuoteValue($B192,Trigger)</f>
        <v>1.0540000000000001E-2</v>
      </c>
      <c r="E192" s="153">
        <f>_xll.qlSwapRateHelperSpread($B192,Trigger)</f>
        <v>0</v>
      </c>
      <c r="F192" s="154" t="b">
        <v>0</v>
      </c>
      <c r="G192" s="154">
        <v>50</v>
      </c>
      <c r="H192" s="154">
        <v>1</v>
      </c>
      <c r="I192" s="158">
        <f>_xll.qlRateHelperEarliestDate($B192,Trigger)</f>
        <v>44644</v>
      </c>
      <c r="J192" s="159">
        <f>_xll.qlRateHelperLatestDate($B192,Trigger)</f>
        <v>55603</v>
      </c>
      <c r="L192" s="155"/>
    </row>
    <row r="193" spans="2:12" x14ac:dyDescent="0.2">
      <c r="B193" s="268" t="str">
        <f>ForwardSwaps!J132</f>
        <v>obj_0075b#0001</v>
      </c>
      <c r="C193" s="251" t="str">
        <f>_xll.qlRateHelperQuoteName(B193)</f>
        <v>EUR8F1Y_Quote</v>
      </c>
      <c r="D193" s="269">
        <f>_xll.qlRateHelperQuoteValue($B193,Trigger)</f>
        <v>9.7300000000000008E-3</v>
      </c>
      <c r="E193" s="269">
        <f>_xll.qlSwapRateHelperSpread($B193,Trigger)</f>
        <v>0</v>
      </c>
      <c r="F193" s="270" t="b">
        <v>0</v>
      </c>
      <c r="G193" s="270">
        <v>50</v>
      </c>
      <c r="H193" s="270">
        <v>1</v>
      </c>
      <c r="I193" s="271">
        <f>_xll.qlRateHelperEarliestDate($B193,Trigger)</f>
        <v>45009</v>
      </c>
      <c r="J193" s="272">
        <f>_xll.qlRateHelperLatestDate($B193,Trigger)</f>
        <v>45376</v>
      </c>
      <c r="L193" s="155"/>
    </row>
    <row r="194" spans="2:12" x14ac:dyDescent="0.2">
      <c r="B194" s="266" t="str">
        <f>ForwardSwaps!J133</f>
        <v>obj_0079b#0001</v>
      </c>
      <c r="C194" s="149" t="str">
        <f>_xll.qlRateHelperQuoteName(B194)</f>
        <v>EUR8F2Y_Quote</v>
      </c>
      <c r="D194" s="150">
        <f>_xll.qlRateHelperQuoteValue($B194,Trigger)</f>
        <v>9.9799999999999993E-3</v>
      </c>
      <c r="E194" s="150">
        <f>_xll.qlSwapRateHelperSpread($B194,Trigger)</f>
        <v>0</v>
      </c>
      <c r="F194" s="151" t="b">
        <v>0</v>
      </c>
      <c r="G194" s="151">
        <v>50</v>
      </c>
      <c r="H194" s="151">
        <v>1</v>
      </c>
      <c r="I194" s="156">
        <f>_xll.qlRateHelperEarliestDate($B194,Trigger)</f>
        <v>45009</v>
      </c>
      <c r="J194" s="157">
        <f>_xll.qlRateHelperLatestDate($B194,Trigger)</f>
        <v>45740</v>
      </c>
      <c r="L194" s="155"/>
    </row>
    <row r="195" spans="2:12" x14ac:dyDescent="0.2">
      <c r="B195" s="266" t="str">
        <f>ForwardSwaps!J134</f>
        <v>obj_0085d#0001</v>
      </c>
      <c r="C195" s="149" t="str">
        <f>_xll.qlRateHelperQuoteName(B195)</f>
        <v>EUR8F3Y_Quote</v>
      </c>
      <c r="D195" s="150">
        <f>_xll.qlRateHelperQuoteValue($B195,Trigger)</f>
        <v>1.023E-2</v>
      </c>
      <c r="E195" s="150">
        <f>_xll.qlSwapRateHelperSpread($B195,Trigger)</f>
        <v>0</v>
      </c>
      <c r="F195" s="151" t="b">
        <v>0</v>
      </c>
      <c r="G195" s="151">
        <v>50</v>
      </c>
      <c r="H195" s="151">
        <v>1</v>
      </c>
      <c r="I195" s="156">
        <f>_xll.qlRateHelperEarliestDate($B195,Trigger)</f>
        <v>45009</v>
      </c>
      <c r="J195" s="157">
        <f>_xll.qlRateHelperLatestDate($B195,Trigger)</f>
        <v>46105</v>
      </c>
      <c r="L195" s="155"/>
    </row>
    <row r="196" spans="2:12" x14ac:dyDescent="0.2">
      <c r="B196" s="266" t="str">
        <f>ForwardSwaps!J135</f>
        <v>obj_0080c#0001</v>
      </c>
      <c r="C196" s="149" t="str">
        <f>_xll.qlRateHelperQuoteName(B196)</f>
        <v>EUR8F4Y_Quote</v>
      </c>
      <c r="D196" s="150">
        <f>_xll.qlRateHelperQuoteValue($B196,Trigger)</f>
        <v>1.044E-2</v>
      </c>
      <c r="E196" s="150">
        <f>_xll.qlSwapRateHelperSpread($B196,Trigger)</f>
        <v>0</v>
      </c>
      <c r="F196" s="151" t="b">
        <v>0</v>
      </c>
      <c r="G196" s="151">
        <v>50</v>
      </c>
      <c r="H196" s="151">
        <v>1</v>
      </c>
      <c r="I196" s="156">
        <f>_xll.qlRateHelperEarliestDate($B196,Trigger)</f>
        <v>45009</v>
      </c>
      <c r="J196" s="157">
        <f>_xll.qlRateHelperLatestDate($B196,Trigger)</f>
        <v>46470</v>
      </c>
      <c r="L196" s="155"/>
    </row>
    <row r="197" spans="2:12" x14ac:dyDescent="0.2">
      <c r="B197" s="266" t="str">
        <f>ForwardSwaps!J136</f>
        <v>obj_00856#0001</v>
      </c>
      <c r="C197" s="149" t="str">
        <f>_xll.qlRateHelperQuoteName(B197)</f>
        <v>EUR8F5Y_Quote</v>
      </c>
      <c r="D197" s="150">
        <f>_xll.qlRateHelperQuoteValue($B197,Trigger)</f>
        <v>1.0629999999999999E-2</v>
      </c>
      <c r="E197" s="150">
        <f>_xll.qlSwapRateHelperSpread($B197,Trigger)</f>
        <v>0</v>
      </c>
      <c r="F197" s="151" t="b">
        <v>0</v>
      </c>
      <c r="G197" s="151">
        <v>50</v>
      </c>
      <c r="H197" s="151">
        <v>1</v>
      </c>
      <c r="I197" s="156">
        <f>_xll.qlRateHelperEarliestDate($B197,Trigger)</f>
        <v>45009</v>
      </c>
      <c r="J197" s="157">
        <f>_xll.qlRateHelperLatestDate($B197,Trigger)</f>
        <v>46836</v>
      </c>
      <c r="L197" s="155"/>
    </row>
    <row r="198" spans="2:12" x14ac:dyDescent="0.2">
      <c r="B198" s="266" t="str">
        <f>ForwardSwaps!J137</f>
        <v>obj_0073c#0001</v>
      </c>
      <c r="C198" s="149" t="str">
        <f>_xll.qlRateHelperQuoteName(B198)</f>
        <v>EUR8F6Y_Quote</v>
      </c>
      <c r="D198" s="150">
        <f>_xll.qlRateHelperQuoteValue($B198,Trigger)</f>
        <v>1.0709999999999999E-2</v>
      </c>
      <c r="E198" s="150">
        <f>_xll.qlSwapRateHelperSpread($B198,Trigger)</f>
        <v>0</v>
      </c>
      <c r="F198" s="151" t="b">
        <v>0</v>
      </c>
      <c r="G198" s="151">
        <v>50</v>
      </c>
      <c r="H198" s="151">
        <v>1</v>
      </c>
      <c r="I198" s="156">
        <f>_xll.qlRateHelperEarliestDate($B198,Trigger)</f>
        <v>45009</v>
      </c>
      <c r="J198" s="157">
        <f>_xll.qlRateHelperLatestDate($B198,Trigger)</f>
        <v>47203</v>
      </c>
      <c r="L198" s="155"/>
    </row>
    <row r="199" spans="2:12" x14ac:dyDescent="0.2">
      <c r="B199" s="266" t="str">
        <f>ForwardSwaps!J138</f>
        <v>obj_00741#0001</v>
      </c>
      <c r="C199" s="149" t="str">
        <f>_xll.qlRateHelperQuoteName(B199)</f>
        <v>EUR8F7Y_Quote</v>
      </c>
      <c r="D199" s="150">
        <f>_xll.qlRateHelperQuoteValue($B199,Trigger)</f>
        <v>1.077E-2</v>
      </c>
      <c r="E199" s="150">
        <f>_xll.qlSwapRateHelperSpread($B199,Trigger)</f>
        <v>0</v>
      </c>
      <c r="F199" s="151" t="b">
        <v>0</v>
      </c>
      <c r="G199" s="151">
        <v>50</v>
      </c>
      <c r="H199" s="151">
        <v>1</v>
      </c>
      <c r="I199" s="156">
        <f>_xll.qlRateHelperEarliestDate($B199,Trigger)</f>
        <v>45009</v>
      </c>
      <c r="J199" s="157">
        <f>_xll.qlRateHelperLatestDate($B199,Trigger)</f>
        <v>47567</v>
      </c>
      <c r="L199" s="155"/>
    </row>
    <row r="200" spans="2:12" x14ac:dyDescent="0.2">
      <c r="B200" s="266" t="str">
        <f>ForwardSwaps!J139</f>
        <v>obj_007ae#0001</v>
      </c>
      <c r="C200" s="149" t="str">
        <f>_xll.qlRateHelperQuoteName(B200)</f>
        <v>EUR8F8Y_Quote</v>
      </c>
      <c r="D200" s="150">
        <f>_xll.qlRateHelperQuoteValue($B200,Trigger)</f>
        <v>1.081E-2</v>
      </c>
      <c r="E200" s="150">
        <f>_xll.qlSwapRateHelperSpread($B200,Trigger)</f>
        <v>0</v>
      </c>
      <c r="F200" s="151" t="b">
        <v>0</v>
      </c>
      <c r="G200" s="151">
        <v>50</v>
      </c>
      <c r="H200" s="151">
        <v>1</v>
      </c>
      <c r="I200" s="156">
        <f>_xll.qlRateHelperEarliestDate($B200,Trigger)</f>
        <v>45009</v>
      </c>
      <c r="J200" s="157">
        <f>_xll.qlRateHelperLatestDate($B200,Trigger)</f>
        <v>47931</v>
      </c>
      <c r="L200" s="155"/>
    </row>
    <row r="201" spans="2:12" x14ac:dyDescent="0.2">
      <c r="B201" s="266" t="str">
        <f>ForwardSwaps!J140</f>
        <v>obj_00854#0001</v>
      </c>
      <c r="C201" s="149" t="str">
        <f>_xll.qlRateHelperQuoteName(B201)</f>
        <v>EUR8F9Y_Quote</v>
      </c>
      <c r="D201" s="150">
        <f>_xll.qlRateHelperQuoteValue($B201,Trigger)</f>
        <v>1.0869999999999999E-2</v>
      </c>
      <c r="E201" s="150">
        <f>_xll.qlSwapRateHelperSpread($B201,Trigger)</f>
        <v>0</v>
      </c>
      <c r="F201" s="151" t="b">
        <v>0</v>
      </c>
      <c r="G201" s="151">
        <v>50</v>
      </c>
      <c r="H201" s="151">
        <v>1</v>
      </c>
      <c r="I201" s="156">
        <f>_xll.qlRateHelperEarliestDate($B201,Trigger)</f>
        <v>45009</v>
      </c>
      <c r="J201" s="157">
        <f>_xll.qlRateHelperLatestDate($B201,Trigger)</f>
        <v>48297</v>
      </c>
      <c r="L201" s="155"/>
    </row>
    <row r="202" spans="2:12" x14ac:dyDescent="0.2">
      <c r="B202" s="266" t="str">
        <f>ForwardSwaps!J141</f>
        <v>obj_00740#0001</v>
      </c>
      <c r="C202" s="149" t="str">
        <f>_xll.qlRateHelperQuoteName(B202)</f>
        <v>EUR8F10Y_Quote</v>
      </c>
      <c r="D202" s="150">
        <f>_xll.qlRateHelperQuoteValue($B202,Trigger)</f>
        <v>1.0860000000000002E-2</v>
      </c>
      <c r="E202" s="150">
        <f>_xll.qlSwapRateHelperSpread($B202,Trigger)</f>
        <v>0</v>
      </c>
      <c r="F202" s="151" t="b">
        <v>0</v>
      </c>
      <c r="G202" s="151">
        <v>50</v>
      </c>
      <c r="H202" s="151">
        <v>1</v>
      </c>
      <c r="I202" s="156">
        <f>_xll.qlRateHelperEarliestDate($B202,Trigger)</f>
        <v>45009</v>
      </c>
      <c r="J202" s="157">
        <f>_xll.qlRateHelperLatestDate($B202,Trigger)</f>
        <v>48662</v>
      </c>
      <c r="L202" s="155"/>
    </row>
    <row r="203" spans="2:12" x14ac:dyDescent="0.2">
      <c r="B203" s="266" t="str">
        <f>ForwardSwaps!J142</f>
        <v>obj_00791#0001</v>
      </c>
      <c r="C203" s="149" t="str">
        <f>_xll.qlRateHelperQuoteName(B203)</f>
        <v>EUR8F11Y_Quote</v>
      </c>
      <c r="D203" s="150">
        <f>_xll.qlRateHelperQuoteValue($B203,Trigger)</f>
        <v>1.0869999999999999E-2</v>
      </c>
      <c r="E203" s="150">
        <f>_xll.qlSwapRateHelperSpread($B203,Trigger)</f>
        <v>0</v>
      </c>
      <c r="F203" s="151" t="b">
        <v>0</v>
      </c>
      <c r="G203" s="151">
        <v>50</v>
      </c>
      <c r="H203" s="151">
        <v>1</v>
      </c>
      <c r="I203" s="156">
        <f>_xll.qlRateHelperEarliestDate($B203,Trigger)</f>
        <v>45009</v>
      </c>
      <c r="J203" s="157">
        <f>_xll.qlRateHelperLatestDate($B203,Trigger)</f>
        <v>49027</v>
      </c>
      <c r="L203" s="155"/>
    </row>
    <row r="204" spans="2:12" x14ac:dyDescent="0.2">
      <c r="B204" s="266" t="str">
        <f>ForwardSwaps!J143</f>
        <v>obj_00833#0001</v>
      </c>
      <c r="C204" s="149" t="str">
        <f>_xll.qlRateHelperQuoteName(B204)</f>
        <v>EUR8F12Y_Quote</v>
      </c>
      <c r="D204" s="150">
        <f>_xll.qlRateHelperQuoteValue($B204,Trigger)</f>
        <v>1.0860000000000002E-2</v>
      </c>
      <c r="E204" s="150">
        <f>_xll.qlSwapRateHelperSpread($B204,Trigger)</f>
        <v>0</v>
      </c>
      <c r="F204" s="151" t="b">
        <v>0</v>
      </c>
      <c r="G204" s="151">
        <v>50</v>
      </c>
      <c r="H204" s="151">
        <v>1</v>
      </c>
      <c r="I204" s="156">
        <f>_xll.qlRateHelperEarliestDate($B204,Trigger)</f>
        <v>45009</v>
      </c>
      <c r="J204" s="157">
        <f>_xll.qlRateHelperLatestDate($B204,Trigger)</f>
        <v>49395</v>
      </c>
      <c r="L204" s="155"/>
    </row>
    <row r="205" spans="2:12" x14ac:dyDescent="0.2">
      <c r="B205" s="266" t="str">
        <f>ForwardSwaps!J144</f>
        <v>obj_0083d#0001</v>
      </c>
      <c r="C205" s="149" t="str">
        <f>_xll.qlRateHelperQuoteName(B205)</f>
        <v>EUR8F13Y_Quote</v>
      </c>
      <c r="D205" s="150">
        <f>_xll.qlRateHelperQuoteValue($B205,Trigger)</f>
        <v>1.085E-2</v>
      </c>
      <c r="E205" s="150">
        <f>_xll.qlSwapRateHelperSpread($B205,Trigger)</f>
        <v>0</v>
      </c>
      <c r="F205" s="151" t="b">
        <v>0</v>
      </c>
      <c r="G205" s="151">
        <v>50</v>
      </c>
      <c r="H205" s="151">
        <v>1</v>
      </c>
      <c r="I205" s="156">
        <f>_xll.qlRateHelperEarliestDate($B205,Trigger)</f>
        <v>45009</v>
      </c>
      <c r="J205" s="157">
        <f>_xll.qlRateHelperLatestDate($B205,Trigger)</f>
        <v>49758</v>
      </c>
      <c r="L205" s="155"/>
    </row>
    <row r="206" spans="2:12" x14ac:dyDescent="0.2">
      <c r="B206" s="266" t="str">
        <f>ForwardSwaps!J145</f>
        <v>obj_0074b#0001</v>
      </c>
      <c r="C206" s="149" t="str">
        <f>_xll.qlRateHelperQuoteName(B206)</f>
        <v>EUR8F14Y_Quote</v>
      </c>
      <c r="D206" s="150">
        <f>_xll.qlRateHelperQuoteValue($B206,Trigger)</f>
        <v>1.0820000000000001E-2</v>
      </c>
      <c r="E206" s="150">
        <f>_xll.qlSwapRateHelperSpread($B206,Trigger)</f>
        <v>0</v>
      </c>
      <c r="F206" s="151" t="b">
        <v>0</v>
      </c>
      <c r="G206" s="151">
        <v>50</v>
      </c>
      <c r="H206" s="151">
        <v>1</v>
      </c>
      <c r="I206" s="156">
        <f>_xll.qlRateHelperEarliestDate($B206,Trigger)</f>
        <v>45009</v>
      </c>
      <c r="J206" s="157">
        <f>_xll.qlRateHelperLatestDate($B206,Trigger)</f>
        <v>50123</v>
      </c>
      <c r="L206" s="155"/>
    </row>
    <row r="207" spans="2:12" x14ac:dyDescent="0.2">
      <c r="B207" s="266" t="str">
        <f>ForwardSwaps!J146</f>
        <v>obj_00834#0001</v>
      </c>
      <c r="C207" s="149" t="str">
        <f>_xll.qlRateHelperQuoteName(B207)</f>
        <v>EUR8F15Y_Quote</v>
      </c>
      <c r="D207" s="150">
        <f>_xll.qlRateHelperQuoteValue($B207,Trigger)</f>
        <v>1.0789999999999999E-2</v>
      </c>
      <c r="E207" s="150">
        <f>_xll.qlSwapRateHelperSpread($B207,Trigger)</f>
        <v>0</v>
      </c>
      <c r="F207" s="151" t="b">
        <v>0</v>
      </c>
      <c r="G207" s="151">
        <v>50</v>
      </c>
      <c r="H207" s="151">
        <v>1</v>
      </c>
      <c r="I207" s="156">
        <f>_xll.qlRateHelperEarliestDate($B207,Trigger)</f>
        <v>45009</v>
      </c>
      <c r="J207" s="157">
        <f>_xll.qlRateHelperLatestDate($B207,Trigger)</f>
        <v>50488</v>
      </c>
      <c r="L207" s="155"/>
    </row>
    <row r="208" spans="2:12" x14ac:dyDescent="0.2">
      <c r="B208" s="266" t="str">
        <f>ForwardSwaps!J147</f>
        <v>obj_00852#0001</v>
      </c>
      <c r="C208" s="149" t="str">
        <f>_xll.qlRateHelperQuoteName(B208)</f>
        <v>EUR8F20Y_Quote</v>
      </c>
      <c r="D208" s="150">
        <f>_xll.qlRateHelperQuoteValue($B208,Trigger)</f>
        <v>1.0740000000000001E-2</v>
      </c>
      <c r="E208" s="150">
        <f>_xll.qlSwapRateHelperSpread($B208,Trigger)</f>
        <v>0</v>
      </c>
      <c r="F208" s="151" t="b">
        <v>0</v>
      </c>
      <c r="G208" s="151">
        <v>50</v>
      </c>
      <c r="H208" s="151">
        <v>1</v>
      </c>
      <c r="I208" s="156">
        <f>_xll.qlRateHelperEarliestDate($B208,Trigger)</f>
        <v>45009</v>
      </c>
      <c r="J208" s="157">
        <f>_xll.qlRateHelperLatestDate($B208,Trigger)</f>
        <v>52314</v>
      </c>
      <c r="L208" s="155"/>
    </row>
    <row r="209" spans="2:12" x14ac:dyDescent="0.2">
      <c r="B209" s="266" t="str">
        <f>ForwardSwaps!J148</f>
        <v>obj_00858#0001</v>
      </c>
      <c r="C209" s="149" t="str">
        <f>_xll.qlRateHelperQuoteName(B209)</f>
        <v>EUR8F25Y_Quote</v>
      </c>
      <c r="D209" s="150">
        <f>_xll.qlRateHelperQuoteValue($B209,Trigger)</f>
        <v>1.068E-2</v>
      </c>
      <c r="E209" s="150">
        <f>_xll.qlSwapRateHelperSpread($B209,Trigger)</f>
        <v>0</v>
      </c>
      <c r="F209" s="151" t="b">
        <v>0</v>
      </c>
      <c r="G209" s="151">
        <v>50</v>
      </c>
      <c r="H209" s="151">
        <v>1</v>
      </c>
      <c r="I209" s="156">
        <f>_xll.qlRateHelperEarliestDate($B209,Trigger)</f>
        <v>45009</v>
      </c>
      <c r="J209" s="157">
        <f>_xll.qlRateHelperLatestDate($B209,Trigger)</f>
        <v>54141</v>
      </c>
      <c r="L209" s="155"/>
    </row>
    <row r="210" spans="2:12" x14ac:dyDescent="0.2">
      <c r="B210" s="267" t="str">
        <f>ForwardSwaps!J149</f>
        <v>obj_007d3#0001</v>
      </c>
      <c r="C210" s="152" t="str">
        <f>_xll.qlRateHelperQuoteName(B210)</f>
        <v>EUR8F30Y_Quote</v>
      </c>
      <c r="D210" s="153">
        <f>_xll.qlRateHelperQuoteValue($B210,Trigger)</f>
        <v>1.0589999999999999E-2</v>
      </c>
      <c r="E210" s="153">
        <f>_xll.qlSwapRateHelperSpread($B210,Trigger)</f>
        <v>0</v>
      </c>
      <c r="F210" s="154" t="b">
        <v>0</v>
      </c>
      <c r="G210" s="154">
        <v>50</v>
      </c>
      <c r="H210" s="154">
        <v>1</v>
      </c>
      <c r="I210" s="158">
        <f>_xll.qlRateHelperEarliestDate($B210,Trigger)</f>
        <v>45009</v>
      </c>
      <c r="J210" s="159">
        <f>_xll.qlRateHelperLatestDate($B210,Trigger)</f>
        <v>55967</v>
      </c>
      <c r="L210" s="155"/>
    </row>
    <row r="211" spans="2:12" x14ac:dyDescent="0.2">
      <c r="B211" s="268" t="str">
        <f>ForwardSwaps!J150</f>
        <v>obj_00742#0001</v>
      </c>
      <c r="C211" s="251" t="str">
        <f>_xll.qlRateHelperQuoteName(B211)</f>
        <v>EUR9F1Y_Quote</v>
      </c>
      <c r="D211" s="269">
        <f>_xll.qlRateHelperQuoteValue($B211,Trigger)</f>
        <v>1.0240000000000001E-2</v>
      </c>
      <c r="E211" s="269">
        <f>_xll.qlSwapRateHelperSpread($B211,Trigger)</f>
        <v>0</v>
      </c>
      <c r="F211" s="270" t="b">
        <v>0</v>
      </c>
      <c r="G211" s="270">
        <v>50</v>
      </c>
      <c r="H211" s="270">
        <v>1</v>
      </c>
      <c r="I211" s="271">
        <f>_xll.qlRateHelperEarliestDate($B211,Trigger)</f>
        <v>45376</v>
      </c>
      <c r="J211" s="272">
        <f>_xll.qlRateHelperLatestDate($B211,Trigger)</f>
        <v>45741</v>
      </c>
      <c r="L211" s="155"/>
    </row>
    <row r="212" spans="2:12" x14ac:dyDescent="0.2">
      <c r="B212" s="266" t="str">
        <f>ForwardSwaps!J151</f>
        <v>obj_00847#0001</v>
      </c>
      <c r="C212" s="149" t="str">
        <f>_xll.qlRateHelperQuoteName(B212)</f>
        <v>EUR9F2Y_Quote</v>
      </c>
      <c r="D212" s="150">
        <f>_xll.qlRateHelperQuoteValue($B212,Trigger)</f>
        <v>1.048E-2</v>
      </c>
      <c r="E212" s="150">
        <f>_xll.qlSwapRateHelperSpread($B212,Trigger)</f>
        <v>0</v>
      </c>
      <c r="F212" s="151" t="b">
        <v>0</v>
      </c>
      <c r="G212" s="151">
        <v>50</v>
      </c>
      <c r="H212" s="151">
        <v>1</v>
      </c>
      <c r="I212" s="156">
        <f>_xll.qlRateHelperEarliestDate($B212,Trigger)</f>
        <v>45376</v>
      </c>
      <c r="J212" s="157">
        <f>_xll.qlRateHelperLatestDate($B212,Trigger)</f>
        <v>46106</v>
      </c>
      <c r="L212" s="155"/>
    </row>
    <row r="213" spans="2:12" x14ac:dyDescent="0.2">
      <c r="B213" s="266" t="str">
        <f>ForwardSwaps!J152</f>
        <v>obj_0078c#0001</v>
      </c>
      <c r="C213" s="149" t="str">
        <f>_xll.qlRateHelperQuoteName(B213)</f>
        <v>EUR9F3Y_Quote</v>
      </c>
      <c r="D213" s="150">
        <f>_xll.qlRateHelperQuoteValue($B213,Trigger)</f>
        <v>1.068E-2</v>
      </c>
      <c r="E213" s="150">
        <f>_xll.qlSwapRateHelperSpread($B213,Trigger)</f>
        <v>0</v>
      </c>
      <c r="F213" s="151" t="b">
        <v>0</v>
      </c>
      <c r="G213" s="151">
        <v>50</v>
      </c>
      <c r="H213" s="151">
        <v>1</v>
      </c>
      <c r="I213" s="156">
        <f>_xll.qlRateHelperEarliestDate($B213,Trigger)</f>
        <v>45376</v>
      </c>
      <c r="J213" s="157">
        <f>_xll.qlRateHelperLatestDate($B213,Trigger)</f>
        <v>46471</v>
      </c>
      <c r="L213" s="155"/>
    </row>
    <row r="214" spans="2:12" x14ac:dyDescent="0.2">
      <c r="B214" s="266" t="str">
        <f>ForwardSwaps!J153</f>
        <v>obj_00749#0001</v>
      </c>
      <c r="C214" s="149" t="str">
        <f>_xll.qlRateHelperQuoteName(B214)</f>
        <v>EUR9F4Y_Quote</v>
      </c>
      <c r="D214" s="150">
        <f>_xll.qlRateHelperQuoteValue($B214,Trigger)</f>
        <v>1.085E-2</v>
      </c>
      <c r="E214" s="150">
        <f>_xll.qlSwapRateHelperSpread($B214,Trigger)</f>
        <v>0</v>
      </c>
      <c r="F214" s="151" t="b">
        <v>0</v>
      </c>
      <c r="G214" s="151">
        <v>50</v>
      </c>
      <c r="H214" s="151">
        <v>1</v>
      </c>
      <c r="I214" s="156">
        <f>_xll.qlRateHelperEarliestDate($B214,Trigger)</f>
        <v>45376</v>
      </c>
      <c r="J214" s="157">
        <f>_xll.qlRateHelperLatestDate($B214,Trigger)</f>
        <v>46839</v>
      </c>
      <c r="L214" s="155"/>
    </row>
    <row r="215" spans="2:12" x14ac:dyDescent="0.2">
      <c r="B215" s="266" t="str">
        <f>ForwardSwaps!J154</f>
        <v>obj_007c3#0001</v>
      </c>
      <c r="C215" s="149" t="str">
        <f>_xll.qlRateHelperQuoteName(B215)</f>
        <v>EUR9F5Y_Quote</v>
      </c>
      <c r="D215" s="150">
        <f>_xll.qlRateHelperQuoteValue($B215,Trigger)</f>
        <v>1.091E-2</v>
      </c>
      <c r="E215" s="150">
        <f>_xll.qlSwapRateHelperSpread($B215,Trigger)</f>
        <v>0</v>
      </c>
      <c r="F215" s="151" t="b">
        <v>0</v>
      </c>
      <c r="G215" s="151">
        <v>50</v>
      </c>
      <c r="H215" s="151">
        <v>1</v>
      </c>
      <c r="I215" s="156">
        <f>_xll.qlRateHelperEarliestDate($B215,Trigger)</f>
        <v>45376</v>
      </c>
      <c r="J215" s="157">
        <f>_xll.qlRateHelperLatestDate($B215,Trigger)</f>
        <v>47203</v>
      </c>
      <c r="L215" s="155"/>
    </row>
    <row r="216" spans="2:12" x14ac:dyDescent="0.2">
      <c r="B216" s="266" t="str">
        <f>ForwardSwaps!J155</f>
        <v>obj_007e4#0001</v>
      </c>
      <c r="C216" s="149" t="str">
        <f>_xll.qlRateHelperQuoteName(B216)</f>
        <v>EUR9F6Y_Quote</v>
      </c>
      <c r="D216" s="150">
        <f>_xll.qlRateHelperQuoteValue($B216,Trigger)</f>
        <v>1.095E-2</v>
      </c>
      <c r="E216" s="150">
        <f>_xll.qlSwapRateHelperSpread($B216,Trigger)</f>
        <v>0</v>
      </c>
      <c r="F216" s="151" t="b">
        <v>0</v>
      </c>
      <c r="G216" s="151">
        <v>50</v>
      </c>
      <c r="H216" s="151">
        <v>1</v>
      </c>
      <c r="I216" s="156">
        <f>_xll.qlRateHelperEarliestDate($B216,Trigger)</f>
        <v>45376</v>
      </c>
      <c r="J216" s="157">
        <f>_xll.qlRateHelperLatestDate($B216,Trigger)</f>
        <v>47567</v>
      </c>
      <c r="L216" s="155"/>
    </row>
    <row r="217" spans="2:12" x14ac:dyDescent="0.2">
      <c r="B217" s="266" t="str">
        <f>ForwardSwaps!J156</f>
        <v>obj_0078b#0001</v>
      </c>
      <c r="C217" s="149" t="str">
        <f>_xll.qlRateHelperQuoteName(B217)</f>
        <v>EUR9F7Y_Quote</v>
      </c>
      <c r="D217" s="150">
        <f>_xll.qlRateHelperQuoteValue($B217,Trigger)</f>
        <v>1.0970000000000001E-2</v>
      </c>
      <c r="E217" s="150">
        <f>_xll.qlSwapRateHelperSpread($B217,Trigger)</f>
        <v>0</v>
      </c>
      <c r="F217" s="151" t="b">
        <v>0</v>
      </c>
      <c r="G217" s="151">
        <v>50</v>
      </c>
      <c r="H217" s="151">
        <v>1</v>
      </c>
      <c r="I217" s="156">
        <f>_xll.qlRateHelperEarliestDate($B217,Trigger)</f>
        <v>45376</v>
      </c>
      <c r="J217" s="157">
        <f>_xll.qlRateHelperLatestDate($B217,Trigger)</f>
        <v>47932</v>
      </c>
      <c r="L217" s="155"/>
    </row>
    <row r="218" spans="2:12" x14ac:dyDescent="0.2">
      <c r="B218" s="266" t="str">
        <f>ForwardSwaps!J157</f>
        <v>obj_00804#0001</v>
      </c>
      <c r="C218" s="149" t="str">
        <f>_xll.qlRateHelperQuoteName(B218)</f>
        <v>EUR9F8Y_Quote</v>
      </c>
      <c r="D218" s="150">
        <f>_xll.qlRateHelperQuoteValue($B218,Trigger)</f>
        <v>1.1009999999999999E-2</v>
      </c>
      <c r="E218" s="150">
        <f>_xll.qlSwapRateHelperSpread($B218,Trigger)</f>
        <v>0</v>
      </c>
      <c r="F218" s="151" t="b">
        <v>0</v>
      </c>
      <c r="G218" s="151">
        <v>50</v>
      </c>
      <c r="H218" s="151">
        <v>1</v>
      </c>
      <c r="I218" s="156">
        <f>_xll.qlRateHelperEarliestDate($B218,Trigger)</f>
        <v>45376</v>
      </c>
      <c r="J218" s="157">
        <f>_xll.qlRateHelperLatestDate($B218,Trigger)</f>
        <v>48298</v>
      </c>
      <c r="L218" s="155"/>
    </row>
    <row r="219" spans="2:12" x14ac:dyDescent="0.2">
      <c r="B219" s="266" t="str">
        <f>ForwardSwaps!J158</f>
        <v>obj_007f6#0001</v>
      </c>
      <c r="C219" s="149" t="str">
        <f>_xll.qlRateHelperQuoteName(B219)</f>
        <v>EUR9F9Y_Quote</v>
      </c>
      <c r="D219" s="150">
        <f>_xll.qlRateHelperQuoteValue($B219,Trigger)</f>
        <v>1.1000000000000001E-2</v>
      </c>
      <c r="E219" s="150">
        <f>_xll.qlSwapRateHelperSpread($B219,Trigger)</f>
        <v>0</v>
      </c>
      <c r="F219" s="151" t="b">
        <v>0</v>
      </c>
      <c r="G219" s="151">
        <v>50</v>
      </c>
      <c r="H219" s="151">
        <v>1</v>
      </c>
      <c r="I219" s="156">
        <f>_xll.qlRateHelperEarliestDate($B219,Trigger)</f>
        <v>45376</v>
      </c>
      <c r="J219" s="157">
        <f>_xll.qlRateHelperLatestDate($B219,Trigger)</f>
        <v>48663</v>
      </c>
      <c r="L219" s="155"/>
    </row>
    <row r="220" spans="2:12" x14ac:dyDescent="0.2">
      <c r="B220" s="266" t="str">
        <f>ForwardSwaps!J159</f>
        <v>obj_00807#0001</v>
      </c>
      <c r="C220" s="149" t="str">
        <f>_xll.qlRateHelperQuoteName(B220)</f>
        <v>EUR9F10Y_Quote</v>
      </c>
      <c r="D220" s="150">
        <f>_xll.qlRateHelperQuoteValue($B220,Trigger)</f>
        <v>1.099E-2</v>
      </c>
      <c r="E220" s="150">
        <f>_xll.qlSwapRateHelperSpread($B220,Trigger)</f>
        <v>0</v>
      </c>
      <c r="F220" s="151" t="b">
        <v>0</v>
      </c>
      <c r="G220" s="151">
        <v>50</v>
      </c>
      <c r="H220" s="151">
        <v>1</v>
      </c>
      <c r="I220" s="156">
        <f>_xll.qlRateHelperEarliestDate($B220,Trigger)</f>
        <v>45376</v>
      </c>
      <c r="J220" s="157">
        <f>_xll.qlRateHelperLatestDate($B220,Trigger)</f>
        <v>49030</v>
      </c>
      <c r="L220" s="155"/>
    </row>
    <row r="221" spans="2:12" x14ac:dyDescent="0.2">
      <c r="B221" s="266" t="str">
        <f>ForwardSwaps!J160</f>
        <v>obj_007ba#0001</v>
      </c>
      <c r="C221" s="149" t="str">
        <f>_xll.qlRateHelperQuoteName(B221)</f>
        <v>EUR9F11Y_Quote</v>
      </c>
      <c r="D221" s="150">
        <f>_xll.qlRateHelperQuoteValue($B221,Trigger)</f>
        <v>1.0960000000000001E-2</v>
      </c>
      <c r="E221" s="150">
        <f>_xll.qlSwapRateHelperSpread($B221,Trigger)</f>
        <v>0</v>
      </c>
      <c r="F221" s="151" t="b">
        <v>0</v>
      </c>
      <c r="G221" s="151">
        <v>50</v>
      </c>
      <c r="H221" s="151">
        <v>1</v>
      </c>
      <c r="I221" s="156">
        <f>_xll.qlRateHelperEarliestDate($B221,Trigger)</f>
        <v>45376</v>
      </c>
      <c r="J221" s="157">
        <f>_xll.qlRateHelperLatestDate($B221,Trigger)</f>
        <v>49395</v>
      </c>
      <c r="L221" s="155"/>
    </row>
    <row r="222" spans="2:12" x14ac:dyDescent="0.2">
      <c r="B222" s="266" t="str">
        <f>ForwardSwaps!J161</f>
        <v>obj_00866#0001</v>
      </c>
      <c r="C222" s="149" t="str">
        <f>_xll.qlRateHelperQuoteName(B222)</f>
        <v>EUR9F12Y_Quote</v>
      </c>
      <c r="D222" s="150">
        <f>_xll.qlRateHelperQuoteValue($B222,Trigger)</f>
        <v>1.094E-2</v>
      </c>
      <c r="E222" s="150">
        <f>_xll.qlSwapRateHelperSpread($B222,Trigger)</f>
        <v>0</v>
      </c>
      <c r="F222" s="151" t="b">
        <v>0</v>
      </c>
      <c r="G222" s="151">
        <v>50</v>
      </c>
      <c r="H222" s="151">
        <v>1</v>
      </c>
      <c r="I222" s="156">
        <f>_xll.qlRateHelperEarliestDate($B222,Trigger)</f>
        <v>45376</v>
      </c>
      <c r="J222" s="157">
        <f>_xll.qlRateHelperLatestDate($B222,Trigger)</f>
        <v>49759</v>
      </c>
      <c r="L222" s="155"/>
    </row>
    <row r="223" spans="2:12" x14ac:dyDescent="0.2">
      <c r="B223" s="266" t="str">
        <f>ForwardSwaps!J162</f>
        <v>obj_0075d#0001</v>
      </c>
      <c r="C223" s="149" t="str">
        <f>_xll.qlRateHelperQuoteName(B223)</f>
        <v>EUR9F13Y_Quote</v>
      </c>
      <c r="D223" s="150">
        <f>_xll.qlRateHelperQuoteValue($B223,Trigger)</f>
        <v>1.091E-2</v>
      </c>
      <c r="E223" s="150">
        <f>_xll.qlSwapRateHelperSpread($B223,Trigger)</f>
        <v>0</v>
      </c>
      <c r="F223" s="151" t="b">
        <v>0</v>
      </c>
      <c r="G223" s="151">
        <v>50</v>
      </c>
      <c r="H223" s="151">
        <v>1</v>
      </c>
      <c r="I223" s="156">
        <f>_xll.qlRateHelperEarliestDate($B223,Trigger)</f>
        <v>45376</v>
      </c>
      <c r="J223" s="157">
        <f>_xll.qlRateHelperLatestDate($B223,Trigger)</f>
        <v>50124</v>
      </c>
      <c r="L223" s="155"/>
    </row>
    <row r="224" spans="2:12" x14ac:dyDescent="0.2">
      <c r="B224" s="266" t="str">
        <f>ForwardSwaps!J163</f>
        <v>obj_0084c#0001</v>
      </c>
      <c r="C224" s="149" t="str">
        <f>_xll.qlRateHelperQuoteName(B224)</f>
        <v>EUR9F14Y_Quote</v>
      </c>
      <c r="D224" s="150">
        <f>_xll.qlRateHelperQuoteValue($B224,Trigger)</f>
        <v>1.0880000000000001E-2</v>
      </c>
      <c r="E224" s="150">
        <f>_xll.qlSwapRateHelperSpread($B224,Trigger)</f>
        <v>0</v>
      </c>
      <c r="F224" s="151" t="b">
        <v>0</v>
      </c>
      <c r="G224" s="151">
        <v>50</v>
      </c>
      <c r="H224" s="151">
        <v>1</v>
      </c>
      <c r="I224" s="156">
        <f>_xll.qlRateHelperEarliestDate($B224,Trigger)</f>
        <v>45376</v>
      </c>
      <c r="J224" s="157">
        <f>_xll.qlRateHelperLatestDate($B224,Trigger)</f>
        <v>50489</v>
      </c>
      <c r="L224" s="155"/>
    </row>
    <row r="225" spans="2:12" x14ac:dyDescent="0.2">
      <c r="B225" s="266" t="str">
        <f>ForwardSwaps!J164</f>
        <v>obj_007be#0001</v>
      </c>
      <c r="C225" s="149" t="str">
        <f>_xll.qlRateHelperQuoteName(B225)</f>
        <v>EUR9F15Y_Quote</v>
      </c>
      <c r="D225" s="150">
        <f>_xll.qlRateHelperQuoteValue($B225,Trigger)</f>
        <v>1.0860000000000002E-2</v>
      </c>
      <c r="E225" s="150">
        <f>_xll.qlSwapRateHelperSpread($B225,Trigger)</f>
        <v>0</v>
      </c>
      <c r="F225" s="151" t="b">
        <v>0</v>
      </c>
      <c r="G225" s="151">
        <v>50</v>
      </c>
      <c r="H225" s="151">
        <v>1</v>
      </c>
      <c r="I225" s="156">
        <f>_xll.qlRateHelperEarliestDate($B225,Trigger)</f>
        <v>45376</v>
      </c>
      <c r="J225" s="157">
        <f>_xll.qlRateHelperLatestDate($B225,Trigger)</f>
        <v>50854</v>
      </c>
      <c r="L225" s="155"/>
    </row>
    <row r="226" spans="2:12" x14ac:dyDescent="0.2">
      <c r="B226" s="266" t="str">
        <f>ForwardSwaps!J165</f>
        <v>obj_0080e#0001</v>
      </c>
      <c r="C226" s="149" t="str">
        <f>_xll.qlRateHelperQuoteName(B226)</f>
        <v>EUR9F20Y_Quote</v>
      </c>
      <c r="D226" s="150">
        <f>_xll.qlRateHelperQuoteValue($B226,Trigger)</f>
        <v>1.0789999999999999E-2</v>
      </c>
      <c r="E226" s="150">
        <f>_xll.qlSwapRateHelperSpread($B226,Trigger)</f>
        <v>0</v>
      </c>
      <c r="F226" s="151" t="b">
        <v>0</v>
      </c>
      <c r="G226" s="151">
        <v>50</v>
      </c>
      <c r="H226" s="151">
        <v>1</v>
      </c>
      <c r="I226" s="156">
        <f>_xll.qlRateHelperEarliestDate($B226,Trigger)</f>
        <v>45376</v>
      </c>
      <c r="J226" s="157">
        <f>_xll.qlRateHelperLatestDate($B226,Trigger)</f>
        <v>52681</v>
      </c>
      <c r="L226" s="155"/>
    </row>
    <row r="227" spans="2:12" x14ac:dyDescent="0.2">
      <c r="B227" s="266" t="str">
        <f>ForwardSwaps!J166</f>
        <v>obj_00870#0001</v>
      </c>
      <c r="C227" s="149" t="str">
        <f>_xll.qlRateHelperQuoteName(B227)</f>
        <v>EUR9F25Y_Quote</v>
      </c>
      <c r="D227" s="150">
        <f>_xll.qlRateHelperQuoteValue($B227,Trigger)</f>
        <v>1.0709999999999999E-2</v>
      </c>
      <c r="E227" s="150">
        <f>_xll.qlSwapRateHelperSpread($B227,Trigger)</f>
        <v>0</v>
      </c>
      <c r="F227" s="151" t="b">
        <v>0</v>
      </c>
      <c r="G227" s="151">
        <v>50</v>
      </c>
      <c r="H227" s="151">
        <v>1</v>
      </c>
      <c r="I227" s="156">
        <f>_xll.qlRateHelperEarliestDate($B227,Trigger)</f>
        <v>45376</v>
      </c>
      <c r="J227" s="157">
        <f>_xll.qlRateHelperLatestDate($B227,Trigger)</f>
        <v>54507</v>
      </c>
      <c r="L227" s="155"/>
    </row>
    <row r="228" spans="2:12" x14ac:dyDescent="0.2">
      <c r="B228" s="267" t="str">
        <f>ForwardSwaps!J167</f>
        <v>obj_00867#0001</v>
      </c>
      <c r="C228" s="152" t="str">
        <f>_xll.qlRateHelperQuoteName(B228)</f>
        <v>EUR9F30Y_Quote</v>
      </c>
      <c r="D228" s="153">
        <f>_xll.qlRateHelperQuoteValue($B228,Trigger)</f>
        <v>1.0589999999999999E-2</v>
      </c>
      <c r="E228" s="153">
        <f>_xll.qlSwapRateHelperSpread($B228,Trigger)</f>
        <v>0</v>
      </c>
      <c r="F228" s="154" t="b">
        <v>0</v>
      </c>
      <c r="G228" s="154">
        <v>50</v>
      </c>
      <c r="H228" s="154">
        <v>1</v>
      </c>
      <c r="I228" s="158">
        <f>_xll.qlRateHelperEarliestDate($B228,Trigger)</f>
        <v>45376</v>
      </c>
      <c r="J228" s="159">
        <f>_xll.qlRateHelperLatestDate($B228,Trigger)</f>
        <v>56333</v>
      </c>
      <c r="L228" s="155"/>
    </row>
    <row r="229" spans="2:12" x14ac:dyDescent="0.2">
      <c r="B229" s="268" t="str">
        <f>ForwardSwaps!J168</f>
        <v>obj_0086d#0001</v>
      </c>
      <c r="C229" s="251" t="str">
        <f>_xll.qlRateHelperQuoteName(B229)</f>
        <v>EUR10F1Y_Quote</v>
      </c>
      <c r="D229" s="269">
        <f>_xll.qlRateHelperQuoteValue($B229,Trigger)</f>
        <v>1.072E-2</v>
      </c>
      <c r="E229" s="269">
        <f>_xll.qlSwapRateHelperSpread($B229,Trigger)</f>
        <v>0</v>
      </c>
      <c r="F229" s="270" t="b">
        <v>0</v>
      </c>
      <c r="G229" s="270">
        <v>50</v>
      </c>
      <c r="H229" s="270">
        <v>1</v>
      </c>
      <c r="I229" s="271">
        <f>_xll.qlRateHelperEarliestDate($B229,Trigger)</f>
        <v>45740</v>
      </c>
      <c r="J229" s="272">
        <f>_xll.qlRateHelperLatestDate($B229,Trigger)</f>
        <v>46105</v>
      </c>
      <c r="L229" s="155"/>
    </row>
    <row r="230" spans="2:12" x14ac:dyDescent="0.2">
      <c r="B230" s="266" t="str">
        <f>ForwardSwaps!J169</f>
        <v>obj_00828#0001</v>
      </c>
      <c r="C230" s="149" t="str">
        <f>_xll.qlRateHelperQuoteName(B230)</f>
        <v>EUR10F2Y_Quote</v>
      </c>
      <c r="D230" s="150">
        <f>_xll.qlRateHelperQuoteValue($B230,Trigger)</f>
        <v>1.09E-2</v>
      </c>
      <c r="E230" s="150">
        <f>_xll.qlSwapRateHelperSpread($B230,Trigger)</f>
        <v>0</v>
      </c>
      <c r="F230" s="151" t="b">
        <v>0</v>
      </c>
      <c r="G230" s="151">
        <v>50</v>
      </c>
      <c r="H230" s="151">
        <v>1</v>
      </c>
      <c r="I230" s="156">
        <f>_xll.qlRateHelperEarliestDate($B230,Trigger)</f>
        <v>45740</v>
      </c>
      <c r="J230" s="157">
        <f>_xll.qlRateHelperLatestDate($B230,Trigger)</f>
        <v>46470</v>
      </c>
      <c r="L230" s="155"/>
    </row>
    <row r="231" spans="2:12" x14ac:dyDescent="0.2">
      <c r="B231" s="266" t="str">
        <f>ForwardSwaps!J170</f>
        <v>obj_00842#0001</v>
      </c>
      <c r="C231" s="149" t="str">
        <f>_xll.qlRateHelperQuoteName(B231)</f>
        <v>EUR10F3Y_Quote</v>
      </c>
      <c r="D231" s="150">
        <f>_xll.qlRateHelperQuoteValue($B231,Trigger)</f>
        <v>1.106E-2</v>
      </c>
      <c r="E231" s="150">
        <f>_xll.qlSwapRateHelperSpread($B231,Trigger)</f>
        <v>0</v>
      </c>
      <c r="F231" s="151" t="b">
        <v>0</v>
      </c>
      <c r="G231" s="151">
        <v>50</v>
      </c>
      <c r="H231" s="151">
        <v>1</v>
      </c>
      <c r="I231" s="156">
        <f>_xll.qlRateHelperEarliestDate($B231,Trigger)</f>
        <v>45740</v>
      </c>
      <c r="J231" s="157">
        <f>_xll.qlRateHelperLatestDate($B231,Trigger)</f>
        <v>46836</v>
      </c>
      <c r="L231" s="155"/>
    </row>
    <row r="232" spans="2:12" x14ac:dyDescent="0.2">
      <c r="B232" s="266" t="str">
        <f>ForwardSwaps!J171</f>
        <v>obj_00819#0001</v>
      </c>
      <c r="C232" s="149" t="str">
        <f>_xll.qlRateHelperQuoteName(B232)</f>
        <v>EUR10F4Y_Quote</v>
      </c>
      <c r="D232" s="150">
        <f>_xll.qlRateHelperQuoteValue($B232,Trigger)</f>
        <v>1.1080000000000001E-2</v>
      </c>
      <c r="E232" s="150">
        <f>_xll.qlSwapRateHelperSpread($B232,Trigger)</f>
        <v>0</v>
      </c>
      <c r="F232" s="151" t="b">
        <v>0</v>
      </c>
      <c r="G232" s="151">
        <v>50</v>
      </c>
      <c r="H232" s="151">
        <v>1</v>
      </c>
      <c r="I232" s="156">
        <f>_xll.qlRateHelperEarliestDate($B232,Trigger)</f>
        <v>45740</v>
      </c>
      <c r="J232" s="157">
        <f>_xll.qlRateHelperLatestDate($B232,Trigger)</f>
        <v>47203</v>
      </c>
      <c r="L232" s="155"/>
    </row>
    <row r="233" spans="2:12" x14ac:dyDescent="0.2">
      <c r="B233" s="266" t="str">
        <f>ForwardSwaps!J172</f>
        <v>obj_0078a#0001</v>
      </c>
      <c r="C233" s="149" t="str">
        <f>_xll.qlRateHelperQuoteName(B233)</f>
        <v>EUR10F5Y_Quote</v>
      </c>
      <c r="D233" s="150">
        <f>_xll.qlRateHelperQuoteValue($B233,Trigger)</f>
        <v>1.11E-2</v>
      </c>
      <c r="E233" s="150">
        <f>_xll.qlSwapRateHelperSpread($B233,Trigger)</f>
        <v>0</v>
      </c>
      <c r="F233" s="151" t="b">
        <v>0</v>
      </c>
      <c r="G233" s="151">
        <v>50</v>
      </c>
      <c r="H233" s="151">
        <v>1</v>
      </c>
      <c r="I233" s="156">
        <f>_xll.qlRateHelperEarliestDate($B233,Trigger)</f>
        <v>45740</v>
      </c>
      <c r="J233" s="157">
        <f>_xll.qlRateHelperLatestDate($B233,Trigger)</f>
        <v>47567</v>
      </c>
      <c r="L233" s="155"/>
    </row>
    <row r="234" spans="2:12" x14ac:dyDescent="0.2">
      <c r="B234" s="266" t="str">
        <f>ForwardSwaps!J173</f>
        <v>obj_00855#0001</v>
      </c>
      <c r="C234" s="149" t="str">
        <f>_xll.qlRateHelperQuoteName(B234)</f>
        <v>EUR10F6Y_Quote</v>
      </c>
      <c r="D234" s="150">
        <f>_xll.qlRateHelperQuoteValue($B234,Trigger)</f>
        <v>1.1089999999999999E-2</v>
      </c>
      <c r="E234" s="150">
        <f>_xll.qlSwapRateHelperSpread($B234,Trigger)</f>
        <v>0</v>
      </c>
      <c r="F234" s="151" t="b">
        <v>0</v>
      </c>
      <c r="G234" s="151">
        <v>50</v>
      </c>
      <c r="H234" s="151">
        <v>1</v>
      </c>
      <c r="I234" s="156">
        <f>_xll.qlRateHelperEarliestDate($B234,Trigger)</f>
        <v>45740</v>
      </c>
      <c r="J234" s="157">
        <f>_xll.qlRateHelperLatestDate($B234,Trigger)</f>
        <v>47931</v>
      </c>
      <c r="L234" s="155"/>
    </row>
    <row r="235" spans="2:12" x14ac:dyDescent="0.2">
      <c r="B235" s="266" t="str">
        <f>ForwardSwaps!J174</f>
        <v>obj_00747#0001</v>
      </c>
      <c r="C235" s="149" t="str">
        <f>_xll.qlRateHelperQuoteName(B235)</f>
        <v>EUR10F7Y_Quote</v>
      </c>
      <c r="D235" s="150">
        <f>_xll.qlRateHelperQuoteValue($B235,Trigger)</f>
        <v>1.1129999999999999E-2</v>
      </c>
      <c r="E235" s="150">
        <f>_xll.qlSwapRateHelperSpread($B235,Trigger)</f>
        <v>0</v>
      </c>
      <c r="F235" s="151" t="b">
        <v>0</v>
      </c>
      <c r="G235" s="151">
        <v>50</v>
      </c>
      <c r="H235" s="151">
        <v>1</v>
      </c>
      <c r="I235" s="156">
        <f>_xll.qlRateHelperEarliestDate($B235,Trigger)</f>
        <v>45740</v>
      </c>
      <c r="J235" s="157">
        <f>_xll.qlRateHelperLatestDate($B235,Trigger)</f>
        <v>48297</v>
      </c>
      <c r="L235" s="155"/>
    </row>
    <row r="236" spans="2:12" x14ac:dyDescent="0.2">
      <c r="B236" s="266" t="str">
        <f>ForwardSwaps!J175</f>
        <v>obj_0087d#0001</v>
      </c>
      <c r="C236" s="149" t="str">
        <f>_xll.qlRateHelperQuoteName(B236)</f>
        <v>EUR10F8Y_Quote</v>
      </c>
      <c r="D236" s="150">
        <f>_xll.qlRateHelperQuoteValue($B236,Trigger)</f>
        <v>1.1089999999999999E-2</v>
      </c>
      <c r="E236" s="150">
        <f>_xll.qlSwapRateHelperSpread($B236,Trigger)</f>
        <v>0</v>
      </c>
      <c r="F236" s="151" t="b">
        <v>0</v>
      </c>
      <c r="G236" s="151">
        <v>50</v>
      </c>
      <c r="H236" s="151">
        <v>1</v>
      </c>
      <c r="I236" s="156">
        <f>_xll.qlRateHelperEarliestDate($B236,Trigger)</f>
        <v>45740</v>
      </c>
      <c r="J236" s="157">
        <f>_xll.qlRateHelperLatestDate($B236,Trigger)</f>
        <v>48662</v>
      </c>
      <c r="L236" s="155"/>
    </row>
    <row r="237" spans="2:12" x14ac:dyDescent="0.2">
      <c r="B237" s="266" t="str">
        <f>ForwardSwaps!J176</f>
        <v>obj_007e1#0001</v>
      </c>
      <c r="C237" s="149" t="str">
        <f>_xll.qlRateHelperQuoteName(B237)</f>
        <v>EUR10F9Y_Quote</v>
      </c>
      <c r="D237" s="150">
        <f>_xll.qlRateHelperQuoteValue($B237,Trigger)</f>
        <v>1.1080000000000001E-2</v>
      </c>
      <c r="E237" s="150">
        <f>_xll.qlSwapRateHelperSpread($B237,Trigger)</f>
        <v>0</v>
      </c>
      <c r="F237" s="151" t="b">
        <v>0</v>
      </c>
      <c r="G237" s="151">
        <v>50</v>
      </c>
      <c r="H237" s="151">
        <v>1</v>
      </c>
      <c r="I237" s="156">
        <f>_xll.qlRateHelperEarliestDate($B237,Trigger)</f>
        <v>45740</v>
      </c>
      <c r="J237" s="157">
        <f>_xll.qlRateHelperLatestDate($B237,Trigger)</f>
        <v>49027</v>
      </c>
      <c r="L237" s="155"/>
    </row>
    <row r="238" spans="2:12" x14ac:dyDescent="0.2">
      <c r="B238" s="266" t="str">
        <f>ForwardSwaps!J177</f>
        <v>obj_0085f#0001</v>
      </c>
      <c r="C238" s="149" t="str">
        <f>_xll.qlRateHelperQuoteName(B238)</f>
        <v>EUR10F10Y_Quote</v>
      </c>
      <c r="D238" s="150">
        <f>_xll.qlRateHelperQuoteValue($B238,Trigger)</f>
        <v>1.1040000000000001E-2</v>
      </c>
      <c r="E238" s="150">
        <f>_xll.qlSwapRateHelperSpread($B238,Trigger)</f>
        <v>0</v>
      </c>
      <c r="F238" s="151" t="b">
        <v>0</v>
      </c>
      <c r="G238" s="151">
        <v>50</v>
      </c>
      <c r="H238" s="151">
        <v>1</v>
      </c>
      <c r="I238" s="156">
        <f>_xll.qlRateHelperEarliestDate($B238,Trigger)</f>
        <v>45740</v>
      </c>
      <c r="J238" s="157">
        <f>_xll.qlRateHelperLatestDate($B238,Trigger)</f>
        <v>49395</v>
      </c>
      <c r="L238" s="155"/>
    </row>
    <row r="239" spans="2:12" x14ac:dyDescent="0.2">
      <c r="B239" s="266" t="str">
        <f>ForwardSwaps!J178</f>
        <v>obj_00763#0001</v>
      </c>
      <c r="C239" s="149" t="str">
        <f>_xll.qlRateHelperQuoteName(B239)</f>
        <v>EUR10F11Y_Quote</v>
      </c>
      <c r="D239" s="150">
        <f>_xll.qlRateHelperQuoteValue($B239,Trigger)</f>
        <v>1.1009999999999999E-2</v>
      </c>
      <c r="E239" s="150">
        <f>_xll.qlSwapRateHelperSpread($B239,Trigger)</f>
        <v>0</v>
      </c>
      <c r="F239" s="151" t="b">
        <v>0</v>
      </c>
      <c r="G239" s="151">
        <v>50</v>
      </c>
      <c r="H239" s="151">
        <v>1</v>
      </c>
      <c r="I239" s="156">
        <f>_xll.qlRateHelperEarliestDate($B239,Trigger)</f>
        <v>45740</v>
      </c>
      <c r="J239" s="157">
        <f>_xll.qlRateHelperLatestDate($B239,Trigger)</f>
        <v>49758</v>
      </c>
      <c r="L239" s="155"/>
    </row>
    <row r="240" spans="2:12" x14ac:dyDescent="0.2">
      <c r="B240" s="266" t="str">
        <f>ForwardSwaps!J179</f>
        <v>obj_0077b#0001</v>
      </c>
      <c r="C240" s="149" t="str">
        <f>_xll.qlRateHelperQuoteName(B240)</f>
        <v>EUR10F12Y_Quote</v>
      </c>
      <c r="D240" s="150">
        <f>_xll.qlRateHelperQuoteValue($B240,Trigger)</f>
        <v>1.0970000000000001E-2</v>
      </c>
      <c r="E240" s="150">
        <f>_xll.qlSwapRateHelperSpread($B240,Trigger)</f>
        <v>0</v>
      </c>
      <c r="F240" s="151" t="b">
        <v>0</v>
      </c>
      <c r="G240" s="151">
        <v>50</v>
      </c>
      <c r="H240" s="151">
        <v>1</v>
      </c>
      <c r="I240" s="156">
        <f>_xll.qlRateHelperEarliestDate($B240,Trigger)</f>
        <v>45740</v>
      </c>
      <c r="J240" s="157">
        <f>_xll.qlRateHelperLatestDate($B240,Trigger)</f>
        <v>50123</v>
      </c>
      <c r="L240" s="155"/>
    </row>
    <row r="241" spans="2:12" x14ac:dyDescent="0.2">
      <c r="B241" s="266" t="str">
        <f>ForwardSwaps!J180</f>
        <v>obj_00812#0001</v>
      </c>
      <c r="C241" s="149" t="str">
        <f>_xll.qlRateHelperQuoteName(B241)</f>
        <v>EUR10F13Y_Quote</v>
      </c>
      <c r="D241" s="150">
        <f>_xll.qlRateHelperQuoteValue($B241,Trigger)</f>
        <v>1.093E-2</v>
      </c>
      <c r="E241" s="150">
        <f>_xll.qlSwapRateHelperSpread($B241,Trigger)</f>
        <v>0</v>
      </c>
      <c r="F241" s="151" t="b">
        <v>0</v>
      </c>
      <c r="G241" s="151">
        <v>50</v>
      </c>
      <c r="H241" s="151">
        <v>1</v>
      </c>
      <c r="I241" s="156">
        <f>_xll.qlRateHelperEarliestDate($B241,Trigger)</f>
        <v>45740</v>
      </c>
      <c r="J241" s="157">
        <f>_xll.qlRateHelperLatestDate($B241,Trigger)</f>
        <v>50488</v>
      </c>
      <c r="L241" s="155"/>
    </row>
    <row r="242" spans="2:12" x14ac:dyDescent="0.2">
      <c r="B242" s="266" t="str">
        <f>ForwardSwaps!J181</f>
        <v>obj_007bf#0001</v>
      </c>
      <c r="C242" s="149" t="str">
        <f>_xll.qlRateHelperQuoteName(B242)</f>
        <v>EUR10F14Y_Quote</v>
      </c>
      <c r="D242" s="150">
        <f>_xll.qlRateHelperQuoteValue($B242,Trigger)</f>
        <v>1.091E-2</v>
      </c>
      <c r="E242" s="150">
        <f>_xll.qlSwapRateHelperSpread($B242,Trigger)</f>
        <v>0</v>
      </c>
      <c r="F242" s="151" t="b">
        <v>0</v>
      </c>
      <c r="G242" s="151">
        <v>50</v>
      </c>
      <c r="H242" s="151">
        <v>1</v>
      </c>
      <c r="I242" s="156">
        <f>_xll.qlRateHelperEarliestDate($B242,Trigger)</f>
        <v>45740</v>
      </c>
      <c r="J242" s="157">
        <f>_xll.qlRateHelperLatestDate($B242,Trigger)</f>
        <v>50853</v>
      </c>
      <c r="L242" s="155"/>
    </row>
    <row r="243" spans="2:12" x14ac:dyDescent="0.2">
      <c r="B243" s="266" t="str">
        <f>ForwardSwaps!J182</f>
        <v>obj_00875#0001</v>
      </c>
      <c r="C243" s="149" t="str">
        <f>_xll.qlRateHelperQuoteName(B243)</f>
        <v>EUR10F15Y_Quote</v>
      </c>
      <c r="D243" s="150">
        <f>_xll.qlRateHelperQuoteValue($B243,Trigger)</f>
        <v>1.0880000000000001E-2</v>
      </c>
      <c r="E243" s="150">
        <f>_xll.qlSwapRateHelperSpread($B243,Trigger)</f>
        <v>0</v>
      </c>
      <c r="F243" s="151" t="b">
        <v>0</v>
      </c>
      <c r="G243" s="151">
        <v>50</v>
      </c>
      <c r="H243" s="151">
        <v>1</v>
      </c>
      <c r="I243" s="156">
        <f>_xll.qlRateHelperEarliestDate($B243,Trigger)</f>
        <v>45740</v>
      </c>
      <c r="J243" s="157">
        <f>_xll.qlRateHelperLatestDate($B243,Trigger)</f>
        <v>51221</v>
      </c>
      <c r="L243" s="155"/>
    </row>
    <row r="244" spans="2:12" x14ac:dyDescent="0.2">
      <c r="B244" s="266" t="str">
        <f>ForwardSwaps!J183</f>
        <v>obj_00766#0001</v>
      </c>
      <c r="C244" s="149" t="str">
        <f>_xll.qlRateHelperQuoteName(B244)</f>
        <v>EUR10F20Y_Quote</v>
      </c>
      <c r="D244" s="150">
        <f>_xll.qlRateHelperQuoteValue($B244,Trigger)</f>
        <v>1.081E-2</v>
      </c>
      <c r="E244" s="150">
        <f>_xll.qlSwapRateHelperSpread($B244,Trigger)</f>
        <v>0</v>
      </c>
      <c r="F244" s="151" t="b">
        <v>0</v>
      </c>
      <c r="G244" s="151">
        <v>50</v>
      </c>
      <c r="H244" s="151">
        <v>1</v>
      </c>
      <c r="I244" s="156">
        <f>_xll.qlRateHelperEarliestDate($B244,Trigger)</f>
        <v>45740</v>
      </c>
      <c r="J244" s="157">
        <f>_xll.qlRateHelperLatestDate($B244,Trigger)</f>
        <v>53045</v>
      </c>
      <c r="L244" s="155"/>
    </row>
    <row r="245" spans="2:12" x14ac:dyDescent="0.2">
      <c r="B245" s="266" t="str">
        <f>ForwardSwaps!J184</f>
        <v>obj_00808#0001</v>
      </c>
      <c r="C245" s="149" t="str">
        <f>_xll.qlRateHelperQuoteName(B245)</f>
        <v>EUR10F25Y_Quote</v>
      </c>
      <c r="D245" s="150">
        <f>_xll.qlRateHelperQuoteValue($B245,Trigger)</f>
        <v>1.0709999999999999E-2</v>
      </c>
      <c r="E245" s="150">
        <f>_xll.qlSwapRateHelperSpread($B245,Trigger)</f>
        <v>0</v>
      </c>
      <c r="F245" s="151" t="b">
        <v>0</v>
      </c>
      <c r="G245" s="151">
        <v>50</v>
      </c>
      <c r="H245" s="151">
        <v>1</v>
      </c>
      <c r="I245" s="156">
        <f>_xll.qlRateHelperEarliestDate($B245,Trigger)</f>
        <v>45740</v>
      </c>
      <c r="J245" s="157">
        <f>_xll.qlRateHelperLatestDate($B245,Trigger)</f>
        <v>54871</v>
      </c>
      <c r="L245" s="155"/>
    </row>
    <row r="246" spans="2:12" x14ac:dyDescent="0.2">
      <c r="B246" s="267" t="str">
        <f>ForwardSwaps!J185</f>
        <v>obj_0080d#0001</v>
      </c>
      <c r="C246" s="152" t="str">
        <f>_xll.qlRateHelperQuoteName(B246)</f>
        <v>EUR10F30Y_Quote</v>
      </c>
      <c r="D246" s="153">
        <f>_xll.qlRateHelperQuoteValue($B246,Trigger)</f>
        <v>1.0549999999999999E-2</v>
      </c>
      <c r="E246" s="153">
        <f>_xll.qlSwapRateHelperSpread($B246,Trigger)</f>
        <v>0</v>
      </c>
      <c r="F246" s="154" t="b">
        <v>0</v>
      </c>
      <c r="G246" s="154">
        <v>50</v>
      </c>
      <c r="H246" s="154">
        <v>1</v>
      </c>
      <c r="I246" s="158">
        <f>_xll.qlRateHelperEarliestDate($B246,Trigger)</f>
        <v>45740</v>
      </c>
      <c r="J246" s="159">
        <f>_xll.qlRateHelperLatestDate($B246,Trigger)</f>
        <v>56697</v>
      </c>
      <c r="L246" s="155"/>
    </row>
    <row r="247" spans="2:12" x14ac:dyDescent="0.2">
      <c r="B247" s="268" t="str">
        <f>ForwardSwaps!J186</f>
        <v>obj_00879#0001</v>
      </c>
      <c r="C247" s="251" t="str">
        <f>_xll.qlRateHelperQuoteName(B247)</f>
        <v>EUR11F1Y_Quote</v>
      </c>
      <c r="D247" s="269">
        <f>_xll.qlRateHelperQuoteValue($B247,Trigger)</f>
        <v>1.107E-2</v>
      </c>
      <c r="E247" s="269">
        <f>_xll.qlSwapRateHelperSpread($B247,Trigger)</f>
        <v>0</v>
      </c>
      <c r="F247" s="270" t="b">
        <v>0</v>
      </c>
      <c r="G247" s="270">
        <v>50</v>
      </c>
      <c r="H247" s="270">
        <v>1</v>
      </c>
      <c r="I247" s="271">
        <f>_xll.qlRateHelperEarliestDate($B247,Trigger)</f>
        <v>46105</v>
      </c>
      <c r="J247" s="272">
        <f>_xll.qlRateHelperLatestDate($B247,Trigger)</f>
        <v>46470</v>
      </c>
      <c r="L247" s="155"/>
    </row>
    <row r="248" spans="2:12" x14ac:dyDescent="0.2">
      <c r="B248" s="266" t="str">
        <f>ForwardSwaps!J187</f>
        <v>obj_007af#0001</v>
      </c>
      <c r="C248" s="149" t="str">
        <f>_xll.qlRateHelperQuoteName(B248)</f>
        <v>EUR11F2Y_Quote</v>
      </c>
      <c r="D248" s="150">
        <f>_xll.qlRateHelperQuoteValue($B248,Trigger)</f>
        <v>1.123E-2</v>
      </c>
      <c r="E248" s="150">
        <f>_xll.qlSwapRateHelperSpread($B248,Trigger)</f>
        <v>0</v>
      </c>
      <c r="F248" s="151" t="b">
        <v>0</v>
      </c>
      <c r="G248" s="151">
        <v>50</v>
      </c>
      <c r="H248" s="151">
        <v>1</v>
      </c>
      <c r="I248" s="156">
        <f>_xll.qlRateHelperEarliestDate($B248,Trigger)</f>
        <v>46105</v>
      </c>
      <c r="J248" s="157">
        <f>_xll.qlRateHelperLatestDate($B248,Trigger)</f>
        <v>46836</v>
      </c>
      <c r="L248" s="155"/>
    </row>
    <row r="249" spans="2:12" x14ac:dyDescent="0.2">
      <c r="B249" s="266" t="str">
        <f>ForwardSwaps!J188</f>
        <v>obj_0085e#0001</v>
      </c>
      <c r="C249" s="149" t="str">
        <f>_xll.qlRateHelperQuoteName(B249)</f>
        <v>EUR11F3Y_Quote</v>
      </c>
      <c r="D249" s="150">
        <f>_xll.qlRateHelperQuoteValue($B249,Trigger)</f>
        <v>1.1200000000000002E-2</v>
      </c>
      <c r="E249" s="150">
        <f>_xll.qlSwapRateHelperSpread($B249,Trigger)</f>
        <v>0</v>
      </c>
      <c r="F249" s="151" t="b">
        <v>0</v>
      </c>
      <c r="G249" s="151">
        <v>50</v>
      </c>
      <c r="H249" s="151">
        <v>1</v>
      </c>
      <c r="I249" s="156">
        <f>_xll.qlRateHelperEarliestDate($B249,Trigger)</f>
        <v>46105</v>
      </c>
      <c r="J249" s="157">
        <f>_xll.qlRateHelperLatestDate($B249,Trigger)</f>
        <v>47203</v>
      </c>
      <c r="L249" s="155"/>
    </row>
    <row r="250" spans="2:12" x14ac:dyDescent="0.2">
      <c r="B250" s="266" t="str">
        <f>ForwardSwaps!J189</f>
        <v>obj_0081c#0001</v>
      </c>
      <c r="C250" s="149" t="str">
        <f>_xll.qlRateHelperQuoteName(B250)</f>
        <v>EUR11F4Y_Quote</v>
      </c>
      <c r="D250" s="150">
        <f>_xll.qlRateHelperQuoteValue($B250,Trigger)</f>
        <v>1.1200000000000002E-2</v>
      </c>
      <c r="E250" s="150">
        <f>_xll.qlSwapRateHelperSpread($B250,Trigger)</f>
        <v>0</v>
      </c>
      <c r="F250" s="151" t="b">
        <v>0</v>
      </c>
      <c r="G250" s="151">
        <v>50</v>
      </c>
      <c r="H250" s="151">
        <v>1</v>
      </c>
      <c r="I250" s="156">
        <f>_xll.qlRateHelperEarliestDate($B250,Trigger)</f>
        <v>46105</v>
      </c>
      <c r="J250" s="157">
        <f>_xll.qlRateHelperLatestDate($B250,Trigger)</f>
        <v>47567</v>
      </c>
      <c r="L250" s="155"/>
    </row>
    <row r="251" spans="2:12" x14ac:dyDescent="0.2">
      <c r="B251" s="266" t="str">
        <f>ForwardSwaps!J190</f>
        <v>obj_00785#0001</v>
      </c>
      <c r="C251" s="149" t="str">
        <f>_xll.qlRateHelperQuoteName(B251)</f>
        <v>EUR11F5Y_Quote</v>
      </c>
      <c r="D251" s="150">
        <f>_xll.qlRateHelperQuoteValue($B251,Trigger)</f>
        <v>1.1169999999999999E-2</v>
      </c>
      <c r="E251" s="150">
        <f>_xll.qlSwapRateHelperSpread($B251,Trigger)</f>
        <v>0</v>
      </c>
      <c r="F251" s="151" t="b">
        <v>0</v>
      </c>
      <c r="G251" s="151">
        <v>50</v>
      </c>
      <c r="H251" s="151">
        <v>1</v>
      </c>
      <c r="I251" s="156">
        <f>_xll.qlRateHelperEarliestDate($B251,Trigger)</f>
        <v>46105</v>
      </c>
      <c r="J251" s="157">
        <f>_xll.qlRateHelperLatestDate($B251,Trigger)</f>
        <v>47931</v>
      </c>
      <c r="L251" s="155"/>
    </row>
    <row r="252" spans="2:12" x14ac:dyDescent="0.2">
      <c r="B252" s="266" t="str">
        <f>ForwardSwaps!J191</f>
        <v>obj_00832#0001</v>
      </c>
      <c r="C252" s="149" t="str">
        <f>_xll.qlRateHelperQuoteName(B252)</f>
        <v>EUR11F6Y_Quote</v>
      </c>
      <c r="D252" s="150">
        <f>_xll.qlRateHelperQuoteValue($B252,Trigger)</f>
        <v>1.1200000000000002E-2</v>
      </c>
      <c r="E252" s="150">
        <f>_xll.qlSwapRateHelperSpread($B252,Trigger)</f>
        <v>0</v>
      </c>
      <c r="F252" s="151" t="b">
        <v>0</v>
      </c>
      <c r="G252" s="151">
        <v>50</v>
      </c>
      <c r="H252" s="151">
        <v>1</v>
      </c>
      <c r="I252" s="156">
        <f>_xll.qlRateHelperEarliestDate($B252,Trigger)</f>
        <v>46105</v>
      </c>
      <c r="J252" s="157">
        <f>_xll.qlRateHelperLatestDate($B252,Trigger)</f>
        <v>48297</v>
      </c>
      <c r="L252" s="155"/>
    </row>
    <row r="253" spans="2:12" x14ac:dyDescent="0.2">
      <c r="B253" s="266" t="str">
        <f>ForwardSwaps!J192</f>
        <v>obj_0086c#0001</v>
      </c>
      <c r="C253" s="149" t="str">
        <f>_xll.qlRateHelperQuoteName(B253)</f>
        <v>EUR11F7Y_Quote</v>
      </c>
      <c r="D253" s="150">
        <f>_xll.qlRateHelperQuoteValue($B253,Trigger)</f>
        <v>1.115E-2</v>
      </c>
      <c r="E253" s="150">
        <f>_xll.qlSwapRateHelperSpread($B253,Trigger)</f>
        <v>0</v>
      </c>
      <c r="F253" s="151" t="b">
        <v>0</v>
      </c>
      <c r="G253" s="151">
        <v>50</v>
      </c>
      <c r="H253" s="151">
        <v>1</v>
      </c>
      <c r="I253" s="156">
        <f>_xll.qlRateHelperEarliestDate($B253,Trigger)</f>
        <v>46105</v>
      </c>
      <c r="J253" s="157">
        <f>_xll.qlRateHelperLatestDate($B253,Trigger)</f>
        <v>48662</v>
      </c>
      <c r="L253" s="155"/>
    </row>
    <row r="254" spans="2:12" x14ac:dyDescent="0.2">
      <c r="B254" s="266" t="str">
        <f>ForwardSwaps!J193</f>
        <v>obj_00761#0001</v>
      </c>
      <c r="C254" s="149" t="str">
        <f>_xll.qlRateHelperQuoteName(B254)</f>
        <v>EUR11F8Y_Quote</v>
      </c>
      <c r="D254" s="150">
        <f>_xll.qlRateHelperQuoteValue($B254,Trigger)</f>
        <v>1.1129999999999999E-2</v>
      </c>
      <c r="E254" s="150">
        <f>_xll.qlSwapRateHelperSpread($B254,Trigger)</f>
        <v>0</v>
      </c>
      <c r="F254" s="151" t="b">
        <v>0</v>
      </c>
      <c r="G254" s="151">
        <v>50</v>
      </c>
      <c r="H254" s="151">
        <v>1</v>
      </c>
      <c r="I254" s="156">
        <f>_xll.qlRateHelperEarliestDate($B254,Trigger)</f>
        <v>46105</v>
      </c>
      <c r="J254" s="157">
        <f>_xll.qlRateHelperLatestDate($B254,Trigger)</f>
        <v>49027</v>
      </c>
      <c r="L254" s="155"/>
    </row>
    <row r="255" spans="2:12" x14ac:dyDescent="0.2">
      <c r="B255" s="266" t="str">
        <f>ForwardSwaps!J194</f>
        <v>obj_00771#0001</v>
      </c>
      <c r="C255" s="149" t="str">
        <f>_xll.qlRateHelperQuoteName(B255)</f>
        <v>EUR11F9Y_Quote</v>
      </c>
      <c r="D255" s="150">
        <f>_xll.qlRateHelperQuoteValue($B255,Trigger)</f>
        <v>1.1080000000000001E-2</v>
      </c>
      <c r="E255" s="150">
        <f>_xll.qlSwapRateHelperSpread($B255,Trigger)</f>
        <v>0</v>
      </c>
      <c r="F255" s="151" t="b">
        <v>0</v>
      </c>
      <c r="G255" s="151">
        <v>50</v>
      </c>
      <c r="H255" s="151">
        <v>1</v>
      </c>
      <c r="I255" s="156">
        <f>_xll.qlRateHelperEarliestDate($B255,Trigger)</f>
        <v>46105</v>
      </c>
      <c r="J255" s="157">
        <f>_xll.qlRateHelperLatestDate($B255,Trigger)</f>
        <v>49395</v>
      </c>
      <c r="L255" s="155"/>
    </row>
    <row r="256" spans="2:12" x14ac:dyDescent="0.2">
      <c r="B256" s="266" t="str">
        <f>ForwardSwaps!J195</f>
        <v>obj_0083c#0001</v>
      </c>
      <c r="C256" s="149" t="str">
        <f>_xll.qlRateHelperQuoteName(B256)</f>
        <v>EUR11F10Y_Quote</v>
      </c>
      <c r="D256" s="150">
        <f>_xll.qlRateHelperQuoteValue($B256,Trigger)</f>
        <v>1.1040000000000001E-2</v>
      </c>
      <c r="E256" s="150">
        <f>_xll.qlSwapRateHelperSpread($B256,Trigger)</f>
        <v>0</v>
      </c>
      <c r="F256" s="151" t="b">
        <v>0</v>
      </c>
      <c r="G256" s="151">
        <v>50</v>
      </c>
      <c r="H256" s="151">
        <v>1</v>
      </c>
      <c r="I256" s="156">
        <f>_xll.qlRateHelperEarliestDate($B256,Trigger)</f>
        <v>46105</v>
      </c>
      <c r="J256" s="157">
        <f>_xll.qlRateHelperLatestDate($B256,Trigger)</f>
        <v>49758</v>
      </c>
      <c r="L256" s="155"/>
    </row>
    <row r="257" spans="2:12" x14ac:dyDescent="0.2">
      <c r="B257" s="266" t="str">
        <f>ForwardSwaps!J196</f>
        <v>obj_00841#0001</v>
      </c>
      <c r="C257" s="149" t="str">
        <f>_xll.qlRateHelperQuoteName(B257)</f>
        <v>EUR11F11Y_Quote</v>
      </c>
      <c r="D257" s="150">
        <f>_xll.qlRateHelperQuoteValue($B257,Trigger)</f>
        <v>1.099E-2</v>
      </c>
      <c r="E257" s="150">
        <f>_xll.qlSwapRateHelperSpread($B257,Trigger)</f>
        <v>0</v>
      </c>
      <c r="F257" s="151" t="b">
        <v>0</v>
      </c>
      <c r="G257" s="151">
        <v>50</v>
      </c>
      <c r="H257" s="151">
        <v>1</v>
      </c>
      <c r="I257" s="156">
        <f>_xll.qlRateHelperEarliestDate($B257,Trigger)</f>
        <v>46105</v>
      </c>
      <c r="J257" s="157">
        <f>_xll.qlRateHelperLatestDate($B257,Trigger)</f>
        <v>50123</v>
      </c>
      <c r="L257" s="155"/>
    </row>
    <row r="258" spans="2:12" x14ac:dyDescent="0.2">
      <c r="B258" s="266" t="str">
        <f>ForwardSwaps!J197</f>
        <v>obj_0076a#0001</v>
      </c>
      <c r="C258" s="149" t="str">
        <f>_xll.qlRateHelperQuoteName(B258)</f>
        <v>EUR11F12Y_Quote</v>
      </c>
      <c r="D258" s="150">
        <f>_xll.qlRateHelperQuoteValue($B258,Trigger)</f>
        <v>1.095E-2</v>
      </c>
      <c r="E258" s="150">
        <f>_xll.qlSwapRateHelperSpread($B258,Trigger)</f>
        <v>0</v>
      </c>
      <c r="F258" s="151" t="b">
        <v>0</v>
      </c>
      <c r="G258" s="151">
        <v>50</v>
      </c>
      <c r="H258" s="151">
        <v>1</v>
      </c>
      <c r="I258" s="156">
        <f>_xll.qlRateHelperEarliestDate($B258,Trigger)</f>
        <v>46105</v>
      </c>
      <c r="J258" s="157">
        <f>_xll.qlRateHelperLatestDate($B258,Trigger)</f>
        <v>50488</v>
      </c>
      <c r="L258" s="155"/>
    </row>
    <row r="259" spans="2:12" x14ac:dyDescent="0.2">
      <c r="B259" s="266" t="str">
        <f>ForwardSwaps!J198</f>
        <v>obj_00831#0001</v>
      </c>
      <c r="C259" s="149" t="str">
        <f>_xll.qlRateHelperQuoteName(B259)</f>
        <v>EUR11F13Y_Quote</v>
      </c>
      <c r="D259" s="150">
        <f>_xll.qlRateHelperQuoteValue($B259,Trigger)</f>
        <v>1.0920000000000001E-2</v>
      </c>
      <c r="E259" s="150">
        <f>_xll.qlSwapRateHelperSpread($B259,Trigger)</f>
        <v>0</v>
      </c>
      <c r="F259" s="151" t="b">
        <v>0</v>
      </c>
      <c r="G259" s="151">
        <v>50</v>
      </c>
      <c r="H259" s="151">
        <v>1</v>
      </c>
      <c r="I259" s="156">
        <f>_xll.qlRateHelperEarliestDate($B259,Trigger)</f>
        <v>46105</v>
      </c>
      <c r="J259" s="157">
        <f>_xll.qlRateHelperLatestDate($B259,Trigger)</f>
        <v>50853</v>
      </c>
      <c r="L259" s="155"/>
    </row>
    <row r="260" spans="2:12" x14ac:dyDescent="0.2">
      <c r="B260" s="266" t="str">
        <f>ForwardSwaps!J199</f>
        <v>obj_0077f#0001</v>
      </c>
      <c r="C260" s="149" t="str">
        <f>_xll.qlRateHelperQuoteName(B260)</f>
        <v>EUR11F14Y_Quote</v>
      </c>
      <c r="D260" s="150">
        <f>_xll.qlRateHelperQuoteValue($B260,Trigger)</f>
        <v>1.089E-2</v>
      </c>
      <c r="E260" s="150">
        <f>_xll.qlSwapRateHelperSpread($B260,Trigger)</f>
        <v>0</v>
      </c>
      <c r="F260" s="151" t="b">
        <v>0</v>
      </c>
      <c r="G260" s="151">
        <v>50</v>
      </c>
      <c r="H260" s="151">
        <v>1</v>
      </c>
      <c r="I260" s="156">
        <f>_xll.qlRateHelperEarliestDate($B260,Trigger)</f>
        <v>46105</v>
      </c>
      <c r="J260" s="157">
        <f>_xll.qlRateHelperLatestDate($B260,Trigger)</f>
        <v>51221</v>
      </c>
      <c r="L260" s="155"/>
    </row>
    <row r="261" spans="2:12" x14ac:dyDescent="0.2">
      <c r="B261" s="266" t="str">
        <f>ForwardSwaps!J200</f>
        <v>obj_007c2#0001</v>
      </c>
      <c r="C261" s="149" t="str">
        <f>_xll.qlRateHelperQuoteName(B261)</f>
        <v>EUR11F15Y_Quote</v>
      </c>
      <c r="D261" s="150">
        <f>_xll.qlRateHelperQuoteValue($B261,Trigger)</f>
        <v>1.0880000000000001E-2</v>
      </c>
      <c r="E261" s="150">
        <f>_xll.qlSwapRateHelperSpread($B261,Trigger)</f>
        <v>0</v>
      </c>
      <c r="F261" s="151" t="b">
        <v>0</v>
      </c>
      <c r="G261" s="151">
        <v>50</v>
      </c>
      <c r="H261" s="151">
        <v>1</v>
      </c>
      <c r="I261" s="156">
        <f>_xll.qlRateHelperEarliestDate($B261,Trigger)</f>
        <v>46105</v>
      </c>
      <c r="J261" s="157">
        <f>_xll.qlRateHelperLatestDate($B261,Trigger)</f>
        <v>51585</v>
      </c>
      <c r="L261" s="155"/>
    </row>
    <row r="262" spans="2:12" x14ac:dyDescent="0.2">
      <c r="B262" s="266" t="str">
        <f>ForwardSwaps!J201</f>
        <v>obj_007ca#0001</v>
      </c>
      <c r="C262" s="149" t="str">
        <f>_xll.qlRateHelperQuoteName(B262)</f>
        <v>EUR11F20Y_Quote</v>
      </c>
      <c r="D262" s="150">
        <f>_xll.qlRateHelperQuoteValue($B262,Trigger)</f>
        <v>1.0789999999999999E-2</v>
      </c>
      <c r="E262" s="150">
        <f>_xll.qlSwapRateHelperSpread($B262,Trigger)</f>
        <v>0</v>
      </c>
      <c r="F262" s="151" t="b">
        <v>0</v>
      </c>
      <c r="G262" s="151">
        <v>50</v>
      </c>
      <c r="H262" s="151">
        <v>1</v>
      </c>
      <c r="I262" s="156">
        <f>_xll.qlRateHelperEarliestDate($B262,Trigger)</f>
        <v>46105</v>
      </c>
      <c r="J262" s="157">
        <f>_xll.qlRateHelperLatestDate($B262,Trigger)</f>
        <v>53413</v>
      </c>
      <c r="L262" s="155"/>
    </row>
    <row r="263" spans="2:12" x14ac:dyDescent="0.2">
      <c r="B263" s="266" t="str">
        <f>ForwardSwaps!J202</f>
        <v>obj_00874#0001</v>
      </c>
      <c r="C263" s="149" t="str">
        <f>_xll.qlRateHelperQuoteName(B263)</f>
        <v>EUR11F25Y_Quote</v>
      </c>
      <c r="D263" s="150">
        <f>_xll.qlRateHelperQuoteValue($B263,Trigger)</f>
        <v>1.069E-2</v>
      </c>
      <c r="E263" s="150">
        <f>_xll.qlSwapRateHelperSpread($B263,Trigger)</f>
        <v>0</v>
      </c>
      <c r="F263" s="151" t="b">
        <v>0</v>
      </c>
      <c r="G263" s="151">
        <v>50</v>
      </c>
      <c r="H263" s="151">
        <v>1</v>
      </c>
      <c r="I263" s="156">
        <f>_xll.qlRateHelperEarliestDate($B263,Trigger)</f>
        <v>46105</v>
      </c>
      <c r="J263" s="157">
        <f>_xll.qlRateHelperLatestDate($B263,Trigger)</f>
        <v>55236</v>
      </c>
      <c r="L263" s="155"/>
    </row>
    <row r="264" spans="2:12" x14ac:dyDescent="0.2">
      <c r="B264" s="267" t="str">
        <f>ForwardSwaps!J203</f>
        <v>obj_00754#0001</v>
      </c>
      <c r="C264" s="152" t="str">
        <f>_xll.qlRateHelperQuoteName(B264)</f>
        <v>EUR11F30Y_Quote</v>
      </c>
      <c r="D264" s="153">
        <f>_xll.qlRateHelperQuoteValue($B264,Trigger)</f>
        <v>1.048E-2</v>
      </c>
      <c r="E264" s="153">
        <f>_xll.qlSwapRateHelperSpread($B264,Trigger)</f>
        <v>0</v>
      </c>
      <c r="F264" s="154" t="b">
        <v>0</v>
      </c>
      <c r="G264" s="154">
        <v>50</v>
      </c>
      <c r="H264" s="154">
        <v>1</v>
      </c>
      <c r="I264" s="158">
        <f>_xll.qlRateHelperEarliestDate($B264,Trigger)</f>
        <v>46105</v>
      </c>
      <c r="J264" s="159">
        <f>_xll.qlRateHelperLatestDate($B264,Trigger)</f>
        <v>57063</v>
      </c>
      <c r="L264" s="155"/>
    </row>
    <row r="265" spans="2:12" x14ac:dyDescent="0.2">
      <c r="B265" s="268" t="str">
        <f>ForwardSwaps!J204</f>
        <v>obj_00863#0001</v>
      </c>
      <c r="C265" s="251" t="str">
        <f>_xll.qlRateHelperQuoteName(B265)</f>
        <v>EUR12F1Y_Quote</v>
      </c>
      <c r="D265" s="269">
        <f>_xll.qlRateHelperQuoteValue($B265,Trigger)</f>
        <v>1.1399999999999999E-2</v>
      </c>
      <c r="E265" s="269">
        <f>_xll.qlSwapRateHelperSpread($B265,Trigger)</f>
        <v>0</v>
      </c>
      <c r="F265" s="270" t="b">
        <v>0</v>
      </c>
      <c r="G265" s="270">
        <v>50</v>
      </c>
      <c r="H265" s="270">
        <v>1</v>
      </c>
      <c r="I265" s="271">
        <f>_xll.qlRateHelperEarliestDate($B265,Trigger)</f>
        <v>46470</v>
      </c>
      <c r="J265" s="272">
        <f>_xll.qlRateHelperLatestDate($B265,Trigger)</f>
        <v>46836</v>
      </c>
      <c r="L265" s="155"/>
    </row>
    <row r="266" spans="2:12" x14ac:dyDescent="0.2">
      <c r="B266" s="266" t="str">
        <f>ForwardSwaps!J205</f>
        <v>obj_007c8#0001</v>
      </c>
      <c r="C266" s="149" t="str">
        <f>_xll.qlRateHelperQuoteName(B266)</f>
        <v>EUR12F2Y_Quote</v>
      </c>
      <c r="D266" s="150">
        <f>_xll.qlRateHelperQuoteValue($B266,Trigger)</f>
        <v>1.1270000000000001E-2</v>
      </c>
      <c r="E266" s="150">
        <f>_xll.qlSwapRateHelperSpread($B266,Trigger)</f>
        <v>0</v>
      </c>
      <c r="F266" s="151" t="b">
        <v>0</v>
      </c>
      <c r="G266" s="151">
        <v>50</v>
      </c>
      <c r="H266" s="151">
        <v>1</v>
      </c>
      <c r="I266" s="156">
        <f>_xll.qlRateHelperEarliestDate($B266,Trigger)</f>
        <v>46470</v>
      </c>
      <c r="J266" s="157">
        <f>_xll.qlRateHelperLatestDate($B266,Trigger)</f>
        <v>47203</v>
      </c>
      <c r="L266" s="155"/>
    </row>
    <row r="267" spans="2:12" x14ac:dyDescent="0.2">
      <c r="B267" s="266" t="str">
        <f>ForwardSwaps!J206</f>
        <v>obj_007ff#0001</v>
      </c>
      <c r="C267" s="149" t="str">
        <f>_xll.qlRateHelperQuoteName(B267)</f>
        <v>EUR12F3Y_Quote</v>
      </c>
      <c r="D267" s="150">
        <f>_xll.qlRateHelperQuoteValue($B267,Trigger)</f>
        <v>1.1240000000000002E-2</v>
      </c>
      <c r="E267" s="150">
        <f>_xll.qlSwapRateHelperSpread($B267,Trigger)</f>
        <v>0</v>
      </c>
      <c r="F267" s="151" t="b">
        <v>0</v>
      </c>
      <c r="G267" s="151">
        <v>50</v>
      </c>
      <c r="H267" s="151">
        <v>1</v>
      </c>
      <c r="I267" s="156">
        <f>_xll.qlRateHelperEarliestDate($B267,Trigger)</f>
        <v>46470</v>
      </c>
      <c r="J267" s="157">
        <f>_xll.qlRateHelperLatestDate($B267,Trigger)</f>
        <v>47567</v>
      </c>
      <c r="L267" s="155"/>
    </row>
    <row r="268" spans="2:12" x14ac:dyDescent="0.2">
      <c r="B268" s="266" t="str">
        <f>ForwardSwaps!J207</f>
        <v>obj_007a8#0001</v>
      </c>
      <c r="C268" s="149" t="str">
        <f>_xll.qlRateHelperQuoteName(B268)</f>
        <v>EUR12F4Y_Quote</v>
      </c>
      <c r="D268" s="150">
        <f>_xll.qlRateHelperQuoteValue($B268,Trigger)</f>
        <v>1.119E-2</v>
      </c>
      <c r="E268" s="150">
        <f>_xll.qlSwapRateHelperSpread($B268,Trigger)</f>
        <v>0</v>
      </c>
      <c r="F268" s="151" t="b">
        <v>0</v>
      </c>
      <c r="G268" s="151">
        <v>50</v>
      </c>
      <c r="H268" s="151">
        <v>1</v>
      </c>
      <c r="I268" s="156">
        <f>_xll.qlRateHelperEarliestDate($B268,Trigger)</f>
        <v>46470</v>
      </c>
      <c r="J268" s="157">
        <f>_xll.qlRateHelperLatestDate($B268,Trigger)</f>
        <v>47931</v>
      </c>
      <c r="L268" s="155"/>
    </row>
    <row r="269" spans="2:12" x14ac:dyDescent="0.2">
      <c r="B269" s="266" t="str">
        <f>ForwardSwaps!J208</f>
        <v>obj_00746#0001</v>
      </c>
      <c r="C269" s="149" t="str">
        <f>_xll.qlRateHelperQuoteName(B269)</f>
        <v>EUR12F5Y_Quote</v>
      </c>
      <c r="D269" s="150">
        <f>_xll.qlRateHelperQuoteValue($B269,Trigger)</f>
        <v>1.1219999999999999E-2</v>
      </c>
      <c r="E269" s="150">
        <f>_xll.qlSwapRateHelperSpread($B269,Trigger)</f>
        <v>0</v>
      </c>
      <c r="F269" s="151" t="b">
        <v>0</v>
      </c>
      <c r="G269" s="151">
        <v>50</v>
      </c>
      <c r="H269" s="151">
        <v>1</v>
      </c>
      <c r="I269" s="156">
        <f>_xll.qlRateHelperEarliestDate($B269,Trigger)</f>
        <v>46470</v>
      </c>
      <c r="J269" s="157">
        <f>_xll.qlRateHelperLatestDate($B269,Trigger)</f>
        <v>48297</v>
      </c>
      <c r="L269" s="155"/>
    </row>
    <row r="270" spans="2:12" x14ac:dyDescent="0.2">
      <c r="B270" s="266" t="str">
        <f>ForwardSwaps!J209</f>
        <v>obj_007de#0001</v>
      </c>
      <c r="C270" s="149" t="str">
        <f>_xll.qlRateHelperQuoteName(B270)</f>
        <v>EUR12F6Y_Quote</v>
      </c>
      <c r="D270" s="150">
        <f>_xll.qlRateHelperQuoteValue($B270,Trigger)</f>
        <v>1.1160000000000002E-2</v>
      </c>
      <c r="E270" s="150">
        <f>_xll.qlSwapRateHelperSpread($B270,Trigger)</f>
        <v>0</v>
      </c>
      <c r="F270" s="151" t="b">
        <v>0</v>
      </c>
      <c r="G270" s="151">
        <v>50</v>
      </c>
      <c r="H270" s="151">
        <v>1</v>
      </c>
      <c r="I270" s="156">
        <f>_xll.qlRateHelperEarliestDate($B270,Trigger)</f>
        <v>46470</v>
      </c>
      <c r="J270" s="157">
        <f>_xll.qlRateHelperLatestDate($B270,Trigger)</f>
        <v>48662</v>
      </c>
      <c r="L270" s="155"/>
    </row>
    <row r="271" spans="2:12" x14ac:dyDescent="0.2">
      <c r="B271" s="266" t="str">
        <f>ForwardSwaps!J210</f>
        <v>obj_00769#0001</v>
      </c>
      <c r="C271" s="149" t="str">
        <f>_xll.qlRateHelperQuoteName(B271)</f>
        <v>EUR12F7Y_Quote</v>
      </c>
      <c r="D271" s="150">
        <f>_xll.qlRateHelperQuoteValue($B271,Trigger)</f>
        <v>1.1139999999999999E-2</v>
      </c>
      <c r="E271" s="150">
        <f>_xll.qlSwapRateHelperSpread($B271,Trigger)</f>
        <v>0</v>
      </c>
      <c r="F271" s="151" t="b">
        <v>0</v>
      </c>
      <c r="G271" s="151">
        <v>50</v>
      </c>
      <c r="H271" s="151">
        <v>1</v>
      </c>
      <c r="I271" s="156">
        <f>_xll.qlRateHelperEarliestDate($B271,Trigger)</f>
        <v>46470</v>
      </c>
      <c r="J271" s="157">
        <f>_xll.qlRateHelperLatestDate($B271,Trigger)</f>
        <v>49027</v>
      </c>
      <c r="L271" s="155"/>
    </row>
    <row r="272" spans="2:12" x14ac:dyDescent="0.2">
      <c r="B272" s="266" t="str">
        <f>ForwardSwaps!J211</f>
        <v>obj_007a7#0001</v>
      </c>
      <c r="C272" s="149" t="str">
        <f>_xll.qlRateHelperQuoteName(B272)</f>
        <v>EUR12F8Y_Quote</v>
      </c>
      <c r="D272" s="150">
        <f>_xll.qlRateHelperQuoteValue($B272,Trigger)</f>
        <v>1.1080000000000001E-2</v>
      </c>
      <c r="E272" s="150">
        <f>_xll.qlSwapRateHelperSpread($B272,Trigger)</f>
        <v>0</v>
      </c>
      <c r="F272" s="151" t="b">
        <v>0</v>
      </c>
      <c r="G272" s="151">
        <v>50</v>
      </c>
      <c r="H272" s="151">
        <v>1</v>
      </c>
      <c r="I272" s="156">
        <f>_xll.qlRateHelperEarliestDate($B272,Trigger)</f>
        <v>46470</v>
      </c>
      <c r="J272" s="157">
        <f>_xll.qlRateHelperLatestDate($B272,Trigger)</f>
        <v>49395</v>
      </c>
      <c r="L272" s="155"/>
    </row>
    <row r="273" spans="2:12" x14ac:dyDescent="0.2">
      <c r="B273" s="266" t="str">
        <f>ForwardSwaps!J212</f>
        <v>obj_00845#0001</v>
      </c>
      <c r="C273" s="149" t="str">
        <f>_xll.qlRateHelperQuoteName(B273)</f>
        <v>EUR12F9Y_Quote</v>
      </c>
      <c r="D273" s="150">
        <f>_xll.qlRateHelperQuoteValue($B273,Trigger)</f>
        <v>1.1040000000000001E-2</v>
      </c>
      <c r="E273" s="150">
        <f>_xll.qlSwapRateHelperSpread($B273,Trigger)</f>
        <v>0</v>
      </c>
      <c r="F273" s="151" t="b">
        <v>0</v>
      </c>
      <c r="G273" s="151">
        <v>50</v>
      </c>
      <c r="H273" s="151">
        <v>1</v>
      </c>
      <c r="I273" s="156">
        <f>_xll.qlRateHelperEarliestDate($B273,Trigger)</f>
        <v>46470</v>
      </c>
      <c r="J273" s="157">
        <f>_xll.qlRateHelperLatestDate($B273,Trigger)</f>
        <v>49758</v>
      </c>
      <c r="L273" s="155"/>
    </row>
    <row r="274" spans="2:12" x14ac:dyDescent="0.2">
      <c r="B274" s="266" t="str">
        <f>ForwardSwaps!J213</f>
        <v>obj_007b0#0001</v>
      </c>
      <c r="C274" s="149" t="str">
        <f>_xll.qlRateHelperQuoteName(B274)</f>
        <v>EUR12F10Y_Quote</v>
      </c>
      <c r="D274" s="150">
        <f>_xll.qlRateHelperQuoteValue($B274,Trigger)</f>
        <v>1.098E-2</v>
      </c>
      <c r="E274" s="150">
        <f>_xll.qlSwapRateHelperSpread($B274,Trigger)</f>
        <v>0</v>
      </c>
      <c r="F274" s="151" t="b">
        <v>0</v>
      </c>
      <c r="G274" s="151">
        <v>50</v>
      </c>
      <c r="H274" s="151">
        <v>1</v>
      </c>
      <c r="I274" s="156">
        <f>_xll.qlRateHelperEarliestDate($B274,Trigger)</f>
        <v>46470</v>
      </c>
      <c r="J274" s="157">
        <f>_xll.qlRateHelperLatestDate($B274,Trigger)</f>
        <v>50123</v>
      </c>
      <c r="L274" s="155"/>
    </row>
    <row r="275" spans="2:12" x14ac:dyDescent="0.2">
      <c r="B275" s="266" t="str">
        <f>ForwardSwaps!J214</f>
        <v>obj_007b6#0001</v>
      </c>
      <c r="C275" s="149" t="str">
        <f>_xll.qlRateHelperQuoteName(B275)</f>
        <v>EUR12F11Y_Quote</v>
      </c>
      <c r="D275" s="150">
        <f>_xll.qlRateHelperQuoteValue($B275,Trigger)</f>
        <v>1.093E-2</v>
      </c>
      <c r="E275" s="150">
        <f>_xll.qlSwapRateHelperSpread($B275,Trigger)</f>
        <v>0</v>
      </c>
      <c r="F275" s="151" t="b">
        <v>0</v>
      </c>
      <c r="G275" s="151">
        <v>50</v>
      </c>
      <c r="H275" s="151">
        <v>1</v>
      </c>
      <c r="I275" s="156">
        <f>_xll.qlRateHelperEarliestDate($B275,Trigger)</f>
        <v>46470</v>
      </c>
      <c r="J275" s="157">
        <f>_xll.qlRateHelperLatestDate($B275,Trigger)</f>
        <v>50488</v>
      </c>
      <c r="L275" s="155"/>
    </row>
    <row r="276" spans="2:12" x14ac:dyDescent="0.2">
      <c r="B276" s="266" t="str">
        <f>ForwardSwaps!J215</f>
        <v>obj_0075a#0001</v>
      </c>
      <c r="C276" s="149" t="str">
        <f>_xll.qlRateHelperQuoteName(B276)</f>
        <v>EUR12F12Y_Quote</v>
      </c>
      <c r="D276" s="150">
        <f>_xll.qlRateHelperQuoteValue($B276,Trigger)</f>
        <v>1.091E-2</v>
      </c>
      <c r="E276" s="150">
        <f>_xll.qlSwapRateHelperSpread($B276,Trigger)</f>
        <v>0</v>
      </c>
      <c r="F276" s="151" t="b">
        <v>0</v>
      </c>
      <c r="G276" s="151">
        <v>50</v>
      </c>
      <c r="H276" s="151">
        <v>1</v>
      </c>
      <c r="I276" s="156">
        <f>_xll.qlRateHelperEarliestDate($B276,Trigger)</f>
        <v>46470</v>
      </c>
      <c r="J276" s="157">
        <f>_xll.qlRateHelperLatestDate($B276,Trigger)</f>
        <v>50853</v>
      </c>
      <c r="L276" s="155"/>
    </row>
    <row r="277" spans="2:12" x14ac:dyDescent="0.2">
      <c r="B277" s="266" t="str">
        <f>ForwardSwaps!J216</f>
        <v>obj_0087b#0001</v>
      </c>
      <c r="C277" s="149" t="str">
        <f>_xll.qlRateHelperQuoteName(B277)</f>
        <v>EUR12F13Y_Quote</v>
      </c>
      <c r="D277" s="150">
        <f>_xll.qlRateHelperQuoteValue($B277,Trigger)</f>
        <v>1.0880000000000001E-2</v>
      </c>
      <c r="E277" s="150">
        <f>_xll.qlSwapRateHelperSpread($B277,Trigger)</f>
        <v>0</v>
      </c>
      <c r="F277" s="151" t="b">
        <v>0</v>
      </c>
      <c r="G277" s="151">
        <v>50</v>
      </c>
      <c r="H277" s="151">
        <v>1</v>
      </c>
      <c r="I277" s="156">
        <f>_xll.qlRateHelperEarliestDate($B277,Trigger)</f>
        <v>46470</v>
      </c>
      <c r="J277" s="157">
        <f>_xll.qlRateHelperLatestDate($B277,Trigger)</f>
        <v>51221</v>
      </c>
      <c r="L277" s="155"/>
    </row>
    <row r="278" spans="2:12" x14ac:dyDescent="0.2">
      <c r="B278" s="266" t="str">
        <f>ForwardSwaps!J217</f>
        <v>obj_0079c#0001</v>
      </c>
      <c r="C278" s="149" t="str">
        <f>_xll.qlRateHelperQuoteName(B278)</f>
        <v>EUR12F14Y_Quote</v>
      </c>
      <c r="D278" s="150">
        <f>_xll.qlRateHelperQuoteValue($B278,Trigger)</f>
        <v>1.0860000000000002E-2</v>
      </c>
      <c r="E278" s="150">
        <f>_xll.qlSwapRateHelperSpread($B278,Trigger)</f>
        <v>0</v>
      </c>
      <c r="F278" s="151" t="b">
        <v>0</v>
      </c>
      <c r="G278" s="151">
        <v>50</v>
      </c>
      <c r="H278" s="151">
        <v>1</v>
      </c>
      <c r="I278" s="156">
        <f>_xll.qlRateHelperEarliestDate($B278,Trigger)</f>
        <v>46470</v>
      </c>
      <c r="J278" s="157">
        <f>_xll.qlRateHelperLatestDate($B278,Trigger)</f>
        <v>51585</v>
      </c>
      <c r="L278" s="155"/>
    </row>
    <row r="279" spans="2:12" x14ac:dyDescent="0.2">
      <c r="B279" s="266" t="str">
        <f>ForwardSwaps!J218</f>
        <v>obj_007a1#0001</v>
      </c>
      <c r="C279" s="149" t="str">
        <f>_xll.qlRateHelperQuoteName(B279)</f>
        <v>EUR12F15Y_Quote</v>
      </c>
      <c r="D279" s="150">
        <f>_xll.qlRateHelperQuoteValue($B279,Trigger)</f>
        <v>1.0840000000000001E-2</v>
      </c>
      <c r="E279" s="150">
        <f>_xll.qlSwapRateHelperSpread($B279,Trigger)</f>
        <v>0</v>
      </c>
      <c r="F279" s="151" t="b">
        <v>0</v>
      </c>
      <c r="G279" s="151">
        <v>50</v>
      </c>
      <c r="H279" s="151">
        <v>1</v>
      </c>
      <c r="I279" s="156">
        <f>_xll.qlRateHelperEarliestDate($B279,Trigger)</f>
        <v>46470</v>
      </c>
      <c r="J279" s="157">
        <f>_xll.qlRateHelperLatestDate($B279,Trigger)</f>
        <v>51949</v>
      </c>
      <c r="L279" s="155"/>
    </row>
    <row r="280" spans="2:12" x14ac:dyDescent="0.2">
      <c r="B280" s="266" t="str">
        <f>ForwardSwaps!J219</f>
        <v>obj_00829#0001</v>
      </c>
      <c r="C280" s="149" t="str">
        <f>_xll.qlRateHelperQuoteName(B280)</f>
        <v>EUR12F20Y_Quote</v>
      </c>
      <c r="D280" s="150">
        <f>_xll.qlRateHelperQuoteValue($B280,Trigger)</f>
        <v>1.076E-2</v>
      </c>
      <c r="E280" s="150">
        <f>_xll.qlSwapRateHelperSpread($B280,Trigger)</f>
        <v>0</v>
      </c>
      <c r="F280" s="151" t="b">
        <v>0</v>
      </c>
      <c r="G280" s="151">
        <v>50</v>
      </c>
      <c r="H280" s="151">
        <v>1</v>
      </c>
      <c r="I280" s="156">
        <f>_xll.qlRateHelperEarliestDate($B280,Trigger)</f>
        <v>46470</v>
      </c>
      <c r="J280" s="157">
        <f>_xll.qlRateHelperLatestDate($B280,Trigger)</f>
        <v>53776</v>
      </c>
      <c r="L280" s="155"/>
    </row>
    <row r="281" spans="2:12" x14ac:dyDescent="0.2">
      <c r="B281" s="266" t="str">
        <f>ForwardSwaps!J220</f>
        <v>obj_00835#0001</v>
      </c>
      <c r="C281" s="149" t="str">
        <f>_xll.qlRateHelperQuoteName(B281)</f>
        <v>EUR12F25Y_Quote</v>
      </c>
      <c r="D281" s="150">
        <f>_xll.qlRateHelperQuoteValue($B281,Trigger)</f>
        <v>1.065E-2</v>
      </c>
      <c r="E281" s="150">
        <f>_xll.qlSwapRateHelperSpread($B281,Trigger)</f>
        <v>0</v>
      </c>
      <c r="F281" s="151" t="b">
        <v>0</v>
      </c>
      <c r="G281" s="151">
        <v>50</v>
      </c>
      <c r="H281" s="151">
        <v>1</v>
      </c>
      <c r="I281" s="156">
        <f>_xll.qlRateHelperEarliestDate($B281,Trigger)</f>
        <v>46470</v>
      </c>
      <c r="J281" s="157">
        <f>_xll.qlRateHelperLatestDate($B281,Trigger)</f>
        <v>55603</v>
      </c>
      <c r="L281" s="155"/>
    </row>
    <row r="282" spans="2:12" x14ac:dyDescent="0.2">
      <c r="B282" s="267" t="str">
        <f>ForwardSwaps!J221</f>
        <v>obj_0075e#0001</v>
      </c>
      <c r="C282" s="152" t="str">
        <f>_xll.qlRateHelperQuoteName(B282)</f>
        <v>EUR12F30Y_Quote</v>
      </c>
      <c r="D282" s="153">
        <f>_xll.qlRateHelperQuoteValue($B282,Trigger)</f>
        <v>1.038E-2</v>
      </c>
      <c r="E282" s="153">
        <f>_xll.qlSwapRateHelperSpread($B282,Trigger)</f>
        <v>0</v>
      </c>
      <c r="F282" s="154" t="b">
        <v>0</v>
      </c>
      <c r="G282" s="154">
        <v>50</v>
      </c>
      <c r="H282" s="154">
        <v>1</v>
      </c>
      <c r="I282" s="158">
        <f>_xll.qlRateHelperEarliestDate($B282,Trigger)</f>
        <v>46470</v>
      </c>
      <c r="J282" s="159">
        <f>_xll.qlRateHelperLatestDate($B282,Trigger)</f>
        <v>57430</v>
      </c>
      <c r="L282" s="155"/>
    </row>
    <row r="283" spans="2:12" x14ac:dyDescent="0.2">
      <c r="B283" s="268" t="str">
        <f>ForwardSwaps!J222</f>
        <v>obj_00821#0001</v>
      </c>
      <c r="C283" s="251" t="str">
        <f>_xll.qlRateHelperQuoteName(B283)</f>
        <v>EUR13F1Y_Quote</v>
      </c>
      <c r="D283" s="269">
        <f>_xll.qlRateHelperQuoteValue($B283,Trigger)</f>
        <v>1.1139999999999999E-2</v>
      </c>
      <c r="E283" s="269">
        <f>_xll.qlSwapRateHelperSpread($B283,Trigger)</f>
        <v>0</v>
      </c>
      <c r="F283" s="270" t="b">
        <v>0</v>
      </c>
      <c r="G283" s="270">
        <v>50</v>
      </c>
      <c r="H283" s="270">
        <v>1</v>
      </c>
      <c r="I283" s="271">
        <f>_xll.qlRateHelperEarliestDate($B283,Trigger)</f>
        <v>46836</v>
      </c>
      <c r="J283" s="272">
        <f>_xll.qlRateHelperLatestDate($B283,Trigger)</f>
        <v>47203</v>
      </c>
      <c r="L283" s="155"/>
    </row>
    <row r="284" spans="2:12" x14ac:dyDescent="0.2">
      <c r="B284" s="266" t="str">
        <f>ForwardSwaps!J223</f>
        <v>obj_007f2#0001</v>
      </c>
      <c r="C284" s="149" t="str">
        <f>_xll.qlRateHelperQuoteName(B284)</f>
        <v>EUR13F2Y_Quote</v>
      </c>
      <c r="D284" s="150">
        <f>_xll.qlRateHelperQuoteValue($B284,Trigger)</f>
        <v>1.1160000000000002E-2</v>
      </c>
      <c r="E284" s="150">
        <f>_xll.qlSwapRateHelperSpread($B284,Trigger)</f>
        <v>0</v>
      </c>
      <c r="F284" s="151" t="b">
        <v>0</v>
      </c>
      <c r="G284" s="151">
        <v>50</v>
      </c>
      <c r="H284" s="151">
        <v>1</v>
      </c>
      <c r="I284" s="156">
        <f>_xll.qlRateHelperEarliestDate($B284,Trigger)</f>
        <v>46836</v>
      </c>
      <c r="J284" s="157">
        <f>_xll.qlRateHelperLatestDate($B284,Trigger)</f>
        <v>47567</v>
      </c>
      <c r="L284" s="155"/>
    </row>
    <row r="285" spans="2:12" x14ac:dyDescent="0.2">
      <c r="B285" s="266" t="str">
        <f>ForwardSwaps!J224</f>
        <v>obj_0081a#0001</v>
      </c>
      <c r="C285" s="149" t="str">
        <f>_xll.qlRateHelperQuoteName(B285)</f>
        <v>EUR13F3Y_Quote</v>
      </c>
      <c r="D285" s="150">
        <f>_xll.qlRateHelperQuoteValue($B285,Trigger)</f>
        <v>1.1129999999999999E-2</v>
      </c>
      <c r="E285" s="150">
        <f>_xll.qlSwapRateHelperSpread($B285,Trigger)</f>
        <v>0</v>
      </c>
      <c r="F285" s="151" t="b">
        <v>0</v>
      </c>
      <c r="G285" s="151">
        <v>50</v>
      </c>
      <c r="H285" s="151">
        <v>1</v>
      </c>
      <c r="I285" s="156">
        <f>_xll.qlRateHelperEarliestDate($B285,Trigger)</f>
        <v>46836</v>
      </c>
      <c r="J285" s="157">
        <f>_xll.qlRateHelperLatestDate($B285,Trigger)</f>
        <v>47931</v>
      </c>
      <c r="L285" s="155"/>
    </row>
    <row r="286" spans="2:12" x14ac:dyDescent="0.2">
      <c r="B286" s="266" t="str">
        <f>ForwardSwaps!J225</f>
        <v>obj_00778#0001</v>
      </c>
      <c r="C286" s="149" t="str">
        <f>_xll.qlRateHelperQuoteName(B286)</f>
        <v>EUR13F4Y_Quote</v>
      </c>
      <c r="D286" s="150">
        <f>_xll.qlRateHelperQuoteValue($B286,Trigger)</f>
        <v>1.1179999999999999E-2</v>
      </c>
      <c r="E286" s="150">
        <f>_xll.qlSwapRateHelperSpread($B286,Trigger)</f>
        <v>0</v>
      </c>
      <c r="F286" s="151" t="b">
        <v>0</v>
      </c>
      <c r="G286" s="151">
        <v>50</v>
      </c>
      <c r="H286" s="151">
        <v>1</v>
      </c>
      <c r="I286" s="156">
        <f>_xll.qlRateHelperEarliestDate($B286,Trigger)</f>
        <v>46836</v>
      </c>
      <c r="J286" s="157">
        <f>_xll.qlRateHelperLatestDate($B286,Trigger)</f>
        <v>48297</v>
      </c>
      <c r="L286" s="155"/>
    </row>
    <row r="287" spans="2:12" x14ac:dyDescent="0.2">
      <c r="B287" s="266" t="str">
        <f>ForwardSwaps!J226</f>
        <v>obj_007c7#0001</v>
      </c>
      <c r="C287" s="149" t="str">
        <f>_xll.qlRateHelperQuoteName(B287)</f>
        <v>EUR13F5Y_Quote</v>
      </c>
      <c r="D287" s="150">
        <f>_xll.qlRateHelperQuoteValue($B287,Trigger)</f>
        <v>1.111E-2</v>
      </c>
      <c r="E287" s="150">
        <f>_xll.qlSwapRateHelperSpread($B287,Trigger)</f>
        <v>0</v>
      </c>
      <c r="F287" s="151" t="b">
        <v>0</v>
      </c>
      <c r="G287" s="151">
        <v>50</v>
      </c>
      <c r="H287" s="151">
        <v>1</v>
      </c>
      <c r="I287" s="156">
        <f>_xll.qlRateHelperEarliestDate($B287,Trigger)</f>
        <v>46836</v>
      </c>
      <c r="J287" s="157">
        <f>_xll.qlRateHelperLatestDate($B287,Trigger)</f>
        <v>48662</v>
      </c>
      <c r="L287" s="155"/>
    </row>
    <row r="288" spans="2:12" x14ac:dyDescent="0.2">
      <c r="B288" s="266" t="str">
        <f>ForwardSwaps!J227</f>
        <v>obj_00818#0001</v>
      </c>
      <c r="C288" s="149" t="str">
        <f>_xll.qlRateHelperQuoteName(B288)</f>
        <v>EUR13F6Y_Quote</v>
      </c>
      <c r="D288" s="150">
        <f>_xll.qlRateHelperQuoteValue($B288,Trigger)</f>
        <v>1.1089999999999999E-2</v>
      </c>
      <c r="E288" s="150">
        <f>_xll.qlSwapRateHelperSpread($B288,Trigger)</f>
        <v>0</v>
      </c>
      <c r="F288" s="151" t="b">
        <v>0</v>
      </c>
      <c r="G288" s="151">
        <v>50</v>
      </c>
      <c r="H288" s="151">
        <v>1</v>
      </c>
      <c r="I288" s="156">
        <f>_xll.qlRateHelperEarliestDate($B288,Trigger)</f>
        <v>46836</v>
      </c>
      <c r="J288" s="157">
        <f>_xll.qlRateHelperLatestDate($B288,Trigger)</f>
        <v>49027</v>
      </c>
      <c r="L288" s="155"/>
    </row>
    <row r="289" spans="2:12" x14ac:dyDescent="0.2">
      <c r="B289" s="266" t="str">
        <f>ForwardSwaps!J228</f>
        <v>obj_00877#0001</v>
      </c>
      <c r="C289" s="149" t="str">
        <f>_xll.qlRateHelperQuoteName(B289)</f>
        <v>EUR13F7Y_Quote</v>
      </c>
      <c r="D289" s="150">
        <f>_xll.qlRateHelperQuoteValue($B289,Trigger)</f>
        <v>1.103E-2</v>
      </c>
      <c r="E289" s="150">
        <f>_xll.qlSwapRateHelperSpread($B289,Trigger)</f>
        <v>0</v>
      </c>
      <c r="F289" s="151" t="b">
        <v>0</v>
      </c>
      <c r="G289" s="151">
        <v>50</v>
      </c>
      <c r="H289" s="151">
        <v>1</v>
      </c>
      <c r="I289" s="156">
        <f>_xll.qlRateHelperEarliestDate($B289,Trigger)</f>
        <v>46836</v>
      </c>
      <c r="J289" s="157">
        <f>_xll.qlRateHelperLatestDate($B289,Trigger)</f>
        <v>49395</v>
      </c>
      <c r="L289" s="155"/>
    </row>
    <row r="290" spans="2:12" x14ac:dyDescent="0.2">
      <c r="B290" s="266" t="str">
        <f>ForwardSwaps!J229</f>
        <v>obj_00843#0001</v>
      </c>
      <c r="C290" s="149" t="str">
        <f>_xll.qlRateHelperQuoteName(B290)</f>
        <v>EUR13F8Y_Quote</v>
      </c>
      <c r="D290" s="150">
        <f>_xll.qlRateHelperQuoteValue($B290,Trigger)</f>
        <v>1.099E-2</v>
      </c>
      <c r="E290" s="150">
        <f>_xll.qlSwapRateHelperSpread($B290,Trigger)</f>
        <v>0</v>
      </c>
      <c r="F290" s="151" t="b">
        <v>0</v>
      </c>
      <c r="G290" s="151">
        <v>50</v>
      </c>
      <c r="H290" s="151">
        <v>1</v>
      </c>
      <c r="I290" s="156">
        <f>_xll.qlRateHelperEarliestDate($B290,Trigger)</f>
        <v>46836</v>
      </c>
      <c r="J290" s="157">
        <f>_xll.qlRateHelperLatestDate($B290,Trigger)</f>
        <v>49758</v>
      </c>
      <c r="L290" s="155"/>
    </row>
    <row r="291" spans="2:12" x14ac:dyDescent="0.2">
      <c r="B291" s="266" t="str">
        <f>ForwardSwaps!J230</f>
        <v>obj_00836#0001</v>
      </c>
      <c r="C291" s="149" t="str">
        <f>_xll.qlRateHelperQuoteName(B291)</f>
        <v>EUR13F9Y_Quote</v>
      </c>
      <c r="D291" s="150">
        <f>_xll.qlRateHelperQuoteValue($B291,Trigger)</f>
        <v>1.094E-2</v>
      </c>
      <c r="E291" s="150">
        <f>_xll.qlSwapRateHelperSpread($B291,Trigger)</f>
        <v>0</v>
      </c>
      <c r="F291" s="151" t="b">
        <v>0</v>
      </c>
      <c r="G291" s="151">
        <v>50</v>
      </c>
      <c r="H291" s="151">
        <v>1</v>
      </c>
      <c r="I291" s="156">
        <f>_xll.qlRateHelperEarliestDate($B291,Trigger)</f>
        <v>46836</v>
      </c>
      <c r="J291" s="157">
        <f>_xll.qlRateHelperLatestDate($B291,Trigger)</f>
        <v>50123</v>
      </c>
      <c r="L291" s="155"/>
    </row>
    <row r="292" spans="2:12" x14ac:dyDescent="0.2">
      <c r="B292" s="266" t="str">
        <f>ForwardSwaps!J231</f>
        <v>obj_00772#0001</v>
      </c>
      <c r="C292" s="149" t="str">
        <f>_xll.qlRateHelperQuoteName(B292)</f>
        <v>EUR13F10Y_Quote</v>
      </c>
      <c r="D292" s="150">
        <f>_xll.qlRateHelperQuoteValue($B292,Trigger)</f>
        <v>1.0880000000000001E-2</v>
      </c>
      <c r="E292" s="150">
        <f>_xll.qlSwapRateHelperSpread($B292,Trigger)</f>
        <v>0</v>
      </c>
      <c r="F292" s="151" t="b">
        <v>0</v>
      </c>
      <c r="G292" s="151">
        <v>50</v>
      </c>
      <c r="H292" s="151">
        <v>1</v>
      </c>
      <c r="I292" s="156">
        <f>_xll.qlRateHelperEarliestDate($B292,Trigger)</f>
        <v>46836</v>
      </c>
      <c r="J292" s="157">
        <f>_xll.qlRateHelperLatestDate($B292,Trigger)</f>
        <v>50488</v>
      </c>
      <c r="L292" s="155"/>
    </row>
    <row r="293" spans="2:12" x14ac:dyDescent="0.2">
      <c r="B293" s="266" t="str">
        <f>ForwardSwaps!J232</f>
        <v>obj_0075c#0001</v>
      </c>
      <c r="C293" s="149" t="str">
        <f>_xll.qlRateHelperQuoteName(B293)</f>
        <v>EUR13F11Y_Quote</v>
      </c>
      <c r="D293" s="150">
        <f>_xll.qlRateHelperQuoteValue($B293,Trigger)</f>
        <v>1.0860000000000002E-2</v>
      </c>
      <c r="E293" s="150">
        <f>_xll.qlSwapRateHelperSpread($B293,Trigger)</f>
        <v>0</v>
      </c>
      <c r="F293" s="151" t="b">
        <v>0</v>
      </c>
      <c r="G293" s="151">
        <v>50</v>
      </c>
      <c r="H293" s="151">
        <v>1</v>
      </c>
      <c r="I293" s="156">
        <f>_xll.qlRateHelperEarliestDate($B293,Trigger)</f>
        <v>46836</v>
      </c>
      <c r="J293" s="157">
        <f>_xll.qlRateHelperLatestDate($B293,Trigger)</f>
        <v>50853</v>
      </c>
      <c r="L293" s="155"/>
    </row>
    <row r="294" spans="2:12" x14ac:dyDescent="0.2">
      <c r="B294" s="266" t="str">
        <f>ForwardSwaps!J233</f>
        <v>obj_0088d#0001</v>
      </c>
      <c r="C294" s="149" t="str">
        <f>_xll.qlRateHelperQuoteName(B294)</f>
        <v>EUR13F12Y_Quote</v>
      </c>
      <c r="D294" s="150">
        <f>_xll.qlRateHelperQuoteValue($B294,Trigger)</f>
        <v>1.0829999999999999E-2</v>
      </c>
      <c r="E294" s="150">
        <f>_xll.qlSwapRateHelperSpread($B294,Trigger)</f>
        <v>0</v>
      </c>
      <c r="F294" s="151" t="b">
        <v>0</v>
      </c>
      <c r="G294" s="151">
        <v>50</v>
      </c>
      <c r="H294" s="151">
        <v>1</v>
      </c>
      <c r="I294" s="156">
        <f>_xll.qlRateHelperEarliestDate($B294,Trigger)</f>
        <v>46836</v>
      </c>
      <c r="J294" s="157">
        <f>_xll.qlRateHelperLatestDate($B294,Trigger)</f>
        <v>51221</v>
      </c>
      <c r="L294" s="155"/>
    </row>
    <row r="295" spans="2:12" x14ac:dyDescent="0.2">
      <c r="B295" s="266" t="str">
        <f>ForwardSwaps!J234</f>
        <v>obj_00848#0001</v>
      </c>
      <c r="C295" s="149" t="str">
        <f>_xll.qlRateHelperQuoteName(B295)</f>
        <v>EUR13F13Y_Quote</v>
      </c>
      <c r="D295" s="150">
        <f>_xll.qlRateHelperQuoteValue($B295,Trigger)</f>
        <v>1.0820000000000001E-2</v>
      </c>
      <c r="E295" s="150">
        <f>_xll.qlSwapRateHelperSpread($B295,Trigger)</f>
        <v>0</v>
      </c>
      <c r="F295" s="151" t="b">
        <v>0</v>
      </c>
      <c r="G295" s="151">
        <v>50</v>
      </c>
      <c r="H295" s="151">
        <v>1</v>
      </c>
      <c r="I295" s="156">
        <f>_xll.qlRateHelperEarliestDate($B295,Trigger)</f>
        <v>46836</v>
      </c>
      <c r="J295" s="157">
        <f>_xll.qlRateHelperLatestDate($B295,Trigger)</f>
        <v>51585</v>
      </c>
      <c r="L295" s="155"/>
    </row>
    <row r="296" spans="2:12" x14ac:dyDescent="0.2">
      <c r="B296" s="266" t="str">
        <f>ForwardSwaps!J235</f>
        <v>obj_00777#0001</v>
      </c>
      <c r="C296" s="149" t="str">
        <f>_xll.qlRateHelperQuoteName(B296)</f>
        <v>EUR13F14Y_Quote</v>
      </c>
      <c r="D296" s="150">
        <f>_xll.qlRateHelperQuoteValue($B296,Trigger)</f>
        <v>1.0800000000000001E-2</v>
      </c>
      <c r="E296" s="150">
        <f>_xll.qlSwapRateHelperSpread($B296,Trigger)</f>
        <v>0</v>
      </c>
      <c r="F296" s="151" t="b">
        <v>0</v>
      </c>
      <c r="G296" s="151">
        <v>50</v>
      </c>
      <c r="H296" s="151">
        <v>1</v>
      </c>
      <c r="I296" s="156">
        <f>_xll.qlRateHelperEarliestDate($B296,Trigger)</f>
        <v>46836</v>
      </c>
      <c r="J296" s="157">
        <f>_xll.qlRateHelperLatestDate($B296,Trigger)</f>
        <v>51949</v>
      </c>
      <c r="L296" s="155"/>
    </row>
    <row r="297" spans="2:12" x14ac:dyDescent="0.2">
      <c r="B297" s="266" t="str">
        <f>ForwardSwaps!J236</f>
        <v>obj_0081f#0001</v>
      </c>
      <c r="C297" s="149" t="str">
        <f>_xll.qlRateHelperQuoteName(B297)</f>
        <v>EUR13F15Y_Quote</v>
      </c>
      <c r="D297" s="150">
        <f>_xll.qlRateHelperQuoteValue($B297,Trigger)</f>
        <v>1.0789999999999999E-2</v>
      </c>
      <c r="E297" s="150">
        <f>_xll.qlSwapRateHelperSpread($B297,Trigger)</f>
        <v>0</v>
      </c>
      <c r="F297" s="151" t="b">
        <v>0</v>
      </c>
      <c r="G297" s="151">
        <v>50</v>
      </c>
      <c r="H297" s="151">
        <v>1</v>
      </c>
      <c r="I297" s="156">
        <f>_xll.qlRateHelperEarliestDate($B297,Trigger)</f>
        <v>46836</v>
      </c>
      <c r="J297" s="157">
        <f>_xll.qlRateHelperLatestDate($B297,Trigger)</f>
        <v>52314</v>
      </c>
      <c r="L297" s="155"/>
    </row>
    <row r="298" spans="2:12" x14ac:dyDescent="0.2">
      <c r="B298" s="266" t="str">
        <f>ForwardSwaps!J237</f>
        <v>obj_00811#0001</v>
      </c>
      <c r="C298" s="149" t="str">
        <f>_xll.qlRateHelperQuoteName(B298)</f>
        <v>EUR13F20Y_Quote</v>
      </c>
      <c r="D298" s="150">
        <f>_xll.qlRateHelperQuoteValue($B298,Trigger)</f>
        <v>1.0700000000000001E-2</v>
      </c>
      <c r="E298" s="150">
        <f>_xll.qlSwapRateHelperSpread($B298,Trigger)</f>
        <v>0</v>
      </c>
      <c r="F298" s="151" t="b">
        <v>0</v>
      </c>
      <c r="G298" s="151">
        <v>50</v>
      </c>
      <c r="H298" s="151">
        <v>1</v>
      </c>
      <c r="I298" s="156">
        <f>_xll.qlRateHelperEarliestDate($B298,Trigger)</f>
        <v>46836</v>
      </c>
      <c r="J298" s="157">
        <f>_xll.qlRateHelperLatestDate($B298,Trigger)</f>
        <v>54141</v>
      </c>
      <c r="L298" s="155"/>
    </row>
    <row r="299" spans="2:12" x14ac:dyDescent="0.2">
      <c r="B299" s="266" t="str">
        <f>ForwardSwaps!J238</f>
        <v>obj_007fa#0001</v>
      </c>
      <c r="C299" s="149" t="str">
        <f>_xll.qlRateHelperQuoteName(B299)</f>
        <v>EUR13F25Y_Quote</v>
      </c>
      <c r="D299" s="150">
        <f>_xll.qlRateHelperQuoteValue($B299,Trigger)</f>
        <v>1.0580000000000001E-2</v>
      </c>
      <c r="E299" s="150">
        <f>_xll.qlSwapRateHelperSpread($B299,Trigger)</f>
        <v>0</v>
      </c>
      <c r="F299" s="151" t="b">
        <v>0</v>
      </c>
      <c r="G299" s="151">
        <v>50</v>
      </c>
      <c r="H299" s="151">
        <v>1</v>
      </c>
      <c r="I299" s="156">
        <f>_xll.qlRateHelperEarliestDate($B299,Trigger)</f>
        <v>46836</v>
      </c>
      <c r="J299" s="157">
        <f>_xll.qlRateHelperLatestDate($B299,Trigger)</f>
        <v>55967</v>
      </c>
      <c r="L299" s="155"/>
    </row>
    <row r="300" spans="2:12" x14ac:dyDescent="0.2">
      <c r="B300" s="267" t="str">
        <f>ForwardSwaps!J239</f>
        <v>obj_00849#0001</v>
      </c>
      <c r="C300" s="152" t="str">
        <f>_xll.qlRateHelperQuoteName(B300)</f>
        <v>EUR13F30Y_Quote</v>
      </c>
      <c r="D300" s="153">
        <f>_xll.qlRateHelperQuoteValue($B300,Trigger)</f>
        <v>1.0249999999999999E-2</v>
      </c>
      <c r="E300" s="153">
        <f>_xll.qlSwapRateHelperSpread($B300,Trigger)</f>
        <v>0</v>
      </c>
      <c r="F300" s="154" t="b">
        <v>0</v>
      </c>
      <c r="G300" s="154">
        <v>50</v>
      </c>
      <c r="H300" s="154">
        <v>1</v>
      </c>
      <c r="I300" s="158">
        <f>_xll.qlRateHelperEarliestDate($B300,Trigger)</f>
        <v>46836</v>
      </c>
      <c r="J300" s="159">
        <f>_xll.qlRateHelperLatestDate($B300,Trigger)</f>
        <v>57794</v>
      </c>
      <c r="L300" s="155"/>
    </row>
    <row r="301" spans="2:12" x14ac:dyDescent="0.2">
      <c r="B301" s="268" t="str">
        <f>ForwardSwaps!J240</f>
        <v>obj_007fe#0001</v>
      </c>
      <c r="C301" s="285" t="str">
        <f>_xll.qlRateHelperQuoteName(B301)</f>
        <v>EUR14F1Y_Quote</v>
      </c>
      <c r="D301" s="286">
        <f>_xll.qlRateHelperQuoteValue($B301,Trigger)</f>
        <v>1.1179999999999999E-2</v>
      </c>
      <c r="E301" s="286">
        <f>_xll.qlSwapRateHelperSpread($B301,Trigger)</f>
        <v>0</v>
      </c>
      <c r="F301" s="287" t="b">
        <v>0</v>
      </c>
      <c r="G301" s="287">
        <v>50</v>
      </c>
      <c r="H301" s="287">
        <v>1</v>
      </c>
      <c r="I301" s="288">
        <f>_xll.qlRateHelperEarliestDate($B301,Trigger)</f>
        <v>47203</v>
      </c>
      <c r="J301" s="289">
        <f>_xll.qlRateHelperLatestDate($B301,Trigger)</f>
        <v>47568</v>
      </c>
      <c r="L301" s="155"/>
    </row>
    <row r="302" spans="2:12" x14ac:dyDescent="0.2">
      <c r="B302" s="266" t="str">
        <f>ForwardSwaps!J241</f>
        <v>obj_00803#0001</v>
      </c>
      <c r="C302" s="149" t="str">
        <f>_xll.qlRateHelperQuoteName(B302)</f>
        <v>EUR14F2Y_Quote</v>
      </c>
      <c r="D302" s="150">
        <f>_xll.qlRateHelperQuoteValue($B302,Trigger)</f>
        <v>1.1120000000000001E-2</v>
      </c>
      <c r="E302" s="150">
        <f>_xll.qlSwapRateHelperSpread($B302,Trigger)</f>
        <v>0</v>
      </c>
      <c r="F302" s="151" t="b">
        <v>0</v>
      </c>
      <c r="G302" s="151">
        <v>50</v>
      </c>
      <c r="H302" s="151">
        <v>1</v>
      </c>
      <c r="I302" s="156">
        <f>_xll.qlRateHelperEarliestDate($B302,Trigger)</f>
        <v>47203</v>
      </c>
      <c r="J302" s="157">
        <f>_xll.qlRateHelperLatestDate($B302,Trigger)</f>
        <v>47933</v>
      </c>
      <c r="L302" s="155"/>
    </row>
    <row r="303" spans="2:12" x14ac:dyDescent="0.2">
      <c r="B303" s="266" t="str">
        <f>ForwardSwaps!J242</f>
        <v>obj_0080b#0001</v>
      </c>
      <c r="C303" s="149" t="str">
        <f>_xll.qlRateHelperQuoteName(B303)</f>
        <v>EUR14F3Y_Quote</v>
      </c>
      <c r="D303" s="150">
        <f>_xll.qlRateHelperQuoteValue($B303,Trigger)</f>
        <v>1.119E-2</v>
      </c>
      <c r="E303" s="150">
        <f>_xll.qlSwapRateHelperSpread($B303,Trigger)</f>
        <v>0</v>
      </c>
      <c r="F303" s="151" t="b">
        <v>0</v>
      </c>
      <c r="G303" s="151">
        <v>50</v>
      </c>
      <c r="H303" s="151">
        <v>1</v>
      </c>
      <c r="I303" s="156">
        <f>_xll.qlRateHelperEarliestDate($B303,Trigger)</f>
        <v>47203</v>
      </c>
      <c r="J303" s="157">
        <f>_xll.qlRateHelperLatestDate($B303,Trigger)</f>
        <v>48303</v>
      </c>
      <c r="L303" s="155"/>
    </row>
    <row r="304" spans="2:12" x14ac:dyDescent="0.2">
      <c r="B304" s="266" t="str">
        <f>ForwardSwaps!J243</f>
        <v>obj_007d7#0001</v>
      </c>
      <c r="C304" s="149" t="str">
        <f>_xll.qlRateHelperQuoteName(B304)</f>
        <v>EUR14F4Y_Quote</v>
      </c>
      <c r="D304" s="150">
        <f>_xll.qlRateHelperQuoteValue($B304,Trigger)</f>
        <v>1.111E-2</v>
      </c>
      <c r="E304" s="150">
        <f>_xll.qlSwapRateHelperSpread($B304,Trigger)</f>
        <v>0</v>
      </c>
      <c r="F304" s="151" t="b">
        <v>0</v>
      </c>
      <c r="G304" s="151">
        <v>50</v>
      </c>
      <c r="H304" s="151">
        <v>1</v>
      </c>
      <c r="I304" s="156">
        <f>_xll.qlRateHelperEarliestDate($B304,Trigger)</f>
        <v>47203</v>
      </c>
      <c r="J304" s="157">
        <f>_xll.qlRateHelperLatestDate($B304,Trigger)</f>
        <v>48666</v>
      </c>
      <c r="L304" s="155"/>
    </row>
    <row r="305" spans="2:12" x14ac:dyDescent="0.2">
      <c r="B305" s="266" t="str">
        <f>ForwardSwaps!J244</f>
        <v>obj_0077e#0001</v>
      </c>
      <c r="C305" s="149" t="str">
        <f>_xll.qlRateHelperQuoteName(B305)</f>
        <v>EUR14F5Y_Quote</v>
      </c>
      <c r="D305" s="150">
        <f>_xll.qlRateHelperQuoteValue($B305,Trigger)</f>
        <v>1.1080000000000001E-2</v>
      </c>
      <c r="E305" s="150">
        <f>_xll.qlSwapRateHelperSpread($B305,Trigger)</f>
        <v>0</v>
      </c>
      <c r="F305" s="151" t="b">
        <v>0</v>
      </c>
      <c r="G305" s="151">
        <v>50</v>
      </c>
      <c r="H305" s="151">
        <v>1</v>
      </c>
      <c r="I305" s="156">
        <f>_xll.qlRateHelperEarliestDate($B305,Trigger)</f>
        <v>47203</v>
      </c>
      <c r="J305" s="157">
        <f>_xll.qlRateHelperLatestDate($B305,Trigger)</f>
        <v>49030</v>
      </c>
      <c r="L305" s="155"/>
    </row>
    <row r="306" spans="2:12" x14ac:dyDescent="0.2">
      <c r="B306" s="266" t="str">
        <f>ForwardSwaps!J245</f>
        <v>obj_00817#0001</v>
      </c>
      <c r="C306" s="149" t="str">
        <f>_xll.qlRateHelperQuoteName(B306)</f>
        <v>EUR14F6Y_Quote</v>
      </c>
      <c r="D306" s="150">
        <f>_xll.qlRateHelperQuoteValue($B306,Trigger)</f>
        <v>1.1009999999999999E-2</v>
      </c>
      <c r="E306" s="150">
        <f>_xll.qlSwapRateHelperSpread($B306,Trigger)</f>
        <v>0</v>
      </c>
      <c r="F306" s="151" t="b">
        <v>0</v>
      </c>
      <c r="G306" s="151">
        <v>50</v>
      </c>
      <c r="H306" s="151">
        <v>1</v>
      </c>
      <c r="I306" s="156">
        <f>_xll.qlRateHelperEarliestDate($B306,Trigger)</f>
        <v>47203</v>
      </c>
      <c r="J306" s="157">
        <f>_xll.qlRateHelperLatestDate($B306,Trigger)</f>
        <v>49395</v>
      </c>
      <c r="L306" s="155"/>
    </row>
    <row r="307" spans="2:12" x14ac:dyDescent="0.2">
      <c r="B307" s="266" t="str">
        <f>ForwardSwaps!J246</f>
        <v>obj_007d4#0001</v>
      </c>
      <c r="C307" s="149" t="str">
        <f>_xll.qlRateHelperQuoteName(B307)</f>
        <v>EUR14F7Y_Quote</v>
      </c>
      <c r="D307" s="150">
        <f>_xll.qlRateHelperQuoteValue($B307,Trigger)</f>
        <v>1.0970000000000001E-2</v>
      </c>
      <c r="E307" s="150">
        <f>_xll.qlSwapRateHelperSpread($B307,Trigger)</f>
        <v>0</v>
      </c>
      <c r="F307" s="151" t="b">
        <v>0</v>
      </c>
      <c r="G307" s="151">
        <v>50</v>
      </c>
      <c r="H307" s="151">
        <v>1</v>
      </c>
      <c r="I307" s="156">
        <f>_xll.qlRateHelperEarliestDate($B307,Trigger)</f>
        <v>47203</v>
      </c>
      <c r="J307" s="157">
        <f>_xll.qlRateHelperLatestDate($B307,Trigger)</f>
        <v>49760</v>
      </c>
      <c r="L307" s="155"/>
    </row>
    <row r="308" spans="2:12" x14ac:dyDescent="0.2">
      <c r="B308" s="266" t="str">
        <f>ForwardSwaps!J247</f>
        <v>obj_00869#0001</v>
      </c>
      <c r="C308" s="149" t="str">
        <f>_xll.qlRateHelperQuoteName(B308)</f>
        <v>EUR14F8Y_Quote</v>
      </c>
      <c r="D308" s="150">
        <f>_xll.qlRateHelperQuoteValue($B308,Trigger)</f>
        <v>1.091E-2</v>
      </c>
      <c r="E308" s="150">
        <f>_xll.qlSwapRateHelperSpread($B308,Trigger)</f>
        <v>0</v>
      </c>
      <c r="F308" s="151" t="b">
        <v>0</v>
      </c>
      <c r="G308" s="151">
        <v>50</v>
      </c>
      <c r="H308" s="151">
        <v>1</v>
      </c>
      <c r="I308" s="156">
        <f>_xll.qlRateHelperEarliestDate($B308,Trigger)</f>
        <v>47203</v>
      </c>
      <c r="J308" s="157">
        <f>_xll.qlRateHelperLatestDate($B308,Trigger)</f>
        <v>50125</v>
      </c>
      <c r="L308" s="155"/>
    </row>
    <row r="309" spans="2:12" x14ac:dyDescent="0.2">
      <c r="B309" s="266" t="str">
        <f>ForwardSwaps!J248</f>
        <v>obj_0083b#0001</v>
      </c>
      <c r="C309" s="149" t="str">
        <f>_xll.qlRateHelperQuoteName(B309)</f>
        <v>EUR14F9Y_Quote</v>
      </c>
      <c r="D309" s="150">
        <f>_xll.qlRateHelperQuoteValue($B309,Trigger)</f>
        <v>1.0860000000000002E-2</v>
      </c>
      <c r="E309" s="150">
        <f>_xll.qlSwapRateHelperSpread($B309,Trigger)</f>
        <v>0</v>
      </c>
      <c r="F309" s="151" t="b">
        <v>0</v>
      </c>
      <c r="G309" s="151">
        <v>50</v>
      </c>
      <c r="H309" s="151">
        <v>1</v>
      </c>
      <c r="I309" s="156">
        <f>_xll.qlRateHelperEarliestDate($B309,Trigger)</f>
        <v>47203</v>
      </c>
      <c r="J309" s="157">
        <f>_xll.qlRateHelperLatestDate($B309,Trigger)</f>
        <v>50490</v>
      </c>
      <c r="L309" s="155"/>
    </row>
    <row r="310" spans="2:12" x14ac:dyDescent="0.2">
      <c r="B310" s="266" t="str">
        <f>ForwardSwaps!J249</f>
        <v>obj_007b8#0001</v>
      </c>
      <c r="C310" s="149" t="str">
        <f>_xll.qlRateHelperQuoteName(B310)</f>
        <v>EUR14F10Y_Quote</v>
      </c>
      <c r="D310" s="150">
        <f>_xll.qlRateHelperQuoteValue($B310,Trigger)</f>
        <v>1.0829999999999999E-2</v>
      </c>
      <c r="E310" s="150">
        <f>_xll.qlSwapRateHelperSpread($B310,Trigger)</f>
        <v>0</v>
      </c>
      <c r="F310" s="151" t="b">
        <v>0</v>
      </c>
      <c r="G310" s="151">
        <v>50</v>
      </c>
      <c r="H310" s="151">
        <v>1</v>
      </c>
      <c r="I310" s="156">
        <f>_xll.qlRateHelperEarliestDate($B310,Trigger)</f>
        <v>47203</v>
      </c>
      <c r="J310" s="157">
        <f>_xll.qlRateHelperLatestDate($B310,Trigger)</f>
        <v>50857</v>
      </c>
      <c r="L310" s="155"/>
    </row>
    <row r="311" spans="2:12" x14ac:dyDescent="0.2">
      <c r="B311" s="266" t="str">
        <f>ForwardSwaps!J250</f>
        <v>obj_00744#0001</v>
      </c>
      <c r="C311" s="149" t="str">
        <f>_xll.qlRateHelperQuoteName(B311)</f>
        <v>EUR14F11Y_Quote</v>
      </c>
      <c r="D311" s="150">
        <f>_xll.qlRateHelperQuoteValue($B311,Trigger)</f>
        <v>1.0800000000000001E-2</v>
      </c>
      <c r="E311" s="150">
        <f>_xll.qlSwapRateHelperSpread($B311,Trigger)</f>
        <v>0</v>
      </c>
      <c r="F311" s="151" t="b">
        <v>0</v>
      </c>
      <c r="G311" s="151">
        <v>50</v>
      </c>
      <c r="H311" s="151">
        <v>1</v>
      </c>
      <c r="I311" s="156">
        <f>_xll.qlRateHelperEarliestDate($B311,Trigger)</f>
        <v>47203</v>
      </c>
      <c r="J311" s="157">
        <f>_xll.qlRateHelperLatestDate($B311,Trigger)</f>
        <v>51221</v>
      </c>
      <c r="L311" s="155"/>
    </row>
    <row r="312" spans="2:12" x14ac:dyDescent="0.2">
      <c r="B312" s="266" t="str">
        <f>ForwardSwaps!J251</f>
        <v>obj_0086e#0001</v>
      </c>
      <c r="C312" s="149" t="str">
        <f>_xll.qlRateHelperQuoteName(B312)</f>
        <v>EUR14F12Y_Quote</v>
      </c>
      <c r="D312" s="150">
        <f>_xll.qlRateHelperQuoteValue($B312,Trigger)</f>
        <v>1.0789999999999999E-2</v>
      </c>
      <c r="E312" s="150">
        <f>_xll.qlSwapRateHelperSpread($B312,Trigger)</f>
        <v>0</v>
      </c>
      <c r="F312" s="151" t="b">
        <v>0</v>
      </c>
      <c r="G312" s="151">
        <v>50</v>
      </c>
      <c r="H312" s="151">
        <v>1</v>
      </c>
      <c r="I312" s="156">
        <f>_xll.qlRateHelperEarliestDate($B312,Trigger)</f>
        <v>47203</v>
      </c>
      <c r="J312" s="157">
        <f>_xll.qlRateHelperLatestDate($B312,Trigger)</f>
        <v>51586</v>
      </c>
      <c r="L312" s="155"/>
    </row>
    <row r="313" spans="2:12" x14ac:dyDescent="0.2">
      <c r="B313" s="266" t="str">
        <f>ForwardSwaps!J252</f>
        <v>obj_00787#0001</v>
      </c>
      <c r="C313" s="149" t="str">
        <f>_xll.qlRateHelperQuoteName(B313)</f>
        <v>EUR14F13Y_Quote</v>
      </c>
      <c r="D313" s="150">
        <f>_xll.qlRateHelperQuoteValue($B313,Trigger)</f>
        <v>1.077E-2</v>
      </c>
      <c r="E313" s="150">
        <f>_xll.qlSwapRateHelperSpread($B313,Trigger)</f>
        <v>0</v>
      </c>
      <c r="F313" s="151" t="b">
        <v>0</v>
      </c>
      <c r="G313" s="151">
        <v>50</v>
      </c>
      <c r="H313" s="151">
        <v>1</v>
      </c>
      <c r="I313" s="156">
        <f>_xll.qlRateHelperEarliestDate($B313,Trigger)</f>
        <v>47203</v>
      </c>
      <c r="J313" s="157">
        <f>_xll.qlRateHelperLatestDate($B313,Trigger)</f>
        <v>51951</v>
      </c>
      <c r="L313" s="155"/>
    </row>
    <row r="314" spans="2:12" x14ac:dyDescent="0.2">
      <c r="B314" s="266" t="str">
        <f>ForwardSwaps!J253</f>
        <v>obj_007bd#0001</v>
      </c>
      <c r="C314" s="149" t="str">
        <f>_xll.qlRateHelperQuoteName(B314)</f>
        <v>EUR14F14Y_Quote</v>
      </c>
      <c r="D314" s="150">
        <f>_xll.qlRateHelperQuoteValue($B314,Trigger)</f>
        <v>1.076E-2</v>
      </c>
      <c r="E314" s="150">
        <f>_xll.qlSwapRateHelperSpread($B314,Trigger)</f>
        <v>0</v>
      </c>
      <c r="F314" s="151" t="b">
        <v>0</v>
      </c>
      <c r="G314" s="151">
        <v>50</v>
      </c>
      <c r="H314" s="151">
        <v>1</v>
      </c>
      <c r="I314" s="156">
        <f>_xll.qlRateHelperEarliestDate($B314,Trigger)</f>
        <v>47203</v>
      </c>
      <c r="J314" s="157">
        <f>_xll.qlRateHelperLatestDate($B314,Trigger)</f>
        <v>52316</v>
      </c>
      <c r="L314" s="155"/>
    </row>
    <row r="315" spans="2:12" x14ac:dyDescent="0.2">
      <c r="B315" s="266" t="str">
        <f>ForwardSwaps!J254</f>
        <v>obj_007d0#0001</v>
      </c>
      <c r="C315" s="149" t="str">
        <f>_xll.qlRateHelperQuoteName(B315)</f>
        <v>EUR14F15Y_Quote</v>
      </c>
      <c r="D315" s="150">
        <f>_xll.qlRateHelperQuoteValue($B315,Trigger)</f>
        <v>1.0740000000000001E-2</v>
      </c>
      <c r="E315" s="150">
        <f>_xll.qlSwapRateHelperSpread($B315,Trigger)</f>
        <v>0</v>
      </c>
      <c r="F315" s="151" t="b">
        <v>0</v>
      </c>
      <c r="G315" s="151">
        <v>50</v>
      </c>
      <c r="H315" s="151">
        <v>1</v>
      </c>
      <c r="I315" s="156">
        <f>_xll.qlRateHelperEarliestDate($B315,Trigger)</f>
        <v>47203</v>
      </c>
      <c r="J315" s="157">
        <f>_xll.qlRateHelperLatestDate($B315,Trigger)</f>
        <v>52684</v>
      </c>
      <c r="L315" s="155"/>
    </row>
    <row r="316" spans="2:12" x14ac:dyDescent="0.2">
      <c r="B316" s="266" t="str">
        <f>ForwardSwaps!J255</f>
        <v>obj_007f3#0001</v>
      </c>
      <c r="C316" s="149" t="str">
        <f>_xll.qlRateHelperQuoteName(B316)</f>
        <v>EUR14F20Y_Quote</v>
      </c>
      <c r="D316" s="150">
        <f>_xll.qlRateHelperQuoteValue($B316,Trigger)</f>
        <v>1.065E-2</v>
      </c>
      <c r="E316" s="150">
        <f>_xll.qlSwapRateHelperSpread($B316,Trigger)</f>
        <v>0</v>
      </c>
      <c r="F316" s="151" t="b">
        <v>0</v>
      </c>
      <c r="G316" s="151">
        <v>50</v>
      </c>
      <c r="H316" s="151">
        <v>1</v>
      </c>
      <c r="I316" s="156">
        <f>_xll.qlRateHelperEarliestDate($B316,Trigger)</f>
        <v>47203</v>
      </c>
      <c r="J316" s="157">
        <f>_xll.qlRateHelperLatestDate($B316,Trigger)</f>
        <v>54508</v>
      </c>
      <c r="L316" s="155"/>
    </row>
    <row r="317" spans="2:12" x14ac:dyDescent="0.2">
      <c r="B317" s="266" t="str">
        <f>ForwardSwaps!J256</f>
        <v>obj_00764#0001</v>
      </c>
      <c r="C317" s="149" t="str">
        <f>_xll.qlRateHelperQuoteName(B317)</f>
        <v>EUR14F25Y_Quote</v>
      </c>
      <c r="D317" s="150">
        <f>_xll.qlRateHelperQuoteValue($B317,Trigger)</f>
        <v>1.0509999999999999E-2</v>
      </c>
      <c r="E317" s="150">
        <f>_xll.qlSwapRateHelperSpread($B317,Trigger)</f>
        <v>0</v>
      </c>
      <c r="F317" s="151" t="b">
        <v>0</v>
      </c>
      <c r="G317" s="151">
        <v>50</v>
      </c>
      <c r="H317" s="151">
        <v>1</v>
      </c>
      <c r="I317" s="156">
        <f>_xll.qlRateHelperEarliestDate($B317,Trigger)</f>
        <v>47203</v>
      </c>
      <c r="J317" s="157">
        <f>_xll.qlRateHelperLatestDate($B317,Trigger)</f>
        <v>56334</v>
      </c>
      <c r="L317" s="155"/>
    </row>
    <row r="318" spans="2:12" x14ac:dyDescent="0.2">
      <c r="B318" s="267" t="str">
        <f>ForwardSwaps!J257</f>
        <v>obj_0087c#0001</v>
      </c>
      <c r="C318" s="152" t="str">
        <f>_xll.qlRateHelperQuoteName(B318)</f>
        <v>EUR14F30Y_Quote</v>
      </c>
      <c r="D318" s="153">
        <f>_xll.qlRateHelperQuoteValue($B318,Trigger)</f>
        <v>1.0109999999999999E-2</v>
      </c>
      <c r="E318" s="153">
        <f>_xll.qlSwapRateHelperSpread($B318,Trigger)</f>
        <v>0</v>
      </c>
      <c r="F318" s="154" t="b">
        <v>0</v>
      </c>
      <c r="G318" s="154">
        <v>50</v>
      </c>
      <c r="H318" s="154">
        <v>1</v>
      </c>
      <c r="I318" s="158">
        <f>_xll.qlRateHelperEarliestDate($B318,Trigger)</f>
        <v>47203</v>
      </c>
      <c r="J318" s="159">
        <f>_xll.qlRateHelperLatestDate($B318,Trigger)</f>
        <v>58160</v>
      </c>
      <c r="L318" s="155"/>
    </row>
    <row r="319" spans="2:12" x14ac:dyDescent="0.2">
      <c r="B319" s="268" t="str">
        <f>ForwardSwaps!J258</f>
        <v>obj_007e0#0001</v>
      </c>
      <c r="C319" s="251" t="str">
        <f>_xll.qlRateHelperQuoteName(B319)</f>
        <v>EUR15F1Y_Quote</v>
      </c>
      <c r="D319" s="269">
        <f>_xll.qlRateHelperQuoteValue($B319,Trigger)</f>
        <v>1.106E-2</v>
      </c>
      <c r="E319" s="269">
        <f>_xll.qlSwapRateHelperSpread($B319,Trigger)</f>
        <v>0</v>
      </c>
      <c r="F319" s="270" t="b">
        <v>0</v>
      </c>
      <c r="G319" s="270">
        <v>50</v>
      </c>
      <c r="H319" s="270">
        <v>1</v>
      </c>
      <c r="I319" s="271">
        <f>_xll.qlRateHelperEarliestDate($B319,Trigger)</f>
        <v>47567</v>
      </c>
      <c r="J319" s="272">
        <f>_xll.qlRateHelperLatestDate($B319,Trigger)</f>
        <v>47932</v>
      </c>
      <c r="L319" s="155"/>
    </row>
    <row r="320" spans="2:12" x14ac:dyDescent="0.2">
      <c r="B320" s="266" t="str">
        <f>ForwardSwaps!J259</f>
        <v>obj_0085c#0001</v>
      </c>
      <c r="C320" s="149" t="str">
        <f>_xll.qlRateHelperQuoteName(B320)</f>
        <v>EUR15F2Y_Quote</v>
      </c>
      <c r="D320" s="150">
        <f>_xll.qlRateHelperQuoteValue($B320,Trigger)</f>
        <v>1.1200000000000002E-2</v>
      </c>
      <c r="E320" s="150">
        <f>_xll.qlSwapRateHelperSpread($B320,Trigger)</f>
        <v>0</v>
      </c>
      <c r="F320" s="151" t="b">
        <v>0</v>
      </c>
      <c r="G320" s="151">
        <v>50</v>
      </c>
      <c r="H320" s="151">
        <v>1</v>
      </c>
      <c r="I320" s="156">
        <f>_xll.qlRateHelperEarliestDate($B320,Trigger)</f>
        <v>47567</v>
      </c>
      <c r="J320" s="157">
        <f>_xll.qlRateHelperLatestDate($B320,Trigger)</f>
        <v>48298</v>
      </c>
      <c r="L320" s="155"/>
    </row>
    <row r="321" spans="2:12" x14ac:dyDescent="0.2">
      <c r="B321" s="266" t="str">
        <f>ForwardSwaps!J260</f>
        <v>obj_00814#0001</v>
      </c>
      <c r="C321" s="149" t="str">
        <f>_xll.qlRateHelperQuoteName(B321)</f>
        <v>EUR15F3Y_Quote</v>
      </c>
      <c r="D321" s="150">
        <f>_xll.qlRateHelperQuoteValue($B321,Trigger)</f>
        <v>1.1080000000000001E-2</v>
      </c>
      <c r="E321" s="150">
        <f>_xll.qlSwapRateHelperSpread($B321,Trigger)</f>
        <v>0</v>
      </c>
      <c r="F321" s="151" t="b">
        <v>0</v>
      </c>
      <c r="G321" s="151">
        <v>50</v>
      </c>
      <c r="H321" s="151">
        <v>1</v>
      </c>
      <c r="I321" s="156">
        <f>_xll.qlRateHelperEarliestDate($B321,Trigger)</f>
        <v>47567</v>
      </c>
      <c r="J321" s="157">
        <f>_xll.qlRateHelperLatestDate($B321,Trigger)</f>
        <v>48663</v>
      </c>
      <c r="L321" s="155"/>
    </row>
    <row r="322" spans="2:12" x14ac:dyDescent="0.2">
      <c r="B322" s="266" t="str">
        <f>ForwardSwaps!J261</f>
        <v>obj_007b5#0001</v>
      </c>
      <c r="C322" s="149" t="str">
        <f>_xll.qlRateHelperQuoteName(B322)</f>
        <v>EUR15F4Y_Quote</v>
      </c>
      <c r="D322" s="150">
        <f>_xll.qlRateHelperQuoteValue($B322,Trigger)</f>
        <v>1.106E-2</v>
      </c>
      <c r="E322" s="150">
        <f>_xll.qlSwapRateHelperSpread($B322,Trigger)</f>
        <v>0</v>
      </c>
      <c r="F322" s="151" t="b">
        <v>0</v>
      </c>
      <c r="G322" s="151">
        <v>50</v>
      </c>
      <c r="H322" s="151">
        <v>1</v>
      </c>
      <c r="I322" s="156">
        <f>_xll.qlRateHelperEarliestDate($B322,Trigger)</f>
        <v>47567</v>
      </c>
      <c r="J322" s="157">
        <f>_xll.qlRateHelperLatestDate($B322,Trigger)</f>
        <v>49030</v>
      </c>
      <c r="L322" s="155"/>
    </row>
    <row r="323" spans="2:12" x14ac:dyDescent="0.2">
      <c r="B323" s="266" t="str">
        <f>ForwardSwaps!J262</f>
        <v>obj_007a5#0001</v>
      </c>
      <c r="C323" s="149" t="str">
        <f>_xll.qlRateHelperQuoteName(B323)</f>
        <v>EUR15F5Y_Quote</v>
      </c>
      <c r="D323" s="150">
        <f>_xll.qlRateHelperQuoteValue($B323,Trigger)</f>
        <v>1.098E-2</v>
      </c>
      <c r="E323" s="150">
        <f>_xll.qlSwapRateHelperSpread($B323,Trigger)</f>
        <v>0</v>
      </c>
      <c r="F323" s="151" t="b">
        <v>0</v>
      </c>
      <c r="G323" s="151">
        <v>50</v>
      </c>
      <c r="H323" s="151">
        <v>1</v>
      </c>
      <c r="I323" s="156">
        <f>_xll.qlRateHelperEarliestDate($B323,Trigger)</f>
        <v>47567</v>
      </c>
      <c r="J323" s="157">
        <f>_xll.qlRateHelperLatestDate($B323,Trigger)</f>
        <v>49395</v>
      </c>
      <c r="L323" s="155"/>
    </row>
    <row r="324" spans="2:12" x14ac:dyDescent="0.2">
      <c r="B324" s="266" t="str">
        <f>ForwardSwaps!J263</f>
        <v>obj_00767#0001</v>
      </c>
      <c r="C324" s="149" t="str">
        <f>_xll.qlRateHelperQuoteName(B324)</f>
        <v>EUR15F6Y_Quote</v>
      </c>
      <c r="D324" s="150">
        <f>_xll.qlRateHelperQuoteValue($B324,Trigger)</f>
        <v>1.093E-2</v>
      </c>
      <c r="E324" s="150">
        <f>_xll.qlSwapRateHelperSpread($B324,Trigger)</f>
        <v>0</v>
      </c>
      <c r="F324" s="151" t="b">
        <v>0</v>
      </c>
      <c r="G324" s="151">
        <v>50</v>
      </c>
      <c r="H324" s="151">
        <v>1</v>
      </c>
      <c r="I324" s="156">
        <f>_xll.qlRateHelperEarliestDate($B324,Trigger)</f>
        <v>47567</v>
      </c>
      <c r="J324" s="157">
        <f>_xll.qlRateHelperLatestDate($B324,Trigger)</f>
        <v>49759</v>
      </c>
      <c r="L324" s="155"/>
    </row>
    <row r="325" spans="2:12" x14ac:dyDescent="0.2">
      <c r="B325" s="266" t="str">
        <f>ForwardSwaps!J264</f>
        <v>obj_0073e#0001</v>
      </c>
      <c r="C325" s="149" t="str">
        <f>_xll.qlRateHelperQuoteName(B325)</f>
        <v>EUR15F7Y_Quote</v>
      </c>
      <c r="D325" s="150">
        <f>_xll.qlRateHelperQuoteValue($B325,Trigger)</f>
        <v>1.0869999999999999E-2</v>
      </c>
      <c r="E325" s="150">
        <f>_xll.qlSwapRateHelperSpread($B325,Trigger)</f>
        <v>0</v>
      </c>
      <c r="F325" s="151" t="b">
        <v>0</v>
      </c>
      <c r="G325" s="151">
        <v>50</v>
      </c>
      <c r="H325" s="151">
        <v>1</v>
      </c>
      <c r="I325" s="156">
        <f>_xll.qlRateHelperEarliestDate($B325,Trigger)</f>
        <v>47567</v>
      </c>
      <c r="J325" s="157">
        <f>_xll.qlRateHelperLatestDate($B325,Trigger)</f>
        <v>50124</v>
      </c>
      <c r="L325" s="155"/>
    </row>
    <row r="326" spans="2:12" x14ac:dyDescent="0.2">
      <c r="B326" s="266" t="str">
        <f>ForwardSwaps!J265</f>
        <v>obj_007ed#0001</v>
      </c>
      <c r="C326" s="149" t="str">
        <f>_xll.qlRateHelperQuoteName(B326)</f>
        <v>EUR15F8Y_Quote</v>
      </c>
      <c r="D326" s="150">
        <f>_xll.qlRateHelperQuoteValue($B326,Trigger)</f>
        <v>1.081E-2</v>
      </c>
      <c r="E326" s="150">
        <f>_xll.qlSwapRateHelperSpread($B326,Trigger)</f>
        <v>0</v>
      </c>
      <c r="F326" s="151" t="b">
        <v>0</v>
      </c>
      <c r="G326" s="151">
        <v>50</v>
      </c>
      <c r="H326" s="151">
        <v>1</v>
      </c>
      <c r="I326" s="156">
        <f>_xll.qlRateHelperEarliestDate($B326,Trigger)</f>
        <v>47567</v>
      </c>
      <c r="J326" s="157">
        <f>_xll.qlRateHelperLatestDate($B326,Trigger)</f>
        <v>50489</v>
      </c>
      <c r="L326" s="155"/>
    </row>
    <row r="327" spans="2:12" x14ac:dyDescent="0.2">
      <c r="B327" s="266" t="str">
        <f>ForwardSwaps!J266</f>
        <v>obj_007a9#0001</v>
      </c>
      <c r="C327" s="149" t="str">
        <f>_xll.qlRateHelperQuoteName(B327)</f>
        <v>EUR15F9Y_Quote</v>
      </c>
      <c r="D327" s="150">
        <f>_xll.qlRateHelperQuoteValue($B327,Trigger)</f>
        <v>1.0789999999999999E-2</v>
      </c>
      <c r="E327" s="150">
        <f>_xll.qlSwapRateHelperSpread($B327,Trigger)</f>
        <v>0</v>
      </c>
      <c r="F327" s="151" t="b">
        <v>0</v>
      </c>
      <c r="G327" s="151">
        <v>50</v>
      </c>
      <c r="H327" s="151">
        <v>1</v>
      </c>
      <c r="I327" s="156">
        <f>_xll.qlRateHelperEarliestDate($B327,Trigger)</f>
        <v>47567</v>
      </c>
      <c r="J327" s="157">
        <f>_xll.qlRateHelperLatestDate($B327,Trigger)</f>
        <v>50854</v>
      </c>
      <c r="L327" s="155"/>
    </row>
    <row r="328" spans="2:12" x14ac:dyDescent="0.2">
      <c r="B328" s="266" t="str">
        <f>ForwardSwaps!J267</f>
        <v>obj_00788#0001</v>
      </c>
      <c r="C328" s="149" t="str">
        <f>_xll.qlRateHelperQuoteName(B328)</f>
        <v>EUR15F10Y_Quote</v>
      </c>
      <c r="D328" s="150">
        <f>_xll.qlRateHelperQuoteValue($B328,Trigger)</f>
        <v>1.076E-2</v>
      </c>
      <c r="E328" s="150">
        <f>_xll.qlSwapRateHelperSpread($B328,Trigger)</f>
        <v>0</v>
      </c>
      <c r="F328" s="151" t="b">
        <v>0</v>
      </c>
      <c r="G328" s="151">
        <v>50</v>
      </c>
      <c r="H328" s="151">
        <v>1</v>
      </c>
      <c r="I328" s="156">
        <f>_xll.qlRateHelperEarliestDate($B328,Trigger)</f>
        <v>47567</v>
      </c>
      <c r="J328" s="157">
        <f>_xll.qlRateHelperLatestDate($B328,Trigger)</f>
        <v>51221</v>
      </c>
      <c r="L328" s="155"/>
    </row>
    <row r="329" spans="2:12" x14ac:dyDescent="0.2">
      <c r="B329" s="266" t="str">
        <f>ForwardSwaps!J268</f>
        <v>obj_00748#0001</v>
      </c>
      <c r="C329" s="149" t="str">
        <f>_xll.qlRateHelperQuoteName(B329)</f>
        <v>EUR15F11Y_Quote</v>
      </c>
      <c r="D329" s="150">
        <f>_xll.qlRateHelperQuoteValue($B329,Trigger)</f>
        <v>1.0749999999999999E-2</v>
      </c>
      <c r="E329" s="150">
        <f>_xll.qlSwapRateHelperSpread($B329,Trigger)</f>
        <v>0</v>
      </c>
      <c r="F329" s="151" t="b">
        <v>0</v>
      </c>
      <c r="G329" s="151">
        <v>50</v>
      </c>
      <c r="H329" s="151">
        <v>1</v>
      </c>
      <c r="I329" s="156">
        <f>_xll.qlRateHelperEarliestDate($B329,Trigger)</f>
        <v>47567</v>
      </c>
      <c r="J329" s="157">
        <f>_xll.qlRateHelperLatestDate($B329,Trigger)</f>
        <v>51585</v>
      </c>
      <c r="L329" s="155"/>
    </row>
    <row r="330" spans="2:12" x14ac:dyDescent="0.2">
      <c r="B330" s="266" t="str">
        <f>ForwardSwaps!J269</f>
        <v>obj_00878#0001</v>
      </c>
      <c r="C330" s="149" t="str">
        <f>_xll.qlRateHelperQuoteName(B330)</f>
        <v>EUR15F12Y_Quote</v>
      </c>
      <c r="D330" s="150">
        <f>_xll.qlRateHelperQuoteValue($B330,Trigger)</f>
        <v>1.073E-2</v>
      </c>
      <c r="E330" s="150">
        <f>_xll.qlSwapRateHelperSpread($B330,Trigger)</f>
        <v>0</v>
      </c>
      <c r="F330" s="151" t="b">
        <v>0</v>
      </c>
      <c r="G330" s="151">
        <v>50</v>
      </c>
      <c r="H330" s="151">
        <v>1</v>
      </c>
      <c r="I330" s="156">
        <f>_xll.qlRateHelperEarliestDate($B330,Trigger)</f>
        <v>47567</v>
      </c>
      <c r="J330" s="157">
        <f>_xll.qlRateHelperLatestDate($B330,Trigger)</f>
        <v>51950</v>
      </c>
      <c r="L330" s="155"/>
    </row>
    <row r="331" spans="2:12" x14ac:dyDescent="0.2">
      <c r="B331" s="266" t="str">
        <f>ForwardSwaps!J270</f>
        <v>obj_007da#0001</v>
      </c>
      <c r="C331" s="149" t="str">
        <f>_xll.qlRateHelperQuoteName(B331)</f>
        <v>EUR15F13Y_Quote</v>
      </c>
      <c r="D331" s="150">
        <f>_xll.qlRateHelperQuoteValue($B331,Trigger)</f>
        <v>1.073E-2</v>
      </c>
      <c r="E331" s="150">
        <f>_xll.qlSwapRateHelperSpread($B331,Trigger)</f>
        <v>0</v>
      </c>
      <c r="F331" s="151" t="b">
        <v>0</v>
      </c>
      <c r="G331" s="151">
        <v>50</v>
      </c>
      <c r="H331" s="151">
        <v>1</v>
      </c>
      <c r="I331" s="156">
        <f>_xll.qlRateHelperEarliestDate($B331,Trigger)</f>
        <v>47567</v>
      </c>
      <c r="J331" s="157">
        <f>_xll.qlRateHelperLatestDate($B331,Trigger)</f>
        <v>52315</v>
      </c>
      <c r="L331" s="155"/>
    </row>
    <row r="332" spans="2:12" x14ac:dyDescent="0.2">
      <c r="B332" s="266" t="str">
        <f>ForwardSwaps!J271</f>
        <v>obj_00762#0001</v>
      </c>
      <c r="C332" s="149" t="str">
        <f>_xll.qlRateHelperQuoteName(B332)</f>
        <v>EUR15F14Y_Quote</v>
      </c>
      <c r="D332" s="150">
        <f>_xll.qlRateHelperQuoteValue($B332,Trigger)</f>
        <v>1.0709999999999999E-2</v>
      </c>
      <c r="E332" s="150">
        <f>_xll.qlSwapRateHelperSpread($B332,Trigger)</f>
        <v>0</v>
      </c>
      <c r="F332" s="151" t="b">
        <v>0</v>
      </c>
      <c r="G332" s="151">
        <v>50</v>
      </c>
      <c r="H332" s="151">
        <v>1</v>
      </c>
      <c r="I332" s="156">
        <f>_xll.qlRateHelperEarliestDate($B332,Trigger)</f>
        <v>47567</v>
      </c>
      <c r="J332" s="157">
        <f>_xll.qlRateHelperLatestDate($B332,Trigger)</f>
        <v>52681</v>
      </c>
      <c r="L332" s="155"/>
    </row>
    <row r="333" spans="2:12" x14ac:dyDescent="0.2">
      <c r="B333" s="266" t="str">
        <f>ForwardSwaps!J272</f>
        <v>obj_007e5#0001</v>
      </c>
      <c r="C333" s="149" t="str">
        <f>_xll.qlRateHelperQuoteName(B333)</f>
        <v>EUR15F15Y_Quote</v>
      </c>
      <c r="D333" s="150">
        <f>_xll.qlRateHelperQuoteValue($B333,Trigger)</f>
        <v>1.0700000000000001E-2</v>
      </c>
      <c r="E333" s="150">
        <f>_xll.qlSwapRateHelperSpread($B333,Trigger)</f>
        <v>0</v>
      </c>
      <c r="F333" s="151" t="b">
        <v>0</v>
      </c>
      <c r="G333" s="151">
        <v>50</v>
      </c>
      <c r="H333" s="151">
        <v>1</v>
      </c>
      <c r="I333" s="156">
        <f>_xll.qlRateHelperEarliestDate($B333,Trigger)</f>
        <v>47567</v>
      </c>
      <c r="J333" s="157">
        <f>_xll.qlRateHelperLatestDate($B333,Trigger)</f>
        <v>53048</v>
      </c>
      <c r="L333" s="155"/>
    </row>
    <row r="334" spans="2:12" x14ac:dyDescent="0.2">
      <c r="B334" s="266" t="str">
        <f>ForwardSwaps!J273</f>
        <v>obj_007fb#0001</v>
      </c>
      <c r="C334" s="149" t="str">
        <f>_xll.qlRateHelperQuoteName(B334)</f>
        <v>EUR15F20Y_Quote</v>
      </c>
      <c r="D334" s="150">
        <f>_xll.qlRateHelperQuoteValue($B334,Trigger)</f>
        <v>1.06E-2</v>
      </c>
      <c r="E334" s="150">
        <f>_xll.qlSwapRateHelperSpread($B334,Trigger)</f>
        <v>0</v>
      </c>
      <c r="F334" s="151" t="b">
        <v>0</v>
      </c>
      <c r="G334" s="151">
        <v>50</v>
      </c>
      <c r="H334" s="151">
        <v>1</v>
      </c>
      <c r="I334" s="156">
        <f>_xll.qlRateHelperEarliestDate($B334,Trigger)</f>
        <v>47567</v>
      </c>
      <c r="J334" s="157">
        <f>_xll.qlRateHelperLatestDate($B334,Trigger)</f>
        <v>54872</v>
      </c>
      <c r="L334" s="155"/>
    </row>
    <row r="335" spans="2:12" x14ac:dyDescent="0.2">
      <c r="B335" s="266" t="str">
        <f>ForwardSwaps!J274</f>
        <v>obj_0079d#0001</v>
      </c>
      <c r="C335" s="149" t="str">
        <f>_xll.qlRateHelperQuoteName(B335)</f>
        <v>EUR15F25Y_Quote</v>
      </c>
      <c r="D335" s="150">
        <f>_xll.qlRateHelperQuoteValue($B335,Trigger)</f>
        <v>1.043E-2</v>
      </c>
      <c r="E335" s="150">
        <f>_xll.qlSwapRateHelperSpread($B335,Trigger)</f>
        <v>0</v>
      </c>
      <c r="F335" s="151" t="b">
        <v>0</v>
      </c>
      <c r="G335" s="151">
        <v>50</v>
      </c>
      <c r="H335" s="151">
        <v>1</v>
      </c>
      <c r="I335" s="156">
        <f>_xll.qlRateHelperEarliestDate($B335,Trigger)</f>
        <v>47567</v>
      </c>
      <c r="J335" s="157">
        <f>_xll.qlRateHelperLatestDate($B335,Trigger)</f>
        <v>56698</v>
      </c>
      <c r="L335" s="155"/>
    </row>
    <row r="336" spans="2:12" x14ac:dyDescent="0.2">
      <c r="B336" s="267" t="str">
        <f>ForwardSwaps!J275</f>
        <v>obj_00784#0001</v>
      </c>
      <c r="C336" s="152" t="str">
        <f>_xll.qlRateHelperQuoteName(B336)</f>
        <v>EUR15F30Y_Quote</v>
      </c>
      <c r="D336" s="153">
        <f>_xll.qlRateHelperQuoteValue($B336,Trigger)</f>
        <v>9.9799999999999993E-3</v>
      </c>
      <c r="E336" s="153">
        <f>_xll.qlSwapRateHelperSpread($B336,Trigger)</f>
        <v>0</v>
      </c>
      <c r="F336" s="154" t="b">
        <v>1</v>
      </c>
      <c r="G336" s="154">
        <v>50</v>
      </c>
      <c r="H336" s="154">
        <v>1</v>
      </c>
      <c r="I336" s="158">
        <f>_xll.qlRateHelperEarliestDate($B336,Trigger)</f>
        <v>47567</v>
      </c>
      <c r="J336" s="159">
        <f>_xll.qlRateHelperLatestDate($B336,Trigger)</f>
        <v>58525</v>
      </c>
      <c r="L336" s="155"/>
    </row>
    <row r="337" spans="2:12" x14ac:dyDescent="0.2">
      <c r="B337" s="268" t="str">
        <f>ForwardSwaps!J276</f>
        <v>obj_00753#0001</v>
      </c>
      <c r="C337" s="251" t="str">
        <f>_xll.qlRateHelperQuoteName(B337)</f>
        <v>EUR20F1Y_Quote</v>
      </c>
      <c r="D337" s="269">
        <f>_xll.qlRateHelperQuoteValue($B337,Trigger)</f>
        <v>1.072E-2</v>
      </c>
      <c r="E337" s="269">
        <f>_xll.qlSwapRateHelperSpread($B337,Trigger)</f>
        <v>0</v>
      </c>
      <c r="F337" s="270" t="b">
        <v>0</v>
      </c>
      <c r="G337" s="270">
        <v>50</v>
      </c>
      <c r="H337" s="270">
        <v>1</v>
      </c>
      <c r="I337" s="271">
        <f>_xll.qlRateHelperEarliestDate($B337,Trigger)</f>
        <v>49395</v>
      </c>
      <c r="J337" s="272">
        <f>_xll.qlRateHelperLatestDate($B337,Trigger)</f>
        <v>49761</v>
      </c>
      <c r="L337" s="155"/>
    </row>
    <row r="338" spans="2:12" x14ac:dyDescent="0.2">
      <c r="B338" s="266" t="str">
        <f>ForwardSwaps!J277</f>
        <v>obj_007c6#0001</v>
      </c>
      <c r="C338" s="149" t="str">
        <f>_xll.qlRateHelperQuoteName(B338)</f>
        <v>EUR20F2Y_Quote</v>
      </c>
      <c r="D338" s="150">
        <f>_xll.qlRateHelperQuoteValue($B338,Trigger)</f>
        <v>1.0589999999999999E-2</v>
      </c>
      <c r="E338" s="150">
        <f>_xll.qlSwapRateHelperSpread($B338,Trigger)</f>
        <v>0</v>
      </c>
      <c r="F338" s="151" t="b">
        <v>0</v>
      </c>
      <c r="G338" s="151">
        <v>50</v>
      </c>
      <c r="H338" s="151">
        <v>1</v>
      </c>
      <c r="I338" s="156">
        <f>_xll.qlRateHelperEarliestDate($B338,Trigger)</f>
        <v>49395</v>
      </c>
      <c r="J338" s="157">
        <f>_xll.qlRateHelperLatestDate($B338,Trigger)</f>
        <v>50126</v>
      </c>
      <c r="L338" s="155"/>
    </row>
    <row r="339" spans="2:12" x14ac:dyDescent="0.2">
      <c r="B339" s="266" t="str">
        <f>ForwardSwaps!J278</f>
        <v>obj_00823#0001</v>
      </c>
      <c r="C339" s="149" t="str">
        <f>_xll.qlRateHelperQuoteName(B339)</f>
        <v>EUR20F3Y_Quote</v>
      </c>
      <c r="D339" s="150">
        <f>_xll.qlRateHelperQuoteValue($B339,Trigger)</f>
        <v>1.0529999999999999E-2</v>
      </c>
      <c r="E339" s="150">
        <f>_xll.qlSwapRateHelperSpread($B339,Trigger)</f>
        <v>0</v>
      </c>
      <c r="F339" s="151" t="b">
        <v>0</v>
      </c>
      <c r="G339" s="151">
        <v>50</v>
      </c>
      <c r="H339" s="151">
        <v>1</v>
      </c>
      <c r="I339" s="156">
        <f>_xll.qlRateHelperEarliestDate($B339,Trigger)</f>
        <v>49395</v>
      </c>
      <c r="J339" s="157">
        <f>_xll.qlRateHelperLatestDate($B339,Trigger)</f>
        <v>50493</v>
      </c>
      <c r="L339" s="155"/>
    </row>
    <row r="340" spans="2:12" x14ac:dyDescent="0.2">
      <c r="B340" s="266" t="str">
        <f>ForwardSwaps!J279</f>
        <v>obj_007d2#0001</v>
      </c>
      <c r="C340" s="149" t="str">
        <f>_xll.qlRateHelperQuoteName(B340)</f>
        <v>EUR20F4Y_Quote</v>
      </c>
      <c r="D340" s="150">
        <f>_xll.qlRateHelperQuoteValue($B340,Trigger)</f>
        <v>1.0540000000000001E-2</v>
      </c>
      <c r="E340" s="150">
        <f>_xll.qlSwapRateHelperSpread($B340,Trigger)</f>
        <v>0</v>
      </c>
      <c r="F340" s="151" t="b">
        <v>0</v>
      </c>
      <c r="G340" s="151">
        <v>50</v>
      </c>
      <c r="H340" s="151">
        <v>1</v>
      </c>
      <c r="I340" s="156">
        <f>_xll.qlRateHelperEarliestDate($B340,Trigger)</f>
        <v>49395</v>
      </c>
      <c r="J340" s="157">
        <f>_xll.qlRateHelperLatestDate($B340,Trigger)</f>
        <v>50857</v>
      </c>
      <c r="L340" s="155"/>
    </row>
    <row r="341" spans="2:12" x14ac:dyDescent="0.2">
      <c r="B341" s="266" t="str">
        <f>ForwardSwaps!J280</f>
        <v>obj_00775#0001</v>
      </c>
      <c r="C341" s="149" t="str">
        <f>_xll.qlRateHelperQuoteName(B341)</f>
        <v>EUR20F5Y_Quote</v>
      </c>
      <c r="D341" s="150">
        <f>_xll.qlRateHelperQuoteValue($B341,Trigger)</f>
        <v>1.0529999999999999E-2</v>
      </c>
      <c r="E341" s="150">
        <f>_xll.qlSwapRateHelperSpread($B341,Trigger)</f>
        <v>0</v>
      </c>
      <c r="F341" s="151" t="b">
        <v>0</v>
      </c>
      <c r="G341" s="151">
        <v>50</v>
      </c>
      <c r="H341" s="151">
        <v>1</v>
      </c>
      <c r="I341" s="156">
        <f>_xll.qlRateHelperEarliestDate($B341,Trigger)</f>
        <v>49395</v>
      </c>
      <c r="J341" s="157">
        <f>_xll.qlRateHelperLatestDate($B341,Trigger)</f>
        <v>51222</v>
      </c>
      <c r="L341" s="155"/>
    </row>
    <row r="342" spans="2:12" x14ac:dyDescent="0.2">
      <c r="B342" s="266" t="str">
        <f>ForwardSwaps!J281</f>
        <v>obj_007b7#0001</v>
      </c>
      <c r="C342" s="149" t="str">
        <f>_xll.qlRateHelperQuoteName(B342)</f>
        <v>EUR20F6Y_Quote</v>
      </c>
      <c r="D342" s="150">
        <f>_xll.qlRateHelperQuoteValue($B342,Trigger)</f>
        <v>1.0549999999999999E-2</v>
      </c>
      <c r="E342" s="150">
        <f>_xll.qlSwapRateHelperSpread($B342,Trigger)</f>
        <v>0</v>
      </c>
      <c r="F342" s="151" t="b">
        <v>0</v>
      </c>
      <c r="G342" s="151">
        <v>50</v>
      </c>
      <c r="H342" s="151">
        <v>1</v>
      </c>
      <c r="I342" s="156">
        <f>_xll.qlRateHelperEarliestDate($B342,Trigger)</f>
        <v>49395</v>
      </c>
      <c r="J342" s="157">
        <f>_xll.qlRateHelperLatestDate($B342,Trigger)</f>
        <v>51587</v>
      </c>
      <c r="L342" s="155"/>
    </row>
    <row r="343" spans="2:12" x14ac:dyDescent="0.2">
      <c r="B343" s="266" t="str">
        <f>ForwardSwaps!J282</f>
        <v>obj_007d8#0001</v>
      </c>
      <c r="C343" s="149" t="str">
        <f>_xll.qlRateHelperQuoteName(B343)</f>
        <v>EUR20F7Y_Quote</v>
      </c>
      <c r="D343" s="150">
        <f>_xll.qlRateHelperQuoteValue($B343,Trigger)</f>
        <v>1.0549999999999999E-2</v>
      </c>
      <c r="E343" s="150">
        <f>_xll.qlSwapRateHelperSpread($B343,Trigger)</f>
        <v>0</v>
      </c>
      <c r="F343" s="151" t="b">
        <v>0</v>
      </c>
      <c r="G343" s="151">
        <v>50</v>
      </c>
      <c r="H343" s="151">
        <v>1</v>
      </c>
      <c r="I343" s="156">
        <f>_xll.qlRateHelperEarliestDate($B343,Trigger)</f>
        <v>49395</v>
      </c>
      <c r="J343" s="157">
        <f>_xll.qlRateHelperLatestDate($B343,Trigger)</f>
        <v>51952</v>
      </c>
      <c r="L343" s="155"/>
    </row>
    <row r="344" spans="2:12" x14ac:dyDescent="0.2">
      <c r="B344" s="266" t="str">
        <f>ForwardSwaps!J283</f>
        <v>obj_0083f#0001</v>
      </c>
      <c r="C344" s="149" t="str">
        <f>_xll.qlRateHelperQuoteName(B344)</f>
        <v>EUR20F8Y_Quote</v>
      </c>
      <c r="D344" s="150">
        <f>_xll.qlRateHelperQuoteValue($B344,Trigger)</f>
        <v>1.056E-2</v>
      </c>
      <c r="E344" s="150">
        <f>_xll.qlSwapRateHelperSpread($B344,Trigger)</f>
        <v>0</v>
      </c>
      <c r="F344" s="151" t="b">
        <v>0</v>
      </c>
      <c r="G344" s="151">
        <v>50</v>
      </c>
      <c r="H344" s="151">
        <v>1</v>
      </c>
      <c r="I344" s="156">
        <f>_xll.qlRateHelperEarliestDate($B344,Trigger)</f>
        <v>49395</v>
      </c>
      <c r="J344" s="157">
        <f>_xll.qlRateHelperLatestDate($B344,Trigger)</f>
        <v>52321</v>
      </c>
      <c r="L344" s="155"/>
    </row>
    <row r="345" spans="2:12" x14ac:dyDescent="0.2">
      <c r="B345" s="266" t="str">
        <f>ForwardSwaps!J284</f>
        <v>obj_0079a#0001</v>
      </c>
      <c r="C345" s="149" t="str">
        <f>_xll.qlRateHelperQuoteName(B345)</f>
        <v>EUR20F9Y_Quote</v>
      </c>
      <c r="D345" s="150">
        <f>_xll.qlRateHelperQuoteValue($B345,Trigger)</f>
        <v>1.0549999999999999E-2</v>
      </c>
      <c r="E345" s="150">
        <f>_xll.qlSwapRateHelperSpread($B345,Trigger)</f>
        <v>0</v>
      </c>
      <c r="F345" s="151" t="b">
        <v>0</v>
      </c>
      <c r="G345" s="151">
        <v>50</v>
      </c>
      <c r="H345" s="151">
        <v>1</v>
      </c>
      <c r="I345" s="156">
        <f>_xll.qlRateHelperEarliestDate($B345,Trigger)</f>
        <v>49395</v>
      </c>
      <c r="J345" s="157">
        <f>_xll.qlRateHelperLatestDate($B345,Trigger)</f>
        <v>52684</v>
      </c>
      <c r="L345" s="155"/>
    </row>
    <row r="346" spans="2:12" x14ac:dyDescent="0.2">
      <c r="B346" s="266" t="str">
        <f>ForwardSwaps!J285</f>
        <v>obj_0088f#0001</v>
      </c>
      <c r="C346" s="149" t="str">
        <f>_xll.qlRateHelperQuoteName(B346)</f>
        <v>EUR20F10Y_Quote</v>
      </c>
      <c r="D346" s="150">
        <f>_xll.qlRateHelperQuoteValue($B346,Trigger)</f>
        <v>1.0549999999999999E-2</v>
      </c>
      <c r="E346" s="150">
        <f>_xll.qlSwapRateHelperSpread($B346,Trigger)</f>
        <v>0</v>
      </c>
      <c r="F346" s="151" t="b">
        <v>0</v>
      </c>
      <c r="G346" s="151">
        <v>50</v>
      </c>
      <c r="H346" s="151">
        <v>1</v>
      </c>
      <c r="I346" s="156">
        <f>_xll.qlRateHelperEarliestDate($B346,Trigger)</f>
        <v>49395</v>
      </c>
      <c r="J346" s="157">
        <f>_xll.qlRateHelperLatestDate($B346,Trigger)</f>
        <v>53048</v>
      </c>
      <c r="L346" s="155"/>
    </row>
    <row r="347" spans="2:12" x14ac:dyDescent="0.2">
      <c r="B347" s="266" t="str">
        <f>ForwardSwaps!J286</f>
        <v>obj_0074e#0001</v>
      </c>
      <c r="C347" s="149" t="str">
        <f>_xll.qlRateHelperQuoteName(B347)</f>
        <v>EUR20F11Y_Quote</v>
      </c>
      <c r="D347" s="150">
        <f>_xll.qlRateHelperQuoteValue($B347,Trigger)</f>
        <v>1.0540000000000001E-2</v>
      </c>
      <c r="E347" s="150">
        <f>_xll.qlSwapRateHelperSpread($B347,Trigger)</f>
        <v>0</v>
      </c>
      <c r="F347" s="151" t="b">
        <v>0</v>
      </c>
      <c r="G347" s="151">
        <v>50</v>
      </c>
      <c r="H347" s="151">
        <v>1</v>
      </c>
      <c r="I347" s="156">
        <f>_xll.qlRateHelperEarliestDate($B347,Trigger)</f>
        <v>49395</v>
      </c>
      <c r="J347" s="157">
        <f>_xll.qlRateHelperLatestDate($B347,Trigger)</f>
        <v>53413</v>
      </c>
      <c r="L347" s="155"/>
    </row>
    <row r="348" spans="2:12" x14ac:dyDescent="0.2">
      <c r="B348" s="266" t="str">
        <f>ForwardSwaps!J287</f>
        <v>obj_00886#0001</v>
      </c>
      <c r="C348" s="149" t="str">
        <f>_xll.qlRateHelperQuoteName(B348)</f>
        <v>EUR20F12Y_Quote</v>
      </c>
      <c r="D348" s="150">
        <f>_xll.qlRateHelperQuoteValue($B348,Trigger)</f>
        <v>1.052E-2</v>
      </c>
      <c r="E348" s="150">
        <f>_xll.qlSwapRateHelperSpread($B348,Trigger)</f>
        <v>0</v>
      </c>
      <c r="F348" s="151" t="b">
        <v>0</v>
      </c>
      <c r="G348" s="151">
        <v>50</v>
      </c>
      <c r="H348" s="151">
        <v>1</v>
      </c>
      <c r="I348" s="156">
        <f>_xll.qlRateHelperEarliestDate($B348,Trigger)</f>
        <v>49395</v>
      </c>
      <c r="J348" s="157">
        <f>_xll.qlRateHelperLatestDate($B348,Trigger)</f>
        <v>53778</v>
      </c>
      <c r="L348" s="155"/>
    </row>
    <row r="349" spans="2:12" x14ac:dyDescent="0.2">
      <c r="B349" s="266" t="str">
        <f>ForwardSwaps!J288</f>
        <v>obj_0076c#0001</v>
      </c>
      <c r="C349" s="149" t="str">
        <f>_xll.qlRateHelperQuoteName(B349)</f>
        <v>EUR20F13Y_Quote</v>
      </c>
      <c r="D349" s="150">
        <f>_xll.qlRateHelperQuoteValue($B349,Trigger)</f>
        <v>1.0500000000000001E-2</v>
      </c>
      <c r="E349" s="150">
        <f>_xll.qlSwapRateHelperSpread($B349,Trigger)</f>
        <v>0</v>
      </c>
      <c r="F349" s="151" t="b">
        <v>0</v>
      </c>
      <c r="G349" s="151">
        <v>50</v>
      </c>
      <c r="H349" s="151">
        <v>1</v>
      </c>
      <c r="I349" s="156">
        <f>_xll.qlRateHelperEarliestDate($B349,Trigger)</f>
        <v>49395</v>
      </c>
      <c r="J349" s="157">
        <f>_xll.qlRateHelperLatestDate($B349,Trigger)</f>
        <v>54144</v>
      </c>
      <c r="L349" s="155"/>
    </row>
    <row r="350" spans="2:12" x14ac:dyDescent="0.2">
      <c r="B350" s="266" t="str">
        <f>ForwardSwaps!J289</f>
        <v>obj_0086b#0001</v>
      </c>
      <c r="C350" s="149" t="str">
        <f>_xll.qlRateHelperQuoteName(B350)</f>
        <v>EUR20F14Y_Quote</v>
      </c>
      <c r="D350" s="150">
        <f>_xll.qlRateHelperQuoteValue($B350,Trigger)</f>
        <v>1.048E-2</v>
      </c>
      <c r="E350" s="150">
        <f>_xll.qlSwapRateHelperSpread($B350,Trigger)</f>
        <v>0</v>
      </c>
      <c r="F350" s="151" t="b">
        <v>0</v>
      </c>
      <c r="G350" s="151">
        <v>50</v>
      </c>
      <c r="H350" s="151">
        <v>1</v>
      </c>
      <c r="I350" s="156">
        <f>_xll.qlRateHelperEarliestDate($B350,Trigger)</f>
        <v>49395</v>
      </c>
      <c r="J350" s="157">
        <f>_xll.qlRateHelperLatestDate($B350,Trigger)</f>
        <v>54511</v>
      </c>
      <c r="L350" s="155"/>
    </row>
    <row r="351" spans="2:12" x14ac:dyDescent="0.2">
      <c r="B351" s="266" t="str">
        <f>ForwardSwaps!J290</f>
        <v>obj_007aa#0001</v>
      </c>
      <c r="C351" s="149" t="str">
        <f>_xll.qlRateHelperQuoteName(B351)</f>
        <v>EUR20F15Y_Quote</v>
      </c>
      <c r="D351" s="150">
        <f>_xll.qlRateHelperQuoteValue($B351,Trigger)</f>
        <v>1.0460000000000001E-2</v>
      </c>
      <c r="E351" s="150">
        <f>_xll.qlSwapRateHelperSpread($B351,Trigger)</f>
        <v>0</v>
      </c>
      <c r="F351" s="151" t="b">
        <v>0</v>
      </c>
      <c r="G351" s="151">
        <v>50</v>
      </c>
      <c r="H351" s="151">
        <v>1</v>
      </c>
      <c r="I351" s="156">
        <f>_xll.qlRateHelperEarliestDate($B351,Trigger)</f>
        <v>49395</v>
      </c>
      <c r="J351" s="157">
        <f>_xll.qlRateHelperLatestDate($B351,Trigger)</f>
        <v>54875</v>
      </c>
      <c r="L351" s="155"/>
    </row>
    <row r="352" spans="2:12" x14ac:dyDescent="0.2">
      <c r="B352" s="266" t="str">
        <f>ForwardSwaps!J291</f>
        <v>obj_00797#0001</v>
      </c>
      <c r="C352" s="149" t="str">
        <f>_xll.qlRateHelperQuoteName(B352)</f>
        <v>EUR20F20Y_Quote</v>
      </c>
      <c r="D352" s="150">
        <f>_xll.qlRateHelperQuoteValue($B352,Trigger)</f>
        <v>1.027E-2</v>
      </c>
      <c r="E352" s="150">
        <f>_xll.qlSwapRateHelperSpread($B352,Trigger)</f>
        <v>0</v>
      </c>
      <c r="F352" s="151" t="b">
        <v>0</v>
      </c>
      <c r="G352" s="151">
        <v>50</v>
      </c>
      <c r="H352" s="151">
        <v>1</v>
      </c>
      <c r="I352" s="156">
        <f>_xll.qlRateHelperEarliestDate($B352,Trigger)</f>
        <v>49395</v>
      </c>
      <c r="J352" s="157">
        <f>_xll.qlRateHelperLatestDate($B352,Trigger)</f>
        <v>56702</v>
      </c>
      <c r="L352" s="155"/>
    </row>
    <row r="353" spans="2:12" x14ac:dyDescent="0.2">
      <c r="B353" s="266" t="str">
        <f>ForwardSwaps!J292</f>
        <v>obj_007ec#0001</v>
      </c>
      <c r="C353" s="149" t="str">
        <f>_xll.qlRateHelperQuoteName(B353)</f>
        <v>EUR20F25Y_Quote</v>
      </c>
      <c r="D353" s="150">
        <f>_xll.qlRateHelperQuoteValue($B353,Trigger)</f>
        <v>9.7400000000000004E-3</v>
      </c>
      <c r="E353" s="150">
        <f>_xll.qlSwapRateHelperSpread($B353,Trigger)</f>
        <v>0</v>
      </c>
      <c r="F353" s="151" t="b">
        <v>0</v>
      </c>
      <c r="G353" s="151">
        <v>50</v>
      </c>
      <c r="H353" s="151">
        <v>1</v>
      </c>
      <c r="I353" s="156">
        <f>_xll.qlRateHelperEarliestDate($B353,Trigger)</f>
        <v>49395</v>
      </c>
      <c r="J353" s="157">
        <f>_xll.qlRateHelperLatestDate($B353,Trigger)</f>
        <v>58529</v>
      </c>
      <c r="L353" s="155"/>
    </row>
    <row r="354" spans="2:12" x14ac:dyDescent="0.2">
      <c r="B354" s="267" t="str">
        <f>ForwardSwaps!J293</f>
        <v>obj_00826#0001</v>
      </c>
      <c r="C354" s="152" t="str">
        <f>_xll.qlRateHelperQuoteName(B354)</f>
        <v>EUR20F30Y_Quote</v>
      </c>
      <c r="D354" s="153">
        <f>_xll.qlRateHelperQuoteValue($B354,Trigger)</f>
        <v>9.300000000000001E-3</v>
      </c>
      <c r="E354" s="153">
        <f>_xll.qlSwapRateHelperSpread($B354,Trigger)</f>
        <v>0</v>
      </c>
      <c r="F354" s="154" t="b">
        <v>0</v>
      </c>
      <c r="G354" s="154">
        <v>50</v>
      </c>
      <c r="H354" s="154">
        <v>1</v>
      </c>
      <c r="I354" s="158">
        <f>_xll.qlRateHelperEarliestDate($B354,Trigger)</f>
        <v>49395</v>
      </c>
      <c r="J354" s="159">
        <f>_xll.qlRateHelperLatestDate($B354,Trigger)</f>
        <v>60357</v>
      </c>
      <c r="L354" s="155"/>
    </row>
    <row r="355" spans="2:12" x14ac:dyDescent="0.2">
      <c r="B355" s="268" t="str">
        <f>ForwardSwaps!J294</f>
        <v>obj_00779#0001</v>
      </c>
      <c r="C355" s="251" t="str">
        <f>_xll.qlRateHelperQuoteName(B355)</f>
        <v>EUR25F1Y_Quote</v>
      </c>
      <c r="D355" s="269">
        <f>_xll.qlRateHelperQuoteValue($B355,Trigger)</f>
        <v>1.0660000000000001E-2</v>
      </c>
      <c r="E355" s="269">
        <f>_xll.qlSwapRateHelperSpread($B355,Trigger)</f>
        <v>0</v>
      </c>
      <c r="F355" s="270" t="b">
        <v>0</v>
      </c>
      <c r="G355" s="270">
        <v>50</v>
      </c>
      <c r="H355" s="270">
        <v>1</v>
      </c>
      <c r="I355" s="271">
        <f>_xll.qlRateHelperEarliestDate($B355,Trigger)</f>
        <v>51221</v>
      </c>
      <c r="J355" s="272">
        <f>_xll.qlRateHelperLatestDate($B355,Trigger)</f>
        <v>51586</v>
      </c>
      <c r="L355" s="155"/>
    </row>
    <row r="356" spans="2:12" x14ac:dyDescent="0.2">
      <c r="B356" s="266" t="str">
        <f>ForwardSwaps!J295</f>
        <v>obj_007cc#0001</v>
      </c>
      <c r="C356" s="149" t="str">
        <f>_xll.qlRateHelperQuoteName(B356)</f>
        <v>EUR25F2Y_Quote</v>
      </c>
      <c r="D356" s="150">
        <f>_xll.qlRateHelperQuoteValue($B356,Trigger)</f>
        <v>1.0580000000000001E-2</v>
      </c>
      <c r="E356" s="150">
        <f>_xll.qlSwapRateHelperSpread($B356,Trigger)</f>
        <v>0</v>
      </c>
      <c r="F356" s="151" t="b">
        <v>0</v>
      </c>
      <c r="G356" s="151">
        <v>50</v>
      </c>
      <c r="H356" s="151">
        <v>1</v>
      </c>
      <c r="I356" s="156">
        <f>_xll.qlRateHelperEarliestDate($B356,Trigger)</f>
        <v>51221</v>
      </c>
      <c r="J356" s="157">
        <f>_xll.qlRateHelperLatestDate($B356,Trigger)</f>
        <v>51951</v>
      </c>
      <c r="L356" s="155"/>
    </row>
    <row r="357" spans="2:12" x14ac:dyDescent="0.2">
      <c r="B357" s="266" t="str">
        <f>ForwardSwaps!J296</f>
        <v>obj_0079f#0001</v>
      </c>
      <c r="C357" s="149" t="str">
        <f>_xll.qlRateHelperQuoteName(B357)</f>
        <v>EUR25F3Y_Quote</v>
      </c>
      <c r="D357" s="150">
        <f>_xll.qlRateHelperQuoteValue($B357,Trigger)</f>
        <v>1.06E-2</v>
      </c>
      <c r="E357" s="150">
        <f>_xll.qlSwapRateHelperSpread($B357,Trigger)</f>
        <v>0</v>
      </c>
      <c r="F357" s="151" t="b">
        <v>0</v>
      </c>
      <c r="G357" s="151">
        <v>50</v>
      </c>
      <c r="H357" s="151">
        <v>1</v>
      </c>
      <c r="I357" s="156">
        <f>_xll.qlRateHelperEarliestDate($B357,Trigger)</f>
        <v>51221</v>
      </c>
      <c r="J357" s="157">
        <f>_xll.qlRateHelperLatestDate($B357,Trigger)</f>
        <v>52316</v>
      </c>
      <c r="L357" s="155"/>
    </row>
    <row r="358" spans="2:12" x14ac:dyDescent="0.2">
      <c r="B358" s="266" t="str">
        <f>ForwardSwaps!J297</f>
        <v>obj_00890#0001</v>
      </c>
      <c r="C358" s="149" t="str">
        <f>_xll.qlRateHelperQuoteName(B358)</f>
        <v>EUR25F4Y_Quote</v>
      </c>
      <c r="D358" s="150">
        <f>_xll.qlRateHelperQuoteValue($B358,Trigger)</f>
        <v>1.057E-2</v>
      </c>
      <c r="E358" s="150">
        <f>_xll.qlSwapRateHelperSpread($B358,Trigger)</f>
        <v>0</v>
      </c>
      <c r="F358" s="151" t="b">
        <v>0</v>
      </c>
      <c r="G358" s="151">
        <v>50</v>
      </c>
      <c r="H358" s="151">
        <v>1</v>
      </c>
      <c r="I358" s="156">
        <f>_xll.qlRateHelperEarliestDate($B358,Trigger)</f>
        <v>51221</v>
      </c>
      <c r="J358" s="157">
        <f>_xll.qlRateHelperLatestDate($B358,Trigger)</f>
        <v>52684</v>
      </c>
      <c r="L358" s="155"/>
    </row>
    <row r="359" spans="2:12" x14ac:dyDescent="0.2">
      <c r="B359" s="266" t="str">
        <f>ForwardSwaps!J298</f>
        <v>obj_00859#0001</v>
      </c>
      <c r="C359" s="149" t="str">
        <f>_xll.qlRateHelperQuoteName(B359)</f>
        <v>EUR25F5Y_Quote</v>
      </c>
      <c r="D359" s="150">
        <f>_xll.qlRateHelperQuoteValue($B359,Trigger)</f>
        <v>1.057E-2</v>
      </c>
      <c r="E359" s="150">
        <f>_xll.qlSwapRateHelperSpread($B359,Trigger)</f>
        <v>0</v>
      </c>
      <c r="F359" s="151" t="b">
        <v>0</v>
      </c>
      <c r="G359" s="151">
        <v>50</v>
      </c>
      <c r="H359" s="151">
        <v>1</v>
      </c>
      <c r="I359" s="156">
        <f>_xll.qlRateHelperEarliestDate($B359,Trigger)</f>
        <v>51221</v>
      </c>
      <c r="J359" s="157">
        <f>_xll.qlRateHelperLatestDate($B359,Trigger)</f>
        <v>53048</v>
      </c>
      <c r="L359" s="155"/>
    </row>
    <row r="360" spans="2:12" x14ac:dyDescent="0.2">
      <c r="B360" s="266" t="str">
        <f>ForwardSwaps!J299</f>
        <v>obj_00770#0001</v>
      </c>
      <c r="C360" s="149" t="str">
        <f>_xll.qlRateHelperQuoteName(B360)</f>
        <v>EUR25F6Y_Quote</v>
      </c>
      <c r="D360" s="150">
        <f>_xll.qlRateHelperQuoteValue($B360,Trigger)</f>
        <v>1.0540000000000001E-2</v>
      </c>
      <c r="E360" s="150">
        <f>_xll.qlSwapRateHelperSpread($B360,Trigger)</f>
        <v>0</v>
      </c>
      <c r="F360" s="151" t="b">
        <v>0</v>
      </c>
      <c r="G360" s="151">
        <v>50</v>
      </c>
      <c r="H360" s="151">
        <v>1</v>
      </c>
      <c r="I360" s="156">
        <f>_xll.qlRateHelperEarliestDate($B360,Trigger)</f>
        <v>51221</v>
      </c>
      <c r="J360" s="157">
        <f>_xll.qlRateHelperLatestDate($B360,Trigger)</f>
        <v>53413</v>
      </c>
      <c r="L360" s="155"/>
    </row>
    <row r="361" spans="2:12" x14ac:dyDescent="0.2">
      <c r="B361" s="266" t="str">
        <f>ForwardSwaps!J300</f>
        <v>obj_00816#0001</v>
      </c>
      <c r="C361" s="149" t="str">
        <f>_xll.qlRateHelperQuoteName(B361)</f>
        <v>EUR25F7Y_Quote</v>
      </c>
      <c r="D361" s="150">
        <f>_xll.qlRateHelperQuoteValue($B361,Trigger)</f>
        <v>1.0509999999999999E-2</v>
      </c>
      <c r="E361" s="150">
        <f>_xll.qlSwapRateHelperSpread($B361,Trigger)</f>
        <v>0</v>
      </c>
      <c r="F361" s="151" t="b">
        <v>0</v>
      </c>
      <c r="G361" s="151">
        <v>50</v>
      </c>
      <c r="H361" s="151">
        <v>1</v>
      </c>
      <c r="I361" s="156">
        <f>_xll.qlRateHelperEarliestDate($B361,Trigger)</f>
        <v>51221</v>
      </c>
      <c r="J361" s="157">
        <f>_xll.qlRateHelperLatestDate($B361,Trigger)</f>
        <v>53777</v>
      </c>
      <c r="L361" s="155"/>
    </row>
    <row r="362" spans="2:12" x14ac:dyDescent="0.2">
      <c r="B362" s="266" t="str">
        <f>ForwardSwaps!J301</f>
        <v>obj_00786#0001</v>
      </c>
      <c r="C362" s="149" t="str">
        <f>_xll.qlRateHelperQuoteName(B362)</f>
        <v>EUR25F8Y_Quote</v>
      </c>
      <c r="D362" s="150">
        <f>_xll.qlRateHelperQuoteValue($B362,Trigger)</f>
        <v>1.048E-2</v>
      </c>
      <c r="E362" s="150">
        <f>_xll.qlSwapRateHelperSpread($B362,Trigger)</f>
        <v>0</v>
      </c>
      <c r="F362" s="151" t="b">
        <v>0</v>
      </c>
      <c r="G362" s="151">
        <v>50</v>
      </c>
      <c r="H362" s="151">
        <v>1</v>
      </c>
      <c r="I362" s="156">
        <f>_xll.qlRateHelperEarliestDate($B362,Trigger)</f>
        <v>51221</v>
      </c>
      <c r="J362" s="157">
        <f>_xll.qlRateHelperLatestDate($B362,Trigger)</f>
        <v>54143</v>
      </c>
      <c r="L362" s="155"/>
    </row>
    <row r="363" spans="2:12" x14ac:dyDescent="0.2">
      <c r="B363" s="266" t="str">
        <f>ForwardSwaps!J302</f>
        <v>obj_00883#0001</v>
      </c>
      <c r="C363" s="149" t="str">
        <f>_xll.qlRateHelperQuoteName(B363)</f>
        <v>EUR25F9Y_Quote</v>
      </c>
      <c r="D363" s="150">
        <f>_xll.qlRateHelperQuoteValue($B363,Trigger)</f>
        <v>1.0449999999999999E-2</v>
      </c>
      <c r="E363" s="150">
        <f>_xll.qlSwapRateHelperSpread($B363,Trigger)</f>
        <v>0</v>
      </c>
      <c r="F363" s="151" t="b">
        <v>0</v>
      </c>
      <c r="G363" s="151">
        <v>50</v>
      </c>
      <c r="H363" s="151">
        <v>1</v>
      </c>
      <c r="I363" s="156">
        <f>_xll.qlRateHelperEarliestDate($B363,Trigger)</f>
        <v>51221</v>
      </c>
      <c r="J363" s="157">
        <f>_xll.qlRateHelperLatestDate($B363,Trigger)</f>
        <v>54508</v>
      </c>
      <c r="L363" s="155"/>
    </row>
    <row r="364" spans="2:12" x14ac:dyDescent="0.2">
      <c r="B364" s="266" t="str">
        <f>ForwardSwaps!J303</f>
        <v>obj_0083a#0001</v>
      </c>
      <c r="C364" s="149" t="str">
        <f>_xll.qlRateHelperQuoteName(B364)</f>
        <v>EUR25F10Y_Quote</v>
      </c>
      <c r="D364" s="150">
        <f>_xll.qlRateHelperQuoteValue($B364,Trigger)</f>
        <v>1.042E-2</v>
      </c>
      <c r="E364" s="150">
        <f>_xll.qlSwapRateHelperSpread($B364,Trigger)</f>
        <v>0</v>
      </c>
      <c r="F364" s="151" t="b">
        <v>0</v>
      </c>
      <c r="G364" s="151">
        <v>50</v>
      </c>
      <c r="H364" s="151">
        <v>1</v>
      </c>
      <c r="I364" s="156">
        <f>_xll.qlRateHelperEarliestDate($B364,Trigger)</f>
        <v>51221</v>
      </c>
      <c r="J364" s="157">
        <f>_xll.qlRateHelperLatestDate($B364,Trigger)</f>
        <v>54875</v>
      </c>
      <c r="L364" s="155"/>
    </row>
    <row r="365" spans="2:12" x14ac:dyDescent="0.2">
      <c r="B365" s="266" t="str">
        <f>ForwardSwaps!J304</f>
        <v>obj_00840#0001</v>
      </c>
      <c r="C365" s="149" t="str">
        <f>_xll.qlRateHelperQuoteName(B365)</f>
        <v>EUR25F11Y_Quote</v>
      </c>
      <c r="D365" s="150">
        <f>_xll.qlRateHelperQuoteValue($B365,Trigger)</f>
        <v>1.04E-2</v>
      </c>
      <c r="E365" s="150">
        <f>_xll.qlSwapRateHelperSpread($B365,Trigger)</f>
        <v>0</v>
      </c>
      <c r="F365" s="151" t="b">
        <v>0</v>
      </c>
      <c r="G365" s="151">
        <v>50</v>
      </c>
      <c r="H365" s="151">
        <v>1</v>
      </c>
      <c r="I365" s="156">
        <f>_xll.qlRateHelperEarliestDate($B365,Trigger)</f>
        <v>51221</v>
      </c>
      <c r="J365" s="157">
        <f>_xll.qlRateHelperLatestDate($B365,Trigger)</f>
        <v>55239</v>
      </c>
      <c r="L365" s="155"/>
    </row>
    <row r="366" spans="2:12" x14ac:dyDescent="0.2">
      <c r="B366" s="266" t="str">
        <f>ForwardSwaps!J305</f>
        <v>obj_007ab#0001</v>
      </c>
      <c r="C366" s="149" t="str">
        <f>_xll.qlRateHelperQuoteName(B366)</f>
        <v>EUR25F12Y_Quote</v>
      </c>
      <c r="D366" s="150">
        <f>_xll.qlRateHelperQuoteValue($B366,Trigger)</f>
        <v>1.0369999999999999E-2</v>
      </c>
      <c r="E366" s="150">
        <f>_xll.qlSwapRateHelperSpread($B366,Trigger)</f>
        <v>0</v>
      </c>
      <c r="F366" s="151" t="b">
        <v>0</v>
      </c>
      <c r="G366" s="151">
        <v>50</v>
      </c>
      <c r="H366" s="151">
        <v>1</v>
      </c>
      <c r="I366" s="156">
        <f>_xll.qlRateHelperEarliestDate($B366,Trigger)</f>
        <v>51221</v>
      </c>
      <c r="J366" s="157">
        <f>_xll.qlRateHelperLatestDate($B366,Trigger)</f>
        <v>55604</v>
      </c>
      <c r="L366" s="155"/>
    </row>
    <row r="367" spans="2:12" x14ac:dyDescent="0.2">
      <c r="B367" s="266" t="str">
        <f>ForwardSwaps!J306</f>
        <v>obj_0076d#0001</v>
      </c>
      <c r="C367" s="149" t="str">
        <f>_xll.qlRateHelperQuoteName(B367)</f>
        <v>EUR25F13Y_Quote</v>
      </c>
      <c r="D367" s="150">
        <f>_xll.qlRateHelperQuoteValue($B367,Trigger)</f>
        <v>1.0320000000000001E-2</v>
      </c>
      <c r="E367" s="150">
        <f>_xll.qlSwapRateHelperSpread($B367,Trigger)</f>
        <v>0</v>
      </c>
      <c r="F367" s="151" t="b">
        <v>0</v>
      </c>
      <c r="G367" s="151">
        <v>50</v>
      </c>
      <c r="H367" s="151">
        <v>1</v>
      </c>
      <c r="I367" s="156">
        <f>_xll.qlRateHelperEarliestDate($B367,Trigger)</f>
        <v>51221</v>
      </c>
      <c r="J367" s="157">
        <f>_xll.qlRateHelperLatestDate($B367,Trigger)</f>
        <v>55969</v>
      </c>
      <c r="L367" s="155"/>
    </row>
    <row r="368" spans="2:12" x14ac:dyDescent="0.2">
      <c r="B368" s="266" t="str">
        <f>ForwardSwaps!J307</f>
        <v>obj_00760#0001</v>
      </c>
      <c r="C368" s="149" t="str">
        <f>_xll.qlRateHelperQuoteName(B368)</f>
        <v>EUR25F14Y_Quote</v>
      </c>
      <c r="D368" s="150">
        <f>_xll.qlRateHelperQuoteValue($B368,Trigger)</f>
        <v>1.026E-2</v>
      </c>
      <c r="E368" s="150">
        <f>_xll.qlSwapRateHelperSpread($B368,Trigger)</f>
        <v>0</v>
      </c>
      <c r="F368" s="151" t="b">
        <v>0</v>
      </c>
      <c r="G368" s="151">
        <v>50</v>
      </c>
      <c r="H368" s="151">
        <v>1</v>
      </c>
      <c r="I368" s="156">
        <f>_xll.qlRateHelperEarliestDate($B368,Trigger)</f>
        <v>51221</v>
      </c>
      <c r="J368" s="157">
        <f>_xll.qlRateHelperLatestDate($B368,Trigger)</f>
        <v>56334</v>
      </c>
      <c r="L368" s="155"/>
    </row>
    <row r="369" spans="2:12" x14ac:dyDescent="0.2">
      <c r="B369" s="266" t="str">
        <f>ForwardSwaps!J308</f>
        <v>obj_00789#0001</v>
      </c>
      <c r="C369" s="149" t="str">
        <f>_xll.qlRateHelperQuoteName(B369)</f>
        <v>EUR25F15Y_Quote</v>
      </c>
      <c r="D369" s="150">
        <f>_xll.qlRateHelperQuoteValue($B369,Trigger)</f>
        <v>1.0169999999999998E-2</v>
      </c>
      <c r="E369" s="150">
        <f>_xll.qlSwapRateHelperSpread($B369,Trigger)</f>
        <v>0</v>
      </c>
      <c r="F369" s="151" t="b">
        <v>0</v>
      </c>
      <c r="G369" s="151">
        <v>50</v>
      </c>
      <c r="H369" s="151">
        <v>1</v>
      </c>
      <c r="I369" s="156">
        <f>_xll.qlRateHelperEarliestDate($B369,Trigger)</f>
        <v>51221</v>
      </c>
      <c r="J369" s="157">
        <f>_xll.qlRateHelperLatestDate($B369,Trigger)</f>
        <v>56699</v>
      </c>
      <c r="L369" s="155"/>
    </row>
    <row r="370" spans="2:12" x14ac:dyDescent="0.2">
      <c r="B370" s="266" t="str">
        <f>ForwardSwaps!J309</f>
        <v>obj_0077a#0001</v>
      </c>
      <c r="C370" s="149" t="str">
        <f>_xll.qlRateHelperQuoteName(B370)</f>
        <v>EUR25F20Y_Quote</v>
      </c>
      <c r="D370" s="150">
        <f>_xll.qlRateHelperQuoteValue($B370,Trigger)</f>
        <v>9.5199999999999989E-3</v>
      </c>
      <c r="E370" s="150">
        <f>_xll.qlSwapRateHelperSpread($B370,Trigger)</f>
        <v>0</v>
      </c>
      <c r="F370" s="151" t="b">
        <v>0</v>
      </c>
      <c r="G370" s="151">
        <v>50</v>
      </c>
      <c r="H370" s="151">
        <v>1</v>
      </c>
      <c r="I370" s="156">
        <f>_xll.qlRateHelperEarliestDate($B370,Trigger)</f>
        <v>51221</v>
      </c>
      <c r="J370" s="157">
        <f>_xll.qlRateHelperLatestDate($B370,Trigger)</f>
        <v>58526</v>
      </c>
      <c r="L370" s="155"/>
    </row>
    <row r="371" spans="2:12" x14ac:dyDescent="0.2">
      <c r="B371" s="266" t="str">
        <f>ForwardSwaps!J310</f>
        <v>obj_0088e#0001</v>
      </c>
      <c r="C371" s="149" t="str">
        <f>_xll.qlRateHelperQuoteName(B371)</f>
        <v>EUR25F25Y_Quote</v>
      </c>
      <c r="D371" s="150">
        <f>_xll.qlRateHelperQuoteValue($B371,Trigger)</f>
        <v>9.0199999999999985E-3</v>
      </c>
      <c r="E371" s="150">
        <f>_xll.qlSwapRateHelperSpread($B371,Trigger)</f>
        <v>0</v>
      </c>
      <c r="F371" s="151" t="b">
        <v>0</v>
      </c>
      <c r="G371" s="151">
        <v>50</v>
      </c>
      <c r="H371" s="151">
        <v>1</v>
      </c>
      <c r="I371" s="156">
        <f>_xll.qlRateHelperEarliestDate($B371,Trigger)</f>
        <v>51221</v>
      </c>
      <c r="J371" s="157">
        <f>_xll.qlRateHelperLatestDate($B371,Trigger)</f>
        <v>60352</v>
      </c>
      <c r="L371" s="155"/>
    </row>
    <row r="372" spans="2:12" x14ac:dyDescent="0.2">
      <c r="B372" s="267" t="str">
        <f>ForwardSwaps!J311</f>
        <v>obj_007b3#0001</v>
      </c>
      <c r="C372" s="152" t="str">
        <f>_xll.qlRateHelperQuoteName(B372)</f>
        <v>EUR25F30Y_Quote</v>
      </c>
      <c r="D372" s="153">
        <f>_xll.qlRateHelperQuoteValue($B372,Trigger)</f>
        <v>8.7500000000000008E-3</v>
      </c>
      <c r="E372" s="153">
        <f>_xll.qlSwapRateHelperSpread($B372,Trigger)</f>
        <v>0</v>
      </c>
      <c r="F372" s="154" t="b">
        <v>1</v>
      </c>
      <c r="G372" s="154">
        <v>50</v>
      </c>
      <c r="H372" s="154">
        <v>1</v>
      </c>
      <c r="I372" s="158">
        <f>_xll.qlRateHelperEarliestDate($B372,Trigger)</f>
        <v>51221</v>
      </c>
      <c r="J372" s="159">
        <f>_xll.qlRateHelperLatestDate($B372,Trigger)</f>
        <v>62178</v>
      </c>
      <c r="L372" s="155"/>
    </row>
    <row r="373" spans="2:12" x14ac:dyDescent="0.2">
      <c r="B373" s="266" t="str">
        <f>ForwardSwaps!J312</f>
        <v>obj_00822#0001</v>
      </c>
      <c r="C373" s="149" t="str">
        <f>_xll.qlRateHelperQuoteName(B373)</f>
        <v>EUR30F1Y_Quote</v>
      </c>
      <c r="D373" s="150">
        <f>_xll.qlRateHelperQuoteValue($B373,Trigger)</f>
        <v>1.042E-2</v>
      </c>
      <c r="E373" s="150">
        <f>_xll.qlSwapRateHelperSpread($B373,Trigger)</f>
        <v>0</v>
      </c>
      <c r="F373" s="151" t="b">
        <v>0</v>
      </c>
      <c r="G373" s="151">
        <v>50</v>
      </c>
      <c r="H373" s="151">
        <v>1</v>
      </c>
      <c r="I373" s="156">
        <f>_xll.qlRateHelperEarliestDate($B373,Trigger)</f>
        <v>53045</v>
      </c>
      <c r="J373" s="157">
        <f>_xll.qlRateHelperLatestDate($B373,Trigger)</f>
        <v>53413</v>
      </c>
      <c r="L373" s="155"/>
    </row>
    <row r="374" spans="2:12" x14ac:dyDescent="0.2">
      <c r="B374" s="266" t="str">
        <f>ForwardSwaps!J313</f>
        <v>obj_007b2#0001</v>
      </c>
      <c r="C374" s="149" t="str">
        <f>_xll.qlRateHelperQuoteName(B374)</f>
        <v>EUR30F2Y_Quote</v>
      </c>
      <c r="D374" s="150">
        <f>_xll.qlRateHelperQuoteValue($B374,Trigger)</f>
        <v>1.0369999999999999E-2</v>
      </c>
      <c r="E374" s="150">
        <f>_xll.qlSwapRateHelperSpread($B374,Trigger)</f>
        <v>0</v>
      </c>
      <c r="F374" s="151" t="b">
        <v>0</v>
      </c>
      <c r="G374" s="151">
        <v>50</v>
      </c>
      <c r="H374" s="151">
        <v>1</v>
      </c>
      <c r="I374" s="156">
        <f>_xll.qlRateHelperEarliestDate($B374,Trigger)</f>
        <v>53045</v>
      </c>
      <c r="J374" s="157">
        <f>_xll.qlRateHelperLatestDate($B374,Trigger)</f>
        <v>53776</v>
      </c>
      <c r="L374" s="155"/>
    </row>
    <row r="375" spans="2:12" x14ac:dyDescent="0.2">
      <c r="B375" s="266" t="str">
        <f>ForwardSwaps!J314</f>
        <v>obj_0084f#0001</v>
      </c>
      <c r="C375" s="149" t="str">
        <f>_xll.qlRateHelperQuoteName(B375)</f>
        <v>EUR30F3Y_Quote</v>
      </c>
      <c r="D375" s="150">
        <f>_xll.qlRateHelperQuoteValue($B375,Trigger)</f>
        <v>1.034E-2</v>
      </c>
      <c r="E375" s="150">
        <f>_xll.qlSwapRateHelperSpread($B375,Trigger)</f>
        <v>0</v>
      </c>
      <c r="F375" s="151" t="b">
        <v>0</v>
      </c>
      <c r="G375" s="151">
        <v>50</v>
      </c>
      <c r="H375" s="151">
        <v>1</v>
      </c>
      <c r="I375" s="156">
        <f>_xll.qlRateHelperEarliestDate($B375,Trigger)</f>
        <v>53045</v>
      </c>
      <c r="J375" s="157">
        <f>_xll.qlRateHelperLatestDate($B375,Trigger)</f>
        <v>54141</v>
      </c>
      <c r="L375" s="155"/>
    </row>
    <row r="376" spans="2:12" x14ac:dyDescent="0.2">
      <c r="B376" s="266" t="str">
        <f>ForwardSwaps!J315</f>
        <v>obj_007e8#0001</v>
      </c>
      <c r="C376" s="149" t="str">
        <f>_xll.qlRateHelperQuoteName(B376)</f>
        <v>EUR30F4Y_Quote</v>
      </c>
      <c r="D376" s="150">
        <f>_xll.qlRateHelperQuoteValue($B376,Trigger)</f>
        <v>1.03E-2</v>
      </c>
      <c r="E376" s="150">
        <f>_xll.qlSwapRateHelperSpread($B376,Trigger)</f>
        <v>0</v>
      </c>
      <c r="F376" s="151" t="b">
        <v>0</v>
      </c>
      <c r="G376" s="151">
        <v>50</v>
      </c>
      <c r="H376" s="151">
        <v>1</v>
      </c>
      <c r="I376" s="156">
        <f>_xll.qlRateHelperEarliestDate($B376,Trigger)</f>
        <v>53045</v>
      </c>
      <c r="J376" s="157">
        <f>_xll.qlRateHelperLatestDate($B376,Trigger)</f>
        <v>54506</v>
      </c>
      <c r="L376" s="155"/>
    </row>
    <row r="377" spans="2:12" x14ac:dyDescent="0.2">
      <c r="B377" s="266" t="str">
        <f>ForwardSwaps!J316</f>
        <v>obj_00887#0001</v>
      </c>
      <c r="C377" s="149" t="str">
        <f>_xll.qlRateHelperQuoteName(B377)</f>
        <v>EUR30F5Y_Quote</v>
      </c>
      <c r="D377" s="150">
        <f>_xll.qlRateHelperQuoteValue($B377,Trigger)</f>
        <v>1.027E-2</v>
      </c>
      <c r="E377" s="150">
        <f>_xll.qlSwapRateHelperSpread($B377,Trigger)</f>
        <v>0</v>
      </c>
      <c r="F377" s="151" t="b">
        <v>0</v>
      </c>
      <c r="G377" s="151">
        <v>50</v>
      </c>
      <c r="H377" s="151">
        <v>1</v>
      </c>
      <c r="I377" s="156">
        <f>_xll.qlRateHelperEarliestDate($B377,Trigger)</f>
        <v>53045</v>
      </c>
      <c r="J377" s="157">
        <f>_xll.qlRateHelperLatestDate($B377,Trigger)</f>
        <v>54871</v>
      </c>
      <c r="L377" s="155"/>
    </row>
    <row r="378" spans="2:12" x14ac:dyDescent="0.2">
      <c r="B378" s="266" t="str">
        <f>ForwardSwaps!J317</f>
        <v>obj_0080f#0001</v>
      </c>
      <c r="C378" s="149" t="str">
        <f>_xll.qlRateHelperQuoteName(B378)</f>
        <v>EUR30F6Y_Quote</v>
      </c>
      <c r="D378" s="150">
        <f>_xll.qlRateHelperQuoteValue($B378,Trigger)</f>
        <v>1.0249999999999999E-2</v>
      </c>
      <c r="E378" s="150">
        <f>_xll.qlSwapRateHelperSpread($B378,Trigger)</f>
        <v>0</v>
      </c>
      <c r="F378" s="151" t="b">
        <v>0</v>
      </c>
      <c r="G378" s="151">
        <v>50</v>
      </c>
      <c r="H378" s="151">
        <v>1</v>
      </c>
      <c r="I378" s="156">
        <f>_xll.qlRateHelperEarliestDate($B378,Trigger)</f>
        <v>53045</v>
      </c>
      <c r="J378" s="157">
        <f>_xll.qlRateHelperLatestDate($B378,Trigger)</f>
        <v>55236</v>
      </c>
      <c r="L378" s="155"/>
    </row>
    <row r="379" spans="2:12" x14ac:dyDescent="0.2">
      <c r="B379" s="266" t="str">
        <f>ForwardSwaps!J318</f>
        <v>obj_007e7#0001</v>
      </c>
      <c r="C379" s="149" t="str">
        <f>_xll.qlRateHelperQuoteName(B379)</f>
        <v>EUR30F7Y_Quote</v>
      </c>
      <c r="D379" s="150">
        <f>_xll.qlRateHelperQuoteValue($B379,Trigger)</f>
        <v>1.0209999999999999E-2</v>
      </c>
      <c r="E379" s="150">
        <f>_xll.qlSwapRateHelperSpread($B379,Trigger)</f>
        <v>0</v>
      </c>
      <c r="F379" s="151" t="b">
        <v>0</v>
      </c>
      <c r="G379" s="151">
        <v>50</v>
      </c>
      <c r="H379" s="151">
        <v>1</v>
      </c>
      <c r="I379" s="156">
        <f>_xll.qlRateHelperEarliestDate($B379,Trigger)</f>
        <v>53045</v>
      </c>
      <c r="J379" s="157">
        <f>_xll.qlRateHelperLatestDate($B379,Trigger)</f>
        <v>55603</v>
      </c>
      <c r="L379" s="155"/>
    </row>
    <row r="380" spans="2:12" x14ac:dyDescent="0.2">
      <c r="B380" s="266" t="str">
        <f>ForwardSwaps!J319</f>
        <v>obj_007eb#0001</v>
      </c>
      <c r="C380" s="149" t="str">
        <f>_xll.qlRateHelperQuoteName(B380)</f>
        <v>EUR30F8Y_Quote</v>
      </c>
      <c r="D380" s="150">
        <f>_xll.qlRateHelperQuoteValue($B380,Trigger)</f>
        <v>1.0160000000000001E-2</v>
      </c>
      <c r="E380" s="150">
        <f>_xll.qlSwapRateHelperSpread($B380,Trigger)</f>
        <v>0</v>
      </c>
      <c r="F380" s="151" t="b">
        <v>0</v>
      </c>
      <c r="G380" s="151">
        <v>50</v>
      </c>
      <c r="H380" s="151">
        <v>1</v>
      </c>
      <c r="I380" s="156">
        <f>_xll.qlRateHelperEarliestDate($B380,Trigger)</f>
        <v>53045</v>
      </c>
      <c r="J380" s="157">
        <f>_xll.qlRateHelperLatestDate($B380,Trigger)</f>
        <v>55967</v>
      </c>
      <c r="L380" s="155"/>
    </row>
    <row r="381" spans="2:12" x14ac:dyDescent="0.2">
      <c r="B381" s="266" t="str">
        <f>ForwardSwaps!J320</f>
        <v>obj_00889#0001</v>
      </c>
      <c r="C381" s="149" t="str">
        <f>_xll.qlRateHelperQuoteName(B381)</f>
        <v>EUR30F9Y_Quote</v>
      </c>
      <c r="D381" s="150">
        <f>_xll.qlRateHelperQuoteValue($B381,Trigger)</f>
        <v>1.008E-2</v>
      </c>
      <c r="E381" s="150">
        <f>_xll.qlSwapRateHelperSpread($B381,Trigger)</f>
        <v>0</v>
      </c>
      <c r="F381" s="151" t="b">
        <v>0</v>
      </c>
      <c r="G381" s="151">
        <v>50</v>
      </c>
      <c r="H381" s="151">
        <v>1</v>
      </c>
      <c r="I381" s="156">
        <f>_xll.qlRateHelperEarliestDate($B381,Trigger)</f>
        <v>53045</v>
      </c>
      <c r="J381" s="157">
        <f>_xll.qlRateHelperLatestDate($B381,Trigger)</f>
        <v>56332</v>
      </c>
      <c r="L381" s="155"/>
    </row>
    <row r="382" spans="2:12" x14ac:dyDescent="0.2">
      <c r="B382" s="266" t="str">
        <f>ForwardSwaps!J321</f>
        <v>obj_007e9#0001</v>
      </c>
      <c r="C382" s="149" t="str">
        <f>_xll.qlRateHelperQuoteName(B382)</f>
        <v>EUR30F10Y_Quote</v>
      </c>
      <c r="D382" s="150">
        <f>_xll.qlRateHelperQuoteValue($B382,Trigger)</f>
        <v>9.9600000000000018E-3</v>
      </c>
      <c r="E382" s="150">
        <f>_xll.qlSwapRateHelperSpread($B382,Trigger)</f>
        <v>0</v>
      </c>
      <c r="F382" s="151" t="b">
        <v>0</v>
      </c>
      <c r="G382" s="151">
        <v>50</v>
      </c>
      <c r="H382" s="151">
        <v>1</v>
      </c>
      <c r="I382" s="156">
        <f>_xll.qlRateHelperEarliestDate($B382,Trigger)</f>
        <v>53045</v>
      </c>
      <c r="J382" s="157">
        <f>_xll.qlRateHelperLatestDate($B382,Trigger)</f>
        <v>56697</v>
      </c>
      <c r="L382" s="155"/>
    </row>
    <row r="383" spans="2:12" x14ac:dyDescent="0.2">
      <c r="B383" s="266" t="str">
        <f>ForwardSwaps!J322</f>
        <v>obj_007d9#0001</v>
      </c>
      <c r="C383" s="149" t="str">
        <f>_xll.qlRateHelperQuoteName(B383)</f>
        <v>EUR30F11Y_Quote</v>
      </c>
      <c r="D383" s="150">
        <f>_xll.qlRateHelperQuoteValue($B383,Trigger)</f>
        <v>9.8200000000000006E-3</v>
      </c>
      <c r="E383" s="150">
        <f>_xll.qlSwapRateHelperSpread($B383,Trigger)</f>
        <v>0</v>
      </c>
      <c r="F383" s="151" t="b">
        <v>0</v>
      </c>
      <c r="G383" s="151">
        <v>50</v>
      </c>
      <c r="H383" s="151">
        <v>1</v>
      </c>
      <c r="I383" s="156">
        <f>_xll.qlRateHelperEarliestDate($B383,Trigger)</f>
        <v>53045</v>
      </c>
      <c r="J383" s="157">
        <f>_xll.qlRateHelperLatestDate($B383,Trigger)</f>
        <v>57063</v>
      </c>
      <c r="L383" s="155"/>
    </row>
    <row r="384" spans="2:12" x14ac:dyDescent="0.2">
      <c r="B384" s="266" t="str">
        <f>ForwardSwaps!J323</f>
        <v>obj_007bb#0001</v>
      </c>
      <c r="C384" s="149" t="str">
        <f>_xll.qlRateHelperQuoteName(B384)</f>
        <v>EUR30F12Y_Quote</v>
      </c>
      <c r="D384" s="150">
        <f>_xll.qlRateHelperQuoteValue($B384,Trigger)</f>
        <v>9.6500000000000006E-3</v>
      </c>
      <c r="E384" s="150">
        <f>_xll.qlSwapRateHelperSpread($B384,Trigger)</f>
        <v>0</v>
      </c>
      <c r="F384" s="151" t="b">
        <v>0</v>
      </c>
      <c r="G384" s="151">
        <v>50</v>
      </c>
      <c r="H384" s="151">
        <v>1</v>
      </c>
      <c r="I384" s="156">
        <f>_xll.qlRateHelperEarliestDate($B384,Trigger)</f>
        <v>53045</v>
      </c>
      <c r="J384" s="157">
        <f>_xll.qlRateHelperLatestDate($B384,Trigger)</f>
        <v>57430</v>
      </c>
      <c r="L384" s="155"/>
    </row>
    <row r="385" spans="2:12" x14ac:dyDescent="0.2">
      <c r="B385" s="266" t="str">
        <f>ForwardSwaps!J324</f>
        <v>obj_0084e#0001</v>
      </c>
      <c r="C385" s="149" t="str">
        <f>_xll.qlRateHelperQuoteName(B385)</f>
        <v>EUR30F13Y_Quote</v>
      </c>
      <c r="D385" s="150">
        <f>_xll.qlRateHelperQuoteValue($B385,Trigger)</f>
        <v>9.470000000000001E-3</v>
      </c>
      <c r="E385" s="150">
        <f>_xll.qlSwapRateHelperSpread($B385,Trigger)</f>
        <v>0</v>
      </c>
      <c r="F385" s="151" t="b">
        <v>0</v>
      </c>
      <c r="G385" s="151">
        <v>50</v>
      </c>
      <c r="H385" s="151">
        <v>1</v>
      </c>
      <c r="I385" s="156">
        <f>_xll.qlRateHelperEarliestDate($B385,Trigger)</f>
        <v>53045</v>
      </c>
      <c r="J385" s="157">
        <f>_xll.qlRateHelperLatestDate($B385,Trigger)</f>
        <v>57794</v>
      </c>
      <c r="L385" s="155"/>
    </row>
    <row r="386" spans="2:12" x14ac:dyDescent="0.2">
      <c r="B386" s="266" t="str">
        <f>ForwardSwaps!J325</f>
        <v>obj_00792#0001</v>
      </c>
      <c r="C386" s="149" t="str">
        <f>_xll.qlRateHelperQuoteName(B386)</f>
        <v>EUR30F14Y_Quote</v>
      </c>
      <c r="D386" s="150">
        <f>_xll.qlRateHelperQuoteValue($B386,Trigger)</f>
        <v>9.300000000000001E-3</v>
      </c>
      <c r="E386" s="150">
        <f>_xll.qlSwapRateHelperSpread($B386,Trigger)</f>
        <v>0</v>
      </c>
      <c r="F386" s="151" t="b">
        <v>0</v>
      </c>
      <c r="G386" s="151">
        <v>50</v>
      </c>
      <c r="H386" s="151">
        <v>1</v>
      </c>
      <c r="I386" s="156">
        <f>_xll.qlRateHelperEarliestDate($B386,Trigger)</f>
        <v>53045</v>
      </c>
      <c r="J386" s="157">
        <f>_xll.qlRateHelperLatestDate($B386,Trigger)</f>
        <v>58158</v>
      </c>
      <c r="L386" s="155"/>
    </row>
    <row r="387" spans="2:12" x14ac:dyDescent="0.2">
      <c r="B387" s="266" t="str">
        <f>ForwardSwaps!J326</f>
        <v>obj_0074d#0001</v>
      </c>
      <c r="C387" s="149" t="str">
        <f>_xll.qlRateHelperQuoteName(B387)</f>
        <v>EUR30F15Y_Quote</v>
      </c>
      <c r="D387" s="150">
        <f>_xll.qlRateHelperQuoteValue($B387,Trigger)</f>
        <v>9.1400000000000006E-3</v>
      </c>
      <c r="E387" s="150">
        <f>_xll.qlSwapRateHelperSpread($B387,Trigger)</f>
        <v>0</v>
      </c>
      <c r="F387" s="151" t="b">
        <v>0</v>
      </c>
      <c r="G387" s="151">
        <v>50</v>
      </c>
      <c r="H387" s="151">
        <v>1</v>
      </c>
      <c r="I387" s="156">
        <f>_xll.qlRateHelperEarliestDate($B387,Trigger)</f>
        <v>53045</v>
      </c>
      <c r="J387" s="157">
        <f>_xll.qlRateHelperLatestDate($B387,Trigger)</f>
        <v>58524</v>
      </c>
      <c r="L387" s="155"/>
    </row>
    <row r="388" spans="2:12" x14ac:dyDescent="0.2">
      <c r="B388" s="266" t="str">
        <f>ForwardSwaps!J327</f>
        <v>obj_00825#0001</v>
      </c>
      <c r="C388" s="149" t="str">
        <f>_xll.qlRateHelperQuoteName(B388)</f>
        <v>EUR30F20Y_Quote</v>
      </c>
      <c r="D388" s="150">
        <f>_xll.qlRateHelperQuoteValue($B388,Trigger)</f>
        <v>8.5799999999999991E-3</v>
      </c>
      <c r="E388" s="150">
        <f>_xll.qlSwapRateHelperSpread($B388,Trigger)</f>
        <v>0</v>
      </c>
      <c r="F388" s="151" t="b">
        <v>0</v>
      </c>
      <c r="G388" s="151">
        <v>50</v>
      </c>
      <c r="H388" s="151">
        <v>1</v>
      </c>
      <c r="I388" s="156">
        <f>_xll.qlRateHelperEarliestDate($B388,Trigger)</f>
        <v>53045</v>
      </c>
      <c r="J388" s="157">
        <f>_xll.qlRateHelperLatestDate($B388,Trigger)</f>
        <v>60350</v>
      </c>
      <c r="L388" s="155"/>
    </row>
    <row r="389" spans="2:12" x14ac:dyDescent="0.2">
      <c r="B389" s="266" t="str">
        <f>ForwardSwaps!J328</f>
        <v>obj_007f9#0001</v>
      </c>
      <c r="C389" s="149" t="str">
        <f>_xll.qlRateHelperQuoteName(B389)</f>
        <v>EUR30F25Y_Quote</v>
      </c>
      <c r="D389" s="150">
        <f>_xll.qlRateHelperQuoteValue($B389,Trigger)</f>
        <v>8.3400000000000002E-3</v>
      </c>
      <c r="E389" s="150">
        <f>_xll.qlSwapRateHelperSpread($B389,Trigger)</f>
        <v>0</v>
      </c>
      <c r="F389" s="151" t="b">
        <v>0</v>
      </c>
      <c r="G389" s="151">
        <v>50</v>
      </c>
      <c r="H389" s="151">
        <v>1</v>
      </c>
      <c r="I389" s="156">
        <f>_xll.qlRateHelperEarliestDate($B389,Trigger)</f>
        <v>53045</v>
      </c>
      <c r="J389" s="157">
        <f>_xll.qlRateHelperLatestDate($B389,Trigger)</f>
        <v>62176</v>
      </c>
      <c r="L389" s="155"/>
    </row>
    <row r="390" spans="2:12" x14ac:dyDescent="0.2">
      <c r="B390" s="267" t="str">
        <f>ForwardSwaps!J329</f>
        <v>obj_00815#0001</v>
      </c>
      <c r="C390" s="152" t="str">
        <f>_xll.qlRateHelperQuoteName(B390)</f>
        <v>EUR30F30Y_Quote</v>
      </c>
      <c r="D390" s="153">
        <f>_xll.qlRateHelperQuoteValue($B390,Trigger)</f>
        <v>8.3000000000000001E-3</v>
      </c>
      <c r="E390" s="153">
        <f>_xll.qlSwapRateHelperSpread($B390,Trigger)</f>
        <v>0</v>
      </c>
      <c r="F390" s="154" t="b">
        <v>0</v>
      </c>
      <c r="G390" s="154">
        <v>50</v>
      </c>
      <c r="H390" s="154">
        <v>1</v>
      </c>
      <c r="I390" s="158">
        <f>_xll.qlRateHelperEarliestDate($B390,Trigger)</f>
        <v>53045</v>
      </c>
      <c r="J390" s="159">
        <f>_xll.qlRateHelperLatestDate($B390,Trigger)</f>
        <v>64003</v>
      </c>
      <c r="L390" s="15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45"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34" t="s">
        <v>53</v>
      </c>
      <c r="B1" s="335"/>
      <c r="D1" s="220" t="s">
        <v>52</v>
      </c>
      <c r="E1" s="246" t="s">
        <v>160</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obj_008a3</v>
      </c>
      <c r="E2" s="247" t="str">
        <f>_xll.qlRateHelperQuoteName($D2)</f>
        <v>EUR1MD_SYNTH6M_Quote</v>
      </c>
      <c r="F2" s="10">
        <f>_xll.qlRateHelperRate($D2)</f>
        <v>9.2400000000000002E-4</v>
      </c>
      <c r="G2" s="10" t="str">
        <f>IF(ISERROR(_xll.qlSwapRateHelperSpread($D2)),IF(ISERROR(_xll.qlFuturesRateHelperConvexityAdjustment($D2)),"--",_xll.qlFuturesRateHelperConvexityAdjustment($D2)),_xll.qlSwapRateHelperSpread($D2))</f>
        <v>--</v>
      </c>
      <c r="H2" s="9">
        <f>_xll.qlRateHelperEarliestDate($D2)</f>
        <v>42087</v>
      </c>
      <c r="I2" s="8">
        <f>_xll.qlRateHelperLatestDate($D2)</f>
        <v>42118</v>
      </c>
      <c r="J2" s="3">
        <v>0.99992453935429559</v>
      </c>
    </row>
    <row r="3" spans="1:10" x14ac:dyDescent="0.2">
      <c r="A3" s="12" t="s">
        <v>49</v>
      </c>
      <c r="B3" s="14">
        <v>1</v>
      </c>
      <c r="D3" s="11" t="str">
        <v>obj_008a5</v>
      </c>
      <c r="E3" s="247" t="str">
        <f>_xll.qlRateHelperQuoteName($D3)</f>
        <v>EUR2MD_SYNTH6M_Quote</v>
      </c>
      <c r="F3" s="10">
        <f>_xll.qlRateHelperRate($D3)</f>
        <v>9.0799999999999995E-4</v>
      </c>
      <c r="G3" s="10" t="str">
        <f>IF(ISERROR(_xll.qlSwapRateHelperSpread($D3)),IF(ISERROR(_xll.qlFuturesRateHelperConvexityAdjustment($D3)),"--",_xll.qlFuturesRateHelperConvexityAdjustment($D3)),_xll.qlSwapRateHelperSpread($D3))</f>
        <v>--</v>
      </c>
      <c r="H3" s="9">
        <f>_xll.qlRateHelperEarliestDate($D3)</f>
        <v>42087</v>
      </c>
      <c r="I3" s="8">
        <f>_xll.qlRateHelperLatestDate($D3)</f>
        <v>42149</v>
      </c>
      <c r="J3" s="3">
        <v>0.99985804458602623</v>
      </c>
    </row>
    <row r="4" spans="1:10" x14ac:dyDescent="0.2">
      <c r="A4" s="12" t="s">
        <v>48</v>
      </c>
      <c r="B4" s="14">
        <v>2</v>
      </c>
      <c r="D4" s="11" t="str">
        <v>obj_00899</v>
      </c>
      <c r="E4" s="247" t="str">
        <f>_xll.qlRateHelperQuoteName($D4)</f>
        <v>EUR3MD_SYNTH6M_Quote</v>
      </c>
      <c r="F4" s="10">
        <f>_xll.qlRateHelperRate($D4)</f>
        <v>8.8199999999999997E-4</v>
      </c>
      <c r="G4" s="10" t="str">
        <f>IF(ISERROR(_xll.qlSwapRateHelperSpread($D4)),IF(ISERROR(_xll.qlFuturesRateHelperConvexityAdjustment($D4)),"--",_xll.qlFuturesRateHelperConvexityAdjustment($D4)),_xll.qlSwapRateHelperSpread($D4))</f>
        <v>--</v>
      </c>
      <c r="H4" s="9">
        <f>_xll.qlRateHelperEarliestDate($D4)</f>
        <v>42087</v>
      </c>
      <c r="I4" s="8">
        <f>_xll.qlRateHelperLatestDate($D4)</f>
        <v>42179</v>
      </c>
      <c r="J4" s="3">
        <v>0.99980014549539209</v>
      </c>
    </row>
    <row r="5" spans="1:10" x14ac:dyDescent="0.2">
      <c r="A5" s="12" t="s">
        <v>47</v>
      </c>
      <c r="B5" s="13" t="s">
        <v>46</v>
      </c>
      <c r="D5" s="11" t="str">
        <v>obj_00893</v>
      </c>
      <c r="E5" s="247" t="str">
        <f>_xll.qlRateHelperQuoteName($D5)</f>
        <v>EUR4MD_SYNTH6M_Quote</v>
      </c>
      <c r="F5" s="10">
        <f>_xll.qlRateHelperRate($D5)</f>
        <v>8.5400000000000005E-4</v>
      </c>
      <c r="G5" s="10" t="str">
        <f>IF(ISERROR(_xll.qlSwapRateHelperSpread($D5)),IF(ISERROR(_xll.qlFuturesRateHelperConvexityAdjustment($D5)),"--",_xll.qlFuturesRateHelperConvexityAdjustment($D5)),_xll.qlSwapRateHelperSpread($D5))</f>
        <v>--</v>
      </c>
      <c r="H5" s="9">
        <f>_xll.qlRateHelperEarliestDate($D5)</f>
        <v>42087</v>
      </c>
      <c r="I5" s="8">
        <f>_xll.qlRateHelperLatestDate($D5)</f>
        <v>42209</v>
      </c>
      <c r="J5" s="3">
        <v>0.99974346382094126</v>
      </c>
    </row>
    <row r="6" spans="1:10" x14ac:dyDescent="0.2">
      <c r="A6" s="60"/>
      <c r="B6" s="60"/>
      <c r="D6" s="11" t="str">
        <v>obj_008bb</v>
      </c>
      <c r="E6" s="247" t="str">
        <f>_xll.qlRateHelperQuoteName($D6)</f>
        <v>EUR5MD_SYNTH6M_Quote</v>
      </c>
      <c r="F6" s="10">
        <f>_xll.qlRateHelperRate($D6)</f>
        <v>8.4400000000000002E-4</v>
      </c>
      <c r="G6" s="10" t="str">
        <f>IF(ISERROR(_xll.qlSwapRateHelperSpread($D6)),IF(ISERROR(_xll.qlFuturesRateHelperConvexityAdjustment($D6)),"--",_xll.qlFuturesRateHelperConvexityAdjustment($D6)),_xll.qlSwapRateHelperSpread($D6))</f>
        <v>--</v>
      </c>
      <c r="H6" s="9">
        <f>_xll.qlRateHelperEarliestDate($D6)</f>
        <v>42087</v>
      </c>
      <c r="I6" s="8">
        <f>_xll.qlRateHelperLatestDate($D6)</f>
        <v>42240</v>
      </c>
      <c r="J6" s="3">
        <v>0.99967531718858837</v>
      </c>
    </row>
    <row r="7" spans="1:10" x14ac:dyDescent="0.2">
      <c r="A7" s="60"/>
      <c r="B7" s="60"/>
      <c r="D7" s="11" t="str">
        <v>obj_008a1</v>
      </c>
      <c r="E7" s="247" t="str">
        <f>_xll.qlRateHelperQuoteName($D7)</f>
        <v>EUR6MD_SYNTH6M_Quote</v>
      </c>
      <c r="F7" s="10">
        <f>_xll.qlRateHelperRate($D7)</f>
        <v>8.43E-4</v>
      </c>
      <c r="G7" s="10" t="str">
        <f>IF(ISERROR(_xll.qlSwapRateHelperSpread($D7)),IF(ISERROR(_xll.qlFuturesRateHelperConvexityAdjustment($D7)),"--",_xll.qlFuturesRateHelperConvexityAdjustment($D7)),_xll.qlSwapRateHelperSpread($D7))</f>
        <v>--</v>
      </c>
      <c r="H7" s="9">
        <f>_xll.qlRateHelperEarliestDate($D7)</f>
        <v>42087</v>
      </c>
      <c r="I7" s="8">
        <f>_xll.qlRateHelperLatestDate($D7)</f>
        <v>42271</v>
      </c>
      <c r="J7" s="3">
        <v>0.99960450450967231</v>
      </c>
    </row>
    <row r="8" spans="1:10" x14ac:dyDescent="0.2">
      <c r="A8" s="60"/>
      <c r="B8" s="60"/>
      <c r="D8" s="11" t="str">
        <v>obj_00806</v>
      </c>
      <c r="E8" s="247" t="str">
        <f>_xll.qlRateHelperQuoteName($D8)</f>
        <v>EUR1x7F_Quote</v>
      </c>
      <c r="F8" s="10">
        <f>_xll.qlRateHelperRate($D8)</f>
        <v>8.6000000000000009E-4</v>
      </c>
      <c r="G8" s="10" t="str">
        <f>IF(ISERROR(_xll.qlSwapRateHelperSpread($D8)),IF(ISERROR(_xll.qlFuturesRateHelperConvexityAdjustment($D8)),"--",_xll.qlFuturesRateHelperConvexityAdjustment($D8)),_xll.qlSwapRateHelperSpread($D8))</f>
        <v>--</v>
      </c>
      <c r="H8" s="9">
        <f>_xll.qlRateHelperEarliestDate($D8)</f>
        <v>42118</v>
      </c>
      <c r="I8" s="8">
        <f>_xll.qlRateHelperLatestDate($D8)</f>
        <v>42303</v>
      </c>
      <c r="J8" s="3">
        <v>0.99952420311428258</v>
      </c>
    </row>
    <row r="9" spans="1:10" x14ac:dyDescent="0.2">
      <c r="A9" s="60"/>
      <c r="D9" s="11" t="str">
        <v>obj_007ad</v>
      </c>
      <c r="E9" s="247" t="str">
        <f>_xll.qlRateHelperQuoteName($D9)</f>
        <v>EUR2x8F_Quote</v>
      </c>
      <c r="F9" s="10">
        <f>_xll.qlRateHelperRate($D9)</f>
        <v>8.5000000000000006E-4</v>
      </c>
      <c r="G9" s="10" t="str">
        <f>IF(ISERROR(_xll.qlSwapRateHelperSpread($D9)),IF(ISERROR(_xll.qlFuturesRateHelperConvexityAdjustment($D9)),"--",_xll.qlFuturesRateHelperConvexityAdjustment($D9)),_xll.qlSwapRateHelperSpread($D9))</f>
        <v>--</v>
      </c>
      <c r="H9" s="9">
        <f>_xll.qlRateHelperEarliestDate($D9)</f>
        <v>42149</v>
      </c>
      <c r="I9" s="8">
        <f>_xll.qlRateHelperLatestDate($D9)</f>
        <v>42333</v>
      </c>
      <c r="J9" s="3">
        <v>0.99946672686167981</v>
      </c>
    </row>
    <row r="10" spans="1:10" x14ac:dyDescent="0.2">
      <c r="D10" s="11" t="str">
        <v>obj_0082f</v>
      </c>
      <c r="E10" s="247" t="str">
        <f>_xll.qlRateHelperQuoteName($D10)</f>
        <v>EUR3x9F_Quote</v>
      </c>
      <c r="F10" s="10">
        <f>_xll.qlRateHelperRate($D10)</f>
        <v>8.3000000000000001E-4</v>
      </c>
      <c r="G10" s="10" t="str">
        <f>IF(ISERROR(_xll.qlSwapRateHelperSpread($D10)),IF(ISERROR(_xll.qlFuturesRateHelperConvexityAdjustment($D10)),"--",_xll.qlFuturesRateHelperConvexityAdjustment($D10)),_xll.qlSwapRateHelperSpread($D10))</f>
        <v>--</v>
      </c>
      <c r="H10" s="9">
        <f>_xll.qlRateHelperEarliestDate($D10)</f>
        <v>42179</v>
      </c>
      <c r="I10" s="8">
        <f>_xll.qlRateHelperLatestDate($D10)</f>
        <v>42362</v>
      </c>
      <c r="J10" s="3">
        <v>0.99942206512607568</v>
      </c>
    </row>
    <row r="11" spans="1:10" x14ac:dyDescent="0.2">
      <c r="D11" s="11" t="str">
        <v>obj_00782</v>
      </c>
      <c r="E11" s="247" t="str">
        <f>_xll.qlRateHelperQuoteName($D11)</f>
        <v>EUR4x10F_Quote</v>
      </c>
      <c r="F11" s="10">
        <f>_xll.qlRateHelperRate($D11)</f>
        <v>8.1000000000000006E-4</v>
      </c>
      <c r="G11" s="10" t="str">
        <f>IF(ISERROR(_xll.qlSwapRateHelperSpread($D11)),IF(ISERROR(_xll.qlFuturesRateHelperConvexityAdjustment($D11)),"--",_xll.qlFuturesRateHelperConvexityAdjustment($D11)),_xll.qlSwapRateHelperSpread($D11))</f>
        <v>--</v>
      </c>
      <c r="H11" s="9">
        <f>_xll.qlRateHelperEarliestDate($D11)</f>
        <v>42209</v>
      </c>
      <c r="I11" s="8">
        <f>_xll.qlRateHelperLatestDate($D11)</f>
        <v>42394</v>
      </c>
      <c r="J11" s="3">
        <v>0.99939365206191011</v>
      </c>
    </row>
    <row r="12" spans="1:10" x14ac:dyDescent="0.2">
      <c r="D12" s="11" t="str">
        <v>obj_007b4</v>
      </c>
      <c r="E12" s="247" t="str">
        <f>_xll.qlRateHelperQuoteName($D12)</f>
        <v>EUR5x11F_Quote</v>
      </c>
      <c r="F12" s="10">
        <f>_xll.qlRateHelperRate($D12)</f>
        <v>7.9000000000000012E-4</v>
      </c>
      <c r="G12" s="10" t="str">
        <f>IF(ISERROR(_xll.qlSwapRateHelperSpread($D12)),IF(ISERROR(_xll.qlFuturesRateHelperConvexityAdjustment($D12)),"--",_xll.qlFuturesRateHelperConvexityAdjustment($D12)),_xll.qlSwapRateHelperSpread($D12))</f>
        <v>--</v>
      </c>
      <c r="H12" s="9">
        <f>_xll.qlRateHelperEarliestDate($D12)</f>
        <v>42240</v>
      </c>
      <c r="I12" s="8">
        <f>_xll.qlRateHelperLatestDate($D12)</f>
        <v>42424</v>
      </c>
      <c r="J12" s="3">
        <v>0.9993419854260015</v>
      </c>
    </row>
    <row r="13" spans="1:10" x14ac:dyDescent="0.2">
      <c r="D13" s="11" t="str">
        <v>obj_00891</v>
      </c>
      <c r="E13" s="247" t="str">
        <f>_xll.qlRateHelperQuoteName($D13)</f>
        <v>EUR6x12F_Quote</v>
      </c>
      <c r="F13" s="10">
        <f>_xll.qlRateHelperRate($D13)</f>
        <v>7.8000000000000009E-4</v>
      </c>
      <c r="G13" s="10" t="str">
        <f>IF(ISERROR(_xll.qlSwapRateHelperSpread($D13)),IF(ISERROR(_xll.qlFuturesRateHelperConvexityAdjustment($D13)),"--",_xll.qlFuturesRateHelperConvexityAdjustment($D13)),_xll.qlSwapRateHelperSpread($D13))</f>
        <v>--</v>
      </c>
      <c r="H13" s="9">
        <f>_xll.qlRateHelperEarliestDate($D13)</f>
        <v>42271</v>
      </c>
      <c r="I13" s="8">
        <f>_xll.qlRateHelperLatestDate($D13)</f>
        <v>42453</v>
      </c>
      <c r="J13" s="3">
        <v>0.99928262876789942</v>
      </c>
    </row>
    <row r="14" spans="1:10" x14ac:dyDescent="0.2">
      <c r="D14" s="11" t="str">
        <v>obj_007ee</v>
      </c>
      <c r="E14" s="247" t="str">
        <f>_xll.qlRateHelperQuoteName($D14)</f>
        <v>EUR7x13F_Quote</v>
      </c>
      <c r="F14" s="10">
        <f>_xll.qlRateHelperRate($D14)</f>
        <v>7.7000000000000018E-4</v>
      </c>
      <c r="G14" s="10" t="str">
        <f>IF(ISERROR(_xll.qlSwapRateHelperSpread($D14)),IF(ISERROR(_xll.qlFuturesRateHelperConvexityAdjustment($D14)),"--",_xll.qlFuturesRateHelperConvexityAdjustment($D14)),_xll.qlSwapRateHelperSpread($D14))</f>
        <v>--</v>
      </c>
      <c r="H14" s="9">
        <f>_xll.qlRateHelperEarliestDate($D14)</f>
        <v>42303</v>
      </c>
      <c r="I14" s="8">
        <f>_xll.qlRateHelperLatestDate($D14)</f>
        <v>42486</v>
      </c>
      <c r="J14" s="3">
        <v>0.9991949746155292</v>
      </c>
    </row>
    <row r="15" spans="1:10" x14ac:dyDescent="0.2">
      <c r="D15" s="11" t="str">
        <v>obj_007df</v>
      </c>
      <c r="E15" s="247" t="str">
        <f>_xll.qlRateHelperQuoteName($D15)</f>
        <v>EUR8x14F_Quote</v>
      </c>
      <c r="F15" s="10">
        <f>_xll.qlRateHelperRate($D15)</f>
        <v>7.7000000000000018E-4</v>
      </c>
      <c r="G15" s="10" t="str">
        <f>IF(ISERROR(_xll.qlSwapRateHelperSpread($D15)),IF(ISERROR(_xll.qlFuturesRateHelperConvexityAdjustment($D15)),"--",_xll.qlFuturesRateHelperConvexityAdjustment($D15)),_xll.qlSwapRateHelperSpread($D15))</f>
        <v>--</v>
      </c>
      <c r="H15" s="9">
        <f>_xll.qlRateHelperEarliestDate($D15)</f>
        <v>42332</v>
      </c>
      <c r="I15" s="8">
        <f>_xll.qlRateHelperLatestDate($D15)</f>
        <v>42514</v>
      </c>
      <c r="J15" s="3">
        <v>0.99912961731630912</v>
      </c>
    </row>
    <row r="16" spans="1:10" x14ac:dyDescent="0.2">
      <c r="D16" s="11" t="str">
        <v>obj_00781</v>
      </c>
      <c r="E16" s="247" t="str">
        <f>_xll.qlRateHelperQuoteName($D16)</f>
        <v>EUR9x15F_Quote</v>
      </c>
      <c r="F16" s="10">
        <f>_xll.qlRateHelperRate($D16)</f>
        <v>7.7000000000000018E-4</v>
      </c>
      <c r="G16" s="10" t="str">
        <f>IF(ISERROR(_xll.qlSwapRateHelperSpread($D16)),IF(ISERROR(_xll.qlFuturesRateHelperConvexityAdjustment($D16)),"--",_xll.qlFuturesRateHelperConvexityAdjustment($D16)),_xll.qlSwapRateHelperSpread($D16))</f>
        <v>--</v>
      </c>
      <c r="H16" s="9">
        <f>_xll.qlRateHelperEarliestDate($D16)</f>
        <v>42362</v>
      </c>
      <c r="I16" s="8">
        <f>_xll.qlRateHelperLatestDate($D16)</f>
        <v>42545</v>
      </c>
      <c r="J16" s="3">
        <v>0.99906929181744109</v>
      </c>
    </row>
    <row r="17" spans="4:10" x14ac:dyDescent="0.2">
      <c r="D17" s="11" t="str">
        <v>obj_0081e</v>
      </c>
      <c r="E17" s="247" t="str">
        <f>_xll.qlRateHelperQuoteName($D17)</f>
        <v>EUR10x16F_Quote</v>
      </c>
      <c r="F17" s="10">
        <f>_xll.qlRateHelperRate($D17)</f>
        <v>7.7000000000000018E-4</v>
      </c>
      <c r="G17" s="10" t="str">
        <f>IF(ISERROR(_xll.qlSwapRateHelperSpread($D17)),IF(ISERROR(_xll.qlFuturesRateHelperConvexityAdjustment($D17)),"--",_xll.qlFuturesRateHelperConvexityAdjustment($D17)),_xll.qlSwapRateHelperSpread($D17))</f>
        <v>--</v>
      </c>
      <c r="H17" s="9">
        <f>_xll.qlRateHelperEarliestDate($D17)</f>
        <v>42394</v>
      </c>
      <c r="I17" s="8">
        <f>_xll.qlRateHelperLatestDate($D17)</f>
        <v>42576</v>
      </c>
      <c r="J17" s="3">
        <v>0.99901315340195807</v>
      </c>
    </row>
    <row r="18" spans="4:10" x14ac:dyDescent="0.2">
      <c r="D18" s="11" t="str">
        <v>obj_00765</v>
      </c>
      <c r="E18" s="247" t="str">
        <f>_xll.qlRateHelperQuoteName($D18)</f>
        <v>EUR11x17F_Quote</v>
      </c>
      <c r="F18" s="10">
        <f>_xll.qlRateHelperRate($D18)</f>
        <v>7.8000000000000009E-4</v>
      </c>
      <c r="G18" s="10" t="str">
        <f>IF(ISERROR(_xll.qlSwapRateHelperSpread($D18)),IF(ISERROR(_xll.qlFuturesRateHelperConvexityAdjustment($D18)),"--",_xll.qlFuturesRateHelperConvexityAdjustment($D18)),_xll.qlSwapRateHelperSpread($D18))</f>
        <v>--</v>
      </c>
      <c r="H18" s="9">
        <f>_xll.qlRateHelperEarliestDate($D18)</f>
        <v>42424</v>
      </c>
      <c r="I18" s="8">
        <f>_xll.qlRateHelperLatestDate($D18)</f>
        <v>42606</v>
      </c>
      <c r="J18" s="3">
        <v>0.99895136344444113</v>
      </c>
    </row>
    <row r="19" spans="4:10" x14ac:dyDescent="0.2">
      <c r="D19" s="11" t="str">
        <v>obj_00857</v>
      </c>
      <c r="E19" s="247" t="str">
        <f>_xll.qlRateHelperQuoteName($D19)</f>
        <v>EUR12x18F_Quote</v>
      </c>
      <c r="F19" s="10">
        <f>_xll.qlRateHelperRate($D19)</f>
        <v>8.0000000000000015E-4</v>
      </c>
      <c r="G19" s="10" t="str">
        <f>IF(ISERROR(_xll.qlSwapRateHelperSpread($D19)),IF(ISERROR(_xll.qlFuturesRateHelperConvexityAdjustment($D19)),"--",_xll.qlFuturesRateHelperConvexityAdjustment($D19)),_xll.qlSwapRateHelperSpread($D19))</f>
        <v>--</v>
      </c>
      <c r="H19" s="9">
        <f>_xll.qlRateHelperEarliestDate($D19)</f>
        <v>42453</v>
      </c>
      <c r="I19" s="8">
        <f>_xll.qlRateHelperLatestDate($D19)</f>
        <v>42639</v>
      </c>
      <c r="J19" s="3">
        <v>0.99886976259935834</v>
      </c>
    </row>
    <row r="20" spans="4:10" x14ac:dyDescent="0.2">
      <c r="D20" s="11" t="str">
        <v>obj_007d5</v>
      </c>
      <c r="E20" s="247" t="str">
        <f>_xll.qlRateHelperQuoteName($D20)</f>
        <v>EUR13x19F_Quote</v>
      </c>
      <c r="F20" s="10">
        <f>_xll.qlRateHelperRate($D20)</f>
        <v>8.3000000000000001E-4</v>
      </c>
      <c r="G20" s="10" t="str">
        <f>IF(ISERROR(_xll.qlSwapRateHelperSpread($D20)),IF(ISERROR(_xll.qlFuturesRateHelperConvexityAdjustment($D20)),"--",_xll.qlFuturesRateHelperConvexityAdjustment($D20)),_xll.qlSwapRateHelperSpread($D20))</f>
        <v>--</v>
      </c>
      <c r="H20" s="9">
        <f>_xll.qlRateHelperEarliestDate($D20)</f>
        <v>42485</v>
      </c>
      <c r="I20" s="8">
        <f>_xll.qlRateHelperLatestDate($D20)</f>
        <v>42668</v>
      </c>
      <c r="J20" s="3">
        <v>0.9987761928132356</v>
      </c>
    </row>
    <row r="21" spans="4:10" x14ac:dyDescent="0.2">
      <c r="D21" s="11" t="str">
        <v>obj_00780</v>
      </c>
      <c r="E21" s="247" t="str">
        <f>_xll.qlRateHelperQuoteName($D21)</f>
        <v>EUR14x20F_Quote</v>
      </c>
      <c r="F21" s="10">
        <f>_xll.qlRateHelperRate($D21)</f>
        <v>8.6000000000000009E-4</v>
      </c>
      <c r="G21" s="10" t="str">
        <f>IF(ISERROR(_xll.qlSwapRateHelperSpread($D21)),IF(ISERROR(_xll.qlFuturesRateHelperConvexityAdjustment($D21)),"--",_xll.qlFuturesRateHelperConvexityAdjustment($D21)),_xll.qlSwapRateHelperSpread($D21))</f>
        <v>--</v>
      </c>
      <c r="H21" s="9">
        <f>_xll.qlRateHelperEarliestDate($D21)</f>
        <v>42514</v>
      </c>
      <c r="I21" s="8">
        <f>_xll.qlRateHelperLatestDate($D21)</f>
        <v>42698</v>
      </c>
      <c r="J21" s="3">
        <v>0.99869063729840324</v>
      </c>
    </row>
    <row r="22" spans="4:10" x14ac:dyDescent="0.2">
      <c r="D22" s="11" t="str">
        <v>obj_00864</v>
      </c>
      <c r="E22" s="247" t="str">
        <f>_xll.qlRateHelperQuoteName($D22)</f>
        <v>EUR15x21F_Quote</v>
      </c>
      <c r="F22" s="10">
        <f>_xll.qlRateHelperRate($D22)</f>
        <v>8.9999999999999998E-4</v>
      </c>
      <c r="G22" s="10" t="str">
        <f>IF(ISERROR(_xll.qlSwapRateHelperSpread($D22)),IF(ISERROR(_xll.qlFuturesRateHelperConvexityAdjustment($D22)),"--",_xll.qlFuturesRateHelperConvexityAdjustment($D22)),_xll.qlSwapRateHelperSpread($D22))</f>
        <v>--</v>
      </c>
      <c r="H22" s="9">
        <f>_xll.qlRateHelperEarliestDate($D22)</f>
        <v>42545</v>
      </c>
      <c r="I22" s="8">
        <f>_xll.qlRateHelperLatestDate($D22)</f>
        <v>42731</v>
      </c>
      <c r="J22" s="3">
        <v>0.99860494052009918</v>
      </c>
    </row>
    <row r="23" spans="4:10" x14ac:dyDescent="0.2">
      <c r="D23" s="11" t="str">
        <v>obj_00830</v>
      </c>
      <c r="E23" s="247" t="str">
        <f>_xll.qlRateHelperQuoteName($D23)</f>
        <v>EUR16x22F_Quote</v>
      </c>
      <c r="F23" s="10">
        <f>_xll.qlRateHelperRate($D23)</f>
        <v>9.6000000000000002E-4</v>
      </c>
      <c r="G23" s="10" t="str">
        <f>IF(ISERROR(_xll.qlSwapRateHelperSpread($D23)),IF(ISERROR(_xll.qlFuturesRateHelperConvexityAdjustment($D23)),"--",_xll.qlFuturesRateHelperConvexityAdjustment($D23)),_xll.qlSwapRateHelperSpread($D23))</f>
        <v>--</v>
      </c>
      <c r="H23" s="9">
        <f>_xll.qlRateHelperEarliestDate($D23)</f>
        <v>42576</v>
      </c>
      <c r="I23" s="8">
        <f>_xll.qlRateHelperLatestDate($D23)</f>
        <v>42760</v>
      </c>
      <c r="J23" s="3">
        <v>0.99854028638513403</v>
      </c>
    </row>
    <row r="24" spans="4:10" x14ac:dyDescent="0.2">
      <c r="D24" s="11" t="str">
        <v>obj_008ba</v>
      </c>
      <c r="E24" s="247" t="str">
        <f>_xll.qlRateHelperQuoteName($D24)</f>
        <v>EUR17x23F_Quote</v>
      </c>
      <c r="F24" s="10">
        <f>_xll.qlRateHelperRate($D24)</f>
        <v>1.01E-3</v>
      </c>
      <c r="G24" s="10" t="str">
        <f>IF(ISERROR(_xll.qlSwapRateHelperSpread($D24)),IF(ISERROR(_xll.qlFuturesRateHelperConvexityAdjustment($D24)),"--",_xll.qlFuturesRateHelperConvexityAdjustment($D24)),_xll.qlSwapRateHelperSpread($D24))</f>
        <v>--</v>
      </c>
      <c r="H24" s="9">
        <f>_xll.qlRateHelperEarliestDate($D24)</f>
        <v>42606</v>
      </c>
      <c r="I24" s="8">
        <f>_xll.qlRateHelperLatestDate($D24)</f>
        <v>42790</v>
      </c>
      <c r="J24" s="3">
        <v>0.99845302216697696</v>
      </c>
    </row>
    <row r="25" spans="4:10" x14ac:dyDescent="0.2">
      <c r="D25" s="11" t="str">
        <v>obj_007ef</v>
      </c>
      <c r="E25" s="247" t="str">
        <f>_xll.qlRateHelperQuoteName($D25)</f>
        <v>EUR18x24F_Quote</v>
      </c>
      <c r="F25" s="10">
        <f>_xll.qlRateHelperRate($D25)</f>
        <v>1.0800000000000002E-3</v>
      </c>
      <c r="G25" s="10" t="str">
        <f>IF(ISERROR(_xll.qlSwapRateHelperSpread($D25)),IF(ISERROR(_xll.qlFuturesRateHelperConvexityAdjustment($D25)),"--",_xll.qlFuturesRateHelperConvexityAdjustment($D25)),_xll.qlSwapRateHelperSpread($D25))</f>
        <v>--</v>
      </c>
      <c r="H25" s="9">
        <f>_xll.qlRateHelperEarliestDate($D25)</f>
        <v>42639</v>
      </c>
      <c r="I25" s="8">
        <f>_xll.qlRateHelperLatestDate($D25)</f>
        <v>42821</v>
      </c>
      <c r="J25" s="3">
        <v>0.99834174896944616</v>
      </c>
    </row>
    <row r="26" spans="4:10" x14ac:dyDescent="0.2">
      <c r="D26" s="11" t="str">
        <v>obj_00894</v>
      </c>
      <c r="E26" s="247" t="str">
        <f>_xll.qlRateHelperQuoteName($D26)</f>
        <v>EURAB6E3Y_Quote</v>
      </c>
      <c r="F26" s="10">
        <f>_xll.qlRateHelperRate($D26)</f>
        <v>1.2999999999999999E-3</v>
      </c>
      <c r="G26" s="10">
        <f>IF(ISERROR(_xll.qlSwapRateHelperSpread($D26)),IF(ISERROR(_xll.qlFuturesRateHelperConvexityAdjustment($D26)),"--",_xll.qlFuturesRateHelperConvexityAdjustment($D26)),_xll.qlSwapRateHelperSpread($D26))</f>
        <v>0</v>
      </c>
      <c r="H26" s="9">
        <f>_xll.qlRateHelperEarliestDate($D26)</f>
        <v>42087</v>
      </c>
      <c r="I26" s="8">
        <f>_xll.qlRateHelperLatestDate($D26)</f>
        <v>43185</v>
      </c>
      <c r="J26" s="3">
        <v>0.9962502966937643</v>
      </c>
    </row>
    <row r="27" spans="4:10" x14ac:dyDescent="0.2">
      <c r="D27" s="11" t="str">
        <v>obj_008bd</v>
      </c>
      <c r="E27" s="247" t="str">
        <f>_xll.qlRateHelperQuoteName($D27)</f>
        <v>EURAB6E4Y_Quote</v>
      </c>
      <c r="F27" s="10">
        <f>_xll.qlRateHelperRate($D27)</f>
        <v>1.89E-3</v>
      </c>
      <c r="G27" s="10">
        <f>IF(ISERROR(_xll.qlSwapRateHelperSpread($D27)),IF(ISERROR(_xll.qlFuturesRateHelperConvexityAdjustment($D27)),"--",_xll.qlFuturesRateHelperConvexityAdjustment($D27)),_xll.qlSwapRateHelperSpread($D27))</f>
        <v>0</v>
      </c>
      <c r="H27" s="9">
        <f>_xll.qlRateHelperEarliestDate($D27)</f>
        <v>42087</v>
      </c>
      <c r="I27" s="8">
        <f>_xll.qlRateHelperLatestDate($D27)</f>
        <v>43549</v>
      </c>
      <c r="J27" s="3">
        <v>0.99261702065658219</v>
      </c>
    </row>
    <row r="28" spans="4:10" x14ac:dyDescent="0.2">
      <c r="D28" s="11" t="str">
        <v>obj_008ad</v>
      </c>
      <c r="E28" s="247" t="str">
        <f>_xll.qlRateHelperQuoteName($D28)</f>
        <v>EURAB6E5Y_Quote</v>
      </c>
      <c r="F28" s="10">
        <f>_xll.qlRateHelperRate($D28)</f>
        <v>2.5300000000000001E-3</v>
      </c>
      <c r="G28" s="10">
        <f>IF(ISERROR(_xll.qlSwapRateHelperSpread($D28)),IF(ISERROR(_xll.qlFuturesRateHelperConvexityAdjustment($D28)),"--",_xll.qlFuturesRateHelperConvexityAdjustment($D28)),_xll.qlSwapRateHelperSpread($D28))</f>
        <v>0</v>
      </c>
      <c r="H28" s="9">
        <f>_xll.qlRateHelperEarliestDate($D28)</f>
        <v>42087</v>
      </c>
      <c r="I28" s="8">
        <f>_xll.qlRateHelperLatestDate($D28)</f>
        <v>43914</v>
      </c>
      <c r="J28" s="3">
        <v>0.98758672867912645</v>
      </c>
    </row>
    <row r="29" spans="4:10" x14ac:dyDescent="0.2">
      <c r="D29" s="11" t="str">
        <v>obj_0089c</v>
      </c>
      <c r="E29" s="247" t="str">
        <f>_xll.qlRateHelperQuoteName($D29)</f>
        <v>EURAB6E6Y_Quote</v>
      </c>
      <c r="F29" s="10">
        <f>_xll.qlRateHelperRate($D29)</f>
        <v>3.1799999999999997E-3</v>
      </c>
      <c r="G29" s="10">
        <f>IF(ISERROR(_xll.qlSwapRateHelperSpread($D29)),IF(ISERROR(_xll.qlFuturesRateHelperConvexityAdjustment($D29)),"--",_xll.qlFuturesRateHelperConvexityAdjustment($D29)),_xll.qlSwapRateHelperSpread($D29))</f>
        <v>0</v>
      </c>
      <c r="H29" s="9">
        <f>_xll.qlRateHelperEarliestDate($D29)</f>
        <v>42087</v>
      </c>
      <c r="I29" s="8">
        <f>_xll.qlRateHelperLatestDate($D29)</f>
        <v>44279</v>
      </c>
      <c r="J29" s="3">
        <v>0.98125626945372169</v>
      </c>
    </row>
    <row r="30" spans="4:10" x14ac:dyDescent="0.2">
      <c r="D30" s="11" t="str">
        <v>obj_00896</v>
      </c>
      <c r="E30" s="247" t="str">
        <f>_xll.qlRateHelperQuoteName($D30)</f>
        <v>EURAB6E7Y_Quote</v>
      </c>
      <c r="F30" s="10">
        <f>_xll.qlRateHelperRate($D30)</f>
        <v>3.8E-3</v>
      </c>
      <c r="G30" s="10">
        <f>IF(ISERROR(_xll.qlSwapRateHelperSpread($D30)),IF(ISERROR(_xll.qlFuturesRateHelperConvexityAdjustment($D30)),"--",_xll.qlFuturesRateHelperConvexityAdjustment($D30)),_xll.qlSwapRateHelperSpread($D30))</f>
        <v>0</v>
      </c>
      <c r="H30" s="9">
        <f>_xll.qlRateHelperEarliestDate($D30)</f>
        <v>42087</v>
      </c>
      <c r="I30" s="8">
        <f>_xll.qlRateHelperLatestDate($D30)</f>
        <v>44644</v>
      </c>
      <c r="J30" s="3">
        <v>0.9738942390212435</v>
      </c>
    </row>
    <row r="31" spans="4:10" x14ac:dyDescent="0.2">
      <c r="D31" s="11" t="str">
        <v>obj_008b7</v>
      </c>
      <c r="E31" s="247" t="str">
        <f>_xll.qlRateHelperQuoteName($D31)</f>
        <v>EURAB6E8Y_Quote</v>
      </c>
      <c r="F31" s="10">
        <f>_xll.qlRateHelperRate($D31)</f>
        <v>4.4099999999999999E-3</v>
      </c>
      <c r="G31" s="10">
        <f>IF(ISERROR(_xll.qlSwapRateHelperSpread($D31)),IF(ISERROR(_xll.qlFuturesRateHelperConvexityAdjustment($D31)),"--",_xll.qlFuturesRateHelperConvexityAdjustment($D31)),_xll.qlSwapRateHelperSpread($D31))</f>
        <v>0</v>
      </c>
      <c r="H31" s="9">
        <f>_xll.qlRateHelperEarliestDate($D31)</f>
        <v>42087</v>
      </c>
      <c r="I31" s="8">
        <f>_xll.qlRateHelperLatestDate($D31)</f>
        <v>45009</v>
      </c>
      <c r="J31" s="3">
        <v>0.96545084193628039</v>
      </c>
    </row>
    <row r="32" spans="4:10" x14ac:dyDescent="0.2">
      <c r="D32" s="11" t="str">
        <v>obj_008bf</v>
      </c>
      <c r="E32" s="247" t="str">
        <f>_xll.qlRateHelperQuoteName($D32)</f>
        <v>EURAB6E9Y_Quote</v>
      </c>
      <c r="F32" s="10">
        <f>_xll.qlRateHelperRate($D32)</f>
        <v>4.9899999999999996E-3</v>
      </c>
      <c r="G32" s="10">
        <f>IF(ISERROR(_xll.qlSwapRateHelperSpread($D32)),IF(ISERROR(_xll.qlFuturesRateHelperConvexityAdjustment($D32)),"--",_xll.qlFuturesRateHelperConvexityAdjustment($D32)),_xll.qlSwapRateHelperSpread($D32))</f>
        <v>0</v>
      </c>
      <c r="H32" s="9">
        <f>_xll.qlRateHelperEarliestDate($D32)</f>
        <v>42087</v>
      </c>
      <c r="I32" s="8">
        <f>_xll.qlRateHelperLatestDate($D32)</f>
        <v>45376</v>
      </c>
      <c r="J32" s="3">
        <v>0.95613720323152762</v>
      </c>
    </row>
    <row r="33" spans="4:10" x14ac:dyDescent="0.2">
      <c r="D33" s="11" t="str">
        <v>obj_008ac</v>
      </c>
      <c r="E33" s="247" t="str">
        <f>_xll.qlRateHelperQuoteName($D33)</f>
        <v>EURAB6E10Y_Quote</v>
      </c>
      <c r="F33" s="10">
        <f>_xll.qlRateHelperRate($D33)</f>
        <v>5.5000000000000005E-3</v>
      </c>
      <c r="G33" s="10">
        <f>IF(ISERROR(_xll.qlSwapRateHelperSpread($D33)),IF(ISERROR(_xll.qlFuturesRateHelperConvexityAdjustment($D33)),"--",_xll.qlFuturesRateHelperConvexityAdjustment($D33)),_xll.qlSwapRateHelperSpread($D33))</f>
        <v>0</v>
      </c>
      <c r="H33" s="9">
        <f>_xll.qlRateHelperEarliestDate($D33)</f>
        <v>42087</v>
      </c>
      <c r="I33" s="8">
        <f>_xll.qlRateHelperLatestDate($D33)</f>
        <v>45740</v>
      </c>
      <c r="J33" s="3">
        <v>0.94648467824257398</v>
      </c>
    </row>
    <row r="34" spans="4:10" x14ac:dyDescent="0.2">
      <c r="D34" s="11" t="str">
        <v>obj_008b2</v>
      </c>
      <c r="E34" s="247" t="str">
        <f>_xll.qlRateHelperQuoteName($D34)</f>
        <v>EURAB6E12Y_Quote</v>
      </c>
      <c r="F34" s="10">
        <f>_xll.qlRateHelperRate($D34)</f>
        <v>6.3699999999999998E-3</v>
      </c>
      <c r="G34" s="10">
        <f>IF(ISERROR(_xll.qlSwapRateHelperSpread($D34)),IF(ISERROR(_xll.qlFuturesRateHelperConvexityAdjustment($D34)),"--",_xll.qlFuturesRateHelperConvexityAdjustment($D34)),_xll.qlSwapRateHelperSpread($D34))</f>
        <v>0</v>
      </c>
      <c r="H34" s="9">
        <f>_xll.qlRateHelperEarliestDate($D34)</f>
        <v>42087</v>
      </c>
      <c r="I34" s="8">
        <f>_xll.qlRateHelperLatestDate($D34)</f>
        <v>46470</v>
      </c>
      <c r="J34" s="3">
        <v>0.92621499828008325</v>
      </c>
    </row>
    <row r="35" spans="4:10" x14ac:dyDescent="0.2">
      <c r="D35" s="11" t="str">
        <v>obj_008a7</v>
      </c>
      <c r="E35" s="247" t="str">
        <f>_xll.qlRateHelperQuoteName($D35)</f>
        <v>EURAB6E15Y_Quote</v>
      </c>
      <c r="F35" s="10">
        <f>_xll.qlRateHelperRate($D35)</f>
        <v>7.3000000000000001E-3</v>
      </c>
      <c r="G35" s="10">
        <f>IF(ISERROR(_xll.qlSwapRateHelperSpread($D35)),IF(ISERROR(_xll.qlFuturesRateHelperConvexityAdjustment($D35)),"--",_xll.qlFuturesRateHelperConvexityAdjustment($D35)),_xll.qlSwapRateHelperSpread($D35))</f>
        <v>0</v>
      </c>
      <c r="H35" s="9">
        <f>_xll.qlRateHelperEarliestDate($D35)</f>
        <v>42087</v>
      </c>
      <c r="I35" s="8">
        <f>_xll.qlRateHelperLatestDate($D35)</f>
        <v>47567</v>
      </c>
      <c r="J35" s="3">
        <v>0.89569084696639689</v>
      </c>
    </row>
    <row r="36" spans="4:10" x14ac:dyDescent="0.2">
      <c r="D36" s="11" t="str">
        <v>obj_008a9</v>
      </c>
      <c r="E36" s="247" t="str">
        <f>_xll.qlRateHelperQuoteName($D36)</f>
        <v>EURAB6E20Y_Quote</v>
      </c>
      <c r="F36" s="10">
        <f>_xll.qlRateHelperRate($D36)</f>
        <v>8.1600000000000006E-3</v>
      </c>
      <c r="G36" s="10">
        <f>IF(ISERROR(_xll.qlSwapRateHelperSpread($D36)),IF(ISERROR(_xll.qlFuturesRateHelperConvexityAdjustment($D36)),"--",_xll.qlFuturesRateHelperConvexityAdjustment($D36)),_xll.qlSwapRateHelperSpread($D36))</f>
        <v>0</v>
      </c>
      <c r="H36" s="9">
        <f>_xll.qlRateHelperEarliestDate($D36)</f>
        <v>42087</v>
      </c>
      <c r="I36" s="8">
        <f>_xll.qlRateHelperLatestDate($D36)</f>
        <v>49395</v>
      </c>
      <c r="J36" s="3">
        <v>0.84814684210965041</v>
      </c>
    </row>
    <row r="37" spans="4:10" x14ac:dyDescent="0.2">
      <c r="D37" s="11" t="str">
        <v>obj_008ae</v>
      </c>
      <c r="E37" s="247" t="str">
        <f>_xll.qlRateHelperQuoteName($D37)</f>
        <v>EURAB6E25Y_Quote</v>
      </c>
      <c r="F37" s="10">
        <f>_xll.qlRateHelperRate($D37)</f>
        <v>8.5900000000000004E-3</v>
      </c>
      <c r="G37" s="10">
        <f>IF(ISERROR(_xll.qlSwapRateHelperSpread($D37)),IF(ISERROR(_xll.qlFuturesRateHelperConvexityAdjustment($D37)),"--",_xll.qlFuturesRateHelperConvexityAdjustment($D37)),_xll.qlSwapRateHelperSpread($D37))</f>
        <v>0</v>
      </c>
      <c r="H37" s="9">
        <f>_xll.qlRateHelperEarliestDate($D37)</f>
        <v>42087</v>
      </c>
      <c r="I37" s="8">
        <f>_xll.qlRateHelperLatestDate($D37)</f>
        <v>51221</v>
      </c>
      <c r="J37" s="3">
        <v>0.80495885890965624</v>
      </c>
    </row>
    <row r="38" spans="4:10" x14ac:dyDescent="0.2">
      <c r="D38" s="11" t="str">
        <v>obj_008be</v>
      </c>
      <c r="E38" s="247" t="str">
        <f>_xll.qlRateHelperQuoteName($D38)</f>
        <v>EURAB6E30Y_Quote</v>
      </c>
      <c r="F38" s="10">
        <f>_xll.qlRateHelperRate($D38)</f>
        <v>8.8800000000000007E-3</v>
      </c>
      <c r="G38" s="10">
        <f>IF(ISERROR(_xll.qlSwapRateHelperSpread($D38)),IF(ISERROR(_xll.qlFuturesRateHelperConvexityAdjustment($D38)),"--",_xll.qlFuturesRateHelperConvexityAdjustment($D38)),_xll.qlSwapRateHelperSpread($D38))</f>
        <v>0</v>
      </c>
      <c r="H38" s="9">
        <f>_xll.qlRateHelperEarliestDate($D38)</f>
        <v>42087</v>
      </c>
      <c r="I38" s="8">
        <f>_xll.qlRateHelperLatestDate($D38)</f>
        <v>53045</v>
      </c>
      <c r="J38" s="3">
        <v>0.7638627440841701</v>
      </c>
    </row>
    <row r="39" spans="4:10" x14ac:dyDescent="0.2">
      <c r="D39" s="11" t="str">
        <v>obj_008a0</v>
      </c>
      <c r="E39" s="247" t="str">
        <f>_xll.qlRateHelperQuoteName($D39)</f>
        <v>EURAB6E35Y_Quote</v>
      </c>
      <c r="F39" s="10">
        <f>_xll.qlRateHelperRate($D39)</f>
        <v>9.0500000000000008E-3</v>
      </c>
      <c r="G39" s="10">
        <f>IF(ISERROR(_xll.qlSwapRateHelperSpread($D39)),IF(ISERROR(_xll.qlFuturesRateHelperConvexityAdjustment($D39)),"--",_xll.qlFuturesRateHelperConvexityAdjustment($D39)),_xll.qlSwapRateHelperSpread($D39))</f>
        <v>0</v>
      </c>
      <c r="H39" s="9">
        <f>_xll.qlRateHelperEarliestDate($D39)</f>
        <v>42087</v>
      </c>
      <c r="I39" s="8">
        <f>_xll.qlRateHelperLatestDate($D39)</f>
        <v>54871</v>
      </c>
      <c r="J39" s="3">
        <v>0.72587945078677174</v>
      </c>
    </row>
    <row r="40" spans="4:10" x14ac:dyDescent="0.2">
      <c r="D40" s="11" t="str">
        <v>obj_008a4</v>
      </c>
      <c r="E40" s="247" t="str">
        <f>_xll.qlRateHelperQuoteName($D40)</f>
        <v>EURAB6E40Y_Quote</v>
      </c>
      <c r="F40" s="10">
        <f>_xll.qlRateHelperRate($D40)</f>
        <v>9.11E-3</v>
      </c>
      <c r="G40" s="10">
        <f>IF(ISERROR(_xll.qlSwapRateHelperSpread($D40)),IF(ISERROR(_xll.qlFuturesRateHelperConvexityAdjustment($D40)),"--",_xll.qlFuturesRateHelperConvexityAdjustment($D40)),_xll.qlSwapRateHelperSpread($D40))</f>
        <v>0</v>
      </c>
      <c r="H40" s="9">
        <f>_xll.qlRateHelperEarliestDate($D40)</f>
        <v>42087</v>
      </c>
      <c r="I40" s="8">
        <f>_xll.qlRateHelperLatestDate($D40)</f>
        <v>56697</v>
      </c>
      <c r="J40" s="3">
        <v>0.69196859745402284</v>
      </c>
    </row>
    <row r="41" spans="4:10" x14ac:dyDescent="0.2">
      <c r="D41" s="11" t="str">
        <v>obj_00784</v>
      </c>
      <c r="E41" s="247" t="str">
        <f>_xll.qlRateHelperQuoteName($D41)</f>
        <v>EUR15F30Y_Quote</v>
      </c>
      <c r="F41" s="10">
        <f>_xll.qlRateHelperRate($D41)</f>
        <v>9.9799999999999993E-3</v>
      </c>
      <c r="G41" s="10">
        <f>IF(ISERROR(_xll.qlSwapRateHelperSpread($D41)),IF(ISERROR(_xll.qlFuturesRateHelperConvexityAdjustment($D41)),"--",_xll.qlFuturesRateHelperConvexityAdjustment($D41)),_xll.qlSwapRateHelperSpread($D41))</f>
        <v>0</v>
      </c>
      <c r="H41" s="9">
        <f>_xll.qlRateHelperEarliestDate($D41)</f>
        <v>47567</v>
      </c>
      <c r="I41" s="8">
        <f>_xll.qlRateHelperLatestDate($D41)</f>
        <v>58525</v>
      </c>
      <c r="J41" s="3">
        <v>0.66644518183959522</v>
      </c>
    </row>
    <row r="42" spans="4:10" x14ac:dyDescent="0.2">
      <c r="D42" s="11" t="str">
        <v>obj_0089b</v>
      </c>
      <c r="E42" s="247" t="str">
        <f>_xll.qlRateHelperQuoteName($D42)</f>
        <v>EURAB6E50Y_Quote</v>
      </c>
      <c r="F42" s="10">
        <f>_xll.qlRateHelperRate($D42)</f>
        <v>8.77E-3</v>
      </c>
      <c r="G42" s="10">
        <f>IF(ISERROR(_xll.qlSwapRateHelperSpread($D42)),IF(ISERROR(_xll.qlFuturesRateHelperConvexityAdjustment($D42)),"--",_xll.qlFuturesRateHelperConvexityAdjustment($D42)),_xll.qlSwapRateHelperSpread($D42))</f>
        <v>0</v>
      </c>
      <c r="H42" s="9">
        <f>_xll.qlRateHelperEarliestDate($D42)</f>
        <v>42087</v>
      </c>
      <c r="I42" s="8">
        <f>_xll.qlRateHelperLatestDate($D42)</f>
        <v>60350</v>
      </c>
      <c r="J42" s="3">
        <v>0.64494698109930237</v>
      </c>
    </row>
    <row r="43" spans="4:10" x14ac:dyDescent="0.2">
      <c r="D43" s="11" t="str">
        <v>obj_007b3</v>
      </c>
      <c r="E43" s="247" t="str">
        <f>_xll.qlRateHelperQuoteName($D43)</f>
        <v>EUR25F30Y_Quote</v>
      </c>
      <c r="F43" s="10">
        <f>_xll.qlRateHelperRate($D43)</f>
        <v>8.7500000000000008E-3</v>
      </c>
      <c r="G43" s="10">
        <f>IF(ISERROR(_xll.qlSwapRateHelperSpread($D43)),IF(ISERROR(_xll.qlFuturesRateHelperConvexityAdjustment($D43)),"--",_xll.qlFuturesRateHelperConvexityAdjustment($D43)),_xll.qlSwapRateHelperSpread($D43))</f>
        <v>0</v>
      </c>
      <c r="H43" s="9">
        <f>_xll.qlRateHelperEarliestDate($D43)</f>
        <v>51221</v>
      </c>
      <c r="I43" s="8">
        <f>_xll.qlRateHelperLatestDate($D43)</f>
        <v>62178</v>
      </c>
      <c r="J43" s="3">
        <v>0.62163717617356518</v>
      </c>
    </row>
    <row r="44" spans="4:10" x14ac:dyDescent="0.2">
      <c r="D44" s="11" t="str">
        <v>obj_00898</v>
      </c>
      <c r="E44" s="247" t="str">
        <f>_xll.qlRateHelperQuoteName($D44)</f>
        <v>EURAB6E60Y_Quote</v>
      </c>
      <c r="F44" s="10">
        <f>_xll.qlRateHelperRate($D44)</f>
        <v>8.6199999999999992E-3</v>
      </c>
      <c r="G44" s="10">
        <f>IF(ISERROR(_xll.qlSwapRateHelperSpread($D44)),IF(ISERROR(_xll.qlFuturesRateHelperConvexityAdjustment($D44)),"--",_xll.qlFuturesRateHelperConvexityAdjustment($D44)),_xll.qlSwapRateHelperSpread($D44))</f>
        <v>0</v>
      </c>
      <c r="H44" s="9">
        <f>_xll.qlRateHelperEarliestDate($D44)</f>
        <v>42087</v>
      </c>
      <c r="I44" s="8">
        <f>_xll.qlRateHelperLatestDate($D44)</f>
        <v>64003</v>
      </c>
      <c r="J44" s="3">
        <v>0.59752170147199513</v>
      </c>
    </row>
    <row r="45" spans="4:10" x14ac:dyDescent="0.2">
      <c r="D45" s="11" t="e">
        <v>#N/A</v>
      </c>
      <c r="E45" s="247"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247"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47"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47"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47"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47"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47"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47"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47"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47"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47"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47"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47"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47"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47"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47"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47"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47"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47"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47"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47"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47"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47"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47"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47"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47"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47"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47"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47"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47"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47"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47"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47"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47"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47"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47"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47"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47"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47"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47"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47"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47"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47"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47"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47"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47"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47"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47"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47"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47"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47"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47"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47"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47"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47"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47"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47"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47"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47"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47"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47"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47"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47"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47"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47"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47"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47"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47"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47"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47"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47"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47"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47"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47"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47"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47"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47"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47"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47"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47"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47"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48"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heetViews>
  <sheetFormatPr defaultRowHeight="12.75" x14ac:dyDescent="0.2"/>
  <cols>
    <col min="1" max="1" width="2.7109375" style="57" customWidth="1"/>
    <col min="2" max="2" width="4.7109375" style="57" bestFit="1" customWidth="1"/>
    <col min="3" max="3" width="5.28515625" style="57" bestFit="1" customWidth="1"/>
    <col min="4" max="4" width="4.7109375" style="57" bestFit="1" customWidth="1"/>
    <col min="5" max="5" width="7.7109375" style="57" bestFit="1" customWidth="1"/>
    <col min="6" max="6" width="13.85546875" style="57" bestFit="1" customWidth="1"/>
    <col min="7" max="7" width="5.7109375" style="57" bestFit="1" customWidth="1"/>
    <col min="8" max="8" width="10.140625" style="57" bestFit="1" customWidth="1"/>
    <col min="9" max="9" width="20.42578125" style="57" bestFit="1" customWidth="1"/>
    <col min="10" max="10" width="21.85546875" style="57" bestFit="1" customWidth="1"/>
    <col min="11" max="11" width="23.5703125" style="57" customWidth="1"/>
    <col min="12" max="12" width="2.7109375" style="57" customWidth="1"/>
    <col min="13" max="16384" width="9.140625" style="57"/>
  </cols>
  <sheetData>
    <row r="1" spans="1:12" x14ac:dyDescent="0.2">
      <c r="A1" s="73"/>
      <c r="B1" s="72"/>
      <c r="C1" s="72"/>
      <c r="D1" s="72"/>
      <c r="E1" s="72"/>
      <c r="F1" s="64" t="str">
        <f>PROPER(Currency)&amp;FamilyName&amp;$B12</f>
        <v>Euribor6M</v>
      </c>
      <c r="G1" s="72"/>
      <c r="H1" s="59" t="s">
        <v>84</v>
      </c>
      <c r="I1" s="71" t="str">
        <f>Currency&amp;"_YC"&amp;$H$1&amp;"RH"</f>
        <v>EUR_YC6MRH</v>
      </c>
      <c r="J1" s="68" t="str">
        <f>$I$1&amp;"_Deposits.xml"</f>
        <v>EUR_YC6MRH_Deposits.xml</v>
      </c>
      <c r="K1" s="70"/>
      <c r="L1" s="62"/>
    </row>
    <row r="2" spans="1:12" ht="23.25" customHeight="1" x14ac:dyDescent="0.2">
      <c r="A2" s="65"/>
      <c r="B2" s="69" t="s">
        <v>128</v>
      </c>
      <c r="C2" s="69" t="s">
        <v>129</v>
      </c>
      <c r="D2" s="69" t="s">
        <v>122</v>
      </c>
      <c r="E2" s="69" t="s">
        <v>123</v>
      </c>
      <c r="F2" s="69" t="s">
        <v>124</v>
      </c>
      <c r="G2" s="69" t="s">
        <v>125</v>
      </c>
      <c r="H2" s="69" t="s">
        <v>126</v>
      </c>
      <c r="I2" s="69" t="s">
        <v>94</v>
      </c>
      <c r="J2" s="67" t="str">
        <f>IF(Serialize,_xll.ohObjectSave(J3:J12,SerializationPath&amp;J1,FileOverwrite,Serialize),"---")</f>
        <v>---</v>
      </c>
      <c r="K2" s="66" t="str">
        <f>_xll.ohRangeRetrieveError(J2)</f>
        <v/>
      </c>
      <c r="L2" s="62"/>
    </row>
    <row r="3" spans="1:12" x14ac:dyDescent="0.2">
      <c r="A3" s="65"/>
      <c r="B3" s="110" t="s">
        <v>93</v>
      </c>
      <c r="C3" s="303" t="s">
        <v>105</v>
      </c>
      <c r="D3" s="255">
        <f>_xll.qlInterestRateIndexFixingDays($F$1,Trigger)</f>
        <v>2</v>
      </c>
      <c r="E3" s="303" t="str">
        <f>_xll.qlIndexFixingCalendar($F$1,Trigger)</f>
        <v>TARGET</v>
      </c>
      <c r="F3" s="303" t="s">
        <v>130</v>
      </c>
      <c r="G3" s="303" t="b">
        <v>0</v>
      </c>
      <c r="H3" s="255" t="str">
        <f>_xll.qlInterestRateIndexDayCounter($F$1,Trigger)</f>
        <v>Actual/360</v>
      </c>
      <c r="I3" s="310" t="str">
        <f t="shared" ref="I3:I12" si="0">Currency&amp;B3&amp;"D_SYNTH"&amp;$H$1&amp;QuoteSuffix</f>
        <v>EURSND_SYNTH6M_Quote</v>
      </c>
      <c r="J3" s="103" t="str">
        <f>_xll.qlDepositRateHelper2(,I3,C3,D3,E3,F3,G3,H3,Permanent,Trigger,ObjectOverwrite)</f>
        <v>obj_0089d#0001</v>
      </c>
      <c r="K3" s="304" t="str">
        <f>_xll.ohRangeRetrieveError(J3)</f>
        <v/>
      </c>
      <c r="L3" s="62"/>
    </row>
    <row r="4" spans="1:12" x14ac:dyDescent="0.2">
      <c r="A4" s="65"/>
      <c r="B4" s="305" t="s">
        <v>92</v>
      </c>
      <c r="C4" s="306" t="s">
        <v>127</v>
      </c>
      <c r="D4" s="260">
        <f>_xll.qlInterestRateIndexFixingDays($F$1,Trigger)</f>
        <v>2</v>
      </c>
      <c r="E4" s="306" t="str">
        <f>_xll.qlIndexFixingCalendar($F$1,Trigger)</f>
        <v>TARGET</v>
      </c>
      <c r="F4" s="306" t="s">
        <v>130</v>
      </c>
      <c r="G4" s="306" t="b">
        <v>0</v>
      </c>
      <c r="H4" s="260" t="str">
        <f>_xll.qlInterestRateIndexDayCounter($F$1,Trigger)</f>
        <v>Actual/360</v>
      </c>
      <c r="I4" s="311" t="str">
        <f t="shared" si="0"/>
        <v>EURSWD_SYNTH6M_Quote</v>
      </c>
      <c r="J4" s="98" t="str">
        <f>_xll.qlDepositRateHelper2(,I4,C4,D4,E4,F4,G4,H4,Permanent,Trigger,ObjectOverwrite)</f>
        <v>obj_008b4#0001</v>
      </c>
      <c r="K4" s="307" t="str">
        <f>_xll.ohRangeRetrieveError(J4)</f>
        <v/>
      </c>
      <c r="L4" s="62"/>
    </row>
    <row r="5" spans="1:12" x14ac:dyDescent="0.2">
      <c r="A5" s="65"/>
      <c r="B5" s="305" t="s">
        <v>91</v>
      </c>
      <c r="C5" s="306" t="s">
        <v>91</v>
      </c>
      <c r="D5" s="260">
        <f>_xll.qlInterestRateIndexFixingDays($F$1,Trigger)</f>
        <v>2</v>
      </c>
      <c r="E5" s="306" t="str">
        <f>_xll.qlIndexFixingCalendar($F$1,Trigger)</f>
        <v>TARGET</v>
      </c>
      <c r="F5" s="306" t="s">
        <v>130</v>
      </c>
      <c r="G5" s="306" t="b">
        <v>0</v>
      </c>
      <c r="H5" s="260" t="str">
        <f>_xll.qlInterestRateIndexDayCounter($F$1,Trigger)</f>
        <v>Actual/360</v>
      </c>
      <c r="I5" s="311" t="str">
        <f t="shared" si="0"/>
        <v>EUR2WD_SYNTH6M_Quote</v>
      </c>
      <c r="J5" s="98" t="str">
        <f>_xll.qlDepositRateHelper2(,I5,C5,D5,E5,F5,G5,H5,Permanent,Trigger,ObjectOverwrite)</f>
        <v>obj_008a8#0001</v>
      </c>
      <c r="K5" s="307" t="str">
        <f>_xll.ohRangeRetrieveError(J5)</f>
        <v/>
      </c>
      <c r="L5" s="62"/>
    </row>
    <row r="6" spans="1:12" x14ac:dyDescent="0.2">
      <c r="A6" s="65"/>
      <c r="B6" s="305" t="s">
        <v>90</v>
      </c>
      <c r="C6" s="306" t="s">
        <v>90</v>
      </c>
      <c r="D6" s="260">
        <f>_xll.qlInterestRateIndexFixingDays($F$1,Trigger)</f>
        <v>2</v>
      </c>
      <c r="E6" s="306" t="str">
        <f>_xll.qlIndexFixingCalendar($F$1,Trigger)</f>
        <v>TARGET</v>
      </c>
      <c r="F6" s="306" t="s">
        <v>130</v>
      </c>
      <c r="G6" s="306" t="b">
        <v>0</v>
      </c>
      <c r="H6" s="260" t="str">
        <f>_xll.qlInterestRateIndexDayCounter($F$1,Trigger)</f>
        <v>Actual/360</v>
      </c>
      <c r="I6" s="311" t="str">
        <f t="shared" si="0"/>
        <v>EUR3WD_SYNTH6M_Quote</v>
      </c>
      <c r="J6" s="98" t="str">
        <f>_xll.qlDepositRateHelper2(,I6,C6,D6,E6,F6,G6,H6,Permanent,Trigger,ObjectOverwrite)</f>
        <v>obj_008b1#0001</v>
      </c>
      <c r="K6" s="307" t="str">
        <f>_xll.ohRangeRetrieveError(J6)</f>
        <v/>
      </c>
      <c r="L6" s="62"/>
    </row>
    <row r="7" spans="1:12" x14ac:dyDescent="0.2">
      <c r="A7" s="65"/>
      <c r="B7" s="305" t="s">
        <v>89</v>
      </c>
      <c r="C7" s="306" t="s">
        <v>89</v>
      </c>
      <c r="D7" s="260">
        <f>_xll.qlInterestRateIndexFixingDays($F$1,Trigger)</f>
        <v>2</v>
      </c>
      <c r="E7" s="306" t="str">
        <f>_xll.qlIndexFixingCalendar($F$1,Trigger)</f>
        <v>TARGET</v>
      </c>
      <c r="F7" s="306" t="str">
        <f>_xll.qlIborIndexBusinessDayConv($F$1,Trigger)</f>
        <v>Modified Following</v>
      </c>
      <c r="G7" s="306" t="b">
        <f>_xll.qlIborIndexEndOfMonth($F$1,Trigger)</f>
        <v>1</v>
      </c>
      <c r="H7" s="260" t="str">
        <f>_xll.qlInterestRateIndexDayCounter($F$1,Trigger)</f>
        <v>Actual/360</v>
      </c>
      <c r="I7" s="311" t="str">
        <f t="shared" si="0"/>
        <v>EUR1MD_SYNTH6M_Quote</v>
      </c>
      <c r="J7" s="98" t="str">
        <f>_xll.qlDepositRateHelper2(,I7,C7,D7,E7,F7,G7,H7,Permanent,Trigger,ObjectOverwrite)</f>
        <v>obj_008a3#0001</v>
      </c>
      <c r="K7" s="307" t="str">
        <f>_xll.ohRangeRetrieveError(J7)</f>
        <v/>
      </c>
      <c r="L7" s="62"/>
    </row>
    <row r="8" spans="1:12" x14ac:dyDescent="0.2">
      <c r="A8" s="65"/>
      <c r="B8" s="305" t="s">
        <v>88</v>
      </c>
      <c r="C8" s="306" t="s">
        <v>88</v>
      </c>
      <c r="D8" s="260">
        <f>_xll.qlInterestRateIndexFixingDays($F$1,Trigger)</f>
        <v>2</v>
      </c>
      <c r="E8" s="306" t="str">
        <f>_xll.qlIndexFixingCalendar($F$1,Trigger)</f>
        <v>TARGET</v>
      </c>
      <c r="F8" s="306" t="str">
        <f>_xll.qlIborIndexBusinessDayConv($F$1,Trigger)</f>
        <v>Modified Following</v>
      </c>
      <c r="G8" s="306" t="b">
        <f>_xll.qlIborIndexEndOfMonth($F$1,Trigger)</f>
        <v>1</v>
      </c>
      <c r="H8" s="260" t="str">
        <f>_xll.qlInterestRateIndexDayCounter($F$1,Trigger)</f>
        <v>Actual/360</v>
      </c>
      <c r="I8" s="311" t="str">
        <f t="shared" si="0"/>
        <v>EUR2MD_SYNTH6M_Quote</v>
      </c>
      <c r="J8" s="98" t="str">
        <f>_xll.qlDepositRateHelper2(,I8,C8,D8,E8,F8,G8,H8,Permanent,Trigger,ObjectOverwrite)</f>
        <v>obj_008a5#0001</v>
      </c>
      <c r="K8" s="307" t="str">
        <f>_xll.ohRangeRetrieveError(J8)</f>
        <v/>
      </c>
      <c r="L8" s="62"/>
    </row>
    <row r="9" spans="1:12" x14ac:dyDescent="0.2">
      <c r="A9" s="65"/>
      <c r="B9" s="305" t="s">
        <v>87</v>
      </c>
      <c r="C9" s="306" t="s">
        <v>87</v>
      </c>
      <c r="D9" s="260">
        <f>_xll.qlInterestRateIndexFixingDays($F$1,Trigger)</f>
        <v>2</v>
      </c>
      <c r="E9" s="306" t="str">
        <f>_xll.qlIndexFixingCalendar($F$1,Trigger)</f>
        <v>TARGET</v>
      </c>
      <c r="F9" s="306" t="str">
        <f>_xll.qlIborIndexBusinessDayConv($F$1,Trigger)</f>
        <v>Modified Following</v>
      </c>
      <c r="G9" s="306" t="b">
        <f>_xll.qlIborIndexEndOfMonth($F$1,Trigger)</f>
        <v>1</v>
      </c>
      <c r="H9" s="260" t="str">
        <f>_xll.qlInterestRateIndexDayCounter($F$1,Trigger)</f>
        <v>Actual/360</v>
      </c>
      <c r="I9" s="311" t="str">
        <f t="shared" si="0"/>
        <v>EUR3MD_SYNTH6M_Quote</v>
      </c>
      <c r="J9" s="98" t="str">
        <f>_xll.qlDepositRateHelper2(,I9,C9,D9,E9,F9,G9,H9,Permanent,Trigger,ObjectOverwrite)</f>
        <v>obj_00899#0001</v>
      </c>
      <c r="K9" s="307" t="str">
        <f>_xll.ohRangeRetrieveError(J9)</f>
        <v/>
      </c>
      <c r="L9" s="62"/>
    </row>
    <row r="10" spans="1:12" x14ac:dyDescent="0.2">
      <c r="A10" s="65"/>
      <c r="B10" s="305" t="s">
        <v>86</v>
      </c>
      <c r="C10" s="306" t="s">
        <v>86</v>
      </c>
      <c r="D10" s="260">
        <f>_xll.qlInterestRateIndexFixingDays($F$1,Trigger)</f>
        <v>2</v>
      </c>
      <c r="E10" s="306" t="str">
        <f>_xll.qlIndexFixingCalendar($F$1,Trigger)</f>
        <v>TARGET</v>
      </c>
      <c r="F10" s="306" t="str">
        <f>_xll.qlIborIndexBusinessDayConv($F$1,Trigger)</f>
        <v>Modified Following</v>
      </c>
      <c r="G10" s="306" t="b">
        <f>_xll.qlIborIndexEndOfMonth($F$1,Trigger)</f>
        <v>1</v>
      </c>
      <c r="H10" s="260" t="str">
        <f>_xll.qlInterestRateIndexDayCounter($F$1,Trigger)</f>
        <v>Actual/360</v>
      </c>
      <c r="I10" s="311" t="str">
        <f t="shared" si="0"/>
        <v>EUR4MD_SYNTH6M_Quote</v>
      </c>
      <c r="J10" s="98" t="str">
        <f>_xll.qlDepositRateHelper2(,I10,C10,D10,E10,F10,G10,H10,Permanent,Trigger,ObjectOverwrite)</f>
        <v>obj_00893#0001</v>
      </c>
      <c r="K10" s="307" t="str">
        <f>_xll.ohRangeRetrieveError(J10)</f>
        <v/>
      </c>
      <c r="L10" s="62"/>
    </row>
    <row r="11" spans="1:12" x14ac:dyDescent="0.2">
      <c r="A11" s="65"/>
      <c r="B11" s="305" t="s">
        <v>85</v>
      </c>
      <c r="C11" s="306" t="s">
        <v>85</v>
      </c>
      <c r="D11" s="260">
        <f>_xll.qlInterestRateIndexFixingDays($F$1,Trigger)</f>
        <v>2</v>
      </c>
      <c r="E11" s="306" t="str">
        <f>_xll.qlIndexFixingCalendar($F$1,Trigger)</f>
        <v>TARGET</v>
      </c>
      <c r="F11" s="306" t="str">
        <f>_xll.qlIborIndexBusinessDayConv($F$1,Trigger)</f>
        <v>Modified Following</v>
      </c>
      <c r="G11" s="306" t="b">
        <f>_xll.qlIborIndexEndOfMonth($F$1,Trigger)</f>
        <v>1</v>
      </c>
      <c r="H11" s="260" t="str">
        <f>_xll.qlInterestRateIndexDayCounter($F$1,Trigger)</f>
        <v>Actual/360</v>
      </c>
      <c r="I11" s="311" t="str">
        <f t="shared" si="0"/>
        <v>EUR5MD_SYNTH6M_Quote</v>
      </c>
      <c r="J11" s="98" t="str">
        <f>_xll.qlDepositRateHelper2(,I11,C11,D11,E11,F11,G11,H11,Permanent,Trigger,ObjectOverwrite)</f>
        <v>obj_008bb#0001</v>
      </c>
      <c r="K11" s="307" t="str">
        <f>_xll.ohRangeRetrieveError(J11)</f>
        <v/>
      </c>
      <c r="L11" s="62"/>
    </row>
    <row r="12" spans="1:12" x14ac:dyDescent="0.2">
      <c r="A12" s="65"/>
      <c r="B12" s="308" t="s">
        <v>84</v>
      </c>
      <c r="C12" s="64" t="s">
        <v>84</v>
      </c>
      <c r="D12" s="147">
        <f>_xll.qlInterestRateIndexFixingDays($F$1,Trigger)</f>
        <v>2</v>
      </c>
      <c r="E12" s="64" t="str">
        <f>_xll.qlIndexFixingCalendar($F$1,Trigger)</f>
        <v>TARGET</v>
      </c>
      <c r="F12" s="64" t="str">
        <f>_xll.qlIborIndexBusinessDayConv($F$1,Trigger)</f>
        <v>Modified Following</v>
      </c>
      <c r="G12" s="64" t="b">
        <f>_xll.qlIborIndexEndOfMonth($F$1,Trigger)</f>
        <v>1</v>
      </c>
      <c r="H12" s="147" t="str">
        <f>_xll.qlInterestRateIndexDayCounter($F$1,Trigger)</f>
        <v>Actual/360</v>
      </c>
      <c r="I12" s="312" t="str">
        <f t="shared" si="0"/>
        <v>EUR6MD_SYNTH6M_Quote</v>
      </c>
      <c r="J12" s="63" t="str">
        <f>_xll.qlDepositRateHelper2(,I12,C12,D12,E12,F12,G12,H12,Permanent,Trigger,ObjectOverwrite)</f>
        <v>obj_008a1#0001</v>
      </c>
      <c r="K12" s="309"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70" customWidth="1"/>
    <col min="2" max="2" width="3.85546875" style="70" bestFit="1" customWidth="1"/>
    <col min="3" max="3" width="2.7109375" style="70" bestFit="1" customWidth="1"/>
    <col min="4" max="4" width="4.42578125" style="58" bestFit="1" customWidth="1"/>
    <col min="5" max="5" width="7.85546875" style="58" bestFit="1" customWidth="1"/>
    <col min="6" max="6" width="8.28515625" style="58" bestFit="1" customWidth="1"/>
    <col min="7" max="7" width="14.140625" style="70" bestFit="1" customWidth="1"/>
    <col min="8" max="8" width="12.42578125" style="92" bestFit="1" customWidth="1"/>
    <col min="9" max="9" width="38.28515625" style="70" customWidth="1"/>
    <col min="10" max="10" width="2.7109375" style="70" customWidth="1"/>
    <col min="11" max="16384" width="9.140625" style="70"/>
  </cols>
  <sheetData>
    <row r="1" spans="1:10" x14ac:dyDescent="0.2">
      <c r="A1" s="138"/>
      <c r="B1" s="114"/>
      <c r="C1" s="115"/>
      <c r="D1" s="115">
        <v>6</v>
      </c>
      <c r="E1" s="114" t="str">
        <f>_xll.qlPeriodEquivalent(D1&amp;"M")</f>
        <v>6M</v>
      </c>
      <c r="F1" s="59"/>
      <c r="G1" s="113" t="str">
        <f>Currency&amp;"_YC"&amp;$E$1&amp;"RH"</f>
        <v>EUR_YC6MRH</v>
      </c>
      <c r="I1" s="107" t="str">
        <f>$G$1&amp;"_FRAs.xml"</f>
        <v>EUR_YC6MRH_FRAs.xml</v>
      </c>
      <c r="J1" s="112"/>
    </row>
    <row r="2" spans="1:10" ht="23.25" customHeight="1" x14ac:dyDescent="0.2">
      <c r="A2" s="65"/>
      <c r="B2" s="111"/>
      <c r="C2" s="110"/>
      <c r="D2" s="109"/>
      <c r="E2" s="108" t="s">
        <v>95</v>
      </c>
      <c r="F2" s="108" t="s">
        <v>107</v>
      </c>
      <c r="G2" s="108" t="s">
        <v>94</v>
      </c>
      <c r="H2" s="106" t="str">
        <f>IF(Serialize,_xll.ohObjectSave(H3:H20,SerializationPath&amp;I1,FileOverwrite,Serialize),"---")</f>
        <v>---</v>
      </c>
      <c r="I2" s="105" t="str">
        <f>_xll.ohRangeRetrieveError(H2)</f>
        <v/>
      </c>
      <c r="J2" s="62"/>
    </row>
    <row r="3" spans="1:10" x14ac:dyDescent="0.2">
      <c r="A3" s="65"/>
      <c r="B3" s="101" t="str">
        <f t="shared" ref="B3:B20" si="0">C3&amp;"M"</f>
        <v>1M</v>
      </c>
      <c r="C3" s="104">
        <v>1</v>
      </c>
      <c r="D3" s="103" t="str">
        <f t="shared" ref="D3:D20" si="1">"x"&amp;C3+$D$1&amp;"F"</f>
        <v>x7F</v>
      </c>
      <c r="E3" s="101" t="str">
        <f t="shared" ref="E3:E20" si="2">PROPER(Currency)&amp;FamilyName&amp;$E$1</f>
        <v>Euribor6M</v>
      </c>
      <c r="F3" s="102" t="b">
        <v>0</v>
      </c>
      <c r="G3" s="101" t="str">
        <f t="shared" ref="G3:G20" si="3">Currency&amp;C3&amp;D3&amp;IF(F3,"_SYNTH"&amp;$E$1,"")&amp;"_Quote"</f>
        <v>EUR1x7F_Quote</v>
      </c>
      <c r="H3" s="101" t="str">
        <f>_xll.qlFraRateHelper(,G3,B3,E3,Permanent,Trigger,ObjectOverwrite)</f>
        <v>obj_00806#0001</v>
      </c>
      <c r="I3" s="100" t="str">
        <f>_xll.ohRangeRetrieveError(H3)</f>
        <v/>
      </c>
      <c r="J3" s="62"/>
    </row>
    <row r="4" spans="1:10" x14ac:dyDescent="0.2">
      <c r="A4" s="65"/>
      <c r="B4" s="96" t="str">
        <f t="shared" si="0"/>
        <v>2M</v>
      </c>
      <c r="C4" s="99">
        <v>2</v>
      </c>
      <c r="D4" s="98" t="str">
        <f t="shared" si="1"/>
        <v>x8F</v>
      </c>
      <c r="E4" s="96" t="str">
        <f t="shared" si="2"/>
        <v>Euribor6M</v>
      </c>
      <c r="F4" s="97" t="b">
        <v>0</v>
      </c>
      <c r="G4" s="96" t="str">
        <f t="shared" si="3"/>
        <v>EUR2x8F_Quote</v>
      </c>
      <c r="H4" s="96" t="str">
        <f>_xll.qlFraRateHelper(,G4,B4,E4,Permanent,Trigger,ObjectOverwrite)</f>
        <v>obj_007ad#0001</v>
      </c>
      <c r="I4" s="95" t="str">
        <f>_xll.ohRangeRetrieveError(H4)</f>
        <v/>
      </c>
      <c r="J4" s="62"/>
    </row>
    <row r="5" spans="1:10" x14ac:dyDescent="0.2">
      <c r="A5" s="65"/>
      <c r="B5" s="96" t="str">
        <f t="shared" si="0"/>
        <v>3M</v>
      </c>
      <c r="C5" s="99">
        <v>3</v>
      </c>
      <c r="D5" s="98" t="str">
        <f t="shared" si="1"/>
        <v>x9F</v>
      </c>
      <c r="E5" s="96" t="str">
        <f t="shared" si="2"/>
        <v>Euribor6M</v>
      </c>
      <c r="F5" s="97" t="b">
        <v>0</v>
      </c>
      <c r="G5" s="96" t="str">
        <f t="shared" si="3"/>
        <v>EUR3x9F_Quote</v>
      </c>
      <c r="H5" s="96" t="str">
        <f>_xll.qlFraRateHelper(,G5,B5,E5,Permanent,Trigger,ObjectOverwrite)</f>
        <v>obj_0082f#0001</v>
      </c>
      <c r="I5" s="95" t="str">
        <f>_xll.ohRangeRetrieveError(H5)</f>
        <v/>
      </c>
      <c r="J5" s="62"/>
    </row>
    <row r="6" spans="1:10" x14ac:dyDescent="0.2">
      <c r="A6" s="65"/>
      <c r="B6" s="96" t="str">
        <f t="shared" si="0"/>
        <v>4M</v>
      </c>
      <c r="C6" s="99">
        <v>4</v>
      </c>
      <c r="D6" s="98" t="str">
        <f t="shared" si="1"/>
        <v>x10F</v>
      </c>
      <c r="E6" s="96" t="str">
        <f t="shared" si="2"/>
        <v>Euribor6M</v>
      </c>
      <c r="F6" s="97" t="b">
        <v>0</v>
      </c>
      <c r="G6" s="96" t="str">
        <f t="shared" si="3"/>
        <v>EUR4x10F_Quote</v>
      </c>
      <c r="H6" s="96" t="str">
        <f>_xll.qlFraRateHelper(,G6,B6,E6,Permanent,Trigger,ObjectOverwrite)</f>
        <v>obj_00782#0001</v>
      </c>
      <c r="I6" s="95" t="str">
        <f>_xll.ohRangeRetrieveError(H6)</f>
        <v/>
      </c>
      <c r="J6" s="62"/>
    </row>
    <row r="7" spans="1:10" x14ac:dyDescent="0.2">
      <c r="A7" s="65"/>
      <c r="B7" s="96" t="str">
        <f t="shared" si="0"/>
        <v>5M</v>
      </c>
      <c r="C7" s="99">
        <v>5</v>
      </c>
      <c r="D7" s="98" t="str">
        <f t="shared" si="1"/>
        <v>x11F</v>
      </c>
      <c r="E7" s="96" t="str">
        <f t="shared" si="2"/>
        <v>Euribor6M</v>
      </c>
      <c r="F7" s="97" t="b">
        <v>0</v>
      </c>
      <c r="G7" s="96" t="str">
        <f t="shared" si="3"/>
        <v>EUR5x11F_Quote</v>
      </c>
      <c r="H7" s="96" t="str">
        <f>_xll.qlFraRateHelper(,G7,B7,E7,Permanent,Trigger,ObjectOverwrite)</f>
        <v>obj_007b4#0001</v>
      </c>
      <c r="I7" s="95" t="str">
        <f>_xll.ohRangeRetrieveError(H7)</f>
        <v/>
      </c>
      <c r="J7" s="62"/>
    </row>
    <row r="8" spans="1:10" x14ac:dyDescent="0.2">
      <c r="A8" s="65"/>
      <c r="B8" s="96" t="str">
        <f t="shared" si="0"/>
        <v>6M</v>
      </c>
      <c r="C8" s="99">
        <v>6</v>
      </c>
      <c r="D8" s="98" t="str">
        <f t="shared" si="1"/>
        <v>x12F</v>
      </c>
      <c r="E8" s="96" t="str">
        <f t="shared" si="2"/>
        <v>Euribor6M</v>
      </c>
      <c r="F8" s="97" t="b">
        <v>0</v>
      </c>
      <c r="G8" s="96" t="str">
        <f t="shared" si="3"/>
        <v>EUR6x12F_Quote</v>
      </c>
      <c r="H8" s="96" t="str">
        <f>_xll.qlFraRateHelper(,G8,B8,E8,Permanent,Trigger,ObjectOverwrite)</f>
        <v>obj_00891#0001</v>
      </c>
      <c r="I8" s="95" t="str">
        <f>_xll.ohRangeRetrieveError(H8)</f>
        <v/>
      </c>
      <c r="J8" s="62"/>
    </row>
    <row r="9" spans="1:10" x14ac:dyDescent="0.2">
      <c r="A9" s="65"/>
      <c r="B9" s="96" t="str">
        <f t="shared" si="0"/>
        <v>7M</v>
      </c>
      <c r="C9" s="99">
        <v>7</v>
      </c>
      <c r="D9" s="98" t="str">
        <f t="shared" si="1"/>
        <v>x13F</v>
      </c>
      <c r="E9" s="96" t="str">
        <f t="shared" si="2"/>
        <v>Euribor6M</v>
      </c>
      <c r="F9" s="97" t="b">
        <v>0</v>
      </c>
      <c r="G9" s="96" t="str">
        <f t="shared" si="3"/>
        <v>EUR7x13F_Quote</v>
      </c>
      <c r="H9" s="96" t="str">
        <f>_xll.qlFraRateHelper(,G9,B9,E9,Permanent,Trigger,ObjectOverwrite)</f>
        <v>obj_007ee#0001</v>
      </c>
      <c r="I9" s="95" t="str">
        <f>_xll.ohRangeRetrieveError(H9)</f>
        <v/>
      </c>
      <c r="J9" s="62"/>
    </row>
    <row r="10" spans="1:10" x14ac:dyDescent="0.2">
      <c r="A10" s="65"/>
      <c r="B10" s="96" t="str">
        <f t="shared" si="0"/>
        <v>8M</v>
      </c>
      <c r="C10" s="99">
        <v>8</v>
      </c>
      <c r="D10" s="98" t="str">
        <f t="shared" si="1"/>
        <v>x14F</v>
      </c>
      <c r="E10" s="96" t="str">
        <f t="shared" si="2"/>
        <v>Euribor6M</v>
      </c>
      <c r="F10" s="97" t="b">
        <v>0</v>
      </c>
      <c r="G10" s="96" t="str">
        <f t="shared" si="3"/>
        <v>EUR8x14F_Quote</v>
      </c>
      <c r="H10" s="96" t="str">
        <f>_xll.qlFraRateHelper(,G10,B10,E10,Permanent,Trigger,ObjectOverwrite)</f>
        <v>obj_007df#0001</v>
      </c>
      <c r="I10" s="95" t="str">
        <f>_xll.ohRangeRetrieveError(H10)</f>
        <v/>
      </c>
      <c r="J10" s="62"/>
    </row>
    <row r="11" spans="1:10" x14ac:dyDescent="0.2">
      <c r="A11" s="65"/>
      <c r="B11" s="96" t="str">
        <f t="shared" si="0"/>
        <v>9M</v>
      </c>
      <c r="C11" s="99">
        <v>9</v>
      </c>
      <c r="D11" s="98" t="str">
        <f t="shared" si="1"/>
        <v>x15F</v>
      </c>
      <c r="E11" s="96" t="str">
        <f t="shared" si="2"/>
        <v>Euribor6M</v>
      </c>
      <c r="F11" s="97" t="b">
        <v>0</v>
      </c>
      <c r="G11" s="96" t="str">
        <f t="shared" si="3"/>
        <v>EUR9x15F_Quote</v>
      </c>
      <c r="H11" s="96" t="str">
        <f>_xll.qlFraRateHelper(,G11,B11,E11,Permanent,Trigger,ObjectOverwrite)</f>
        <v>obj_00781#0001</v>
      </c>
      <c r="I11" s="95" t="str">
        <f>_xll.ohRangeRetrieveError(H11)</f>
        <v/>
      </c>
      <c r="J11" s="62"/>
    </row>
    <row r="12" spans="1:10" x14ac:dyDescent="0.2">
      <c r="A12" s="65"/>
      <c r="B12" s="96" t="str">
        <f t="shared" si="0"/>
        <v>10M</v>
      </c>
      <c r="C12" s="99">
        <v>10</v>
      </c>
      <c r="D12" s="98" t="str">
        <f t="shared" si="1"/>
        <v>x16F</v>
      </c>
      <c r="E12" s="96" t="str">
        <f t="shared" si="2"/>
        <v>Euribor6M</v>
      </c>
      <c r="F12" s="97" t="b">
        <v>0</v>
      </c>
      <c r="G12" s="96" t="str">
        <f t="shared" si="3"/>
        <v>EUR10x16F_Quote</v>
      </c>
      <c r="H12" s="96" t="str">
        <f>_xll.qlFraRateHelper(,G12,B12,E12,Permanent,Trigger,ObjectOverwrite)</f>
        <v>obj_0081e#0001</v>
      </c>
      <c r="I12" s="95" t="str">
        <f>_xll.ohRangeRetrieveError(H12)</f>
        <v/>
      </c>
      <c r="J12" s="62"/>
    </row>
    <row r="13" spans="1:10" x14ac:dyDescent="0.2">
      <c r="A13" s="65"/>
      <c r="B13" s="96" t="str">
        <f t="shared" si="0"/>
        <v>11M</v>
      </c>
      <c r="C13" s="99">
        <v>11</v>
      </c>
      <c r="D13" s="98" t="str">
        <f t="shared" si="1"/>
        <v>x17F</v>
      </c>
      <c r="E13" s="96" t="str">
        <f t="shared" si="2"/>
        <v>Euribor6M</v>
      </c>
      <c r="F13" s="97" t="b">
        <v>0</v>
      </c>
      <c r="G13" s="96" t="str">
        <f t="shared" si="3"/>
        <v>EUR11x17F_Quote</v>
      </c>
      <c r="H13" s="96" t="str">
        <f>_xll.qlFraRateHelper(,G13,B13,E13,Permanent,Trigger,ObjectOverwrite)</f>
        <v>obj_00765#0001</v>
      </c>
      <c r="I13" s="95" t="str">
        <f>_xll.ohRangeRetrieveError(H13)</f>
        <v/>
      </c>
      <c r="J13" s="62"/>
    </row>
    <row r="14" spans="1:10" x14ac:dyDescent="0.2">
      <c r="A14" s="65"/>
      <c r="B14" s="96" t="str">
        <f t="shared" si="0"/>
        <v>12M</v>
      </c>
      <c r="C14" s="99">
        <v>12</v>
      </c>
      <c r="D14" s="98" t="str">
        <f t="shared" si="1"/>
        <v>x18F</v>
      </c>
      <c r="E14" s="96" t="str">
        <f t="shared" si="2"/>
        <v>Euribor6M</v>
      </c>
      <c r="F14" s="97" t="b">
        <v>0</v>
      </c>
      <c r="G14" s="96" t="str">
        <f t="shared" si="3"/>
        <v>EUR12x18F_Quote</v>
      </c>
      <c r="H14" s="96" t="str">
        <f>_xll.qlFraRateHelper(,G14,B14,E14,Permanent,Trigger,ObjectOverwrite)</f>
        <v>obj_00857#0001</v>
      </c>
      <c r="I14" s="95" t="str">
        <f>_xll.ohRangeRetrieveError(H14)</f>
        <v/>
      </c>
      <c r="J14" s="62"/>
    </row>
    <row r="15" spans="1:10" x14ac:dyDescent="0.2">
      <c r="A15" s="65"/>
      <c r="B15" s="96" t="str">
        <f t="shared" si="0"/>
        <v>13M</v>
      </c>
      <c r="C15" s="99">
        <v>13</v>
      </c>
      <c r="D15" s="98" t="str">
        <f t="shared" si="1"/>
        <v>x19F</v>
      </c>
      <c r="E15" s="96" t="str">
        <f t="shared" si="2"/>
        <v>Euribor6M</v>
      </c>
      <c r="F15" s="97" t="b">
        <v>0</v>
      </c>
      <c r="G15" s="96" t="str">
        <f t="shared" si="3"/>
        <v>EUR13x19F_Quote</v>
      </c>
      <c r="H15" s="96" t="str">
        <f>_xll.qlFraRateHelper(,G15,B15,E15,Permanent,Trigger,ObjectOverwrite)</f>
        <v>obj_007d5#0001</v>
      </c>
      <c r="I15" s="95" t="str">
        <f>_xll.ohRangeRetrieveError(H15)</f>
        <v/>
      </c>
      <c r="J15" s="62"/>
    </row>
    <row r="16" spans="1:10" x14ac:dyDescent="0.2">
      <c r="A16" s="65"/>
      <c r="B16" s="96" t="str">
        <f t="shared" si="0"/>
        <v>14M</v>
      </c>
      <c r="C16" s="99">
        <v>14</v>
      </c>
      <c r="D16" s="98" t="str">
        <f t="shared" si="1"/>
        <v>x20F</v>
      </c>
      <c r="E16" s="96" t="str">
        <f t="shared" si="2"/>
        <v>Euribor6M</v>
      </c>
      <c r="F16" s="97" t="b">
        <v>0</v>
      </c>
      <c r="G16" s="96" t="str">
        <f t="shared" si="3"/>
        <v>EUR14x20F_Quote</v>
      </c>
      <c r="H16" s="96" t="str">
        <f>_xll.qlFraRateHelper(,G16,B16,E16,Permanent,Trigger,ObjectOverwrite)</f>
        <v>obj_00780#0001</v>
      </c>
      <c r="I16" s="95" t="str">
        <f>_xll.ohRangeRetrieveError(H16)</f>
        <v/>
      </c>
      <c r="J16" s="62"/>
    </row>
    <row r="17" spans="1:10" x14ac:dyDescent="0.2">
      <c r="A17" s="65"/>
      <c r="B17" s="96" t="str">
        <f t="shared" si="0"/>
        <v>15M</v>
      </c>
      <c r="C17" s="99">
        <v>15</v>
      </c>
      <c r="D17" s="98" t="str">
        <f t="shared" si="1"/>
        <v>x21F</v>
      </c>
      <c r="E17" s="96" t="str">
        <f t="shared" si="2"/>
        <v>Euribor6M</v>
      </c>
      <c r="F17" s="97" t="b">
        <v>0</v>
      </c>
      <c r="G17" s="96" t="str">
        <f t="shared" si="3"/>
        <v>EUR15x21F_Quote</v>
      </c>
      <c r="H17" s="96" t="str">
        <f>_xll.qlFraRateHelper(,G17,B17,E17,Permanent,Trigger,ObjectOverwrite)</f>
        <v>obj_00864#0001</v>
      </c>
      <c r="I17" s="95" t="str">
        <f>_xll.ohRangeRetrieveError(H17)</f>
        <v/>
      </c>
      <c r="J17" s="62"/>
    </row>
    <row r="18" spans="1:10" x14ac:dyDescent="0.2">
      <c r="A18" s="65"/>
      <c r="B18" s="96" t="str">
        <f t="shared" si="0"/>
        <v>16M</v>
      </c>
      <c r="C18" s="99">
        <v>16</v>
      </c>
      <c r="D18" s="98" t="str">
        <f t="shared" si="1"/>
        <v>x22F</v>
      </c>
      <c r="E18" s="96" t="str">
        <f t="shared" si="2"/>
        <v>Euribor6M</v>
      </c>
      <c r="F18" s="97" t="b">
        <v>0</v>
      </c>
      <c r="G18" s="96" t="str">
        <f t="shared" si="3"/>
        <v>EUR16x22F_Quote</v>
      </c>
      <c r="H18" s="96" t="str">
        <f>_xll.qlFraRateHelper(,G18,B18,E18,Permanent,Trigger,ObjectOverwrite)</f>
        <v>obj_00830#0001</v>
      </c>
      <c r="I18" s="95" t="str">
        <f>_xll.ohRangeRetrieveError(H18)</f>
        <v/>
      </c>
      <c r="J18" s="62"/>
    </row>
    <row r="19" spans="1:10" x14ac:dyDescent="0.2">
      <c r="A19" s="65"/>
      <c r="B19" s="96" t="str">
        <f t="shared" si="0"/>
        <v>17M</v>
      </c>
      <c r="C19" s="99">
        <v>17</v>
      </c>
      <c r="D19" s="98" t="str">
        <f t="shared" si="1"/>
        <v>x23F</v>
      </c>
      <c r="E19" s="96" t="str">
        <f t="shared" si="2"/>
        <v>Euribor6M</v>
      </c>
      <c r="F19" s="97" t="b">
        <v>0</v>
      </c>
      <c r="G19" s="96" t="str">
        <f t="shared" si="3"/>
        <v>EUR17x23F_Quote</v>
      </c>
      <c r="H19" s="96" t="str">
        <f>_xll.qlFraRateHelper(,G19,B19,E19,Permanent,Trigger,ObjectOverwrite)</f>
        <v>obj_008ba#0001</v>
      </c>
      <c r="I19" s="95" t="str">
        <f>_xll.ohRangeRetrieveError(H19)</f>
        <v/>
      </c>
      <c r="J19" s="62"/>
    </row>
    <row r="20" spans="1:10" x14ac:dyDescent="0.2">
      <c r="A20" s="65"/>
      <c r="B20" s="96" t="str">
        <f t="shared" si="0"/>
        <v>18M</v>
      </c>
      <c r="C20" s="99">
        <v>18</v>
      </c>
      <c r="D20" s="98" t="str">
        <f t="shared" si="1"/>
        <v>x24F</v>
      </c>
      <c r="E20" s="96" t="str">
        <f t="shared" si="2"/>
        <v>Euribor6M</v>
      </c>
      <c r="F20" s="97" t="b">
        <v>0</v>
      </c>
      <c r="G20" s="96" t="str">
        <f t="shared" si="3"/>
        <v>EUR18x24F_Quote</v>
      </c>
      <c r="H20" s="96" t="str">
        <f>_xll.qlFraRateHelper(,G20,B20,E20,Permanent,Trigger,ObjectOverwrite)</f>
        <v>obj_007ef#0001</v>
      </c>
      <c r="I20" s="95" t="str">
        <f>_xll.ohRangeRetrieveError(H20)</f>
        <v/>
      </c>
      <c r="J20" s="62"/>
    </row>
    <row r="21" spans="1:10" ht="12" thickBot="1" x14ac:dyDescent="0.25">
      <c r="A21" s="61"/>
      <c r="B21" s="94"/>
      <c r="C21" s="94"/>
      <c r="D21" s="94"/>
      <c r="E21" s="94"/>
      <c r="F21" s="94"/>
      <c r="G21" s="94"/>
      <c r="H21" s="93"/>
      <c r="I21" s="93"/>
      <c r="J21" s="56"/>
    </row>
    <row r="23" spans="1:10" x14ac:dyDescent="0.2">
      <c r="D23" s="70"/>
      <c r="E23" s="70"/>
      <c r="F23" s="70"/>
      <c r="H23" s="7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heetViews>
  <sheetFormatPr defaultRowHeight="12.75" x14ac:dyDescent="0.2"/>
  <cols>
    <col min="1" max="1" width="2.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0.42578125" style="116" bestFit="1" customWidth="1"/>
    <col min="12" max="12" width="16.5703125" style="57" customWidth="1"/>
    <col min="13" max="13" width="2.71093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65"/>
      <c r="B1" s="72"/>
      <c r="C1" s="72"/>
      <c r="D1" s="72"/>
      <c r="E1" s="72"/>
      <c r="F1" s="72"/>
      <c r="G1" s="72"/>
      <c r="H1" s="72"/>
      <c r="I1" s="59" t="s">
        <v>84</v>
      </c>
      <c r="J1" s="59" t="str">
        <f>Currency&amp;"_YC"&amp;$I$1&amp;"RH"</f>
        <v>EUR_YC6MRH</v>
      </c>
      <c r="K1" s="136" t="str">
        <f>J1&amp;"_Swaps.xml"</f>
        <v>EUR_YC6MRH_Swaps.xml</v>
      </c>
      <c r="L1" s="72"/>
      <c r="M1" s="132"/>
    </row>
    <row r="2" spans="1:17" ht="22.5" x14ac:dyDescent="0.2">
      <c r="A2" s="65"/>
      <c r="B2" s="69" t="s">
        <v>116</v>
      </c>
      <c r="C2" s="69"/>
      <c r="D2" s="69"/>
      <c r="E2" s="69"/>
      <c r="F2" s="69" t="s">
        <v>115</v>
      </c>
      <c r="G2" s="69" t="s">
        <v>114</v>
      </c>
      <c r="H2" s="69" t="s">
        <v>113</v>
      </c>
      <c r="I2" s="69" t="s">
        <v>112</v>
      </c>
      <c r="J2" s="69" t="s">
        <v>94</v>
      </c>
      <c r="K2" s="135" t="str">
        <f>IF(Serialize,_xll.ohObjectSave(K3:K41,SerializationPath&amp;K1,FileOverwrite,Serialize),"---")</f>
        <v>---</v>
      </c>
      <c r="L2" s="120" t="str">
        <f>_xll.ohRangeRetrieveError(K2)</f>
        <v/>
      </c>
      <c r="M2" s="119"/>
    </row>
    <row r="3" spans="1:17" x14ac:dyDescent="0.2">
      <c r="A3" s="73"/>
      <c r="B3" s="72"/>
      <c r="C3" s="72"/>
      <c r="D3" s="72"/>
      <c r="E3" s="72"/>
      <c r="F3" s="72"/>
      <c r="G3" s="72"/>
      <c r="H3" s="72"/>
      <c r="I3" s="72"/>
      <c r="J3" s="72"/>
      <c r="K3" s="134" t="str">
        <f>IF(UPPER(FamilyName)="IBOR",_xll.qlEuribor(,$I$1,,Permanent,Trigger,ObjectOverwrite),IF(UPPER(FamilyName)="LIBOR",_xll.qlLibor(,Currency,$I$1,,Permanent,Trigger,ObjectOverwrite),"--"))</f>
        <v>obj_0073b#0001</v>
      </c>
      <c r="L3" s="133" t="str">
        <f>_xll.ohRangeRetrieveError(K3)</f>
        <v/>
      </c>
      <c r="M3" s="132"/>
    </row>
    <row r="4" spans="1:17" s="70" customFormat="1" ht="12" thickBot="1" x14ac:dyDescent="0.25">
      <c r="A4" s="73"/>
      <c r="B4" s="72"/>
      <c r="C4" s="72"/>
      <c r="D4" s="72"/>
      <c r="E4" s="72"/>
      <c r="F4" s="72"/>
      <c r="G4" s="72"/>
      <c r="H4" s="72"/>
      <c r="I4" s="72"/>
      <c r="J4" s="72"/>
      <c r="K4" s="72"/>
      <c r="L4" s="72"/>
      <c r="M4" s="132"/>
    </row>
    <row r="5" spans="1:17" x14ac:dyDescent="0.2">
      <c r="A5" s="65"/>
      <c r="B5" s="102" t="s">
        <v>106</v>
      </c>
      <c r="C5" s="102" t="s">
        <v>36</v>
      </c>
      <c r="D5" s="102" t="str">
        <f t="array" ref="D5:D41">VLOOKUP(Currency,Conventions,2)</f>
        <v>AB</v>
      </c>
      <c r="E5" s="102" t="str">
        <f t="array" ref="E5:E41">VLOOKUP(Currency,Conventions,3)</f>
        <v>6E</v>
      </c>
      <c r="F5" s="111" t="str">
        <f t="shared" ref="F5:F41" si="0">IF(UPPER(LEFT($D5))="A","Annual",IF(UPPER(LEFT($D5))="S","Semiannual","--"))</f>
        <v>Annual</v>
      </c>
      <c r="G5" s="111" t="s">
        <v>108</v>
      </c>
      <c r="H5" s="111" t="str">
        <f t="shared" ref="H5:H41" si="1">IF(UPPER(RIGHT($D5))="B",BondBasisDayCounter,IF(UPPER(RIGHT($D5))="M",MoneyMarketDayCounter,"--"))</f>
        <v>30/360 (Bond Basis)</v>
      </c>
      <c r="I5" s="253">
        <v>0</v>
      </c>
      <c r="J5" s="254" t="str">
        <f t="shared" ref="J5:J41" si="2">Currency&amp;$D5&amp;$E5&amp;$C5&amp;QuoteSuffix</f>
        <v>EURAB6E1Y_Quote</v>
      </c>
      <c r="K5" s="255" t="str">
        <f>_xll.qlSwapRateHelper2(,$J5,$C5,Calendar,$F5,$G5,$H5,$K$3,$I5,B5,Discounting,Permanent,,ObjectOverwrite)</f>
        <v>obj_008bc#0001</v>
      </c>
      <c r="L5" s="256" t="str">
        <f>_xll.ohRangeRetrieveError(K5)</f>
        <v/>
      </c>
      <c r="M5" s="119"/>
      <c r="O5" s="131" t="s">
        <v>81</v>
      </c>
      <c r="P5" s="130" t="s">
        <v>78</v>
      </c>
      <c r="Q5" s="129" t="s">
        <v>109</v>
      </c>
    </row>
    <row r="6" spans="1:17" x14ac:dyDescent="0.2">
      <c r="A6" s="65"/>
      <c r="B6" s="97" t="s">
        <v>106</v>
      </c>
      <c r="C6" s="97" t="s">
        <v>35</v>
      </c>
      <c r="D6" s="97" t="str">
        <v>AB</v>
      </c>
      <c r="E6" s="97" t="str">
        <v>6E</v>
      </c>
      <c r="F6" s="257" t="str">
        <f t="shared" si="0"/>
        <v>Annual</v>
      </c>
      <c r="G6" s="257" t="s">
        <v>108</v>
      </c>
      <c r="H6" s="257" t="str">
        <f t="shared" si="1"/>
        <v>30/360 (Bond Basis)</v>
      </c>
      <c r="I6" s="258">
        <v>0</v>
      </c>
      <c r="J6" s="259" t="str">
        <f t="shared" si="2"/>
        <v>EURAB6E15M_Quote</v>
      </c>
      <c r="K6" s="260" t="str">
        <f>_xll.qlSwapRateHelper2(,$J6,$C6,Calendar,$F6,$G6,$H6,$K$3,$I6,B6,Discounting,Permanent,,ObjectOverwrite)</f>
        <v>obj_008b6#0001</v>
      </c>
      <c r="L6" s="261" t="str">
        <f>_xll.ohRangeRetrieveError(K6)</f>
        <v/>
      </c>
      <c r="M6" s="119"/>
      <c r="O6" s="128" t="s">
        <v>79</v>
      </c>
      <c r="P6" s="127" t="s">
        <v>78</v>
      </c>
      <c r="Q6" s="126" t="s">
        <v>111</v>
      </c>
    </row>
    <row r="7" spans="1:17" x14ac:dyDescent="0.2">
      <c r="A7" s="65"/>
      <c r="B7" s="97" t="s">
        <v>106</v>
      </c>
      <c r="C7" s="97" t="s">
        <v>34</v>
      </c>
      <c r="D7" s="97" t="str">
        <v>AB</v>
      </c>
      <c r="E7" s="97" t="str">
        <v>6E</v>
      </c>
      <c r="F7" s="257" t="str">
        <f t="shared" si="0"/>
        <v>Annual</v>
      </c>
      <c r="G7" s="257" t="s">
        <v>108</v>
      </c>
      <c r="H7" s="257" t="str">
        <f>IF(UPPER(RIGHT($D7))="B",BondBasisDayCounter,IF(UPPER(RIGHT($D7))="M",MoneyMarketDayCounter,"--"))</f>
        <v>30/360 (Bond Basis)</v>
      </c>
      <c r="I7" s="258">
        <v>0</v>
      </c>
      <c r="J7" s="259" t="str">
        <f t="shared" si="2"/>
        <v>EURAB6E18M_Quote</v>
      </c>
      <c r="K7" s="260" t="str">
        <f>_xll.qlSwapRateHelper2(,$J7,$C7,Calendar,$F7,$G7,$H7,$K$3,$I7,B7,Discounting,Permanent,,ObjectOverwrite)</f>
        <v>obj_0078e#0001</v>
      </c>
      <c r="L7" s="261" t="str">
        <f>_xll.ohRangeRetrieveError(K7)</f>
        <v/>
      </c>
      <c r="M7" s="119"/>
      <c r="O7" s="128" t="s">
        <v>76</v>
      </c>
      <c r="P7" s="127" t="s">
        <v>110</v>
      </c>
      <c r="Q7" s="126" t="s">
        <v>109</v>
      </c>
    </row>
    <row r="8" spans="1:17" x14ac:dyDescent="0.2">
      <c r="A8" s="65"/>
      <c r="B8" s="97" t="s">
        <v>106</v>
      </c>
      <c r="C8" s="97" t="s">
        <v>33</v>
      </c>
      <c r="D8" s="97" t="str">
        <v>AB</v>
      </c>
      <c r="E8" s="97" t="str">
        <v>6E</v>
      </c>
      <c r="F8" s="257" t="str">
        <f t="shared" si="0"/>
        <v>Annual</v>
      </c>
      <c r="G8" s="257" t="s">
        <v>108</v>
      </c>
      <c r="H8" s="257" t="str">
        <f t="shared" si="1"/>
        <v>30/360 (Bond Basis)</v>
      </c>
      <c r="I8" s="258">
        <v>0</v>
      </c>
      <c r="J8" s="259" t="str">
        <f t="shared" si="2"/>
        <v>EURAB6E21M_Quote</v>
      </c>
      <c r="K8" s="260" t="str">
        <f>_xll.qlSwapRateHelper2(,$J8,$C8,Calendar,$F8,$G8,$H8,$K$3,$I8,B8,Discounting,Permanent,,ObjectOverwrite)</f>
        <v>obj_008b3#0001</v>
      </c>
      <c r="L8" s="261" t="str">
        <f>_xll.ohRangeRetrieveError(K8)</f>
        <v/>
      </c>
      <c r="M8" s="119"/>
      <c r="O8" s="128" t="s">
        <v>74</v>
      </c>
      <c r="P8" s="127" t="s">
        <v>110</v>
      </c>
      <c r="Q8" s="126" t="s">
        <v>109</v>
      </c>
    </row>
    <row r="9" spans="1:17" ht="13.5" thickBot="1" x14ac:dyDescent="0.25">
      <c r="A9" s="65"/>
      <c r="B9" s="97" t="s">
        <v>106</v>
      </c>
      <c r="C9" s="97" t="s">
        <v>32</v>
      </c>
      <c r="D9" s="97" t="str">
        <v>AB</v>
      </c>
      <c r="E9" s="97" t="str">
        <v>6E</v>
      </c>
      <c r="F9" s="257" t="str">
        <f t="shared" si="0"/>
        <v>Annual</v>
      </c>
      <c r="G9" s="257" t="s">
        <v>108</v>
      </c>
      <c r="H9" s="257" t="str">
        <f t="shared" si="1"/>
        <v>30/360 (Bond Basis)</v>
      </c>
      <c r="I9" s="258">
        <v>0</v>
      </c>
      <c r="J9" s="259" t="str">
        <f t="shared" si="2"/>
        <v>EURAB6E2Y_Quote</v>
      </c>
      <c r="K9" s="260" t="str">
        <f>_xll.qlSwapRateHelper2(,$J9,$C9,Calendar,$F9,$G9,$H9,$K$3,$I9,B9,Discounting,Permanent,,ObjectOverwrite)</f>
        <v>obj_008aa#0001</v>
      </c>
      <c r="L9" s="261" t="str">
        <f>_xll.ohRangeRetrieveError(K9)</f>
        <v/>
      </c>
      <c r="M9" s="119"/>
      <c r="O9" s="125" t="s">
        <v>72</v>
      </c>
      <c r="P9" s="124" t="s">
        <v>71</v>
      </c>
      <c r="Q9" s="123" t="s">
        <v>109</v>
      </c>
    </row>
    <row r="10" spans="1:17" x14ac:dyDescent="0.2">
      <c r="A10" s="65"/>
      <c r="B10" s="97" t="s">
        <v>106</v>
      </c>
      <c r="C10" s="97" t="s">
        <v>31</v>
      </c>
      <c r="D10" s="97" t="str">
        <v>AB</v>
      </c>
      <c r="E10" s="97" t="str">
        <v>6E</v>
      </c>
      <c r="F10" s="257" t="str">
        <f t="shared" si="0"/>
        <v>Annual</v>
      </c>
      <c r="G10" s="257" t="s">
        <v>108</v>
      </c>
      <c r="H10" s="257" t="str">
        <f t="shared" si="1"/>
        <v>30/360 (Bond Basis)</v>
      </c>
      <c r="I10" s="258">
        <v>0</v>
      </c>
      <c r="J10" s="259" t="str">
        <f t="shared" si="2"/>
        <v>EURAB6E3Y_Quote</v>
      </c>
      <c r="K10" s="260" t="str">
        <f>_xll.qlSwapRateHelper2(,$J10,$C10,Calendar,$F10,$G10,$H10,$K$3,$I10,B10,Discounting,Permanent,,ObjectOverwrite)</f>
        <v>obj_00894#0001</v>
      </c>
      <c r="L10" s="261" t="str">
        <f>_xll.ohRangeRetrieveError(K10)</f>
        <v/>
      </c>
      <c r="M10" s="119"/>
    </row>
    <row r="11" spans="1:17" x14ac:dyDescent="0.2">
      <c r="A11" s="65"/>
      <c r="B11" s="97" t="s">
        <v>106</v>
      </c>
      <c r="C11" s="97" t="s">
        <v>30</v>
      </c>
      <c r="D11" s="97" t="str">
        <v>AB</v>
      </c>
      <c r="E11" s="97" t="str">
        <v>6E</v>
      </c>
      <c r="F11" s="257" t="str">
        <f t="shared" si="0"/>
        <v>Annual</v>
      </c>
      <c r="G11" s="257" t="s">
        <v>108</v>
      </c>
      <c r="H11" s="257" t="str">
        <f t="shared" si="1"/>
        <v>30/360 (Bond Basis)</v>
      </c>
      <c r="I11" s="258">
        <v>0</v>
      </c>
      <c r="J11" s="259" t="str">
        <f t="shared" si="2"/>
        <v>EURAB6E4Y_Quote</v>
      </c>
      <c r="K11" s="260" t="str">
        <f>_xll.qlSwapRateHelper2(,$J11,$C11,Calendar,$F11,$G11,$H11,$K$3,$I11,B11,Discounting,Permanent,,ObjectOverwrite)</f>
        <v>obj_008bd#0001</v>
      </c>
      <c r="L11" s="261" t="str">
        <f>_xll.ohRangeRetrieveError(K11)</f>
        <v/>
      </c>
      <c r="M11" s="119"/>
    </row>
    <row r="12" spans="1:17" x14ac:dyDescent="0.2">
      <c r="A12" s="65"/>
      <c r="B12" s="97" t="s">
        <v>106</v>
      </c>
      <c r="C12" s="97" t="s">
        <v>29</v>
      </c>
      <c r="D12" s="97" t="str">
        <v>AB</v>
      </c>
      <c r="E12" s="97" t="str">
        <v>6E</v>
      </c>
      <c r="F12" s="257" t="str">
        <f t="shared" si="0"/>
        <v>Annual</v>
      </c>
      <c r="G12" s="257" t="s">
        <v>108</v>
      </c>
      <c r="H12" s="257" t="str">
        <f t="shared" si="1"/>
        <v>30/360 (Bond Basis)</v>
      </c>
      <c r="I12" s="258">
        <v>0</v>
      </c>
      <c r="J12" s="259" t="str">
        <f t="shared" si="2"/>
        <v>EURAB6E5Y_Quote</v>
      </c>
      <c r="K12" s="260" t="str">
        <f>_xll.qlSwapRateHelper2(,$J12,$C12,Calendar,$F12,$G12,$H12,$K$3,$I12,B12,Discounting,Permanent,,ObjectOverwrite)</f>
        <v>obj_008ad#0001</v>
      </c>
      <c r="L12" s="261" t="str">
        <f>_xll.ohRangeRetrieveError(K12)</f>
        <v/>
      </c>
      <c r="M12" s="119"/>
    </row>
    <row r="13" spans="1:17" x14ac:dyDescent="0.2">
      <c r="A13" s="65"/>
      <c r="B13" s="97" t="s">
        <v>106</v>
      </c>
      <c r="C13" s="97" t="s">
        <v>28</v>
      </c>
      <c r="D13" s="97" t="str">
        <v>AB</v>
      </c>
      <c r="E13" s="97" t="str">
        <v>6E</v>
      </c>
      <c r="F13" s="257" t="str">
        <f t="shared" si="0"/>
        <v>Annual</v>
      </c>
      <c r="G13" s="257" t="s">
        <v>108</v>
      </c>
      <c r="H13" s="257" t="str">
        <f t="shared" si="1"/>
        <v>30/360 (Bond Basis)</v>
      </c>
      <c r="I13" s="258">
        <v>0</v>
      </c>
      <c r="J13" s="259" t="str">
        <f t="shared" si="2"/>
        <v>EURAB6E6Y_Quote</v>
      </c>
      <c r="K13" s="260" t="str">
        <f>_xll.qlSwapRateHelper2(,$J13,$C13,Calendar,$F13,$G13,$H13,$K$3,$I13,B13,Discounting,Permanent,,ObjectOverwrite)</f>
        <v>obj_0089c#0001</v>
      </c>
      <c r="L13" s="261" t="str">
        <f>_xll.ohRangeRetrieveError(K13)</f>
        <v/>
      </c>
      <c r="M13" s="119"/>
    </row>
    <row r="14" spans="1:17" x14ac:dyDescent="0.2">
      <c r="A14" s="65"/>
      <c r="B14" s="97" t="s">
        <v>106</v>
      </c>
      <c r="C14" s="97" t="s">
        <v>27</v>
      </c>
      <c r="D14" s="97" t="str">
        <v>AB</v>
      </c>
      <c r="E14" s="97" t="str">
        <v>6E</v>
      </c>
      <c r="F14" s="257" t="str">
        <f t="shared" si="0"/>
        <v>Annual</v>
      </c>
      <c r="G14" s="257" t="s">
        <v>108</v>
      </c>
      <c r="H14" s="257" t="str">
        <f t="shared" si="1"/>
        <v>30/360 (Bond Basis)</v>
      </c>
      <c r="I14" s="258">
        <v>0</v>
      </c>
      <c r="J14" s="259" t="str">
        <f t="shared" si="2"/>
        <v>EURAB6E7Y_Quote</v>
      </c>
      <c r="K14" s="260" t="str">
        <f>_xll.qlSwapRateHelper2(,$J14,$C14,Calendar,$F14,$G14,$H14,$K$3,$I14,B14,Discounting,Permanent,,ObjectOverwrite)</f>
        <v>obj_00896#0001</v>
      </c>
      <c r="L14" s="261" t="str">
        <f>_xll.ohRangeRetrieveError(K14)</f>
        <v/>
      </c>
      <c r="M14" s="119"/>
    </row>
    <row r="15" spans="1:17" x14ac:dyDescent="0.2">
      <c r="A15" s="65"/>
      <c r="B15" s="97" t="s">
        <v>106</v>
      </c>
      <c r="C15" s="97" t="s">
        <v>26</v>
      </c>
      <c r="D15" s="97" t="str">
        <v>AB</v>
      </c>
      <c r="E15" s="97" t="str">
        <v>6E</v>
      </c>
      <c r="F15" s="257" t="str">
        <f t="shared" si="0"/>
        <v>Annual</v>
      </c>
      <c r="G15" s="257" t="s">
        <v>108</v>
      </c>
      <c r="H15" s="257" t="str">
        <f t="shared" si="1"/>
        <v>30/360 (Bond Basis)</v>
      </c>
      <c r="I15" s="258">
        <v>0</v>
      </c>
      <c r="J15" s="259" t="str">
        <f t="shared" si="2"/>
        <v>EURAB6E8Y_Quote</v>
      </c>
      <c r="K15" s="260" t="str">
        <f>_xll.qlSwapRateHelper2(,$J15,$C15,Calendar,$F15,$G15,$H15,$K$3,$I15,B15,Discounting,Permanent,,ObjectOverwrite)</f>
        <v>obj_008b7#0001</v>
      </c>
      <c r="L15" s="261" t="str">
        <f>_xll.ohRangeRetrieveError(K15)</f>
        <v/>
      </c>
      <c r="M15" s="119"/>
    </row>
    <row r="16" spans="1:17" x14ac:dyDescent="0.2">
      <c r="A16" s="65"/>
      <c r="B16" s="97" t="s">
        <v>106</v>
      </c>
      <c r="C16" s="97" t="s">
        <v>25</v>
      </c>
      <c r="D16" s="97" t="str">
        <v>AB</v>
      </c>
      <c r="E16" s="97" t="str">
        <v>6E</v>
      </c>
      <c r="F16" s="257" t="str">
        <f t="shared" si="0"/>
        <v>Annual</v>
      </c>
      <c r="G16" s="257" t="s">
        <v>108</v>
      </c>
      <c r="H16" s="257" t="str">
        <f t="shared" si="1"/>
        <v>30/360 (Bond Basis)</v>
      </c>
      <c r="I16" s="258">
        <v>0</v>
      </c>
      <c r="J16" s="259" t="str">
        <f t="shared" si="2"/>
        <v>EURAB6E9Y_Quote</v>
      </c>
      <c r="K16" s="260" t="str">
        <f>_xll.qlSwapRateHelper2(,$J16,$C16,Calendar,$F16,$G16,$H16,$K$3,$I16,B16,Discounting,Permanent,,ObjectOverwrite)</f>
        <v>obj_008bf#0001</v>
      </c>
      <c r="L16" s="261" t="str">
        <f>_xll.ohRangeRetrieveError(K16)</f>
        <v/>
      </c>
      <c r="M16" s="119"/>
    </row>
    <row r="17" spans="1:13" x14ac:dyDescent="0.2">
      <c r="A17" s="65"/>
      <c r="B17" s="97" t="s">
        <v>106</v>
      </c>
      <c r="C17" s="97" t="s">
        <v>24</v>
      </c>
      <c r="D17" s="97" t="str">
        <v>AB</v>
      </c>
      <c r="E17" s="97" t="str">
        <v>6E</v>
      </c>
      <c r="F17" s="257" t="str">
        <f t="shared" si="0"/>
        <v>Annual</v>
      </c>
      <c r="G17" s="257" t="s">
        <v>108</v>
      </c>
      <c r="H17" s="257" t="str">
        <f t="shared" si="1"/>
        <v>30/360 (Bond Basis)</v>
      </c>
      <c r="I17" s="258">
        <v>0</v>
      </c>
      <c r="J17" s="259" t="str">
        <f t="shared" si="2"/>
        <v>EURAB6E10Y_Quote</v>
      </c>
      <c r="K17" s="260" t="str">
        <f>_xll.qlSwapRateHelper2(,$J17,$C17,Calendar,$F17,$G17,$H17,$K$3,$I17,B17,Discounting,Permanent,,ObjectOverwrite)</f>
        <v>obj_008ac#0001</v>
      </c>
      <c r="L17" s="261" t="str">
        <f>_xll.ohRangeRetrieveError(K17)</f>
        <v/>
      </c>
      <c r="M17" s="119"/>
    </row>
    <row r="18" spans="1:13" x14ac:dyDescent="0.2">
      <c r="A18" s="65"/>
      <c r="B18" s="97" t="s">
        <v>106</v>
      </c>
      <c r="C18" s="97" t="s">
        <v>23</v>
      </c>
      <c r="D18" s="97" t="str">
        <v>AB</v>
      </c>
      <c r="E18" s="97" t="str">
        <v>6E</v>
      </c>
      <c r="F18" s="257" t="str">
        <f t="shared" si="0"/>
        <v>Annual</v>
      </c>
      <c r="G18" s="257" t="s">
        <v>108</v>
      </c>
      <c r="H18" s="257" t="str">
        <f t="shared" si="1"/>
        <v>30/360 (Bond Basis)</v>
      </c>
      <c r="I18" s="258">
        <v>0</v>
      </c>
      <c r="J18" s="259" t="str">
        <f t="shared" si="2"/>
        <v>EURAB6E11Y_Quote</v>
      </c>
      <c r="K18" s="260" t="str">
        <f>_xll.qlSwapRateHelper2(,$J18,$C18,Calendar,$F18,$G18,$H18,$K$3,$I18,B18,Discounting,Permanent,,ObjectOverwrite)</f>
        <v>obj_008af#0001</v>
      </c>
      <c r="L18" s="261" t="str">
        <f>_xll.ohRangeRetrieveError(K18)</f>
        <v/>
      </c>
      <c r="M18" s="119"/>
    </row>
    <row r="19" spans="1:13" x14ac:dyDescent="0.2">
      <c r="A19" s="65"/>
      <c r="B19" s="97" t="s">
        <v>106</v>
      </c>
      <c r="C19" s="97" t="s">
        <v>22</v>
      </c>
      <c r="D19" s="97" t="str">
        <v>AB</v>
      </c>
      <c r="E19" s="97" t="str">
        <v>6E</v>
      </c>
      <c r="F19" s="257" t="str">
        <f t="shared" si="0"/>
        <v>Annual</v>
      </c>
      <c r="G19" s="257" t="s">
        <v>108</v>
      </c>
      <c r="H19" s="257" t="str">
        <f t="shared" si="1"/>
        <v>30/360 (Bond Basis)</v>
      </c>
      <c r="I19" s="258">
        <v>0</v>
      </c>
      <c r="J19" s="259" t="str">
        <f t="shared" si="2"/>
        <v>EURAB6E12Y_Quote</v>
      </c>
      <c r="K19" s="260" t="str">
        <f>_xll.qlSwapRateHelper2(,$J19,$C19,Calendar,$F19,$G19,$H19,$K$3,$I19,B19,Discounting,Permanent,,ObjectOverwrite)</f>
        <v>obj_008b2#0001</v>
      </c>
      <c r="L19" s="261" t="str">
        <f>_xll.ohRangeRetrieveError(K19)</f>
        <v/>
      </c>
      <c r="M19" s="119"/>
    </row>
    <row r="20" spans="1:13" x14ac:dyDescent="0.2">
      <c r="A20" s="65"/>
      <c r="B20" s="97" t="s">
        <v>106</v>
      </c>
      <c r="C20" s="97" t="s">
        <v>21</v>
      </c>
      <c r="D20" s="97" t="str">
        <v>AB</v>
      </c>
      <c r="E20" s="97" t="str">
        <v>6E</v>
      </c>
      <c r="F20" s="257" t="str">
        <f t="shared" si="0"/>
        <v>Annual</v>
      </c>
      <c r="G20" s="257" t="s">
        <v>108</v>
      </c>
      <c r="H20" s="257" t="str">
        <f t="shared" si="1"/>
        <v>30/360 (Bond Basis)</v>
      </c>
      <c r="I20" s="258">
        <v>0</v>
      </c>
      <c r="J20" s="259" t="str">
        <f t="shared" si="2"/>
        <v>EURAB6E13Y_Quote</v>
      </c>
      <c r="K20" s="260" t="str">
        <f>_xll.qlSwapRateHelper2(,$J20,$C20,Calendar,$F20,$G20,$H20,$K$3,$I20,B20,Discounting,Permanent,,ObjectOverwrite)</f>
        <v>obj_00892#0001</v>
      </c>
      <c r="L20" s="261" t="str">
        <f>_xll.ohRangeRetrieveError(K20)</f>
        <v/>
      </c>
      <c r="M20" s="119"/>
    </row>
    <row r="21" spans="1:13" x14ac:dyDescent="0.2">
      <c r="A21" s="65"/>
      <c r="B21" s="97" t="s">
        <v>106</v>
      </c>
      <c r="C21" s="97" t="s">
        <v>20</v>
      </c>
      <c r="D21" s="97" t="str">
        <v>AB</v>
      </c>
      <c r="E21" s="97" t="str">
        <v>6E</v>
      </c>
      <c r="F21" s="257" t="str">
        <f t="shared" si="0"/>
        <v>Annual</v>
      </c>
      <c r="G21" s="257" t="s">
        <v>108</v>
      </c>
      <c r="H21" s="257" t="str">
        <f t="shared" si="1"/>
        <v>30/360 (Bond Basis)</v>
      </c>
      <c r="I21" s="258">
        <v>0</v>
      </c>
      <c r="J21" s="259" t="str">
        <f t="shared" si="2"/>
        <v>EURAB6E14Y_Quote</v>
      </c>
      <c r="K21" s="260" t="str">
        <f>_xll.qlSwapRateHelper2(,$J21,$C21,Calendar,$F21,$G21,$H21,$K$3,$I21,B21,Discounting,Permanent,,ObjectOverwrite)</f>
        <v>obj_008b8#0001</v>
      </c>
      <c r="L21" s="261" t="str">
        <f>_xll.ohRangeRetrieveError(K21)</f>
        <v/>
      </c>
      <c r="M21" s="119"/>
    </row>
    <row r="22" spans="1:13" x14ac:dyDescent="0.2">
      <c r="A22" s="65"/>
      <c r="B22" s="97" t="s">
        <v>106</v>
      </c>
      <c r="C22" s="97" t="s">
        <v>19</v>
      </c>
      <c r="D22" s="97" t="str">
        <v>AB</v>
      </c>
      <c r="E22" s="97" t="str">
        <v>6E</v>
      </c>
      <c r="F22" s="257" t="str">
        <f t="shared" si="0"/>
        <v>Annual</v>
      </c>
      <c r="G22" s="257" t="s">
        <v>108</v>
      </c>
      <c r="H22" s="257" t="str">
        <f t="shared" si="1"/>
        <v>30/360 (Bond Basis)</v>
      </c>
      <c r="I22" s="258">
        <v>0</v>
      </c>
      <c r="J22" s="259" t="str">
        <f t="shared" si="2"/>
        <v>EURAB6E15Y_Quote</v>
      </c>
      <c r="K22" s="260" t="str">
        <f>_xll.qlSwapRateHelper2(,$J22,$C22,Calendar,$F22,$G22,$H22,$K$3,$I22,B22,Discounting,Permanent,,ObjectOverwrite)</f>
        <v>obj_008a7#0001</v>
      </c>
      <c r="L22" s="261" t="str">
        <f>_xll.ohRangeRetrieveError(K22)</f>
        <v/>
      </c>
      <c r="M22" s="119"/>
    </row>
    <row r="23" spans="1:13" x14ac:dyDescent="0.2">
      <c r="A23" s="65"/>
      <c r="B23" s="97" t="s">
        <v>106</v>
      </c>
      <c r="C23" s="97" t="s">
        <v>18</v>
      </c>
      <c r="D23" s="97" t="str">
        <v>AB</v>
      </c>
      <c r="E23" s="97" t="str">
        <v>6E</v>
      </c>
      <c r="F23" s="257" t="str">
        <f t="shared" si="0"/>
        <v>Annual</v>
      </c>
      <c r="G23" s="257" t="s">
        <v>108</v>
      </c>
      <c r="H23" s="257" t="str">
        <f t="shared" si="1"/>
        <v>30/360 (Bond Basis)</v>
      </c>
      <c r="I23" s="258">
        <v>0</v>
      </c>
      <c r="J23" s="259" t="str">
        <f t="shared" si="2"/>
        <v>EURAB6E16Y_Quote</v>
      </c>
      <c r="K23" s="260" t="str">
        <f>_xll.qlSwapRateHelper2(,$J23,$C23,Calendar,$F23,$G23,$H23,$K$3,$I23,B23,Discounting,Permanent,,ObjectOverwrite)</f>
        <v>obj_008a6#0001</v>
      </c>
      <c r="L23" s="261" t="str">
        <f>_xll.ohRangeRetrieveError(K23)</f>
        <v/>
      </c>
      <c r="M23" s="119"/>
    </row>
    <row r="24" spans="1:13" x14ac:dyDescent="0.2">
      <c r="A24" s="65"/>
      <c r="B24" s="97" t="s">
        <v>106</v>
      </c>
      <c r="C24" s="97" t="s">
        <v>17</v>
      </c>
      <c r="D24" s="97" t="str">
        <v>AB</v>
      </c>
      <c r="E24" s="97" t="str">
        <v>6E</v>
      </c>
      <c r="F24" s="257" t="str">
        <f t="shared" si="0"/>
        <v>Annual</v>
      </c>
      <c r="G24" s="257" t="s">
        <v>108</v>
      </c>
      <c r="H24" s="257" t="str">
        <f t="shared" si="1"/>
        <v>30/360 (Bond Basis)</v>
      </c>
      <c r="I24" s="258">
        <v>0</v>
      </c>
      <c r="J24" s="259" t="str">
        <f t="shared" si="2"/>
        <v>EURAB6E17Y_Quote</v>
      </c>
      <c r="K24" s="260" t="str">
        <f>_xll.qlSwapRateHelper2(,$J24,$C24,Calendar,$F24,$G24,$H24,$K$3,$I24,B24,Discounting,Permanent,,ObjectOverwrite)</f>
        <v>obj_00897#0001</v>
      </c>
      <c r="L24" s="261" t="str">
        <f>_xll.ohRangeRetrieveError(K24)</f>
        <v/>
      </c>
      <c r="M24" s="119"/>
    </row>
    <row r="25" spans="1:13" x14ac:dyDescent="0.2">
      <c r="A25" s="65"/>
      <c r="B25" s="97" t="s">
        <v>106</v>
      </c>
      <c r="C25" s="97" t="s">
        <v>16</v>
      </c>
      <c r="D25" s="97" t="str">
        <v>AB</v>
      </c>
      <c r="E25" s="97" t="str">
        <v>6E</v>
      </c>
      <c r="F25" s="257" t="str">
        <f t="shared" si="0"/>
        <v>Annual</v>
      </c>
      <c r="G25" s="257" t="s">
        <v>108</v>
      </c>
      <c r="H25" s="257" t="str">
        <f t="shared" si="1"/>
        <v>30/360 (Bond Basis)</v>
      </c>
      <c r="I25" s="258">
        <v>0</v>
      </c>
      <c r="J25" s="259" t="str">
        <f t="shared" si="2"/>
        <v>EURAB6E18Y_Quote</v>
      </c>
      <c r="K25" s="260" t="str">
        <f>_xll.qlSwapRateHelper2(,$J25,$C25,Calendar,$F25,$G25,$H25,$K$3,$I25,B25,Discounting,Permanent,,ObjectOverwrite)</f>
        <v>obj_00895#0001</v>
      </c>
      <c r="L25" s="261" t="str">
        <f>_xll.ohRangeRetrieveError(K25)</f>
        <v/>
      </c>
      <c r="M25" s="119"/>
    </row>
    <row r="26" spans="1:13" x14ac:dyDescent="0.2">
      <c r="A26" s="65"/>
      <c r="B26" s="97" t="s">
        <v>106</v>
      </c>
      <c r="C26" s="97" t="s">
        <v>15</v>
      </c>
      <c r="D26" s="97" t="str">
        <v>AB</v>
      </c>
      <c r="E26" s="97" t="str">
        <v>6E</v>
      </c>
      <c r="F26" s="257" t="str">
        <f t="shared" si="0"/>
        <v>Annual</v>
      </c>
      <c r="G26" s="257" t="s">
        <v>108</v>
      </c>
      <c r="H26" s="257" t="str">
        <f t="shared" si="1"/>
        <v>30/360 (Bond Basis)</v>
      </c>
      <c r="I26" s="258">
        <v>0</v>
      </c>
      <c r="J26" s="259" t="str">
        <f t="shared" si="2"/>
        <v>EURAB6E19Y_Quote</v>
      </c>
      <c r="K26" s="260" t="str">
        <f>_xll.qlSwapRateHelper2(,$J26,$C26,Calendar,$F26,$G26,$H26,$K$3,$I26,B26,Discounting,Permanent,,ObjectOverwrite)</f>
        <v>obj_008b9#0001</v>
      </c>
      <c r="L26" s="261" t="str">
        <f>_xll.ohRangeRetrieveError(K26)</f>
        <v/>
      </c>
      <c r="M26" s="119"/>
    </row>
    <row r="27" spans="1:13" x14ac:dyDescent="0.2">
      <c r="A27" s="65"/>
      <c r="B27" s="97" t="s">
        <v>106</v>
      </c>
      <c r="C27" s="97" t="s">
        <v>14</v>
      </c>
      <c r="D27" s="97" t="str">
        <v>AB</v>
      </c>
      <c r="E27" s="97" t="str">
        <v>6E</v>
      </c>
      <c r="F27" s="257" t="str">
        <f t="shared" si="0"/>
        <v>Annual</v>
      </c>
      <c r="G27" s="257" t="s">
        <v>108</v>
      </c>
      <c r="H27" s="257" t="str">
        <f t="shared" si="1"/>
        <v>30/360 (Bond Basis)</v>
      </c>
      <c r="I27" s="258">
        <v>0</v>
      </c>
      <c r="J27" s="259" t="str">
        <f t="shared" si="2"/>
        <v>EURAB6E20Y_Quote</v>
      </c>
      <c r="K27" s="260" t="str">
        <f>_xll.qlSwapRateHelper2(,$J27,$C27,Calendar,$F27,$G27,$H27,$K$3,$I27,B27,Discounting,Permanent,,ObjectOverwrite)</f>
        <v>obj_008a9#0001</v>
      </c>
      <c r="L27" s="261" t="str">
        <f>_xll.ohRangeRetrieveError(K27)</f>
        <v/>
      </c>
      <c r="M27" s="119"/>
    </row>
    <row r="28" spans="1:13" x14ac:dyDescent="0.2">
      <c r="A28" s="65"/>
      <c r="B28" s="97" t="s">
        <v>106</v>
      </c>
      <c r="C28" s="97" t="s">
        <v>13</v>
      </c>
      <c r="D28" s="97" t="str">
        <v>AB</v>
      </c>
      <c r="E28" s="97" t="str">
        <v>6E</v>
      </c>
      <c r="F28" s="257" t="str">
        <f t="shared" si="0"/>
        <v>Annual</v>
      </c>
      <c r="G28" s="257" t="s">
        <v>108</v>
      </c>
      <c r="H28" s="257" t="str">
        <f t="shared" si="1"/>
        <v>30/360 (Bond Basis)</v>
      </c>
      <c r="I28" s="258">
        <v>0</v>
      </c>
      <c r="J28" s="259" t="str">
        <f t="shared" si="2"/>
        <v>EURAB6E21Y_Quote</v>
      </c>
      <c r="K28" s="260" t="str">
        <f>_xll.qlSwapRateHelper2(,$J28,$C28,Calendar,$F28,$G28,$H28,$K$3,$I28,B28,Discounting,Permanent,,ObjectOverwrite)</f>
        <v>obj_008c0#0001</v>
      </c>
      <c r="L28" s="261" t="str">
        <f>_xll.ohRangeRetrieveError(K28)</f>
        <v/>
      </c>
      <c r="M28" s="119"/>
    </row>
    <row r="29" spans="1:13" x14ac:dyDescent="0.2">
      <c r="A29" s="65"/>
      <c r="B29" s="97" t="s">
        <v>106</v>
      </c>
      <c r="C29" s="97" t="s">
        <v>12</v>
      </c>
      <c r="D29" s="97" t="str">
        <v>AB</v>
      </c>
      <c r="E29" s="97" t="str">
        <v>6E</v>
      </c>
      <c r="F29" s="257" t="str">
        <f t="shared" si="0"/>
        <v>Annual</v>
      </c>
      <c r="G29" s="257" t="s">
        <v>108</v>
      </c>
      <c r="H29" s="257" t="str">
        <f t="shared" si="1"/>
        <v>30/360 (Bond Basis)</v>
      </c>
      <c r="I29" s="258">
        <v>0</v>
      </c>
      <c r="J29" s="259" t="str">
        <f t="shared" si="2"/>
        <v>EURAB6E22Y_Quote</v>
      </c>
      <c r="K29" s="260" t="str">
        <f>_xll.qlSwapRateHelper2(,$J29,$C29,Calendar,$F29,$G29,$H29,$K$3,$I29,B29,Discounting,Permanent,,ObjectOverwrite)</f>
        <v>obj_008ab#0001</v>
      </c>
      <c r="L29" s="261" t="str">
        <f>_xll.ohRangeRetrieveError(K29)</f>
        <v/>
      </c>
      <c r="M29" s="119"/>
    </row>
    <row r="30" spans="1:13" x14ac:dyDescent="0.2">
      <c r="A30" s="65"/>
      <c r="B30" s="97" t="s">
        <v>106</v>
      </c>
      <c r="C30" s="97" t="s">
        <v>11</v>
      </c>
      <c r="D30" s="97" t="str">
        <v>AB</v>
      </c>
      <c r="E30" s="97" t="str">
        <v>6E</v>
      </c>
      <c r="F30" s="257" t="str">
        <f t="shared" si="0"/>
        <v>Annual</v>
      </c>
      <c r="G30" s="257" t="s">
        <v>108</v>
      </c>
      <c r="H30" s="257" t="str">
        <f t="shared" si="1"/>
        <v>30/360 (Bond Basis)</v>
      </c>
      <c r="I30" s="258">
        <v>0</v>
      </c>
      <c r="J30" s="259" t="str">
        <f t="shared" si="2"/>
        <v>EURAB6E23Y_Quote</v>
      </c>
      <c r="K30" s="260" t="str">
        <f>_xll.qlSwapRateHelper2(,$J30,$C30,Calendar,$F30,$G30,$H30,$K$3,$I30,B30,Discounting,Permanent,,ObjectOverwrite)</f>
        <v>obj_008a2#0001</v>
      </c>
      <c r="L30" s="261" t="str">
        <f>_xll.ohRangeRetrieveError(K30)</f>
        <v/>
      </c>
      <c r="M30" s="119"/>
    </row>
    <row r="31" spans="1:13" x14ac:dyDescent="0.2">
      <c r="A31" s="65"/>
      <c r="B31" s="97" t="s">
        <v>106</v>
      </c>
      <c r="C31" s="97" t="s">
        <v>10</v>
      </c>
      <c r="D31" s="97" t="str">
        <v>AB</v>
      </c>
      <c r="E31" s="97" t="str">
        <v>6E</v>
      </c>
      <c r="F31" s="257" t="str">
        <f t="shared" si="0"/>
        <v>Annual</v>
      </c>
      <c r="G31" s="257" t="s">
        <v>108</v>
      </c>
      <c r="H31" s="257" t="str">
        <f t="shared" si="1"/>
        <v>30/360 (Bond Basis)</v>
      </c>
      <c r="I31" s="258">
        <v>0</v>
      </c>
      <c r="J31" s="259" t="str">
        <f t="shared" si="2"/>
        <v>EURAB6E24Y_Quote</v>
      </c>
      <c r="K31" s="260" t="str">
        <f>_xll.qlSwapRateHelper2(,$J31,$C31,Calendar,$F31,$G31,$H31,$K$3,$I31,B31,Discounting,Permanent,,ObjectOverwrite)</f>
        <v>obj_0089e#0001</v>
      </c>
      <c r="L31" s="261" t="str">
        <f>_xll.ohRangeRetrieveError(K31)</f>
        <v/>
      </c>
      <c r="M31" s="119"/>
    </row>
    <row r="32" spans="1:13" x14ac:dyDescent="0.2">
      <c r="A32" s="65"/>
      <c r="B32" s="97" t="s">
        <v>106</v>
      </c>
      <c r="C32" s="97" t="s">
        <v>9</v>
      </c>
      <c r="D32" s="97" t="str">
        <v>AB</v>
      </c>
      <c r="E32" s="97" t="str">
        <v>6E</v>
      </c>
      <c r="F32" s="257" t="str">
        <f t="shared" si="0"/>
        <v>Annual</v>
      </c>
      <c r="G32" s="257" t="s">
        <v>108</v>
      </c>
      <c r="H32" s="257" t="str">
        <f t="shared" si="1"/>
        <v>30/360 (Bond Basis)</v>
      </c>
      <c r="I32" s="258">
        <v>0</v>
      </c>
      <c r="J32" s="259" t="str">
        <f t="shared" si="2"/>
        <v>EURAB6E25Y_Quote</v>
      </c>
      <c r="K32" s="260" t="str">
        <f>_xll.qlSwapRateHelper2(,$J32,$C32,Calendar,$F32,$G32,$H32,$K$3,$I32,B32,Discounting,Permanent,,ObjectOverwrite)</f>
        <v>obj_008ae#0001</v>
      </c>
      <c r="L32" s="261" t="str">
        <f>_xll.ohRangeRetrieveError(K32)</f>
        <v/>
      </c>
      <c r="M32" s="119"/>
    </row>
    <row r="33" spans="1:13" x14ac:dyDescent="0.2">
      <c r="A33" s="65"/>
      <c r="B33" s="97" t="s">
        <v>106</v>
      </c>
      <c r="C33" s="97" t="s">
        <v>8</v>
      </c>
      <c r="D33" s="97" t="str">
        <v>AB</v>
      </c>
      <c r="E33" s="97" t="str">
        <v>6E</v>
      </c>
      <c r="F33" s="257" t="str">
        <f t="shared" si="0"/>
        <v>Annual</v>
      </c>
      <c r="G33" s="257" t="s">
        <v>108</v>
      </c>
      <c r="H33" s="257" t="str">
        <f t="shared" si="1"/>
        <v>30/360 (Bond Basis)</v>
      </c>
      <c r="I33" s="258">
        <v>0</v>
      </c>
      <c r="J33" s="259" t="str">
        <f t="shared" si="2"/>
        <v>EURAB6E26Y_Quote</v>
      </c>
      <c r="K33" s="260" t="str">
        <f>_xll.qlSwapRateHelper2(,$J33,$C33,Calendar,$F33,$G33,$H33,$K$3,$I33,B33,Discounting,Permanent,,ObjectOverwrite)</f>
        <v>obj_008b5#0001</v>
      </c>
      <c r="L33" s="261" t="str">
        <f>_xll.ohRangeRetrieveError(K33)</f>
        <v/>
      </c>
      <c r="M33" s="119"/>
    </row>
    <row r="34" spans="1:13" x14ac:dyDescent="0.2">
      <c r="A34" s="65"/>
      <c r="B34" s="97" t="s">
        <v>106</v>
      </c>
      <c r="C34" s="97" t="s">
        <v>7</v>
      </c>
      <c r="D34" s="97" t="str">
        <v>AB</v>
      </c>
      <c r="E34" s="97" t="str">
        <v>6E</v>
      </c>
      <c r="F34" s="257" t="str">
        <f t="shared" si="0"/>
        <v>Annual</v>
      </c>
      <c r="G34" s="257" t="s">
        <v>108</v>
      </c>
      <c r="H34" s="257" t="str">
        <f t="shared" si="1"/>
        <v>30/360 (Bond Basis)</v>
      </c>
      <c r="I34" s="258">
        <v>0</v>
      </c>
      <c r="J34" s="259" t="str">
        <f t="shared" si="2"/>
        <v>EURAB6E27Y_Quote</v>
      </c>
      <c r="K34" s="260" t="str">
        <f>_xll.qlSwapRateHelper2(,$J34,$C34,Calendar,$F34,$G34,$H34,$K$3,$I34,B34,Discounting,Permanent,,ObjectOverwrite)</f>
        <v>obj_0089f#0001</v>
      </c>
      <c r="L34" s="261" t="str">
        <f>_xll.ohRangeRetrieveError(K34)</f>
        <v/>
      </c>
      <c r="M34" s="119"/>
    </row>
    <row r="35" spans="1:13" x14ac:dyDescent="0.2">
      <c r="A35" s="65"/>
      <c r="B35" s="97" t="s">
        <v>106</v>
      </c>
      <c r="C35" s="97" t="s">
        <v>6</v>
      </c>
      <c r="D35" s="97" t="str">
        <v>AB</v>
      </c>
      <c r="E35" s="97" t="str">
        <v>6E</v>
      </c>
      <c r="F35" s="257" t="str">
        <f t="shared" si="0"/>
        <v>Annual</v>
      </c>
      <c r="G35" s="257" t="s">
        <v>108</v>
      </c>
      <c r="H35" s="257" t="str">
        <f t="shared" si="1"/>
        <v>30/360 (Bond Basis)</v>
      </c>
      <c r="I35" s="258">
        <v>0</v>
      </c>
      <c r="J35" s="259" t="str">
        <f t="shared" si="2"/>
        <v>EURAB6E28Y_Quote</v>
      </c>
      <c r="K35" s="260" t="str">
        <f>_xll.qlSwapRateHelper2(,$J35,$C35,Calendar,$F35,$G35,$H35,$K$3,$I35,B35,Discounting,Permanent,,ObjectOverwrite)</f>
        <v>obj_0089a#0001</v>
      </c>
      <c r="L35" s="261" t="str">
        <f>_xll.ohRangeRetrieveError(K35)</f>
        <v/>
      </c>
      <c r="M35" s="119"/>
    </row>
    <row r="36" spans="1:13" x14ac:dyDescent="0.2">
      <c r="A36" s="65"/>
      <c r="B36" s="97" t="s">
        <v>106</v>
      </c>
      <c r="C36" s="97" t="s">
        <v>5</v>
      </c>
      <c r="D36" s="97" t="str">
        <v>AB</v>
      </c>
      <c r="E36" s="97" t="str">
        <v>6E</v>
      </c>
      <c r="F36" s="257" t="str">
        <f t="shared" si="0"/>
        <v>Annual</v>
      </c>
      <c r="G36" s="257" t="s">
        <v>108</v>
      </c>
      <c r="H36" s="257" t="str">
        <f t="shared" si="1"/>
        <v>30/360 (Bond Basis)</v>
      </c>
      <c r="I36" s="258">
        <v>0</v>
      </c>
      <c r="J36" s="259" t="str">
        <f t="shared" si="2"/>
        <v>EURAB6E29Y_Quote</v>
      </c>
      <c r="K36" s="260" t="str">
        <f>_xll.qlSwapRateHelper2(,$J36,$C36,Calendar,$F36,$G36,$H36,$K$3,$I36,B36,Discounting,Permanent,,ObjectOverwrite)</f>
        <v>obj_008b0#0001</v>
      </c>
      <c r="L36" s="261" t="str">
        <f>_xll.ohRangeRetrieveError(K36)</f>
        <v/>
      </c>
      <c r="M36" s="119"/>
    </row>
    <row r="37" spans="1:13" x14ac:dyDescent="0.2">
      <c r="A37" s="65"/>
      <c r="B37" s="97" t="s">
        <v>106</v>
      </c>
      <c r="C37" s="97" t="s">
        <v>4</v>
      </c>
      <c r="D37" s="97" t="str">
        <v>AB</v>
      </c>
      <c r="E37" s="97" t="str">
        <v>6E</v>
      </c>
      <c r="F37" s="257" t="str">
        <f t="shared" si="0"/>
        <v>Annual</v>
      </c>
      <c r="G37" s="257" t="s">
        <v>108</v>
      </c>
      <c r="H37" s="257" t="str">
        <f t="shared" si="1"/>
        <v>30/360 (Bond Basis)</v>
      </c>
      <c r="I37" s="258">
        <v>0</v>
      </c>
      <c r="J37" s="259" t="str">
        <f t="shared" si="2"/>
        <v>EURAB6E30Y_Quote</v>
      </c>
      <c r="K37" s="260" t="str">
        <f>_xll.qlSwapRateHelper2(,$J37,$C37,Calendar,$F37,$G37,$H37,$K$3,$I37,B37,Discounting,Permanent,,ObjectOverwrite)</f>
        <v>obj_008be#0001</v>
      </c>
      <c r="L37" s="261" t="str">
        <f>_xll.ohRangeRetrieveError(K37)</f>
        <v/>
      </c>
      <c r="M37" s="119"/>
    </row>
    <row r="38" spans="1:13" x14ac:dyDescent="0.2">
      <c r="A38" s="65"/>
      <c r="B38" s="97" t="s">
        <v>106</v>
      </c>
      <c r="C38" s="97" t="s">
        <v>3</v>
      </c>
      <c r="D38" s="97" t="str">
        <v>AB</v>
      </c>
      <c r="E38" s="97" t="str">
        <v>6E</v>
      </c>
      <c r="F38" s="257" t="str">
        <f t="shared" si="0"/>
        <v>Annual</v>
      </c>
      <c r="G38" s="257" t="s">
        <v>108</v>
      </c>
      <c r="H38" s="257" t="str">
        <f t="shared" si="1"/>
        <v>30/360 (Bond Basis)</v>
      </c>
      <c r="I38" s="258">
        <v>0</v>
      </c>
      <c r="J38" s="259" t="str">
        <f t="shared" si="2"/>
        <v>EURAB6E35Y_Quote</v>
      </c>
      <c r="K38" s="260" t="str">
        <f>_xll.qlSwapRateHelper2(,$J38,$C38,Calendar,$F38,$G38,$H38,$K$3,$I38,B38,Discounting,Permanent,,ObjectOverwrite)</f>
        <v>obj_008a0#0001</v>
      </c>
      <c r="L38" s="261" t="str">
        <f>_xll.ohRangeRetrieveError(K38)</f>
        <v/>
      </c>
      <c r="M38" s="119"/>
    </row>
    <row r="39" spans="1:13" x14ac:dyDescent="0.2">
      <c r="A39" s="65"/>
      <c r="B39" s="97" t="s">
        <v>106</v>
      </c>
      <c r="C39" s="97" t="s">
        <v>2</v>
      </c>
      <c r="D39" s="97" t="str">
        <v>AB</v>
      </c>
      <c r="E39" s="97" t="str">
        <v>6E</v>
      </c>
      <c r="F39" s="257" t="str">
        <f t="shared" si="0"/>
        <v>Annual</v>
      </c>
      <c r="G39" s="257" t="s">
        <v>108</v>
      </c>
      <c r="H39" s="257" t="str">
        <f t="shared" si="1"/>
        <v>30/360 (Bond Basis)</v>
      </c>
      <c r="I39" s="258">
        <v>0</v>
      </c>
      <c r="J39" s="259" t="str">
        <f t="shared" si="2"/>
        <v>EURAB6E40Y_Quote</v>
      </c>
      <c r="K39" s="260" t="str">
        <f>_xll.qlSwapRateHelper2(,$J39,$C39,Calendar,$F39,$G39,$H39,$K$3,$I39,B39,Discounting,Permanent,,ObjectOverwrite)</f>
        <v>obj_008a4#0001</v>
      </c>
      <c r="L39" s="261" t="str">
        <f>_xll.ohRangeRetrieveError(K39)</f>
        <v/>
      </c>
      <c r="M39" s="119"/>
    </row>
    <row r="40" spans="1:13" x14ac:dyDescent="0.2">
      <c r="A40" s="65"/>
      <c r="B40" s="97" t="s">
        <v>106</v>
      </c>
      <c r="C40" s="97" t="s">
        <v>1</v>
      </c>
      <c r="D40" s="97" t="str">
        <v>AB</v>
      </c>
      <c r="E40" s="97" t="str">
        <v>6E</v>
      </c>
      <c r="F40" s="257" t="str">
        <f t="shared" si="0"/>
        <v>Annual</v>
      </c>
      <c r="G40" s="257" t="s">
        <v>108</v>
      </c>
      <c r="H40" s="257" t="str">
        <f t="shared" si="1"/>
        <v>30/360 (Bond Basis)</v>
      </c>
      <c r="I40" s="258">
        <v>0</v>
      </c>
      <c r="J40" s="259" t="str">
        <f t="shared" si="2"/>
        <v>EURAB6E50Y_Quote</v>
      </c>
      <c r="K40" s="260" t="str">
        <f>_xll.qlSwapRateHelper2(,$J40,$C40,Calendar,$F40,$G40,$H40,$K$3,$I40,B40,Discounting,Permanent,,ObjectOverwrite)</f>
        <v>obj_0089b#0001</v>
      </c>
      <c r="L40" s="261" t="str">
        <f>_xll.ohRangeRetrieveError(K40)</f>
        <v/>
      </c>
      <c r="M40" s="119"/>
    </row>
    <row r="41" spans="1:13" x14ac:dyDescent="0.2">
      <c r="A41" s="65"/>
      <c r="B41" s="262" t="s">
        <v>106</v>
      </c>
      <c r="C41" s="262" t="s">
        <v>0</v>
      </c>
      <c r="D41" s="262" t="str">
        <v>AB</v>
      </c>
      <c r="E41" s="262" t="str">
        <v>6E</v>
      </c>
      <c r="F41" s="122" t="str">
        <f t="shared" si="0"/>
        <v>Annual</v>
      </c>
      <c r="G41" s="122" t="s">
        <v>108</v>
      </c>
      <c r="H41" s="122" t="str">
        <f t="shared" si="1"/>
        <v>30/360 (Bond Basis)</v>
      </c>
      <c r="I41" s="263">
        <v>0</v>
      </c>
      <c r="J41" s="121" t="str">
        <f t="shared" si="2"/>
        <v>EURAB6E60Y_Quote</v>
      </c>
      <c r="K41" s="147" t="str">
        <f>_xll.qlSwapRateHelper2(,$J41,$C41,Calendar,$F41,$G41,$H41,$K$3,$I41,B41,Discounting,Permanent,,ObjectOverwrite)</f>
        <v>obj_00898#0001</v>
      </c>
      <c r="L41" s="264" t="str">
        <f>_xll.ohRangeRetrieveError(K41)</f>
        <v/>
      </c>
      <c r="M41" s="119"/>
    </row>
    <row r="42" spans="1:13" ht="13.5" thickBot="1" x14ac:dyDescent="0.25">
      <c r="A42" s="61"/>
      <c r="B42" s="55"/>
      <c r="C42" s="55"/>
      <c r="D42" s="55"/>
      <c r="E42" s="55"/>
      <c r="F42" s="55"/>
      <c r="G42" s="55"/>
      <c r="H42" s="55"/>
      <c r="I42" s="55"/>
      <c r="J42" s="55"/>
      <c r="K42" s="118"/>
      <c r="L42" s="118"/>
      <c r="M42" s="117"/>
    </row>
  </sheetData>
  <dataValidations count="1">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30"/>
  <sheetViews>
    <sheetView workbookViewId="0"/>
  </sheetViews>
  <sheetFormatPr defaultRowHeight="12.75" x14ac:dyDescent="0.2"/>
  <cols>
    <col min="1" max="1" width="2.7109375" style="57" customWidth="1"/>
    <col min="2" max="2" width="4.7109375" style="57" bestFit="1" customWidth="1"/>
    <col min="3" max="3" width="5.7109375" style="57" bestFit="1" customWidth="1"/>
    <col min="4" max="4" width="3.140625" style="57" bestFit="1" customWidth="1"/>
    <col min="5" max="5" width="5.85546875" style="57" bestFit="1" customWidth="1"/>
    <col min="6" max="6" width="13.85546875" style="57" bestFit="1" customWidth="1"/>
    <col min="7" max="7" width="15.28515625" style="57" bestFit="1" customWidth="1"/>
    <col min="8" max="8" width="7.140625" style="57" bestFit="1" customWidth="1"/>
    <col min="9" max="9" width="15.7109375" style="57" bestFit="1" customWidth="1"/>
    <col min="10" max="10" width="25.85546875" style="116" bestFit="1" customWidth="1"/>
    <col min="11" max="11" width="16.5703125" style="57" customWidth="1"/>
    <col min="12" max="12" width="2.7109375" style="57" customWidth="1"/>
    <col min="13" max="13" width="2.5703125" style="57" customWidth="1"/>
    <col min="14" max="16384" width="9.140625" style="57"/>
  </cols>
  <sheetData>
    <row r="1" spans="1:14" x14ac:dyDescent="0.2">
      <c r="A1" s="138"/>
      <c r="B1" s="115"/>
      <c r="C1" s="115"/>
      <c r="D1" s="115"/>
      <c r="E1" s="115"/>
      <c r="F1" s="115"/>
      <c r="G1" s="115"/>
      <c r="H1" s="115"/>
      <c r="I1" s="115"/>
      <c r="J1" s="115"/>
      <c r="K1" s="115"/>
      <c r="L1" s="137"/>
    </row>
    <row r="2" spans="1:14" x14ac:dyDescent="0.2">
      <c r="A2" s="65"/>
      <c r="B2" s="72"/>
      <c r="C2" s="72"/>
      <c r="D2" s="72"/>
      <c r="E2" s="72"/>
      <c r="F2" s="72"/>
      <c r="G2" s="72"/>
      <c r="H2" s="59" t="s">
        <v>84</v>
      </c>
      <c r="I2" s="59" t="str">
        <f>Currency&amp;"_YC"&amp;$H$2&amp;"RH"</f>
        <v>EUR_YC6MRH</v>
      </c>
      <c r="J2" s="136" t="str">
        <f>I2&amp;"_Swaps.xml"</f>
        <v>EUR_YC6MRH_Swaps.xml</v>
      </c>
      <c r="K2" s="72"/>
      <c r="L2" s="132"/>
    </row>
    <row r="3" spans="1:14" ht="22.5" x14ac:dyDescent="0.2">
      <c r="A3" s="65"/>
      <c r="B3" s="69" t="s">
        <v>116</v>
      </c>
      <c r="C3" s="69" t="s">
        <v>141</v>
      </c>
      <c r="D3" s="69"/>
      <c r="E3" s="69" t="s">
        <v>115</v>
      </c>
      <c r="F3" s="69" t="s">
        <v>114</v>
      </c>
      <c r="G3" s="69" t="s">
        <v>113</v>
      </c>
      <c r="H3" s="69" t="s">
        <v>112</v>
      </c>
      <c r="I3" s="69" t="s">
        <v>94</v>
      </c>
      <c r="J3" s="135" t="str">
        <f>IF(Serialize,_xll.ohObjectSave(J4:J23,SerializationPath&amp;J2,FileOverwrite,Serialize),"---")</f>
        <v>---</v>
      </c>
      <c r="K3" s="120" t="str">
        <f>_xll.ohRangeRetrieveError(J3)</f>
        <v/>
      </c>
      <c r="L3" s="119"/>
    </row>
    <row r="4" spans="1:14" x14ac:dyDescent="0.2">
      <c r="A4" s="73"/>
      <c r="B4" s="72"/>
      <c r="C4" s="72"/>
      <c r="D4" s="72"/>
      <c r="E4" s="72"/>
      <c r="F4" s="72"/>
      <c r="G4" s="72"/>
      <c r="H4" s="72"/>
      <c r="I4" s="72"/>
      <c r="J4" s="134" t="str">
        <f>IF(UPPER(FamilyName)="IBOR",_xll.qlEuribor(,$H$2,,Permanent,Trigger,ObjectOverwrite),IF(UPPER(FamilyName)="LIBOR",_xll.qlLibor(,Currency,$H$2,,Permanent,Trigger,ObjectOverwrite),"--"))</f>
        <v>obj_0073a#0001</v>
      </c>
      <c r="K4" s="133" t="str">
        <f>_xll.ohRangeRetrieveError(J4)</f>
        <v/>
      </c>
      <c r="L4" s="132"/>
    </row>
    <row r="5" spans="1:14" s="70" customFormat="1" ht="11.25" x14ac:dyDescent="0.2">
      <c r="A5" s="73"/>
      <c r="B5" s="72"/>
      <c r="C5" s="72"/>
      <c r="D5" s="72"/>
      <c r="E5" s="72"/>
      <c r="F5" s="72"/>
      <c r="G5" s="72"/>
      <c r="H5" s="72"/>
      <c r="I5" s="72"/>
      <c r="J5" s="72"/>
      <c r="K5" s="72"/>
      <c r="L5" s="132"/>
    </row>
    <row r="6" spans="1:14" x14ac:dyDescent="0.2">
      <c r="A6" s="65"/>
      <c r="B6" s="102" t="s">
        <v>36</v>
      </c>
      <c r="C6" s="102" t="s">
        <v>36</v>
      </c>
      <c r="D6" s="102" t="str">
        <f>LEFT(B6,1)&amp;"F"</f>
        <v>1F</v>
      </c>
      <c r="E6" s="111" t="s">
        <v>161</v>
      </c>
      <c r="F6" s="111" t="s">
        <v>108</v>
      </c>
      <c r="G6" s="111" t="s">
        <v>120</v>
      </c>
      <c r="H6" s="253">
        <v>0</v>
      </c>
      <c r="I6" s="254" t="str">
        <f t="shared" ref="I6:I69" si="0">Currency&amp;$D6&amp;$C6&amp;QuoteSuffix</f>
        <v>EUR1F1Y_Quote</v>
      </c>
      <c r="J6" s="255" t="str">
        <f>_xll.qlSwapRateHelper2(,$I6,$C6,Calendar,$E6,$F6,$G6,$J$4,$H6,B6,Discounting,Permanent,,ObjectOverwrite)</f>
        <v>obj_007c4#0001</v>
      </c>
      <c r="K6" s="256" t="str">
        <f>_xll.ohRangeRetrieveError(J6)</f>
        <v/>
      </c>
      <c r="L6" s="119"/>
      <c r="N6" s="265"/>
    </row>
    <row r="7" spans="1:14" x14ac:dyDescent="0.2">
      <c r="A7" s="65"/>
      <c r="B7" s="97" t="s">
        <v>36</v>
      </c>
      <c r="C7" s="97" t="s">
        <v>32</v>
      </c>
      <c r="D7" s="97" t="str">
        <f t="shared" ref="D7:D23" si="1">LEFT(B7,1)&amp;"F"</f>
        <v>1F</v>
      </c>
      <c r="E7" s="257" t="s">
        <v>161</v>
      </c>
      <c r="F7" s="257" t="s">
        <v>108</v>
      </c>
      <c r="G7" s="257" t="s">
        <v>120</v>
      </c>
      <c r="H7" s="258">
        <v>0</v>
      </c>
      <c r="I7" s="259" t="str">
        <f t="shared" si="0"/>
        <v>EUR1F2Y_Quote</v>
      </c>
      <c r="J7" s="260" t="str">
        <f>_xll.qlSwapRateHelper2(,$I7,$C7,Calendar,$E7,$F7,$G7,$J$4,$H7,B7,Discounting,Permanent,,ObjectOverwrite)</f>
        <v>obj_0074a#0001</v>
      </c>
      <c r="K7" s="261" t="str">
        <f>_xll.ohRangeRetrieveError(J7)</f>
        <v/>
      </c>
      <c r="L7" s="119"/>
      <c r="N7" s="265"/>
    </row>
    <row r="8" spans="1:14" x14ac:dyDescent="0.2">
      <c r="A8" s="65"/>
      <c r="B8" s="97" t="s">
        <v>36</v>
      </c>
      <c r="C8" s="97" t="s">
        <v>31</v>
      </c>
      <c r="D8" s="97" t="str">
        <f t="shared" si="1"/>
        <v>1F</v>
      </c>
      <c r="E8" s="257" t="s">
        <v>161</v>
      </c>
      <c r="F8" s="257" t="s">
        <v>108</v>
      </c>
      <c r="G8" s="257" t="s">
        <v>120</v>
      </c>
      <c r="H8" s="258">
        <v>0</v>
      </c>
      <c r="I8" s="259" t="str">
        <f t="shared" si="0"/>
        <v>EUR1F3Y_Quote</v>
      </c>
      <c r="J8" s="260" t="str">
        <f>_xll.qlSwapRateHelper2(,$I8,$C8,Calendar,$E8,$F8,$G8,$J$4,$H8,B8,Discounting,Permanent,,ObjectOverwrite)</f>
        <v>obj_00837#0001</v>
      </c>
      <c r="K8" s="261" t="str">
        <f>_xll.ohRangeRetrieveError(J8)</f>
        <v/>
      </c>
      <c r="L8" s="119"/>
      <c r="N8" s="265"/>
    </row>
    <row r="9" spans="1:14" x14ac:dyDescent="0.2">
      <c r="A9" s="65"/>
      <c r="B9" s="97" t="s">
        <v>36</v>
      </c>
      <c r="C9" s="97" t="s">
        <v>30</v>
      </c>
      <c r="D9" s="97" t="str">
        <f t="shared" si="1"/>
        <v>1F</v>
      </c>
      <c r="E9" s="257" t="s">
        <v>161</v>
      </c>
      <c r="F9" s="257" t="s">
        <v>108</v>
      </c>
      <c r="G9" s="257" t="s">
        <v>120</v>
      </c>
      <c r="H9" s="258">
        <v>0</v>
      </c>
      <c r="I9" s="259" t="str">
        <f t="shared" si="0"/>
        <v>EUR1F4Y_Quote</v>
      </c>
      <c r="J9" s="260" t="str">
        <f>_xll.qlSwapRateHelper2(,$I9,$C9,Calendar,$E9,$F9,$G9,$J$4,$H9,B9,Discounting,Permanent,,ObjectOverwrite)</f>
        <v>obj_00794#0001</v>
      </c>
      <c r="K9" s="261" t="str">
        <f>_xll.ohRangeRetrieveError(J9)</f>
        <v/>
      </c>
      <c r="L9" s="119"/>
      <c r="N9" s="265"/>
    </row>
    <row r="10" spans="1:14" x14ac:dyDescent="0.2">
      <c r="A10" s="65"/>
      <c r="B10" s="97" t="s">
        <v>36</v>
      </c>
      <c r="C10" s="97" t="s">
        <v>29</v>
      </c>
      <c r="D10" s="97" t="str">
        <f t="shared" si="1"/>
        <v>1F</v>
      </c>
      <c r="E10" s="257" t="s">
        <v>161</v>
      </c>
      <c r="F10" s="257" t="s">
        <v>108</v>
      </c>
      <c r="G10" s="257" t="s">
        <v>120</v>
      </c>
      <c r="H10" s="258">
        <v>0</v>
      </c>
      <c r="I10" s="259" t="str">
        <f t="shared" si="0"/>
        <v>EUR1F5Y_Quote</v>
      </c>
      <c r="J10" s="260" t="str">
        <f>_xll.qlSwapRateHelper2(,$I10,$C10,Calendar,$E10,$F10,$G10,$J$4,$H10,B10,Discounting,Permanent,,ObjectOverwrite)</f>
        <v>obj_00810#0001</v>
      </c>
      <c r="K10" s="261" t="str">
        <f>_xll.ohRangeRetrieveError(J10)</f>
        <v/>
      </c>
      <c r="L10" s="119"/>
      <c r="N10" s="265"/>
    </row>
    <row r="11" spans="1:14" x14ac:dyDescent="0.2">
      <c r="A11" s="65"/>
      <c r="B11" s="97" t="s">
        <v>36</v>
      </c>
      <c r="C11" s="97" t="s">
        <v>28</v>
      </c>
      <c r="D11" s="97" t="str">
        <f t="shared" si="1"/>
        <v>1F</v>
      </c>
      <c r="E11" s="257" t="s">
        <v>161</v>
      </c>
      <c r="F11" s="257" t="s">
        <v>108</v>
      </c>
      <c r="G11" s="257" t="s">
        <v>120</v>
      </c>
      <c r="H11" s="258">
        <v>0</v>
      </c>
      <c r="I11" s="259" t="str">
        <f t="shared" si="0"/>
        <v>EUR1F6Y_Quote</v>
      </c>
      <c r="J11" s="260" t="str">
        <f>_xll.qlSwapRateHelper2(,$I11,$C11,Calendar,$E11,$F11,$G11,$J$4,$H11,B11,Discounting,Permanent,,ObjectOverwrite)</f>
        <v>obj_0087a#0001</v>
      </c>
      <c r="K11" s="261" t="str">
        <f>_xll.ohRangeRetrieveError(J11)</f>
        <v/>
      </c>
      <c r="L11" s="119"/>
      <c r="N11" s="265"/>
    </row>
    <row r="12" spans="1:14" x14ac:dyDescent="0.2">
      <c r="A12" s="65"/>
      <c r="B12" s="97" t="s">
        <v>36</v>
      </c>
      <c r="C12" s="97" t="s">
        <v>27</v>
      </c>
      <c r="D12" s="97" t="str">
        <f t="shared" si="1"/>
        <v>1F</v>
      </c>
      <c r="E12" s="257" t="s">
        <v>161</v>
      </c>
      <c r="F12" s="257" t="s">
        <v>108</v>
      </c>
      <c r="G12" s="257" t="s">
        <v>120</v>
      </c>
      <c r="H12" s="258">
        <v>0</v>
      </c>
      <c r="I12" s="259" t="str">
        <f t="shared" si="0"/>
        <v>EUR1F7Y_Quote</v>
      </c>
      <c r="J12" s="260" t="str">
        <f>_xll.qlSwapRateHelper2(,$I12,$C12,Calendar,$E12,$F12,$G12,$J$4,$H12,B12,Discounting,Permanent,,ObjectOverwrite)</f>
        <v>obj_00846#0001</v>
      </c>
      <c r="K12" s="261" t="str">
        <f>_xll.ohRangeRetrieveError(J12)</f>
        <v/>
      </c>
      <c r="L12" s="119"/>
      <c r="N12" s="265"/>
    </row>
    <row r="13" spans="1:14" x14ac:dyDescent="0.2">
      <c r="A13" s="65"/>
      <c r="B13" s="97" t="s">
        <v>36</v>
      </c>
      <c r="C13" s="97" t="s">
        <v>26</v>
      </c>
      <c r="D13" s="97" t="str">
        <f t="shared" si="1"/>
        <v>1F</v>
      </c>
      <c r="E13" s="257" t="s">
        <v>161</v>
      </c>
      <c r="F13" s="257" t="s">
        <v>108</v>
      </c>
      <c r="G13" s="257" t="s">
        <v>120</v>
      </c>
      <c r="H13" s="258">
        <v>0</v>
      </c>
      <c r="I13" s="259" t="str">
        <f t="shared" si="0"/>
        <v>EUR1F8Y_Quote</v>
      </c>
      <c r="J13" s="260" t="str">
        <f>_xll.qlSwapRateHelper2(,$I13,$C13,Calendar,$E13,$F13,$G13,$J$4,$H13,B13,Discounting,Permanent,,ObjectOverwrite)</f>
        <v>obj_00758#0001</v>
      </c>
      <c r="K13" s="261" t="str">
        <f>_xll.ohRangeRetrieveError(J13)</f>
        <v/>
      </c>
      <c r="L13" s="119"/>
      <c r="N13" s="265"/>
    </row>
    <row r="14" spans="1:14" x14ac:dyDescent="0.2">
      <c r="A14" s="65"/>
      <c r="B14" s="97" t="s">
        <v>36</v>
      </c>
      <c r="C14" s="97" t="s">
        <v>25</v>
      </c>
      <c r="D14" s="97" t="str">
        <f t="shared" si="1"/>
        <v>1F</v>
      </c>
      <c r="E14" s="257" t="s">
        <v>161</v>
      </c>
      <c r="F14" s="257" t="s">
        <v>108</v>
      </c>
      <c r="G14" s="257" t="s">
        <v>120</v>
      </c>
      <c r="H14" s="258">
        <v>0</v>
      </c>
      <c r="I14" s="259" t="str">
        <f t="shared" si="0"/>
        <v>EUR1F9Y_Quote</v>
      </c>
      <c r="J14" s="260" t="str">
        <f>_xll.qlSwapRateHelper2(,$I14,$C14,Calendar,$E14,$F14,$G14,$J$4,$H14,B14,Discounting,Permanent,,ObjectOverwrite)</f>
        <v>obj_00768#0001</v>
      </c>
      <c r="K14" s="261" t="str">
        <f>_xll.ohRangeRetrieveError(J14)</f>
        <v/>
      </c>
      <c r="L14" s="119"/>
      <c r="N14" s="265"/>
    </row>
    <row r="15" spans="1:14" x14ac:dyDescent="0.2">
      <c r="A15" s="65"/>
      <c r="B15" s="97" t="s">
        <v>36</v>
      </c>
      <c r="C15" s="97" t="s">
        <v>24</v>
      </c>
      <c r="D15" s="97" t="str">
        <f t="shared" si="1"/>
        <v>1F</v>
      </c>
      <c r="E15" s="257" t="s">
        <v>161</v>
      </c>
      <c r="F15" s="257" t="s">
        <v>108</v>
      </c>
      <c r="G15" s="257" t="s">
        <v>120</v>
      </c>
      <c r="H15" s="258">
        <v>0</v>
      </c>
      <c r="I15" s="259" t="str">
        <f t="shared" si="0"/>
        <v>EUR1F10Y_Quote</v>
      </c>
      <c r="J15" s="260" t="str">
        <f>_xll.qlSwapRateHelper2(,$I15,$C15,Calendar,$E15,$F15,$G15,$J$4,$H15,B15,Discounting,Permanent,,ObjectOverwrite)</f>
        <v>obj_00793#0001</v>
      </c>
      <c r="K15" s="261" t="str">
        <f>_xll.ohRangeRetrieveError(J15)</f>
        <v/>
      </c>
      <c r="L15" s="119"/>
      <c r="N15" s="265"/>
    </row>
    <row r="16" spans="1:14" x14ac:dyDescent="0.2">
      <c r="A16" s="65"/>
      <c r="B16" s="97" t="s">
        <v>36</v>
      </c>
      <c r="C16" s="97" t="s">
        <v>23</v>
      </c>
      <c r="D16" s="97" t="str">
        <f t="shared" si="1"/>
        <v>1F</v>
      </c>
      <c r="E16" s="257" t="s">
        <v>161</v>
      </c>
      <c r="F16" s="257" t="s">
        <v>108</v>
      </c>
      <c r="G16" s="257" t="s">
        <v>120</v>
      </c>
      <c r="H16" s="258">
        <v>0</v>
      </c>
      <c r="I16" s="259" t="str">
        <f t="shared" si="0"/>
        <v>EUR1F11Y_Quote</v>
      </c>
      <c r="J16" s="260" t="str">
        <f>_xll.qlSwapRateHelper2(,$I16,$C16,Calendar,$E16,$F16,$G16,$J$4,$H16,B16,Discounting,Permanent,,ObjectOverwrite)</f>
        <v>obj_007cf#0001</v>
      </c>
      <c r="K16" s="261" t="str">
        <f>_xll.ohRangeRetrieveError(J16)</f>
        <v/>
      </c>
      <c r="L16" s="119"/>
      <c r="N16" s="265"/>
    </row>
    <row r="17" spans="1:14" x14ac:dyDescent="0.2">
      <c r="A17" s="65"/>
      <c r="B17" s="97" t="s">
        <v>36</v>
      </c>
      <c r="C17" s="97" t="s">
        <v>22</v>
      </c>
      <c r="D17" s="97" t="str">
        <f t="shared" si="1"/>
        <v>1F</v>
      </c>
      <c r="E17" s="257" t="s">
        <v>161</v>
      </c>
      <c r="F17" s="257" t="s">
        <v>108</v>
      </c>
      <c r="G17" s="257" t="s">
        <v>120</v>
      </c>
      <c r="H17" s="258">
        <v>0</v>
      </c>
      <c r="I17" s="259" t="str">
        <f t="shared" si="0"/>
        <v>EUR1F12Y_Quote</v>
      </c>
      <c r="J17" s="260" t="str">
        <f>_xll.qlSwapRateHelper2(,$I17,$C17,Calendar,$E17,$F17,$G17,$J$4,$H17,B17,Discounting,Permanent,,ObjectOverwrite)</f>
        <v>obj_00802#0001</v>
      </c>
      <c r="K17" s="261" t="str">
        <f>_xll.ohRangeRetrieveError(J17)</f>
        <v/>
      </c>
      <c r="L17" s="119"/>
      <c r="N17" s="265"/>
    </row>
    <row r="18" spans="1:14" x14ac:dyDescent="0.2">
      <c r="A18" s="65"/>
      <c r="B18" s="97" t="s">
        <v>36</v>
      </c>
      <c r="C18" s="97" t="s">
        <v>21</v>
      </c>
      <c r="D18" s="97" t="str">
        <f t="shared" si="1"/>
        <v>1F</v>
      </c>
      <c r="E18" s="257" t="s">
        <v>161</v>
      </c>
      <c r="F18" s="257" t="s">
        <v>108</v>
      </c>
      <c r="G18" s="257" t="s">
        <v>120</v>
      </c>
      <c r="H18" s="258">
        <v>0</v>
      </c>
      <c r="I18" s="259" t="str">
        <f t="shared" si="0"/>
        <v>EUR1F13Y_Quote</v>
      </c>
      <c r="J18" s="260" t="str">
        <f>_xll.qlSwapRateHelper2(,$I18,$C18,Calendar,$E18,$F18,$G18,$J$4,$H18,B18,Discounting,Permanent,,ObjectOverwrite)</f>
        <v>obj_00743#0001</v>
      </c>
      <c r="K18" s="261" t="str">
        <f>_xll.ohRangeRetrieveError(J18)</f>
        <v/>
      </c>
      <c r="L18" s="119"/>
      <c r="N18" s="265"/>
    </row>
    <row r="19" spans="1:14" x14ac:dyDescent="0.2">
      <c r="A19" s="65"/>
      <c r="B19" s="97" t="s">
        <v>36</v>
      </c>
      <c r="C19" s="97" t="s">
        <v>20</v>
      </c>
      <c r="D19" s="97" t="str">
        <f t="shared" si="1"/>
        <v>1F</v>
      </c>
      <c r="E19" s="257" t="s">
        <v>161</v>
      </c>
      <c r="F19" s="257" t="s">
        <v>108</v>
      </c>
      <c r="G19" s="257" t="s">
        <v>120</v>
      </c>
      <c r="H19" s="258">
        <v>0</v>
      </c>
      <c r="I19" s="259" t="str">
        <f t="shared" si="0"/>
        <v>EUR1F14Y_Quote</v>
      </c>
      <c r="J19" s="260" t="str">
        <f>_xll.qlSwapRateHelper2(,$I19,$C19,Calendar,$E19,$F19,$G19,$J$4,$H19,B19,Discounting,Permanent,,ObjectOverwrite)</f>
        <v>obj_00850#0001</v>
      </c>
      <c r="K19" s="261" t="str">
        <f>_xll.ohRangeRetrieveError(J19)</f>
        <v/>
      </c>
      <c r="L19" s="119"/>
      <c r="N19" s="265"/>
    </row>
    <row r="20" spans="1:14" x14ac:dyDescent="0.2">
      <c r="A20" s="65"/>
      <c r="B20" s="97" t="s">
        <v>36</v>
      </c>
      <c r="C20" s="97" t="s">
        <v>19</v>
      </c>
      <c r="D20" s="97" t="str">
        <f t="shared" si="1"/>
        <v>1F</v>
      </c>
      <c r="E20" s="257" t="s">
        <v>161</v>
      </c>
      <c r="F20" s="257" t="s">
        <v>108</v>
      </c>
      <c r="G20" s="257" t="s">
        <v>120</v>
      </c>
      <c r="H20" s="258">
        <v>0</v>
      </c>
      <c r="I20" s="259" t="str">
        <f t="shared" si="0"/>
        <v>EUR1F15Y_Quote</v>
      </c>
      <c r="J20" s="260" t="str">
        <f>_xll.qlSwapRateHelper2(,$I20,$C20,Calendar,$E20,$F20,$G20,$J$4,$H20,B20,Discounting,Permanent,,ObjectOverwrite)</f>
        <v>obj_007f4#0001</v>
      </c>
      <c r="K20" s="261" t="str">
        <f>_xll.ohRangeRetrieveError(J20)</f>
        <v/>
      </c>
      <c r="L20" s="119"/>
      <c r="N20" s="265"/>
    </row>
    <row r="21" spans="1:14" x14ac:dyDescent="0.2">
      <c r="A21" s="65"/>
      <c r="B21" s="97" t="s">
        <v>36</v>
      </c>
      <c r="C21" s="97" t="s">
        <v>14</v>
      </c>
      <c r="D21" s="97" t="str">
        <f t="shared" si="1"/>
        <v>1F</v>
      </c>
      <c r="E21" s="257" t="s">
        <v>161</v>
      </c>
      <c r="F21" s="257" t="s">
        <v>108</v>
      </c>
      <c r="G21" s="257" t="s">
        <v>120</v>
      </c>
      <c r="H21" s="258">
        <v>0</v>
      </c>
      <c r="I21" s="259" t="str">
        <f t="shared" si="0"/>
        <v>EUR1F20Y_Quote</v>
      </c>
      <c r="J21" s="260" t="str">
        <f>_xll.qlSwapRateHelper2(,$I21,$C21,Calendar,$E21,$F21,$G21,$J$4,$H21,B21,Discounting,Permanent,,ObjectOverwrite)</f>
        <v>obj_0088c#0001</v>
      </c>
      <c r="K21" s="261" t="str">
        <f>_xll.ohRangeRetrieveError(J21)</f>
        <v/>
      </c>
      <c r="L21" s="119"/>
      <c r="N21" s="265"/>
    </row>
    <row r="22" spans="1:14" x14ac:dyDescent="0.2">
      <c r="A22" s="65"/>
      <c r="B22" s="97" t="s">
        <v>36</v>
      </c>
      <c r="C22" s="97" t="s">
        <v>9</v>
      </c>
      <c r="D22" s="97" t="str">
        <f t="shared" si="1"/>
        <v>1F</v>
      </c>
      <c r="E22" s="257" t="s">
        <v>161</v>
      </c>
      <c r="F22" s="257" t="s">
        <v>108</v>
      </c>
      <c r="G22" s="257" t="s">
        <v>120</v>
      </c>
      <c r="H22" s="258">
        <v>0</v>
      </c>
      <c r="I22" s="259" t="str">
        <f t="shared" si="0"/>
        <v>EUR1F25Y_Quote</v>
      </c>
      <c r="J22" s="260" t="str">
        <f>_xll.qlSwapRateHelper2(,$I22,$C22,Calendar,$E22,$F22,$G22,$J$4,$H22,B22,Discounting,Permanent,,ObjectOverwrite)</f>
        <v>obj_007ac#0001</v>
      </c>
      <c r="K22" s="261" t="str">
        <f>_xll.ohRangeRetrieveError(J22)</f>
        <v/>
      </c>
      <c r="L22" s="119"/>
      <c r="N22" s="265"/>
    </row>
    <row r="23" spans="1:14" x14ac:dyDescent="0.2">
      <c r="A23" s="65"/>
      <c r="B23" s="262" t="s">
        <v>36</v>
      </c>
      <c r="C23" s="262" t="s">
        <v>4</v>
      </c>
      <c r="D23" s="262" t="str">
        <f t="shared" si="1"/>
        <v>1F</v>
      </c>
      <c r="E23" s="122" t="s">
        <v>161</v>
      </c>
      <c r="F23" s="122" t="s">
        <v>108</v>
      </c>
      <c r="G23" s="122" t="s">
        <v>120</v>
      </c>
      <c r="H23" s="263">
        <v>0</v>
      </c>
      <c r="I23" s="121" t="str">
        <f t="shared" si="0"/>
        <v>EUR1F30Y_Quote</v>
      </c>
      <c r="J23" s="147" t="str">
        <f>_xll.qlSwapRateHelper2(,$I23,$C23,Calendar,$E23,$F23,$G23,$J$4,$H23,B23,Discounting,Permanent,,ObjectOverwrite)</f>
        <v>obj_0078f#0001</v>
      </c>
      <c r="K23" s="264" t="str">
        <f>_xll.ohRangeRetrieveError(J23)</f>
        <v/>
      </c>
      <c r="L23" s="119"/>
      <c r="N23" s="265"/>
    </row>
    <row r="24" spans="1:14" x14ac:dyDescent="0.2">
      <c r="A24" s="65"/>
      <c r="B24" s="102" t="s">
        <v>32</v>
      </c>
      <c r="C24" s="102" t="s">
        <v>36</v>
      </c>
      <c r="D24" s="102" t="str">
        <f>LEFT(B24,1)&amp;"F"</f>
        <v>2F</v>
      </c>
      <c r="E24" s="111" t="s">
        <v>161</v>
      </c>
      <c r="F24" s="111" t="s">
        <v>108</v>
      </c>
      <c r="G24" s="111" t="s">
        <v>120</v>
      </c>
      <c r="H24" s="253">
        <v>0</v>
      </c>
      <c r="I24" s="254" t="str">
        <f t="shared" si="0"/>
        <v>EUR2F1Y_Quote</v>
      </c>
      <c r="J24" s="255" t="str">
        <f>_xll.qlSwapRateHelper2(,$I24,$C24,Calendar,$E24,$F24,$G24,$J$4,$H24,B24,Discounting,Permanent,,ObjectOverwrite)</f>
        <v>obj_00745#0001</v>
      </c>
      <c r="K24" s="256" t="str">
        <f>_xll.ohRangeRetrieveError(J24)</f>
        <v/>
      </c>
      <c r="L24" s="119"/>
      <c r="N24" s="265"/>
    </row>
    <row r="25" spans="1:14" x14ac:dyDescent="0.2">
      <c r="A25" s="65"/>
      <c r="B25" s="97" t="s">
        <v>32</v>
      </c>
      <c r="C25" s="97" t="s">
        <v>32</v>
      </c>
      <c r="D25" s="97" t="str">
        <f t="shared" ref="D25:D41" si="2">LEFT(B25,1)&amp;"F"</f>
        <v>2F</v>
      </c>
      <c r="E25" s="257" t="s">
        <v>161</v>
      </c>
      <c r="F25" s="257" t="s">
        <v>108</v>
      </c>
      <c r="G25" s="257" t="s">
        <v>120</v>
      </c>
      <c r="H25" s="258">
        <v>0</v>
      </c>
      <c r="I25" s="259" t="str">
        <f t="shared" si="0"/>
        <v>EUR2F2Y_Quote</v>
      </c>
      <c r="J25" s="260" t="str">
        <f>_xll.qlSwapRateHelper2(,$I25,$C25,Calendar,$E25,$F25,$G25,$J$4,$H25,B25,Discounting,Permanent,,ObjectOverwrite)</f>
        <v>obj_00851#0001</v>
      </c>
      <c r="K25" s="261" t="str">
        <f>_xll.ohRangeRetrieveError(J25)</f>
        <v/>
      </c>
      <c r="L25" s="119"/>
      <c r="N25" s="265"/>
    </row>
    <row r="26" spans="1:14" x14ac:dyDescent="0.2">
      <c r="A26" s="65"/>
      <c r="B26" s="97" t="s">
        <v>32</v>
      </c>
      <c r="C26" s="97" t="s">
        <v>31</v>
      </c>
      <c r="D26" s="97" t="str">
        <f t="shared" si="2"/>
        <v>2F</v>
      </c>
      <c r="E26" s="257" t="s">
        <v>161</v>
      </c>
      <c r="F26" s="257" t="s">
        <v>108</v>
      </c>
      <c r="G26" s="257" t="s">
        <v>120</v>
      </c>
      <c r="H26" s="258">
        <v>0</v>
      </c>
      <c r="I26" s="259" t="str">
        <f t="shared" si="0"/>
        <v>EUR2F3Y_Quote</v>
      </c>
      <c r="J26" s="260" t="str">
        <f>_xll.qlSwapRateHelper2(,$I26,$C26,Calendar,$E26,$F26,$G26,$J$4,$H26,B26,Discounting,Permanent,,ObjectOverwrite)</f>
        <v>obj_0088b#0001</v>
      </c>
      <c r="K26" s="261" t="str">
        <f>_xll.ohRangeRetrieveError(J26)</f>
        <v/>
      </c>
      <c r="L26" s="119"/>
      <c r="N26" s="265"/>
    </row>
    <row r="27" spans="1:14" x14ac:dyDescent="0.2">
      <c r="A27" s="65"/>
      <c r="B27" s="97" t="s">
        <v>32</v>
      </c>
      <c r="C27" s="97" t="s">
        <v>30</v>
      </c>
      <c r="D27" s="97" t="str">
        <f t="shared" si="2"/>
        <v>2F</v>
      </c>
      <c r="E27" s="257" t="s">
        <v>161</v>
      </c>
      <c r="F27" s="257" t="s">
        <v>108</v>
      </c>
      <c r="G27" s="257" t="s">
        <v>120</v>
      </c>
      <c r="H27" s="258">
        <v>0</v>
      </c>
      <c r="I27" s="259" t="str">
        <f t="shared" si="0"/>
        <v>EUR2F4Y_Quote</v>
      </c>
      <c r="J27" s="260" t="str">
        <f>_xll.qlSwapRateHelper2(,$I27,$C27,Calendar,$E27,$F27,$G27,$J$4,$H27,B27,Discounting,Permanent,,ObjectOverwrite)</f>
        <v>obj_007fc#0001</v>
      </c>
      <c r="K27" s="261" t="str">
        <f>_xll.ohRangeRetrieveError(J27)</f>
        <v/>
      </c>
      <c r="L27" s="119"/>
      <c r="N27" s="265"/>
    </row>
    <row r="28" spans="1:14" x14ac:dyDescent="0.2">
      <c r="A28" s="65"/>
      <c r="B28" s="97" t="s">
        <v>32</v>
      </c>
      <c r="C28" s="97" t="s">
        <v>29</v>
      </c>
      <c r="D28" s="97" t="str">
        <f t="shared" si="2"/>
        <v>2F</v>
      </c>
      <c r="E28" s="257" t="s">
        <v>161</v>
      </c>
      <c r="F28" s="257" t="s">
        <v>108</v>
      </c>
      <c r="G28" s="257" t="s">
        <v>120</v>
      </c>
      <c r="H28" s="258">
        <v>0</v>
      </c>
      <c r="I28" s="259" t="str">
        <f t="shared" si="0"/>
        <v>EUR2F5Y_Quote</v>
      </c>
      <c r="J28" s="260" t="str">
        <f>_xll.qlSwapRateHelper2(,$I28,$C28,Calendar,$E28,$F28,$G28,$J$4,$H28,B28,Discounting,Permanent,,ObjectOverwrite)</f>
        <v>obj_00853#0001</v>
      </c>
      <c r="K28" s="261" t="str">
        <f>_xll.ohRangeRetrieveError(J28)</f>
        <v/>
      </c>
      <c r="L28" s="119"/>
      <c r="N28" s="265"/>
    </row>
    <row r="29" spans="1:14" x14ac:dyDescent="0.2">
      <c r="A29" s="65"/>
      <c r="B29" s="97" t="s">
        <v>32</v>
      </c>
      <c r="C29" s="97" t="s">
        <v>28</v>
      </c>
      <c r="D29" s="97" t="str">
        <f t="shared" si="2"/>
        <v>2F</v>
      </c>
      <c r="E29" s="257" t="s">
        <v>161</v>
      </c>
      <c r="F29" s="257" t="s">
        <v>108</v>
      </c>
      <c r="G29" s="257" t="s">
        <v>120</v>
      </c>
      <c r="H29" s="258">
        <v>0</v>
      </c>
      <c r="I29" s="259" t="str">
        <f t="shared" si="0"/>
        <v>EUR2F6Y_Quote</v>
      </c>
      <c r="J29" s="260" t="str">
        <f>_xll.qlSwapRateHelper2(,$I29,$C29,Calendar,$E29,$F29,$G29,$J$4,$H29,B29,Discounting,Permanent,,ObjectOverwrite)</f>
        <v>obj_0077c#0001</v>
      </c>
      <c r="K29" s="261" t="str">
        <f>_xll.ohRangeRetrieveError(J29)</f>
        <v/>
      </c>
      <c r="L29" s="119"/>
      <c r="N29" s="265"/>
    </row>
    <row r="30" spans="1:14" x14ac:dyDescent="0.2">
      <c r="A30" s="65"/>
      <c r="B30" s="97" t="s">
        <v>32</v>
      </c>
      <c r="C30" s="97" t="s">
        <v>27</v>
      </c>
      <c r="D30" s="97" t="str">
        <f t="shared" si="2"/>
        <v>2F</v>
      </c>
      <c r="E30" s="257" t="s">
        <v>161</v>
      </c>
      <c r="F30" s="257" t="s">
        <v>108</v>
      </c>
      <c r="G30" s="257" t="s">
        <v>120</v>
      </c>
      <c r="H30" s="258">
        <v>0</v>
      </c>
      <c r="I30" s="259" t="str">
        <f t="shared" si="0"/>
        <v>EUR2F7Y_Quote</v>
      </c>
      <c r="J30" s="260" t="str">
        <f>_xll.qlSwapRateHelper2(,$I30,$C30,Calendar,$E30,$F30,$G30,$J$4,$H30,B30,Discounting,Permanent,,ObjectOverwrite)</f>
        <v>obj_00844#0001</v>
      </c>
      <c r="K30" s="261" t="str">
        <f>_xll.ohRangeRetrieveError(J30)</f>
        <v/>
      </c>
      <c r="L30" s="119"/>
      <c r="N30" s="265"/>
    </row>
    <row r="31" spans="1:14" x14ac:dyDescent="0.2">
      <c r="A31" s="65"/>
      <c r="B31" s="97" t="s">
        <v>32</v>
      </c>
      <c r="C31" s="97" t="s">
        <v>26</v>
      </c>
      <c r="D31" s="97" t="str">
        <f t="shared" si="2"/>
        <v>2F</v>
      </c>
      <c r="E31" s="257" t="s">
        <v>161</v>
      </c>
      <c r="F31" s="257" t="s">
        <v>108</v>
      </c>
      <c r="G31" s="257" t="s">
        <v>120</v>
      </c>
      <c r="H31" s="258">
        <v>0</v>
      </c>
      <c r="I31" s="259" t="str">
        <f t="shared" si="0"/>
        <v>EUR2F8Y_Quote</v>
      </c>
      <c r="J31" s="260" t="str">
        <f>_xll.qlSwapRateHelper2(,$I31,$C31,Calendar,$E31,$F31,$G31,$J$4,$H31,B31,Discounting,Permanent,,ObjectOverwrite)</f>
        <v>obj_0082d#0001</v>
      </c>
      <c r="K31" s="261" t="str">
        <f>_xll.ohRangeRetrieveError(J31)</f>
        <v/>
      </c>
      <c r="L31" s="119"/>
      <c r="N31" s="265"/>
    </row>
    <row r="32" spans="1:14" x14ac:dyDescent="0.2">
      <c r="A32" s="65"/>
      <c r="B32" s="97" t="s">
        <v>32</v>
      </c>
      <c r="C32" s="97" t="s">
        <v>25</v>
      </c>
      <c r="D32" s="97" t="str">
        <f t="shared" si="2"/>
        <v>2F</v>
      </c>
      <c r="E32" s="257" t="s">
        <v>161</v>
      </c>
      <c r="F32" s="257" t="s">
        <v>108</v>
      </c>
      <c r="G32" s="257" t="s">
        <v>120</v>
      </c>
      <c r="H32" s="258">
        <v>0</v>
      </c>
      <c r="I32" s="259" t="str">
        <f t="shared" si="0"/>
        <v>EUR2F9Y_Quote</v>
      </c>
      <c r="J32" s="260" t="str">
        <f>_xll.qlSwapRateHelper2(,$I32,$C32,Calendar,$E32,$F32,$G32,$J$4,$H32,B32,Discounting,Permanent,,ObjectOverwrite)</f>
        <v>obj_0073f#0001</v>
      </c>
      <c r="K32" s="261" t="str">
        <f>_xll.ohRangeRetrieveError(J32)</f>
        <v/>
      </c>
      <c r="L32" s="119"/>
      <c r="N32" s="265"/>
    </row>
    <row r="33" spans="1:14" x14ac:dyDescent="0.2">
      <c r="A33" s="65"/>
      <c r="B33" s="97" t="s">
        <v>32</v>
      </c>
      <c r="C33" s="97" t="s">
        <v>24</v>
      </c>
      <c r="D33" s="97" t="str">
        <f t="shared" si="2"/>
        <v>2F</v>
      </c>
      <c r="E33" s="257" t="s">
        <v>161</v>
      </c>
      <c r="F33" s="257" t="s">
        <v>108</v>
      </c>
      <c r="G33" s="257" t="s">
        <v>120</v>
      </c>
      <c r="H33" s="258">
        <v>0</v>
      </c>
      <c r="I33" s="259" t="str">
        <f t="shared" si="0"/>
        <v>EUR2F10Y_Quote</v>
      </c>
      <c r="J33" s="260" t="str">
        <f>_xll.qlSwapRateHelper2(,$I33,$C33,Calendar,$E33,$F33,$G33,$J$4,$H33,B33,Discounting,Permanent,,ObjectOverwrite)</f>
        <v>obj_00751#0001</v>
      </c>
      <c r="K33" s="261" t="str">
        <f>_xll.ohRangeRetrieveError(J33)</f>
        <v/>
      </c>
      <c r="L33" s="119"/>
      <c r="N33" s="265"/>
    </row>
    <row r="34" spans="1:14" x14ac:dyDescent="0.2">
      <c r="A34" s="65"/>
      <c r="B34" s="97" t="s">
        <v>32</v>
      </c>
      <c r="C34" s="97" t="s">
        <v>23</v>
      </c>
      <c r="D34" s="97" t="str">
        <f t="shared" si="2"/>
        <v>2F</v>
      </c>
      <c r="E34" s="257" t="s">
        <v>161</v>
      </c>
      <c r="F34" s="257" t="s">
        <v>108</v>
      </c>
      <c r="G34" s="257" t="s">
        <v>120</v>
      </c>
      <c r="H34" s="258">
        <v>0</v>
      </c>
      <c r="I34" s="259" t="str">
        <f t="shared" si="0"/>
        <v>EUR2F11Y_Quote</v>
      </c>
      <c r="J34" s="260" t="str">
        <f>_xll.qlSwapRateHelper2(,$I34,$C34,Calendar,$E34,$F34,$G34,$J$4,$H34,B34,Discounting,Permanent,,ObjectOverwrite)</f>
        <v>obj_007cd#0001</v>
      </c>
      <c r="K34" s="261" t="str">
        <f>_xll.ohRangeRetrieveError(J34)</f>
        <v/>
      </c>
      <c r="L34" s="119"/>
      <c r="N34" s="265"/>
    </row>
    <row r="35" spans="1:14" x14ac:dyDescent="0.2">
      <c r="A35" s="65"/>
      <c r="B35" s="97" t="s">
        <v>32</v>
      </c>
      <c r="C35" s="97" t="s">
        <v>22</v>
      </c>
      <c r="D35" s="97" t="str">
        <f t="shared" si="2"/>
        <v>2F</v>
      </c>
      <c r="E35" s="257" t="s">
        <v>161</v>
      </c>
      <c r="F35" s="257" t="s">
        <v>108</v>
      </c>
      <c r="G35" s="257" t="s">
        <v>120</v>
      </c>
      <c r="H35" s="258">
        <v>0</v>
      </c>
      <c r="I35" s="259" t="str">
        <f t="shared" si="0"/>
        <v>EUR2F12Y_Quote</v>
      </c>
      <c r="J35" s="260" t="str">
        <f>_xll.qlSwapRateHelper2(,$I35,$C35,Calendar,$E35,$F35,$G35,$J$4,$H35,B35,Discounting,Permanent,,ObjectOverwrite)</f>
        <v>obj_0087f#0001</v>
      </c>
      <c r="K35" s="261" t="str">
        <f>_xll.ohRangeRetrieveError(J35)</f>
        <v/>
      </c>
      <c r="L35" s="119"/>
      <c r="N35" s="265"/>
    </row>
    <row r="36" spans="1:14" x14ac:dyDescent="0.2">
      <c r="A36" s="65"/>
      <c r="B36" s="97" t="s">
        <v>32</v>
      </c>
      <c r="C36" s="97" t="s">
        <v>21</v>
      </c>
      <c r="D36" s="97" t="str">
        <f t="shared" si="2"/>
        <v>2F</v>
      </c>
      <c r="E36" s="257" t="s">
        <v>161</v>
      </c>
      <c r="F36" s="257" t="s">
        <v>108</v>
      </c>
      <c r="G36" s="257" t="s">
        <v>120</v>
      </c>
      <c r="H36" s="258">
        <v>0</v>
      </c>
      <c r="I36" s="259" t="str">
        <f t="shared" si="0"/>
        <v>EUR2F13Y_Quote</v>
      </c>
      <c r="J36" s="260" t="str">
        <f>_xll.qlSwapRateHelper2(,$I36,$C36,Calendar,$E36,$F36,$G36,$J$4,$H36,B36,Discounting,Permanent,,ObjectOverwrite)</f>
        <v>obj_00872#0001</v>
      </c>
      <c r="K36" s="261" t="str">
        <f>_xll.ohRangeRetrieveError(J36)</f>
        <v/>
      </c>
      <c r="L36" s="119"/>
      <c r="N36" s="265"/>
    </row>
    <row r="37" spans="1:14" x14ac:dyDescent="0.2">
      <c r="A37" s="65"/>
      <c r="B37" s="97" t="s">
        <v>32</v>
      </c>
      <c r="C37" s="97" t="s">
        <v>20</v>
      </c>
      <c r="D37" s="97" t="str">
        <f t="shared" si="2"/>
        <v>2F</v>
      </c>
      <c r="E37" s="257" t="s">
        <v>161</v>
      </c>
      <c r="F37" s="257" t="s">
        <v>108</v>
      </c>
      <c r="G37" s="257" t="s">
        <v>120</v>
      </c>
      <c r="H37" s="258">
        <v>0</v>
      </c>
      <c r="I37" s="259" t="str">
        <f t="shared" si="0"/>
        <v>EUR2F14Y_Quote</v>
      </c>
      <c r="J37" s="260" t="str">
        <f>_xll.qlSwapRateHelper2(,$I37,$C37,Calendar,$E37,$F37,$G37,$J$4,$H37,B37,Discounting,Permanent,,ObjectOverwrite)</f>
        <v>obj_007a0#0001</v>
      </c>
      <c r="K37" s="261" t="str">
        <f>_xll.ohRangeRetrieveError(J37)</f>
        <v/>
      </c>
      <c r="L37" s="119"/>
      <c r="N37" s="265"/>
    </row>
    <row r="38" spans="1:14" x14ac:dyDescent="0.2">
      <c r="A38" s="65"/>
      <c r="B38" s="97" t="s">
        <v>32</v>
      </c>
      <c r="C38" s="97" t="s">
        <v>19</v>
      </c>
      <c r="D38" s="97" t="str">
        <f t="shared" si="2"/>
        <v>2F</v>
      </c>
      <c r="E38" s="257" t="s">
        <v>161</v>
      </c>
      <c r="F38" s="257" t="s">
        <v>108</v>
      </c>
      <c r="G38" s="257" t="s">
        <v>120</v>
      </c>
      <c r="H38" s="258">
        <v>0</v>
      </c>
      <c r="I38" s="259" t="str">
        <f t="shared" si="0"/>
        <v>EUR2F15Y_Quote</v>
      </c>
      <c r="J38" s="260" t="str">
        <f>_xll.qlSwapRateHelper2(,$I38,$C38,Calendar,$E38,$F38,$G38,$J$4,$H38,B38,Discounting,Permanent,,ObjectOverwrite)</f>
        <v>obj_00813#0001</v>
      </c>
      <c r="K38" s="261" t="str">
        <f>_xll.ohRangeRetrieveError(J38)</f>
        <v/>
      </c>
      <c r="L38" s="119"/>
      <c r="N38" s="265"/>
    </row>
    <row r="39" spans="1:14" x14ac:dyDescent="0.2">
      <c r="A39" s="65"/>
      <c r="B39" s="97" t="s">
        <v>32</v>
      </c>
      <c r="C39" s="97" t="s">
        <v>14</v>
      </c>
      <c r="D39" s="97" t="str">
        <f t="shared" si="2"/>
        <v>2F</v>
      </c>
      <c r="E39" s="257" t="s">
        <v>161</v>
      </c>
      <c r="F39" s="257" t="s">
        <v>108</v>
      </c>
      <c r="G39" s="257" t="s">
        <v>120</v>
      </c>
      <c r="H39" s="258">
        <v>0</v>
      </c>
      <c r="I39" s="259" t="str">
        <f t="shared" si="0"/>
        <v>EUR2F20Y_Quote</v>
      </c>
      <c r="J39" s="260" t="str">
        <f>_xll.qlSwapRateHelper2(,$I39,$C39,Calendar,$E39,$F39,$G39,$J$4,$H39,B39,Discounting,Permanent,,ObjectOverwrite)</f>
        <v>obj_0082e#0001</v>
      </c>
      <c r="K39" s="261" t="str">
        <f>_xll.ohRangeRetrieveError(J39)</f>
        <v/>
      </c>
      <c r="L39" s="119"/>
      <c r="N39" s="265"/>
    </row>
    <row r="40" spans="1:14" x14ac:dyDescent="0.2">
      <c r="A40" s="65"/>
      <c r="B40" s="97" t="s">
        <v>32</v>
      </c>
      <c r="C40" s="97" t="s">
        <v>9</v>
      </c>
      <c r="D40" s="97" t="str">
        <f t="shared" si="2"/>
        <v>2F</v>
      </c>
      <c r="E40" s="257" t="s">
        <v>161</v>
      </c>
      <c r="F40" s="257" t="s">
        <v>108</v>
      </c>
      <c r="G40" s="257" t="s">
        <v>120</v>
      </c>
      <c r="H40" s="258">
        <v>0</v>
      </c>
      <c r="I40" s="259" t="str">
        <f t="shared" si="0"/>
        <v>EUR2F25Y_Quote</v>
      </c>
      <c r="J40" s="260" t="str">
        <f>_xll.qlSwapRateHelper2(,$I40,$C40,Calendar,$E40,$F40,$G40,$J$4,$H40,B40,Discounting,Permanent,,ObjectOverwrite)</f>
        <v>obj_00860#0001</v>
      </c>
      <c r="K40" s="261" t="str">
        <f>_xll.ohRangeRetrieveError(J40)</f>
        <v/>
      </c>
      <c r="L40" s="119"/>
      <c r="N40" s="265"/>
    </row>
    <row r="41" spans="1:14" x14ac:dyDescent="0.2">
      <c r="A41" s="65"/>
      <c r="B41" s="262" t="s">
        <v>32</v>
      </c>
      <c r="C41" s="262" t="s">
        <v>4</v>
      </c>
      <c r="D41" s="262" t="str">
        <f t="shared" si="2"/>
        <v>2F</v>
      </c>
      <c r="E41" s="122" t="s">
        <v>161</v>
      </c>
      <c r="F41" s="122" t="s">
        <v>108</v>
      </c>
      <c r="G41" s="122" t="s">
        <v>120</v>
      </c>
      <c r="H41" s="263">
        <v>0</v>
      </c>
      <c r="I41" s="121" t="str">
        <f t="shared" si="0"/>
        <v>EUR2F30Y_Quote</v>
      </c>
      <c r="J41" s="147" t="str">
        <f>_xll.qlSwapRateHelper2(,$I41,$C41,Calendar,$E41,$F41,$G41,$J$4,$H41,B41,Discounting,Permanent,,ObjectOverwrite)</f>
        <v>obj_00795#0001</v>
      </c>
      <c r="K41" s="264" t="str">
        <f>_xll.ohRangeRetrieveError(J41)</f>
        <v/>
      </c>
      <c r="L41" s="119"/>
      <c r="N41" s="265"/>
    </row>
    <row r="42" spans="1:14" x14ac:dyDescent="0.2">
      <c r="A42" s="65"/>
      <c r="B42" s="102" t="s">
        <v>31</v>
      </c>
      <c r="C42" s="102" t="s">
        <v>36</v>
      </c>
      <c r="D42" s="102" t="str">
        <f>LEFT(B42,1)&amp;"F"</f>
        <v>3F</v>
      </c>
      <c r="E42" s="111" t="s">
        <v>161</v>
      </c>
      <c r="F42" s="111" t="s">
        <v>108</v>
      </c>
      <c r="G42" s="111" t="s">
        <v>120</v>
      </c>
      <c r="H42" s="253">
        <v>0</v>
      </c>
      <c r="I42" s="254" t="str">
        <f t="shared" si="0"/>
        <v>EUR3F1Y_Quote</v>
      </c>
      <c r="J42" s="255" t="str">
        <f>_xll.qlSwapRateHelper2(,$I42,$C42,Calendar,$E42,$F42,$G42,$J$4,$H42,B42,Discounting,Permanent,,ObjectOverwrite)</f>
        <v>obj_0082b#0001</v>
      </c>
      <c r="K42" s="256" t="str">
        <f>_xll.ohRangeRetrieveError(J42)</f>
        <v/>
      </c>
      <c r="L42" s="119"/>
      <c r="N42" s="265"/>
    </row>
    <row r="43" spans="1:14" x14ac:dyDescent="0.2">
      <c r="A43" s="65"/>
      <c r="B43" s="97" t="s">
        <v>31</v>
      </c>
      <c r="C43" s="97" t="s">
        <v>32</v>
      </c>
      <c r="D43" s="97" t="str">
        <f t="shared" ref="D43:D59" si="3">LEFT(B43,1)&amp;"F"</f>
        <v>3F</v>
      </c>
      <c r="E43" s="257" t="s">
        <v>161</v>
      </c>
      <c r="F43" s="257" t="s">
        <v>108</v>
      </c>
      <c r="G43" s="257" t="s">
        <v>120</v>
      </c>
      <c r="H43" s="258">
        <v>0</v>
      </c>
      <c r="I43" s="259" t="str">
        <f t="shared" si="0"/>
        <v>EUR3F2Y_Quote</v>
      </c>
      <c r="J43" s="260" t="str">
        <f>_xll.qlSwapRateHelper2(,$I43,$C43,Calendar,$E43,$F43,$G43,$J$4,$H43,B43,Discounting,Permanent,,ObjectOverwrite)</f>
        <v>obj_00759#0001</v>
      </c>
      <c r="K43" s="261" t="str">
        <f>_xll.ohRangeRetrieveError(J43)</f>
        <v/>
      </c>
      <c r="L43" s="119"/>
      <c r="N43" s="265"/>
    </row>
    <row r="44" spans="1:14" x14ac:dyDescent="0.2">
      <c r="A44" s="65"/>
      <c r="B44" s="97" t="s">
        <v>31</v>
      </c>
      <c r="C44" s="97" t="s">
        <v>31</v>
      </c>
      <c r="D44" s="97" t="str">
        <f t="shared" si="3"/>
        <v>3F</v>
      </c>
      <c r="E44" s="257" t="s">
        <v>161</v>
      </c>
      <c r="F44" s="257" t="s">
        <v>108</v>
      </c>
      <c r="G44" s="257" t="s">
        <v>120</v>
      </c>
      <c r="H44" s="258">
        <v>0</v>
      </c>
      <c r="I44" s="259" t="str">
        <f t="shared" si="0"/>
        <v>EUR3F3Y_Quote</v>
      </c>
      <c r="J44" s="260" t="str">
        <f>_xll.qlSwapRateHelper2(,$I44,$C44,Calendar,$E44,$F44,$G44,$J$4,$H44,B44,Discounting,Permanent,,ObjectOverwrite)</f>
        <v>obj_0084a#0001</v>
      </c>
      <c r="K44" s="261" t="str">
        <f>_xll.ohRangeRetrieveError(J44)</f>
        <v/>
      </c>
      <c r="L44" s="119"/>
      <c r="N44" s="265"/>
    </row>
    <row r="45" spans="1:14" x14ac:dyDescent="0.2">
      <c r="A45" s="65"/>
      <c r="B45" s="97" t="s">
        <v>31</v>
      </c>
      <c r="C45" s="97" t="s">
        <v>30</v>
      </c>
      <c r="D45" s="97" t="str">
        <f t="shared" si="3"/>
        <v>3F</v>
      </c>
      <c r="E45" s="257" t="s">
        <v>161</v>
      </c>
      <c r="F45" s="257" t="s">
        <v>108</v>
      </c>
      <c r="G45" s="257" t="s">
        <v>120</v>
      </c>
      <c r="H45" s="258">
        <v>0</v>
      </c>
      <c r="I45" s="259" t="str">
        <f t="shared" si="0"/>
        <v>EUR3F4Y_Quote</v>
      </c>
      <c r="J45" s="260" t="str">
        <f>_xll.qlSwapRateHelper2(,$I45,$C45,Calendar,$E45,$F45,$G45,$J$4,$H45,B45,Discounting,Permanent,,ObjectOverwrite)</f>
        <v>obj_007f8#0001</v>
      </c>
      <c r="K45" s="261" t="str">
        <f>_xll.ohRangeRetrieveError(J45)</f>
        <v/>
      </c>
      <c r="L45" s="119"/>
      <c r="N45" s="265"/>
    </row>
    <row r="46" spans="1:14" x14ac:dyDescent="0.2">
      <c r="A46" s="65"/>
      <c r="B46" s="97" t="s">
        <v>31</v>
      </c>
      <c r="C46" s="97" t="s">
        <v>29</v>
      </c>
      <c r="D46" s="97" t="str">
        <f t="shared" si="3"/>
        <v>3F</v>
      </c>
      <c r="E46" s="257" t="s">
        <v>161</v>
      </c>
      <c r="F46" s="257" t="s">
        <v>108</v>
      </c>
      <c r="G46" s="257" t="s">
        <v>120</v>
      </c>
      <c r="H46" s="258">
        <v>0</v>
      </c>
      <c r="I46" s="259" t="str">
        <f t="shared" si="0"/>
        <v>EUR3F5Y_Quote</v>
      </c>
      <c r="J46" s="260" t="str">
        <f>_xll.qlSwapRateHelper2(,$I46,$C46,Calendar,$E46,$F46,$G46,$J$4,$H46,B46,Discounting,Permanent,,ObjectOverwrite)</f>
        <v>obj_00800#0001</v>
      </c>
      <c r="K46" s="261" t="str">
        <f>_xll.ohRangeRetrieveError(J46)</f>
        <v/>
      </c>
      <c r="L46" s="119"/>
      <c r="N46" s="265"/>
    </row>
    <row r="47" spans="1:14" x14ac:dyDescent="0.2">
      <c r="A47" s="65"/>
      <c r="B47" s="97" t="s">
        <v>31</v>
      </c>
      <c r="C47" s="97" t="s">
        <v>28</v>
      </c>
      <c r="D47" s="97" t="str">
        <f t="shared" si="3"/>
        <v>3F</v>
      </c>
      <c r="E47" s="257" t="s">
        <v>161</v>
      </c>
      <c r="F47" s="257" t="s">
        <v>108</v>
      </c>
      <c r="G47" s="257" t="s">
        <v>120</v>
      </c>
      <c r="H47" s="258">
        <v>0</v>
      </c>
      <c r="I47" s="259" t="str">
        <f t="shared" si="0"/>
        <v>EUR3F6Y_Quote</v>
      </c>
      <c r="J47" s="260" t="str">
        <f>_xll.qlSwapRateHelper2(,$I47,$C47,Calendar,$E47,$F47,$G47,$J$4,$H47,B47,Discounting,Permanent,,ObjectOverwrite)</f>
        <v>obj_007c1#0001</v>
      </c>
      <c r="K47" s="261" t="str">
        <f>_xll.ohRangeRetrieveError(J47)</f>
        <v/>
      </c>
      <c r="L47" s="119"/>
      <c r="N47" s="265"/>
    </row>
    <row r="48" spans="1:14" x14ac:dyDescent="0.2">
      <c r="A48" s="65"/>
      <c r="B48" s="97" t="s">
        <v>31</v>
      </c>
      <c r="C48" s="97" t="s">
        <v>27</v>
      </c>
      <c r="D48" s="97" t="str">
        <f t="shared" si="3"/>
        <v>3F</v>
      </c>
      <c r="E48" s="257" t="s">
        <v>161</v>
      </c>
      <c r="F48" s="257" t="s">
        <v>108</v>
      </c>
      <c r="G48" s="257" t="s">
        <v>120</v>
      </c>
      <c r="H48" s="258">
        <v>0</v>
      </c>
      <c r="I48" s="259" t="str">
        <f t="shared" si="0"/>
        <v>EUR3F7Y_Quote</v>
      </c>
      <c r="J48" s="260" t="str">
        <f>_xll.qlSwapRateHelper2(,$I48,$C48,Calendar,$E48,$F48,$G48,$J$4,$H48,B48,Discounting,Permanent,,ObjectOverwrite)</f>
        <v>obj_00783#0001</v>
      </c>
      <c r="K48" s="261" t="str">
        <f>_xll.ohRangeRetrieveError(J48)</f>
        <v/>
      </c>
      <c r="L48" s="119"/>
      <c r="N48" s="265"/>
    </row>
    <row r="49" spans="1:14" x14ac:dyDescent="0.2">
      <c r="A49" s="65"/>
      <c r="B49" s="97" t="s">
        <v>31</v>
      </c>
      <c r="C49" s="97" t="s">
        <v>26</v>
      </c>
      <c r="D49" s="97" t="str">
        <f t="shared" si="3"/>
        <v>3F</v>
      </c>
      <c r="E49" s="257" t="s">
        <v>161</v>
      </c>
      <c r="F49" s="257" t="s">
        <v>108</v>
      </c>
      <c r="G49" s="257" t="s">
        <v>120</v>
      </c>
      <c r="H49" s="258">
        <v>0</v>
      </c>
      <c r="I49" s="259" t="str">
        <f t="shared" si="0"/>
        <v>EUR3F8Y_Quote</v>
      </c>
      <c r="J49" s="260" t="str">
        <f>_xll.qlSwapRateHelper2(,$I49,$C49,Calendar,$E49,$F49,$G49,$J$4,$H49,B49,Discounting,Permanent,,ObjectOverwrite)</f>
        <v>obj_007b9#0001</v>
      </c>
      <c r="K49" s="261" t="str">
        <f>_xll.ohRangeRetrieveError(J49)</f>
        <v/>
      </c>
      <c r="L49" s="119"/>
      <c r="N49" s="265"/>
    </row>
    <row r="50" spans="1:14" x14ac:dyDescent="0.2">
      <c r="A50" s="65"/>
      <c r="B50" s="97" t="s">
        <v>31</v>
      </c>
      <c r="C50" s="97" t="s">
        <v>25</v>
      </c>
      <c r="D50" s="97" t="str">
        <f t="shared" si="3"/>
        <v>3F</v>
      </c>
      <c r="E50" s="257" t="s">
        <v>161</v>
      </c>
      <c r="F50" s="257" t="s">
        <v>108</v>
      </c>
      <c r="G50" s="257" t="s">
        <v>120</v>
      </c>
      <c r="H50" s="258">
        <v>0</v>
      </c>
      <c r="I50" s="259" t="str">
        <f t="shared" si="0"/>
        <v>EUR3F9Y_Quote</v>
      </c>
      <c r="J50" s="260" t="str">
        <f>_xll.qlSwapRateHelper2(,$I50,$C50,Calendar,$E50,$F50,$G50,$J$4,$H50,B50,Discounting,Permanent,,ObjectOverwrite)</f>
        <v>obj_0084b#0001</v>
      </c>
      <c r="K50" s="261" t="str">
        <f>_xll.ohRangeRetrieveError(J50)</f>
        <v/>
      </c>
      <c r="L50" s="119"/>
      <c r="N50" s="265"/>
    </row>
    <row r="51" spans="1:14" x14ac:dyDescent="0.2">
      <c r="A51" s="65"/>
      <c r="B51" s="97" t="s">
        <v>31</v>
      </c>
      <c r="C51" s="97" t="s">
        <v>24</v>
      </c>
      <c r="D51" s="97" t="str">
        <f t="shared" si="3"/>
        <v>3F</v>
      </c>
      <c r="E51" s="257" t="s">
        <v>161</v>
      </c>
      <c r="F51" s="257" t="s">
        <v>108</v>
      </c>
      <c r="G51" s="257" t="s">
        <v>120</v>
      </c>
      <c r="H51" s="258">
        <v>0</v>
      </c>
      <c r="I51" s="259" t="str">
        <f t="shared" si="0"/>
        <v>EUR3F10Y_Quote</v>
      </c>
      <c r="J51" s="260" t="str">
        <f>_xll.qlSwapRateHelper2(,$I51,$C51,Calendar,$E51,$F51,$G51,$J$4,$H51,B51,Discounting,Permanent,,ObjectOverwrite)</f>
        <v>obj_007db#0001</v>
      </c>
      <c r="K51" s="261" t="str">
        <f>_xll.ohRangeRetrieveError(J51)</f>
        <v/>
      </c>
      <c r="L51" s="119"/>
      <c r="N51" s="265"/>
    </row>
    <row r="52" spans="1:14" x14ac:dyDescent="0.2">
      <c r="A52" s="65"/>
      <c r="B52" s="97" t="s">
        <v>31</v>
      </c>
      <c r="C52" s="97" t="s">
        <v>23</v>
      </c>
      <c r="D52" s="97" t="str">
        <f t="shared" si="3"/>
        <v>3F</v>
      </c>
      <c r="E52" s="257" t="s">
        <v>161</v>
      </c>
      <c r="F52" s="257" t="s">
        <v>108</v>
      </c>
      <c r="G52" s="257" t="s">
        <v>120</v>
      </c>
      <c r="H52" s="258">
        <v>0</v>
      </c>
      <c r="I52" s="259" t="str">
        <f t="shared" si="0"/>
        <v>EUR3F11Y_Quote</v>
      </c>
      <c r="J52" s="260" t="str">
        <f>_xll.qlSwapRateHelper2(,$I52,$C52,Calendar,$E52,$F52,$G52,$J$4,$H52,B52,Discounting,Permanent,,ObjectOverwrite)</f>
        <v>obj_00776#0001</v>
      </c>
      <c r="K52" s="261" t="str">
        <f>_xll.ohRangeRetrieveError(J52)</f>
        <v/>
      </c>
      <c r="L52" s="119"/>
      <c r="N52" s="265"/>
    </row>
    <row r="53" spans="1:14" x14ac:dyDescent="0.2">
      <c r="A53" s="65"/>
      <c r="B53" s="97" t="s">
        <v>31</v>
      </c>
      <c r="C53" s="97" t="s">
        <v>22</v>
      </c>
      <c r="D53" s="97" t="str">
        <f t="shared" si="3"/>
        <v>3F</v>
      </c>
      <c r="E53" s="257" t="s">
        <v>161</v>
      </c>
      <c r="F53" s="257" t="s">
        <v>108</v>
      </c>
      <c r="G53" s="257" t="s">
        <v>120</v>
      </c>
      <c r="H53" s="258">
        <v>0</v>
      </c>
      <c r="I53" s="259" t="str">
        <f t="shared" si="0"/>
        <v>EUR3F12Y_Quote</v>
      </c>
      <c r="J53" s="260" t="str">
        <f>_xll.qlSwapRateHelper2(,$I53,$C53,Calendar,$E53,$F53,$G53,$J$4,$H53,B53,Discounting,Permanent,,ObjectOverwrite)</f>
        <v>obj_00796#0001</v>
      </c>
      <c r="K53" s="261" t="str">
        <f>_xll.ohRangeRetrieveError(J53)</f>
        <v/>
      </c>
      <c r="L53" s="119"/>
      <c r="N53" s="265"/>
    </row>
    <row r="54" spans="1:14" x14ac:dyDescent="0.2">
      <c r="A54" s="65"/>
      <c r="B54" s="97" t="s">
        <v>31</v>
      </c>
      <c r="C54" s="97" t="s">
        <v>21</v>
      </c>
      <c r="D54" s="97" t="str">
        <f t="shared" si="3"/>
        <v>3F</v>
      </c>
      <c r="E54" s="257" t="s">
        <v>161</v>
      </c>
      <c r="F54" s="257" t="s">
        <v>108</v>
      </c>
      <c r="G54" s="257" t="s">
        <v>120</v>
      </c>
      <c r="H54" s="258">
        <v>0</v>
      </c>
      <c r="I54" s="259" t="str">
        <f t="shared" si="0"/>
        <v>EUR3F13Y_Quote</v>
      </c>
      <c r="J54" s="260" t="str">
        <f>_xll.qlSwapRateHelper2(,$I54,$C54,Calendar,$E54,$F54,$G54,$J$4,$H54,B54,Discounting,Permanent,,ObjectOverwrite)</f>
        <v>obj_00881#0001</v>
      </c>
      <c r="K54" s="261" t="str">
        <f>_xll.ohRangeRetrieveError(J54)</f>
        <v/>
      </c>
      <c r="L54" s="119"/>
      <c r="N54" s="265"/>
    </row>
    <row r="55" spans="1:14" x14ac:dyDescent="0.2">
      <c r="A55" s="65"/>
      <c r="B55" s="97" t="s">
        <v>31</v>
      </c>
      <c r="C55" s="97" t="s">
        <v>20</v>
      </c>
      <c r="D55" s="97" t="str">
        <f t="shared" si="3"/>
        <v>3F</v>
      </c>
      <c r="E55" s="257" t="s">
        <v>161</v>
      </c>
      <c r="F55" s="257" t="s">
        <v>108</v>
      </c>
      <c r="G55" s="257" t="s">
        <v>120</v>
      </c>
      <c r="H55" s="258">
        <v>0</v>
      </c>
      <c r="I55" s="259" t="str">
        <f t="shared" si="0"/>
        <v>EUR3F14Y_Quote</v>
      </c>
      <c r="J55" s="260" t="str">
        <f>_xll.qlSwapRateHelper2(,$I55,$C55,Calendar,$E55,$F55,$G55,$J$4,$H55,B55,Discounting,Permanent,,ObjectOverwrite)</f>
        <v>obj_00882#0001</v>
      </c>
      <c r="K55" s="261" t="str">
        <f>_xll.ohRangeRetrieveError(J55)</f>
        <v/>
      </c>
      <c r="L55" s="119"/>
      <c r="N55" s="265"/>
    </row>
    <row r="56" spans="1:14" x14ac:dyDescent="0.2">
      <c r="A56" s="65"/>
      <c r="B56" s="97" t="s">
        <v>31</v>
      </c>
      <c r="C56" s="97" t="s">
        <v>19</v>
      </c>
      <c r="D56" s="97" t="str">
        <f t="shared" si="3"/>
        <v>3F</v>
      </c>
      <c r="E56" s="257" t="s">
        <v>161</v>
      </c>
      <c r="F56" s="257" t="s">
        <v>108</v>
      </c>
      <c r="G56" s="257" t="s">
        <v>120</v>
      </c>
      <c r="H56" s="258">
        <v>0</v>
      </c>
      <c r="I56" s="259" t="str">
        <f t="shared" si="0"/>
        <v>EUR3F15Y_Quote</v>
      </c>
      <c r="J56" s="260" t="str">
        <f>_xll.qlSwapRateHelper2(,$I56,$C56,Calendar,$E56,$F56,$G56,$J$4,$H56,B56,Discounting,Permanent,,ObjectOverwrite)</f>
        <v>obj_0086f#0001</v>
      </c>
      <c r="K56" s="261" t="str">
        <f>_xll.ohRangeRetrieveError(J56)</f>
        <v/>
      </c>
      <c r="L56" s="119"/>
      <c r="N56" s="265"/>
    </row>
    <row r="57" spans="1:14" x14ac:dyDescent="0.2">
      <c r="A57" s="65"/>
      <c r="B57" s="97" t="s">
        <v>31</v>
      </c>
      <c r="C57" s="97" t="s">
        <v>14</v>
      </c>
      <c r="D57" s="97" t="str">
        <f t="shared" si="3"/>
        <v>3F</v>
      </c>
      <c r="E57" s="257" t="s">
        <v>161</v>
      </c>
      <c r="F57" s="257" t="s">
        <v>108</v>
      </c>
      <c r="G57" s="257" t="s">
        <v>120</v>
      </c>
      <c r="H57" s="258">
        <v>0</v>
      </c>
      <c r="I57" s="259" t="str">
        <f t="shared" si="0"/>
        <v>EUR3F20Y_Quote</v>
      </c>
      <c r="J57" s="260" t="str">
        <f>_xll.qlSwapRateHelper2(,$I57,$C57,Calendar,$E57,$F57,$G57,$J$4,$H57,B57,Discounting,Permanent,,ObjectOverwrite)</f>
        <v>obj_007fd#0001</v>
      </c>
      <c r="K57" s="261" t="str">
        <f>_xll.ohRangeRetrieveError(J57)</f>
        <v/>
      </c>
      <c r="L57" s="119"/>
      <c r="N57" s="265"/>
    </row>
    <row r="58" spans="1:14" x14ac:dyDescent="0.2">
      <c r="A58" s="65"/>
      <c r="B58" s="97" t="s">
        <v>31</v>
      </c>
      <c r="C58" s="97" t="s">
        <v>9</v>
      </c>
      <c r="D58" s="97" t="str">
        <f t="shared" si="3"/>
        <v>3F</v>
      </c>
      <c r="E58" s="257" t="s">
        <v>161</v>
      </c>
      <c r="F58" s="257" t="s">
        <v>108</v>
      </c>
      <c r="G58" s="257" t="s">
        <v>120</v>
      </c>
      <c r="H58" s="258">
        <v>0</v>
      </c>
      <c r="I58" s="259" t="str">
        <f t="shared" si="0"/>
        <v>EUR3F25Y_Quote</v>
      </c>
      <c r="J58" s="260" t="str">
        <f>_xll.qlSwapRateHelper2(,$I58,$C58,Calendar,$E58,$F58,$G58,$J$4,$H58,B58,Discounting,Permanent,,ObjectOverwrite)</f>
        <v>obj_00862#0001</v>
      </c>
      <c r="K58" s="261" t="str">
        <f>_xll.ohRangeRetrieveError(J58)</f>
        <v/>
      </c>
      <c r="L58" s="119"/>
      <c r="N58" s="265"/>
    </row>
    <row r="59" spans="1:14" x14ac:dyDescent="0.2">
      <c r="A59" s="65"/>
      <c r="B59" s="262" t="s">
        <v>31</v>
      </c>
      <c r="C59" s="262" t="s">
        <v>4</v>
      </c>
      <c r="D59" s="262" t="str">
        <f t="shared" si="3"/>
        <v>3F</v>
      </c>
      <c r="E59" s="122" t="s">
        <v>161</v>
      </c>
      <c r="F59" s="122" t="s">
        <v>108</v>
      </c>
      <c r="G59" s="122" t="s">
        <v>120</v>
      </c>
      <c r="H59" s="263">
        <v>0</v>
      </c>
      <c r="I59" s="121" t="str">
        <f t="shared" si="0"/>
        <v>EUR3F30Y_Quote</v>
      </c>
      <c r="J59" s="147" t="str">
        <f>_xll.qlSwapRateHelper2(,$I59,$C59,Calendar,$E59,$F59,$G59,$J$4,$H59,B59,Discounting,Permanent,,ObjectOverwrite)</f>
        <v>obj_0076f#0001</v>
      </c>
      <c r="K59" s="264" t="str">
        <f>_xll.ohRangeRetrieveError(J59)</f>
        <v/>
      </c>
      <c r="L59" s="119"/>
      <c r="N59" s="265"/>
    </row>
    <row r="60" spans="1:14" x14ac:dyDescent="0.2">
      <c r="A60" s="65"/>
      <c r="B60" s="102" t="s">
        <v>30</v>
      </c>
      <c r="C60" s="102" t="s">
        <v>36</v>
      </c>
      <c r="D60" s="102" t="str">
        <f>LEFT(B60,1)&amp;"F"</f>
        <v>4F</v>
      </c>
      <c r="E60" s="111" t="s">
        <v>161</v>
      </c>
      <c r="F60" s="111" t="s">
        <v>108</v>
      </c>
      <c r="G60" s="111" t="s">
        <v>120</v>
      </c>
      <c r="H60" s="253">
        <v>0</v>
      </c>
      <c r="I60" s="254" t="str">
        <f t="shared" si="0"/>
        <v>EUR4F1Y_Quote</v>
      </c>
      <c r="J60" s="255" t="str">
        <f>_xll.qlSwapRateHelper2(,$I60,$C60,Calendar,$E60,$F60,$G60,$J$4,$H60,B60,Discounting,Permanent,,ObjectOverwrite)</f>
        <v>obj_007a2#0001</v>
      </c>
      <c r="K60" s="256" t="str">
        <f>_xll.ohRangeRetrieveError(J60)</f>
        <v/>
      </c>
      <c r="L60" s="119"/>
      <c r="N60" s="265"/>
    </row>
    <row r="61" spans="1:14" x14ac:dyDescent="0.2">
      <c r="A61" s="65"/>
      <c r="B61" s="97" t="s">
        <v>30</v>
      </c>
      <c r="C61" s="97" t="s">
        <v>32</v>
      </c>
      <c r="D61" s="97" t="str">
        <f t="shared" ref="D61:D77" si="4">LEFT(B61,1)&amp;"F"</f>
        <v>4F</v>
      </c>
      <c r="E61" s="257" t="s">
        <v>161</v>
      </c>
      <c r="F61" s="257" t="s">
        <v>108</v>
      </c>
      <c r="G61" s="257" t="s">
        <v>120</v>
      </c>
      <c r="H61" s="258">
        <v>0</v>
      </c>
      <c r="I61" s="259" t="str">
        <f t="shared" si="0"/>
        <v>EUR4F2Y_Quote</v>
      </c>
      <c r="J61" s="260" t="str">
        <f>_xll.qlSwapRateHelper2(,$I61,$C61,Calendar,$E61,$F61,$G61,$J$4,$H61,B61,Discounting,Permanent,,ObjectOverwrite)</f>
        <v>obj_00885#0001</v>
      </c>
      <c r="K61" s="261" t="str">
        <f>_xll.ohRangeRetrieveError(J61)</f>
        <v/>
      </c>
      <c r="L61" s="119"/>
      <c r="N61" s="265"/>
    </row>
    <row r="62" spans="1:14" x14ac:dyDescent="0.2">
      <c r="A62" s="65"/>
      <c r="B62" s="97" t="s">
        <v>30</v>
      </c>
      <c r="C62" s="97" t="s">
        <v>31</v>
      </c>
      <c r="D62" s="97" t="str">
        <f t="shared" si="4"/>
        <v>4F</v>
      </c>
      <c r="E62" s="257" t="s">
        <v>161</v>
      </c>
      <c r="F62" s="257" t="s">
        <v>108</v>
      </c>
      <c r="G62" s="257" t="s">
        <v>120</v>
      </c>
      <c r="H62" s="258">
        <v>0</v>
      </c>
      <c r="I62" s="259" t="str">
        <f t="shared" si="0"/>
        <v>EUR4F3Y_Quote</v>
      </c>
      <c r="J62" s="260" t="str">
        <f>_xll.qlSwapRateHelper2(,$I62,$C62,Calendar,$E62,$F62,$G62,$J$4,$H62,B62,Discounting,Permanent,,ObjectOverwrite)</f>
        <v>obj_00861#0001</v>
      </c>
      <c r="K62" s="261" t="str">
        <f>_xll.ohRangeRetrieveError(J62)</f>
        <v/>
      </c>
      <c r="L62" s="119"/>
      <c r="N62" s="265"/>
    </row>
    <row r="63" spans="1:14" x14ac:dyDescent="0.2">
      <c r="A63" s="65"/>
      <c r="B63" s="97" t="s">
        <v>30</v>
      </c>
      <c r="C63" s="97" t="s">
        <v>30</v>
      </c>
      <c r="D63" s="97" t="str">
        <f t="shared" si="4"/>
        <v>4F</v>
      </c>
      <c r="E63" s="257" t="s">
        <v>161</v>
      </c>
      <c r="F63" s="257" t="s">
        <v>108</v>
      </c>
      <c r="G63" s="257" t="s">
        <v>120</v>
      </c>
      <c r="H63" s="258">
        <v>0</v>
      </c>
      <c r="I63" s="259" t="str">
        <f t="shared" si="0"/>
        <v>EUR4F4Y_Quote</v>
      </c>
      <c r="J63" s="260" t="str">
        <f>_xll.qlSwapRateHelper2(,$I63,$C63,Calendar,$E63,$F63,$G63,$J$4,$H63,B63,Discounting,Permanent,,ObjectOverwrite)</f>
        <v>obj_0075f#0001</v>
      </c>
      <c r="K63" s="261" t="str">
        <f>_xll.ohRangeRetrieveError(J63)</f>
        <v/>
      </c>
      <c r="L63" s="119"/>
      <c r="N63" s="265"/>
    </row>
    <row r="64" spans="1:14" x14ac:dyDescent="0.2">
      <c r="A64" s="65"/>
      <c r="B64" s="97" t="s">
        <v>30</v>
      </c>
      <c r="C64" s="97" t="s">
        <v>29</v>
      </c>
      <c r="D64" s="97" t="str">
        <f t="shared" si="4"/>
        <v>4F</v>
      </c>
      <c r="E64" s="257" t="s">
        <v>161</v>
      </c>
      <c r="F64" s="257" t="s">
        <v>108</v>
      </c>
      <c r="G64" s="257" t="s">
        <v>120</v>
      </c>
      <c r="H64" s="258">
        <v>0</v>
      </c>
      <c r="I64" s="259" t="str">
        <f t="shared" si="0"/>
        <v>EUR4F5Y_Quote</v>
      </c>
      <c r="J64" s="260" t="str">
        <f>_xll.qlSwapRateHelper2(,$I64,$C64,Calendar,$E64,$F64,$G64,$J$4,$H64,B64,Discounting,Permanent,,ObjectOverwrite)</f>
        <v>obj_007ce#0001</v>
      </c>
      <c r="K64" s="261" t="str">
        <f>_xll.ohRangeRetrieveError(J64)</f>
        <v/>
      </c>
      <c r="L64" s="119"/>
      <c r="N64" s="265"/>
    </row>
    <row r="65" spans="1:14" x14ac:dyDescent="0.2">
      <c r="A65" s="65"/>
      <c r="B65" s="97" t="s">
        <v>30</v>
      </c>
      <c r="C65" s="97" t="s">
        <v>28</v>
      </c>
      <c r="D65" s="97" t="str">
        <f t="shared" si="4"/>
        <v>4F</v>
      </c>
      <c r="E65" s="257" t="s">
        <v>161</v>
      </c>
      <c r="F65" s="257" t="s">
        <v>108</v>
      </c>
      <c r="G65" s="257" t="s">
        <v>120</v>
      </c>
      <c r="H65" s="258">
        <v>0</v>
      </c>
      <c r="I65" s="259" t="str">
        <f t="shared" si="0"/>
        <v>EUR4F6Y_Quote</v>
      </c>
      <c r="J65" s="260" t="str">
        <f>_xll.qlSwapRateHelper2(,$I65,$C65,Calendar,$E65,$F65,$G65,$J$4,$H65,B65,Discounting,Permanent,,ObjectOverwrite)</f>
        <v>obj_00757#0001</v>
      </c>
      <c r="K65" s="261" t="str">
        <f>_xll.ohRangeRetrieveError(J65)</f>
        <v/>
      </c>
      <c r="L65" s="119"/>
      <c r="N65" s="265"/>
    </row>
    <row r="66" spans="1:14" x14ac:dyDescent="0.2">
      <c r="A66" s="65"/>
      <c r="B66" s="97" t="s">
        <v>30</v>
      </c>
      <c r="C66" s="97" t="s">
        <v>27</v>
      </c>
      <c r="D66" s="97" t="str">
        <f t="shared" si="4"/>
        <v>4F</v>
      </c>
      <c r="E66" s="257" t="s">
        <v>161</v>
      </c>
      <c r="F66" s="257" t="s">
        <v>108</v>
      </c>
      <c r="G66" s="257" t="s">
        <v>120</v>
      </c>
      <c r="H66" s="258">
        <v>0</v>
      </c>
      <c r="I66" s="259" t="str">
        <f t="shared" si="0"/>
        <v>EUR4F7Y_Quote</v>
      </c>
      <c r="J66" s="260" t="str">
        <f>_xll.qlSwapRateHelper2(,$I66,$C66,Calendar,$E66,$F66,$G66,$J$4,$H66,B66,Discounting,Permanent,,ObjectOverwrite)</f>
        <v>obj_00798#0001</v>
      </c>
      <c r="K66" s="261" t="str">
        <f>_xll.ohRangeRetrieveError(J66)</f>
        <v/>
      </c>
      <c r="L66" s="119"/>
      <c r="N66" s="265"/>
    </row>
    <row r="67" spans="1:14" x14ac:dyDescent="0.2">
      <c r="A67" s="65"/>
      <c r="B67" s="97" t="s">
        <v>30</v>
      </c>
      <c r="C67" s="97" t="s">
        <v>26</v>
      </c>
      <c r="D67" s="97" t="str">
        <f t="shared" si="4"/>
        <v>4F</v>
      </c>
      <c r="E67" s="257" t="s">
        <v>161</v>
      </c>
      <c r="F67" s="257" t="s">
        <v>108</v>
      </c>
      <c r="G67" s="257" t="s">
        <v>120</v>
      </c>
      <c r="H67" s="258">
        <v>0</v>
      </c>
      <c r="I67" s="259" t="str">
        <f t="shared" si="0"/>
        <v>EUR4F8Y_Quote</v>
      </c>
      <c r="J67" s="260" t="str">
        <f>_xll.qlSwapRateHelper2(,$I67,$C67,Calendar,$E67,$F67,$G67,$J$4,$H67,B67,Discounting,Permanent,,ObjectOverwrite)</f>
        <v>obj_00880#0001</v>
      </c>
      <c r="K67" s="261" t="str">
        <f>_xll.ohRangeRetrieveError(J67)</f>
        <v/>
      </c>
      <c r="L67" s="119"/>
      <c r="N67" s="265"/>
    </row>
    <row r="68" spans="1:14" x14ac:dyDescent="0.2">
      <c r="A68" s="65"/>
      <c r="B68" s="97" t="s">
        <v>30</v>
      </c>
      <c r="C68" s="97" t="s">
        <v>25</v>
      </c>
      <c r="D68" s="97" t="str">
        <f t="shared" si="4"/>
        <v>4F</v>
      </c>
      <c r="E68" s="257" t="s">
        <v>161</v>
      </c>
      <c r="F68" s="257" t="s">
        <v>108</v>
      </c>
      <c r="G68" s="257" t="s">
        <v>120</v>
      </c>
      <c r="H68" s="258">
        <v>0</v>
      </c>
      <c r="I68" s="259" t="str">
        <f t="shared" si="0"/>
        <v>EUR4F9Y_Quote</v>
      </c>
      <c r="J68" s="260" t="str">
        <f>_xll.qlSwapRateHelper2(,$I68,$C68,Calendar,$E68,$F68,$G68,$J$4,$H68,B68,Discounting,Permanent,,ObjectOverwrite)</f>
        <v>obj_00871#0001</v>
      </c>
      <c r="K68" s="261" t="str">
        <f>_xll.ohRangeRetrieveError(J68)</f>
        <v/>
      </c>
      <c r="L68" s="119"/>
      <c r="N68" s="265"/>
    </row>
    <row r="69" spans="1:14" x14ac:dyDescent="0.2">
      <c r="A69" s="65"/>
      <c r="B69" s="97" t="s">
        <v>30</v>
      </c>
      <c r="C69" s="97" t="s">
        <v>24</v>
      </c>
      <c r="D69" s="97" t="str">
        <f t="shared" si="4"/>
        <v>4F</v>
      </c>
      <c r="E69" s="257" t="s">
        <v>161</v>
      </c>
      <c r="F69" s="257" t="s">
        <v>108</v>
      </c>
      <c r="G69" s="257" t="s">
        <v>120</v>
      </c>
      <c r="H69" s="258">
        <v>0</v>
      </c>
      <c r="I69" s="259" t="str">
        <f t="shared" si="0"/>
        <v>EUR4F10Y_Quote</v>
      </c>
      <c r="J69" s="260" t="str">
        <f>_xll.qlSwapRateHelper2(,$I69,$C69,Calendar,$E69,$F69,$G69,$J$4,$H69,B69,Discounting,Permanent,,ObjectOverwrite)</f>
        <v>obj_00839#0001</v>
      </c>
      <c r="K69" s="261" t="str">
        <f>_xll.ohRangeRetrieveError(J69)</f>
        <v/>
      </c>
      <c r="L69" s="119"/>
      <c r="N69" s="265"/>
    </row>
    <row r="70" spans="1:14" x14ac:dyDescent="0.2">
      <c r="A70" s="65"/>
      <c r="B70" s="97" t="s">
        <v>30</v>
      </c>
      <c r="C70" s="97" t="s">
        <v>23</v>
      </c>
      <c r="D70" s="97" t="str">
        <f t="shared" si="4"/>
        <v>4F</v>
      </c>
      <c r="E70" s="257" t="s">
        <v>161</v>
      </c>
      <c r="F70" s="257" t="s">
        <v>108</v>
      </c>
      <c r="G70" s="257" t="s">
        <v>120</v>
      </c>
      <c r="H70" s="258">
        <v>0</v>
      </c>
      <c r="I70" s="259" t="str">
        <f t="shared" ref="I70:I133" si="5">Currency&amp;$D70&amp;$C70&amp;QuoteSuffix</f>
        <v>EUR4F11Y_Quote</v>
      </c>
      <c r="J70" s="260" t="str">
        <f>_xll.qlSwapRateHelper2(,$I70,$C70,Calendar,$E70,$F70,$G70,$J$4,$H70,B70,Discounting,Permanent,,ObjectOverwrite)</f>
        <v>obj_0088a#0001</v>
      </c>
      <c r="K70" s="261" t="str">
        <f>_xll.ohRangeRetrieveError(J70)</f>
        <v/>
      </c>
      <c r="L70" s="119"/>
      <c r="N70" s="265"/>
    </row>
    <row r="71" spans="1:14" x14ac:dyDescent="0.2">
      <c r="A71" s="65"/>
      <c r="B71" s="97" t="s">
        <v>30</v>
      </c>
      <c r="C71" s="97" t="s">
        <v>22</v>
      </c>
      <c r="D71" s="97" t="str">
        <f t="shared" si="4"/>
        <v>4F</v>
      </c>
      <c r="E71" s="257" t="s">
        <v>161</v>
      </c>
      <c r="F71" s="257" t="s">
        <v>108</v>
      </c>
      <c r="G71" s="257" t="s">
        <v>120</v>
      </c>
      <c r="H71" s="258">
        <v>0</v>
      </c>
      <c r="I71" s="259" t="str">
        <f t="shared" si="5"/>
        <v>EUR4F12Y_Quote</v>
      </c>
      <c r="J71" s="260" t="str">
        <f>_xll.qlSwapRateHelper2(,$I71,$C71,Calendar,$E71,$F71,$G71,$J$4,$H71,B71,Discounting,Permanent,,ObjectOverwrite)</f>
        <v>obj_00838#0001</v>
      </c>
      <c r="K71" s="261" t="str">
        <f>_xll.ohRangeRetrieveError(J71)</f>
        <v/>
      </c>
      <c r="L71" s="119"/>
      <c r="N71" s="265"/>
    </row>
    <row r="72" spans="1:14" x14ac:dyDescent="0.2">
      <c r="A72" s="65"/>
      <c r="B72" s="97" t="s">
        <v>30</v>
      </c>
      <c r="C72" s="97" t="s">
        <v>21</v>
      </c>
      <c r="D72" s="97" t="str">
        <f t="shared" si="4"/>
        <v>4F</v>
      </c>
      <c r="E72" s="257" t="s">
        <v>161</v>
      </c>
      <c r="F72" s="257" t="s">
        <v>108</v>
      </c>
      <c r="G72" s="257" t="s">
        <v>120</v>
      </c>
      <c r="H72" s="258">
        <v>0</v>
      </c>
      <c r="I72" s="259" t="str">
        <f t="shared" si="5"/>
        <v>EUR4F13Y_Quote</v>
      </c>
      <c r="J72" s="260" t="str">
        <f>_xll.qlSwapRateHelper2(,$I72,$C72,Calendar,$E72,$F72,$G72,$J$4,$H72,B72,Discounting,Permanent,,ObjectOverwrite)</f>
        <v>obj_00873#0001</v>
      </c>
      <c r="K72" s="261" t="str">
        <f>_xll.ohRangeRetrieveError(J72)</f>
        <v/>
      </c>
      <c r="L72" s="119"/>
      <c r="N72" s="265"/>
    </row>
    <row r="73" spans="1:14" x14ac:dyDescent="0.2">
      <c r="A73" s="65"/>
      <c r="B73" s="97" t="s">
        <v>30</v>
      </c>
      <c r="C73" s="97" t="s">
        <v>20</v>
      </c>
      <c r="D73" s="97" t="str">
        <f t="shared" si="4"/>
        <v>4F</v>
      </c>
      <c r="E73" s="257" t="s">
        <v>161</v>
      </c>
      <c r="F73" s="257" t="s">
        <v>108</v>
      </c>
      <c r="G73" s="257" t="s">
        <v>120</v>
      </c>
      <c r="H73" s="258">
        <v>0</v>
      </c>
      <c r="I73" s="259" t="str">
        <f t="shared" si="5"/>
        <v>EUR4F14Y_Quote</v>
      </c>
      <c r="J73" s="260" t="str">
        <f>_xll.qlSwapRateHelper2(,$I73,$C73,Calendar,$E73,$F73,$G73,$J$4,$H73,B73,Discounting,Permanent,,ObjectOverwrite)</f>
        <v>obj_0080a#0001</v>
      </c>
      <c r="K73" s="261" t="str">
        <f>_xll.ohRangeRetrieveError(J73)</f>
        <v/>
      </c>
      <c r="L73" s="119"/>
      <c r="N73" s="265"/>
    </row>
    <row r="74" spans="1:14" x14ac:dyDescent="0.2">
      <c r="A74" s="65"/>
      <c r="B74" s="97" t="s">
        <v>30</v>
      </c>
      <c r="C74" s="97" t="s">
        <v>19</v>
      </c>
      <c r="D74" s="97" t="str">
        <f t="shared" si="4"/>
        <v>4F</v>
      </c>
      <c r="E74" s="257" t="s">
        <v>161</v>
      </c>
      <c r="F74" s="257" t="s">
        <v>108</v>
      </c>
      <c r="G74" s="257" t="s">
        <v>120</v>
      </c>
      <c r="H74" s="258">
        <v>0</v>
      </c>
      <c r="I74" s="259" t="str">
        <f t="shared" si="5"/>
        <v>EUR4F15Y_Quote</v>
      </c>
      <c r="J74" s="260" t="str">
        <f>_xll.qlSwapRateHelper2(,$I74,$C74,Calendar,$E74,$F74,$G74,$J$4,$H74,B74,Discounting,Permanent,,ObjectOverwrite)</f>
        <v>obj_0073d#0001</v>
      </c>
      <c r="K74" s="261" t="str">
        <f>_xll.ohRangeRetrieveError(J74)</f>
        <v/>
      </c>
      <c r="L74" s="119"/>
      <c r="N74" s="265"/>
    </row>
    <row r="75" spans="1:14" x14ac:dyDescent="0.2">
      <c r="A75" s="65"/>
      <c r="B75" s="97" t="s">
        <v>30</v>
      </c>
      <c r="C75" s="97" t="s">
        <v>14</v>
      </c>
      <c r="D75" s="97" t="str">
        <f t="shared" si="4"/>
        <v>4F</v>
      </c>
      <c r="E75" s="257" t="s">
        <v>161</v>
      </c>
      <c r="F75" s="257" t="s">
        <v>108</v>
      </c>
      <c r="G75" s="257" t="s">
        <v>120</v>
      </c>
      <c r="H75" s="258">
        <v>0</v>
      </c>
      <c r="I75" s="259" t="str">
        <f t="shared" si="5"/>
        <v>EUR4F20Y_Quote</v>
      </c>
      <c r="J75" s="260" t="str">
        <f>_xll.qlSwapRateHelper2(,$I75,$C75,Calendar,$E75,$F75,$G75,$J$4,$H75,B75,Discounting,Permanent,,ObjectOverwrite)</f>
        <v>obj_007f7#0001</v>
      </c>
      <c r="K75" s="261" t="str">
        <f>_xll.ohRangeRetrieveError(J75)</f>
        <v/>
      </c>
      <c r="L75" s="119"/>
      <c r="N75" s="265"/>
    </row>
    <row r="76" spans="1:14" x14ac:dyDescent="0.2">
      <c r="A76" s="65"/>
      <c r="B76" s="97" t="s">
        <v>30</v>
      </c>
      <c r="C76" s="97" t="s">
        <v>9</v>
      </c>
      <c r="D76" s="97" t="str">
        <f t="shared" si="4"/>
        <v>4F</v>
      </c>
      <c r="E76" s="257" t="s">
        <v>161</v>
      </c>
      <c r="F76" s="257" t="s">
        <v>108</v>
      </c>
      <c r="G76" s="257" t="s">
        <v>120</v>
      </c>
      <c r="H76" s="258">
        <v>0</v>
      </c>
      <c r="I76" s="259" t="str">
        <f t="shared" si="5"/>
        <v>EUR4F25Y_Quote</v>
      </c>
      <c r="J76" s="260" t="str">
        <f>_xll.qlSwapRateHelper2(,$I76,$C76,Calendar,$E76,$F76,$G76,$J$4,$H76,B76,Discounting,Permanent,,ObjectOverwrite)</f>
        <v>obj_007f5#0001</v>
      </c>
      <c r="K76" s="261" t="str">
        <f>_xll.ohRangeRetrieveError(J76)</f>
        <v/>
      </c>
      <c r="L76" s="119"/>
      <c r="N76" s="265"/>
    </row>
    <row r="77" spans="1:14" x14ac:dyDescent="0.2">
      <c r="A77" s="65"/>
      <c r="B77" s="262" t="s">
        <v>30</v>
      </c>
      <c r="C77" s="262" t="s">
        <v>4</v>
      </c>
      <c r="D77" s="262" t="str">
        <f t="shared" si="4"/>
        <v>4F</v>
      </c>
      <c r="E77" s="122" t="s">
        <v>161</v>
      </c>
      <c r="F77" s="122" t="s">
        <v>108</v>
      </c>
      <c r="G77" s="122" t="s">
        <v>120</v>
      </c>
      <c r="H77" s="263">
        <v>0</v>
      </c>
      <c r="I77" s="121" t="str">
        <f t="shared" si="5"/>
        <v>EUR4F30Y_Quote</v>
      </c>
      <c r="J77" s="147" t="str">
        <f>_xll.qlSwapRateHelper2(,$I77,$C77,Calendar,$E77,$F77,$G77,$J$4,$H77,B77,Discounting,Permanent,,ObjectOverwrite)</f>
        <v>obj_00750#0001</v>
      </c>
      <c r="K77" s="264" t="str">
        <f>_xll.ohRangeRetrieveError(J77)</f>
        <v/>
      </c>
      <c r="L77" s="119"/>
      <c r="N77" s="265"/>
    </row>
    <row r="78" spans="1:14" x14ac:dyDescent="0.2">
      <c r="A78" s="65"/>
      <c r="B78" s="102" t="s">
        <v>29</v>
      </c>
      <c r="C78" s="102" t="s">
        <v>36</v>
      </c>
      <c r="D78" s="102" t="str">
        <f>LEFT(B78,1)&amp;"F"</f>
        <v>5F</v>
      </c>
      <c r="E78" s="111" t="s">
        <v>161</v>
      </c>
      <c r="F78" s="111" t="s">
        <v>108</v>
      </c>
      <c r="G78" s="111" t="s">
        <v>120</v>
      </c>
      <c r="H78" s="253">
        <v>0</v>
      </c>
      <c r="I78" s="254" t="str">
        <f t="shared" si="5"/>
        <v>EUR5F1Y_Quote</v>
      </c>
      <c r="J78" s="255" t="str">
        <f>_xll.qlSwapRateHelper2(,$I78,$C78,Calendar,$E78,$F78,$G78,$J$4,$H78,B78,Discounting,Permanent,,ObjectOverwrite)</f>
        <v>obj_0085a#0001</v>
      </c>
      <c r="K78" s="256" t="str">
        <f>_xll.ohRangeRetrieveError(J78)</f>
        <v/>
      </c>
      <c r="L78" s="119"/>
      <c r="N78" s="265"/>
    </row>
    <row r="79" spans="1:14" x14ac:dyDescent="0.2">
      <c r="A79" s="65"/>
      <c r="B79" s="97" t="s">
        <v>29</v>
      </c>
      <c r="C79" s="97" t="s">
        <v>32</v>
      </c>
      <c r="D79" s="97" t="str">
        <f t="shared" ref="D79:D95" si="6">LEFT(B79,1)&amp;"F"</f>
        <v>5F</v>
      </c>
      <c r="E79" s="257" t="s">
        <v>161</v>
      </c>
      <c r="F79" s="257" t="s">
        <v>108</v>
      </c>
      <c r="G79" s="257" t="s">
        <v>120</v>
      </c>
      <c r="H79" s="258">
        <v>0</v>
      </c>
      <c r="I79" s="259" t="str">
        <f t="shared" si="5"/>
        <v>EUR5F2Y_Quote</v>
      </c>
      <c r="J79" s="260" t="str">
        <f>_xll.qlSwapRateHelper2(,$I79,$C79,Calendar,$E79,$F79,$G79,$J$4,$H79,B79,Discounting,Permanent,,ObjectOverwrite)</f>
        <v>obj_00820#0001</v>
      </c>
      <c r="K79" s="261" t="str">
        <f>_xll.ohRangeRetrieveError(J79)</f>
        <v/>
      </c>
      <c r="L79" s="119"/>
      <c r="N79" s="265"/>
    </row>
    <row r="80" spans="1:14" x14ac:dyDescent="0.2">
      <c r="A80" s="65"/>
      <c r="B80" s="97" t="s">
        <v>29</v>
      </c>
      <c r="C80" s="97" t="s">
        <v>31</v>
      </c>
      <c r="D80" s="97" t="str">
        <f t="shared" si="6"/>
        <v>5F</v>
      </c>
      <c r="E80" s="257" t="s">
        <v>161</v>
      </c>
      <c r="F80" s="257" t="s">
        <v>108</v>
      </c>
      <c r="G80" s="257" t="s">
        <v>120</v>
      </c>
      <c r="H80" s="258">
        <v>0</v>
      </c>
      <c r="I80" s="259" t="str">
        <f t="shared" si="5"/>
        <v>EUR5F3Y_Quote</v>
      </c>
      <c r="J80" s="260" t="str">
        <f>_xll.qlSwapRateHelper2(,$I80,$C80,Calendar,$E80,$F80,$G80,$J$4,$H80,B80,Discounting,Permanent,,ObjectOverwrite)</f>
        <v>obj_007d1#0001</v>
      </c>
      <c r="K80" s="261" t="str">
        <f>_xll.ohRangeRetrieveError(J80)</f>
        <v/>
      </c>
      <c r="L80" s="119"/>
      <c r="N80" s="265"/>
    </row>
    <row r="81" spans="1:14" x14ac:dyDescent="0.2">
      <c r="A81" s="65"/>
      <c r="B81" s="97" t="s">
        <v>29</v>
      </c>
      <c r="C81" s="97" t="s">
        <v>30</v>
      </c>
      <c r="D81" s="97" t="str">
        <f t="shared" si="6"/>
        <v>5F</v>
      </c>
      <c r="E81" s="257" t="s">
        <v>161</v>
      </c>
      <c r="F81" s="257" t="s">
        <v>108</v>
      </c>
      <c r="G81" s="257" t="s">
        <v>120</v>
      </c>
      <c r="H81" s="258">
        <v>0</v>
      </c>
      <c r="I81" s="259" t="str">
        <f t="shared" si="5"/>
        <v>EUR5F4Y_Quote</v>
      </c>
      <c r="J81" s="260" t="str">
        <f>_xll.qlSwapRateHelper2(,$I81,$C81,Calendar,$E81,$F81,$G81,$J$4,$H81,B81,Discounting,Permanent,,ObjectOverwrite)</f>
        <v>obj_007e3#0001</v>
      </c>
      <c r="K81" s="261" t="str">
        <f>_xll.ohRangeRetrieveError(J81)</f>
        <v/>
      </c>
      <c r="L81" s="119"/>
      <c r="N81" s="265"/>
    </row>
    <row r="82" spans="1:14" x14ac:dyDescent="0.2">
      <c r="A82" s="65"/>
      <c r="B82" s="97" t="s">
        <v>29</v>
      </c>
      <c r="C82" s="97" t="s">
        <v>29</v>
      </c>
      <c r="D82" s="97" t="str">
        <f t="shared" si="6"/>
        <v>5F</v>
      </c>
      <c r="E82" s="257" t="s">
        <v>161</v>
      </c>
      <c r="F82" s="257" t="s">
        <v>108</v>
      </c>
      <c r="G82" s="257" t="s">
        <v>120</v>
      </c>
      <c r="H82" s="258">
        <v>0</v>
      </c>
      <c r="I82" s="259" t="str">
        <f t="shared" si="5"/>
        <v>EUR5F5Y_Quote</v>
      </c>
      <c r="J82" s="260" t="str">
        <f>_xll.qlSwapRateHelper2(,$I82,$C82,Calendar,$E82,$F82,$G82,$J$4,$H82,B82,Discounting,Permanent,,ObjectOverwrite)</f>
        <v>obj_00868#0001</v>
      </c>
      <c r="K82" s="261" t="str">
        <f>_xll.ohRangeRetrieveError(J82)</f>
        <v/>
      </c>
      <c r="L82" s="119"/>
      <c r="N82" s="265"/>
    </row>
    <row r="83" spans="1:14" x14ac:dyDescent="0.2">
      <c r="A83" s="65"/>
      <c r="B83" s="97" t="s">
        <v>29</v>
      </c>
      <c r="C83" s="97" t="s">
        <v>28</v>
      </c>
      <c r="D83" s="97" t="str">
        <f t="shared" si="6"/>
        <v>5F</v>
      </c>
      <c r="E83" s="257" t="s">
        <v>161</v>
      </c>
      <c r="F83" s="257" t="s">
        <v>108</v>
      </c>
      <c r="G83" s="257" t="s">
        <v>120</v>
      </c>
      <c r="H83" s="258">
        <v>0</v>
      </c>
      <c r="I83" s="259" t="str">
        <f t="shared" si="5"/>
        <v>EUR5F6Y_Quote</v>
      </c>
      <c r="J83" s="260" t="str">
        <f>_xll.qlSwapRateHelper2(,$I83,$C83,Calendar,$E83,$F83,$G83,$J$4,$H83,B83,Discounting,Permanent,,ObjectOverwrite)</f>
        <v>obj_00809#0001</v>
      </c>
      <c r="K83" s="261" t="str">
        <f>_xll.ohRangeRetrieveError(J83)</f>
        <v/>
      </c>
      <c r="L83" s="119"/>
      <c r="N83" s="265"/>
    </row>
    <row r="84" spans="1:14" x14ac:dyDescent="0.2">
      <c r="A84" s="65"/>
      <c r="B84" s="97" t="s">
        <v>29</v>
      </c>
      <c r="C84" s="97" t="s">
        <v>27</v>
      </c>
      <c r="D84" s="97" t="str">
        <f t="shared" si="6"/>
        <v>5F</v>
      </c>
      <c r="E84" s="257" t="s">
        <v>161</v>
      </c>
      <c r="F84" s="257" t="s">
        <v>108</v>
      </c>
      <c r="G84" s="257" t="s">
        <v>120</v>
      </c>
      <c r="H84" s="258">
        <v>0</v>
      </c>
      <c r="I84" s="259" t="str">
        <f t="shared" si="5"/>
        <v>EUR5F7Y_Quote</v>
      </c>
      <c r="J84" s="260" t="str">
        <f>_xll.qlSwapRateHelper2(,$I84,$C84,Calendar,$E84,$F84,$G84,$J$4,$H84,B84,Discounting,Permanent,,ObjectOverwrite)</f>
        <v>obj_007bc#0001</v>
      </c>
      <c r="K84" s="261" t="str">
        <f>_xll.ohRangeRetrieveError(J84)</f>
        <v/>
      </c>
      <c r="L84" s="119"/>
      <c r="N84" s="265"/>
    </row>
    <row r="85" spans="1:14" x14ac:dyDescent="0.2">
      <c r="A85" s="65"/>
      <c r="B85" s="97" t="s">
        <v>29</v>
      </c>
      <c r="C85" s="97" t="s">
        <v>26</v>
      </c>
      <c r="D85" s="97" t="str">
        <f t="shared" si="6"/>
        <v>5F</v>
      </c>
      <c r="E85" s="257" t="s">
        <v>161</v>
      </c>
      <c r="F85" s="257" t="s">
        <v>108</v>
      </c>
      <c r="G85" s="257" t="s">
        <v>120</v>
      </c>
      <c r="H85" s="258">
        <v>0</v>
      </c>
      <c r="I85" s="259" t="str">
        <f t="shared" si="5"/>
        <v>EUR5F8Y_Quote</v>
      </c>
      <c r="J85" s="260" t="str">
        <f>_xll.qlSwapRateHelper2(,$I85,$C85,Calendar,$E85,$F85,$G85,$J$4,$H85,B85,Discounting,Permanent,,ObjectOverwrite)</f>
        <v>obj_00805#0001</v>
      </c>
      <c r="K85" s="261" t="str">
        <f>_xll.ohRangeRetrieveError(J85)</f>
        <v/>
      </c>
      <c r="L85" s="119"/>
      <c r="N85" s="265"/>
    </row>
    <row r="86" spans="1:14" x14ac:dyDescent="0.2">
      <c r="A86" s="65"/>
      <c r="B86" s="97" t="s">
        <v>29</v>
      </c>
      <c r="C86" s="97" t="s">
        <v>25</v>
      </c>
      <c r="D86" s="97" t="str">
        <f t="shared" si="6"/>
        <v>5F</v>
      </c>
      <c r="E86" s="257" t="s">
        <v>161</v>
      </c>
      <c r="F86" s="257" t="s">
        <v>108</v>
      </c>
      <c r="G86" s="257" t="s">
        <v>120</v>
      </c>
      <c r="H86" s="258">
        <v>0</v>
      </c>
      <c r="I86" s="259" t="str">
        <f t="shared" si="5"/>
        <v>EUR5F9Y_Quote</v>
      </c>
      <c r="J86" s="260" t="str">
        <f>_xll.qlSwapRateHelper2(,$I86,$C86,Calendar,$E86,$F86,$G86,$J$4,$H86,B86,Discounting,Permanent,,ObjectOverwrite)</f>
        <v>obj_0078d#0001</v>
      </c>
      <c r="K86" s="261" t="str">
        <f>_xll.ohRangeRetrieveError(J86)</f>
        <v/>
      </c>
      <c r="L86" s="119"/>
      <c r="N86" s="265"/>
    </row>
    <row r="87" spans="1:14" x14ac:dyDescent="0.2">
      <c r="A87" s="65"/>
      <c r="B87" s="97" t="s">
        <v>29</v>
      </c>
      <c r="C87" s="97" t="s">
        <v>24</v>
      </c>
      <c r="D87" s="97" t="str">
        <f t="shared" si="6"/>
        <v>5F</v>
      </c>
      <c r="E87" s="257" t="s">
        <v>161</v>
      </c>
      <c r="F87" s="257" t="s">
        <v>108</v>
      </c>
      <c r="G87" s="257" t="s">
        <v>120</v>
      </c>
      <c r="H87" s="258">
        <v>0</v>
      </c>
      <c r="I87" s="259" t="str">
        <f t="shared" si="5"/>
        <v>EUR5F10Y_Quote</v>
      </c>
      <c r="J87" s="260" t="str">
        <f>_xll.qlSwapRateHelper2(,$I87,$C87,Calendar,$E87,$F87,$G87,$J$4,$H87,B87,Discounting,Permanent,,ObjectOverwrite)</f>
        <v>obj_0083e#0001</v>
      </c>
      <c r="K87" s="261" t="str">
        <f>_xll.ohRangeRetrieveError(J87)</f>
        <v/>
      </c>
      <c r="L87" s="119"/>
      <c r="N87" s="265"/>
    </row>
    <row r="88" spans="1:14" x14ac:dyDescent="0.2">
      <c r="A88" s="65"/>
      <c r="B88" s="97" t="s">
        <v>29</v>
      </c>
      <c r="C88" s="97" t="s">
        <v>23</v>
      </c>
      <c r="D88" s="97" t="str">
        <f t="shared" si="6"/>
        <v>5F</v>
      </c>
      <c r="E88" s="257" t="s">
        <v>161</v>
      </c>
      <c r="F88" s="257" t="s">
        <v>108</v>
      </c>
      <c r="G88" s="257" t="s">
        <v>120</v>
      </c>
      <c r="H88" s="258">
        <v>0</v>
      </c>
      <c r="I88" s="259" t="str">
        <f t="shared" si="5"/>
        <v>EUR5F11Y_Quote</v>
      </c>
      <c r="J88" s="260" t="str">
        <f>_xll.qlSwapRateHelper2(,$I88,$C88,Calendar,$E88,$F88,$G88,$J$4,$H88,B88,Discounting,Permanent,,ObjectOverwrite)</f>
        <v>obj_007c9#0001</v>
      </c>
      <c r="K88" s="261" t="str">
        <f>_xll.ohRangeRetrieveError(J88)</f>
        <v/>
      </c>
      <c r="L88" s="119"/>
      <c r="N88" s="265"/>
    </row>
    <row r="89" spans="1:14" x14ac:dyDescent="0.2">
      <c r="A89" s="65"/>
      <c r="B89" s="97" t="s">
        <v>29</v>
      </c>
      <c r="C89" s="97" t="s">
        <v>22</v>
      </c>
      <c r="D89" s="97" t="str">
        <f t="shared" si="6"/>
        <v>5F</v>
      </c>
      <c r="E89" s="257" t="s">
        <v>161</v>
      </c>
      <c r="F89" s="257" t="s">
        <v>108</v>
      </c>
      <c r="G89" s="257" t="s">
        <v>120</v>
      </c>
      <c r="H89" s="258">
        <v>0</v>
      </c>
      <c r="I89" s="259" t="str">
        <f t="shared" si="5"/>
        <v>EUR5F12Y_Quote</v>
      </c>
      <c r="J89" s="260" t="str">
        <f>_xll.qlSwapRateHelper2(,$I89,$C89,Calendar,$E89,$F89,$G89,$J$4,$H89,B89,Discounting,Permanent,,ObjectOverwrite)</f>
        <v>obj_00799#0001</v>
      </c>
      <c r="K89" s="261" t="str">
        <f>_xll.ohRangeRetrieveError(J89)</f>
        <v/>
      </c>
      <c r="L89" s="119"/>
      <c r="N89" s="265"/>
    </row>
    <row r="90" spans="1:14" x14ac:dyDescent="0.2">
      <c r="A90" s="65"/>
      <c r="B90" s="97" t="s">
        <v>29</v>
      </c>
      <c r="C90" s="97" t="s">
        <v>21</v>
      </c>
      <c r="D90" s="97" t="str">
        <f t="shared" si="6"/>
        <v>5F</v>
      </c>
      <c r="E90" s="257" t="s">
        <v>161</v>
      </c>
      <c r="F90" s="257" t="s">
        <v>108</v>
      </c>
      <c r="G90" s="257" t="s">
        <v>120</v>
      </c>
      <c r="H90" s="258">
        <v>0</v>
      </c>
      <c r="I90" s="259" t="str">
        <f t="shared" si="5"/>
        <v>EUR5F13Y_Quote</v>
      </c>
      <c r="J90" s="260" t="str">
        <f>_xll.qlSwapRateHelper2(,$I90,$C90,Calendar,$E90,$F90,$G90,$J$4,$H90,B90,Discounting,Permanent,,ObjectOverwrite)</f>
        <v>obj_007dc#0001</v>
      </c>
      <c r="K90" s="261" t="str">
        <f>_xll.ohRangeRetrieveError(J90)</f>
        <v/>
      </c>
      <c r="L90" s="119"/>
      <c r="N90" s="265"/>
    </row>
    <row r="91" spans="1:14" x14ac:dyDescent="0.2">
      <c r="A91" s="65"/>
      <c r="B91" s="97" t="s">
        <v>29</v>
      </c>
      <c r="C91" s="97" t="s">
        <v>20</v>
      </c>
      <c r="D91" s="97" t="str">
        <f t="shared" si="6"/>
        <v>5F</v>
      </c>
      <c r="E91" s="257" t="s">
        <v>161</v>
      </c>
      <c r="F91" s="257" t="s">
        <v>108</v>
      </c>
      <c r="G91" s="257" t="s">
        <v>120</v>
      </c>
      <c r="H91" s="258">
        <v>0</v>
      </c>
      <c r="I91" s="259" t="str">
        <f t="shared" si="5"/>
        <v>EUR5F14Y_Quote</v>
      </c>
      <c r="J91" s="260" t="str">
        <f>_xll.qlSwapRateHelper2(,$I91,$C91,Calendar,$E91,$F91,$G91,$J$4,$H91,B91,Discounting,Permanent,,ObjectOverwrite)</f>
        <v>obj_00824#0001</v>
      </c>
      <c r="K91" s="261" t="str">
        <f>_xll.ohRangeRetrieveError(J91)</f>
        <v/>
      </c>
      <c r="L91" s="119"/>
      <c r="N91" s="265"/>
    </row>
    <row r="92" spans="1:14" x14ac:dyDescent="0.2">
      <c r="A92" s="65"/>
      <c r="B92" s="97" t="s">
        <v>29</v>
      </c>
      <c r="C92" s="97" t="s">
        <v>19</v>
      </c>
      <c r="D92" s="97" t="str">
        <f t="shared" si="6"/>
        <v>5F</v>
      </c>
      <c r="E92" s="257" t="s">
        <v>161</v>
      </c>
      <c r="F92" s="257" t="s">
        <v>108</v>
      </c>
      <c r="G92" s="257" t="s">
        <v>120</v>
      </c>
      <c r="H92" s="258">
        <v>0</v>
      </c>
      <c r="I92" s="259" t="str">
        <f t="shared" si="5"/>
        <v>EUR5F15Y_Quote</v>
      </c>
      <c r="J92" s="260" t="str">
        <f>_xll.qlSwapRateHelper2(,$I92,$C92,Calendar,$E92,$F92,$G92,$J$4,$H92,B92,Discounting,Permanent,,ObjectOverwrite)</f>
        <v>obj_00755#0001</v>
      </c>
      <c r="K92" s="261" t="str">
        <f>_xll.ohRangeRetrieveError(J92)</f>
        <v/>
      </c>
      <c r="L92" s="119"/>
      <c r="N92" s="265"/>
    </row>
    <row r="93" spans="1:14" x14ac:dyDescent="0.2">
      <c r="A93" s="65"/>
      <c r="B93" s="97" t="s">
        <v>29</v>
      </c>
      <c r="C93" s="97" t="s">
        <v>14</v>
      </c>
      <c r="D93" s="97" t="str">
        <f t="shared" si="6"/>
        <v>5F</v>
      </c>
      <c r="E93" s="257" t="s">
        <v>161</v>
      </c>
      <c r="F93" s="257" t="s">
        <v>108</v>
      </c>
      <c r="G93" s="257" t="s">
        <v>120</v>
      </c>
      <c r="H93" s="258">
        <v>0</v>
      </c>
      <c r="I93" s="259" t="str">
        <f t="shared" si="5"/>
        <v>EUR5F20Y_Quote</v>
      </c>
      <c r="J93" s="260" t="str">
        <f>_xll.qlSwapRateHelper2(,$I93,$C93,Calendar,$E93,$F93,$G93,$J$4,$H93,B93,Discounting,Permanent,,ObjectOverwrite)</f>
        <v>obj_007b1#0001</v>
      </c>
      <c r="K93" s="261" t="str">
        <f>_xll.ohRangeRetrieveError(J93)</f>
        <v/>
      </c>
      <c r="L93" s="119"/>
      <c r="N93" s="265"/>
    </row>
    <row r="94" spans="1:14" x14ac:dyDescent="0.2">
      <c r="A94" s="65"/>
      <c r="B94" s="97" t="s">
        <v>29</v>
      </c>
      <c r="C94" s="97" t="s">
        <v>9</v>
      </c>
      <c r="D94" s="97" t="str">
        <f t="shared" si="6"/>
        <v>5F</v>
      </c>
      <c r="E94" s="257" t="s">
        <v>161</v>
      </c>
      <c r="F94" s="257" t="s">
        <v>108</v>
      </c>
      <c r="G94" s="257" t="s">
        <v>120</v>
      </c>
      <c r="H94" s="258">
        <v>0</v>
      </c>
      <c r="I94" s="259" t="str">
        <f t="shared" si="5"/>
        <v>EUR5F25Y_Quote</v>
      </c>
      <c r="J94" s="260" t="str">
        <f>_xll.qlSwapRateHelper2(,$I94,$C94,Calendar,$E94,$F94,$G94,$J$4,$H94,B94,Discounting,Permanent,,ObjectOverwrite)</f>
        <v>obj_00801#0001</v>
      </c>
      <c r="K94" s="261" t="str">
        <f>_xll.ohRangeRetrieveError(J94)</f>
        <v/>
      </c>
      <c r="L94" s="119"/>
      <c r="N94" s="265"/>
    </row>
    <row r="95" spans="1:14" x14ac:dyDescent="0.2">
      <c r="A95" s="65"/>
      <c r="B95" s="262" t="s">
        <v>29</v>
      </c>
      <c r="C95" s="262" t="s">
        <v>4</v>
      </c>
      <c r="D95" s="262" t="str">
        <f t="shared" si="6"/>
        <v>5F</v>
      </c>
      <c r="E95" s="122" t="s">
        <v>161</v>
      </c>
      <c r="F95" s="122" t="s">
        <v>108</v>
      </c>
      <c r="G95" s="122" t="s">
        <v>120</v>
      </c>
      <c r="H95" s="263">
        <v>0</v>
      </c>
      <c r="I95" s="121" t="str">
        <f t="shared" si="5"/>
        <v>EUR5F30Y_Quote</v>
      </c>
      <c r="J95" s="147" t="str">
        <f>_xll.qlSwapRateHelper2(,$I95,$C95,Calendar,$E95,$F95,$G95,$J$4,$H95,B95,Discounting,Permanent,,ObjectOverwrite)</f>
        <v>obj_0074c#0001</v>
      </c>
      <c r="K95" s="264" t="str">
        <f>_xll.ohRangeRetrieveError(J95)</f>
        <v/>
      </c>
      <c r="L95" s="119"/>
      <c r="N95" s="265"/>
    </row>
    <row r="96" spans="1:14" x14ac:dyDescent="0.2">
      <c r="A96" s="65"/>
      <c r="B96" s="102" t="s">
        <v>28</v>
      </c>
      <c r="C96" s="102" t="s">
        <v>36</v>
      </c>
      <c r="D96" s="102" t="str">
        <f>LEFT(B96,1)&amp;"F"</f>
        <v>6F</v>
      </c>
      <c r="E96" s="111" t="s">
        <v>161</v>
      </c>
      <c r="F96" s="111" t="s">
        <v>108</v>
      </c>
      <c r="G96" s="111" t="s">
        <v>120</v>
      </c>
      <c r="H96" s="253">
        <v>0</v>
      </c>
      <c r="I96" s="254" t="str">
        <f t="shared" si="5"/>
        <v>EUR6F1Y_Quote</v>
      </c>
      <c r="J96" s="255" t="str">
        <f>_xll.qlSwapRateHelper2(,$I96,$C96,Calendar,$E96,$F96,$G96,$J$4,$H96,B96,Discounting,Permanent,,ObjectOverwrite)</f>
        <v>obj_007f1#0001</v>
      </c>
      <c r="K96" s="256" t="str">
        <f>_xll.ohRangeRetrieveError(J96)</f>
        <v/>
      </c>
      <c r="L96" s="119"/>
      <c r="N96" s="265"/>
    </row>
    <row r="97" spans="1:14" x14ac:dyDescent="0.2">
      <c r="A97" s="65"/>
      <c r="B97" s="97" t="s">
        <v>28</v>
      </c>
      <c r="C97" s="97" t="s">
        <v>32</v>
      </c>
      <c r="D97" s="97" t="str">
        <f t="shared" ref="D97:D113" si="7">LEFT(B97,1)&amp;"F"</f>
        <v>6F</v>
      </c>
      <c r="E97" s="257" t="s">
        <v>161</v>
      </c>
      <c r="F97" s="257" t="s">
        <v>108</v>
      </c>
      <c r="G97" s="257" t="s">
        <v>120</v>
      </c>
      <c r="H97" s="258">
        <v>0</v>
      </c>
      <c r="I97" s="259" t="str">
        <f t="shared" si="5"/>
        <v>EUR6F2Y_Quote</v>
      </c>
      <c r="J97" s="260" t="str">
        <f>_xll.qlSwapRateHelper2(,$I97,$C97,Calendar,$E97,$F97,$G97,$J$4,$H97,B97,Discounting,Permanent,,ObjectOverwrite)</f>
        <v>obj_007cb#0001</v>
      </c>
      <c r="K97" s="261" t="str">
        <f>_xll.ohRangeRetrieveError(J97)</f>
        <v/>
      </c>
      <c r="L97" s="119"/>
      <c r="N97" s="265"/>
    </row>
    <row r="98" spans="1:14" x14ac:dyDescent="0.2">
      <c r="A98" s="65"/>
      <c r="B98" s="97" t="s">
        <v>28</v>
      </c>
      <c r="C98" s="97" t="s">
        <v>31</v>
      </c>
      <c r="D98" s="97" t="str">
        <f t="shared" si="7"/>
        <v>6F</v>
      </c>
      <c r="E98" s="257" t="s">
        <v>161</v>
      </c>
      <c r="F98" s="257" t="s">
        <v>108</v>
      </c>
      <c r="G98" s="257" t="s">
        <v>120</v>
      </c>
      <c r="H98" s="258">
        <v>0</v>
      </c>
      <c r="I98" s="259" t="str">
        <f t="shared" si="5"/>
        <v>EUR6F3Y_Quote</v>
      </c>
      <c r="J98" s="260" t="str">
        <f>_xll.qlSwapRateHelper2(,$I98,$C98,Calendar,$E98,$F98,$G98,$J$4,$H98,B98,Discounting,Permanent,,ObjectOverwrite)</f>
        <v>obj_007ea#0001</v>
      </c>
      <c r="K98" s="261" t="str">
        <f>_xll.ohRangeRetrieveError(J98)</f>
        <v/>
      </c>
      <c r="L98" s="119"/>
      <c r="N98" s="265"/>
    </row>
    <row r="99" spans="1:14" x14ac:dyDescent="0.2">
      <c r="A99" s="65"/>
      <c r="B99" s="97" t="s">
        <v>28</v>
      </c>
      <c r="C99" s="97" t="s">
        <v>30</v>
      </c>
      <c r="D99" s="97" t="str">
        <f t="shared" si="7"/>
        <v>6F</v>
      </c>
      <c r="E99" s="257" t="s">
        <v>161</v>
      </c>
      <c r="F99" s="257" t="s">
        <v>108</v>
      </c>
      <c r="G99" s="257" t="s">
        <v>120</v>
      </c>
      <c r="H99" s="258">
        <v>0</v>
      </c>
      <c r="I99" s="259" t="str">
        <f t="shared" si="5"/>
        <v>EUR6F4Y_Quote</v>
      </c>
      <c r="J99" s="260" t="str">
        <f>_xll.qlSwapRateHelper2(,$I99,$C99,Calendar,$E99,$F99,$G99,$J$4,$H99,B99,Discounting,Permanent,,ObjectOverwrite)</f>
        <v>obj_0085b#0001</v>
      </c>
      <c r="K99" s="261" t="str">
        <f>_xll.ohRangeRetrieveError(J99)</f>
        <v/>
      </c>
      <c r="L99" s="119"/>
      <c r="N99" s="265"/>
    </row>
    <row r="100" spans="1:14" x14ac:dyDescent="0.2">
      <c r="A100" s="65"/>
      <c r="B100" s="97" t="s">
        <v>28</v>
      </c>
      <c r="C100" s="97" t="s">
        <v>29</v>
      </c>
      <c r="D100" s="97" t="str">
        <f t="shared" si="7"/>
        <v>6F</v>
      </c>
      <c r="E100" s="257" t="s">
        <v>161</v>
      </c>
      <c r="F100" s="257" t="s">
        <v>108</v>
      </c>
      <c r="G100" s="257" t="s">
        <v>120</v>
      </c>
      <c r="H100" s="258">
        <v>0</v>
      </c>
      <c r="I100" s="259" t="str">
        <f t="shared" si="5"/>
        <v>EUR6F5Y_Quote</v>
      </c>
      <c r="J100" s="260" t="str">
        <f>_xll.qlSwapRateHelper2(,$I100,$C100,Calendar,$E100,$F100,$G100,$J$4,$H100,B100,Discounting,Permanent,,ObjectOverwrite)</f>
        <v>obj_0077d#0001</v>
      </c>
      <c r="K100" s="261" t="str">
        <f>_xll.ohRangeRetrieveError(J100)</f>
        <v/>
      </c>
      <c r="L100" s="119"/>
      <c r="N100" s="265"/>
    </row>
    <row r="101" spans="1:14" x14ac:dyDescent="0.2">
      <c r="A101" s="65"/>
      <c r="B101" s="97" t="s">
        <v>28</v>
      </c>
      <c r="C101" s="97" t="s">
        <v>28</v>
      </c>
      <c r="D101" s="97" t="str">
        <f t="shared" si="7"/>
        <v>6F</v>
      </c>
      <c r="E101" s="257" t="s">
        <v>161</v>
      </c>
      <c r="F101" s="257" t="s">
        <v>108</v>
      </c>
      <c r="G101" s="257" t="s">
        <v>120</v>
      </c>
      <c r="H101" s="258">
        <v>0</v>
      </c>
      <c r="I101" s="259" t="str">
        <f t="shared" si="5"/>
        <v>EUR6F6Y_Quote</v>
      </c>
      <c r="J101" s="260" t="str">
        <f>_xll.qlSwapRateHelper2(,$I101,$C101,Calendar,$E101,$F101,$G101,$J$4,$H101,B101,Discounting,Permanent,,ObjectOverwrite)</f>
        <v>obj_00774#0001</v>
      </c>
      <c r="K101" s="261" t="str">
        <f>_xll.ohRangeRetrieveError(J101)</f>
        <v/>
      </c>
      <c r="L101" s="119"/>
      <c r="N101" s="265"/>
    </row>
    <row r="102" spans="1:14" x14ac:dyDescent="0.2">
      <c r="A102" s="65"/>
      <c r="B102" s="97" t="s">
        <v>28</v>
      </c>
      <c r="C102" s="97" t="s">
        <v>27</v>
      </c>
      <c r="D102" s="97" t="str">
        <f t="shared" si="7"/>
        <v>6F</v>
      </c>
      <c r="E102" s="257" t="s">
        <v>161</v>
      </c>
      <c r="F102" s="257" t="s">
        <v>108</v>
      </c>
      <c r="G102" s="257" t="s">
        <v>120</v>
      </c>
      <c r="H102" s="258">
        <v>0</v>
      </c>
      <c r="I102" s="259" t="str">
        <f t="shared" si="5"/>
        <v>EUR6F7Y_Quote</v>
      </c>
      <c r="J102" s="260" t="str">
        <f>_xll.qlSwapRateHelper2(,$I102,$C102,Calendar,$E102,$F102,$G102,$J$4,$H102,B102,Discounting,Permanent,,ObjectOverwrite)</f>
        <v>obj_00876#0001</v>
      </c>
      <c r="K102" s="261" t="str">
        <f>_xll.ohRangeRetrieveError(J102)</f>
        <v/>
      </c>
      <c r="L102" s="119"/>
      <c r="N102" s="265"/>
    </row>
    <row r="103" spans="1:14" x14ac:dyDescent="0.2">
      <c r="A103" s="65"/>
      <c r="B103" s="97" t="s">
        <v>28</v>
      </c>
      <c r="C103" s="97" t="s">
        <v>26</v>
      </c>
      <c r="D103" s="97" t="str">
        <f t="shared" si="7"/>
        <v>6F</v>
      </c>
      <c r="E103" s="257" t="s">
        <v>161</v>
      </c>
      <c r="F103" s="257" t="s">
        <v>108</v>
      </c>
      <c r="G103" s="257" t="s">
        <v>120</v>
      </c>
      <c r="H103" s="258">
        <v>0</v>
      </c>
      <c r="I103" s="259" t="str">
        <f t="shared" si="5"/>
        <v>EUR6F8Y_Quote</v>
      </c>
      <c r="J103" s="260" t="str">
        <f>_xll.qlSwapRateHelper2(,$I103,$C103,Calendar,$E103,$F103,$G103,$J$4,$H103,B103,Discounting,Permanent,,ObjectOverwrite)</f>
        <v>obj_007e6#0001</v>
      </c>
      <c r="K103" s="261" t="str">
        <f>_xll.ohRangeRetrieveError(J103)</f>
        <v/>
      </c>
      <c r="L103" s="119"/>
      <c r="N103" s="265"/>
    </row>
    <row r="104" spans="1:14" x14ac:dyDescent="0.2">
      <c r="A104" s="65"/>
      <c r="B104" s="97" t="s">
        <v>28</v>
      </c>
      <c r="C104" s="97" t="s">
        <v>25</v>
      </c>
      <c r="D104" s="97" t="str">
        <f t="shared" si="7"/>
        <v>6F</v>
      </c>
      <c r="E104" s="257" t="s">
        <v>161</v>
      </c>
      <c r="F104" s="257" t="s">
        <v>108</v>
      </c>
      <c r="G104" s="257" t="s">
        <v>120</v>
      </c>
      <c r="H104" s="258">
        <v>0</v>
      </c>
      <c r="I104" s="259" t="str">
        <f t="shared" si="5"/>
        <v>EUR6F9Y_Quote</v>
      </c>
      <c r="J104" s="260" t="str">
        <f>_xll.qlSwapRateHelper2(,$I104,$C104,Calendar,$E104,$F104,$G104,$J$4,$H104,B104,Discounting,Permanent,,ObjectOverwrite)</f>
        <v>obj_0086a#0001</v>
      </c>
      <c r="K104" s="261" t="str">
        <f>_xll.ohRangeRetrieveError(J104)</f>
        <v/>
      </c>
      <c r="L104" s="119"/>
      <c r="N104" s="265"/>
    </row>
    <row r="105" spans="1:14" x14ac:dyDescent="0.2">
      <c r="A105" s="65"/>
      <c r="B105" s="97" t="s">
        <v>28</v>
      </c>
      <c r="C105" s="97" t="s">
        <v>24</v>
      </c>
      <c r="D105" s="97" t="str">
        <f t="shared" si="7"/>
        <v>6F</v>
      </c>
      <c r="E105" s="257" t="s">
        <v>161</v>
      </c>
      <c r="F105" s="257" t="s">
        <v>108</v>
      </c>
      <c r="G105" s="257" t="s">
        <v>120</v>
      </c>
      <c r="H105" s="258">
        <v>0</v>
      </c>
      <c r="I105" s="259" t="str">
        <f t="shared" si="5"/>
        <v>EUR6F10Y_Quote</v>
      </c>
      <c r="J105" s="260" t="str">
        <f>_xll.qlSwapRateHelper2(,$I105,$C105,Calendar,$E105,$F105,$G105,$J$4,$H105,B105,Discounting,Permanent,,ObjectOverwrite)</f>
        <v>obj_007a3#0001</v>
      </c>
      <c r="K105" s="261" t="str">
        <f>_xll.ohRangeRetrieveError(J105)</f>
        <v/>
      </c>
      <c r="L105" s="119"/>
      <c r="N105" s="265"/>
    </row>
    <row r="106" spans="1:14" x14ac:dyDescent="0.2">
      <c r="A106" s="65"/>
      <c r="B106" s="97" t="s">
        <v>28</v>
      </c>
      <c r="C106" s="97" t="s">
        <v>23</v>
      </c>
      <c r="D106" s="97" t="str">
        <f t="shared" si="7"/>
        <v>6F</v>
      </c>
      <c r="E106" s="257" t="s">
        <v>161</v>
      </c>
      <c r="F106" s="257" t="s">
        <v>108</v>
      </c>
      <c r="G106" s="257" t="s">
        <v>120</v>
      </c>
      <c r="H106" s="258">
        <v>0</v>
      </c>
      <c r="I106" s="259" t="str">
        <f t="shared" si="5"/>
        <v>EUR6F11Y_Quote</v>
      </c>
      <c r="J106" s="260" t="str">
        <f>_xll.qlSwapRateHelper2(,$I106,$C106,Calendar,$E106,$F106,$G106,$J$4,$H106,B106,Discounting,Permanent,,ObjectOverwrite)</f>
        <v>obj_0082c#0001</v>
      </c>
      <c r="K106" s="261" t="str">
        <f>_xll.ohRangeRetrieveError(J106)</f>
        <v/>
      </c>
      <c r="L106" s="119"/>
      <c r="N106" s="265"/>
    </row>
    <row r="107" spans="1:14" x14ac:dyDescent="0.2">
      <c r="A107" s="65"/>
      <c r="B107" s="97" t="s">
        <v>28</v>
      </c>
      <c r="C107" s="97" t="s">
        <v>22</v>
      </c>
      <c r="D107" s="97" t="str">
        <f t="shared" si="7"/>
        <v>6F</v>
      </c>
      <c r="E107" s="257" t="s">
        <v>161</v>
      </c>
      <c r="F107" s="257" t="s">
        <v>108</v>
      </c>
      <c r="G107" s="257" t="s">
        <v>120</v>
      </c>
      <c r="H107" s="258">
        <v>0</v>
      </c>
      <c r="I107" s="259" t="str">
        <f t="shared" si="5"/>
        <v>EUR6F12Y_Quote</v>
      </c>
      <c r="J107" s="260" t="str">
        <f>_xll.qlSwapRateHelper2(,$I107,$C107,Calendar,$E107,$F107,$G107,$J$4,$H107,B107,Discounting,Permanent,,ObjectOverwrite)</f>
        <v>obj_00827#0001</v>
      </c>
      <c r="K107" s="261" t="str">
        <f>_xll.ohRangeRetrieveError(J107)</f>
        <v/>
      </c>
      <c r="L107" s="119"/>
      <c r="N107" s="265"/>
    </row>
    <row r="108" spans="1:14" x14ac:dyDescent="0.2">
      <c r="A108" s="65"/>
      <c r="B108" s="97" t="s">
        <v>28</v>
      </c>
      <c r="C108" s="97" t="s">
        <v>21</v>
      </c>
      <c r="D108" s="97" t="str">
        <f t="shared" si="7"/>
        <v>6F</v>
      </c>
      <c r="E108" s="257" t="s">
        <v>161</v>
      </c>
      <c r="F108" s="257" t="s">
        <v>108</v>
      </c>
      <c r="G108" s="257" t="s">
        <v>120</v>
      </c>
      <c r="H108" s="258">
        <v>0</v>
      </c>
      <c r="I108" s="259" t="str">
        <f t="shared" si="5"/>
        <v>EUR6F13Y_Quote</v>
      </c>
      <c r="J108" s="260" t="str">
        <f>_xll.qlSwapRateHelper2(,$I108,$C108,Calendar,$E108,$F108,$G108,$J$4,$H108,B108,Discounting,Permanent,,ObjectOverwrite)</f>
        <v>obj_007c5#0001</v>
      </c>
      <c r="K108" s="261" t="str">
        <f>_xll.ohRangeRetrieveError(J108)</f>
        <v/>
      </c>
      <c r="L108" s="119"/>
      <c r="N108" s="265"/>
    </row>
    <row r="109" spans="1:14" x14ac:dyDescent="0.2">
      <c r="A109" s="65"/>
      <c r="B109" s="97" t="s">
        <v>28</v>
      </c>
      <c r="C109" s="97" t="s">
        <v>20</v>
      </c>
      <c r="D109" s="97" t="str">
        <f t="shared" si="7"/>
        <v>6F</v>
      </c>
      <c r="E109" s="257" t="s">
        <v>161</v>
      </c>
      <c r="F109" s="257" t="s">
        <v>108</v>
      </c>
      <c r="G109" s="257" t="s">
        <v>120</v>
      </c>
      <c r="H109" s="258">
        <v>0</v>
      </c>
      <c r="I109" s="259" t="str">
        <f t="shared" si="5"/>
        <v>EUR6F14Y_Quote</v>
      </c>
      <c r="J109" s="260" t="str">
        <f>_xll.qlSwapRateHelper2(,$I109,$C109,Calendar,$E109,$F109,$G109,$J$4,$H109,B109,Discounting,Permanent,,ObjectOverwrite)</f>
        <v>obj_007dd#0001</v>
      </c>
      <c r="K109" s="261" t="str">
        <f>_xll.ohRangeRetrieveError(J109)</f>
        <v/>
      </c>
      <c r="L109" s="119"/>
      <c r="N109" s="265"/>
    </row>
    <row r="110" spans="1:14" x14ac:dyDescent="0.2">
      <c r="A110" s="65"/>
      <c r="B110" s="97" t="s">
        <v>28</v>
      </c>
      <c r="C110" s="97" t="s">
        <v>19</v>
      </c>
      <c r="D110" s="97" t="str">
        <f t="shared" si="7"/>
        <v>6F</v>
      </c>
      <c r="E110" s="257" t="s">
        <v>161</v>
      </c>
      <c r="F110" s="257" t="s">
        <v>108</v>
      </c>
      <c r="G110" s="257" t="s">
        <v>120</v>
      </c>
      <c r="H110" s="258">
        <v>0</v>
      </c>
      <c r="I110" s="259" t="str">
        <f t="shared" si="5"/>
        <v>EUR6F15Y_Quote</v>
      </c>
      <c r="J110" s="260" t="str">
        <f>_xll.qlSwapRateHelper2(,$I110,$C110,Calendar,$E110,$F110,$G110,$J$4,$H110,B110,Discounting,Permanent,,ObjectOverwrite)</f>
        <v>obj_00888#0001</v>
      </c>
      <c r="K110" s="261" t="str">
        <f>_xll.ohRangeRetrieveError(J110)</f>
        <v/>
      </c>
      <c r="L110" s="119"/>
      <c r="N110" s="265"/>
    </row>
    <row r="111" spans="1:14" x14ac:dyDescent="0.2">
      <c r="A111" s="65"/>
      <c r="B111" s="97" t="s">
        <v>28</v>
      </c>
      <c r="C111" s="97" t="s">
        <v>14</v>
      </c>
      <c r="D111" s="97" t="str">
        <f t="shared" si="7"/>
        <v>6F</v>
      </c>
      <c r="E111" s="257" t="s">
        <v>161</v>
      </c>
      <c r="F111" s="257" t="s">
        <v>108</v>
      </c>
      <c r="G111" s="257" t="s">
        <v>120</v>
      </c>
      <c r="H111" s="258">
        <v>0</v>
      </c>
      <c r="I111" s="259" t="str">
        <f t="shared" si="5"/>
        <v>EUR6F20Y_Quote</v>
      </c>
      <c r="J111" s="260" t="str">
        <f>_xll.qlSwapRateHelper2(,$I111,$C111,Calendar,$E111,$F111,$G111,$J$4,$H111,B111,Discounting,Permanent,,ObjectOverwrite)</f>
        <v>obj_0082a#0001</v>
      </c>
      <c r="K111" s="261" t="str">
        <f>_xll.ohRangeRetrieveError(J111)</f>
        <v/>
      </c>
      <c r="L111" s="119"/>
      <c r="N111" s="265"/>
    </row>
    <row r="112" spans="1:14" x14ac:dyDescent="0.2">
      <c r="A112" s="65"/>
      <c r="B112" s="97" t="s">
        <v>28</v>
      </c>
      <c r="C112" s="97" t="s">
        <v>9</v>
      </c>
      <c r="D112" s="97" t="str">
        <f t="shared" si="7"/>
        <v>6F</v>
      </c>
      <c r="E112" s="257" t="s">
        <v>161</v>
      </c>
      <c r="F112" s="257" t="s">
        <v>108</v>
      </c>
      <c r="G112" s="257" t="s">
        <v>120</v>
      </c>
      <c r="H112" s="258">
        <v>0</v>
      </c>
      <c r="I112" s="259" t="str">
        <f t="shared" si="5"/>
        <v>EUR6F25Y_Quote</v>
      </c>
      <c r="J112" s="260" t="str">
        <f>_xll.qlSwapRateHelper2(,$I112,$C112,Calendar,$E112,$F112,$G112,$J$4,$H112,B112,Discounting,Permanent,,ObjectOverwrite)</f>
        <v>obj_00756#0001</v>
      </c>
      <c r="K112" s="261" t="str">
        <f>_xll.ohRangeRetrieveError(J112)</f>
        <v/>
      </c>
      <c r="L112" s="119"/>
      <c r="N112" s="265"/>
    </row>
    <row r="113" spans="1:14" x14ac:dyDescent="0.2">
      <c r="A113" s="65"/>
      <c r="B113" s="262" t="s">
        <v>28</v>
      </c>
      <c r="C113" s="262" t="s">
        <v>4</v>
      </c>
      <c r="D113" s="262" t="str">
        <f t="shared" si="7"/>
        <v>6F</v>
      </c>
      <c r="E113" s="122" t="s">
        <v>161</v>
      </c>
      <c r="F113" s="122" t="s">
        <v>108</v>
      </c>
      <c r="G113" s="122" t="s">
        <v>120</v>
      </c>
      <c r="H113" s="263">
        <v>0</v>
      </c>
      <c r="I113" s="121" t="str">
        <f t="shared" si="5"/>
        <v>EUR6F30Y_Quote</v>
      </c>
      <c r="J113" s="147" t="str">
        <f>_xll.qlSwapRateHelper2(,$I113,$C113,Calendar,$E113,$F113,$G113,$J$4,$H113,B113,Discounting,Permanent,,ObjectOverwrite)</f>
        <v>obj_00865#0001</v>
      </c>
      <c r="K113" s="264" t="str">
        <f>_xll.ohRangeRetrieveError(J113)</f>
        <v/>
      </c>
      <c r="L113" s="119"/>
      <c r="N113" s="265"/>
    </row>
    <row r="114" spans="1:14" x14ac:dyDescent="0.2">
      <c r="A114" s="65"/>
      <c r="B114" s="102" t="s">
        <v>27</v>
      </c>
      <c r="C114" s="102" t="s">
        <v>36</v>
      </c>
      <c r="D114" s="102" t="str">
        <f>LEFT(B114,1)&amp;"F"</f>
        <v>7F</v>
      </c>
      <c r="E114" s="111" t="s">
        <v>161</v>
      </c>
      <c r="F114" s="111" t="s">
        <v>108</v>
      </c>
      <c r="G114" s="111" t="s">
        <v>120</v>
      </c>
      <c r="H114" s="253">
        <v>0</v>
      </c>
      <c r="I114" s="254" t="str">
        <f t="shared" si="5"/>
        <v>EUR7F1Y_Quote</v>
      </c>
      <c r="J114" s="255" t="str">
        <f>_xll.qlSwapRateHelper2(,$I114,$C114,Calendar,$E114,$F114,$G114,$J$4,$H114,B114,Discounting,Permanent,,ObjectOverwrite)</f>
        <v>obj_0074f#0001</v>
      </c>
      <c r="K114" s="256" t="str">
        <f>_xll.ohRangeRetrieveError(J114)</f>
        <v/>
      </c>
      <c r="L114" s="119"/>
      <c r="N114" s="265"/>
    </row>
    <row r="115" spans="1:14" x14ac:dyDescent="0.2">
      <c r="A115" s="65"/>
      <c r="B115" s="97" t="s">
        <v>27</v>
      </c>
      <c r="C115" s="97" t="s">
        <v>32</v>
      </c>
      <c r="D115" s="97" t="str">
        <f t="shared" ref="D115:D131" si="8">LEFT(B115,1)&amp;"F"</f>
        <v>7F</v>
      </c>
      <c r="E115" s="257" t="s">
        <v>161</v>
      </c>
      <c r="F115" s="257" t="s">
        <v>108</v>
      </c>
      <c r="G115" s="257" t="s">
        <v>120</v>
      </c>
      <c r="H115" s="258">
        <v>0</v>
      </c>
      <c r="I115" s="259" t="str">
        <f t="shared" si="5"/>
        <v>EUR7F2Y_Quote</v>
      </c>
      <c r="J115" s="260" t="str">
        <f>_xll.qlSwapRateHelper2(,$I115,$C115,Calendar,$E115,$F115,$G115,$J$4,$H115,B115,Discounting,Permanent,,ObjectOverwrite)</f>
        <v>obj_00790#0001</v>
      </c>
      <c r="K115" s="261" t="str">
        <f>_xll.ohRangeRetrieveError(J115)</f>
        <v/>
      </c>
      <c r="L115" s="119"/>
      <c r="N115" s="265"/>
    </row>
    <row r="116" spans="1:14" x14ac:dyDescent="0.2">
      <c r="A116" s="65"/>
      <c r="B116" s="97" t="s">
        <v>27</v>
      </c>
      <c r="C116" s="97" t="s">
        <v>31</v>
      </c>
      <c r="D116" s="97" t="str">
        <f t="shared" si="8"/>
        <v>7F</v>
      </c>
      <c r="E116" s="257" t="s">
        <v>161</v>
      </c>
      <c r="F116" s="257" t="s">
        <v>108</v>
      </c>
      <c r="G116" s="257" t="s">
        <v>120</v>
      </c>
      <c r="H116" s="258">
        <v>0</v>
      </c>
      <c r="I116" s="259" t="str">
        <f t="shared" si="5"/>
        <v>EUR7F3Y_Quote</v>
      </c>
      <c r="J116" s="260" t="str">
        <f>_xll.qlSwapRateHelper2(,$I116,$C116,Calendar,$E116,$F116,$G116,$J$4,$H116,B116,Discounting,Permanent,,ObjectOverwrite)</f>
        <v>obj_007d6#0001</v>
      </c>
      <c r="K116" s="261" t="str">
        <f>_xll.ohRangeRetrieveError(J116)</f>
        <v/>
      </c>
      <c r="L116" s="119"/>
      <c r="N116" s="265"/>
    </row>
    <row r="117" spans="1:14" x14ac:dyDescent="0.2">
      <c r="A117" s="65"/>
      <c r="B117" s="97" t="s">
        <v>27</v>
      </c>
      <c r="C117" s="97" t="s">
        <v>30</v>
      </c>
      <c r="D117" s="97" t="str">
        <f t="shared" si="8"/>
        <v>7F</v>
      </c>
      <c r="E117" s="257" t="s">
        <v>161</v>
      </c>
      <c r="F117" s="257" t="s">
        <v>108</v>
      </c>
      <c r="G117" s="257" t="s">
        <v>120</v>
      </c>
      <c r="H117" s="258">
        <v>0</v>
      </c>
      <c r="I117" s="259" t="str">
        <f t="shared" si="5"/>
        <v>EUR7F4Y_Quote</v>
      </c>
      <c r="J117" s="260" t="str">
        <f>_xll.qlSwapRateHelper2(,$I117,$C117,Calendar,$E117,$F117,$G117,$J$4,$H117,B117,Discounting,Permanent,,ObjectOverwrite)</f>
        <v>obj_00752#0001</v>
      </c>
      <c r="K117" s="261" t="str">
        <f>_xll.ohRangeRetrieveError(J117)</f>
        <v/>
      </c>
      <c r="L117" s="119"/>
      <c r="N117" s="265"/>
    </row>
    <row r="118" spans="1:14" x14ac:dyDescent="0.2">
      <c r="A118" s="65"/>
      <c r="B118" s="97" t="s">
        <v>27</v>
      </c>
      <c r="C118" s="97" t="s">
        <v>29</v>
      </c>
      <c r="D118" s="97" t="str">
        <f t="shared" si="8"/>
        <v>7F</v>
      </c>
      <c r="E118" s="257" t="s">
        <v>161</v>
      </c>
      <c r="F118" s="257" t="s">
        <v>108</v>
      </c>
      <c r="G118" s="257" t="s">
        <v>120</v>
      </c>
      <c r="H118" s="258">
        <v>0</v>
      </c>
      <c r="I118" s="259" t="str">
        <f t="shared" si="5"/>
        <v>EUR7F5Y_Quote</v>
      </c>
      <c r="J118" s="260" t="str">
        <f>_xll.qlSwapRateHelper2(,$I118,$C118,Calendar,$E118,$F118,$G118,$J$4,$H118,B118,Discounting,Permanent,,ObjectOverwrite)</f>
        <v>obj_007f0#0001</v>
      </c>
      <c r="K118" s="261" t="str">
        <f>_xll.ohRangeRetrieveError(J118)</f>
        <v/>
      </c>
      <c r="L118" s="119"/>
      <c r="N118" s="265"/>
    </row>
    <row r="119" spans="1:14" x14ac:dyDescent="0.2">
      <c r="A119" s="65"/>
      <c r="B119" s="97" t="s">
        <v>27</v>
      </c>
      <c r="C119" s="97" t="s">
        <v>28</v>
      </c>
      <c r="D119" s="97" t="str">
        <f t="shared" si="8"/>
        <v>7F</v>
      </c>
      <c r="E119" s="257" t="s">
        <v>161</v>
      </c>
      <c r="F119" s="257" t="s">
        <v>108</v>
      </c>
      <c r="G119" s="257" t="s">
        <v>120</v>
      </c>
      <c r="H119" s="258">
        <v>0</v>
      </c>
      <c r="I119" s="259" t="str">
        <f t="shared" si="5"/>
        <v>EUR7F6Y_Quote</v>
      </c>
      <c r="J119" s="260" t="str">
        <f>_xll.qlSwapRateHelper2(,$I119,$C119,Calendar,$E119,$F119,$G119,$J$4,$H119,B119,Discounting,Permanent,,ObjectOverwrite)</f>
        <v>obj_0081b#0001</v>
      </c>
      <c r="K119" s="261" t="str">
        <f>_xll.ohRangeRetrieveError(J119)</f>
        <v/>
      </c>
      <c r="L119" s="119"/>
      <c r="N119" s="265"/>
    </row>
    <row r="120" spans="1:14" x14ac:dyDescent="0.2">
      <c r="A120" s="65"/>
      <c r="B120" s="97" t="s">
        <v>27</v>
      </c>
      <c r="C120" s="97" t="s">
        <v>27</v>
      </c>
      <c r="D120" s="97" t="str">
        <f t="shared" si="8"/>
        <v>7F</v>
      </c>
      <c r="E120" s="257" t="s">
        <v>161</v>
      </c>
      <c r="F120" s="257" t="s">
        <v>108</v>
      </c>
      <c r="G120" s="257" t="s">
        <v>120</v>
      </c>
      <c r="H120" s="258">
        <v>0</v>
      </c>
      <c r="I120" s="259" t="str">
        <f t="shared" si="5"/>
        <v>EUR7F7Y_Quote</v>
      </c>
      <c r="J120" s="260" t="str">
        <f>_xll.qlSwapRateHelper2(,$I120,$C120,Calendar,$E120,$F120,$G120,$J$4,$H120,B120,Discounting,Permanent,,ObjectOverwrite)</f>
        <v>obj_0084d#0001</v>
      </c>
      <c r="K120" s="261" t="str">
        <f>_xll.ohRangeRetrieveError(J120)</f>
        <v/>
      </c>
      <c r="L120" s="119"/>
      <c r="N120" s="265"/>
    </row>
    <row r="121" spans="1:14" x14ac:dyDescent="0.2">
      <c r="A121" s="65"/>
      <c r="B121" s="97" t="s">
        <v>27</v>
      </c>
      <c r="C121" s="97" t="s">
        <v>26</v>
      </c>
      <c r="D121" s="97" t="str">
        <f t="shared" si="8"/>
        <v>7F</v>
      </c>
      <c r="E121" s="257" t="s">
        <v>161</v>
      </c>
      <c r="F121" s="257" t="s">
        <v>108</v>
      </c>
      <c r="G121" s="257" t="s">
        <v>120</v>
      </c>
      <c r="H121" s="258">
        <v>0</v>
      </c>
      <c r="I121" s="259" t="str">
        <f t="shared" si="5"/>
        <v>EUR7F8Y_Quote</v>
      </c>
      <c r="J121" s="260" t="str">
        <f>_xll.qlSwapRateHelper2(,$I121,$C121,Calendar,$E121,$F121,$G121,$J$4,$H121,B121,Discounting,Permanent,,ObjectOverwrite)</f>
        <v>obj_0079e#0001</v>
      </c>
      <c r="K121" s="261" t="str">
        <f>_xll.ohRangeRetrieveError(J121)</f>
        <v/>
      </c>
      <c r="L121" s="119"/>
      <c r="N121" s="265"/>
    </row>
    <row r="122" spans="1:14" x14ac:dyDescent="0.2">
      <c r="A122" s="65"/>
      <c r="B122" s="97" t="s">
        <v>27</v>
      </c>
      <c r="C122" s="97" t="s">
        <v>25</v>
      </c>
      <c r="D122" s="97" t="str">
        <f t="shared" si="8"/>
        <v>7F</v>
      </c>
      <c r="E122" s="257" t="s">
        <v>161</v>
      </c>
      <c r="F122" s="257" t="s">
        <v>108</v>
      </c>
      <c r="G122" s="257" t="s">
        <v>120</v>
      </c>
      <c r="H122" s="258">
        <v>0</v>
      </c>
      <c r="I122" s="259" t="str">
        <f t="shared" si="5"/>
        <v>EUR7F9Y_Quote</v>
      </c>
      <c r="J122" s="260" t="str">
        <f>_xll.qlSwapRateHelper2(,$I122,$C122,Calendar,$E122,$F122,$G122,$J$4,$H122,B122,Discounting,Permanent,,ObjectOverwrite)</f>
        <v>obj_007a4#0001</v>
      </c>
      <c r="K122" s="261" t="str">
        <f>_xll.ohRangeRetrieveError(J122)</f>
        <v/>
      </c>
      <c r="L122" s="119"/>
      <c r="N122" s="265"/>
    </row>
    <row r="123" spans="1:14" x14ac:dyDescent="0.2">
      <c r="A123" s="65"/>
      <c r="B123" s="97" t="s">
        <v>27</v>
      </c>
      <c r="C123" s="97" t="s">
        <v>24</v>
      </c>
      <c r="D123" s="97" t="str">
        <f t="shared" si="8"/>
        <v>7F</v>
      </c>
      <c r="E123" s="257" t="s">
        <v>161</v>
      </c>
      <c r="F123" s="257" t="s">
        <v>108</v>
      </c>
      <c r="G123" s="257" t="s">
        <v>120</v>
      </c>
      <c r="H123" s="258">
        <v>0</v>
      </c>
      <c r="I123" s="259" t="str">
        <f t="shared" si="5"/>
        <v>EUR7F10Y_Quote</v>
      </c>
      <c r="J123" s="260" t="str">
        <f>_xll.qlSwapRateHelper2(,$I123,$C123,Calendar,$E123,$F123,$G123,$J$4,$H123,B123,Discounting,Permanent,,ObjectOverwrite)</f>
        <v>obj_00773#0001</v>
      </c>
      <c r="K123" s="261" t="str">
        <f>_xll.ohRangeRetrieveError(J123)</f>
        <v/>
      </c>
      <c r="L123" s="119"/>
      <c r="N123" s="265"/>
    </row>
    <row r="124" spans="1:14" x14ac:dyDescent="0.2">
      <c r="A124" s="65"/>
      <c r="B124" s="97" t="s">
        <v>27</v>
      </c>
      <c r="C124" s="97" t="s">
        <v>23</v>
      </c>
      <c r="D124" s="97" t="str">
        <f t="shared" si="8"/>
        <v>7F</v>
      </c>
      <c r="E124" s="257" t="s">
        <v>161</v>
      </c>
      <c r="F124" s="257" t="s">
        <v>108</v>
      </c>
      <c r="G124" s="257" t="s">
        <v>120</v>
      </c>
      <c r="H124" s="258">
        <v>0</v>
      </c>
      <c r="I124" s="259" t="str">
        <f t="shared" si="5"/>
        <v>EUR7F11Y_Quote</v>
      </c>
      <c r="J124" s="260" t="str">
        <f>_xll.qlSwapRateHelper2(,$I124,$C124,Calendar,$E124,$F124,$G124,$J$4,$H124,B124,Discounting,Permanent,,ObjectOverwrite)</f>
        <v>obj_0076e#0001</v>
      </c>
      <c r="K124" s="261" t="str">
        <f>_xll.ohRangeRetrieveError(J124)</f>
        <v/>
      </c>
      <c r="L124" s="119"/>
      <c r="N124" s="265"/>
    </row>
    <row r="125" spans="1:14" x14ac:dyDescent="0.2">
      <c r="A125" s="65"/>
      <c r="B125" s="97" t="s">
        <v>27</v>
      </c>
      <c r="C125" s="97" t="s">
        <v>22</v>
      </c>
      <c r="D125" s="97" t="str">
        <f t="shared" si="8"/>
        <v>7F</v>
      </c>
      <c r="E125" s="257" t="s">
        <v>161</v>
      </c>
      <c r="F125" s="257" t="s">
        <v>108</v>
      </c>
      <c r="G125" s="257" t="s">
        <v>120</v>
      </c>
      <c r="H125" s="258">
        <v>0</v>
      </c>
      <c r="I125" s="259" t="str">
        <f t="shared" si="5"/>
        <v>EUR7F12Y_Quote</v>
      </c>
      <c r="J125" s="260" t="str">
        <f>_xll.qlSwapRateHelper2(,$I125,$C125,Calendar,$E125,$F125,$G125,$J$4,$H125,B125,Discounting,Permanent,,ObjectOverwrite)</f>
        <v>obj_007a6#0001</v>
      </c>
      <c r="K125" s="261" t="str">
        <f>_xll.ohRangeRetrieveError(J125)</f>
        <v/>
      </c>
      <c r="L125" s="119"/>
      <c r="N125" s="265"/>
    </row>
    <row r="126" spans="1:14" x14ac:dyDescent="0.2">
      <c r="A126" s="65"/>
      <c r="B126" s="97" t="s">
        <v>27</v>
      </c>
      <c r="C126" s="97" t="s">
        <v>21</v>
      </c>
      <c r="D126" s="97" t="str">
        <f t="shared" si="8"/>
        <v>7F</v>
      </c>
      <c r="E126" s="257" t="s">
        <v>161</v>
      </c>
      <c r="F126" s="257" t="s">
        <v>108</v>
      </c>
      <c r="G126" s="257" t="s">
        <v>120</v>
      </c>
      <c r="H126" s="258">
        <v>0</v>
      </c>
      <c r="I126" s="259" t="str">
        <f t="shared" si="5"/>
        <v>EUR7F13Y_Quote</v>
      </c>
      <c r="J126" s="260" t="str">
        <f>_xll.qlSwapRateHelper2(,$I126,$C126,Calendar,$E126,$F126,$G126,$J$4,$H126,B126,Discounting,Permanent,,ObjectOverwrite)</f>
        <v>obj_0087e#0001</v>
      </c>
      <c r="K126" s="261" t="str">
        <f>_xll.ohRangeRetrieveError(J126)</f>
        <v/>
      </c>
      <c r="L126" s="119"/>
      <c r="N126" s="265"/>
    </row>
    <row r="127" spans="1:14" x14ac:dyDescent="0.2">
      <c r="A127" s="65"/>
      <c r="B127" s="97" t="s">
        <v>27</v>
      </c>
      <c r="C127" s="97" t="s">
        <v>20</v>
      </c>
      <c r="D127" s="97" t="str">
        <f t="shared" si="8"/>
        <v>7F</v>
      </c>
      <c r="E127" s="257" t="s">
        <v>161</v>
      </c>
      <c r="F127" s="257" t="s">
        <v>108</v>
      </c>
      <c r="G127" s="257" t="s">
        <v>120</v>
      </c>
      <c r="H127" s="258">
        <v>0</v>
      </c>
      <c r="I127" s="259" t="str">
        <f t="shared" si="5"/>
        <v>EUR7F14Y_Quote</v>
      </c>
      <c r="J127" s="260" t="str">
        <f>_xll.qlSwapRateHelper2(,$I127,$C127,Calendar,$E127,$F127,$G127,$J$4,$H127,B127,Discounting,Permanent,,ObjectOverwrite)</f>
        <v>obj_007e2#0001</v>
      </c>
      <c r="K127" s="261" t="str">
        <f>_xll.ohRangeRetrieveError(J127)</f>
        <v/>
      </c>
      <c r="L127" s="119"/>
      <c r="N127" s="265"/>
    </row>
    <row r="128" spans="1:14" x14ac:dyDescent="0.2">
      <c r="A128" s="65"/>
      <c r="B128" s="97" t="s">
        <v>27</v>
      </c>
      <c r="C128" s="97" t="s">
        <v>19</v>
      </c>
      <c r="D128" s="97" t="str">
        <f t="shared" si="8"/>
        <v>7F</v>
      </c>
      <c r="E128" s="257" t="s">
        <v>161</v>
      </c>
      <c r="F128" s="257" t="s">
        <v>108</v>
      </c>
      <c r="G128" s="257" t="s">
        <v>120</v>
      </c>
      <c r="H128" s="258">
        <v>0</v>
      </c>
      <c r="I128" s="259" t="str">
        <f t="shared" si="5"/>
        <v>EUR7F15Y_Quote</v>
      </c>
      <c r="J128" s="260" t="str">
        <f>_xll.qlSwapRateHelper2(,$I128,$C128,Calendar,$E128,$F128,$G128,$J$4,$H128,B128,Discounting,Permanent,,ObjectOverwrite)</f>
        <v>obj_0081d#0001</v>
      </c>
      <c r="K128" s="261" t="str">
        <f>_xll.ohRangeRetrieveError(J128)</f>
        <v/>
      </c>
      <c r="L128" s="119"/>
      <c r="N128" s="265"/>
    </row>
    <row r="129" spans="1:14" x14ac:dyDescent="0.2">
      <c r="A129" s="65"/>
      <c r="B129" s="97" t="s">
        <v>27</v>
      </c>
      <c r="C129" s="97" t="s">
        <v>14</v>
      </c>
      <c r="D129" s="97" t="str">
        <f t="shared" si="8"/>
        <v>7F</v>
      </c>
      <c r="E129" s="257" t="s">
        <v>161</v>
      </c>
      <c r="F129" s="257" t="s">
        <v>108</v>
      </c>
      <c r="G129" s="257" t="s">
        <v>120</v>
      </c>
      <c r="H129" s="258">
        <v>0</v>
      </c>
      <c r="I129" s="259" t="str">
        <f t="shared" si="5"/>
        <v>EUR7F20Y_Quote</v>
      </c>
      <c r="J129" s="260" t="str">
        <f>_xll.qlSwapRateHelper2(,$I129,$C129,Calendar,$E129,$F129,$G129,$J$4,$H129,B129,Discounting,Permanent,,ObjectOverwrite)</f>
        <v>obj_007c0#0001</v>
      </c>
      <c r="K129" s="261" t="str">
        <f>_xll.ohRangeRetrieveError(J129)</f>
        <v/>
      </c>
      <c r="L129" s="119"/>
      <c r="N129" s="265"/>
    </row>
    <row r="130" spans="1:14" x14ac:dyDescent="0.2">
      <c r="A130" s="65"/>
      <c r="B130" s="97" t="s">
        <v>27</v>
      </c>
      <c r="C130" s="97" t="s">
        <v>9</v>
      </c>
      <c r="D130" s="97" t="str">
        <f t="shared" si="8"/>
        <v>7F</v>
      </c>
      <c r="E130" s="257" t="s">
        <v>161</v>
      </c>
      <c r="F130" s="257" t="s">
        <v>108</v>
      </c>
      <c r="G130" s="257" t="s">
        <v>120</v>
      </c>
      <c r="H130" s="258">
        <v>0</v>
      </c>
      <c r="I130" s="259" t="str">
        <f t="shared" si="5"/>
        <v>EUR7F25Y_Quote</v>
      </c>
      <c r="J130" s="260" t="str">
        <f>_xll.qlSwapRateHelper2(,$I130,$C130,Calendar,$E130,$F130,$G130,$J$4,$H130,B130,Discounting,Permanent,,ObjectOverwrite)</f>
        <v>obj_00884#0001</v>
      </c>
      <c r="K130" s="261" t="str">
        <f>_xll.ohRangeRetrieveError(J130)</f>
        <v/>
      </c>
      <c r="L130" s="119"/>
      <c r="N130" s="265"/>
    </row>
    <row r="131" spans="1:14" x14ac:dyDescent="0.2">
      <c r="A131" s="65"/>
      <c r="B131" s="262" t="s">
        <v>27</v>
      </c>
      <c r="C131" s="262" t="s">
        <v>4</v>
      </c>
      <c r="D131" s="262" t="str">
        <f t="shared" si="8"/>
        <v>7F</v>
      </c>
      <c r="E131" s="122" t="s">
        <v>161</v>
      </c>
      <c r="F131" s="122" t="s">
        <v>108</v>
      </c>
      <c r="G131" s="122" t="s">
        <v>120</v>
      </c>
      <c r="H131" s="263">
        <v>0</v>
      </c>
      <c r="I131" s="121" t="str">
        <f t="shared" si="5"/>
        <v>EUR7F30Y_Quote</v>
      </c>
      <c r="J131" s="147" t="str">
        <f>_xll.qlSwapRateHelper2(,$I131,$C131,Calendar,$E131,$F131,$G131,$J$4,$H131,B131,Discounting,Permanent,,ObjectOverwrite)</f>
        <v>obj_0076b#0001</v>
      </c>
      <c r="K131" s="264" t="str">
        <f>_xll.ohRangeRetrieveError(J131)</f>
        <v/>
      </c>
      <c r="L131" s="119"/>
      <c r="N131" s="265"/>
    </row>
    <row r="132" spans="1:14" x14ac:dyDescent="0.2">
      <c r="A132" s="65"/>
      <c r="B132" s="102" t="s">
        <v>26</v>
      </c>
      <c r="C132" s="102" t="s">
        <v>36</v>
      </c>
      <c r="D132" s="102" t="str">
        <f>LEFT(B132,1)&amp;"F"</f>
        <v>8F</v>
      </c>
      <c r="E132" s="111" t="s">
        <v>161</v>
      </c>
      <c r="F132" s="111" t="s">
        <v>108</v>
      </c>
      <c r="G132" s="111" t="s">
        <v>120</v>
      </c>
      <c r="H132" s="253">
        <v>0</v>
      </c>
      <c r="I132" s="254" t="str">
        <f t="shared" si="5"/>
        <v>EUR8F1Y_Quote</v>
      </c>
      <c r="J132" s="255" t="str">
        <f>_xll.qlSwapRateHelper2(,$I132,$C132,Calendar,$E132,$F132,$G132,$J$4,$H132,B132,Discounting,Permanent,,ObjectOverwrite)</f>
        <v>obj_0075b#0001</v>
      </c>
      <c r="K132" s="256" t="str">
        <f>_xll.ohRangeRetrieveError(J132)</f>
        <v/>
      </c>
      <c r="L132" s="119"/>
      <c r="N132" s="265"/>
    </row>
    <row r="133" spans="1:14" x14ac:dyDescent="0.2">
      <c r="A133" s="65"/>
      <c r="B133" s="97" t="s">
        <v>26</v>
      </c>
      <c r="C133" s="97" t="s">
        <v>32</v>
      </c>
      <c r="D133" s="97" t="str">
        <f t="shared" ref="D133:D149" si="9">LEFT(B133,1)&amp;"F"</f>
        <v>8F</v>
      </c>
      <c r="E133" s="257" t="s">
        <v>161</v>
      </c>
      <c r="F133" s="257" t="s">
        <v>108</v>
      </c>
      <c r="G133" s="257" t="s">
        <v>120</v>
      </c>
      <c r="H133" s="258">
        <v>0</v>
      </c>
      <c r="I133" s="259" t="str">
        <f t="shared" si="5"/>
        <v>EUR8F2Y_Quote</v>
      </c>
      <c r="J133" s="260" t="str">
        <f>_xll.qlSwapRateHelper2(,$I133,$C133,Calendar,$E133,$F133,$G133,$J$4,$H133,B133,Discounting,Permanent,,ObjectOverwrite)</f>
        <v>obj_0079b#0001</v>
      </c>
      <c r="K133" s="261" t="str">
        <f>_xll.ohRangeRetrieveError(J133)</f>
        <v/>
      </c>
      <c r="L133" s="119"/>
      <c r="N133" s="265"/>
    </row>
    <row r="134" spans="1:14" x14ac:dyDescent="0.2">
      <c r="A134" s="65"/>
      <c r="B134" s="97" t="s">
        <v>26</v>
      </c>
      <c r="C134" s="97" t="s">
        <v>31</v>
      </c>
      <c r="D134" s="97" t="str">
        <f t="shared" si="9"/>
        <v>8F</v>
      </c>
      <c r="E134" s="257" t="s">
        <v>161</v>
      </c>
      <c r="F134" s="257" t="s">
        <v>108</v>
      </c>
      <c r="G134" s="257" t="s">
        <v>120</v>
      </c>
      <c r="H134" s="258">
        <v>0</v>
      </c>
      <c r="I134" s="259" t="str">
        <f t="shared" ref="I134:I197" si="10">Currency&amp;$D134&amp;$C134&amp;QuoteSuffix</f>
        <v>EUR8F3Y_Quote</v>
      </c>
      <c r="J134" s="260" t="str">
        <f>_xll.qlSwapRateHelper2(,$I134,$C134,Calendar,$E134,$F134,$G134,$J$4,$H134,B134,Discounting,Permanent,,ObjectOverwrite)</f>
        <v>obj_0085d#0001</v>
      </c>
      <c r="K134" s="261" t="str">
        <f>_xll.ohRangeRetrieveError(J134)</f>
        <v/>
      </c>
      <c r="L134" s="119"/>
      <c r="N134" s="265"/>
    </row>
    <row r="135" spans="1:14" x14ac:dyDescent="0.2">
      <c r="A135" s="65"/>
      <c r="B135" s="97" t="s">
        <v>26</v>
      </c>
      <c r="C135" s="97" t="s">
        <v>30</v>
      </c>
      <c r="D135" s="97" t="str">
        <f t="shared" si="9"/>
        <v>8F</v>
      </c>
      <c r="E135" s="257" t="s">
        <v>161</v>
      </c>
      <c r="F135" s="257" t="s">
        <v>108</v>
      </c>
      <c r="G135" s="257" t="s">
        <v>120</v>
      </c>
      <c r="H135" s="258">
        <v>0</v>
      </c>
      <c r="I135" s="259" t="str">
        <f t="shared" si="10"/>
        <v>EUR8F4Y_Quote</v>
      </c>
      <c r="J135" s="260" t="str">
        <f>_xll.qlSwapRateHelper2(,$I135,$C135,Calendar,$E135,$F135,$G135,$J$4,$H135,B135,Discounting,Permanent,,ObjectOverwrite)</f>
        <v>obj_0080c#0001</v>
      </c>
      <c r="K135" s="261" t="str">
        <f>_xll.ohRangeRetrieveError(J135)</f>
        <v/>
      </c>
      <c r="L135" s="119"/>
      <c r="N135" s="265"/>
    </row>
    <row r="136" spans="1:14" x14ac:dyDescent="0.2">
      <c r="A136" s="65"/>
      <c r="B136" s="97" t="s">
        <v>26</v>
      </c>
      <c r="C136" s="97" t="s">
        <v>29</v>
      </c>
      <c r="D136" s="97" t="str">
        <f t="shared" si="9"/>
        <v>8F</v>
      </c>
      <c r="E136" s="257" t="s">
        <v>161</v>
      </c>
      <c r="F136" s="257" t="s">
        <v>108</v>
      </c>
      <c r="G136" s="257" t="s">
        <v>120</v>
      </c>
      <c r="H136" s="258">
        <v>0</v>
      </c>
      <c r="I136" s="259" t="str">
        <f t="shared" si="10"/>
        <v>EUR8F5Y_Quote</v>
      </c>
      <c r="J136" s="260" t="str">
        <f>_xll.qlSwapRateHelper2(,$I136,$C136,Calendar,$E136,$F136,$G136,$J$4,$H136,B136,Discounting,Permanent,,ObjectOverwrite)</f>
        <v>obj_00856#0001</v>
      </c>
      <c r="K136" s="261" t="str">
        <f>_xll.ohRangeRetrieveError(J136)</f>
        <v/>
      </c>
      <c r="L136" s="119"/>
      <c r="N136" s="265"/>
    </row>
    <row r="137" spans="1:14" x14ac:dyDescent="0.2">
      <c r="A137" s="65"/>
      <c r="B137" s="97" t="s">
        <v>26</v>
      </c>
      <c r="C137" s="97" t="s">
        <v>28</v>
      </c>
      <c r="D137" s="97" t="str">
        <f t="shared" si="9"/>
        <v>8F</v>
      </c>
      <c r="E137" s="257" t="s">
        <v>161</v>
      </c>
      <c r="F137" s="257" t="s">
        <v>108</v>
      </c>
      <c r="G137" s="257" t="s">
        <v>120</v>
      </c>
      <c r="H137" s="258">
        <v>0</v>
      </c>
      <c r="I137" s="259" t="str">
        <f t="shared" si="10"/>
        <v>EUR8F6Y_Quote</v>
      </c>
      <c r="J137" s="260" t="str">
        <f>_xll.qlSwapRateHelper2(,$I137,$C137,Calendar,$E137,$F137,$G137,$J$4,$H137,B137,Discounting,Permanent,,ObjectOverwrite)</f>
        <v>obj_0073c#0001</v>
      </c>
      <c r="K137" s="261" t="str">
        <f>_xll.ohRangeRetrieveError(J137)</f>
        <v/>
      </c>
      <c r="L137" s="119"/>
      <c r="N137" s="265"/>
    </row>
    <row r="138" spans="1:14" x14ac:dyDescent="0.2">
      <c r="A138" s="65"/>
      <c r="B138" s="97" t="s">
        <v>26</v>
      </c>
      <c r="C138" s="97" t="s">
        <v>27</v>
      </c>
      <c r="D138" s="97" t="str">
        <f t="shared" si="9"/>
        <v>8F</v>
      </c>
      <c r="E138" s="257" t="s">
        <v>161</v>
      </c>
      <c r="F138" s="257" t="s">
        <v>108</v>
      </c>
      <c r="G138" s="257" t="s">
        <v>120</v>
      </c>
      <c r="H138" s="258">
        <v>0</v>
      </c>
      <c r="I138" s="259" t="str">
        <f t="shared" si="10"/>
        <v>EUR8F7Y_Quote</v>
      </c>
      <c r="J138" s="260" t="str">
        <f>_xll.qlSwapRateHelper2(,$I138,$C138,Calendar,$E138,$F138,$G138,$J$4,$H138,B138,Discounting,Permanent,,ObjectOverwrite)</f>
        <v>obj_00741#0001</v>
      </c>
      <c r="K138" s="261" t="str">
        <f>_xll.ohRangeRetrieveError(J138)</f>
        <v/>
      </c>
      <c r="L138" s="119"/>
      <c r="N138" s="265"/>
    </row>
    <row r="139" spans="1:14" x14ac:dyDescent="0.2">
      <c r="A139" s="65"/>
      <c r="B139" s="97" t="s">
        <v>26</v>
      </c>
      <c r="C139" s="97" t="s">
        <v>26</v>
      </c>
      <c r="D139" s="97" t="str">
        <f t="shared" si="9"/>
        <v>8F</v>
      </c>
      <c r="E139" s="257" t="s">
        <v>161</v>
      </c>
      <c r="F139" s="257" t="s">
        <v>108</v>
      </c>
      <c r="G139" s="257" t="s">
        <v>120</v>
      </c>
      <c r="H139" s="258">
        <v>0</v>
      </c>
      <c r="I139" s="259" t="str">
        <f t="shared" si="10"/>
        <v>EUR8F8Y_Quote</v>
      </c>
      <c r="J139" s="260" t="str">
        <f>_xll.qlSwapRateHelper2(,$I139,$C139,Calendar,$E139,$F139,$G139,$J$4,$H139,B139,Discounting,Permanent,,ObjectOverwrite)</f>
        <v>obj_007ae#0001</v>
      </c>
      <c r="K139" s="261" t="str">
        <f>_xll.ohRangeRetrieveError(J139)</f>
        <v/>
      </c>
      <c r="L139" s="119"/>
      <c r="N139" s="265"/>
    </row>
    <row r="140" spans="1:14" x14ac:dyDescent="0.2">
      <c r="A140" s="65"/>
      <c r="B140" s="97" t="s">
        <v>26</v>
      </c>
      <c r="C140" s="97" t="s">
        <v>25</v>
      </c>
      <c r="D140" s="97" t="str">
        <f t="shared" si="9"/>
        <v>8F</v>
      </c>
      <c r="E140" s="257" t="s">
        <v>161</v>
      </c>
      <c r="F140" s="257" t="s">
        <v>108</v>
      </c>
      <c r="G140" s="257" t="s">
        <v>120</v>
      </c>
      <c r="H140" s="258">
        <v>0</v>
      </c>
      <c r="I140" s="259" t="str">
        <f t="shared" si="10"/>
        <v>EUR8F9Y_Quote</v>
      </c>
      <c r="J140" s="260" t="str">
        <f>_xll.qlSwapRateHelper2(,$I140,$C140,Calendar,$E140,$F140,$G140,$J$4,$H140,B140,Discounting,Permanent,,ObjectOverwrite)</f>
        <v>obj_00854#0001</v>
      </c>
      <c r="K140" s="261" t="str">
        <f>_xll.ohRangeRetrieveError(J140)</f>
        <v/>
      </c>
      <c r="L140" s="119"/>
      <c r="N140" s="265"/>
    </row>
    <row r="141" spans="1:14" x14ac:dyDescent="0.2">
      <c r="A141" s="65"/>
      <c r="B141" s="97" t="s">
        <v>26</v>
      </c>
      <c r="C141" s="97" t="s">
        <v>24</v>
      </c>
      <c r="D141" s="97" t="str">
        <f t="shared" si="9"/>
        <v>8F</v>
      </c>
      <c r="E141" s="257" t="s">
        <v>161</v>
      </c>
      <c r="F141" s="257" t="s">
        <v>108</v>
      </c>
      <c r="G141" s="257" t="s">
        <v>120</v>
      </c>
      <c r="H141" s="258">
        <v>0</v>
      </c>
      <c r="I141" s="259" t="str">
        <f t="shared" si="10"/>
        <v>EUR8F10Y_Quote</v>
      </c>
      <c r="J141" s="260" t="str">
        <f>_xll.qlSwapRateHelper2(,$I141,$C141,Calendar,$E141,$F141,$G141,$J$4,$H141,B141,Discounting,Permanent,,ObjectOverwrite)</f>
        <v>obj_00740#0001</v>
      </c>
      <c r="K141" s="261" t="str">
        <f>_xll.ohRangeRetrieveError(J141)</f>
        <v/>
      </c>
      <c r="L141" s="119"/>
      <c r="N141" s="265"/>
    </row>
    <row r="142" spans="1:14" x14ac:dyDescent="0.2">
      <c r="A142" s="65"/>
      <c r="B142" s="97" t="s">
        <v>26</v>
      </c>
      <c r="C142" s="97" t="s">
        <v>23</v>
      </c>
      <c r="D142" s="97" t="str">
        <f t="shared" si="9"/>
        <v>8F</v>
      </c>
      <c r="E142" s="257" t="s">
        <v>161</v>
      </c>
      <c r="F142" s="257" t="s">
        <v>108</v>
      </c>
      <c r="G142" s="257" t="s">
        <v>120</v>
      </c>
      <c r="H142" s="258">
        <v>0</v>
      </c>
      <c r="I142" s="259" t="str">
        <f t="shared" si="10"/>
        <v>EUR8F11Y_Quote</v>
      </c>
      <c r="J142" s="260" t="str">
        <f>_xll.qlSwapRateHelper2(,$I142,$C142,Calendar,$E142,$F142,$G142,$J$4,$H142,B142,Discounting,Permanent,,ObjectOverwrite)</f>
        <v>obj_00791#0001</v>
      </c>
      <c r="K142" s="261" t="str">
        <f>_xll.ohRangeRetrieveError(J142)</f>
        <v/>
      </c>
      <c r="L142" s="119"/>
      <c r="N142" s="265"/>
    </row>
    <row r="143" spans="1:14" x14ac:dyDescent="0.2">
      <c r="A143" s="65"/>
      <c r="B143" s="97" t="s">
        <v>26</v>
      </c>
      <c r="C143" s="97" t="s">
        <v>22</v>
      </c>
      <c r="D143" s="97" t="str">
        <f t="shared" si="9"/>
        <v>8F</v>
      </c>
      <c r="E143" s="257" t="s">
        <v>161</v>
      </c>
      <c r="F143" s="257" t="s">
        <v>108</v>
      </c>
      <c r="G143" s="257" t="s">
        <v>120</v>
      </c>
      <c r="H143" s="258">
        <v>0</v>
      </c>
      <c r="I143" s="259" t="str">
        <f t="shared" si="10"/>
        <v>EUR8F12Y_Quote</v>
      </c>
      <c r="J143" s="260" t="str">
        <f>_xll.qlSwapRateHelper2(,$I143,$C143,Calendar,$E143,$F143,$G143,$J$4,$H143,B143,Discounting,Permanent,,ObjectOverwrite)</f>
        <v>obj_00833#0001</v>
      </c>
      <c r="K143" s="261" t="str">
        <f>_xll.ohRangeRetrieveError(J143)</f>
        <v/>
      </c>
      <c r="L143" s="119"/>
      <c r="N143" s="265"/>
    </row>
    <row r="144" spans="1:14" x14ac:dyDescent="0.2">
      <c r="A144" s="65"/>
      <c r="B144" s="97" t="s">
        <v>26</v>
      </c>
      <c r="C144" s="97" t="s">
        <v>21</v>
      </c>
      <c r="D144" s="97" t="str">
        <f t="shared" si="9"/>
        <v>8F</v>
      </c>
      <c r="E144" s="257" t="s">
        <v>161</v>
      </c>
      <c r="F144" s="257" t="s">
        <v>108</v>
      </c>
      <c r="G144" s="257" t="s">
        <v>120</v>
      </c>
      <c r="H144" s="258">
        <v>0</v>
      </c>
      <c r="I144" s="259" t="str">
        <f t="shared" si="10"/>
        <v>EUR8F13Y_Quote</v>
      </c>
      <c r="J144" s="260" t="str">
        <f>_xll.qlSwapRateHelper2(,$I144,$C144,Calendar,$E144,$F144,$G144,$J$4,$H144,B144,Discounting,Permanent,,ObjectOverwrite)</f>
        <v>obj_0083d#0001</v>
      </c>
      <c r="K144" s="261" t="str">
        <f>_xll.ohRangeRetrieveError(J144)</f>
        <v/>
      </c>
      <c r="L144" s="119"/>
      <c r="N144" s="265"/>
    </row>
    <row r="145" spans="1:14" x14ac:dyDescent="0.2">
      <c r="A145" s="65"/>
      <c r="B145" s="97" t="s">
        <v>26</v>
      </c>
      <c r="C145" s="97" t="s">
        <v>20</v>
      </c>
      <c r="D145" s="97" t="str">
        <f t="shared" si="9"/>
        <v>8F</v>
      </c>
      <c r="E145" s="257" t="s">
        <v>161</v>
      </c>
      <c r="F145" s="257" t="s">
        <v>108</v>
      </c>
      <c r="G145" s="257" t="s">
        <v>120</v>
      </c>
      <c r="H145" s="258">
        <v>0</v>
      </c>
      <c r="I145" s="259" t="str">
        <f t="shared" si="10"/>
        <v>EUR8F14Y_Quote</v>
      </c>
      <c r="J145" s="260" t="str">
        <f>_xll.qlSwapRateHelper2(,$I145,$C145,Calendar,$E145,$F145,$G145,$J$4,$H145,B145,Discounting,Permanent,,ObjectOverwrite)</f>
        <v>obj_0074b#0001</v>
      </c>
      <c r="K145" s="261" t="str">
        <f>_xll.ohRangeRetrieveError(J145)</f>
        <v/>
      </c>
      <c r="L145" s="119"/>
      <c r="N145" s="265"/>
    </row>
    <row r="146" spans="1:14" x14ac:dyDescent="0.2">
      <c r="A146" s="65"/>
      <c r="B146" s="97" t="s">
        <v>26</v>
      </c>
      <c r="C146" s="97" t="s">
        <v>19</v>
      </c>
      <c r="D146" s="97" t="str">
        <f t="shared" si="9"/>
        <v>8F</v>
      </c>
      <c r="E146" s="257" t="s">
        <v>161</v>
      </c>
      <c r="F146" s="257" t="s">
        <v>108</v>
      </c>
      <c r="G146" s="257" t="s">
        <v>120</v>
      </c>
      <c r="H146" s="258">
        <v>0</v>
      </c>
      <c r="I146" s="259" t="str">
        <f t="shared" si="10"/>
        <v>EUR8F15Y_Quote</v>
      </c>
      <c r="J146" s="260" t="str">
        <f>_xll.qlSwapRateHelper2(,$I146,$C146,Calendar,$E146,$F146,$G146,$J$4,$H146,B146,Discounting,Permanent,,ObjectOverwrite)</f>
        <v>obj_00834#0001</v>
      </c>
      <c r="K146" s="261" t="str">
        <f>_xll.ohRangeRetrieveError(J146)</f>
        <v/>
      </c>
      <c r="L146" s="119"/>
      <c r="N146" s="265"/>
    </row>
    <row r="147" spans="1:14" x14ac:dyDescent="0.2">
      <c r="A147" s="65"/>
      <c r="B147" s="97" t="s">
        <v>26</v>
      </c>
      <c r="C147" s="97" t="s">
        <v>14</v>
      </c>
      <c r="D147" s="97" t="str">
        <f t="shared" si="9"/>
        <v>8F</v>
      </c>
      <c r="E147" s="257" t="s">
        <v>161</v>
      </c>
      <c r="F147" s="257" t="s">
        <v>108</v>
      </c>
      <c r="G147" s="257" t="s">
        <v>120</v>
      </c>
      <c r="H147" s="258">
        <v>0</v>
      </c>
      <c r="I147" s="259" t="str">
        <f t="shared" si="10"/>
        <v>EUR8F20Y_Quote</v>
      </c>
      <c r="J147" s="260" t="str">
        <f>_xll.qlSwapRateHelper2(,$I147,$C147,Calendar,$E147,$F147,$G147,$J$4,$H147,B147,Discounting,Permanent,,ObjectOverwrite)</f>
        <v>obj_00852#0001</v>
      </c>
      <c r="K147" s="261" t="str">
        <f>_xll.ohRangeRetrieveError(J147)</f>
        <v/>
      </c>
      <c r="L147" s="119"/>
      <c r="N147" s="265"/>
    </row>
    <row r="148" spans="1:14" x14ac:dyDescent="0.2">
      <c r="A148" s="65"/>
      <c r="B148" s="97" t="s">
        <v>26</v>
      </c>
      <c r="C148" s="97" t="s">
        <v>9</v>
      </c>
      <c r="D148" s="97" t="str">
        <f t="shared" si="9"/>
        <v>8F</v>
      </c>
      <c r="E148" s="257" t="s">
        <v>161</v>
      </c>
      <c r="F148" s="257" t="s">
        <v>108</v>
      </c>
      <c r="G148" s="257" t="s">
        <v>120</v>
      </c>
      <c r="H148" s="258">
        <v>0</v>
      </c>
      <c r="I148" s="259" t="str">
        <f t="shared" si="10"/>
        <v>EUR8F25Y_Quote</v>
      </c>
      <c r="J148" s="260" t="str">
        <f>_xll.qlSwapRateHelper2(,$I148,$C148,Calendar,$E148,$F148,$G148,$J$4,$H148,B148,Discounting,Permanent,,ObjectOverwrite)</f>
        <v>obj_00858#0001</v>
      </c>
      <c r="K148" s="261" t="str">
        <f>_xll.ohRangeRetrieveError(J148)</f>
        <v/>
      </c>
      <c r="L148" s="119"/>
      <c r="N148" s="265"/>
    </row>
    <row r="149" spans="1:14" x14ac:dyDescent="0.2">
      <c r="A149" s="65"/>
      <c r="B149" s="262" t="s">
        <v>26</v>
      </c>
      <c r="C149" s="262" t="s">
        <v>4</v>
      </c>
      <c r="D149" s="262" t="str">
        <f t="shared" si="9"/>
        <v>8F</v>
      </c>
      <c r="E149" s="122" t="s">
        <v>161</v>
      </c>
      <c r="F149" s="122" t="s">
        <v>108</v>
      </c>
      <c r="G149" s="122" t="s">
        <v>120</v>
      </c>
      <c r="H149" s="263">
        <v>0</v>
      </c>
      <c r="I149" s="121" t="str">
        <f t="shared" si="10"/>
        <v>EUR8F30Y_Quote</v>
      </c>
      <c r="J149" s="147" t="str">
        <f>_xll.qlSwapRateHelper2(,$I149,$C149,Calendar,$E149,$F149,$G149,$J$4,$H149,B149,Discounting,Permanent,,ObjectOverwrite)</f>
        <v>obj_007d3#0001</v>
      </c>
      <c r="K149" s="264" t="str">
        <f>_xll.ohRangeRetrieveError(J149)</f>
        <v/>
      </c>
      <c r="L149" s="119"/>
      <c r="N149" s="265"/>
    </row>
    <row r="150" spans="1:14" x14ac:dyDescent="0.2">
      <c r="A150" s="65"/>
      <c r="B150" s="102" t="s">
        <v>25</v>
      </c>
      <c r="C150" s="102" t="s">
        <v>36</v>
      </c>
      <c r="D150" s="102" t="str">
        <f>LEFT(B150,1)&amp;"F"</f>
        <v>9F</v>
      </c>
      <c r="E150" s="111" t="s">
        <v>161</v>
      </c>
      <c r="F150" s="111" t="s">
        <v>108</v>
      </c>
      <c r="G150" s="111" t="s">
        <v>120</v>
      </c>
      <c r="H150" s="253">
        <v>0</v>
      </c>
      <c r="I150" s="254" t="str">
        <f t="shared" si="10"/>
        <v>EUR9F1Y_Quote</v>
      </c>
      <c r="J150" s="255" t="str">
        <f>_xll.qlSwapRateHelper2(,$I150,$C150,Calendar,$E150,$F150,$G150,$J$4,$H150,B150,Discounting,Permanent,,ObjectOverwrite)</f>
        <v>obj_00742#0001</v>
      </c>
      <c r="K150" s="256" t="str">
        <f>_xll.ohRangeRetrieveError(J150)</f>
        <v/>
      </c>
      <c r="L150" s="119"/>
      <c r="N150" s="265"/>
    </row>
    <row r="151" spans="1:14" x14ac:dyDescent="0.2">
      <c r="A151" s="65"/>
      <c r="B151" s="97" t="s">
        <v>25</v>
      </c>
      <c r="C151" s="97" t="s">
        <v>32</v>
      </c>
      <c r="D151" s="97" t="str">
        <f t="shared" ref="D151:D167" si="11">LEFT(B151,1)&amp;"F"</f>
        <v>9F</v>
      </c>
      <c r="E151" s="257" t="s">
        <v>161</v>
      </c>
      <c r="F151" s="257" t="s">
        <v>108</v>
      </c>
      <c r="G151" s="257" t="s">
        <v>120</v>
      </c>
      <c r="H151" s="258">
        <v>0</v>
      </c>
      <c r="I151" s="259" t="str">
        <f t="shared" si="10"/>
        <v>EUR9F2Y_Quote</v>
      </c>
      <c r="J151" s="260" t="str">
        <f>_xll.qlSwapRateHelper2(,$I151,$C151,Calendar,$E151,$F151,$G151,$J$4,$H151,B151,Discounting,Permanent,,ObjectOverwrite)</f>
        <v>obj_00847#0001</v>
      </c>
      <c r="K151" s="261" t="str">
        <f>_xll.ohRangeRetrieveError(J151)</f>
        <v/>
      </c>
      <c r="L151" s="119"/>
      <c r="N151" s="265"/>
    </row>
    <row r="152" spans="1:14" x14ac:dyDescent="0.2">
      <c r="A152" s="65"/>
      <c r="B152" s="97" t="s">
        <v>25</v>
      </c>
      <c r="C152" s="97" t="s">
        <v>31</v>
      </c>
      <c r="D152" s="97" t="str">
        <f t="shared" si="11"/>
        <v>9F</v>
      </c>
      <c r="E152" s="257" t="s">
        <v>161</v>
      </c>
      <c r="F152" s="257" t="s">
        <v>108</v>
      </c>
      <c r="G152" s="257" t="s">
        <v>120</v>
      </c>
      <c r="H152" s="258">
        <v>0</v>
      </c>
      <c r="I152" s="259" t="str">
        <f t="shared" si="10"/>
        <v>EUR9F3Y_Quote</v>
      </c>
      <c r="J152" s="260" t="str">
        <f>_xll.qlSwapRateHelper2(,$I152,$C152,Calendar,$E152,$F152,$G152,$J$4,$H152,B152,Discounting,Permanent,,ObjectOverwrite)</f>
        <v>obj_0078c#0001</v>
      </c>
      <c r="K152" s="261" t="str">
        <f>_xll.ohRangeRetrieveError(J152)</f>
        <v/>
      </c>
      <c r="L152" s="119"/>
      <c r="N152" s="265"/>
    </row>
    <row r="153" spans="1:14" x14ac:dyDescent="0.2">
      <c r="A153" s="65"/>
      <c r="B153" s="97" t="s">
        <v>25</v>
      </c>
      <c r="C153" s="97" t="s">
        <v>30</v>
      </c>
      <c r="D153" s="97" t="str">
        <f t="shared" si="11"/>
        <v>9F</v>
      </c>
      <c r="E153" s="257" t="s">
        <v>161</v>
      </c>
      <c r="F153" s="257" t="s">
        <v>108</v>
      </c>
      <c r="G153" s="257" t="s">
        <v>120</v>
      </c>
      <c r="H153" s="258">
        <v>0</v>
      </c>
      <c r="I153" s="259" t="str">
        <f t="shared" si="10"/>
        <v>EUR9F4Y_Quote</v>
      </c>
      <c r="J153" s="260" t="str">
        <f>_xll.qlSwapRateHelper2(,$I153,$C153,Calendar,$E153,$F153,$G153,$J$4,$H153,B153,Discounting,Permanent,,ObjectOverwrite)</f>
        <v>obj_00749#0001</v>
      </c>
      <c r="K153" s="261" t="str">
        <f>_xll.ohRangeRetrieveError(J153)</f>
        <v/>
      </c>
      <c r="L153" s="119"/>
      <c r="N153" s="265"/>
    </row>
    <row r="154" spans="1:14" x14ac:dyDescent="0.2">
      <c r="A154" s="65"/>
      <c r="B154" s="97" t="s">
        <v>25</v>
      </c>
      <c r="C154" s="97" t="s">
        <v>29</v>
      </c>
      <c r="D154" s="97" t="str">
        <f t="shared" si="11"/>
        <v>9F</v>
      </c>
      <c r="E154" s="257" t="s">
        <v>161</v>
      </c>
      <c r="F154" s="257" t="s">
        <v>108</v>
      </c>
      <c r="G154" s="257" t="s">
        <v>120</v>
      </c>
      <c r="H154" s="258">
        <v>0</v>
      </c>
      <c r="I154" s="259" t="str">
        <f t="shared" si="10"/>
        <v>EUR9F5Y_Quote</v>
      </c>
      <c r="J154" s="260" t="str">
        <f>_xll.qlSwapRateHelper2(,$I154,$C154,Calendar,$E154,$F154,$G154,$J$4,$H154,B154,Discounting,Permanent,,ObjectOverwrite)</f>
        <v>obj_007c3#0001</v>
      </c>
      <c r="K154" s="261" t="str">
        <f>_xll.ohRangeRetrieveError(J154)</f>
        <v/>
      </c>
      <c r="L154" s="119"/>
      <c r="N154" s="265"/>
    </row>
    <row r="155" spans="1:14" x14ac:dyDescent="0.2">
      <c r="A155" s="65"/>
      <c r="B155" s="97" t="s">
        <v>25</v>
      </c>
      <c r="C155" s="97" t="s">
        <v>28</v>
      </c>
      <c r="D155" s="97" t="str">
        <f t="shared" si="11"/>
        <v>9F</v>
      </c>
      <c r="E155" s="257" t="s">
        <v>161</v>
      </c>
      <c r="F155" s="257" t="s">
        <v>108</v>
      </c>
      <c r="G155" s="257" t="s">
        <v>120</v>
      </c>
      <c r="H155" s="258">
        <v>0</v>
      </c>
      <c r="I155" s="259" t="str">
        <f t="shared" si="10"/>
        <v>EUR9F6Y_Quote</v>
      </c>
      <c r="J155" s="260" t="str">
        <f>_xll.qlSwapRateHelper2(,$I155,$C155,Calendar,$E155,$F155,$G155,$J$4,$H155,B155,Discounting,Permanent,,ObjectOverwrite)</f>
        <v>obj_007e4#0001</v>
      </c>
      <c r="K155" s="261" t="str">
        <f>_xll.ohRangeRetrieveError(J155)</f>
        <v/>
      </c>
      <c r="L155" s="119"/>
      <c r="N155" s="265"/>
    </row>
    <row r="156" spans="1:14" x14ac:dyDescent="0.2">
      <c r="A156" s="65"/>
      <c r="B156" s="97" t="s">
        <v>25</v>
      </c>
      <c r="C156" s="97" t="s">
        <v>27</v>
      </c>
      <c r="D156" s="97" t="str">
        <f t="shared" si="11"/>
        <v>9F</v>
      </c>
      <c r="E156" s="257" t="s">
        <v>161</v>
      </c>
      <c r="F156" s="257" t="s">
        <v>108</v>
      </c>
      <c r="G156" s="257" t="s">
        <v>120</v>
      </c>
      <c r="H156" s="258">
        <v>0</v>
      </c>
      <c r="I156" s="259" t="str">
        <f t="shared" si="10"/>
        <v>EUR9F7Y_Quote</v>
      </c>
      <c r="J156" s="260" t="str">
        <f>_xll.qlSwapRateHelper2(,$I156,$C156,Calendar,$E156,$F156,$G156,$J$4,$H156,B156,Discounting,Permanent,,ObjectOverwrite)</f>
        <v>obj_0078b#0001</v>
      </c>
      <c r="K156" s="261" t="str">
        <f>_xll.ohRangeRetrieveError(J156)</f>
        <v/>
      </c>
      <c r="L156" s="119"/>
      <c r="N156" s="265"/>
    </row>
    <row r="157" spans="1:14" x14ac:dyDescent="0.2">
      <c r="A157" s="65"/>
      <c r="B157" s="97" t="s">
        <v>25</v>
      </c>
      <c r="C157" s="97" t="s">
        <v>26</v>
      </c>
      <c r="D157" s="97" t="str">
        <f t="shared" si="11"/>
        <v>9F</v>
      </c>
      <c r="E157" s="257" t="s">
        <v>161</v>
      </c>
      <c r="F157" s="257" t="s">
        <v>108</v>
      </c>
      <c r="G157" s="257" t="s">
        <v>120</v>
      </c>
      <c r="H157" s="258">
        <v>0</v>
      </c>
      <c r="I157" s="259" t="str">
        <f t="shared" si="10"/>
        <v>EUR9F8Y_Quote</v>
      </c>
      <c r="J157" s="260" t="str">
        <f>_xll.qlSwapRateHelper2(,$I157,$C157,Calendar,$E157,$F157,$G157,$J$4,$H157,B157,Discounting,Permanent,,ObjectOverwrite)</f>
        <v>obj_00804#0001</v>
      </c>
      <c r="K157" s="261" t="str">
        <f>_xll.ohRangeRetrieveError(J157)</f>
        <v/>
      </c>
      <c r="L157" s="119"/>
      <c r="N157" s="265"/>
    </row>
    <row r="158" spans="1:14" x14ac:dyDescent="0.2">
      <c r="A158" s="65"/>
      <c r="B158" s="97" t="s">
        <v>25</v>
      </c>
      <c r="C158" s="97" t="s">
        <v>25</v>
      </c>
      <c r="D158" s="97" t="str">
        <f t="shared" si="11"/>
        <v>9F</v>
      </c>
      <c r="E158" s="257" t="s">
        <v>161</v>
      </c>
      <c r="F158" s="257" t="s">
        <v>108</v>
      </c>
      <c r="G158" s="257" t="s">
        <v>120</v>
      </c>
      <c r="H158" s="258">
        <v>0</v>
      </c>
      <c r="I158" s="259" t="str">
        <f t="shared" si="10"/>
        <v>EUR9F9Y_Quote</v>
      </c>
      <c r="J158" s="260" t="str">
        <f>_xll.qlSwapRateHelper2(,$I158,$C158,Calendar,$E158,$F158,$G158,$J$4,$H158,B158,Discounting,Permanent,,ObjectOverwrite)</f>
        <v>obj_007f6#0001</v>
      </c>
      <c r="K158" s="261" t="str">
        <f>_xll.ohRangeRetrieveError(J158)</f>
        <v/>
      </c>
      <c r="L158" s="119"/>
      <c r="N158" s="265"/>
    </row>
    <row r="159" spans="1:14" x14ac:dyDescent="0.2">
      <c r="A159" s="65"/>
      <c r="B159" s="97" t="s">
        <v>25</v>
      </c>
      <c r="C159" s="97" t="s">
        <v>24</v>
      </c>
      <c r="D159" s="97" t="str">
        <f t="shared" si="11"/>
        <v>9F</v>
      </c>
      <c r="E159" s="257" t="s">
        <v>161</v>
      </c>
      <c r="F159" s="257" t="s">
        <v>108</v>
      </c>
      <c r="G159" s="257" t="s">
        <v>120</v>
      </c>
      <c r="H159" s="258">
        <v>0</v>
      </c>
      <c r="I159" s="259" t="str">
        <f t="shared" si="10"/>
        <v>EUR9F10Y_Quote</v>
      </c>
      <c r="J159" s="260" t="str">
        <f>_xll.qlSwapRateHelper2(,$I159,$C159,Calendar,$E159,$F159,$G159,$J$4,$H159,B159,Discounting,Permanent,,ObjectOverwrite)</f>
        <v>obj_00807#0001</v>
      </c>
      <c r="K159" s="261" t="str">
        <f>_xll.ohRangeRetrieveError(J159)</f>
        <v/>
      </c>
      <c r="L159" s="119"/>
      <c r="N159" s="265"/>
    </row>
    <row r="160" spans="1:14" x14ac:dyDescent="0.2">
      <c r="A160" s="65"/>
      <c r="B160" s="97" t="s">
        <v>25</v>
      </c>
      <c r="C160" s="97" t="s">
        <v>23</v>
      </c>
      <c r="D160" s="97" t="str">
        <f t="shared" si="11"/>
        <v>9F</v>
      </c>
      <c r="E160" s="257" t="s">
        <v>161</v>
      </c>
      <c r="F160" s="257" t="s">
        <v>108</v>
      </c>
      <c r="G160" s="257" t="s">
        <v>120</v>
      </c>
      <c r="H160" s="258">
        <v>0</v>
      </c>
      <c r="I160" s="259" t="str">
        <f t="shared" si="10"/>
        <v>EUR9F11Y_Quote</v>
      </c>
      <c r="J160" s="260" t="str">
        <f>_xll.qlSwapRateHelper2(,$I160,$C160,Calendar,$E160,$F160,$G160,$J$4,$H160,B160,Discounting,Permanent,,ObjectOverwrite)</f>
        <v>obj_007ba#0001</v>
      </c>
      <c r="K160" s="261" t="str">
        <f>_xll.ohRangeRetrieveError(J160)</f>
        <v/>
      </c>
      <c r="L160" s="119"/>
      <c r="N160" s="265"/>
    </row>
    <row r="161" spans="1:14" x14ac:dyDescent="0.2">
      <c r="A161" s="65"/>
      <c r="B161" s="97" t="s">
        <v>25</v>
      </c>
      <c r="C161" s="97" t="s">
        <v>22</v>
      </c>
      <c r="D161" s="97" t="str">
        <f t="shared" si="11"/>
        <v>9F</v>
      </c>
      <c r="E161" s="257" t="s">
        <v>161</v>
      </c>
      <c r="F161" s="257" t="s">
        <v>108</v>
      </c>
      <c r="G161" s="257" t="s">
        <v>120</v>
      </c>
      <c r="H161" s="258">
        <v>0</v>
      </c>
      <c r="I161" s="259" t="str">
        <f t="shared" si="10"/>
        <v>EUR9F12Y_Quote</v>
      </c>
      <c r="J161" s="260" t="str">
        <f>_xll.qlSwapRateHelper2(,$I161,$C161,Calendar,$E161,$F161,$G161,$J$4,$H161,B161,Discounting,Permanent,,ObjectOverwrite)</f>
        <v>obj_00866#0001</v>
      </c>
      <c r="K161" s="261" t="str">
        <f>_xll.ohRangeRetrieveError(J161)</f>
        <v/>
      </c>
      <c r="L161" s="119"/>
      <c r="N161" s="265"/>
    </row>
    <row r="162" spans="1:14" x14ac:dyDescent="0.2">
      <c r="A162" s="65"/>
      <c r="B162" s="97" t="s">
        <v>25</v>
      </c>
      <c r="C162" s="97" t="s">
        <v>21</v>
      </c>
      <c r="D162" s="97" t="str">
        <f t="shared" si="11"/>
        <v>9F</v>
      </c>
      <c r="E162" s="257" t="s">
        <v>161</v>
      </c>
      <c r="F162" s="257" t="s">
        <v>108</v>
      </c>
      <c r="G162" s="257" t="s">
        <v>120</v>
      </c>
      <c r="H162" s="258">
        <v>0</v>
      </c>
      <c r="I162" s="259" t="str">
        <f t="shared" si="10"/>
        <v>EUR9F13Y_Quote</v>
      </c>
      <c r="J162" s="260" t="str">
        <f>_xll.qlSwapRateHelper2(,$I162,$C162,Calendar,$E162,$F162,$G162,$J$4,$H162,B162,Discounting,Permanent,,ObjectOverwrite)</f>
        <v>obj_0075d#0001</v>
      </c>
      <c r="K162" s="261" t="str">
        <f>_xll.ohRangeRetrieveError(J162)</f>
        <v/>
      </c>
      <c r="L162" s="119"/>
      <c r="N162" s="265"/>
    </row>
    <row r="163" spans="1:14" x14ac:dyDescent="0.2">
      <c r="A163" s="65"/>
      <c r="B163" s="97" t="s">
        <v>25</v>
      </c>
      <c r="C163" s="97" t="s">
        <v>20</v>
      </c>
      <c r="D163" s="97" t="str">
        <f t="shared" si="11"/>
        <v>9F</v>
      </c>
      <c r="E163" s="257" t="s">
        <v>161</v>
      </c>
      <c r="F163" s="257" t="s">
        <v>108</v>
      </c>
      <c r="G163" s="257" t="s">
        <v>120</v>
      </c>
      <c r="H163" s="258">
        <v>0</v>
      </c>
      <c r="I163" s="259" t="str">
        <f t="shared" si="10"/>
        <v>EUR9F14Y_Quote</v>
      </c>
      <c r="J163" s="260" t="str">
        <f>_xll.qlSwapRateHelper2(,$I163,$C163,Calendar,$E163,$F163,$G163,$J$4,$H163,B163,Discounting,Permanent,,ObjectOverwrite)</f>
        <v>obj_0084c#0001</v>
      </c>
      <c r="K163" s="261" t="str">
        <f>_xll.ohRangeRetrieveError(J163)</f>
        <v/>
      </c>
      <c r="L163" s="119"/>
      <c r="N163" s="265"/>
    </row>
    <row r="164" spans="1:14" x14ac:dyDescent="0.2">
      <c r="A164" s="65"/>
      <c r="B164" s="97" t="s">
        <v>25</v>
      </c>
      <c r="C164" s="97" t="s">
        <v>19</v>
      </c>
      <c r="D164" s="97" t="str">
        <f t="shared" si="11"/>
        <v>9F</v>
      </c>
      <c r="E164" s="257" t="s">
        <v>161</v>
      </c>
      <c r="F164" s="257" t="s">
        <v>108</v>
      </c>
      <c r="G164" s="257" t="s">
        <v>120</v>
      </c>
      <c r="H164" s="258">
        <v>0</v>
      </c>
      <c r="I164" s="259" t="str">
        <f t="shared" si="10"/>
        <v>EUR9F15Y_Quote</v>
      </c>
      <c r="J164" s="260" t="str">
        <f>_xll.qlSwapRateHelper2(,$I164,$C164,Calendar,$E164,$F164,$G164,$J$4,$H164,B164,Discounting,Permanent,,ObjectOverwrite)</f>
        <v>obj_007be#0001</v>
      </c>
      <c r="K164" s="261" t="str">
        <f>_xll.ohRangeRetrieveError(J164)</f>
        <v/>
      </c>
      <c r="L164" s="119"/>
      <c r="N164" s="265"/>
    </row>
    <row r="165" spans="1:14" x14ac:dyDescent="0.2">
      <c r="A165" s="65"/>
      <c r="B165" s="97" t="s">
        <v>25</v>
      </c>
      <c r="C165" s="97" t="s">
        <v>14</v>
      </c>
      <c r="D165" s="97" t="str">
        <f t="shared" si="11"/>
        <v>9F</v>
      </c>
      <c r="E165" s="257" t="s">
        <v>161</v>
      </c>
      <c r="F165" s="257" t="s">
        <v>108</v>
      </c>
      <c r="G165" s="257" t="s">
        <v>120</v>
      </c>
      <c r="H165" s="258">
        <v>0</v>
      </c>
      <c r="I165" s="259" t="str">
        <f t="shared" si="10"/>
        <v>EUR9F20Y_Quote</v>
      </c>
      <c r="J165" s="260" t="str">
        <f>_xll.qlSwapRateHelper2(,$I165,$C165,Calendar,$E165,$F165,$G165,$J$4,$H165,B165,Discounting,Permanent,,ObjectOverwrite)</f>
        <v>obj_0080e#0001</v>
      </c>
      <c r="K165" s="261" t="str">
        <f>_xll.ohRangeRetrieveError(J165)</f>
        <v/>
      </c>
      <c r="L165" s="119"/>
      <c r="N165" s="265"/>
    </row>
    <row r="166" spans="1:14" x14ac:dyDescent="0.2">
      <c r="A166" s="65"/>
      <c r="B166" s="97" t="s">
        <v>25</v>
      </c>
      <c r="C166" s="97" t="s">
        <v>9</v>
      </c>
      <c r="D166" s="97" t="str">
        <f t="shared" si="11"/>
        <v>9F</v>
      </c>
      <c r="E166" s="257" t="s">
        <v>161</v>
      </c>
      <c r="F166" s="257" t="s">
        <v>108</v>
      </c>
      <c r="G166" s="257" t="s">
        <v>120</v>
      </c>
      <c r="H166" s="258">
        <v>0</v>
      </c>
      <c r="I166" s="259" t="str">
        <f t="shared" si="10"/>
        <v>EUR9F25Y_Quote</v>
      </c>
      <c r="J166" s="260" t="str">
        <f>_xll.qlSwapRateHelper2(,$I166,$C166,Calendar,$E166,$F166,$G166,$J$4,$H166,B166,Discounting,Permanent,,ObjectOverwrite)</f>
        <v>obj_00870#0001</v>
      </c>
      <c r="K166" s="261" t="str">
        <f>_xll.ohRangeRetrieveError(J166)</f>
        <v/>
      </c>
      <c r="L166" s="119"/>
      <c r="N166" s="265"/>
    </row>
    <row r="167" spans="1:14" x14ac:dyDescent="0.2">
      <c r="A167" s="65"/>
      <c r="B167" s="262" t="s">
        <v>25</v>
      </c>
      <c r="C167" s="262" t="s">
        <v>4</v>
      </c>
      <c r="D167" s="262" t="str">
        <f t="shared" si="11"/>
        <v>9F</v>
      </c>
      <c r="E167" s="122" t="s">
        <v>161</v>
      </c>
      <c r="F167" s="122" t="s">
        <v>108</v>
      </c>
      <c r="G167" s="122" t="s">
        <v>120</v>
      </c>
      <c r="H167" s="263">
        <v>0</v>
      </c>
      <c r="I167" s="121" t="str">
        <f t="shared" si="10"/>
        <v>EUR9F30Y_Quote</v>
      </c>
      <c r="J167" s="147" t="str">
        <f>_xll.qlSwapRateHelper2(,$I167,$C167,Calendar,$E167,$F167,$G167,$J$4,$H167,B167,Discounting,Permanent,,ObjectOverwrite)</f>
        <v>obj_00867#0001</v>
      </c>
      <c r="K167" s="264" t="str">
        <f>_xll.ohRangeRetrieveError(J167)</f>
        <v/>
      </c>
      <c r="L167" s="119"/>
      <c r="N167" s="265"/>
    </row>
    <row r="168" spans="1:14" x14ac:dyDescent="0.2">
      <c r="A168" s="65"/>
      <c r="B168" s="102" t="s">
        <v>24</v>
      </c>
      <c r="C168" s="102" t="s">
        <v>36</v>
      </c>
      <c r="D168" s="102" t="str">
        <f>LEFT(B168,2)&amp;"F"</f>
        <v>10F</v>
      </c>
      <c r="E168" s="111" t="s">
        <v>161</v>
      </c>
      <c r="F168" s="111" t="s">
        <v>108</v>
      </c>
      <c r="G168" s="111" t="s">
        <v>120</v>
      </c>
      <c r="H168" s="253">
        <v>0</v>
      </c>
      <c r="I168" s="254" t="str">
        <f t="shared" si="10"/>
        <v>EUR10F1Y_Quote</v>
      </c>
      <c r="J168" s="255" t="str">
        <f>_xll.qlSwapRateHelper2(,$I168,$C168,Calendar,$E168,$F168,$G168,$J$4,$H168,B168,Discounting,Permanent,,ObjectOverwrite)</f>
        <v>obj_0086d#0001</v>
      </c>
      <c r="K168" s="256" t="str">
        <f>_xll.ohRangeRetrieveError(J168)</f>
        <v/>
      </c>
      <c r="L168" s="119"/>
      <c r="N168" s="265"/>
    </row>
    <row r="169" spans="1:14" x14ac:dyDescent="0.2">
      <c r="A169" s="65"/>
      <c r="B169" s="97" t="s">
        <v>24</v>
      </c>
      <c r="C169" s="97" t="s">
        <v>32</v>
      </c>
      <c r="D169" s="97" t="str">
        <f t="shared" ref="D169:D185" si="12">LEFT(B169,2)&amp;"F"</f>
        <v>10F</v>
      </c>
      <c r="E169" s="257" t="s">
        <v>161</v>
      </c>
      <c r="F169" s="257" t="s">
        <v>108</v>
      </c>
      <c r="G169" s="257" t="s">
        <v>120</v>
      </c>
      <c r="H169" s="258">
        <v>0</v>
      </c>
      <c r="I169" s="259" t="str">
        <f t="shared" si="10"/>
        <v>EUR10F2Y_Quote</v>
      </c>
      <c r="J169" s="260" t="str">
        <f>_xll.qlSwapRateHelper2(,$I169,$C169,Calendar,$E169,$F169,$G169,$J$4,$H169,B169,Discounting,Permanent,,ObjectOverwrite)</f>
        <v>obj_00828#0001</v>
      </c>
      <c r="K169" s="261" t="str">
        <f>_xll.ohRangeRetrieveError(J169)</f>
        <v/>
      </c>
      <c r="L169" s="119"/>
      <c r="N169" s="265"/>
    </row>
    <row r="170" spans="1:14" x14ac:dyDescent="0.2">
      <c r="A170" s="65"/>
      <c r="B170" s="97" t="s">
        <v>24</v>
      </c>
      <c r="C170" s="97" t="s">
        <v>31</v>
      </c>
      <c r="D170" s="97" t="str">
        <f t="shared" si="12"/>
        <v>10F</v>
      </c>
      <c r="E170" s="257" t="s">
        <v>161</v>
      </c>
      <c r="F170" s="257" t="s">
        <v>108</v>
      </c>
      <c r="G170" s="257" t="s">
        <v>120</v>
      </c>
      <c r="H170" s="258">
        <v>0</v>
      </c>
      <c r="I170" s="259" t="str">
        <f t="shared" si="10"/>
        <v>EUR10F3Y_Quote</v>
      </c>
      <c r="J170" s="260" t="str">
        <f>_xll.qlSwapRateHelper2(,$I170,$C170,Calendar,$E170,$F170,$G170,$J$4,$H170,B170,Discounting,Permanent,,ObjectOverwrite)</f>
        <v>obj_00842#0001</v>
      </c>
      <c r="K170" s="261" t="str">
        <f>_xll.ohRangeRetrieveError(J170)</f>
        <v/>
      </c>
      <c r="L170" s="119"/>
      <c r="N170" s="265"/>
    </row>
    <row r="171" spans="1:14" x14ac:dyDescent="0.2">
      <c r="A171" s="65"/>
      <c r="B171" s="97" t="s">
        <v>24</v>
      </c>
      <c r="C171" s="97" t="s">
        <v>30</v>
      </c>
      <c r="D171" s="97" t="str">
        <f t="shared" si="12"/>
        <v>10F</v>
      </c>
      <c r="E171" s="257" t="s">
        <v>161</v>
      </c>
      <c r="F171" s="257" t="s">
        <v>108</v>
      </c>
      <c r="G171" s="257" t="s">
        <v>120</v>
      </c>
      <c r="H171" s="258">
        <v>0</v>
      </c>
      <c r="I171" s="259" t="str">
        <f t="shared" si="10"/>
        <v>EUR10F4Y_Quote</v>
      </c>
      <c r="J171" s="260" t="str">
        <f>_xll.qlSwapRateHelper2(,$I171,$C171,Calendar,$E171,$F171,$G171,$J$4,$H171,B171,Discounting,Permanent,,ObjectOverwrite)</f>
        <v>obj_00819#0001</v>
      </c>
      <c r="K171" s="261" t="str">
        <f>_xll.ohRangeRetrieveError(J171)</f>
        <v/>
      </c>
      <c r="L171" s="119"/>
      <c r="N171" s="265"/>
    </row>
    <row r="172" spans="1:14" x14ac:dyDescent="0.2">
      <c r="A172" s="65"/>
      <c r="B172" s="97" t="s">
        <v>24</v>
      </c>
      <c r="C172" s="97" t="s">
        <v>29</v>
      </c>
      <c r="D172" s="97" t="str">
        <f t="shared" si="12"/>
        <v>10F</v>
      </c>
      <c r="E172" s="257" t="s">
        <v>161</v>
      </c>
      <c r="F172" s="257" t="s">
        <v>108</v>
      </c>
      <c r="G172" s="257" t="s">
        <v>120</v>
      </c>
      <c r="H172" s="258">
        <v>0</v>
      </c>
      <c r="I172" s="259" t="str">
        <f t="shared" si="10"/>
        <v>EUR10F5Y_Quote</v>
      </c>
      <c r="J172" s="260" t="str">
        <f>_xll.qlSwapRateHelper2(,$I172,$C172,Calendar,$E172,$F172,$G172,$J$4,$H172,B172,Discounting,Permanent,,ObjectOverwrite)</f>
        <v>obj_0078a#0001</v>
      </c>
      <c r="K172" s="261" t="str">
        <f>_xll.ohRangeRetrieveError(J172)</f>
        <v/>
      </c>
      <c r="L172" s="119"/>
      <c r="N172" s="265"/>
    </row>
    <row r="173" spans="1:14" x14ac:dyDescent="0.2">
      <c r="A173" s="65"/>
      <c r="B173" s="97" t="s">
        <v>24</v>
      </c>
      <c r="C173" s="97" t="s">
        <v>28</v>
      </c>
      <c r="D173" s="97" t="str">
        <f t="shared" si="12"/>
        <v>10F</v>
      </c>
      <c r="E173" s="257" t="s">
        <v>161</v>
      </c>
      <c r="F173" s="257" t="s">
        <v>108</v>
      </c>
      <c r="G173" s="257" t="s">
        <v>120</v>
      </c>
      <c r="H173" s="258">
        <v>0</v>
      </c>
      <c r="I173" s="259" t="str">
        <f t="shared" si="10"/>
        <v>EUR10F6Y_Quote</v>
      </c>
      <c r="J173" s="260" t="str">
        <f>_xll.qlSwapRateHelper2(,$I173,$C173,Calendar,$E173,$F173,$G173,$J$4,$H173,B173,Discounting,Permanent,,ObjectOverwrite)</f>
        <v>obj_00855#0001</v>
      </c>
      <c r="K173" s="261" t="str">
        <f>_xll.ohRangeRetrieveError(J173)</f>
        <v/>
      </c>
      <c r="L173" s="119"/>
      <c r="N173" s="265"/>
    </row>
    <row r="174" spans="1:14" x14ac:dyDescent="0.2">
      <c r="A174" s="65"/>
      <c r="B174" s="97" t="s">
        <v>24</v>
      </c>
      <c r="C174" s="97" t="s">
        <v>27</v>
      </c>
      <c r="D174" s="97" t="str">
        <f t="shared" si="12"/>
        <v>10F</v>
      </c>
      <c r="E174" s="257" t="s">
        <v>161</v>
      </c>
      <c r="F174" s="257" t="s">
        <v>108</v>
      </c>
      <c r="G174" s="257" t="s">
        <v>120</v>
      </c>
      <c r="H174" s="258">
        <v>0</v>
      </c>
      <c r="I174" s="259" t="str">
        <f t="shared" si="10"/>
        <v>EUR10F7Y_Quote</v>
      </c>
      <c r="J174" s="260" t="str">
        <f>_xll.qlSwapRateHelper2(,$I174,$C174,Calendar,$E174,$F174,$G174,$J$4,$H174,B174,Discounting,Permanent,,ObjectOverwrite)</f>
        <v>obj_00747#0001</v>
      </c>
      <c r="K174" s="261" t="str">
        <f>_xll.ohRangeRetrieveError(J174)</f>
        <v/>
      </c>
      <c r="L174" s="119"/>
      <c r="N174" s="265"/>
    </row>
    <row r="175" spans="1:14" x14ac:dyDescent="0.2">
      <c r="A175" s="65"/>
      <c r="B175" s="97" t="s">
        <v>24</v>
      </c>
      <c r="C175" s="97" t="s">
        <v>26</v>
      </c>
      <c r="D175" s="97" t="str">
        <f t="shared" si="12"/>
        <v>10F</v>
      </c>
      <c r="E175" s="257" t="s">
        <v>161</v>
      </c>
      <c r="F175" s="257" t="s">
        <v>108</v>
      </c>
      <c r="G175" s="257" t="s">
        <v>120</v>
      </c>
      <c r="H175" s="258">
        <v>0</v>
      </c>
      <c r="I175" s="259" t="str">
        <f t="shared" si="10"/>
        <v>EUR10F8Y_Quote</v>
      </c>
      <c r="J175" s="260" t="str">
        <f>_xll.qlSwapRateHelper2(,$I175,$C175,Calendar,$E175,$F175,$G175,$J$4,$H175,B175,Discounting,Permanent,,ObjectOverwrite)</f>
        <v>obj_0087d#0001</v>
      </c>
      <c r="K175" s="261" t="str">
        <f>_xll.ohRangeRetrieveError(J175)</f>
        <v/>
      </c>
      <c r="L175" s="119"/>
      <c r="N175" s="265"/>
    </row>
    <row r="176" spans="1:14" x14ac:dyDescent="0.2">
      <c r="A176" s="65"/>
      <c r="B176" s="97" t="s">
        <v>24</v>
      </c>
      <c r="C176" s="97" t="s">
        <v>25</v>
      </c>
      <c r="D176" s="97" t="str">
        <f t="shared" si="12"/>
        <v>10F</v>
      </c>
      <c r="E176" s="257" t="s">
        <v>161</v>
      </c>
      <c r="F176" s="257" t="s">
        <v>108</v>
      </c>
      <c r="G176" s="257" t="s">
        <v>120</v>
      </c>
      <c r="H176" s="258">
        <v>0</v>
      </c>
      <c r="I176" s="259" t="str">
        <f t="shared" si="10"/>
        <v>EUR10F9Y_Quote</v>
      </c>
      <c r="J176" s="260" t="str">
        <f>_xll.qlSwapRateHelper2(,$I176,$C176,Calendar,$E176,$F176,$G176,$J$4,$H176,B176,Discounting,Permanent,,ObjectOverwrite)</f>
        <v>obj_007e1#0001</v>
      </c>
      <c r="K176" s="261" t="str">
        <f>_xll.ohRangeRetrieveError(J176)</f>
        <v/>
      </c>
      <c r="L176" s="119"/>
      <c r="N176" s="265"/>
    </row>
    <row r="177" spans="1:14" x14ac:dyDescent="0.2">
      <c r="A177" s="65"/>
      <c r="B177" s="97" t="s">
        <v>24</v>
      </c>
      <c r="C177" s="97" t="s">
        <v>24</v>
      </c>
      <c r="D177" s="97" t="str">
        <f t="shared" si="12"/>
        <v>10F</v>
      </c>
      <c r="E177" s="257" t="s">
        <v>161</v>
      </c>
      <c r="F177" s="257" t="s">
        <v>108</v>
      </c>
      <c r="G177" s="257" t="s">
        <v>120</v>
      </c>
      <c r="H177" s="258">
        <v>0</v>
      </c>
      <c r="I177" s="259" t="str">
        <f t="shared" si="10"/>
        <v>EUR10F10Y_Quote</v>
      </c>
      <c r="J177" s="260" t="str">
        <f>_xll.qlSwapRateHelper2(,$I177,$C177,Calendar,$E177,$F177,$G177,$J$4,$H177,B177,Discounting,Permanent,,ObjectOverwrite)</f>
        <v>obj_0085f#0001</v>
      </c>
      <c r="K177" s="261" t="str">
        <f>_xll.ohRangeRetrieveError(J177)</f>
        <v/>
      </c>
      <c r="L177" s="119"/>
      <c r="N177" s="265"/>
    </row>
    <row r="178" spans="1:14" x14ac:dyDescent="0.2">
      <c r="A178" s="65"/>
      <c r="B178" s="97" t="s">
        <v>24</v>
      </c>
      <c r="C178" s="97" t="s">
        <v>23</v>
      </c>
      <c r="D178" s="97" t="str">
        <f t="shared" si="12"/>
        <v>10F</v>
      </c>
      <c r="E178" s="257" t="s">
        <v>161</v>
      </c>
      <c r="F178" s="257" t="s">
        <v>108</v>
      </c>
      <c r="G178" s="257" t="s">
        <v>120</v>
      </c>
      <c r="H178" s="258">
        <v>0</v>
      </c>
      <c r="I178" s="259" t="str">
        <f t="shared" si="10"/>
        <v>EUR10F11Y_Quote</v>
      </c>
      <c r="J178" s="260" t="str">
        <f>_xll.qlSwapRateHelper2(,$I178,$C178,Calendar,$E178,$F178,$G178,$J$4,$H178,B178,Discounting,Permanent,,ObjectOverwrite)</f>
        <v>obj_00763#0001</v>
      </c>
      <c r="K178" s="261" t="str">
        <f>_xll.ohRangeRetrieveError(J178)</f>
        <v/>
      </c>
      <c r="L178" s="119"/>
      <c r="N178" s="265"/>
    </row>
    <row r="179" spans="1:14" x14ac:dyDescent="0.2">
      <c r="A179" s="65"/>
      <c r="B179" s="97" t="s">
        <v>24</v>
      </c>
      <c r="C179" s="97" t="s">
        <v>22</v>
      </c>
      <c r="D179" s="97" t="str">
        <f t="shared" si="12"/>
        <v>10F</v>
      </c>
      <c r="E179" s="257" t="s">
        <v>161</v>
      </c>
      <c r="F179" s="257" t="s">
        <v>108</v>
      </c>
      <c r="G179" s="257" t="s">
        <v>120</v>
      </c>
      <c r="H179" s="258">
        <v>0</v>
      </c>
      <c r="I179" s="259" t="str">
        <f t="shared" si="10"/>
        <v>EUR10F12Y_Quote</v>
      </c>
      <c r="J179" s="260" t="str">
        <f>_xll.qlSwapRateHelper2(,$I179,$C179,Calendar,$E179,$F179,$G179,$J$4,$H179,B179,Discounting,Permanent,,ObjectOverwrite)</f>
        <v>obj_0077b#0001</v>
      </c>
      <c r="K179" s="261" t="str">
        <f>_xll.ohRangeRetrieveError(J179)</f>
        <v/>
      </c>
      <c r="L179" s="119"/>
      <c r="N179" s="265"/>
    </row>
    <row r="180" spans="1:14" x14ac:dyDescent="0.2">
      <c r="A180" s="65"/>
      <c r="B180" s="97" t="s">
        <v>24</v>
      </c>
      <c r="C180" s="97" t="s">
        <v>21</v>
      </c>
      <c r="D180" s="97" t="str">
        <f t="shared" si="12"/>
        <v>10F</v>
      </c>
      <c r="E180" s="257" t="s">
        <v>161</v>
      </c>
      <c r="F180" s="257" t="s">
        <v>108</v>
      </c>
      <c r="G180" s="257" t="s">
        <v>120</v>
      </c>
      <c r="H180" s="258">
        <v>0</v>
      </c>
      <c r="I180" s="259" t="str">
        <f t="shared" si="10"/>
        <v>EUR10F13Y_Quote</v>
      </c>
      <c r="J180" s="260" t="str">
        <f>_xll.qlSwapRateHelper2(,$I180,$C180,Calendar,$E180,$F180,$G180,$J$4,$H180,B180,Discounting,Permanent,,ObjectOverwrite)</f>
        <v>obj_00812#0001</v>
      </c>
      <c r="K180" s="261" t="str">
        <f>_xll.ohRangeRetrieveError(J180)</f>
        <v/>
      </c>
      <c r="L180" s="119"/>
      <c r="N180" s="265"/>
    </row>
    <row r="181" spans="1:14" x14ac:dyDescent="0.2">
      <c r="A181" s="65"/>
      <c r="B181" s="97" t="s">
        <v>24</v>
      </c>
      <c r="C181" s="97" t="s">
        <v>20</v>
      </c>
      <c r="D181" s="97" t="str">
        <f t="shared" si="12"/>
        <v>10F</v>
      </c>
      <c r="E181" s="257" t="s">
        <v>161</v>
      </c>
      <c r="F181" s="257" t="s">
        <v>108</v>
      </c>
      <c r="G181" s="257" t="s">
        <v>120</v>
      </c>
      <c r="H181" s="258">
        <v>0</v>
      </c>
      <c r="I181" s="259" t="str">
        <f t="shared" si="10"/>
        <v>EUR10F14Y_Quote</v>
      </c>
      <c r="J181" s="260" t="str">
        <f>_xll.qlSwapRateHelper2(,$I181,$C181,Calendar,$E181,$F181,$G181,$J$4,$H181,B181,Discounting,Permanent,,ObjectOverwrite)</f>
        <v>obj_007bf#0001</v>
      </c>
      <c r="K181" s="261" t="str">
        <f>_xll.ohRangeRetrieveError(J181)</f>
        <v/>
      </c>
      <c r="L181" s="119"/>
      <c r="N181" s="265"/>
    </row>
    <row r="182" spans="1:14" x14ac:dyDescent="0.2">
      <c r="A182" s="65"/>
      <c r="B182" s="97" t="s">
        <v>24</v>
      </c>
      <c r="C182" s="97" t="s">
        <v>19</v>
      </c>
      <c r="D182" s="97" t="str">
        <f t="shared" si="12"/>
        <v>10F</v>
      </c>
      <c r="E182" s="257" t="s">
        <v>161</v>
      </c>
      <c r="F182" s="257" t="s">
        <v>108</v>
      </c>
      <c r="G182" s="257" t="s">
        <v>120</v>
      </c>
      <c r="H182" s="258">
        <v>0</v>
      </c>
      <c r="I182" s="259" t="str">
        <f t="shared" si="10"/>
        <v>EUR10F15Y_Quote</v>
      </c>
      <c r="J182" s="260" t="str">
        <f>_xll.qlSwapRateHelper2(,$I182,$C182,Calendar,$E182,$F182,$G182,$J$4,$H182,B182,Discounting,Permanent,,ObjectOverwrite)</f>
        <v>obj_00875#0001</v>
      </c>
      <c r="K182" s="261" t="str">
        <f>_xll.ohRangeRetrieveError(J182)</f>
        <v/>
      </c>
      <c r="L182" s="119"/>
      <c r="N182" s="265"/>
    </row>
    <row r="183" spans="1:14" x14ac:dyDescent="0.2">
      <c r="A183" s="65"/>
      <c r="B183" s="97" t="s">
        <v>24</v>
      </c>
      <c r="C183" s="97" t="s">
        <v>14</v>
      </c>
      <c r="D183" s="97" t="str">
        <f t="shared" si="12"/>
        <v>10F</v>
      </c>
      <c r="E183" s="257" t="s">
        <v>161</v>
      </c>
      <c r="F183" s="257" t="s">
        <v>108</v>
      </c>
      <c r="G183" s="257" t="s">
        <v>120</v>
      </c>
      <c r="H183" s="258">
        <v>0</v>
      </c>
      <c r="I183" s="259" t="str">
        <f t="shared" si="10"/>
        <v>EUR10F20Y_Quote</v>
      </c>
      <c r="J183" s="260" t="str">
        <f>_xll.qlSwapRateHelper2(,$I183,$C183,Calendar,$E183,$F183,$G183,$J$4,$H183,B183,Discounting,Permanent,,ObjectOverwrite)</f>
        <v>obj_00766#0001</v>
      </c>
      <c r="K183" s="261" t="str">
        <f>_xll.ohRangeRetrieveError(J183)</f>
        <v/>
      </c>
      <c r="L183" s="119"/>
      <c r="N183" s="265"/>
    </row>
    <row r="184" spans="1:14" x14ac:dyDescent="0.2">
      <c r="A184" s="65"/>
      <c r="B184" s="97" t="s">
        <v>24</v>
      </c>
      <c r="C184" s="97" t="s">
        <v>9</v>
      </c>
      <c r="D184" s="97" t="str">
        <f t="shared" si="12"/>
        <v>10F</v>
      </c>
      <c r="E184" s="257" t="s">
        <v>161</v>
      </c>
      <c r="F184" s="257" t="s">
        <v>108</v>
      </c>
      <c r="G184" s="257" t="s">
        <v>120</v>
      </c>
      <c r="H184" s="258">
        <v>0</v>
      </c>
      <c r="I184" s="259" t="str">
        <f t="shared" si="10"/>
        <v>EUR10F25Y_Quote</v>
      </c>
      <c r="J184" s="260" t="str">
        <f>_xll.qlSwapRateHelper2(,$I184,$C184,Calendar,$E184,$F184,$G184,$J$4,$H184,B184,Discounting,Permanent,,ObjectOverwrite)</f>
        <v>obj_00808#0001</v>
      </c>
      <c r="K184" s="261" t="str">
        <f>_xll.ohRangeRetrieveError(J184)</f>
        <v/>
      </c>
      <c r="L184" s="119"/>
      <c r="N184" s="265"/>
    </row>
    <row r="185" spans="1:14" x14ac:dyDescent="0.2">
      <c r="A185" s="65"/>
      <c r="B185" s="262" t="s">
        <v>24</v>
      </c>
      <c r="C185" s="262" t="s">
        <v>4</v>
      </c>
      <c r="D185" s="262" t="str">
        <f t="shared" si="12"/>
        <v>10F</v>
      </c>
      <c r="E185" s="122" t="s">
        <v>161</v>
      </c>
      <c r="F185" s="122" t="s">
        <v>108</v>
      </c>
      <c r="G185" s="122" t="s">
        <v>120</v>
      </c>
      <c r="H185" s="263">
        <v>0</v>
      </c>
      <c r="I185" s="121" t="str">
        <f t="shared" si="10"/>
        <v>EUR10F30Y_Quote</v>
      </c>
      <c r="J185" s="147" t="str">
        <f>_xll.qlSwapRateHelper2(,$I185,$C185,Calendar,$E185,$F185,$G185,$J$4,$H185,B185,Discounting,Permanent,,ObjectOverwrite)</f>
        <v>obj_0080d#0001</v>
      </c>
      <c r="K185" s="264" t="str">
        <f>_xll.ohRangeRetrieveError(J185)</f>
        <v/>
      </c>
      <c r="L185" s="119"/>
      <c r="N185" s="265"/>
    </row>
    <row r="186" spans="1:14" x14ac:dyDescent="0.2">
      <c r="A186" s="65"/>
      <c r="B186" s="102" t="s">
        <v>23</v>
      </c>
      <c r="C186" s="102" t="s">
        <v>36</v>
      </c>
      <c r="D186" s="102" t="str">
        <f>LEFT(B186,2)&amp;"F"</f>
        <v>11F</v>
      </c>
      <c r="E186" s="111" t="s">
        <v>161</v>
      </c>
      <c r="F186" s="111" t="s">
        <v>108</v>
      </c>
      <c r="G186" s="111" t="s">
        <v>120</v>
      </c>
      <c r="H186" s="253">
        <v>0</v>
      </c>
      <c r="I186" s="254" t="str">
        <f t="shared" si="10"/>
        <v>EUR11F1Y_Quote</v>
      </c>
      <c r="J186" s="255" t="str">
        <f>_xll.qlSwapRateHelper2(,$I186,$C186,Calendar,$E186,$F186,$G186,$J$4,$H186,B186,Discounting,Permanent,,ObjectOverwrite)</f>
        <v>obj_00879#0001</v>
      </c>
      <c r="K186" s="256" t="str">
        <f>_xll.ohRangeRetrieveError(J186)</f>
        <v/>
      </c>
      <c r="L186" s="119"/>
      <c r="N186" s="265"/>
    </row>
    <row r="187" spans="1:14" x14ac:dyDescent="0.2">
      <c r="A187" s="65"/>
      <c r="B187" s="97" t="s">
        <v>23</v>
      </c>
      <c r="C187" s="97" t="s">
        <v>32</v>
      </c>
      <c r="D187" s="97" t="str">
        <f t="shared" ref="D187:D203" si="13">LEFT(B187,2)&amp;"F"</f>
        <v>11F</v>
      </c>
      <c r="E187" s="257" t="s">
        <v>161</v>
      </c>
      <c r="F187" s="257" t="s">
        <v>108</v>
      </c>
      <c r="G187" s="257" t="s">
        <v>120</v>
      </c>
      <c r="H187" s="258">
        <v>0</v>
      </c>
      <c r="I187" s="259" t="str">
        <f t="shared" si="10"/>
        <v>EUR11F2Y_Quote</v>
      </c>
      <c r="J187" s="260" t="str">
        <f>_xll.qlSwapRateHelper2(,$I187,$C187,Calendar,$E187,$F187,$G187,$J$4,$H187,B187,Discounting,Permanent,,ObjectOverwrite)</f>
        <v>obj_007af#0001</v>
      </c>
      <c r="K187" s="261" t="str">
        <f>_xll.ohRangeRetrieveError(J187)</f>
        <v/>
      </c>
      <c r="L187" s="119"/>
      <c r="N187" s="265"/>
    </row>
    <row r="188" spans="1:14" x14ac:dyDescent="0.2">
      <c r="A188" s="65"/>
      <c r="B188" s="97" t="s">
        <v>23</v>
      </c>
      <c r="C188" s="97" t="s">
        <v>31</v>
      </c>
      <c r="D188" s="97" t="str">
        <f t="shared" si="13"/>
        <v>11F</v>
      </c>
      <c r="E188" s="257" t="s">
        <v>161</v>
      </c>
      <c r="F188" s="257" t="s">
        <v>108</v>
      </c>
      <c r="G188" s="257" t="s">
        <v>120</v>
      </c>
      <c r="H188" s="258">
        <v>0</v>
      </c>
      <c r="I188" s="259" t="str">
        <f t="shared" si="10"/>
        <v>EUR11F3Y_Quote</v>
      </c>
      <c r="J188" s="260" t="str">
        <f>_xll.qlSwapRateHelper2(,$I188,$C188,Calendar,$E188,$F188,$G188,$J$4,$H188,B188,Discounting,Permanent,,ObjectOverwrite)</f>
        <v>obj_0085e#0001</v>
      </c>
      <c r="K188" s="261" t="str">
        <f>_xll.ohRangeRetrieveError(J188)</f>
        <v/>
      </c>
      <c r="L188" s="119"/>
      <c r="N188" s="265"/>
    </row>
    <row r="189" spans="1:14" x14ac:dyDescent="0.2">
      <c r="A189" s="65"/>
      <c r="B189" s="97" t="s">
        <v>23</v>
      </c>
      <c r="C189" s="97" t="s">
        <v>30</v>
      </c>
      <c r="D189" s="97" t="str">
        <f t="shared" si="13"/>
        <v>11F</v>
      </c>
      <c r="E189" s="257" t="s">
        <v>161</v>
      </c>
      <c r="F189" s="257" t="s">
        <v>108</v>
      </c>
      <c r="G189" s="257" t="s">
        <v>120</v>
      </c>
      <c r="H189" s="258">
        <v>0</v>
      </c>
      <c r="I189" s="259" t="str">
        <f t="shared" si="10"/>
        <v>EUR11F4Y_Quote</v>
      </c>
      <c r="J189" s="260" t="str">
        <f>_xll.qlSwapRateHelper2(,$I189,$C189,Calendar,$E189,$F189,$G189,$J$4,$H189,B189,Discounting,Permanent,,ObjectOverwrite)</f>
        <v>obj_0081c#0001</v>
      </c>
      <c r="K189" s="261" t="str">
        <f>_xll.ohRangeRetrieveError(J189)</f>
        <v/>
      </c>
      <c r="L189" s="119"/>
      <c r="N189" s="265"/>
    </row>
    <row r="190" spans="1:14" x14ac:dyDescent="0.2">
      <c r="A190" s="65"/>
      <c r="B190" s="97" t="s">
        <v>23</v>
      </c>
      <c r="C190" s="97" t="s">
        <v>29</v>
      </c>
      <c r="D190" s="97" t="str">
        <f t="shared" si="13"/>
        <v>11F</v>
      </c>
      <c r="E190" s="257" t="s">
        <v>161</v>
      </c>
      <c r="F190" s="257" t="s">
        <v>108</v>
      </c>
      <c r="G190" s="257" t="s">
        <v>120</v>
      </c>
      <c r="H190" s="258">
        <v>0</v>
      </c>
      <c r="I190" s="259" t="str">
        <f t="shared" si="10"/>
        <v>EUR11F5Y_Quote</v>
      </c>
      <c r="J190" s="260" t="str">
        <f>_xll.qlSwapRateHelper2(,$I190,$C190,Calendar,$E190,$F190,$G190,$J$4,$H190,B190,Discounting,Permanent,,ObjectOverwrite)</f>
        <v>obj_00785#0001</v>
      </c>
      <c r="K190" s="261" t="str">
        <f>_xll.ohRangeRetrieveError(J190)</f>
        <v/>
      </c>
      <c r="L190" s="119"/>
      <c r="N190" s="265"/>
    </row>
    <row r="191" spans="1:14" x14ac:dyDescent="0.2">
      <c r="A191" s="65"/>
      <c r="B191" s="97" t="s">
        <v>23</v>
      </c>
      <c r="C191" s="97" t="s">
        <v>28</v>
      </c>
      <c r="D191" s="97" t="str">
        <f t="shared" si="13"/>
        <v>11F</v>
      </c>
      <c r="E191" s="257" t="s">
        <v>161</v>
      </c>
      <c r="F191" s="257" t="s">
        <v>108</v>
      </c>
      <c r="G191" s="257" t="s">
        <v>120</v>
      </c>
      <c r="H191" s="258">
        <v>0</v>
      </c>
      <c r="I191" s="259" t="str">
        <f t="shared" si="10"/>
        <v>EUR11F6Y_Quote</v>
      </c>
      <c r="J191" s="260" t="str">
        <f>_xll.qlSwapRateHelper2(,$I191,$C191,Calendar,$E191,$F191,$G191,$J$4,$H191,B191,Discounting,Permanent,,ObjectOverwrite)</f>
        <v>obj_00832#0001</v>
      </c>
      <c r="K191" s="261" t="str">
        <f>_xll.ohRangeRetrieveError(J191)</f>
        <v/>
      </c>
      <c r="L191" s="119"/>
      <c r="N191" s="265"/>
    </row>
    <row r="192" spans="1:14" x14ac:dyDescent="0.2">
      <c r="A192" s="65"/>
      <c r="B192" s="97" t="s">
        <v>23</v>
      </c>
      <c r="C192" s="97" t="s">
        <v>27</v>
      </c>
      <c r="D192" s="97" t="str">
        <f t="shared" si="13"/>
        <v>11F</v>
      </c>
      <c r="E192" s="257" t="s">
        <v>161</v>
      </c>
      <c r="F192" s="257" t="s">
        <v>108</v>
      </c>
      <c r="G192" s="257" t="s">
        <v>120</v>
      </c>
      <c r="H192" s="258">
        <v>0</v>
      </c>
      <c r="I192" s="259" t="str">
        <f t="shared" si="10"/>
        <v>EUR11F7Y_Quote</v>
      </c>
      <c r="J192" s="260" t="str">
        <f>_xll.qlSwapRateHelper2(,$I192,$C192,Calendar,$E192,$F192,$G192,$J$4,$H192,B192,Discounting,Permanent,,ObjectOverwrite)</f>
        <v>obj_0086c#0001</v>
      </c>
      <c r="K192" s="261" t="str">
        <f>_xll.ohRangeRetrieveError(J192)</f>
        <v/>
      </c>
      <c r="L192" s="119"/>
      <c r="N192" s="265"/>
    </row>
    <row r="193" spans="1:14" x14ac:dyDescent="0.2">
      <c r="A193" s="65"/>
      <c r="B193" s="97" t="s">
        <v>23</v>
      </c>
      <c r="C193" s="97" t="s">
        <v>26</v>
      </c>
      <c r="D193" s="97" t="str">
        <f t="shared" si="13"/>
        <v>11F</v>
      </c>
      <c r="E193" s="257" t="s">
        <v>161</v>
      </c>
      <c r="F193" s="257" t="s">
        <v>108</v>
      </c>
      <c r="G193" s="257" t="s">
        <v>120</v>
      </c>
      <c r="H193" s="258">
        <v>0</v>
      </c>
      <c r="I193" s="259" t="str">
        <f t="shared" si="10"/>
        <v>EUR11F8Y_Quote</v>
      </c>
      <c r="J193" s="260" t="str">
        <f>_xll.qlSwapRateHelper2(,$I193,$C193,Calendar,$E193,$F193,$G193,$J$4,$H193,B193,Discounting,Permanent,,ObjectOverwrite)</f>
        <v>obj_00761#0001</v>
      </c>
      <c r="K193" s="261" t="str">
        <f>_xll.ohRangeRetrieveError(J193)</f>
        <v/>
      </c>
      <c r="L193" s="119"/>
      <c r="N193" s="265"/>
    </row>
    <row r="194" spans="1:14" x14ac:dyDescent="0.2">
      <c r="A194" s="65"/>
      <c r="B194" s="97" t="s">
        <v>23</v>
      </c>
      <c r="C194" s="97" t="s">
        <v>25</v>
      </c>
      <c r="D194" s="97" t="str">
        <f t="shared" si="13"/>
        <v>11F</v>
      </c>
      <c r="E194" s="257" t="s">
        <v>161</v>
      </c>
      <c r="F194" s="257" t="s">
        <v>108</v>
      </c>
      <c r="G194" s="257" t="s">
        <v>120</v>
      </c>
      <c r="H194" s="258">
        <v>0</v>
      </c>
      <c r="I194" s="259" t="str">
        <f t="shared" si="10"/>
        <v>EUR11F9Y_Quote</v>
      </c>
      <c r="J194" s="260" t="str">
        <f>_xll.qlSwapRateHelper2(,$I194,$C194,Calendar,$E194,$F194,$G194,$J$4,$H194,B194,Discounting,Permanent,,ObjectOverwrite)</f>
        <v>obj_00771#0001</v>
      </c>
      <c r="K194" s="261" t="str">
        <f>_xll.ohRangeRetrieveError(J194)</f>
        <v/>
      </c>
      <c r="L194" s="119"/>
      <c r="N194" s="265"/>
    </row>
    <row r="195" spans="1:14" x14ac:dyDescent="0.2">
      <c r="A195" s="65"/>
      <c r="B195" s="97" t="s">
        <v>23</v>
      </c>
      <c r="C195" s="97" t="s">
        <v>24</v>
      </c>
      <c r="D195" s="97" t="str">
        <f t="shared" si="13"/>
        <v>11F</v>
      </c>
      <c r="E195" s="257" t="s">
        <v>161</v>
      </c>
      <c r="F195" s="257" t="s">
        <v>108</v>
      </c>
      <c r="G195" s="257" t="s">
        <v>120</v>
      </c>
      <c r="H195" s="258">
        <v>0</v>
      </c>
      <c r="I195" s="259" t="str">
        <f t="shared" si="10"/>
        <v>EUR11F10Y_Quote</v>
      </c>
      <c r="J195" s="260" t="str">
        <f>_xll.qlSwapRateHelper2(,$I195,$C195,Calendar,$E195,$F195,$G195,$J$4,$H195,B195,Discounting,Permanent,,ObjectOverwrite)</f>
        <v>obj_0083c#0001</v>
      </c>
      <c r="K195" s="261" t="str">
        <f>_xll.ohRangeRetrieveError(J195)</f>
        <v/>
      </c>
      <c r="L195" s="119"/>
      <c r="N195" s="265"/>
    </row>
    <row r="196" spans="1:14" x14ac:dyDescent="0.2">
      <c r="A196" s="65"/>
      <c r="B196" s="97" t="s">
        <v>23</v>
      </c>
      <c r="C196" s="97" t="s">
        <v>23</v>
      </c>
      <c r="D196" s="97" t="str">
        <f t="shared" si="13"/>
        <v>11F</v>
      </c>
      <c r="E196" s="257" t="s">
        <v>161</v>
      </c>
      <c r="F196" s="257" t="s">
        <v>108</v>
      </c>
      <c r="G196" s="257" t="s">
        <v>120</v>
      </c>
      <c r="H196" s="258">
        <v>0</v>
      </c>
      <c r="I196" s="259" t="str">
        <f t="shared" si="10"/>
        <v>EUR11F11Y_Quote</v>
      </c>
      <c r="J196" s="260" t="str">
        <f>_xll.qlSwapRateHelper2(,$I196,$C196,Calendar,$E196,$F196,$G196,$J$4,$H196,B196,Discounting,Permanent,,ObjectOverwrite)</f>
        <v>obj_00841#0001</v>
      </c>
      <c r="K196" s="261" t="str">
        <f>_xll.ohRangeRetrieveError(J196)</f>
        <v/>
      </c>
      <c r="L196" s="119"/>
      <c r="N196" s="265"/>
    </row>
    <row r="197" spans="1:14" x14ac:dyDescent="0.2">
      <c r="A197" s="65"/>
      <c r="B197" s="97" t="s">
        <v>23</v>
      </c>
      <c r="C197" s="97" t="s">
        <v>22</v>
      </c>
      <c r="D197" s="97" t="str">
        <f t="shared" si="13"/>
        <v>11F</v>
      </c>
      <c r="E197" s="257" t="s">
        <v>161</v>
      </c>
      <c r="F197" s="257" t="s">
        <v>108</v>
      </c>
      <c r="G197" s="257" t="s">
        <v>120</v>
      </c>
      <c r="H197" s="258">
        <v>0</v>
      </c>
      <c r="I197" s="259" t="str">
        <f t="shared" si="10"/>
        <v>EUR11F12Y_Quote</v>
      </c>
      <c r="J197" s="260" t="str">
        <f>_xll.qlSwapRateHelper2(,$I197,$C197,Calendar,$E197,$F197,$G197,$J$4,$H197,B197,Discounting,Permanent,,ObjectOverwrite)</f>
        <v>obj_0076a#0001</v>
      </c>
      <c r="K197" s="261" t="str">
        <f>_xll.ohRangeRetrieveError(J197)</f>
        <v/>
      </c>
      <c r="L197" s="119"/>
      <c r="N197" s="265"/>
    </row>
    <row r="198" spans="1:14" x14ac:dyDescent="0.2">
      <c r="A198" s="65"/>
      <c r="B198" s="97" t="s">
        <v>23</v>
      </c>
      <c r="C198" s="97" t="s">
        <v>21</v>
      </c>
      <c r="D198" s="97" t="str">
        <f t="shared" si="13"/>
        <v>11F</v>
      </c>
      <c r="E198" s="257" t="s">
        <v>161</v>
      </c>
      <c r="F198" s="257" t="s">
        <v>108</v>
      </c>
      <c r="G198" s="257" t="s">
        <v>120</v>
      </c>
      <c r="H198" s="258">
        <v>0</v>
      </c>
      <c r="I198" s="259" t="str">
        <f t="shared" ref="I198:I261" si="14">Currency&amp;$D198&amp;$C198&amp;QuoteSuffix</f>
        <v>EUR11F13Y_Quote</v>
      </c>
      <c r="J198" s="260" t="str">
        <f>_xll.qlSwapRateHelper2(,$I198,$C198,Calendar,$E198,$F198,$G198,$J$4,$H198,B198,Discounting,Permanent,,ObjectOverwrite)</f>
        <v>obj_00831#0001</v>
      </c>
      <c r="K198" s="261" t="str">
        <f>_xll.ohRangeRetrieveError(J198)</f>
        <v/>
      </c>
      <c r="L198" s="119"/>
      <c r="N198" s="265"/>
    </row>
    <row r="199" spans="1:14" x14ac:dyDescent="0.2">
      <c r="A199" s="65"/>
      <c r="B199" s="97" t="s">
        <v>23</v>
      </c>
      <c r="C199" s="97" t="s">
        <v>20</v>
      </c>
      <c r="D199" s="97" t="str">
        <f t="shared" si="13"/>
        <v>11F</v>
      </c>
      <c r="E199" s="257" t="s">
        <v>161</v>
      </c>
      <c r="F199" s="257" t="s">
        <v>108</v>
      </c>
      <c r="G199" s="257" t="s">
        <v>120</v>
      </c>
      <c r="H199" s="258">
        <v>0</v>
      </c>
      <c r="I199" s="259" t="str">
        <f t="shared" si="14"/>
        <v>EUR11F14Y_Quote</v>
      </c>
      <c r="J199" s="260" t="str">
        <f>_xll.qlSwapRateHelper2(,$I199,$C199,Calendar,$E199,$F199,$G199,$J$4,$H199,B199,Discounting,Permanent,,ObjectOverwrite)</f>
        <v>obj_0077f#0001</v>
      </c>
      <c r="K199" s="261" t="str">
        <f>_xll.ohRangeRetrieveError(J199)</f>
        <v/>
      </c>
      <c r="L199" s="119"/>
      <c r="N199" s="265"/>
    </row>
    <row r="200" spans="1:14" x14ac:dyDescent="0.2">
      <c r="A200" s="65"/>
      <c r="B200" s="97" t="s">
        <v>23</v>
      </c>
      <c r="C200" s="97" t="s">
        <v>19</v>
      </c>
      <c r="D200" s="97" t="str">
        <f t="shared" si="13"/>
        <v>11F</v>
      </c>
      <c r="E200" s="257" t="s">
        <v>161</v>
      </c>
      <c r="F200" s="257" t="s">
        <v>108</v>
      </c>
      <c r="G200" s="257" t="s">
        <v>120</v>
      </c>
      <c r="H200" s="258">
        <v>0</v>
      </c>
      <c r="I200" s="259" t="str">
        <f t="shared" si="14"/>
        <v>EUR11F15Y_Quote</v>
      </c>
      <c r="J200" s="260" t="str">
        <f>_xll.qlSwapRateHelper2(,$I200,$C200,Calendar,$E200,$F200,$G200,$J$4,$H200,B200,Discounting,Permanent,,ObjectOverwrite)</f>
        <v>obj_007c2#0001</v>
      </c>
      <c r="K200" s="261" t="str">
        <f>_xll.ohRangeRetrieveError(J200)</f>
        <v/>
      </c>
      <c r="L200" s="119"/>
      <c r="N200" s="265"/>
    </row>
    <row r="201" spans="1:14" x14ac:dyDescent="0.2">
      <c r="A201" s="65"/>
      <c r="B201" s="97" t="s">
        <v>23</v>
      </c>
      <c r="C201" s="97" t="s">
        <v>14</v>
      </c>
      <c r="D201" s="97" t="str">
        <f t="shared" si="13"/>
        <v>11F</v>
      </c>
      <c r="E201" s="257" t="s">
        <v>161</v>
      </c>
      <c r="F201" s="257" t="s">
        <v>108</v>
      </c>
      <c r="G201" s="257" t="s">
        <v>120</v>
      </c>
      <c r="H201" s="258">
        <v>0</v>
      </c>
      <c r="I201" s="259" t="str">
        <f t="shared" si="14"/>
        <v>EUR11F20Y_Quote</v>
      </c>
      <c r="J201" s="260" t="str">
        <f>_xll.qlSwapRateHelper2(,$I201,$C201,Calendar,$E201,$F201,$G201,$J$4,$H201,B201,Discounting,Permanent,,ObjectOverwrite)</f>
        <v>obj_007ca#0001</v>
      </c>
      <c r="K201" s="261" t="str">
        <f>_xll.ohRangeRetrieveError(J201)</f>
        <v/>
      </c>
      <c r="L201" s="119"/>
      <c r="N201" s="265"/>
    </row>
    <row r="202" spans="1:14" x14ac:dyDescent="0.2">
      <c r="A202" s="65"/>
      <c r="B202" s="97" t="s">
        <v>23</v>
      </c>
      <c r="C202" s="97" t="s">
        <v>9</v>
      </c>
      <c r="D202" s="97" t="str">
        <f t="shared" si="13"/>
        <v>11F</v>
      </c>
      <c r="E202" s="257" t="s">
        <v>161</v>
      </c>
      <c r="F202" s="257" t="s">
        <v>108</v>
      </c>
      <c r="G202" s="257" t="s">
        <v>120</v>
      </c>
      <c r="H202" s="258">
        <v>0</v>
      </c>
      <c r="I202" s="259" t="str">
        <f t="shared" si="14"/>
        <v>EUR11F25Y_Quote</v>
      </c>
      <c r="J202" s="260" t="str">
        <f>_xll.qlSwapRateHelper2(,$I202,$C202,Calendar,$E202,$F202,$G202,$J$4,$H202,B202,Discounting,Permanent,,ObjectOverwrite)</f>
        <v>obj_00874#0001</v>
      </c>
      <c r="K202" s="261" t="str">
        <f>_xll.ohRangeRetrieveError(J202)</f>
        <v/>
      </c>
      <c r="L202" s="119"/>
      <c r="N202" s="265"/>
    </row>
    <row r="203" spans="1:14" x14ac:dyDescent="0.2">
      <c r="A203" s="65"/>
      <c r="B203" s="262" t="s">
        <v>23</v>
      </c>
      <c r="C203" s="262" t="s">
        <v>4</v>
      </c>
      <c r="D203" s="262" t="str">
        <f t="shared" si="13"/>
        <v>11F</v>
      </c>
      <c r="E203" s="122" t="s">
        <v>161</v>
      </c>
      <c r="F203" s="122" t="s">
        <v>108</v>
      </c>
      <c r="G203" s="122" t="s">
        <v>120</v>
      </c>
      <c r="H203" s="263">
        <v>0</v>
      </c>
      <c r="I203" s="121" t="str">
        <f t="shared" si="14"/>
        <v>EUR11F30Y_Quote</v>
      </c>
      <c r="J203" s="147" t="str">
        <f>_xll.qlSwapRateHelper2(,$I203,$C203,Calendar,$E203,$F203,$G203,$J$4,$H203,B203,Discounting,Permanent,,ObjectOverwrite)</f>
        <v>obj_00754#0001</v>
      </c>
      <c r="K203" s="264" t="str">
        <f>_xll.ohRangeRetrieveError(J203)</f>
        <v/>
      </c>
      <c r="L203" s="119"/>
      <c r="N203" s="265"/>
    </row>
    <row r="204" spans="1:14" x14ac:dyDescent="0.2">
      <c r="A204" s="65"/>
      <c r="B204" s="102" t="s">
        <v>22</v>
      </c>
      <c r="C204" s="102" t="s">
        <v>36</v>
      </c>
      <c r="D204" s="102" t="str">
        <f>LEFT(B204,2)&amp;"F"</f>
        <v>12F</v>
      </c>
      <c r="E204" s="111" t="s">
        <v>161</v>
      </c>
      <c r="F204" s="111" t="s">
        <v>108</v>
      </c>
      <c r="G204" s="111" t="s">
        <v>120</v>
      </c>
      <c r="H204" s="253">
        <v>0</v>
      </c>
      <c r="I204" s="254" t="str">
        <f t="shared" si="14"/>
        <v>EUR12F1Y_Quote</v>
      </c>
      <c r="J204" s="255" t="str">
        <f>_xll.qlSwapRateHelper2(,$I204,$C204,Calendar,$E204,$F204,$G204,$J$4,$H204,B204,Discounting,Permanent,,ObjectOverwrite)</f>
        <v>obj_00863#0001</v>
      </c>
      <c r="K204" s="256" t="str">
        <f>_xll.ohRangeRetrieveError(J204)</f>
        <v/>
      </c>
      <c r="L204" s="119"/>
      <c r="N204" s="265"/>
    </row>
    <row r="205" spans="1:14" x14ac:dyDescent="0.2">
      <c r="A205" s="65"/>
      <c r="B205" s="97" t="s">
        <v>22</v>
      </c>
      <c r="C205" s="97" t="s">
        <v>32</v>
      </c>
      <c r="D205" s="97" t="str">
        <f t="shared" ref="D205:D221" si="15">LEFT(B205,2)&amp;"F"</f>
        <v>12F</v>
      </c>
      <c r="E205" s="257" t="s">
        <v>161</v>
      </c>
      <c r="F205" s="257" t="s">
        <v>108</v>
      </c>
      <c r="G205" s="257" t="s">
        <v>120</v>
      </c>
      <c r="H205" s="258">
        <v>0</v>
      </c>
      <c r="I205" s="259" t="str">
        <f t="shared" si="14"/>
        <v>EUR12F2Y_Quote</v>
      </c>
      <c r="J205" s="260" t="str">
        <f>_xll.qlSwapRateHelper2(,$I205,$C205,Calendar,$E205,$F205,$G205,$J$4,$H205,B205,Discounting,Permanent,,ObjectOverwrite)</f>
        <v>obj_007c8#0001</v>
      </c>
      <c r="K205" s="261" t="str">
        <f>_xll.ohRangeRetrieveError(J205)</f>
        <v/>
      </c>
      <c r="L205" s="119"/>
      <c r="N205" s="265"/>
    </row>
    <row r="206" spans="1:14" x14ac:dyDescent="0.2">
      <c r="A206" s="65"/>
      <c r="B206" s="97" t="s">
        <v>22</v>
      </c>
      <c r="C206" s="97" t="s">
        <v>31</v>
      </c>
      <c r="D206" s="97" t="str">
        <f t="shared" si="15"/>
        <v>12F</v>
      </c>
      <c r="E206" s="257" t="s">
        <v>161</v>
      </c>
      <c r="F206" s="257" t="s">
        <v>108</v>
      </c>
      <c r="G206" s="257" t="s">
        <v>120</v>
      </c>
      <c r="H206" s="258">
        <v>0</v>
      </c>
      <c r="I206" s="259" t="str">
        <f t="shared" si="14"/>
        <v>EUR12F3Y_Quote</v>
      </c>
      <c r="J206" s="260" t="str">
        <f>_xll.qlSwapRateHelper2(,$I206,$C206,Calendar,$E206,$F206,$G206,$J$4,$H206,B206,Discounting,Permanent,,ObjectOverwrite)</f>
        <v>obj_007ff#0001</v>
      </c>
      <c r="K206" s="261" t="str">
        <f>_xll.ohRangeRetrieveError(J206)</f>
        <v/>
      </c>
      <c r="L206" s="119"/>
      <c r="N206" s="265"/>
    </row>
    <row r="207" spans="1:14" x14ac:dyDescent="0.2">
      <c r="A207" s="65"/>
      <c r="B207" s="97" t="s">
        <v>22</v>
      </c>
      <c r="C207" s="97" t="s">
        <v>30</v>
      </c>
      <c r="D207" s="97" t="str">
        <f t="shared" si="15"/>
        <v>12F</v>
      </c>
      <c r="E207" s="257" t="s">
        <v>161</v>
      </c>
      <c r="F207" s="257" t="s">
        <v>108</v>
      </c>
      <c r="G207" s="257" t="s">
        <v>120</v>
      </c>
      <c r="H207" s="258">
        <v>0</v>
      </c>
      <c r="I207" s="259" t="str">
        <f t="shared" si="14"/>
        <v>EUR12F4Y_Quote</v>
      </c>
      <c r="J207" s="260" t="str">
        <f>_xll.qlSwapRateHelper2(,$I207,$C207,Calendar,$E207,$F207,$G207,$J$4,$H207,B207,Discounting,Permanent,,ObjectOverwrite)</f>
        <v>obj_007a8#0001</v>
      </c>
      <c r="K207" s="261" t="str">
        <f>_xll.ohRangeRetrieveError(J207)</f>
        <v/>
      </c>
      <c r="L207" s="119"/>
      <c r="N207" s="265"/>
    </row>
    <row r="208" spans="1:14" x14ac:dyDescent="0.2">
      <c r="A208" s="65"/>
      <c r="B208" s="97" t="s">
        <v>22</v>
      </c>
      <c r="C208" s="97" t="s">
        <v>29</v>
      </c>
      <c r="D208" s="97" t="str">
        <f t="shared" si="15"/>
        <v>12F</v>
      </c>
      <c r="E208" s="257" t="s">
        <v>161</v>
      </c>
      <c r="F208" s="257" t="s">
        <v>108</v>
      </c>
      <c r="G208" s="257" t="s">
        <v>120</v>
      </c>
      <c r="H208" s="258">
        <v>0</v>
      </c>
      <c r="I208" s="259" t="str">
        <f t="shared" si="14"/>
        <v>EUR12F5Y_Quote</v>
      </c>
      <c r="J208" s="260" t="str">
        <f>_xll.qlSwapRateHelper2(,$I208,$C208,Calendar,$E208,$F208,$G208,$J$4,$H208,B208,Discounting,Permanent,,ObjectOverwrite)</f>
        <v>obj_00746#0001</v>
      </c>
      <c r="K208" s="261" t="str">
        <f>_xll.ohRangeRetrieveError(J208)</f>
        <v/>
      </c>
      <c r="L208" s="119"/>
      <c r="N208" s="265"/>
    </row>
    <row r="209" spans="1:14" x14ac:dyDescent="0.2">
      <c r="A209" s="65"/>
      <c r="B209" s="97" t="s">
        <v>22</v>
      </c>
      <c r="C209" s="97" t="s">
        <v>28</v>
      </c>
      <c r="D209" s="97" t="str">
        <f t="shared" si="15"/>
        <v>12F</v>
      </c>
      <c r="E209" s="257" t="s">
        <v>161</v>
      </c>
      <c r="F209" s="257" t="s">
        <v>108</v>
      </c>
      <c r="G209" s="257" t="s">
        <v>120</v>
      </c>
      <c r="H209" s="258">
        <v>0</v>
      </c>
      <c r="I209" s="259" t="str">
        <f t="shared" si="14"/>
        <v>EUR12F6Y_Quote</v>
      </c>
      <c r="J209" s="260" t="str">
        <f>_xll.qlSwapRateHelper2(,$I209,$C209,Calendar,$E209,$F209,$G209,$J$4,$H209,B209,Discounting,Permanent,,ObjectOverwrite)</f>
        <v>obj_007de#0001</v>
      </c>
      <c r="K209" s="261" t="str">
        <f>_xll.ohRangeRetrieveError(J209)</f>
        <v/>
      </c>
      <c r="L209" s="119"/>
      <c r="N209" s="265"/>
    </row>
    <row r="210" spans="1:14" x14ac:dyDescent="0.2">
      <c r="A210" s="65"/>
      <c r="B210" s="97" t="s">
        <v>22</v>
      </c>
      <c r="C210" s="97" t="s">
        <v>27</v>
      </c>
      <c r="D210" s="97" t="str">
        <f t="shared" si="15"/>
        <v>12F</v>
      </c>
      <c r="E210" s="257" t="s">
        <v>161</v>
      </c>
      <c r="F210" s="257" t="s">
        <v>108</v>
      </c>
      <c r="G210" s="257" t="s">
        <v>120</v>
      </c>
      <c r="H210" s="258">
        <v>0</v>
      </c>
      <c r="I210" s="259" t="str">
        <f t="shared" si="14"/>
        <v>EUR12F7Y_Quote</v>
      </c>
      <c r="J210" s="260" t="str">
        <f>_xll.qlSwapRateHelper2(,$I210,$C210,Calendar,$E210,$F210,$G210,$J$4,$H210,B210,Discounting,Permanent,,ObjectOverwrite)</f>
        <v>obj_00769#0001</v>
      </c>
      <c r="K210" s="261" t="str">
        <f>_xll.ohRangeRetrieveError(J210)</f>
        <v/>
      </c>
      <c r="L210" s="119"/>
      <c r="N210" s="265"/>
    </row>
    <row r="211" spans="1:14" x14ac:dyDescent="0.2">
      <c r="A211" s="65"/>
      <c r="B211" s="97" t="s">
        <v>22</v>
      </c>
      <c r="C211" s="97" t="s">
        <v>26</v>
      </c>
      <c r="D211" s="97" t="str">
        <f t="shared" si="15"/>
        <v>12F</v>
      </c>
      <c r="E211" s="257" t="s">
        <v>161</v>
      </c>
      <c r="F211" s="257" t="s">
        <v>108</v>
      </c>
      <c r="G211" s="257" t="s">
        <v>120</v>
      </c>
      <c r="H211" s="258">
        <v>0</v>
      </c>
      <c r="I211" s="259" t="str">
        <f t="shared" si="14"/>
        <v>EUR12F8Y_Quote</v>
      </c>
      <c r="J211" s="260" t="str">
        <f>_xll.qlSwapRateHelper2(,$I211,$C211,Calendar,$E211,$F211,$G211,$J$4,$H211,B211,Discounting,Permanent,,ObjectOverwrite)</f>
        <v>obj_007a7#0001</v>
      </c>
      <c r="K211" s="261" t="str">
        <f>_xll.ohRangeRetrieveError(J211)</f>
        <v/>
      </c>
      <c r="L211" s="119"/>
      <c r="N211" s="265"/>
    </row>
    <row r="212" spans="1:14" x14ac:dyDescent="0.2">
      <c r="A212" s="65"/>
      <c r="B212" s="97" t="s">
        <v>22</v>
      </c>
      <c r="C212" s="97" t="s">
        <v>25</v>
      </c>
      <c r="D212" s="97" t="str">
        <f t="shared" si="15"/>
        <v>12F</v>
      </c>
      <c r="E212" s="257" t="s">
        <v>161</v>
      </c>
      <c r="F212" s="257" t="s">
        <v>108</v>
      </c>
      <c r="G212" s="257" t="s">
        <v>120</v>
      </c>
      <c r="H212" s="258">
        <v>0</v>
      </c>
      <c r="I212" s="259" t="str">
        <f t="shared" si="14"/>
        <v>EUR12F9Y_Quote</v>
      </c>
      <c r="J212" s="260" t="str">
        <f>_xll.qlSwapRateHelper2(,$I212,$C212,Calendar,$E212,$F212,$G212,$J$4,$H212,B212,Discounting,Permanent,,ObjectOverwrite)</f>
        <v>obj_00845#0001</v>
      </c>
      <c r="K212" s="261" t="str">
        <f>_xll.ohRangeRetrieveError(J212)</f>
        <v/>
      </c>
      <c r="L212" s="119"/>
      <c r="N212" s="265"/>
    </row>
    <row r="213" spans="1:14" x14ac:dyDescent="0.2">
      <c r="A213" s="65"/>
      <c r="B213" s="97" t="s">
        <v>22</v>
      </c>
      <c r="C213" s="97" t="s">
        <v>24</v>
      </c>
      <c r="D213" s="97" t="str">
        <f t="shared" si="15"/>
        <v>12F</v>
      </c>
      <c r="E213" s="257" t="s">
        <v>161</v>
      </c>
      <c r="F213" s="257" t="s">
        <v>108</v>
      </c>
      <c r="G213" s="257" t="s">
        <v>120</v>
      </c>
      <c r="H213" s="258">
        <v>0</v>
      </c>
      <c r="I213" s="259" t="str">
        <f t="shared" si="14"/>
        <v>EUR12F10Y_Quote</v>
      </c>
      <c r="J213" s="260" t="str">
        <f>_xll.qlSwapRateHelper2(,$I213,$C213,Calendar,$E213,$F213,$G213,$J$4,$H213,B213,Discounting,Permanent,,ObjectOverwrite)</f>
        <v>obj_007b0#0001</v>
      </c>
      <c r="K213" s="261" t="str">
        <f>_xll.ohRangeRetrieveError(J213)</f>
        <v/>
      </c>
      <c r="L213" s="119"/>
      <c r="N213" s="265"/>
    </row>
    <row r="214" spans="1:14" x14ac:dyDescent="0.2">
      <c r="A214" s="65"/>
      <c r="B214" s="97" t="s">
        <v>22</v>
      </c>
      <c r="C214" s="97" t="s">
        <v>23</v>
      </c>
      <c r="D214" s="97" t="str">
        <f t="shared" si="15"/>
        <v>12F</v>
      </c>
      <c r="E214" s="257" t="s">
        <v>161</v>
      </c>
      <c r="F214" s="257" t="s">
        <v>108</v>
      </c>
      <c r="G214" s="257" t="s">
        <v>120</v>
      </c>
      <c r="H214" s="258">
        <v>0</v>
      </c>
      <c r="I214" s="259" t="str">
        <f t="shared" si="14"/>
        <v>EUR12F11Y_Quote</v>
      </c>
      <c r="J214" s="260" t="str">
        <f>_xll.qlSwapRateHelper2(,$I214,$C214,Calendar,$E214,$F214,$G214,$J$4,$H214,B214,Discounting,Permanent,,ObjectOverwrite)</f>
        <v>obj_007b6#0001</v>
      </c>
      <c r="K214" s="261" t="str">
        <f>_xll.ohRangeRetrieveError(J214)</f>
        <v/>
      </c>
      <c r="L214" s="119"/>
      <c r="N214" s="265"/>
    </row>
    <row r="215" spans="1:14" x14ac:dyDescent="0.2">
      <c r="A215" s="65"/>
      <c r="B215" s="97" t="s">
        <v>22</v>
      </c>
      <c r="C215" s="97" t="s">
        <v>22</v>
      </c>
      <c r="D215" s="97" t="str">
        <f t="shared" si="15"/>
        <v>12F</v>
      </c>
      <c r="E215" s="257" t="s">
        <v>161</v>
      </c>
      <c r="F215" s="257" t="s">
        <v>108</v>
      </c>
      <c r="G215" s="257" t="s">
        <v>120</v>
      </c>
      <c r="H215" s="258">
        <v>0</v>
      </c>
      <c r="I215" s="259" t="str">
        <f t="shared" si="14"/>
        <v>EUR12F12Y_Quote</v>
      </c>
      <c r="J215" s="260" t="str">
        <f>_xll.qlSwapRateHelper2(,$I215,$C215,Calendar,$E215,$F215,$G215,$J$4,$H215,B215,Discounting,Permanent,,ObjectOverwrite)</f>
        <v>obj_0075a#0001</v>
      </c>
      <c r="K215" s="261" t="str">
        <f>_xll.ohRangeRetrieveError(J215)</f>
        <v/>
      </c>
      <c r="L215" s="119"/>
      <c r="N215" s="265"/>
    </row>
    <row r="216" spans="1:14" x14ac:dyDescent="0.2">
      <c r="A216" s="65"/>
      <c r="B216" s="97" t="s">
        <v>22</v>
      </c>
      <c r="C216" s="97" t="s">
        <v>21</v>
      </c>
      <c r="D216" s="97" t="str">
        <f t="shared" si="15"/>
        <v>12F</v>
      </c>
      <c r="E216" s="257" t="s">
        <v>161</v>
      </c>
      <c r="F216" s="257" t="s">
        <v>108</v>
      </c>
      <c r="G216" s="257" t="s">
        <v>120</v>
      </c>
      <c r="H216" s="258">
        <v>0</v>
      </c>
      <c r="I216" s="259" t="str">
        <f t="shared" si="14"/>
        <v>EUR12F13Y_Quote</v>
      </c>
      <c r="J216" s="260" t="str">
        <f>_xll.qlSwapRateHelper2(,$I216,$C216,Calendar,$E216,$F216,$G216,$J$4,$H216,B216,Discounting,Permanent,,ObjectOverwrite)</f>
        <v>obj_0087b#0001</v>
      </c>
      <c r="K216" s="261" t="str">
        <f>_xll.ohRangeRetrieveError(J216)</f>
        <v/>
      </c>
      <c r="L216" s="119"/>
      <c r="N216" s="265"/>
    </row>
    <row r="217" spans="1:14" x14ac:dyDescent="0.2">
      <c r="A217" s="65"/>
      <c r="B217" s="97" t="s">
        <v>22</v>
      </c>
      <c r="C217" s="97" t="s">
        <v>20</v>
      </c>
      <c r="D217" s="97" t="str">
        <f t="shared" si="15"/>
        <v>12F</v>
      </c>
      <c r="E217" s="257" t="s">
        <v>161</v>
      </c>
      <c r="F217" s="257" t="s">
        <v>108</v>
      </c>
      <c r="G217" s="257" t="s">
        <v>120</v>
      </c>
      <c r="H217" s="258">
        <v>0</v>
      </c>
      <c r="I217" s="259" t="str">
        <f t="shared" si="14"/>
        <v>EUR12F14Y_Quote</v>
      </c>
      <c r="J217" s="260" t="str">
        <f>_xll.qlSwapRateHelper2(,$I217,$C217,Calendar,$E217,$F217,$G217,$J$4,$H217,B217,Discounting,Permanent,,ObjectOverwrite)</f>
        <v>obj_0079c#0001</v>
      </c>
      <c r="K217" s="261" t="str">
        <f>_xll.ohRangeRetrieveError(J217)</f>
        <v/>
      </c>
      <c r="L217" s="119"/>
      <c r="N217" s="265"/>
    </row>
    <row r="218" spans="1:14" x14ac:dyDescent="0.2">
      <c r="A218" s="65"/>
      <c r="B218" s="97" t="s">
        <v>22</v>
      </c>
      <c r="C218" s="97" t="s">
        <v>19</v>
      </c>
      <c r="D218" s="97" t="str">
        <f t="shared" si="15"/>
        <v>12F</v>
      </c>
      <c r="E218" s="257" t="s">
        <v>161</v>
      </c>
      <c r="F218" s="257" t="s">
        <v>108</v>
      </c>
      <c r="G218" s="257" t="s">
        <v>120</v>
      </c>
      <c r="H218" s="258">
        <v>0</v>
      </c>
      <c r="I218" s="259" t="str">
        <f t="shared" si="14"/>
        <v>EUR12F15Y_Quote</v>
      </c>
      <c r="J218" s="260" t="str">
        <f>_xll.qlSwapRateHelper2(,$I218,$C218,Calendar,$E218,$F218,$G218,$J$4,$H218,B218,Discounting,Permanent,,ObjectOverwrite)</f>
        <v>obj_007a1#0001</v>
      </c>
      <c r="K218" s="261" t="str">
        <f>_xll.ohRangeRetrieveError(J218)</f>
        <v/>
      </c>
      <c r="L218" s="119"/>
      <c r="N218" s="265"/>
    </row>
    <row r="219" spans="1:14" x14ac:dyDescent="0.2">
      <c r="A219" s="65"/>
      <c r="B219" s="97" t="s">
        <v>22</v>
      </c>
      <c r="C219" s="97" t="s">
        <v>14</v>
      </c>
      <c r="D219" s="97" t="str">
        <f t="shared" si="15"/>
        <v>12F</v>
      </c>
      <c r="E219" s="257" t="s">
        <v>161</v>
      </c>
      <c r="F219" s="257" t="s">
        <v>108</v>
      </c>
      <c r="G219" s="257" t="s">
        <v>120</v>
      </c>
      <c r="H219" s="258">
        <v>0</v>
      </c>
      <c r="I219" s="259" t="str">
        <f t="shared" si="14"/>
        <v>EUR12F20Y_Quote</v>
      </c>
      <c r="J219" s="260" t="str">
        <f>_xll.qlSwapRateHelper2(,$I219,$C219,Calendar,$E219,$F219,$G219,$J$4,$H219,B219,Discounting,Permanent,,ObjectOverwrite)</f>
        <v>obj_00829#0001</v>
      </c>
      <c r="K219" s="261" t="str">
        <f>_xll.ohRangeRetrieveError(J219)</f>
        <v/>
      </c>
      <c r="L219" s="119"/>
      <c r="N219" s="265"/>
    </row>
    <row r="220" spans="1:14" x14ac:dyDescent="0.2">
      <c r="A220" s="65"/>
      <c r="B220" s="97" t="s">
        <v>22</v>
      </c>
      <c r="C220" s="97" t="s">
        <v>9</v>
      </c>
      <c r="D220" s="97" t="str">
        <f t="shared" si="15"/>
        <v>12F</v>
      </c>
      <c r="E220" s="257" t="s">
        <v>161</v>
      </c>
      <c r="F220" s="257" t="s">
        <v>108</v>
      </c>
      <c r="G220" s="257" t="s">
        <v>120</v>
      </c>
      <c r="H220" s="258">
        <v>0</v>
      </c>
      <c r="I220" s="259" t="str">
        <f t="shared" si="14"/>
        <v>EUR12F25Y_Quote</v>
      </c>
      <c r="J220" s="260" t="str">
        <f>_xll.qlSwapRateHelper2(,$I220,$C220,Calendar,$E220,$F220,$G220,$J$4,$H220,B220,Discounting,Permanent,,ObjectOverwrite)</f>
        <v>obj_00835#0001</v>
      </c>
      <c r="K220" s="261" t="str">
        <f>_xll.ohRangeRetrieveError(J220)</f>
        <v/>
      </c>
      <c r="L220" s="119"/>
      <c r="N220" s="265"/>
    </row>
    <row r="221" spans="1:14" x14ac:dyDescent="0.2">
      <c r="A221" s="65"/>
      <c r="B221" s="262" t="s">
        <v>22</v>
      </c>
      <c r="C221" s="262" t="s">
        <v>4</v>
      </c>
      <c r="D221" s="262" t="str">
        <f t="shared" si="15"/>
        <v>12F</v>
      </c>
      <c r="E221" s="122" t="s">
        <v>161</v>
      </c>
      <c r="F221" s="122" t="s">
        <v>108</v>
      </c>
      <c r="G221" s="122" t="s">
        <v>120</v>
      </c>
      <c r="H221" s="263">
        <v>0</v>
      </c>
      <c r="I221" s="121" t="str">
        <f t="shared" si="14"/>
        <v>EUR12F30Y_Quote</v>
      </c>
      <c r="J221" s="147" t="str">
        <f>_xll.qlSwapRateHelper2(,$I221,$C221,Calendar,$E221,$F221,$G221,$J$4,$H221,B221,Discounting,Permanent,,ObjectOverwrite)</f>
        <v>obj_0075e#0001</v>
      </c>
      <c r="K221" s="264" t="str">
        <f>_xll.ohRangeRetrieveError(J221)</f>
        <v/>
      </c>
      <c r="L221" s="119"/>
      <c r="N221" s="265"/>
    </row>
    <row r="222" spans="1:14" x14ac:dyDescent="0.2">
      <c r="A222" s="65"/>
      <c r="B222" s="102" t="s">
        <v>21</v>
      </c>
      <c r="C222" s="102" t="s">
        <v>36</v>
      </c>
      <c r="D222" s="102" t="str">
        <f>LEFT(B222,2)&amp;"F"</f>
        <v>13F</v>
      </c>
      <c r="E222" s="111" t="s">
        <v>161</v>
      </c>
      <c r="F222" s="111" t="s">
        <v>108</v>
      </c>
      <c r="G222" s="111" t="s">
        <v>120</v>
      </c>
      <c r="H222" s="253">
        <v>0</v>
      </c>
      <c r="I222" s="254" t="str">
        <f t="shared" si="14"/>
        <v>EUR13F1Y_Quote</v>
      </c>
      <c r="J222" s="255" t="str">
        <f>_xll.qlSwapRateHelper2(,$I222,$C222,Calendar,$E222,$F222,$G222,$J$4,$H222,B222,Discounting,Permanent,,ObjectOverwrite)</f>
        <v>obj_00821#0001</v>
      </c>
      <c r="K222" s="256" t="str">
        <f>_xll.ohRangeRetrieveError(J222)</f>
        <v/>
      </c>
      <c r="L222" s="119"/>
      <c r="N222" s="265"/>
    </row>
    <row r="223" spans="1:14" x14ac:dyDescent="0.2">
      <c r="A223" s="65"/>
      <c r="B223" s="97" t="s">
        <v>21</v>
      </c>
      <c r="C223" s="97" t="s">
        <v>32</v>
      </c>
      <c r="D223" s="97" t="str">
        <f t="shared" ref="D223:D239" si="16">LEFT(B223,2)&amp;"F"</f>
        <v>13F</v>
      </c>
      <c r="E223" s="257" t="s">
        <v>161</v>
      </c>
      <c r="F223" s="257" t="s">
        <v>108</v>
      </c>
      <c r="G223" s="257" t="s">
        <v>120</v>
      </c>
      <c r="H223" s="258">
        <v>0</v>
      </c>
      <c r="I223" s="259" t="str">
        <f t="shared" si="14"/>
        <v>EUR13F2Y_Quote</v>
      </c>
      <c r="J223" s="260" t="str">
        <f>_xll.qlSwapRateHelper2(,$I223,$C223,Calendar,$E223,$F223,$G223,$J$4,$H223,B223,Discounting,Permanent,,ObjectOverwrite)</f>
        <v>obj_007f2#0001</v>
      </c>
      <c r="K223" s="261" t="str">
        <f>_xll.ohRangeRetrieveError(J223)</f>
        <v/>
      </c>
      <c r="L223" s="119"/>
      <c r="N223" s="265"/>
    </row>
    <row r="224" spans="1:14" x14ac:dyDescent="0.2">
      <c r="A224" s="65"/>
      <c r="B224" s="97" t="s">
        <v>21</v>
      </c>
      <c r="C224" s="97" t="s">
        <v>31</v>
      </c>
      <c r="D224" s="97" t="str">
        <f t="shared" si="16"/>
        <v>13F</v>
      </c>
      <c r="E224" s="257" t="s">
        <v>161</v>
      </c>
      <c r="F224" s="257" t="s">
        <v>108</v>
      </c>
      <c r="G224" s="257" t="s">
        <v>120</v>
      </c>
      <c r="H224" s="258">
        <v>0</v>
      </c>
      <c r="I224" s="259" t="str">
        <f t="shared" si="14"/>
        <v>EUR13F3Y_Quote</v>
      </c>
      <c r="J224" s="260" t="str">
        <f>_xll.qlSwapRateHelper2(,$I224,$C224,Calendar,$E224,$F224,$G224,$J$4,$H224,B224,Discounting,Permanent,,ObjectOverwrite)</f>
        <v>obj_0081a#0001</v>
      </c>
      <c r="K224" s="261" t="str">
        <f>_xll.ohRangeRetrieveError(J224)</f>
        <v/>
      </c>
      <c r="L224" s="119"/>
      <c r="N224" s="265"/>
    </row>
    <row r="225" spans="1:14" x14ac:dyDescent="0.2">
      <c r="A225" s="65"/>
      <c r="B225" s="97" t="s">
        <v>21</v>
      </c>
      <c r="C225" s="97" t="s">
        <v>30</v>
      </c>
      <c r="D225" s="97" t="str">
        <f t="shared" si="16"/>
        <v>13F</v>
      </c>
      <c r="E225" s="257" t="s">
        <v>161</v>
      </c>
      <c r="F225" s="257" t="s">
        <v>108</v>
      </c>
      <c r="G225" s="257" t="s">
        <v>120</v>
      </c>
      <c r="H225" s="258">
        <v>0</v>
      </c>
      <c r="I225" s="259" t="str">
        <f t="shared" si="14"/>
        <v>EUR13F4Y_Quote</v>
      </c>
      <c r="J225" s="260" t="str">
        <f>_xll.qlSwapRateHelper2(,$I225,$C225,Calendar,$E225,$F225,$G225,$J$4,$H225,B225,Discounting,Permanent,,ObjectOverwrite)</f>
        <v>obj_00778#0001</v>
      </c>
      <c r="K225" s="261" t="str">
        <f>_xll.ohRangeRetrieveError(J225)</f>
        <v/>
      </c>
      <c r="L225" s="119"/>
      <c r="N225" s="265"/>
    </row>
    <row r="226" spans="1:14" x14ac:dyDescent="0.2">
      <c r="A226" s="65"/>
      <c r="B226" s="97" t="s">
        <v>21</v>
      </c>
      <c r="C226" s="97" t="s">
        <v>29</v>
      </c>
      <c r="D226" s="97" t="str">
        <f t="shared" si="16"/>
        <v>13F</v>
      </c>
      <c r="E226" s="257" t="s">
        <v>161</v>
      </c>
      <c r="F226" s="257" t="s">
        <v>108</v>
      </c>
      <c r="G226" s="257" t="s">
        <v>120</v>
      </c>
      <c r="H226" s="258">
        <v>0</v>
      </c>
      <c r="I226" s="259" t="str">
        <f t="shared" si="14"/>
        <v>EUR13F5Y_Quote</v>
      </c>
      <c r="J226" s="260" t="str">
        <f>_xll.qlSwapRateHelper2(,$I226,$C226,Calendar,$E226,$F226,$G226,$J$4,$H226,B226,Discounting,Permanent,,ObjectOverwrite)</f>
        <v>obj_007c7#0001</v>
      </c>
      <c r="K226" s="261" t="str">
        <f>_xll.ohRangeRetrieveError(J226)</f>
        <v/>
      </c>
      <c r="L226" s="119"/>
      <c r="N226" s="265"/>
    </row>
    <row r="227" spans="1:14" x14ac:dyDescent="0.2">
      <c r="A227" s="65"/>
      <c r="B227" s="97" t="s">
        <v>21</v>
      </c>
      <c r="C227" s="97" t="s">
        <v>28</v>
      </c>
      <c r="D227" s="97" t="str">
        <f t="shared" si="16"/>
        <v>13F</v>
      </c>
      <c r="E227" s="257" t="s">
        <v>161</v>
      </c>
      <c r="F227" s="257" t="s">
        <v>108</v>
      </c>
      <c r="G227" s="257" t="s">
        <v>120</v>
      </c>
      <c r="H227" s="258">
        <v>0</v>
      </c>
      <c r="I227" s="259" t="str">
        <f t="shared" si="14"/>
        <v>EUR13F6Y_Quote</v>
      </c>
      <c r="J227" s="260" t="str">
        <f>_xll.qlSwapRateHelper2(,$I227,$C227,Calendar,$E227,$F227,$G227,$J$4,$H227,B227,Discounting,Permanent,,ObjectOverwrite)</f>
        <v>obj_00818#0001</v>
      </c>
      <c r="K227" s="261" t="str">
        <f>_xll.ohRangeRetrieveError(J227)</f>
        <v/>
      </c>
      <c r="L227" s="119"/>
      <c r="N227" s="265"/>
    </row>
    <row r="228" spans="1:14" x14ac:dyDescent="0.2">
      <c r="A228" s="65"/>
      <c r="B228" s="97" t="s">
        <v>21</v>
      </c>
      <c r="C228" s="97" t="s">
        <v>27</v>
      </c>
      <c r="D228" s="97" t="str">
        <f t="shared" si="16"/>
        <v>13F</v>
      </c>
      <c r="E228" s="257" t="s">
        <v>161</v>
      </c>
      <c r="F228" s="257" t="s">
        <v>108</v>
      </c>
      <c r="G228" s="257" t="s">
        <v>120</v>
      </c>
      <c r="H228" s="258">
        <v>0</v>
      </c>
      <c r="I228" s="259" t="str">
        <f t="shared" si="14"/>
        <v>EUR13F7Y_Quote</v>
      </c>
      <c r="J228" s="260" t="str">
        <f>_xll.qlSwapRateHelper2(,$I228,$C228,Calendar,$E228,$F228,$G228,$J$4,$H228,B228,Discounting,Permanent,,ObjectOverwrite)</f>
        <v>obj_00877#0001</v>
      </c>
      <c r="K228" s="261" t="str">
        <f>_xll.ohRangeRetrieveError(J228)</f>
        <v/>
      </c>
      <c r="L228" s="119"/>
      <c r="N228" s="265"/>
    </row>
    <row r="229" spans="1:14" x14ac:dyDescent="0.2">
      <c r="A229" s="65"/>
      <c r="B229" s="97" t="s">
        <v>21</v>
      </c>
      <c r="C229" s="97" t="s">
        <v>26</v>
      </c>
      <c r="D229" s="97" t="str">
        <f t="shared" si="16"/>
        <v>13F</v>
      </c>
      <c r="E229" s="257" t="s">
        <v>161</v>
      </c>
      <c r="F229" s="257" t="s">
        <v>108</v>
      </c>
      <c r="G229" s="257" t="s">
        <v>120</v>
      </c>
      <c r="H229" s="258">
        <v>0</v>
      </c>
      <c r="I229" s="259" t="str">
        <f t="shared" si="14"/>
        <v>EUR13F8Y_Quote</v>
      </c>
      <c r="J229" s="260" t="str">
        <f>_xll.qlSwapRateHelper2(,$I229,$C229,Calendar,$E229,$F229,$G229,$J$4,$H229,B229,Discounting,Permanent,,ObjectOverwrite)</f>
        <v>obj_00843#0001</v>
      </c>
      <c r="K229" s="261" t="str">
        <f>_xll.ohRangeRetrieveError(J229)</f>
        <v/>
      </c>
      <c r="L229" s="119"/>
      <c r="N229" s="265"/>
    </row>
    <row r="230" spans="1:14" x14ac:dyDescent="0.2">
      <c r="A230" s="65"/>
      <c r="B230" s="97" t="s">
        <v>21</v>
      </c>
      <c r="C230" s="97" t="s">
        <v>25</v>
      </c>
      <c r="D230" s="97" t="str">
        <f t="shared" si="16"/>
        <v>13F</v>
      </c>
      <c r="E230" s="257" t="s">
        <v>161</v>
      </c>
      <c r="F230" s="257" t="s">
        <v>108</v>
      </c>
      <c r="G230" s="257" t="s">
        <v>120</v>
      </c>
      <c r="H230" s="258">
        <v>0</v>
      </c>
      <c r="I230" s="259" t="str">
        <f t="shared" si="14"/>
        <v>EUR13F9Y_Quote</v>
      </c>
      <c r="J230" s="260" t="str">
        <f>_xll.qlSwapRateHelper2(,$I230,$C230,Calendar,$E230,$F230,$G230,$J$4,$H230,B230,Discounting,Permanent,,ObjectOverwrite)</f>
        <v>obj_00836#0001</v>
      </c>
      <c r="K230" s="261" t="str">
        <f>_xll.ohRangeRetrieveError(J230)</f>
        <v/>
      </c>
      <c r="L230" s="119"/>
      <c r="N230" s="265"/>
    </row>
    <row r="231" spans="1:14" x14ac:dyDescent="0.2">
      <c r="A231" s="65"/>
      <c r="B231" s="97" t="s">
        <v>21</v>
      </c>
      <c r="C231" s="97" t="s">
        <v>24</v>
      </c>
      <c r="D231" s="97" t="str">
        <f t="shared" si="16"/>
        <v>13F</v>
      </c>
      <c r="E231" s="257" t="s">
        <v>161</v>
      </c>
      <c r="F231" s="257" t="s">
        <v>108</v>
      </c>
      <c r="G231" s="257" t="s">
        <v>120</v>
      </c>
      <c r="H231" s="258">
        <v>0</v>
      </c>
      <c r="I231" s="259" t="str">
        <f t="shared" si="14"/>
        <v>EUR13F10Y_Quote</v>
      </c>
      <c r="J231" s="260" t="str">
        <f>_xll.qlSwapRateHelper2(,$I231,$C231,Calendar,$E231,$F231,$G231,$J$4,$H231,B231,Discounting,Permanent,,ObjectOverwrite)</f>
        <v>obj_00772#0001</v>
      </c>
      <c r="K231" s="261" t="str">
        <f>_xll.ohRangeRetrieveError(J231)</f>
        <v/>
      </c>
      <c r="L231" s="119"/>
      <c r="N231" s="265"/>
    </row>
    <row r="232" spans="1:14" x14ac:dyDescent="0.2">
      <c r="A232" s="65"/>
      <c r="B232" s="97" t="s">
        <v>21</v>
      </c>
      <c r="C232" s="97" t="s">
        <v>23</v>
      </c>
      <c r="D232" s="97" t="str">
        <f t="shared" si="16"/>
        <v>13F</v>
      </c>
      <c r="E232" s="257" t="s">
        <v>161</v>
      </c>
      <c r="F232" s="257" t="s">
        <v>108</v>
      </c>
      <c r="G232" s="257" t="s">
        <v>120</v>
      </c>
      <c r="H232" s="258">
        <v>0</v>
      </c>
      <c r="I232" s="259" t="str">
        <f t="shared" si="14"/>
        <v>EUR13F11Y_Quote</v>
      </c>
      <c r="J232" s="260" t="str">
        <f>_xll.qlSwapRateHelper2(,$I232,$C232,Calendar,$E232,$F232,$G232,$J$4,$H232,B232,Discounting,Permanent,,ObjectOverwrite)</f>
        <v>obj_0075c#0001</v>
      </c>
      <c r="K232" s="261" t="str">
        <f>_xll.ohRangeRetrieveError(J232)</f>
        <v/>
      </c>
      <c r="L232" s="119"/>
      <c r="N232" s="265"/>
    </row>
    <row r="233" spans="1:14" x14ac:dyDescent="0.2">
      <c r="A233" s="65"/>
      <c r="B233" s="97" t="s">
        <v>21</v>
      </c>
      <c r="C233" s="97" t="s">
        <v>22</v>
      </c>
      <c r="D233" s="97" t="str">
        <f t="shared" si="16"/>
        <v>13F</v>
      </c>
      <c r="E233" s="257" t="s">
        <v>161</v>
      </c>
      <c r="F233" s="257" t="s">
        <v>108</v>
      </c>
      <c r="G233" s="257" t="s">
        <v>120</v>
      </c>
      <c r="H233" s="258">
        <v>0</v>
      </c>
      <c r="I233" s="259" t="str">
        <f t="shared" si="14"/>
        <v>EUR13F12Y_Quote</v>
      </c>
      <c r="J233" s="260" t="str">
        <f>_xll.qlSwapRateHelper2(,$I233,$C233,Calendar,$E233,$F233,$G233,$J$4,$H233,B233,Discounting,Permanent,,ObjectOverwrite)</f>
        <v>obj_0088d#0001</v>
      </c>
      <c r="K233" s="261" t="str">
        <f>_xll.ohRangeRetrieveError(J233)</f>
        <v/>
      </c>
      <c r="L233" s="119"/>
      <c r="N233" s="265"/>
    </row>
    <row r="234" spans="1:14" x14ac:dyDescent="0.2">
      <c r="A234" s="65"/>
      <c r="B234" s="97" t="s">
        <v>21</v>
      </c>
      <c r="C234" s="97" t="s">
        <v>21</v>
      </c>
      <c r="D234" s="97" t="str">
        <f t="shared" si="16"/>
        <v>13F</v>
      </c>
      <c r="E234" s="257" t="s">
        <v>161</v>
      </c>
      <c r="F234" s="257" t="s">
        <v>108</v>
      </c>
      <c r="G234" s="257" t="s">
        <v>120</v>
      </c>
      <c r="H234" s="258">
        <v>0</v>
      </c>
      <c r="I234" s="259" t="str">
        <f t="shared" si="14"/>
        <v>EUR13F13Y_Quote</v>
      </c>
      <c r="J234" s="260" t="str">
        <f>_xll.qlSwapRateHelper2(,$I234,$C234,Calendar,$E234,$F234,$G234,$J$4,$H234,B234,Discounting,Permanent,,ObjectOverwrite)</f>
        <v>obj_00848#0001</v>
      </c>
      <c r="K234" s="261" t="str">
        <f>_xll.ohRangeRetrieveError(J234)</f>
        <v/>
      </c>
      <c r="L234" s="119"/>
      <c r="N234" s="265"/>
    </row>
    <row r="235" spans="1:14" x14ac:dyDescent="0.2">
      <c r="A235" s="65"/>
      <c r="B235" s="97" t="s">
        <v>21</v>
      </c>
      <c r="C235" s="97" t="s">
        <v>20</v>
      </c>
      <c r="D235" s="97" t="str">
        <f t="shared" si="16"/>
        <v>13F</v>
      </c>
      <c r="E235" s="257" t="s">
        <v>161</v>
      </c>
      <c r="F235" s="257" t="s">
        <v>108</v>
      </c>
      <c r="G235" s="257" t="s">
        <v>120</v>
      </c>
      <c r="H235" s="258">
        <v>0</v>
      </c>
      <c r="I235" s="259" t="str">
        <f t="shared" si="14"/>
        <v>EUR13F14Y_Quote</v>
      </c>
      <c r="J235" s="260" t="str">
        <f>_xll.qlSwapRateHelper2(,$I235,$C235,Calendar,$E235,$F235,$G235,$J$4,$H235,B235,Discounting,Permanent,,ObjectOverwrite)</f>
        <v>obj_00777#0001</v>
      </c>
      <c r="K235" s="261" t="str">
        <f>_xll.ohRangeRetrieveError(J235)</f>
        <v/>
      </c>
      <c r="L235" s="119"/>
      <c r="N235" s="265"/>
    </row>
    <row r="236" spans="1:14" x14ac:dyDescent="0.2">
      <c r="A236" s="65"/>
      <c r="B236" s="97" t="s">
        <v>21</v>
      </c>
      <c r="C236" s="97" t="s">
        <v>19</v>
      </c>
      <c r="D236" s="97" t="str">
        <f t="shared" si="16"/>
        <v>13F</v>
      </c>
      <c r="E236" s="257" t="s">
        <v>161</v>
      </c>
      <c r="F236" s="257" t="s">
        <v>108</v>
      </c>
      <c r="G236" s="257" t="s">
        <v>120</v>
      </c>
      <c r="H236" s="258">
        <v>0</v>
      </c>
      <c r="I236" s="259" t="str">
        <f t="shared" si="14"/>
        <v>EUR13F15Y_Quote</v>
      </c>
      <c r="J236" s="260" t="str">
        <f>_xll.qlSwapRateHelper2(,$I236,$C236,Calendar,$E236,$F236,$G236,$J$4,$H236,B236,Discounting,Permanent,,ObjectOverwrite)</f>
        <v>obj_0081f#0001</v>
      </c>
      <c r="K236" s="261" t="str">
        <f>_xll.ohRangeRetrieveError(J236)</f>
        <v/>
      </c>
      <c r="L236" s="119"/>
      <c r="N236" s="265"/>
    </row>
    <row r="237" spans="1:14" x14ac:dyDescent="0.2">
      <c r="A237" s="65"/>
      <c r="B237" s="97" t="s">
        <v>21</v>
      </c>
      <c r="C237" s="97" t="s">
        <v>14</v>
      </c>
      <c r="D237" s="97" t="str">
        <f t="shared" si="16"/>
        <v>13F</v>
      </c>
      <c r="E237" s="257" t="s">
        <v>161</v>
      </c>
      <c r="F237" s="257" t="s">
        <v>108</v>
      </c>
      <c r="G237" s="257" t="s">
        <v>120</v>
      </c>
      <c r="H237" s="258">
        <v>0</v>
      </c>
      <c r="I237" s="259" t="str">
        <f t="shared" si="14"/>
        <v>EUR13F20Y_Quote</v>
      </c>
      <c r="J237" s="260" t="str">
        <f>_xll.qlSwapRateHelper2(,$I237,$C237,Calendar,$E237,$F237,$G237,$J$4,$H237,B237,Discounting,Permanent,,ObjectOverwrite)</f>
        <v>obj_00811#0001</v>
      </c>
      <c r="K237" s="261" t="str">
        <f>_xll.ohRangeRetrieveError(J237)</f>
        <v/>
      </c>
      <c r="L237" s="119"/>
      <c r="N237" s="265"/>
    </row>
    <row r="238" spans="1:14" x14ac:dyDescent="0.2">
      <c r="A238" s="65"/>
      <c r="B238" s="97" t="s">
        <v>21</v>
      </c>
      <c r="C238" s="97" t="s">
        <v>9</v>
      </c>
      <c r="D238" s="97" t="str">
        <f t="shared" si="16"/>
        <v>13F</v>
      </c>
      <c r="E238" s="257" t="s">
        <v>161</v>
      </c>
      <c r="F238" s="257" t="s">
        <v>108</v>
      </c>
      <c r="G238" s="257" t="s">
        <v>120</v>
      </c>
      <c r="H238" s="258">
        <v>0</v>
      </c>
      <c r="I238" s="259" t="str">
        <f t="shared" si="14"/>
        <v>EUR13F25Y_Quote</v>
      </c>
      <c r="J238" s="260" t="str">
        <f>_xll.qlSwapRateHelper2(,$I238,$C238,Calendar,$E238,$F238,$G238,$J$4,$H238,B238,Discounting,Permanent,,ObjectOverwrite)</f>
        <v>obj_007fa#0001</v>
      </c>
      <c r="K238" s="261" t="str">
        <f>_xll.ohRangeRetrieveError(J238)</f>
        <v/>
      </c>
      <c r="L238" s="119"/>
      <c r="N238" s="265"/>
    </row>
    <row r="239" spans="1:14" x14ac:dyDescent="0.2">
      <c r="A239" s="65"/>
      <c r="B239" s="262" t="s">
        <v>21</v>
      </c>
      <c r="C239" s="262" t="s">
        <v>4</v>
      </c>
      <c r="D239" s="262" t="str">
        <f t="shared" si="16"/>
        <v>13F</v>
      </c>
      <c r="E239" s="122" t="s">
        <v>161</v>
      </c>
      <c r="F239" s="122" t="s">
        <v>108</v>
      </c>
      <c r="G239" s="122" t="s">
        <v>120</v>
      </c>
      <c r="H239" s="263">
        <v>0</v>
      </c>
      <c r="I239" s="121" t="str">
        <f t="shared" si="14"/>
        <v>EUR13F30Y_Quote</v>
      </c>
      <c r="J239" s="147" t="str">
        <f>_xll.qlSwapRateHelper2(,$I239,$C239,Calendar,$E239,$F239,$G239,$J$4,$H239,B239,Discounting,Permanent,,ObjectOverwrite)</f>
        <v>obj_00849#0001</v>
      </c>
      <c r="K239" s="264" t="str">
        <f>_xll.ohRangeRetrieveError(J239)</f>
        <v/>
      </c>
      <c r="L239" s="119"/>
      <c r="N239" s="265"/>
    </row>
    <row r="240" spans="1:14" x14ac:dyDescent="0.2">
      <c r="A240" s="65"/>
      <c r="B240" s="102" t="s">
        <v>20</v>
      </c>
      <c r="C240" s="102" t="s">
        <v>36</v>
      </c>
      <c r="D240" s="102" t="str">
        <f>LEFT(B240,2)&amp;"F"</f>
        <v>14F</v>
      </c>
      <c r="E240" s="111" t="s">
        <v>161</v>
      </c>
      <c r="F240" s="111" t="s">
        <v>108</v>
      </c>
      <c r="G240" s="111" t="s">
        <v>120</v>
      </c>
      <c r="H240" s="253">
        <v>0</v>
      </c>
      <c r="I240" s="254" t="str">
        <f t="shared" si="14"/>
        <v>EUR14F1Y_Quote</v>
      </c>
      <c r="J240" s="255" t="str">
        <f>_xll.qlSwapRateHelper2(,$I240,$C240,Calendar,$E240,$F240,$G240,$J$4,$H240,B240,Discounting,Permanent,,ObjectOverwrite)</f>
        <v>obj_007fe#0001</v>
      </c>
      <c r="K240" s="256" t="str">
        <f>_xll.ohRangeRetrieveError(J240)</f>
        <v/>
      </c>
      <c r="L240" s="119"/>
      <c r="N240" s="265"/>
    </row>
    <row r="241" spans="1:14" x14ac:dyDescent="0.2">
      <c r="A241" s="65"/>
      <c r="B241" s="97" t="s">
        <v>20</v>
      </c>
      <c r="C241" s="97" t="s">
        <v>32</v>
      </c>
      <c r="D241" s="97" t="str">
        <f t="shared" ref="D241:D257" si="17">LEFT(B241,2)&amp;"F"</f>
        <v>14F</v>
      </c>
      <c r="E241" s="257" t="s">
        <v>161</v>
      </c>
      <c r="F241" s="257" t="s">
        <v>108</v>
      </c>
      <c r="G241" s="257" t="s">
        <v>120</v>
      </c>
      <c r="H241" s="258">
        <v>0</v>
      </c>
      <c r="I241" s="259" t="str">
        <f t="shared" si="14"/>
        <v>EUR14F2Y_Quote</v>
      </c>
      <c r="J241" s="260" t="str">
        <f>_xll.qlSwapRateHelper2(,$I241,$C241,Calendar,$E241,$F241,$G241,$J$4,$H241,B241,Discounting,Permanent,,ObjectOverwrite)</f>
        <v>obj_00803#0001</v>
      </c>
      <c r="K241" s="261" t="str">
        <f>_xll.ohRangeRetrieveError(J241)</f>
        <v/>
      </c>
      <c r="L241" s="119"/>
      <c r="N241" s="265"/>
    </row>
    <row r="242" spans="1:14" x14ac:dyDescent="0.2">
      <c r="A242" s="65"/>
      <c r="B242" s="97" t="s">
        <v>20</v>
      </c>
      <c r="C242" s="97" t="s">
        <v>31</v>
      </c>
      <c r="D242" s="97" t="str">
        <f t="shared" si="17"/>
        <v>14F</v>
      </c>
      <c r="E242" s="257" t="s">
        <v>161</v>
      </c>
      <c r="F242" s="257" t="s">
        <v>108</v>
      </c>
      <c r="G242" s="257" t="s">
        <v>120</v>
      </c>
      <c r="H242" s="258">
        <v>0</v>
      </c>
      <c r="I242" s="259" t="str">
        <f t="shared" si="14"/>
        <v>EUR14F3Y_Quote</v>
      </c>
      <c r="J242" s="260" t="str">
        <f>_xll.qlSwapRateHelper2(,$I242,$C242,Calendar,$E242,$F242,$G242,$J$4,$H242,B242,Discounting,Permanent,,ObjectOverwrite)</f>
        <v>obj_0080b#0001</v>
      </c>
      <c r="K242" s="261" t="str">
        <f>_xll.ohRangeRetrieveError(J242)</f>
        <v/>
      </c>
      <c r="L242" s="119"/>
      <c r="N242" s="265"/>
    </row>
    <row r="243" spans="1:14" x14ac:dyDescent="0.2">
      <c r="A243" s="65"/>
      <c r="B243" s="97" t="s">
        <v>20</v>
      </c>
      <c r="C243" s="97" t="s">
        <v>30</v>
      </c>
      <c r="D243" s="97" t="str">
        <f t="shared" si="17"/>
        <v>14F</v>
      </c>
      <c r="E243" s="257" t="s">
        <v>161</v>
      </c>
      <c r="F243" s="257" t="s">
        <v>108</v>
      </c>
      <c r="G243" s="257" t="s">
        <v>120</v>
      </c>
      <c r="H243" s="258">
        <v>0</v>
      </c>
      <c r="I243" s="259" t="str">
        <f t="shared" si="14"/>
        <v>EUR14F4Y_Quote</v>
      </c>
      <c r="J243" s="260" t="str">
        <f>_xll.qlSwapRateHelper2(,$I243,$C243,Calendar,$E243,$F243,$G243,$J$4,$H243,B243,Discounting,Permanent,,ObjectOverwrite)</f>
        <v>obj_007d7#0001</v>
      </c>
      <c r="K243" s="261" t="str">
        <f>_xll.ohRangeRetrieveError(J243)</f>
        <v/>
      </c>
      <c r="L243" s="119"/>
      <c r="N243" s="265"/>
    </row>
    <row r="244" spans="1:14" x14ac:dyDescent="0.2">
      <c r="A244" s="65"/>
      <c r="B244" s="97" t="s">
        <v>20</v>
      </c>
      <c r="C244" s="97" t="s">
        <v>29</v>
      </c>
      <c r="D244" s="97" t="str">
        <f t="shared" si="17"/>
        <v>14F</v>
      </c>
      <c r="E244" s="257" t="s">
        <v>161</v>
      </c>
      <c r="F244" s="257" t="s">
        <v>108</v>
      </c>
      <c r="G244" s="257" t="s">
        <v>120</v>
      </c>
      <c r="H244" s="258">
        <v>0</v>
      </c>
      <c r="I244" s="259" t="str">
        <f t="shared" si="14"/>
        <v>EUR14F5Y_Quote</v>
      </c>
      <c r="J244" s="260" t="str">
        <f>_xll.qlSwapRateHelper2(,$I244,$C244,Calendar,$E244,$F244,$G244,$J$4,$H244,B244,Discounting,Permanent,,ObjectOverwrite)</f>
        <v>obj_0077e#0001</v>
      </c>
      <c r="K244" s="261" t="str">
        <f>_xll.ohRangeRetrieveError(J244)</f>
        <v/>
      </c>
      <c r="L244" s="119"/>
      <c r="N244" s="265"/>
    </row>
    <row r="245" spans="1:14" x14ac:dyDescent="0.2">
      <c r="A245" s="65"/>
      <c r="B245" s="97" t="s">
        <v>20</v>
      </c>
      <c r="C245" s="97" t="s">
        <v>28</v>
      </c>
      <c r="D245" s="97" t="str">
        <f t="shared" si="17"/>
        <v>14F</v>
      </c>
      <c r="E245" s="257" t="s">
        <v>161</v>
      </c>
      <c r="F245" s="257" t="s">
        <v>108</v>
      </c>
      <c r="G245" s="257" t="s">
        <v>120</v>
      </c>
      <c r="H245" s="258">
        <v>0</v>
      </c>
      <c r="I245" s="259" t="str">
        <f t="shared" si="14"/>
        <v>EUR14F6Y_Quote</v>
      </c>
      <c r="J245" s="260" t="str">
        <f>_xll.qlSwapRateHelper2(,$I245,$C245,Calendar,$E245,$F245,$G245,$J$4,$H245,B245,Discounting,Permanent,,ObjectOverwrite)</f>
        <v>obj_00817#0001</v>
      </c>
      <c r="K245" s="261" t="str">
        <f>_xll.ohRangeRetrieveError(J245)</f>
        <v/>
      </c>
      <c r="L245" s="119"/>
      <c r="N245" s="265"/>
    </row>
    <row r="246" spans="1:14" x14ac:dyDescent="0.2">
      <c r="A246" s="65"/>
      <c r="B246" s="97" t="s">
        <v>20</v>
      </c>
      <c r="C246" s="97" t="s">
        <v>27</v>
      </c>
      <c r="D246" s="97" t="str">
        <f t="shared" si="17"/>
        <v>14F</v>
      </c>
      <c r="E246" s="257" t="s">
        <v>161</v>
      </c>
      <c r="F246" s="257" t="s">
        <v>108</v>
      </c>
      <c r="G246" s="257" t="s">
        <v>120</v>
      </c>
      <c r="H246" s="258">
        <v>0</v>
      </c>
      <c r="I246" s="259" t="str">
        <f t="shared" si="14"/>
        <v>EUR14F7Y_Quote</v>
      </c>
      <c r="J246" s="260" t="str">
        <f>_xll.qlSwapRateHelper2(,$I246,$C246,Calendar,$E246,$F246,$G246,$J$4,$H246,B246,Discounting,Permanent,,ObjectOverwrite)</f>
        <v>obj_007d4#0001</v>
      </c>
      <c r="K246" s="261" t="str">
        <f>_xll.ohRangeRetrieveError(J246)</f>
        <v/>
      </c>
      <c r="L246" s="119"/>
      <c r="N246" s="265"/>
    </row>
    <row r="247" spans="1:14" x14ac:dyDescent="0.2">
      <c r="A247" s="65"/>
      <c r="B247" s="97" t="s">
        <v>20</v>
      </c>
      <c r="C247" s="97" t="s">
        <v>26</v>
      </c>
      <c r="D247" s="97" t="str">
        <f t="shared" si="17"/>
        <v>14F</v>
      </c>
      <c r="E247" s="257" t="s">
        <v>161</v>
      </c>
      <c r="F247" s="257" t="s">
        <v>108</v>
      </c>
      <c r="G247" s="257" t="s">
        <v>120</v>
      </c>
      <c r="H247" s="258">
        <v>0</v>
      </c>
      <c r="I247" s="259" t="str">
        <f t="shared" si="14"/>
        <v>EUR14F8Y_Quote</v>
      </c>
      <c r="J247" s="260" t="str">
        <f>_xll.qlSwapRateHelper2(,$I247,$C247,Calendar,$E247,$F247,$G247,$J$4,$H247,B247,Discounting,Permanent,,ObjectOverwrite)</f>
        <v>obj_00869#0001</v>
      </c>
      <c r="K247" s="261" t="str">
        <f>_xll.ohRangeRetrieveError(J247)</f>
        <v/>
      </c>
      <c r="L247" s="119"/>
      <c r="N247" s="265"/>
    </row>
    <row r="248" spans="1:14" x14ac:dyDescent="0.2">
      <c r="A248" s="65"/>
      <c r="B248" s="97" t="s">
        <v>20</v>
      </c>
      <c r="C248" s="97" t="s">
        <v>25</v>
      </c>
      <c r="D248" s="97" t="str">
        <f t="shared" si="17"/>
        <v>14F</v>
      </c>
      <c r="E248" s="257" t="s">
        <v>161</v>
      </c>
      <c r="F248" s="257" t="s">
        <v>108</v>
      </c>
      <c r="G248" s="257" t="s">
        <v>120</v>
      </c>
      <c r="H248" s="258">
        <v>0</v>
      </c>
      <c r="I248" s="259" t="str">
        <f t="shared" si="14"/>
        <v>EUR14F9Y_Quote</v>
      </c>
      <c r="J248" s="260" t="str">
        <f>_xll.qlSwapRateHelper2(,$I248,$C248,Calendar,$E248,$F248,$G248,$J$4,$H248,B248,Discounting,Permanent,,ObjectOverwrite)</f>
        <v>obj_0083b#0001</v>
      </c>
      <c r="K248" s="261" t="str">
        <f>_xll.ohRangeRetrieveError(J248)</f>
        <v/>
      </c>
      <c r="L248" s="119"/>
      <c r="N248" s="265"/>
    </row>
    <row r="249" spans="1:14" x14ac:dyDescent="0.2">
      <c r="A249" s="65"/>
      <c r="B249" s="97" t="s">
        <v>20</v>
      </c>
      <c r="C249" s="97" t="s">
        <v>24</v>
      </c>
      <c r="D249" s="97" t="str">
        <f t="shared" si="17"/>
        <v>14F</v>
      </c>
      <c r="E249" s="257" t="s">
        <v>161</v>
      </c>
      <c r="F249" s="257" t="s">
        <v>108</v>
      </c>
      <c r="G249" s="257" t="s">
        <v>120</v>
      </c>
      <c r="H249" s="258">
        <v>0</v>
      </c>
      <c r="I249" s="259" t="str">
        <f t="shared" si="14"/>
        <v>EUR14F10Y_Quote</v>
      </c>
      <c r="J249" s="260" t="str">
        <f>_xll.qlSwapRateHelper2(,$I249,$C249,Calendar,$E249,$F249,$G249,$J$4,$H249,B249,Discounting,Permanent,,ObjectOverwrite)</f>
        <v>obj_007b8#0001</v>
      </c>
      <c r="K249" s="261" t="str">
        <f>_xll.ohRangeRetrieveError(J249)</f>
        <v/>
      </c>
      <c r="L249" s="119"/>
      <c r="N249" s="265"/>
    </row>
    <row r="250" spans="1:14" x14ac:dyDescent="0.2">
      <c r="A250" s="65"/>
      <c r="B250" s="97" t="s">
        <v>20</v>
      </c>
      <c r="C250" s="97" t="s">
        <v>23</v>
      </c>
      <c r="D250" s="97" t="str">
        <f t="shared" si="17"/>
        <v>14F</v>
      </c>
      <c r="E250" s="257" t="s">
        <v>161</v>
      </c>
      <c r="F250" s="257" t="s">
        <v>108</v>
      </c>
      <c r="G250" s="257" t="s">
        <v>120</v>
      </c>
      <c r="H250" s="258">
        <v>0</v>
      </c>
      <c r="I250" s="259" t="str">
        <f t="shared" si="14"/>
        <v>EUR14F11Y_Quote</v>
      </c>
      <c r="J250" s="260" t="str">
        <f>_xll.qlSwapRateHelper2(,$I250,$C250,Calendar,$E250,$F250,$G250,$J$4,$H250,B250,Discounting,Permanent,,ObjectOverwrite)</f>
        <v>obj_00744#0001</v>
      </c>
      <c r="K250" s="261" t="str">
        <f>_xll.ohRangeRetrieveError(J250)</f>
        <v/>
      </c>
      <c r="L250" s="119"/>
      <c r="N250" s="265"/>
    </row>
    <row r="251" spans="1:14" x14ac:dyDescent="0.2">
      <c r="A251" s="65"/>
      <c r="B251" s="97" t="s">
        <v>20</v>
      </c>
      <c r="C251" s="97" t="s">
        <v>22</v>
      </c>
      <c r="D251" s="97" t="str">
        <f t="shared" si="17"/>
        <v>14F</v>
      </c>
      <c r="E251" s="257" t="s">
        <v>161</v>
      </c>
      <c r="F251" s="257" t="s">
        <v>108</v>
      </c>
      <c r="G251" s="257" t="s">
        <v>120</v>
      </c>
      <c r="H251" s="258">
        <v>0</v>
      </c>
      <c r="I251" s="259" t="str">
        <f t="shared" si="14"/>
        <v>EUR14F12Y_Quote</v>
      </c>
      <c r="J251" s="260" t="str">
        <f>_xll.qlSwapRateHelper2(,$I251,$C251,Calendar,$E251,$F251,$G251,$J$4,$H251,B251,Discounting,Permanent,,ObjectOverwrite)</f>
        <v>obj_0086e#0001</v>
      </c>
      <c r="K251" s="261" t="str">
        <f>_xll.ohRangeRetrieveError(J251)</f>
        <v/>
      </c>
      <c r="L251" s="119"/>
      <c r="N251" s="265"/>
    </row>
    <row r="252" spans="1:14" x14ac:dyDescent="0.2">
      <c r="A252" s="65"/>
      <c r="B252" s="97" t="s">
        <v>20</v>
      </c>
      <c r="C252" s="97" t="s">
        <v>21</v>
      </c>
      <c r="D252" s="97" t="str">
        <f t="shared" si="17"/>
        <v>14F</v>
      </c>
      <c r="E252" s="257" t="s">
        <v>161</v>
      </c>
      <c r="F252" s="257" t="s">
        <v>108</v>
      </c>
      <c r="G252" s="257" t="s">
        <v>120</v>
      </c>
      <c r="H252" s="258">
        <v>0</v>
      </c>
      <c r="I252" s="259" t="str">
        <f t="shared" si="14"/>
        <v>EUR14F13Y_Quote</v>
      </c>
      <c r="J252" s="260" t="str">
        <f>_xll.qlSwapRateHelper2(,$I252,$C252,Calendar,$E252,$F252,$G252,$J$4,$H252,B252,Discounting,Permanent,,ObjectOverwrite)</f>
        <v>obj_00787#0001</v>
      </c>
      <c r="K252" s="261" t="str">
        <f>_xll.ohRangeRetrieveError(J252)</f>
        <v/>
      </c>
      <c r="L252" s="119"/>
      <c r="N252" s="265"/>
    </row>
    <row r="253" spans="1:14" x14ac:dyDescent="0.2">
      <c r="A253" s="65"/>
      <c r="B253" s="97" t="s">
        <v>20</v>
      </c>
      <c r="C253" s="97" t="s">
        <v>20</v>
      </c>
      <c r="D253" s="97" t="str">
        <f t="shared" si="17"/>
        <v>14F</v>
      </c>
      <c r="E253" s="257" t="s">
        <v>161</v>
      </c>
      <c r="F253" s="257" t="s">
        <v>108</v>
      </c>
      <c r="G253" s="257" t="s">
        <v>120</v>
      </c>
      <c r="H253" s="258">
        <v>0</v>
      </c>
      <c r="I253" s="259" t="str">
        <f t="shared" si="14"/>
        <v>EUR14F14Y_Quote</v>
      </c>
      <c r="J253" s="260" t="str">
        <f>_xll.qlSwapRateHelper2(,$I253,$C253,Calendar,$E253,$F253,$G253,$J$4,$H253,B253,Discounting,Permanent,,ObjectOverwrite)</f>
        <v>obj_007bd#0001</v>
      </c>
      <c r="K253" s="261" t="str">
        <f>_xll.ohRangeRetrieveError(J253)</f>
        <v/>
      </c>
      <c r="L253" s="119"/>
      <c r="N253" s="265"/>
    </row>
    <row r="254" spans="1:14" x14ac:dyDescent="0.2">
      <c r="A254" s="65"/>
      <c r="B254" s="97" t="s">
        <v>20</v>
      </c>
      <c r="C254" s="97" t="s">
        <v>19</v>
      </c>
      <c r="D254" s="97" t="str">
        <f t="shared" si="17"/>
        <v>14F</v>
      </c>
      <c r="E254" s="257" t="s">
        <v>161</v>
      </c>
      <c r="F254" s="257" t="s">
        <v>108</v>
      </c>
      <c r="G254" s="257" t="s">
        <v>120</v>
      </c>
      <c r="H254" s="258">
        <v>0</v>
      </c>
      <c r="I254" s="259" t="str">
        <f t="shared" si="14"/>
        <v>EUR14F15Y_Quote</v>
      </c>
      <c r="J254" s="260" t="str">
        <f>_xll.qlSwapRateHelper2(,$I254,$C254,Calendar,$E254,$F254,$G254,$J$4,$H254,B254,Discounting,Permanent,,ObjectOverwrite)</f>
        <v>obj_007d0#0001</v>
      </c>
      <c r="K254" s="261" t="str">
        <f>_xll.ohRangeRetrieveError(J254)</f>
        <v/>
      </c>
      <c r="L254" s="119"/>
      <c r="N254" s="265"/>
    </row>
    <row r="255" spans="1:14" x14ac:dyDescent="0.2">
      <c r="A255" s="65"/>
      <c r="B255" s="97" t="s">
        <v>20</v>
      </c>
      <c r="C255" s="97" t="s">
        <v>14</v>
      </c>
      <c r="D255" s="97" t="str">
        <f t="shared" si="17"/>
        <v>14F</v>
      </c>
      <c r="E255" s="257" t="s">
        <v>161</v>
      </c>
      <c r="F255" s="257" t="s">
        <v>108</v>
      </c>
      <c r="G255" s="257" t="s">
        <v>120</v>
      </c>
      <c r="H255" s="258">
        <v>0</v>
      </c>
      <c r="I255" s="259" t="str">
        <f t="shared" si="14"/>
        <v>EUR14F20Y_Quote</v>
      </c>
      <c r="J255" s="260" t="str">
        <f>_xll.qlSwapRateHelper2(,$I255,$C255,Calendar,$E255,$F255,$G255,$J$4,$H255,B255,Discounting,Permanent,,ObjectOverwrite)</f>
        <v>obj_007f3#0001</v>
      </c>
      <c r="K255" s="261" t="str">
        <f>_xll.ohRangeRetrieveError(J255)</f>
        <v/>
      </c>
      <c r="L255" s="119"/>
      <c r="N255" s="265"/>
    </row>
    <row r="256" spans="1:14" x14ac:dyDescent="0.2">
      <c r="A256" s="65"/>
      <c r="B256" s="97" t="s">
        <v>20</v>
      </c>
      <c r="C256" s="97" t="s">
        <v>9</v>
      </c>
      <c r="D256" s="97" t="str">
        <f t="shared" si="17"/>
        <v>14F</v>
      </c>
      <c r="E256" s="257" t="s">
        <v>161</v>
      </c>
      <c r="F256" s="257" t="s">
        <v>108</v>
      </c>
      <c r="G256" s="257" t="s">
        <v>120</v>
      </c>
      <c r="H256" s="258">
        <v>0</v>
      </c>
      <c r="I256" s="259" t="str">
        <f t="shared" si="14"/>
        <v>EUR14F25Y_Quote</v>
      </c>
      <c r="J256" s="260" t="str">
        <f>_xll.qlSwapRateHelper2(,$I256,$C256,Calendar,$E256,$F256,$G256,$J$4,$H256,B256,Discounting,Permanent,,ObjectOverwrite)</f>
        <v>obj_00764#0001</v>
      </c>
      <c r="K256" s="261" t="str">
        <f>_xll.ohRangeRetrieveError(J256)</f>
        <v/>
      </c>
      <c r="L256" s="119"/>
      <c r="N256" s="265"/>
    </row>
    <row r="257" spans="1:14" x14ac:dyDescent="0.2">
      <c r="A257" s="65"/>
      <c r="B257" s="262" t="s">
        <v>20</v>
      </c>
      <c r="C257" s="262" t="s">
        <v>4</v>
      </c>
      <c r="D257" s="262" t="str">
        <f t="shared" si="17"/>
        <v>14F</v>
      </c>
      <c r="E257" s="122" t="s">
        <v>161</v>
      </c>
      <c r="F257" s="122" t="s">
        <v>108</v>
      </c>
      <c r="G257" s="122" t="s">
        <v>120</v>
      </c>
      <c r="H257" s="263">
        <v>0</v>
      </c>
      <c r="I257" s="121" t="str">
        <f t="shared" si="14"/>
        <v>EUR14F30Y_Quote</v>
      </c>
      <c r="J257" s="147" t="str">
        <f>_xll.qlSwapRateHelper2(,$I257,$C257,Calendar,$E257,$F257,$G257,$J$4,$H257,B257,Discounting,Permanent,,ObjectOverwrite)</f>
        <v>obj_0087c#0001</v>
      </c>
      <c r="K257" s="264" t="str">
        <f>_xll.ohRangeRetrieveError(J257)</f>
        <v/>
      </c>
      <c r="L257" s="119"/>
      <c r="N257" s="265"/>
    </row>
    <row r="258" spans="1:14" x14ac:dyDescent="0.2">
      <c r="A258" s="65"/>
      <c r="B258" s="102" t="s">
        <v>19</v>
      </c>
      <c r="C258" s="102" t="s">
        <v>36</v>
      </c>
      <c r="D258" s="102" t="str">
        <f>LEFT(B258,2)&amp;"F"</f>
        <v>15F</v>
      </c>
      <c r="E258" s="111" t="s">
        <v>161</v>
      </c>
      <c r="F258" s="111" t="s">
        <v>108</v>
      </c>
      <c r="G258" s="111" t="s">
        <v>120</v>
      </c>
      <c r="H258" s="253">
        <v>0</v>
      </c>
      <c r="I258" s="254" t="str">
        <f t="shared" si="14"/>
        <v>EUR15F1Y_Quote</v>
      </c>
      <c r="J258" s="255" t="str">
        <f>_xll.qlSwapRateHelper2(,$I258,$C258,Calendar,$E258,$F258,$G258,$J$4,$H258,B258,Discounting,Permanent,,ObjectOverwrite)</f>
        <v>obj_007e0#0001</v>
      </c>
      <c r="K258" s="256" t="str">
        <f>_xll.ohRangeRetrieveError(J258)</f>
        <v/>
      </c>
      <c r="L258" s="119"/>
      <c r="N258" s="265"/>
    </row>
    <row r="259" spans="1:14" x14ac:dyDescent="0.2">
      <c r="A259" s="65"/>
      <c r="B259" s="97" t="s">
        <v>19</v>
      </c>
      <c r="C259" s="97" t="s">
        <v>32</v>
      </c>
      <c r="D259" s="97" t="str">
        <f t="shared" ref="D259:D275" si="18">LEFT(B259,2)&amp;"F"</f>
        <v>15F</v>
      </c>
      <c r="E259" s="257" t="s">
        <v>161</v>
      </c>
      <c r="F259" s="257" t="s">
        <v>108</v>
      </c>
      <c r="G259" s="257" t="s">
        <v>120</v>
      </c>
      <c r="H259" s="258">
        <v>0</v>
      </c>
      <c r="I259" s="259" t="str">
        <f t="shared" si="14"/>
        <v>EUR15F2Y_Quote</v>
      </c>
      <c r="J259" s="260" t="str">
        <f>_xll.qlSwapRateHelper2(,$I259,$C259,Calendar,$E259,$F259,$G259,$J$4,$H259,B259,Discounting,Permanent,,ObjectOverwrite)</f>
        <v>obj_0085c#0001</v>
      </c>
      <c r="K259" s="261" t="str">
        <f>_xll.ohRangeRetrieveError(J259)</f>
        <v/>
      </c>
      <c r="L259" s="119"/>
      <c r="N259" s="265"/>
    </row>
    <row r="260" spans="1:14" x14ac:dyDescent="0.2">
      <c r="A260" s="65"/>
      <c r="B260" s="97" t="s">
        <v>19</v>
      </c>
      <c r="C260" s="97" t="s">
        <v>31</v>
      </c>
      <c r="D260" s="97" t="str">
        <f t="shared" si="18"/>
        <v>15F</v>
      </c>
      <c r="E260" s="257" t="s">
        <v>161</v>
      </c>
      <c r="F260" s="257" t="s">
        <v>108</v>
      </c>
      <c r="G260" s="257" t="s">
        <v>120</v>
      </c>
      <c r="H260" s="258">
        <v>0</v>
      </c>
      <c r="I260" s="259" t="str">
        <f t="shared" si="14"/>
        <v>EUR15F3Y_Quote</v>
      </c>
      <c r="J260" s="260" t="str">
        <f>_xll.qlSwapRateHelper2(,$I260,$C260,Calendar,$E260,$F260,$G260,$J$4,$H260,B260,Discounting,Permanent,,ObjectOverwrite)</f>
        <v>obj_00814#0001</v>
      </c>
      <c r="K260" s="261" t="str">
        <f>_xll.ohRangeRetrieveError(J260)</f>
        <v/>
      </c>
      <c r="L260" s="119"/>
      <c r="N260" s="265"/>
    </row>
    <row r="261" spans="1:14" x14ac:dyDescent="0.2">
      <c r="A261" s="65"/>
      <c r="B261" s="97" t="s">
        <v>19</v>
      </c>
      <c r="C261" s="97" t="s">
        <v>30</v>
      </c>
      <c r="D261" s="97" t="str">
        <f t="shared" si="18"/>
        <v>15F</v>
      </c>
      <c r="E261" s="257" t="s">
        <v>161</v>
      </c>
      <c r="F261" s="257" t="s">
        <v>108</v>
      </c>
      <c r="G261" s="257" t="s">
        <v>120</v>
      </c>
      <c r="H261" s="258">
        <v>0</v>
      </c>
      <c r="I261" s="259" t="str">
        <f t="shared" si="14"/>
        <v>EUR15F4Y_Quote</v>
      </c>
      <c r="J261" s="260" t="str">
        <f>_xll.qlSwapRateHelper2(,$I261,$C261,Calendar,$E261,$F261,$G261,$J$4,$H261,B261,Discounting,Permanent,,ObjectOverwrite)</f>
        <v>obj_007b5#0001</v>
      </c>
      <c r="K261" s="261" t="str">
        <f>_xll.ohRangeRetrieveError(J261)</f>
        <v/>
      </c>
      <c r="L261" s="119"/>
      <c r="N261" s="265"/>
    </row>
    <row r="262" spans="1:14" x14ac:dyDescent="0.2">
      <c r="A262" s="65"/>
      <c r="B262" s="97" t="s">
        <v>19</v>
      </c>
      <c r="C262" s="97" t="s">
        <v>29</v>
      </c>
      <c r="D262" s="97" t="str">
        <f t="shared" si="18"/>
        <v>15F</v>
      </c>
      <c r="E262" s="257" t="s">
        <v>161</v>
      </c>
      <c r="F262" s="257" t="s">
        <v>108</v>
      </c>
      <c r="G262" s="257" t="s">
        <v>120</v>
      </c>
      <c r="H262" s="258">
        <v>0</v>
      </c>
      <c r="I262" s="259" t="str">
        <f t="shared" ref="I262:I329" si="19">Currency&amp;$D262&amp;$C262&amp;QuoteSuffix</f>
        <v>EUR15F5Y_Quote</v>
      </c>
      <c r="J262" s="260" t="str">
        <f>_xll.qlSwapRateHelper2(,$I262,$C262,Calendar,$E262,$F262,$G262,$J$4,$H262,B262,Discounting,Permanent,,ObjectOverwrite)</f>
        <v>obj_007a5#0001</v>
      </c>
      <c r="K262" s="261" t="str">
        <f>_xll.ohRangeRetrieveError(J262)</f>
        <v/>
      </c>
      <c r="L262" s="119"/>
      <c r="N262" s="265"/>
    </row>
    <row r="263" spans="1:14" x14ac:dyDescent="0.2">
      <c r="A263" s="65"/>
      <c r="B263" s="97" t="s">
        <v>19</v>
      </c>
      <c r="C263" s="97" t="s">
        <v>28</v>
      </c>
      <c r="D263" s="97" t="str">
        <f t="shared" si="18"/>
        <v>15F</v>
      </c>
      <c r="E263" s="257" t="s">
        <v>161</v>
      </c>
      <c r="F263" s="257" t="s">
        <v>108</v>
      </c>
      <c r="G263" s="257" t="s">
        <v>120</v>
      </c>
      <c r="H263" s="258">
        <v>0</v>
      </c>
      <c r="I263" s="259" t="str">
        <f t="shared" si="19"/>
        <v>EUR15F6Y_Quote</v>
      </c>
      <c r="J263" s="260" t="str">
        <f>_xll.qlSwapRateHelper2(,$I263,$C263,Calendar,$E263,$F263,$G263,$J$4,$H263,B263,Discounting,Permanent,,ObjectOverwrite)</f>
        <v>obj_00767#0001</v>
      </c>
      <c r="K263" s="261" t="str">
        <f>_xll.ohRangeRetrieveError(J263)</f>
        <v/>
      </c>
      <c r="L263" s="119"/>
      <c r="N263" s="265"/>
    </row>
    <row r="264" spans="1:14" x14ac:dyDescent="0.2">
      <c r="A264" s="65"/>
      <c r="B264" s="97" t="s">
        <v>19</v>
      </c>
      <c r="C264" s="97" t="s">
        <v>27</v>
      </c>
      <c r="D264" s="97" t="str">
        <f t="shared" si="18"/>
        <v>15F</v>
      </c>
      <c r="E264" s="257" t="s">
        <v>161</v>
      </c>
      <c r="F264" s="257" t="s">
        <v>108</v>
      </c>
      <c r="G264" s="257" t="s">
        <v>120</v>
      </c>
      <c r="H264" s="258">
        <v>0</v>
      </c>
      <c r="I264" s="259" t="str">
        <f t="shared" si="19"/>
        <v>EUR15F7Y_Quote</v>
      </c>
      <c r="J264" s="260" t="str">
        <f>_xll.qlSwapRateHelper2(,$I264,$C264,Calendar,$E264,$F264,$G264,$J$4,$H264,B264,Discounting,Permanent,,ObjectOverwrite)</f>
        <v>obj_0073e#0001</v>
      </c>
      <c r="K264" s="261" t="str">
        <f>_xll.ohRangeRetrieveError(J264)</f>
        <v/>
      </c>
      <c r="L264" s="119"/>
      <c r="N264" s="265"/>
    </row>
    <row r="265" spans="1:14" x14ac:dyDescent="0.2">
      <c r="A265" s="65"/>
      <c r="B265" s="97" t="s">
        <v>19</v>
      </c>
      <c r="C265" s="97" t="s">
        <v>26</v>
      </c>
      <c r="D265" s="97" t="str">
        <f t="shared" si="18"/>
        <v>15F</v>
      </c>
      <c r="E265" s="257" t="s">
        <v>161</v>
      </c>
      <c r="F265" s="257" t="s">
        <v>108</v>
      </c>
      <c r="G265" s="257" t="s">
        <v>120</v>
      </c>
      <c r="H265" s="258">
        <v>0</v>
      </c>
      <c r="I265" s="259" t="str">
        <f t="shared" si="19"/>
        <v>EUR15F8Y_Quote</v>
      </c>
      <c r="J265" s="260" t="str">
        <f>_xll.qlSwapRateHelper2(,$I265,$C265,Calendar,$E265,$F265,$G265,$J$4,$H265,B265,Discounting,Permanent,,ObjectOverwrite)</f>
        <v>obj_007ed#0001</v>
      </c>
      <c r="K265" s="261" t="str">
        <f>_xll.ohRangeRetrieveError(J265)</f>
        <v/>
      </c>
      <c r="L265" s="119"/>
      <c r="N265" s="265"/>
    </row>
    <row r="266" spans="1:14" x14ac:dyDescent="0.2">
      <c r="A266" s="65"/>
      <c r="B266" s="97" t="s">
        <v>19</v>
      </c>
      <c r="C266" s="97" t="s">
        <v>25</v>
      </c>
      <c r="D266" s="97" t="str">
        <f t="shared" si="18"/>
        <v>15F</v>
      </c>
      <c r="E266" s="257" t="s">
        <v>161</v>
      </c>
      <c r="F266" s="257" t="s">
        <v>108</v>
      </c>
      <c r="G266" s="257" t="s">
        <v>120</v>
      </c>
      <c r="H266" s="258">
        <v>0</v>
      </c>
      <c r="I266" s="259" t="str">
        <f t="shared" si="19"/>
        <v>EUR15F9Y_Quote</v>
      </c>
      <c r="J266" s="260" t="str">
        <f>_xll.qlSwapRateHelper2(,$I266,$C266,Calendar,$E266,$F266,$G266,$J$4,$H266,B266,Discounting,Permanent,,ObjectOverwrite)</f>
        <v>obj_007a9#0001</v>
      </c>
      <c r="K266" s="261" t="str">
        <f>_xll.ohRangeRetrieveError(J266)</f>
        <v/>
      </c>
      <c r="L266" s="119"/>
      <c r="N266" s="265"/>
    </row>
    <row r="267" spans="1:14" x14ac:dyDescent="0.2">
      <c r="A267" s="65"/>
      <c r="B267" s="97" t="s">
        <v>19</v>
      </c>
      <c r="C267" s="97" t="s">
        <v>24</v>
      </c>
      <c r="D267" s="97" t="str">
        <f t="shared" si="18"/>
        <v>15F</v>
      </c>
      <c r="E267" s="257" t="s">
        <v>161</v>
      </c>
      <c r="F267" s="257" t="s">
        <v>108</v>
      </c>
      <c r="G267" s="257" t="s">
        <v>120</v>
      </c>
      <c r="H267" s="258">
        <v>0</v>
      </c>
      <c r="I267" s="259" t="str">
        <f t="shared" si="19"/>
        <v>EUR15F10Y_Quote</v>
      </c>
      <c r="J267" s="260" t="str">
        <f>_xll.qlSwapRateHelper2(,$I267,$C267,Calendar,$E267,$F267,$G267,$J$4,$H267,B267,Discounting,Permanent,,ObjectOverwrite)</f>
        <v>obj_00788#0001</v>
      </c>
      <c r="K267" s="261" t="str">
        <f>_xll.ohRangeRetrieveError(J267)</f>
        <v/>
      </c>
      <c r="L267" s="119"/>
      <c r="N267" s="265"/>
    </row>
    <row r="268" spans="1:14" x14ac:dyDescent="0.2">
      <c r="A268" s="65"/>
      <c r="B268" s="97" t="s">
        <v>19</v>
      </c>
      <c r="C268" s="97" t="s">
        <v>23</v>
      </c>
      <c r="D268" s="97" t="str">
        <f t="shared" si="18"/>
        <v>15F</v>
      </c>
      <c r="E268" s="257" t="s">
        <v>161</v>
      </c>
      <c r="F268" s="257" t="s">
        <v>108</v>
      </c>
      <c r="G268" s="257" t="s">
        <v>120</v>
      </c>
      <c r="H268" s="258">
        <v>0</v>
      </c>
      <c r="I268" s="259" t="str">
        <f t="shared" si="19"/>
        <v>EUR15F11Y_Quote</v>
      </c>
      <c r="J268" s="260" t="str">
        <f>_xll.qlSwapRateHelper2(,$I268,$C268,Calendar,$E268,$F268,$G268,$J$4,$H268,B268,Discounting,Permanent,,ObjectOverwrite)</f>
        <v>obj_00748#0001</v>
      </c>
      <c r="K268" s="261" t="str">
        <f>_xll.ohRangeRetrieveError(J268)</f>
        <v/>
      </c>
      <c r="L268" s="119"/>
      <c r="N268" s="265"/>
    </row>
    <row r="269" spans="1:14" x14ac:dyDescent="0.2">
      <c r="A269" s="65"/>
      <c r="B269" s="97" t="s">
        <v>19</v>
      </c>
      <c r="C269" s="97" t="s">
        <v>22</v>
      </c>
      <c r="D269" s="97" t="str">
        <f t="shared" si="18"/>
        <v>15F</v>
      </c>
      <c r="E269" s="257" t="s">
        <v>161</v>
      </c>
      <c r="F269" s="257" t="s">
        <v>108</v>
      </c>
      <c r="G269" s="257" t="s">
        <v>120</v>
      </c>
      <c r="H269" s="258">
        <v>0</v>
      </c>
      <c r="I269" s="259" t="str">
        <f t="shared" si="19"/>
        <v>EUR15F12Y_Quote</v>
      </c>
      <c r="J269" s="260" t="str">
        <f>_xll.qlSwapRateHelper2(,$I269,$C269,Calendar,$E269,$F269,$G269,$J$4,$H269,B269,Discounting,Permanent,,ObjectOverwrite)</f>
        <v>obj_00878#0001</v>
      </c>
      <c r="K269" s="261" t="str">
        <f>_xll.ohRangeRetrieveError(J269)</f>
        <v/>
      </c>
      <c r="L269" s="119"/>
      <c r="N269" s="265"/>
    </row>
    <row r="270" spans="1:14" x14ac:dyDescent="0.2">
      <c r="A270" s="65"/>
      <c r="B270" s="97" t="s">
        <v>19</v>
      </c>
      <c r="C270" s="97" t="s">
        <v>21</v>
      </c>
      <c r="D270" s="97" t="str">
        <f t="shared" si="18"/>
        <v>15F</v>
      </c>
      <c r="E270" s="257" t="s">
        <v>161</v>
      </c>
      <c r="F270" s="257" t="s">
        <v>108</v>
      </c>
      <c r="G270" s="257" t="s">
        <v>120</v>
      </c>
      <c r="H270" s="258">
        <v>0</v>
      </c>
      <c r="I270" s="259" t="str">
        <f t="shared" si="19"/>
        <v>EUR15F13Y_Quote</v>
      </c>
      <c r="J270" s="260" t="str">
        <f>_xll.qlSwapRateHelper2(,$I270,$C270,Calendar,$E270,$F270,$G270,$J$4,$H270,B270,Discounting,Permanent,,ObjectOverwrite)</f>
        <v>obj_007da#0001</v>
      </c>
      <c r="K270" s="261" t="str">
        <f>_xll.ohRangeRetrieveError(J270)</f>
        <v/>
      </c>
      <c r="L270" s="119"/>
      <c r="N270" s="265"/>
    </row>
    <row r="271" spans="1:14" x14ac:dyDescent="0.2">
      <c r="A271" s="65"/>
      <c r="B271" s="97" t="s">
        <v>19</v>
      </c>
      <c r="C271" s="97" t="s">
        <v>20</v>
      </c>
      <c r="D271" s="97" t="str">
        <f t="shared" si="18"/>
        <v>15F</v>
      </c>
      <c r="E271" s="257" t="s">
        <v>161</v>
      </c>
      <c r="F271" s="257" t="s">
        <v>108</v>
      </c>
      <c r="G271" s="257" t="s">
        <v>120</v>
      </c>
      <c r="H271" s="258">
        <v>0</v>
      </c>
      <c r="I271" s="259" t="str">
        <f t="shared" si="19"/>
        <v>EUR15F14Y_Quote</v>
      </c>
      <c r="J271" s="260" t="str">
        <f>_xll.qlSwapRateHelper2(,$I271,$C271,Calendar,$E271,$F271,$G271,$J$4,$H271,B271,Discounting,Permanent,,ObjectOverwrite)</f>
        <v>obj_00762#0001</v>
      </c>
      <c r="K271" s="261" t="str">
        <f>_xll.ohRangeRetrieveError(J271)</f>
        <v/>
      </c>
      <c r="L271" s="119"/>
      <c r="N271" s="265"/>
    </row>
    <row r="272" spans="1:14" x14ac:dyDescent="0.2">
      <c r="A272" s="65"/>
      <c r="B272" s="97" t="s">
        <v>19</v>
      </c>
      <c r="C272" s="97" t="s">
        <v>19</v>
      </c>
      <c r="D272" s="97" t="str">
        <f t="shared" si="18"/>
        <v>15F</v>
      </c>
      <c r="E272" s="257" t="s">
        <v>161</v>
      </c>
      <c r="F272" s="257" t="s">
        <v>108</v>
      </c>
      <c r="G272" s="257" t="s">
        <v>120</v>
      </c>
      <c r="H272" s="258">
        <v>0</v>
      </c>
      <c r="I272" s="259" t="str">
        <f t="shared" si="19"/>
        <v>EUR15F15Y_Quote</v>
      </c>
      <c r="J272" s="260" t="str">
        <f>_xll.qlSwapRateHelper2(,$I272,$C272,Calendar,$E272,$F272,$G272,$J$4,$H272,B272,Discounting,Permanent,,ObjectOverwrite)</f>
        <v>obj_007e5#0001</v>
      </c>
      <c r="K272" s="261" t="str">
        <f>_xll.ohRangeRetrieveError(J272)</f>
        <v/>
      </c>
      <c r="L272" s="119"/>
      <c r="N272" s="265"/>
    </row>
    <row r="273" spans="1:14" x14ac:dyDescent="0.2">
      <c r="A273" s="65"/>
      <c r="B273" s="97" t="s">
        <v>19</v>
      </c>
      <c r="C273" s="97" t="s">
        <v>14</v>
      </c>
      <c r="D273" s="97" t="str">
        <f t="shared" si="18"/>
        <v>15F</v>
      </c>
      <c r="E273" s="257" t="s">
        <v>161</v>
      </c>
      <c r="F273" s="257" t="s">
        <v>108</v>
      </c>
      <c r="G273" s="257" t="s">
        <v>120</v>
      </c>
      <c r="H273" s="258">
        <v>0</v>
      </c>
      <c r="I273" s="259" t="str">
        <f t="shared" si="19"/>
        <v>EUR15F20Y_Quote</v>
      </c>
      <c r="J273" s="260" t="str">
        <f>_xll.qlSwapRateHelper2(,$I273,$C273,Calendar,$E273,$F273,$G273,$J$4,$H273,B273,Discounting,Permanent,,ObjectOverwrite)</f>
        <v>obj_007fb#0001</v>
      </c>
      <c r="K273" s="261" t="str">
        <f>_xll.ohRangeRetrieveError(J273)</f>
        <v/>
      </c>
      <c r="L273" s="119"/>
      <c r="N273" s="265"/>
    </row>
    <row r="274" spans="1:14" x14ac:dyDescent="0.2">
      <c r="A274" s="65"/>
      <c r="B274" s="97" t="s">
        <v>19</v>
      </c>
      <c r="C274" s="97" t="s">
        <v>9</v>
      </c>
      <c r="D274" s="97" t="str">
        <f t="shared" si="18"/>
        <v>15F</v>
      </c>
      <c r="E274" s="257" t="s">
        <v>161</v>
      </c>
      <c r="F274" s="257" t="s">
        <v>108</v>
      </c>
      <c r="G274" s="257" t="s">
        <v>120</v>
      </c>
      <c r="H274" s="258">
        <v>0</v>
      </c>
      <c r="I274" s="259" t="str">
        <f t="shared" si="19"/>
        <v>EUR15F25Y_Quote</v>
      </c>
      <c r="J274" s="260" t="str">
        <f>_xll.qlSwapRateHelper2(,$I274,$C274,Calendar,$E274,$F274,$G274,$J$4,$H274,B274,Discounting,Permanent,,ObjectOverwrite)</f>
        <v>obj_0079d#0001</v>
      </c>
      <c r="K274" s="261" t="str">
        <f>_xll.ohRangeRetrieveError(J274)</f>
        <v/>
      </c>
      <c r="L274" s="119"/>
      <c r="N274" s="265"/>
    </row>
    <row r="275" spans="1:14" x14ac:dyDescent="0.2">
      <c r="A275" s="65"/>
      <c r="B275" s="262" t="s">
        <v>19</v>
      </c>
      <c r="C275" s="262" t="s">
        <v>4</v>
      </c>
      <c r="D275" s="262" t="str">
        <f t="shared" si="18"/>
        <v>15F</v>
      </c>
      <c r="E275" s="122" t="s">
        <v>161</v>
      </c>
      <c r="F275" s="122" t="s">
        <v>108</v>
      </c>
      <c r="G275" s="122" t="s">
        <v>120</v>
      </c>
      <c r="H275" s="263">
        <v>0</v>
      </c>
      <c r="I275" s="121" t="str">
        <f t="shared" si="19"/>
        <v>EUR15F30Y_Quote</v>
      </c>
      <c r="J275" s="147" t="str">
        <f>_xll.qlSwapRateHelper2(,$I275,$C275,Calendar,$E275,$F275,$G275,$J$4,$H275,B275,Discounting,Permanent,,ObjectOverwrite)</f>
        <v>obj_00784#0001</v>
      </c>
      <c r="K275" s="264" t="str">
        <f>_xll.ohRangeRetrieveError(J275)</f>
        <v/>
      </c>
      <c r="L275" s="119"/>
      <c r="N275" s="265"/>
    </row>
    <row r="276" spans="1:14" x14ac:dyDescent="0.2">
      <c r="A276" s="65"/>
      <c r="B276" s="102" t="s">
        <v>14</v>
      </c>
      <c r="C276" s="102" t="s">
        <v>36</v>
      </c>
      <c r="D276" s="102" t="str">
        <f>LEFT(B276,2)&amp;"F"</f>
        <v>20F</v>
      </c>
      <c r="E276" s="111" t="s">
        <v>161</v>
      </c>
      <c r="F276" s="111" t="s">
        <v>108</v>
      </c>
      <c r="G276" s="111" t="s">
        <v>120</v>
      </c>
      <c r="H276" s="253">
        <v>0</v>
      </c>
      <c r="I276" s="254" t="str">
        <f t="shared" si="19"/>
        <v>EUR20F1Y_Quote</v>
      </c>
      <c r="J276" s="255" t="str">
        <f>_xll.qlSwapRateHelper2(,$I276,$C276,Calendar,$E276,$F276,$G276,$J$4,$H276,B276,Discounting,Permanent,,ObjectOverwrite)</f>
        <v>obj_00753#0001</v>
      </c>
      <c r="K276" s="256" t="str">
        <f>_xll.ohRangeRetrieveError(J276)</f>
        <v/>
      </c>
      <c r="L276" s="119"/>
      <c r="N276" s="265"/>
    </row>
    <row r="277" spans="1:14" x14ac:dyDescent="0.2">
      <c r="A277" s="65"/>
      <c r="B277" s="97" t="s">
        <v>14</v>
      </c>
      <c r="C277" s="97" t="s">
        <v>32</v>
      </c>
      <c r="D277" s="97" t="str">
        <f t="shared" ref="D277:D293" si="20">LEFT(B277,2)&amp;"F"</f>
        <v>20F</v>
      </c>
      <c r="E277" s="257" t="s">
        <v>161</v>
      </c>
      <c r="F277" s="257" t="s">
        <v>108</v>
      </c>
      <c r="G277" s="257" t="s">
        <v>120</v>
      </c>
      <c r="H277" s="258">
        <v>0</v>
      </c>
      <c r="I277" s="259" t="str">
        <f t="shared" si="19"/>
        <v>EUR20F2Y_Quote</v>
      </c>
      <c r="J277" s="260" t="str">
        <f>_xll.qlSwapRateHelper2(,$I277,$C277,Calendar,$E277,$F277,$G277,$J$4,$H277,B277,Discounting,Permanent,,ObjectOverwrite)</f>
        <v>obj_007c6#0001</v>
      </c>
      <c r="K277" s="261" t="str">
        <f>_xll.ohRangeRetrieveError(J277)</f>
        <v/>
      </c>
      <c r="L277" s="119"/>
      <c r="N277" s="265"/>
    </row>
    <row r="278" spans="1:14" x14ac:dyDescent="0.2">
      <c r="A278" s="65"/>
      <c r="B278" s="97" t="s">
        <v>14</v>
      </c>
      <c r="C278" s="97" t="s">
        <v>31</v>
      </c>
      <c r="D278" s="97" t="str">
        <f t="shared" si="20"/>
        <v>20F</v>
      </c>
      <c r="E278" s="257" t="s">
        <v>161</v>
      </c>
      <c r="F278" s="257" t="s">
        <v>108</v>
      </c>
      <c r="G278" s="257" t="s">
        <v>120</v>
      </c>
      <c r="H278" s="258">
        <v>0</v>
      </c>
      <c r="I278" s="259" t="str">
        <f t="shared" si="19"/>
        <v>EUR20F3Y_Quote</v>
      </c>
      <c r="J278" s="260" t="str">
        <f>_xll.qlSwapRateHelper2(,$I278,$C278,Calendar,$E278,$F278,$G278,$J$4,$H278,B278,Discounting,Permanent,,ObjectOverwrite)</f>
        <v>obj_00823#0001</v>
      </c>
      <c r="K278" s="261" t="str">
        <f>_xll.ohRangeRetrieveError(J278)</f>
        <v/>
      </c>
      <c r="L278" s="119"/>
      <c r="N278" s="265"/>
    </row>
    <row r="279" spans="1:14" x14ac:dyDescent="0.2">
      <c r="A279" s="65"/>
      <c r="B279" s="97" t="s">
        <v>14</v>
      </c>
      <c r="C279" s="97" t="s">
        <v>30</v>
      </c>
      <c r="D279" s="97" t="str">
        <f t="shared" si="20"/>
        <v>20F</v>
      </c>
      <c r="E279" s="257" t="s">
        <v>161</v>
      </c>
      <c r="F279" s="257" t="s">
        <v>108</v>
      </c>
      <c r="G279" s="257" t="s">
        <v>120</v>
      </c>
      <c r="H279" s="258">
        <v>0</v>
      </c>
      <c r="I279" s="259" t="str">
        <f t="shared" si="19"/>
        <v>EUR20F4Y_Quote</v>
      </c>
      <c r="J279" s="260" t="str">
        <f>_xll.qlSwapRateHelper2(,$I279,$C279,Calendar,$E279,$F279,$G279,$J$4,$H279,B279,Discounting,Permanent,,ObjectOverwrite)</f>
        <v>obj_007d2#0001</v>
      </c>
      <c r="K279" s="261" t="str">
        <f>_xll.ohRangeRetrieveError(J279)</f>
        <v/>
      </c>
      <c r="L279" s="119"/>
      <c r="N279" s="265"/>
    </row>
    <row r="280" spans="1:14" x14ac:dyDescent="0.2">
      <c r="A280" s="65"/>
      <c r="B280" s="97" t="s">
        <v>14</v>
      </c>
      <c r="C280" s="97" t="s">
        <v>29</v>
      </c>
      <c r="D280" s="97" t="str">
        <f t="shared" si="20"/>
        <v>20F</v>
      </c>
      <c r="E280" s="257" t="s">
        <v>161</v>
      </c>
      <c r="F280" s="257" t="s">
        <v>108</v>
      </c>
      <c r="G280" s="257" t="s">
        <v>120</v>
      </c>
      <c r="H280" s="258">
        <v>0</v>
      </c>
      <c r="I280" s="259" t="str">
        <f t="shared" si="19"/>
        <v>EUR20F5Y_Quote</v>
      </c>
      <c r="J280" s="260" t="str">
        <f>_xll.qlSwapRateHelper2(,$I280,$C280,Calendar,$E280,$F280,$G280,$J$4,$H280,B280,Discounting,Permanent,,ObjectOverwrite)</f>
        <v>obj_00775#0001</v>
      </c>
      <c r="K280" s="261" t="str">
        <f>_xll.ohRangeRetrieveError(J280)</f>
        <v/>
      </c>
      <c r="L280" s="119"/>
      <c r="N280" s="265"/>
    </row>
    <row r="281" spans="1:14" x14ac:dyDescent="0.2">
      <c r="A281" s="65"/>
      <c r="B281" s="97" t="s">
        <v>14</v>
      </c>
      <c r="C281" s="97" t="s">
        <v>28</v>
      </c>
      <c r="D281" s="97" t="str">
        <f t="shared" si="20"/>
        <v>20F</v>
      </c>
      <c r="E281" s="257" t="s">
        <v>161</v>
      </c>
      <c r="F281" s="257" t="s">
        <v>108</v>
      </c>
      <c r="G281" s="257" t="s">
        <v>120</v>
      </c>
      <c r="H281" s="258">
        <v>0</v>
      </c>
      <c r="I281" s="259" t="str">
        <f t="shared" si="19"/>
        <v>EUR20F6Y_Quote</v>
      </c>
      <c r="J281" s="260" t="str">
        <f>_xll.qlSwapRateHelper2(,$I281,$C281,Calendar,$E281,$F281,$G281,$J$4,$H281,B281,Discounting,Permanent,,ObjectOverwrite)</f>
        <v>obj_007b7#0001</v>
      </c>
      <c r="K281" s="261" t="str">
        <f>_xll.ohRangeRetrieveError(J281)</f>
        <v/>
      </c>
      <c r="L281" s="119"/>
      <c r="N281" s="265"/>
    </row>
    <row r="282" spans="1:14" x14ac:dyDescent="0.2">
      <c r="A282" s="65"/>
      <c r="B282" s="97" t="s">
        <v>14</v>
      </c>
      <c r="C282" s="97" t="s">
        <v>27</v>
      </c>
      <c r="D282" s="97" t="str">
        <f t="shared" si="20"/>
        <v>20F</v>
      </c>
      <c r="E282" s="257" t="s">
        <v>161</v>
      </c>
      <c r="F282" s="257" t="s">
        <v>108</v>
      </c>
      <c r="G282" s="257" t="s">
        <v>120</v>
      </c>
      <c r="H282" s="258">
        <v>0</v>
      </c>
      <c r="I282" s="259" t="str">
        <f t="shared" si="19"/>
        <v>EUR20F7Y_Quote</v>
      </c>
      <c r="J282" s="260" t="str">
        <f>_xll.qlSwapRateHelper2(,$I282,$C282,Calendar,$E282,$F282,$G282,$J$4,$H282,B282,Discounting,Permanent,,ObjectOverwrite)</f>
        <v>obj_007d8#0001</v>
      </c>
      <c r="K282" s="261" t="str">
        <f>_xll.ohRangeRetrieveError(J282)</f>
        <v/>
      </c>
      <c r="L282" s="119"/>
      <c r="N282" s="265"/>
    </row>
    <row r="283" spans="1:14" x14ac:dyDescent="0.2">
      <c r="A283" s="65"/>
      <c r="B283" s="97" t="s">
        <v>14</v>
      </c>
      <c r="C283" s="97" t="s">
        <v>26</v>
      </c>
      <c r="D283" s="97" t="str">
        <f t="shared" si="20"/>
        <v>20F</v>
      </c>
      <c r="E283" s="257" t="s">
        <v>161</v>
      </c>
      <c r="F283" s="257" t="s">
        <v>108</v>
      </c>
      <c r="G283" s="257" t="s">
        <v>120</v>
      </c>
      <c r="H283" s="258">
        <v>0</v>
      </c>
      <c r="I283" s="259" t="str">
        <f t="shared" si="19"/>
        <v>EUR20F8Y_Quote</v>
      </c>
      <c r="J283" s="260" t="str">
        <f>_xll.qlSwapRateHelper2(,$I283,$C283,Calendar,$E283,$F283,$G283,$J$4,$H283,B283,Discounting,Permanent,,ObjectOverwrite)</f>
        <v>obj_0083f#0001</v>
      </c>
      <c r="K283" s="261" t="str">
        <f>_xll.ohRangeRetrieveError(J283)</f>
        <v/>
      </c>
      <c r="L283" s="119"/>
      <c r="N283" s="265"/>
    </row>
    <row r="284" spans="1:14" x14ac:dyDescent="0.2">
      <c r="A284" s="65"/>
      <c r="B284" s="97" t="s">
        <v>14</v>
      </c>
      <c r="C284" s="97" t="s">
        <v>25</v>
      </c>
      <c r="D284" s="97" t="str">
        <f t="shared" si="20"/>
        <v>20F</v>
      </c>
      <c r="E284" s="257" t="s">
        <v>161</v>
      </c>
      <c r="F284" s="257" t="s">
        <v>108</v>
      </c>
      <c r="G284" s="257" t="s">
        <v>120</v>
      </c>
      <c r="H284" s="258">
        <v>0</v>
      </c>
      <c r="I284" s="259" t="str">
        <f t="shared" si="19"/>
        <v>EUR20F9Y_Quote</v>
      </c>
      <c r="J284" s="260" t="str">
        <f>_xll.qlSwapRateHelper2(,$I284,$C284,Calendar,$E284,$F284,$G284,$J$4,$H284,B284,Discounting,Permanent,,ObjectOverwrite)</f>
        <v>obj_0079a#0001</v>
      </c>
      <c r="K284" s="261" t="str">
        <f>_xll.ohRangeRetrieveError(J284)</f>
        <v/>
      </c>
      <c r="L284" s="119"/>
      <c r="N284" s="265"/>
    </row>
    <row r="285" spans="1:14" x14ac:dyDescent="0.2">
      <c r="A285" s="65"/>
      <c r="B285" s="97" t="s">
        <v>14</v>
      </c>
      <c r="C285" s="97" t="s">
        <v>24</v>
      </c>
      <c r="D285" s="97" t="str">
        <f t="shared" si="20"/>
        <v>20F</v>
      </c>
      <c r="E285" s="257" t="s">
        <v>161</v>
      </c>
      <c r="F285" s="257" t="s">
        <v>108</v>
      </c>
      <c r="G285" s="257" t="s">
        <v>120</v>
      </c>
      <c r="H285" s="258">
        <v>0</v>
      </c>
      <c r="I285" s="259" t="str">
        <f t="shared" si="19"/>
        <v>EUR20F10Y_Quote</v>
      </c>
      <c r="J285" s="260" t="str">
        <f>_xll.qlSwapRateHelper2(,$I285,$C285,Calendar,$E285,$F285,$G285,$J$4,$H285,B285,Discounting,Permanent,,ObjectOverwrite)</f>
        <v>obj_0088f#0001</v>
      </c>
      <c r="K285" s="261" t="str">
        <f>_xll.ohRangeRetrieveError(J285)</f>
        <v/>
      </c>
      <c r="L285" s="119"/>
      <c r="N285" s="265"/>
    </row>
    <row r="286" spans="1:14" x14ac:dyDescent="0.2">
      <c r="A286" s="65"/>
      <c r="B286" s="97" t="s">
        <v>14</v>
      </c>
      <c r="C286" s="97" t="s">
        <v>23</v>
      </c>
      <c r="D286" s="97" t="str">
        <f t="shared" si="20"/>
        <v>20F</v>
      </c>
      <c r="E286" s="257" t="s">
        <v>161</v>
      </c>
      <c r="F286" s="257" t="s">
        <v>108</v>
      </c>
      <c r="G286" s="257" t="s">
        <v>120</v>
      </c>
      <c r="H286" s="258">
        <v>0</v>
      </c>
      <c r="I286" s="259" t="str">
        <f t="shared" si="19"/>
        <v>EUR20F11Y_Quote</v>
      </c>
      <c r="J286" s="260" t="str">
        <f>_xll.qlSwapRateHelper2(,$I286,$C286,Calendar,$E286,$F286,$G286,$J$4,$H286,B286,Discounting,Permanent,,ObjectOverwrite)</f>
        <v>obj_0074e#0001</v>
      </c>
      <c r="K286" s="261" t="str">
        <f>_xll.ohRangeRetrieveError(J286)</f>
        <v/>
      </c>
      <c r="L286" s="119"/>
      <c r="N286" s="265"/>
    </row>
    <row r="287" spans="1:14" x14ac:dyDescent="0.2">
      <c r="A287" s="65"/>
      <c r="B287" s="97" t="s">
        <v>14</v>
      </c>
      <c r="C287" s="97" t="s">
        <v>22</v>
      </c>
      <c r="D287" s="97" t="str">
        <f t="shared" si="20"/>
        <v>20F</v>
      </c>
      <c r="E287" s="257" t="s">
        <v>161</v>
      </c>
      <c r="F287" s="257" t="s">
        <v>108</v>
      </c>
      <c r="G287" s="257" t="s">
        <v>120</v>
      </c>
      <c r="H287" s="258">
        <v>0</v>
      </c>
      <c r="I287" s="259" t="str">
        <f t="shared" si="19"/>
        <v>EUR20F12Y_Quote</v>
      </c>
      <c r="J287" s="260" t="str">
        <f>_xll.qlSwapRateHelper2(,$I287,$C287,Calendar,$E287,$F287,$G287,$J$4,$H287,B287,Discounting,Permanent,,ObjectOverwrite)</f>
        <v>obj_00886#0001</v>
      </c>
      <c r="K287" s="261" t="str">
        <f>_xll.ohRangeRetrieveError(J287)</f>
        <v/>
      </c>
      <c r="L287" s="119"/>
      <c r="N287" s="265"/>
    </row>
    <row r="288" spans="1:14" x14ac:dyDescent="0.2">
      <c r="A288" s="65"/>
      <c r="B288" s="97" t="s">
        <v>14</v>
      </c>
      <c r="C288" s="97" t="s">
        <v>21</v>
      </c>
      <c r="D288" s="97" t="str">
        <f t="shared" si="20"/>
        <v>20F</v>
      </c>
      <c r="E288" s="257" t="s">
        <v>161</v>
      </c>
      <c r="F288" s="257" t="s">
        <v>108</v>
      </c>
      <c r="G288" s="257" t="s">
        <v>120</v>
      </c>
      <c r="H288" s="258">
        <v>0</v>
      </c>
      <c r="I288" s="259" t="str">
        <f t="shared" si="19"/>
        <v>EUR20F13Y_Quote</v>
      </c>
      <c r="J288" s="260" t="str">
        <f>_xll.qlSwapRateHelper2(,$I288,$C288,Calendar,$E288,$F288,$G288,$J$4,$H288,B288,Discounting,Permanent,,ObjectOverwrite)</f>
        <v>obj_0076c#0001</v>
      </c>
      <c r="K288" s="261" t="str">
        <f>_xll.ohRangeRetrieveError(J288)</f>
        <v/>
      </c>
      <c r="L288" s="119"/>
      <c r="N288" s="265"/>
    </row>
    <row r="289" spans="1:14" x14ac:dyDescent="0.2">
      <c r="A289" s="65"/>
      <c r="B289" s="97" t="s">
        <v>14</v>
      </c>
      <c r="C289" s="97" t="s">
        <v>20</v>
      </c>
      <c r="D289" s="97" t="str">
        <f t="shared" si="20"/>
        <v>20F</v>
      </c>
      <c r="E289" s="257" t="s">
        <v>161</v>
      </c>
      <c r="F289" s="257" t="s">
        <v>108</v>
      </c>
      <c r="G289" s="257" t="s">
        <v>120</v>
      </c>
      <c r="H289" s="258">
        <v>0</v>
      </c>
      <c r="I289" s="259" t="str">
        <f t="shared" si="19"/>
        <v>EUR20F14Y_Quote</v>
      </c>
      <c r="J289" s="260" t="str">
        <f>_xll.qlSwapRateHelper2(,$I289,$C289,Calendar,$E289,$F289,$G289,$J$4,$H289,B289,Discounting,Permanent,,ObjectOverwrite)</f>
        <v>obj_0086b#0001</v>
      </c>
      <c r="K289" s="261" t="str">
        <f>_xll.ohRangeRetrieveError(J289)</f>
        <v/>
      </c>
      <c r="L289" s="119"/>
      <c r="N289" s="265"/>
    </row>
    <row r="290" spans="1:14" x14ac:dyDescent="0.2">
      <c r="A290" s="65"/>
      <c r="B290" s="97" t="s">
        <v>14</v>
      </c>
      <c r="C290" s="97" t="s">
        <v>19</v>
      </c>
      <c r="D290" s="97" t="str">
        <f t="shared" si="20"/>
        <v>20F</v>
      </c>
      <c r="E290" s="257" t="s">
        <v>161</v>
      </c>
      <c r="F290" s="257" t="s">
        <v>108</v>
      </c>
      <c r="G290" s="257" t="s">
        <v>120</v>
      </c>
      <c r="H290" s="258">
        <v>0</v>
      </c>
      <c r="I290" s="259" t="str">
        <f t="shared" si="19"/>
        <v>EUR20F15Y_Quote</v>
      </c>
      <c r="J290" s="260" t="str">
        <f>_xll.qlSwapRateHelper2(,$I290,$C290,Calendar,$E290,$F290,$G290,$J$4,$H290,B290,Discounting,Permanent,,ObjectOverwrite)</f>
        <v>obj_007aa#0001</v>
      </c>
      <c r="K290" s="261" t="str">
        <f>_xll.ohRangeRetrieveError(J290)</f>
        <v/>
      </c>
      <c r="L290" s="119"/>
      <c r="N290" s="265"/>
    </row>
    <row r="291" spans="1:14" x14ac:dyDescent="0.2">
      <c r="A291" s="65"/>
      <c r="B291" s="97" t="s">
        <v>14</v>
      </c>
      <c r="C291" s="97" t="s">
        <v>14</v>
      </c>
      <c r="D291" s="97" t="str">
        <f t="shared" si="20"/>
        <v>20F</v>
      </c>
      <c r="E291" s="257" t="s">
        <v>161</v>
      </c>
      <c r="F291" s="257" t="s">
        <v>108</v>
      </c>
      <c r="G291" s="257" t="s">
        <v>120</v>
      </c>
      <c r="H291" s="258">
        <v>0</v>
      </c>
      <c r="I291" s="259" t="str">
        <f t="shared" si="19"/>
        <v>EUR20F20Y_Quote</v>
      </c>
      <c r="J291" s="260" t="str">
        <f>_xll.qlSwapRateHelper2(,$I291,$C291,Calendar,$E291,$F291,$G291,$J$4,$H291,B291,Discounting,Permanent,,ObjectOverwrite)</f>
        <v>obj_00797#0001</v>
      </c>
      <c r="K291" s="261" t="str">
        <f>_xll.ohRangeRetrieveError(J291)</f>
        <v/>
      </c>
      <c r="L291" s="119"/>
      <c r="N291" s="265"/>
    </row>
    <row r="292" spans="1:14" x14ac:dyDescent="0.2">
      <c r="A292" s="65"/>
      <c r="B292" s="97" t="s">
        <v>14</v>
      </c>
      <c r="C292" s="97" t="s">
        <v>9</v>
      </c>
      <c r="D292" s="97" t="str">
        <f t="shared" si="20"/>
        <v>20F</v>
      </c>
      <c r="E292" s="257" t="s">
        <v>161</v>
      </c>
      <c r="F292" s="257" t="s">
        <v>108</v>
      </c>
      <c r="G292" s="257" t="s">
        <v>120</v>
      </c>
      <c r="H292" s="258">
        <v>0</v>
      </c>
      <c r="I292" s="259" t="str">
        <f t="shared" si="19"/>
        <v>EUR20F25Y_Quote</v>
      </c>
      <c r="J292" s="260" t="str">
        <f>_xll.qlSwapRateHelper2(,$I292,$C292,Calendar,$E292,$F292,$G292,$J$4,$H292,B292,Discounting,Permanent,,ObjectOverwrite)</f>
        <v>obj_007ec#0001</v>
      </c>
      <c r="K292" s="261" t="str">
        <f>_xll.ohRangeRetrieveError(J292)</f>
        <v/>
      </c>
      <c r="L292" s="119"/>
      <c r="N292" s="265"/>
    </row>
    <row r="293" spans="1:14" x14ac:dyDescent="0.2">
      <c r="A293" s="65"/>
      <c r="B293" s="262" t="s">
        <v>14</v>
      </c>
      <c r="C293" s="262" t="s">
        <v>4</v>
      </c>
      <c r="D293" s="262" t="str">
        <f t="shared" si="20"/>
        <v>20F</v>
      </c>
      <c r="E293" s="122" t="s">
        <v>161</v>
      </c>
      <c r="F293" s="122" t="s">
        <v>108</v>
      </c>
      <c r="G293" s="122" t="s">
        <v>120</v>
      </c>
      <c r="H293" s="263">
        <v>0</v>
      </c>
      <c r="I293" s="121" t="str">
        <f t="shared" si="19"/>
        <v>EUR20F30Y_Quote</v>
      </c>
      <c r="J293" s="147" t="str">
        <f>_xll.qlSwapRateHelper2(,$I293,$C293,Calendar,$E293,$F293,$G293,$J$4,$H293,B293,Discounting,Permanent,,ObjectOverwrite)</f>
        <v>obj_00826#0001</v>
      </c>
      <c r="K293" s="264" t="str">
        <f>_xll.ohRangeRetrieveError(J293)</f>
        <v/>
      </c>
      <c r="L293" s="119"/>
      <c r="N293" s="265"/>
    </row>
    <row r="294" spans="1:14" x14ac:dyDescent="0.2">
      <c r="A294" s="65"/>
      <c r="B294" s="102" t="s">
        <v>9</v>
      </c>
      <c r="C294" s="102" t="s">
        <v>36</v>
      </c>
      <c r="D294" s="102" t="str">
        <f>LEFT(B294,2)&amp;"F"</f>
        <v>25F</v>
      </c>
      <c r="E294" s="111" t="s">
        <v>161</v>
      </c>
      <c r="F294" s="111" t="s">
        <v>108</v>
      </c>
      <c r="G294" s="111" t="s">
        <v>120</v>
      </c>
      <c r="H294" s="253">
        <v>0</v>
      </c>
      <c r="I294" s="254" t="str">
        <f t="shared" si="19"/>
        <v>EUR25F1Y_Quote</v>
      </c>
      <c r="J294" s="255" t="str">
        <f>_xll.qlSwapRateHelper2(,$I294,$C294,Calendar,$E294,$F294,$G294,$J$4,$H294,B294,Discounting,Permanent,,ObjectOverwrite)</f>
        <v>obj_00779#0001</v>
      </c>
      <c r="K294" s="256" t="str">
        <f>_xll.ohRangeRetrieveError(J294)</f>
        <v/>
      </c>
      <c r="L294" s="119"/>
      <c r="N294" s="265"/>
    </row>
    <row r="295" spans="1:14" x14ac:dyDescent="0.2">
      <c r="A295" s="65"/>
      <c r="B295" s="97" t="s">
        <v>9</v>
      </c>
      <c r="C295" s="97" t="s">
        <v>32</v>
      </c>
      <c r="D295" s="97" t="str">
        <f t="shared" ref="D295:D311" si="21">LEFT(B295,2)&amp;"F"</f>
        <v>25F</v>
      </c>
      <c r="E295" s="257" t="s">
        <v>161</v>
      </c>
      <c r="F295" s="257" t="s">
        <v>108</v>
      </c>
      <c r="G295" s="257" t="s">
        <v>120</v>
      </c>
      <c r="H295" s="258">
        <v>0</v>
      </c>
      <c r="I295" s="259" t="str">
        <f t="shared" si="19"/>
        <v>EUR25F2Y_Quote</v>
      </c>
      <c r="J295" s="260" t="str">
        <f>_xll.qlSwapRateHelper2(,$I295,$C295,Calendar,$E295,$F295,$G295,$J$4,$H295,B295,Discounting,Permanent,,ObjectOverwrite)</f>
        <v>obj_007cc#0001</v>
      </c>
      <c r="K295" s="261" t="str">
        <f>_xll.ohRangeRetrieveError(J295)</f>
        <v/>
      </c>
      <c r="L295" s="119"/>
      <c r="N295" s="265"/>
    </row>
    <row r="296" spans="1:14" x14ac:dyDescent="0.2">
      <c r="A296" s="65"/>
      <c r="B296" s="97" t="s">
        <v>9</v>
      </c>
      <c r="C296" s="97" t="s">
        <v>31</v>
      </c>
      <c r="D296" s="97" t="str">
        <f t="shared" si="21"/>
        <v>25F</v>
      </c>
      <c r="E296" s="257" t="s">
        <v>161</v>
      </c>
      <c r="F296" s="257" t="s">
        <v>108</v>
      </c>
      <c r="G296" s="257" t="s">
        <v>120</v>
      </c>
      <c r="H296" s="258">
        <v>0</v>
      </c>
      <c r="I296" s="259" t="str">
        <f t="shared" si="19"/>
        <v>EUR25F3Y_Quote</v>
      </c>
      <c r="J296" s="260" t="str">
        <f>_xll.qlSwapRateHelper2(,$I296,$C296,Calendar,$E296,$F296,$G296,$J$4,$H296,B296,Discounting,Permanent,,ObjectOverwrite)</f>
        <v>obj_0079f#0001</v>
      </c>
      <c r="K296" s="261" t="str">
        <f>_xll.ohRangeRetrieveError(J296)</f>
        <v/>
      </c>
      <c r="L296" s="119"/>
      <c r="N296" s="265"/>
    </row>
    <row r="297" spans="1:14" x14ac:dyDescent="0.2">
      <c r="A297" s="65"/>
      <c r="B297" s="97" t="s">
        <v>9</v>
      </c>
      <c r="C297" s="97" t="s">
        <v>30</v>
      </c>
      <c r="D297" s="97" t="str">
        <f t="shared" si="21"/>
        <v>25F</v>
      </c>
      <c r="E297" s="257" t="s">
        <v>161</v>
      </c>
      <c r="F297" s="257" t="s">
        <v>108</v>
      </c>
      <c r="G297" s="257" t="s">
        <v>120</v>
      </c>
      <c r="H297" s="258">
        <v>0</v>
      </c>
      <c r="I297" s="259" t="str">
        <f t="shared" si="19"/>
        <v>EUR25F4Y_Quote</v>
      </c>
      <c r="J297" s="260" t="str">
        <f>_xll.qlSwapRateHelper2(,$I297,$C297,Calendar,$E297,$F297,$G297,$J$4,$H297,B297,Discounting,Permanent,,ObjectOverwrite)</f>
        <v>obj_00890#0001</v>
      </c>
      <c r="K297" s="261" t="str">
        <f>_xll.ohRangeRetrieveError(J297)</f>
        <v/>
      </c>
      <c r="L297" s="119"/>
      <c r="N297" s="265"/>
    </row>
    <row r="298" spans="1:14" x14ac:dyDescent="0.2">
      <c r="A298" s="65"/>
      <c r="B298" s="97" t="s">
        <v>9</v>
      </c>
      <c r="C298" s="97" t="s">
        <v>29</v>
      </c>
      <c r="D298" s="97" t="str">
        <f t="shared" si="21"/>
        <v>25F</v>
      </c>
      <c r="E298" s="257" t="s">
        <v>161</v>
      </c>
      <c r="F298" s="257" t="s">
        <v>108</v>
      </c>
      <c r="G298" s="257" t="s">
        <v>120</v>
      </c>
      <c r="H298" s="258">
        <v>0</v>
      </c>
      <c r="I298" s="259" t="str">
        <f t="shared" si="19"/>
        <v>EUR25F5Y_Quote</v>
      </c>
      <c r="J298" s="260" t="str">
        <f>_xll.qlSwapRateHelper2(,$I298,$C298,Calendar,$E298,$F298,$G298,$J$4,$H298,B298,Discounting,Permanent,,ObjectOverwrite)</f>
        <v>obj_00859#0001</v>
      </c>
      <c r="K298" s="261" t="str">
        <f>_xll.ohRangeRetrieveError(J298)</f>
        <v/>
      </c>
      <c r="L298" s="119"/>
      <c r="N298" s="265"/>
    </row>
    <row r="299" spans="1:14" x14ac:dyDescent="0.2">
      <c r="A299" s="65"/>
      <c r="B299" s="97" t="s">
        <v>9</v>
      </c>
      <c r="C299" s="97" t="s">
        <v>28</v>
      </c>
      <c r="D299" s="97" t="str">
        <f t="shared" si="21"/>
        <v>25F</v>
      </c>
      <c r="E299" s="257" t="s">
        <v>161</v>
      </c>
      <c r="F299" s="257" t="s">
        <v>108</v>
      </c>
      <c r="G299" s="257" t="s">
        <v>120</v>
      </c>
      <c r="H299" s="258">
        <v>0</v>
      </c>
      <c r="I299" s="259" t="str">
        <f t="shared" si="19"/>
        <v>EUR25F6Y_Quote</v>
      </c>
      <c r="J299" s="260" t="str">
        <f>_xll.qlSwapRateHelper2(,$I299,$C299,Calendar,$E299,$F299,$G299,$J$4,$H299,B299,Discounting,Permanent,,ObjectOverwrite)</f>
        <v>obj_00770#0001</v>
      </c>
      <c r="K299" s="261" t="str">
        <f>_xll.ohRangeRetrieveError(J299)</f>
        <v/>
      </c>
      <c r="L299" s="119"/>
      <c r="N299" s="265"/>
    </row>
    <row r="300" spans="1:14" x14ac:dyDescent="0.2">
      <c r="A300" s="65"/>
      <c r="B300" s="97" t="s">
        <v>9</v>
      </c>
      <c r="C300" s="97" t="s">
        <v>27</v>
      </c>
      <c r="D300" s="97" t="str">
        <f t="shared" si="21"/>
        <v>25F</v>
      </c>
      <c r="E300" s="257" t="s">
        <v>161</v>
      </c>
      <c r="F300" s="257" t="s">
        <v>108</v>
      </c>
      <c r="G300" s="257" t="s">
        <v>120</v>
      </c>
      <c r="H300" s="258">
        <v>0</v>
      </c>
      <c r="I300" s="259" t="str">
        <f t="shared" si="19"/>
        <v>EUR25F7Y_Quote</v>
      </c>
      <c r="J300" s="260" t="str">
        <f>_xll.qlSwapRateHelper2(,$I300,$C300,Calendar,$E300,$F300,$G300,$J$4,$H300,B300,Discounting,Permanent,,ObjectOverwrite)</f>
        <v>obj_00816#0001</v>
      </c>
      <c r="K300" s="261" t="str">
        <f>_xll.ohRangeRetrieveError(J300)</f>
        <v/>
      </c>
      <c r="L300" s="119"/>
      <c r="N300" s="265"/>
    </row>
    <row r="301" spans="1:14" x14ac:dyDescent="0.2">
      <c r="A301" s="65"/>
      <c r="B301" s="97" t="s">
        <v>9</v>
      </c>
      <c r="C301" s="97" t="s">
        <v>26</v>
      </c>
      <c r="D301" s="97" t="str">
        <f t="shared" si="21"/>
        <v>25F</v>
      </c>
      <c r="E301" s="257" t="s">
        <v>161</v>
      </c>
      <c r="F301" s="257" t="s">
        <v>108</v>
      </c>
      <c r="G301" s="257" t="s">
        <v>120</v>
      </c>
      <c r="H301" s="258">
        <v>0</v>
      </c>
      <c r="I301" s="259" t="str">
        <f t="shared" si="19"/>
        <v>EUR25F8Y_Quote</v>
      </c>
      <c r="J301" s="260" t="str">
        <f>_xll.qlSwapRateHelper2(,$I301,$C301,Calendar,$E301,$F301,$G301,$J$4,$H301,B301,Discounting,Permanent,,ObjectOverwrite)</f>
        <v>obj_00786#0001</v>
      </c>
      <c r="K301" s="261" t="str">
        <f>_xll.ohRangeRetrieveError(J301)</f>
        <v/>
      </c>
      <c r="L301" s="119"/>
      <c r="N301" s="265"/>
    </row>
    <row r="302" spans="1:14" x14ac:dyDescent="0.2">
      <c r="A302" s="65"/>
      <c r="B302" s="97" t="s">
        <v>9</v>
      </c>
      <c r="C302" s="97" t="s">
        <v>25</v>
      </c>
      <c r="D302" s="97" t="str">
        <f t="shared" si="21"/>
        <v>25F</v>
      </c>
      <c r="E302" s="257" t="s">
        <v>161</v>
      </c>
      <c r="F302" s="257" t="s">
        <v>108</v>
      </c>
      <c r="G302" s="257" t="s">
        <v>120</v>
      </c>
      <c r="H302" s="258">
        <v>0</v>
      </c>
      <c r="I302" s="259" t="str">
        <f t="shared" si="19"/>
        <v>EUR25F9Y_Quote</v>
      </c>
      <c r="J302" s="260" t="str">
        <f>_xll.qlSwapRateHelper2(,$I302,$C302,Calendar,$E302,$F302,$G302,$J$4,$H302,B302,Discounting,Permanent,,ObjectOverwrite)</f>
        <v>obj_00883#0001</v>
      </c>
      <c r="K302" s="261" t="str">
        <f>_xll.ohRangeRetrieveError(J302)</f>
        <v/>
      </c>
      <c r="L302" s="119"/>
      <c r="N302" s="265"/>
    </row>
    <row r="303" spans="1:14" x14ac:dyDescent="0.2">
      <c r="A303" s="65"/>
      <c r="B303" s="97" t="s">
        <v>9</v>
      </c>
      <c r="C303" s="97" t="s">
        <v>24</v>
      </c>
      <c r="D303" s="97" t="str">
        <f t="shared" si="21"/>
        <v>25F</v>
      </c>
      <c r="E303" s="257" t="s">
        <v>161</v>
      </c>
      <c r="F303" s="257" t="s">
        <v>108</v>
      </c>
      <c r="G303" s="257" t="s">
        <v>120</v>
      </c>
      <c r="H303" s="258">
        <v>0</v>
      </c>
      <c r="I303" s="259" t="str">
        <f t="shared" si="19"/>
        <v>EUR25F10Y_Quote</v>
      </c>
      <c r="J303" s="260" t="str">
        <f>_xll.qlSwapRateHelper2(,$I303,$C303,Calendar,$E303,$F303,$G303,$J$4,$H303,B303,Discounting,Permanent,,ObjectOverwrite)</f>
        <v>obj_0083a#0001</v>
      </c>
      <c r="K303" s="261" t="str">
        <f>_xll.ohRangeRetrieveError(J303)</f>
        <v/>
      </c>
      <c r="L303" s="119"/>
      <c r="N303" s="265"/>
    </row>
    <row r="304" spans="1:14" x14ac:dyDescent="0.2">
      <c r="A304" s="65"/>
      <c r="B304" s="97" t="s">
        <v>9</v>
      </c>
      <c r="C304" s="97" t="s">
        <v>23</v>
      </c>
      <c r="D304" s="97" t="str">
        <f t="shared" si="21"/>
        <v>25F</v>
      </c>
      <c r="E304" s="257" t="s">
        <v>161</v>
      </c>
      <c r="F304" s="257" t="s">
        <v>108</v>
      </c>
      <c r="G304" s="257" t="s">
        <v>120</v>
      </c>
      <c r="H304" s="258">
        <v>0</v>
      </c>
      <c r="I304" s="259" t="str">
        <f t="shared" si="19"/>
        <v>EUR25F11Y_Quote</v>
      </c>
      <c r="J304" s="260" t="str">
        <f>_xll.qlSwapRateHelper2(,$I304,$C304,Calendar,$E304,$F304,$G304,$J$4,$H304,B304,Discounting,Permanent,,ObjectOverwrite)</f>
        <v>obj_00840#0001</v>
      </c>
      <c r="K304" s="261" t="str">
        <f>_xll.ohRangeRetrieveError(J304)</f>
        <v/>
      </c>
      <c r="L304" s="119"/>
      <c r="N304" s="265"/>
    </row>
    <row r="305" spans="1:14" x14ac:dyDescent="0.2">
      <c r="A305" s="65"/>
      <c r="B305" s="97" t="s">
        <v>9</v>
      </c>
      <c r="C305" s="97" t="s">
        <v>22</v>
      </c>
      <c r="D305" s="97" t="str">
        <f t="shared" si="21"/>
        <v>25F</v>
      </c>
      <c r="E305" s="257" t="s">
        <v>161</v>
      </c>
      <c r="F305" s="257" t="s">
        <v>108</v>
      </c>
      <c r="G305" s="257" t="s">
        <v>120</v>
      </c>
      <c r="H305" s="258">
        <v>0</v>
      </c>
      <c r="I305" s="259" t="str">
        <f t="shared" si="19"/>
        <v>EUR25F12Y_Quote</v>
      </c>
      <c r="J305" s="260" t="str">
        <f>_xll.qlSwapRateHelper2(,$I305,$C305,Calendar,$E305,$F305,$G305,$J$4,$H305,B305,Discounting,Permanent,,ObjectOverwrite)</f>
        <v>obj_007ab#0001</v>
      </c>
      <c r="K305" s="261" t="str">
        <f>_xll.ohRangeRetrieveError(J305)</f>
        <v/>
      </c>
      <c r="L305" s="119"/>
      <c r="N305" s="265"/>
    </row>
    <row r="306" spans="1:14" x14ac:dyDescent="0.2">
      <c r="A306" s="65"/>
      <c r="B306" s="97" t="s">
        <v>9</v>
      </c>
      <c r="C306" s="97" t="s">
        <v>21</v>
      </c>
      <c r="D306" s="97" t="str">
        <f t="shared" si="21"/>
        <v>25F</v>
      </c>
      <c r="E306" s="257" t="s">
        <v>161</v>
      </c>
      <c r="F306" s="257" t="s">
        <v>108</v>
      </c>
      <c r="G306" s="257" t="s">
        <v>120</v>
      </c>
      <c r="H306" s="258">
        <v>0</v>
      </c>
      <c r="I306" s="259" t="str">
        <f t="shared" si="19"/>
        <v>EUR25F13Y_Quote</v>
      </c>
      <c r="J306" s="260" t="str">
        <f>_xll.qlSwapRateHelper2(,$I306,$C306,Calendar,$E306,$F306,$G306,$J$4,$H306,B306,Discounting,Permanent,,ObjectOverwrite)</f>
        <v>obj_0076d#0001</v>
      </c>
      <c r="K306" s="261" t="str">
        <f>_xll.ohRangeRetrieveError(J306)</f>
        <v/>
      </c>
      <c r="L306" s="119"/>
      <c r="N306" s="265"/>
    </row>
    <row r="307" spans="1:14" x14ac:dyDescent="0.2">
      <c r="A307" s="65"/>
      <c r="B307" s="97" t="s">
        <v>9</v>
      </c>
      <c r="C307" s="97" t="s">
        <v>20</v>
      </c>
      <c r="D307" s="97" t="str">
        <f t="shared" si="21"/>
        <v>25F</v>
      </c>
      <c r="E307" s="257" t="s">
        <v>161</v>
      </c>
      <c r="F307" s="257" t="s">
        <v>108</v>
      </c>
      <c r="G307" s="257" t="s">
        <v>120</v>
      </c>
      <c r="H307" s="258">
        <v>0</v>
      </c>
      <c r="I307" s="259" t="str">
        <f t="shared" si="19"/>
        <v>EUR25F14Y_Quote</v>
      </c>
      <c r="J307" s="260" t="str">
        <f>_xll.qlSwapRateHelper2(,$I307,$C307,Calendar,$E307,$F307,$G307,$J$4,$H307,B307,Discounting,Permanent,,ObjectOverwrite)</f>
        <v>obj_00760#0001</v>
      </c>
      <c r="K307" s="261" t="str">
        <f>_xll.ohRangeRetrieveError(J307)</f>
        <v/>
      </c>
      <c r="L307" s="119"/>
      <c r="N307" s="265"/>
    </row>
    <row r="308" spans="1:14" x14ac:dyDescent="0.2">
      <c r="A308" s="65"/>
      <c r="B308" s="97" t="s">
        <v>9</v>
      </c>
      <c r="C308" s="97" t="s">
        <v>19</v>
      </c>
      <c r="D308" s="97" t="str">
        <f t="shared" si="21"/>
        <v>25F</v>
      </c>
      <c r="E308" s="257" t="s">
        <v>161</v>
      </c>
      <c r="F308" s="257" t="s">
        <v>108</v>
      </c>
      <c r="G308" s="257" t="s">
        <v>120</v>
      </c>
      <c r="H308" s="258">
        <v>0</v>
      </c>
      <c r="I308" s="259" t="str">
        <f t="shared" si="19"/>
        <v>EUR25F15Y_Quote</v>
      </c>
      <c r="J308" s="260" t="str">
        <f>_xll.qlSwapRateHelper2(,$I308,$C308,Calendar,$E308,$F308,$G308,$J$4,$H308,B308,Discounting,Permanent,,ObjectOverwrite)</f>
        <v>obj_00789#0001</v>
      </c>
      <c r="K308" s="261" t="str">
        <f>_xll.ohRangeRetrieveError(J308)</f>
        <v/>
      </c>
      <c r="L308" s="119"/>
      <c r="N308" s="265"/>
    </row>
    <row r="309" spans="1:14" x14ac:dyDescent="0.2">
      <c r="A309" s="65"/>
      <c r="B309" s="97" t="s">
        <v>9</v>
      </c>
      <c r="C309" s="97" t="s">
        <v>14</v>
      </c>
      <c r="D309" s="97" t="str">
        <f t="shared" si="21"/>
        <v>25F</v>
      </c>
      <c r="E309" s="257" t="s">
        <v>161</v>
      </c>
      <c r="F309" s="257" t="s">
        <v>108</v>
      </c>
      <c r="G309" s="257" t="s">
        <v>120</v>
      </c>
      <c r="H309" s="258">
        <v>0</v>
      </c>
      <c r="I309" s="259" t="str">
        <f t="shared" si="19"/>
        <v>EUR25F20Y_Quote</v>
      </c>
      <c r="J309" s="260" t="str">
        <f>_xll.qlSwapRateHelper2(,$I309,$C309,Calendar,$E309,$F309,$G309,$J$4,$H309,B309,Discounting,Permanent,,ObjectOverwrite)</f>
        <v>obj_0077a#0001</v>
      </c>
      <c r="K309" s="261" t="str">
        <f>_xll.ohRangeRetrieveError(J309)</f>
        <v/>
      </c>
      <c r="L309" s="119"/>
      <c r="N309" s="265"/>
    </row>
    <row r="310" spans="1:14" x14ac:dyDescent="0.2">
      <c r="A310" s="65"/>
      <c r="B310" s="97" t="s">
        <v>9</v>
      </c>
      <c r="C310" s="97" t="s">
        <v>9</v>
      </c>
      <c r="D310" s="97" t="str">
        <f t="shared" si="21"/>
        <v>25F</v>
      </c>
      <c r="E310" s="257" t="s">
        <v>161</v>
      </c>
      <c r="F310" s="257" t="s">
        <v>108</v>
      </c>
      <c r="G310" s="257" t="s">
        <v>120</v>
      </c>
      <c r="H310" s="258">
        <v>0</v>
      </c>
      <c r="I310" s="259" t="str">
        <f t="shared" si="19"/>
        <v>EUR25F25Y_Quote</v>
      </c>
      <c r="J310" s="260" t="str">
        <f>_xll.qlSwapRateHelper2(,$I310,$C310,Calendar,$E310,$F310,$G310,$J$4,$H310,B310,Discounting,Permanent,,ObjectOverwrite)</f>
        <v>obj_0088e#0001</v>
      </c>
      <c r="K310" s="261" t="str">
        <f>_xll.ohRangeRetrieveError(J310)</f>
        <v/>
      </c>
      <c r="L310" s="119"/>
      <c r="N310" s="265"/>
    </row>
    <row r="311" spans="1:14" x14ac:dyDescent="0.2">
      <c r="A311" s="65"/>
      <c r="B311" s="262" t="s">
        <v>9</v>
      </c>
      <c r="C311" s="262" t="s">
        <v>4</v>
      </c>
      <c r="D311" s="262" t="str">
        <f t="shared" si="21"/>
        <v>25F</v>
      </c>
      <c r="E311" s="122" t="s">
        <v>161</v>
      </c>
      <c r="F311" s="122" t="s">
        <v>108</v>
      </c>
      <c r="G311" s="122" t="s">
        <v>120</v>
      </c>
      <c r="H311" s="263">
        <v>0</v>
      </c>
      <c r="I311" s="121" t="str">
        <f t="shared" si="19"/>
        <v>EUR25F30Y_Quote</v>
      </c>
      <c r="J311" s="147" t="str">
        <f>_xll.qlSwapRateHelper2(,$I311,$C311,Calendar,$E311,$F311,$G311,$J$4,$H311,B311,Discounting,Permanent,,ObjectOverwrite)</f>
        <v>obj_007b3#0001</v>
      </c>
      <c r="K311" s="264" t="str">
        <f>_xll.ohRangeRetrieveError(J311)</f>
        <v/>
      </c>
      <c r="L311" s="119"/>
      <c r="N311" s="265"/>
    </row>
    <row r="312" spans="1:14" x14ac:dyDescent="0.2">
      <c r="A312" s="65"/>
      <c r="B312" s="102" t="s">
        <v>4</v>
      </c>
      <c r="C312" s="102" t="s">
        <v>36</v>
      </c>
      <c r="D312" s="102" t="str">
        <f>LEFT(B312,2)&amp;"F"</f>
        <v>30F</v>
      </c>
      <c r="E312" s="111" t="s">
        <v>161</v>
      </c>
      <c r="F312" s="111" t="s">
        <v>108</v>
      </c>
      <c r="G312" s="111" t="s">
        <v>120</v>
      </c>
      <c r="H312" s="253">
        <v>0</v>
      </c>
      <c r="I312" s="254" t="str">
        <f t="shared" si="19"/>
        <v>EUR30F1Y_Quote</v>
      </c>
      <c r="J312" s="255" t="str">
        <f>_xll.qlSwapRateHelper2(,$I312,$C312,Calendar,$E312,$F312,$G312,$J$4,$H312,B312,Discounting,Permanent,,ObjectOverwrite)</f>
        <v>obj_00822#0001</v>
      </c>
      <c r="K312" s="256" t="str">
        <f>_xll.ohRangeRetrieveError(J312)</f>
        <v/>
      </c>
      <c r="L312" s="119"/>
      <c r="N312" s="265"/>
    </row>
    <row r="313" spans="1:14" x14ac:dyDescent="0.2">
      <c r="A313" s="65"/>
      <c r="B313" s="97" t="s">
        <v>4</v>
      </c>
      <c r="C313" s="97" t="s">
        <v>32</v>
      </c>
      <c r="D313" s="97" t="str">
        <f t="shared" ref="D313:D329" si="22">LEFT(B313,2)&amp;"F"</f>
        <v>30F</v>
      </c>
      <c r="E313" s="257" t="s">
        <v>161</v>
      </c>
      <c r="F313" s="257" t="s">
        <v>108</v>
      </c>
      <c r="G313" s="257" t="s">
        <v>120</v>
      </c>
      <c r="H313" s="258">
        <v>0</v>
      </c>
      <c r="I313" s="259" t="str">
        <f t="shared" si="19"/>
        <v>EUR30F2Y_Quote</v>
      </c>
      <c r="J313" s="260" t="str">
        <f>_xll.qlSwapRateHelper2(,$I313,$C313,Calendar,$E313,$F313,$G313,$J$4,$H313,B313,Discounting,Permanent,,ObjectOverwrite)</f>
        <v>obj_007b2#0001</v>
      </c>
      <c r="K313" s="261" t="str">
        <f>_xll.ohRangeRetrieveError(J313)</f>
        <v/>
      </c>
      <c r="L313" s="119"/>
      <c r="N313" s="265"/>
    </row>
    <row r="314" spans="1:14" x14ac:dyDescent="0.2">
      <c r="A314" s="65"/>
      <c r="B314" s="97" t="s">
        <v>4</v>
      </c>
      <c r="C314" s="97" t="s">
        <v>31</v>
      </c>
      <c r="D314" s="97" t="str">
        <f t="shared" si="22"/>
        <v>30F</v>
      </c>
      <c r="E314" s="257" t="s">
        <v>161</v>
      </c>
      <c r="F314" s="257" t="s">
        <v>108</v>
      </c>
      <c r="G314" s="257" t="s">
        <v>120</v>
      </c>
      <c r="H314" s="258">
        <v>0</v>
      </c>
      <c r="I314" s="259" t="str">
        <f t="shared" si="19"/>
        <v>EUR30F3Y_Quote</v>
      </c>
      <c r="J314" s="260" t="str">
        <f>_xll.qlSwapRateHelper2(,$I314,$C314,Calendar,$E314,$F314,$G314,$J$4,$H314,B314,Discounting,Permanent,,ObjectOverwrite)</f>
        <v>obj_0084f#0001</v>
      </c>
      <c r="K314" s="261" t="str">
        <f>_xll.ohRangeRetrieveError(J314)</f>
        <v/>
      </c>
      <c r="L314" s="119"/>
      <c r="N314" s="265"/>
    </row>
    <row r="315" spans="1:14" x14ac:dyDescent="0.2">
      <c r="A315" s="65"/>
      <c r="B315" s="97" t="s">
        <v>4</v>
      </c>
      <c r="C315" s="97" t="s">
        <v>30</v>
      </c>
      <c r="D315" s="97" t="str">
        <f t="shared" si="22"/>
        <v>30F</v>
      </c>
      <c r="E315" s="257" t="s">
        <v>161</v>
      </c>
      <c r="F315" s="257" t="s">
        <v>108</v>
      </c>
      <c r="G315" s="257" t="s">
        <v>120</v>
      </c>
      <c r="H315" s="258">
        <v>0</v>
      </c>
      <c r="I315" s="259" t="str">
        <f t="shared" si="19"/>
        <v>EUR30F4Y_Quote</v>
      </c>
      <c r="J315" s="260" t="str">
        <f>_xll.qlSwapRateHelper2(,$I315,$C315,Calendar,$E315,$F315,$G315,$J$4,$H315,B315,Discounting,Permanent,,ObjectOverwrite)</f>
        <v>obj_007e8#0001</v>
      </c>
      <c r="K315" s="261" t="str">
        <f>_xll.ohRangeRetrieveError(J315)</f>
        <v/>
      </c>
      <c r="L315" s="119"/>
      <c r="N315" s="265"/>
    </row>
    <row r="316" spans="1:14" x14ac:dyDescent="0.2">
      <c r="A316" s="65"/>
      <c r="B316" s="97" t="s">
        <v>4</v>
      </c>
      <c r="C316" s="97" t="s">
        <v>29</v>
      </c>
      <c r="D316" s="97" t="str">
        <f t="shared" si="22"/>
        <v>30F</v>
      </c>
      <c r="E316" s="257" t="s">
        <v>161</v>
      </c>
      <c r="F316" s="257" t="s">
        <v>108</v>
      </c>
      <c r="G316" s="257" t="s">
        <v>120</v>
      </c>
      <c r="H316" s="258">
        <v>0</v>
      </c>
      <c r="I316" s="259" t="str">
        <f t="shared" si="19"/>
        <v>EUR30F5Y_Quote</v>
      </c>
      <c r="J316" s="260" t="str">
        <f>_xll.qlSwapRateHelper2(,$I316,$C316,Calendar,$E316,$F316,$G316,$J$4,$H316,B316,Discounting,Permanent,,ObjectOverwrite)</f>
        <v>obj_00887#0001</v>
      </c>
      <c r="K316" s="261" t="str">
        <f>_xll.ohRangeRetrieveError(J316)</f>
        <v/>
      </c>
      <c r="L316" s="119"/>
      <c r="N316" s="265"/>
    </row>
    <row r="317" spans="1:14" x14ac:dyDescent="0.2">
      <c r="A317" s="65"/>
      <c r="B317" s="97" t="s">
        <v>4</v>
      </c>
      <c r="C317" s="97" t="s">
        <v>28</v>
      </c>
      <c r="D317" s="97" t="str">
        <f t="shared" si="22"/>
        <v>30F</v>
      </c>
      <c r="E317" s="257" t="s">
        <v>161</v>
      </c>
      <c r="F317" s="257" t="s">
        <v>108</v>
      </c>
      <c r="G317" s="257" t="s">
        <v>120</v>
      </c>
      <c r="H317" s="258">
        <v>0</v>
      </c>
      <c r="I317" s="259" t="str">
        <f t="shared" si="19"/>
        <v>EUR30F6Y_Quote</v>
      </c>
      <c r="J317" s="260" t="str">
        <f>_xll.qlSwapRateHelper2(,$I317,$C317,Calendar,$E317,$F317,$G317,$J$4,$H317,B317,Discounting,Permanent,,ObjectOverwrite)</f>
        <v>obj_0080f#0001</v>
      </c>
      <c r="K317" s="261" t="str">
        <f>_xll.ohRangeRetrieveError(J317)</f>
        <v/>
      </c>
      <c r="L317" s="119"/>
      <c r="N317" s="265"/>
    </row>
    <row r="318" spans="1:14" x14ac:dyDescent="0.2">
      <c r="A318" s="65"/>
      <c r="B318" s="97" t="s">
        <v>4</v>
      </c>
      <c r="C318" s="97" t="s">
        <v>27</v>
      </c>
      <c r="D318" s="97" t="str">
        <f t="shared" si="22"/>
        <v>30F</v>
      </c>
      <c r="E318" s="257" t="s">
        <v>161</v>
      </c>
      <c r="F318" s="257" t="s">
        <v>108</v>
      </c>
      <c r="G318" s="257" t="s">
        <v>120</v>
      </c>
      <c r="H318" s="258">
        <v>0</v>
      </c>
      <c r="I318" s="259" t="str">
        <f t="shared" si="19"/>
        <v>EUR30F7Y_Quote</v>
      </c>
      <c r="J318" s="260" t="str">
        <f>_xll.qlSwapRateHelper2(,$I318,$C318,Calendar,$E318,$F318,$G318,$J$4,$H318,B318,Discounting,Permanent,,ObjectOverwrite)</f>
        <v>obj_007e7#0001</v>
      </c>
      <c r="K318" s="261" t="str">
        <f>_xll.ohRangeRetrieveError(J318)</f>
        <v/>
      </c>
      <c r="L318" s="119"/>
      <c r="N318" s="265"/>
    </row>
    <row r="319" spans="1:14" x14ac:dyDescent="0.2">
      <c r="A319" s="65"/>
      <c r="B319" s="97" t="s">
        <v>4</v>
      </c>
      <c r="C319" s="97" t="s">
        <v>26</v>
      </c>
      <c r="D319" s="97" t="str">
        <f t="shared" si="22"/>
        <v>30F</v>
      </c>
      <c r="E319" s="257" t="s">
        <v>161</v>
      </c>
      <c r="F319" s="257" t="s">
        <v>108</v>
      </c>
      <c r="G319" s="257" t="s">
        <v>120</v>
      </c>
      <c r="H319" s="258">
        <v>0</v>
      </c>
      <c r="I319" s="259" t="str">
        <f t="shared" si="19"/>
        <v>EUR30F8Y_Quote</v>
      </c>
      <c r="J319" s="260" t="str">
        <f>_xll.qlSwapRateHelper2(,$I319,$C319,Calendar,$E319,$F319,$G319,$J$4,$H319,B319,Discounting,Permanent,,ObjectOverwrite)</f>
        <v>obj_007eb#0001</v>
      </c>
      <c r="K319" s="261" t="str">
        <f>_xll.ohRangeRetrieveError(J319)</f>
        <v/>
      </c>
      <c r="L319" s="119"/>
      <c r="N319" s="265"/>
    </row>
    <row r="320" spans="1:14" x14ac:dyDescent="0.2">
      <c r="A320" s="65"/>
      <c r="B320" s="97" t="s">
        <v>4</v>
      </c>
      <c r="C320" s="97" t="s">
        <v>25</v>
      </c>
      <c r="D320" s="97" t="str">
        <f t="shared" si="22"/>
        <v>30F</v>
      </c>
      <c r="E320" s="257" t="s">
        <v>161</v>
      </c>
      <c r="F320" s="257" t="s">
        <v>108</v>
      </c>
      <c r="G320" s="257" t="s">
        <v>120</v>
      </c>
      <c r="H320" s="258">
        <v>0</v>
      </c>
      <c r="I320" s="259" t="str">
        <f t="shared" si="19"/>
        <v>EUR30F9Y_Quote</v>
      </c>
      <c r="J320" s="260" t="str">
        <f>_xll.qlSwapRateHelper2(,$I320,$C320,Calendar,$E320,$F320,$G320,$J$4,$H320,B320,Discounting,Permanent,,ObjectOverwrite)</f>
        <v>obj_00889#0001</v>
      </c>
      <c r="K320" s="261" t="str">
        <f>_xll.ohRangeRetrieveError(J320)</f>
        <v/>
      </c>
      <c r="L320" s="119"/>
      <c r="N320" s="265"/>
    </row>
    <row r="321" spans="1:14" x14ac:dyDescent="0.2">
      <c r="A321" s="65"/>
      <c r="B321" s="97" t="s">
        <v>4</v>
      </c>
      <c r="C321" s="97" t="s">
        <v>24</v>
      </c>
      <c r="D321" s="97" t="str">
        <f t="shared" si="22"/>
        <v>30F</v>
      </c>
      <c r="E321" s="257" t="s">
        <v>161</v>
      </c>
      <c r="F321" s="257" t="s">
        <v>108</v>
      </c>
      <c r="G321" s="257" t="s">
        <v>120</v>
      </c>
      <c r="H321" s="258">
        <v>0</v>
      </c>
      <c r="I321" s="259" t="str">
        <f t="shared" si="19"/>
        <v>EUR30F10Y_Quote</v>
      </c>
      <c r="J321" s="260" t="str">
        <f>_xll.qlSwapRateHelper2(,$I321,$C321,Calendar,$E321,$F321,$G321,$J$4,$H321,B321,Discounting,Permanent,,ObjectOverwrite)</f>
        <v>obj_007e9#0001</v>
      </c>
      <c r="K321" s="261" t="str">
        <f>_xll.ohRangeRetrieveError(J321)</f>
        <v/>
      </c>
      <c r="L321" s="119"/>
      <c r="N321" s="265"/>
    </row>
    <row r="322" spans="1:14" x14ac:dyDescent="0.2">
      <c r="A322" s="65"/>
      <c r="B322" s="97" t="s">
        <v>4</v>
      </c>
      <c r="C322" s="97" t="s">
        <v>23</v>
      </c>
      <c r="D322" s="97" t="str">
        <f t="shared" si="22"/>
        <v>30F</v>
      </c>
      <c r="E322" s="257" t="s">
        <v>161</v>
      </c>
      <c r="F322" s="257" t="s">
        <v>108</v>
      </c>
      <c r="G322" s="257" t="s">
        <v>120</v>
      </c>
      <c r="H322" s="258">
        <v>0</v>
      </c>
      <c r="I322" s="259" t="str">
        <f t="shared" si="19"/>
        <v>EUR30F11Y_Quote</v>
      </c>
      <c r="J322" s="260" t="str">
        <f>_xll.qlSwapRateHelper2(,$I322,$C322,Calendar,$E322,$F322,$G322,$J$4,$H322,B322,Discounting,Permanent,,ObjectOverwrite)</f>
        <v>obj_007d9#0001</v>
      </c>
      <c r="K322" s="261" t="str">
        <f>_xll.ohRangeRetrieveError(J322)</f>
        <v/>
      </c>
      <c r="L322" s="119"/>
      <c r="N322" s="265"/>
    </row>
    <row r="323" spans="1:14" x14ac:dyDescent="0.2">
      <c r="A323" s="65"/>
      <c r="B323" s="97" t="s">
        <v>4</v>
      </c>
      <c r="C323" s="97" t="s">
        <v>22</v>
      </c>
      <c r="D323" s="97" t="str">
        <f t="shared" si="22"/>
        <v>30F</v>
      </c>
      <c r="E323" s="257" t="s">
        <v>161</v>
      </c>
      <c r="F323" s="257" t="s">
        <v>108</v>
      </c>
      <c r="G323" s="257" t="s">
        <v>120</v>
      </c>
      <c r="H323" s="258">
        <v>0</v>
      </c>
      <c r="I323" s="259" t="str">
        <f t="shared" si="19"/>
        <v>EUR30F12Y_Quote</v>
      </c>
      <c r="J323" s="260" t="str">
        <f>_xll.qlSwapRateHelper2(,$I323,$C323,Calendar,$E323,$F323,$G323,$J$4,$H323,B323,Discounting,Permanent,,ObjectOverwrite)</f>
        <v>obj_007bb#0001</v>
      </c>
      <c r="K323" s="261" t="str">
        <f>_xll.ohRangeRetrieveError(J323)</f>
        <v/>
      </c>
      <c r="L323" s="119"/>
      <c r="N323" s="265"/>
    </row>
    <row r="324" spans="1:14" x14ac:dyDescent="0.2">
      <c r="A324" s="65"/>
      <c r="B324" s="97" t="s">
        <v>4</v>
      </c>
      <c r="C324" s="97" t="s">
        <v>21</v>
      </c>
      <c r="D324" s="97" t="str">
        <f t="shared" si="22"/>
        <v>30F</v>
      </c>
      <c r="E324" s="257" t="s">
        <v>161</v>
      </c>
      <c r="F324" s="257" t="s">
        <v>108</v>
      </c>
      <c r="G324" s="257" t="s">
        <v>120</v>
      </c>
      <c r="H324" s="258">
        <v>0</v>
      </c>
      <c r="I324" s="259" t="str">
        <f t="shared" si="19"/>
        <v>EUR30F13Y_Quote</v>
      </c>
      <c r="J324" s="260" t="str">
        <f>_xll.qlSwapRateHelper2(,$I324,$C324,Calendar,$E324,$F324,$G324,$J$4,$H324,B324,Discounting,Permanent,,ObjectOverwrite)</f>
        <v>obj_0084e#0001</v>
      </c>
      <c r="K324" s="261" t="str">
        <f>_xll.ohRangeRetrieveError(J324)</f>
        <v/>
      </c>
      <c r="L324" s="119"/>
      <c r="N324" s="265"/>
    </row>
    <row r="325" spans="1:14" x14ac:dyDescent="0.2">
      <c r="A325" s="65"/>
      <c r="B325" s="97" t="s">
        <v>4</v>
      </c>
      <c r="C325" s="97" t="s">
        <v>20</v>
      </c>
      <c r="D325" s="97" t="str">
        <f t="shared" si="22"/>
        <v>30F</v>
      </c>
      <c r="E325" s="257" t="s">
        <v>161</v>
      </c>
      <c r="F325" s="257" t="s">
        <v>108</v>
      </c>
      <c r="G325" s="257" t="s">
        <v>120</v>
      </c>
      <c r="H325" s="258">
        <v>0</v>
      </c>
      <c r="I325" s="259" t="str">
        <f t="shared" si="19"/>
        <v>EUR30F14Y_Quote</v>
      </c>
      <c r="J325" s="260" t="str">
        <f>_xll.qlSwapRateHelper2(,$I325,$C325,Calendar,$E325,$F325,$G325,$J$4,$H325,B325,Discounting,Permanent,,ObjectOverwrite)</f>
        <v>obj_00792#0001</v>
      </c>
      <c r="K325" s="261" t="str">
        <f>_xll.ohRangeRetrieveError(J325)</f>
        <v/>
      </c>
      <c r="L325" s="119"/>
      <c r="N325" s="265"/>
    </row>
    <row r="326" spans="1:14" x14ac:dyDescent="0.2">
      <c r="A326" s="65"/>
      <c r="B326" s="97" t="s">
        <v>4</v>
      </c>
      <c r="C326" s="97" t="s">
        <v>19</v>
      </c>
      <c r="D326" s="97" t="str">
        <f t="shared" si="22"/>
        <v>30F</v>
      </c>
      <c r="E326" s="257" t="s">
        <v>161</v>
      </c>
      <c r="F326" s="257" t="s">
        <v>108</v>
      </c>
      <c r="G326" s="257" t="s">
        <v>120</v>
      </c>
      <c r="H326" s="258">
        <v>0</v>
      </c>
      <c r="I326" s="259" t="str">
        <f t="shared" si="19"/>
        <v>EUR30F15Y_Quote</v>
      </c>
      <c r="J326" s="260" t="str">
        <f>_xll.qlSwapRateHelper2(,$I326,$C326,Calendar,$E326,$F326,$G326,$J$4,$H326,B326,Discounting,Permanent,,ObjectOverwrite)</f>
        <v>obj_0074d#0001</v>
      </c>
      <c r="K326" s="261" t="str">
        <f>_xll.ohRangeRetrieveError(J326)</f>
        <v/>
      </c>
      <c r="L326" s="119"/>
      <c r="N326" s="265"/>
    </row>
    <row r="327" spans="1:14" x14ac:dyDescent="0.2">
      <c r="A327" s="65"/>
      <c r="B327" s="97" t="s">
        <v>4</v>
      </c>
      <c r="C327" s="97" t="s">
        <v>14</v>
      </c>
      <c r="D327" s="97" t="str">
        <f t="shared" si="22"/>
        <v>30F</v>
      </c>
      <c r="E327" s="257" t="s">
        <v>161</v>
      </c>
      <c r="F327" s="257" t="s">
        <v>108</v>
      </c>
      <c r="G327" s="257" t="s">
        <v>120</v>
      </c>
      <c r="H327" s="258">
        <v>0</v>
      </c>
      <c r="I327" s="259" t="str">
        <f t="shared" si="19"/>
        <v>EUR30F20Y_Quote</v>
      </c>
      <c r="J327" s="260" t="str">
        <f>_xll.qlSwapRateHelper2(,$I327,$C327,Calendar,$E327,$F327,$G327,$J$4,$H327,B327,Discounting,Permanent,,ObjectOverwrite)</f>
        <v>obj_00825#0001</v>
      </c>
      <c r="K327" s="261" t="str">
        <f>_xll.ohRangeRetrieveError(J327)</f>
        <v/>
      </c>
      <c r="L327" s="119"/>
      <c r="N327" s="265"/>
    </row>
    <row r="328" spans="1:14" x14ac:dyDescent="0.2">
      <c r="A328" s="65"/>
      <c r="B328" s="97" t="s">
        <v>4</v>
      </c>
      <c r="C328" s="97" t="s">
        <v>9</v>
      </c>
      <c r="D328" s="97" t="str">
        <f t="shared" si="22"/>
        <v>30F</v>
      </c>
      <c r="E328" s="257" t="s">
        <v>161</v>
      </c>
      <c r="F328" s="257" t="s">
        <v>108</v>
      </c>
      <c r="G328" s="257" t="s">
        <v>120</v>
      </c>
      <c r="H328" s="258">
        <v>0</v>
      </c>
      <c r="I328" s="259" t="str">
        <f t="shared" si="19"/>
        <v>EUR30F25Y_Quote</v>
      </c>
      <c r="J328" s="260" t="str">
        <f>_xll.qlSwapRateHelper2(,$I328,$C328,Calendar,$E328,$F328,$G328,$J$4,$H328,B328,Discounting,Permanent,,ObjectOverwrite)</f>
        <v>obj_007f9#0001</v>
      </c>
      <c r="K328" s="261" t="str">
        <f>_xll.ohRangeRetrieveError(J328)</f>
        <v/>
      </c>
      <c r="L328" s="119"/>
      <c r="N328" s="265"/>
    </row>
    <row r="329" spans="1:14" x14ac:dyDescent="0.2">
      <c r="A329" s="65"/>
      <c r="B329" s="262" t="s">
        <v>4</v>
      </c>
      <c r="C329" s="262" t="s">
        <v>4</v>
      </c>
      <c r="D329" s="262" t="str">
        <f t="shared" si="22"/>
        <v>30F</v>
      </c>
      <c r="E329" s="122" t="s">
        <v>161</v>
      </c>
      <c r="F329" s="122" t="s">
        <v>108</v>
      </c>
      <c r="G329" s="122" t="s">
        <v>120</v>
      </c>
      <c r="H329" s="263">
        <v>0</v>
      </c>
      <c r="I329" s="121" t="str">
        <f t="shared" si="19"/>
        <v>EUR30F30Y_Quote</v>
      </c>
      <c r="J329" s="147" t="str">
        <f>_xll.qlSwapRateHelper2(,$I329,$C329,Calendar,$E329,$F329,$G329,$J$4,$H329,B329,Discounting,Permanent,,ObjectOverwrite)</f>
        <v>obj_00815#0001</v>
      </c>
      <c r="K329" s="264" t="str">
        <f>_xll.ohRangeRetrieveError(J329)</f>
        <v/>
      </c>
      <c r="L329" s="119"/>
      <c r="N329" s="265"/>
    </row>
    <row r="330" spans="1:14" ht="13.5" thickBot="1" x14ac:dyDescent="0.25">
      <c r="A330" s="61"/>
      <c r="B330" s="55"/>
      <c r="C330" s="55"/>
      <c r="D330" s="55"/>
      <c r="E330" s="55"/>
      <c r="F330" s="55"/>
      <c r="G330" s="55"/>
      <c r="H330" s="55"/>
      <c r="I330" s="55"/>
      <c r="J330" s="118"/>
      <c r="K330" s="118"/>
      <c r="L330" s="117"/>
    </row>
  </sheetData>
  <dataValidations count="3">
    <dataValidation type="list" allowBlank="1" showInputMessage="1" showErrorMessage="1" sqref="F6:F329">
      <formula1>"Following,Modified Following,Preceding,Modified Preceding,Month End Reference,Unadjusted Month End,Unadjusted"</formula1>
    </dataValidation>
    <dataValidation type="list" allowBlank="1" showInputMessage="1" showErrorMessage="1" sqref="E6:E329">
      <formula1>"Annual,Semiannual,EveryFourthMonth,Quarterly,Bimonthly,Monthly,Biweekly,Weekly,Daily,Once,NoFrequency"</formula1>
    </dataValidation>
    <dataValidation type="list" allowBlank="1" showInputMessage="1" showErrorMessage="1" sqref="G6:G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B5" sqref="B5"/>
    </sheetView>
  </sheetViews>
  <sheetFormatPr defaultRowHeight="11.25" x14ac:dyDescent="0.2"/>
  <cols>
    <col min="1" max="1" width="2.7109375" style="186" customWidth="1"/>
    <col min="2" max="2" width="3" style="186" bestFit="1" customWidth="1"/>
    <col min="3" max="3" width="17.28515625" style="186" bestFit="1" customWidth="1"/>
    <col min="4" max="4" width="23.85546875" style="186" customWidth="1"/>
    <col min="5" max="7" width="11" style="186" bestFit="1" customWidth="1"/>
    <col min="8" max="8" width="2.7109375" style="186" customWidth="1"/>
    <col min="9" max="16384" width="9.140625" style="186"/>
  </cols>
  <sheetData>
    <row r="1" spans="1:8" ht="12" thickBot="1" x14ac:dyDescent="0.25">
      <c r="A1" s="316"/>
      <c r="B1" s="316"/>
      <c r="C1" s="316"/>
      <c r="D1" s="316"/>
      <c r="E1" s="316"/>
      <c r="F1" s="316"/>
      <c r="G1" s="316"/>
      <c r="H1" s="316"/>
    </row>
    <row r="2" spans="1:8" x14ac:dyDescent="0.2">
      <c r="A2" s="316"/>
      <c r="B2" s="317"/>
      <c r="C2" s="298" t="s">
        <v>166</v>
      </c>
      <c r="D2" s="299">
        <f>_xll.qlCalendarAdvance(Calendar,_xll.qlSettingsEvaluationDate(),NDays&amp;"D","f",,Trigger)</f>
        <v>42087</v>
      </c>
      <c r="E2" s="317"/>
      <c r="F2" s="317"/>
      <c r="G2" s="317"/>
      <c r="H2" s="318"/>
    </row>
    <row r="3" spans="1:8" ht="23.25" thickBot="1" x14ac:dyDescent="0.25">
      <c r="A3" s="316"/>
      <c r="B3" s="317"/>
      <c r="C3" s="300" t="s">
        <v>167</v>
      </c>
      <c r="D3" s="302">
        <f>_xll.qlCalendarEndOfMonth(Calendar,EDATE(DATE(YEAR(D2),MONTH(D2),1),-1))</f>
        <v>42062</v>
      </c>
      <c r="E3" s="317"/>
      <c r="F3" s="317"/>
      <c r="G3" s="317"/>
      <c r="H3" s="318"/>
    </row>
    <row r="4" spans="1:8" ht="13.35" customHeight="1" thickBot="1" x14ac:dyDescent="0.25">
      <c r="A4" s="316"/>
      <c r="B4" s="317"/>
      <c r="C4" s="317"/>
      <c r="D4" s="317"/>
      <c r="E4" s="317"/>
      <c r="F4" s="317"/>
      <c r="G4" s="317"/>
      <c r="H4" s="318"/>
    </row>
    <row r="5" spans="1:8" ht="13.35" customHeight="1" x14ac:dyDescent="0.2">
      <c r="A5" s="316"/>
      <c r="B5" s="298" t="s">
        <v>168</v>
      </c>
      <c r="C5" s="301" t="s">
        <v>169</v>
      </c>
      <c r="D5" s="301" t="s">
        <v>170</v>
      </c>
      <c r="E5" s="301" t="s">
        <v>171</v>
      </c>
      <c r="F5" s="301" t="s">
        <v>172</v>
      </c>
      <c r="G5" s="301" t="s">
        <v>173</v>
      </c>
      <c r="H5" s="318"/>
    </row>
    <row r="6" spans="1:8" ht="13.35" customHeight="1" x14ac:dyDescent="0.2">
      <c r="A6" s="316"/>
      <c r="B6" s="321">
        <v>1</v>
      </c>
      <c r="C6" s="322">
        <f>_xll.qlCalendarEndOfMonth(Calendar,_xll.qlCalendarAdvance(Calendar,D3,"1m","mf",FALSE),Trigger)</f>
        <v>42094</v>
      </c>
      <c r="D6" s="321" t="str">
        <f t="shared" ref="D6:D18" si="0">Currency&amp;"Jump"&amp;B6&amp;"_SYNTHON"&amp;QuoteSuffix</f>
        <v>EURJump1_SYNTHON_Quote</v>
      </c>
      <c r="E6" s="323">
        <f>IF(_xll.qlQuoteIsValid(D6,Trigger),_xll.qlQuoteValue(D6,Trigger),1)</f>
        <v>0.99999590000000005</v>
      </c>
      <c r="F6" s="313"/>
      <c r="G6" s="323">
        <f>IF(ISBLANK(F6),E6,F6)</f>
        <v>0.99999590000000005</v>
      </c>
      <c r="H6" s="318"/>
    </row>
    <row r="7" spans="1:8" ht="13.35" customHeight="1" x14ac:dyDescent="0.2">
      <c r="A7" s="316"/>
      <c r="B7" s="324">
        <v>2</v>
      </c>
      <c r="C7" s="325">
        <f>_xll.qlCalendarEndOfMonth(Calendar,_xll.qlCalendarAdvance(Calendar,C6,"1m","mf",TRUE),Trigger)</f>
        <v>42124</v>
      </c>
      <c r="D7" s="324" t="str">
        <f t="shared" si="0"/>
        <v>EURJump2_SYNTHON_Quote</v>
      </c>
      <c r="E7" s="326">
        <f>IF(_xll.qlQuoteIsValid(D7,Trigger),_xll.qlQuoteValue(D7,Trigger),1)</f>
        <v>0.99998969999999998</v>
      </c>
      <c r="F7" s="314"/>
      <c r="G7" s="326">
        <f t="shared" ref="G7:G18" si="1">IF(ISBLANK(F7),E7,F7)</f>
        <v>0.99998969999999998</v>
      </c>
      <c r="H7" s="318"/>
    </row>
    <row r="8" spans="1:8" ht="13.35" customHeight="1" x14ac:dyDescent="0.2">
      <c r="A8" s="316"/>
      <c r="B8" s="324">
        <v>3</v>
      </c>
      <c r="C8" s="325">
        <f>_xll.qlCalendarEndOfMonth(Calendar,_xll.qlCalendarAdvance(Calendar,C7,"1m","mf",TRUE),Trigger)</f>
        <v>42153</v>
      </c>
      <c r="D8" s="324" t="str">
        <f t="shared" si="0"/>
        <v>EURJump3_SYNTHON_Quote</v>
      </c>
      <c r="E8" s="326">
        <f>IF(_xll.qlQuoteIsValid(D8,Trigger),_xll.qlQuoteValue(D8,Trigger),1)</f>
        <v>0.99998889999999996</v>
      </c>
      <c r="F8" s="314"/>
      <c r="G8" s="326">
        <f t="shared" si="1"/>
        <v>0.99998889999999996</v>
      </c>
      <c r="H8" s="318"/>
    </row>
    <row r="9" spans="1:8" ht="13.35" customHeight="1" x14ac:dyDescent="0.2">
      <c r="A9" s="316"/>
      <c r="B9" s="324">
        <v>4</v>
      </c>
      <c r="C9" s="325">
        <f>_xll.qlCalendarEndOfMonth(Calendar,_xll.qlCalendarAdvance(Calendar,C8,"1m","mf",TRUE),Trigger)</f>
        <v>42185</v>
      </c>
      <c r="D9" s="324" t="str">
        <f t="shared" si="0"/>
        <v>EURJump4_SYNTHON_Quote</v>
      </c>
      <c r="E9" s="326">
        <f>IF(_xll.qlQuoteIsValid(D9,Trigger),_xll.qlQuoteValue(D9,Trigger),1)</f>
        <v>0.99999269999999996</v>
      </c>
      <c r="F9" s="314"/>
      <c r="G9" s="326">
        <f t="shared" si="1"/>
        <v>0.99999269999999996</v>
      </c>
      <c r="H9" s="318"/>
    </row>
    <row r="10" spans="1:8" ht="13.35" customHeight="1" x14ac:dyDescent="0.2">
      <c r="A10" s="316"/>
      <c r="B10" s="324">
        <v>5</v>
      </c>
      <c r="C10" s="325">
        <f>_xll.qlCalendarEndOfMonth(Calendar,_xll.qlCalendarAdvance(Calendar,C9,"1m","mf",TRUE),Trigger)</f>
        <v>42216</v>
      </c>
      <c r="D10" s="324" t="str">
        <f t="shared" si="0"/>
        <v>EURJump5_SYNTHON_Quote</v>
      </c>
      <c r="E10" s="326">
        <f>IF(_xll.qlQuoteIsValid(D10,Trigger),_xll.qlQuoteValue(D10,Trigger),1)</f>
        <v>0.99999890000000002</v>
      </c>
      <c r="F10" s="314"/>
      <c r="G10" s="326">
        <f t="shared" si="1"/>
        <v>0.99999890000000002</v>
      </c>
      <c r="H10" s="318"/>
    </row>
    <row r="11" spans="1:8" ht="13.35" customHeight="1" x14ac:dyDescent="0.2">
      <c r="A11" s="316"/>
      <c r="B11" s="324">
        <v>6</v>
      </c>
      <c r="C11" s="325">
        <f>_xll.qlCalendarEndOfMonth(Calendar,_xll.qlCalendarAdvance(Calendar,C10,"1m","mf",TRUE),Trigger)</f>
        <v>42247</v>
      </c>
      <c r="D11" s="324" t="str">
        <f t="shared" si="0"/>
        <v>EURJump6_SYNTHON_Quote</v>
      </c>
      <c r="E11" s="326">
        <f>IF(_xll.qlQuoteIsValid(D11,Trigger),_xll.qlQuoteValue(D11,Trigger),1)</f>
        <v>0.99999870000000002</v>
      </c>
      <c r="F11" s="314"/>
      <c r="G11" s="326">
        <f t="shared" si="1"/>
        <v>0.99999870000000002</v>
      </c>
      <c r="H11" s="318"/>
    </row>
    <row r="12" spans="1:8" ht="13.35" customHeight="1" x14ac:dyDescent="0.2">
      <c r="A12" s="316"/>
      <c r="B12" s="324">
        <v>7</v>
      </c>
      <c r="C12" s="325">
        <f>_xll.qlCalendarEndOfMonth(Calendar,_xll.qlCalendarAdvance(Calendar,C11,"1m","mf",TRUE),Trigger)</f>
        <v>42277</v>
      </c>
      <c r="D12" s="324" t="str">
        <f t="shared" si="0"/>
        <v>EURJump7_SYNTHON_Quote</v>
      </c>
      <c r="E12" s="326">
        <f>IF(_xll.qlQuoteIsValid(D12,Trigger),_xll.qlQuoteValue(D12,Trigger),1)</f>
        <v>0.99998969999999998</v>
      </c>
      <c r="F12" s="314"/>
      <c r="G12" s="326">
        <f t="shared" si="1"/>
        <v>0.99998969999999998</v>
      </c>
      <c r="H12" s="318"/>
    </row>
    <row r="13" spans="1:8" ht="13.35" customHeight="1" x14ac:dyDescent="0.2">
      <c r="A13" s="316"/>
      <c r="B13" s="324">
        <v>8</v>
      </c>
      <c r="C13" s="325">
        <f>_xll.qlCalendarEndOfMonth(Calendar,_xll.qlCalendarAdvance(Calendar,C12,"1m","mf",TRUE),Trigger)</f>
        <v>42307</v>
      </c>
      <c r="D13" s="324" t="str">
        <f t="shared" si="0"/>
        <v>EURJump8_SYNTHON_Quote</v>
      </c>
      <c r="E13" s="326">
        <f>IF(_xll.qlQuoteIsValid(D13,Trigger),_xll.qlQuoteValue(D13,Trigger),1)</f>
        <v>0.99998819999999999</v>
      </c>
      <c r="F13" s="314"/>
      <c r="G13" s="326">
        <f t="shared" si="1"/>
        <v>0.99998819999999999</v>
      </c>
      <c r="H13" s="318"/>
    </row>
    <row r="14" spans="1:8" ht="13.35" customHeight="1" x14ac:dyDescent="0.2">
      <c r="A14" s="316"/>
      <c r="B14" s="324">
        <v>9</v>
      </c>
      <c r="C14" s="325">
        <f>_xll.qlCalendarEndOfMonth(Calendar,_xll.qlCalendarAdvance(Calendar,C13,"1m","mf",TRUE),Trigger)</f>
        <v>42338</v>
      </c>
      <c r="D14" s="324" t="str">
        <f t="shared" si="0"/>
        <v>EURJump9_SYNTHON_Quote</v>
      </c>
      <c r="E14" s="326">
        <f>IF(_xll.qlQuoteIsValid(D14,Trigger),_xll.qlQuoteValue(D14,Trigger),1)</f>
        <v>0.99998819999999999</v>
      </c>
      <c r="F14" s="314"/>
      <c r="G14" s="326">
        <f t="shared" si="1"/>
        <v>0.99998819999999999</v>
      </c>
      <c r="H14" s="318"/>
    </row>
    <row r="15" spans="1:8" ht="13.35" customHeight="1" x14ac:dyDescent="0.2">
      <c r="A15" s="316"/>
      <c r="B15" s="324">
        <v>10</v>
      </c>
      <c r="C15" s="325">
        <f>_xll.qlCalendarEndOfMonth(Calendar,_xll.qlCalendarAdvance(Calendar,C14,"1m","mf",TRUE),Trigger)</f>
        <v>42369</v>
      </c>
      <c r="D15" s="324" t="str">
        <f t="shared" si="0"/>
        <v>EURJump10_SYNTHON_Quote</v>
      </c>
      <c r="E15" s="326">
        <f>IF(_xll.qlQuoteIsValid(D15,Trigger),_xll.qlQuoteValue(D15,Trigger),1)</f>
        <v>0.99997009999999997</v>
      </c>
      <c r="F15" s="314"/>
      <c r="G15" s="326">
        <f t="shared" si="1"/>
        <v>0.99997009999999997</v>
      </c>
      <c r="H15" s="318"/>
    </row>
    <row r="16" spans="1:8" ht="13.35" customHeight="1" x14ac:dyDescent="0.2">
      <c r="A16" s="316"/>
      <c r="B16" s="324">
        <v>11</v>
      </c>
      <c r="C16" s="325">
        <f>_xll.qlCalendarEndOfMonth(Calendar,_xll.qlCalendarAdvance(Calendar,C15,"1m","mf",TRUE),Trigger)</f>
        <v>42398</v>
      </c>
      <c r="D16" s="324" t="str">
        <f t="shared" si="0"/>
        <v>EURJump11_SYNTHON_Quote</v>
      </c>
      <c r="E16" s="326">
        <f>IF(_xll.qlQuoteIsValid(D16,Trigger),_xll.qlQuoteValue(D16,Trigger),1)</f>
        <v>0.99999490000000002</v>
      </c>
      <c r="F16" s="314"/>
      <c r="G16" s="326">
        <f t="shared" si="1"/>
        <v>0.99999490000000002</v>
      </c>
      <c r="H16" s="318"/>
    </row>
    <row r="17" spans="1:8" ht="13.35" customHeight="1" x14ac:dyDescent="0.2">
      <c r="A17" s="316"/>
      <c r="B17" s="324">
        <v>12</v>
      </c>
      <c r="C17" s="325">
        <f>_xll.qlCalendarEndOfMonth(Calendar,_xll.qlCalendarAdvance(Calendar,C16,"1m","mf",TRUE),Trigger)</f>
        <v>42429</v>
      </c>
      <c r="D17" s="324" t="str">
        <f t="shared" si="0"/>
        <v>EURJump12_SYNTHON_Quote</v>
      </c>
      <c r="E17" s="326">
        <f>IF(_xll.qlQuoteIsValid(D17,Trigger),_xll.qlQuoteValue(D17,Trigger),1)</f>
        <v>0.99999669999999996</v>
      </c>
      <c r="F17" s="314"/>
      <c r="G17" s="326">
        <f t="shared" si="1"/>
        <v>0.99999669999999996</v>
      </c>
      <c r="H17" s="318"/>
    </row>
    <row r="18" spans="1:8" ht="13.35" customHeight="1" x14ac:dyDescent="0.2">
      <c r="A18" s="316"/>
      <c r="B18" s="327">
        <v>13</v>
      </c>
      <c r="C18" s="328">
        <f>_xll.qlCalendarAdjust(Calendar,DATE(YEAR(D2)+1,12,31),"preceding",Trigger)</f>
        <v>42734</v>
      </c>
      <c r="D18" s="327" t="str">
        <f t="shared" si="0"/>
        <v>EURJump13_SYNTHON_Quote</v>
      </c>
      <c r="E18" s="329">
        <f>IF(_xll.qlQuoteIsValid(D18,Trigger),_xll.qlQuoteValue(D18,Trigger),1)</f>
        <v>0.99998290000000001</v>
      </c>
      <c r="F18" s="315"/>
      <c r="G18" s="329">
        <f t="shared" si="1"/>
        <v>0.99998290000000001</v>
      </c>
      <c r="H18" s="318"/>
    </row>
    <row r="19" spans="1:8" ht="12" thickBot="1" x14ac:dyDescent="0.25">
      <c r="A19" s="319"/>
      <c r="B19" s="319"/>
      <c r="C19" s="319"/>
      <c r="D19" s="319"/>
      <c r="E19" s="319"/>
      <c r="F19" s="319"/>
      <c r="G19" s="319"/>
      <c r="H19" s="3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C3553"/>
  <sheetViews>
    <sheetView topLeftCell="A17" workbookViewId="0">
      <selection activeCell="J20" sqref="J20"/>
    </sheetView>
  </sheetViews>
  <sheetFormatPr defaultRowHeight="11.25" outlineLevelRow="1" outlineLevelCol="1" x14ac:dyDescent="0.2"/>
  <cols>
    <col min="1" max="1" width="7.5703125" style="60" customWidth="1"/>
    <col min="2" max="2" width="6" style="186" bestFit="1" customWidth="1"/>
    <col min="3" max="3" width="17.28515625" style="186" bestFit="1" customWidth="1"/>
    <col min="4" max="4" width="7" style="60" bestFit="1" customWidth="1"/>
    <col min="5" max="5" width="17.28515625" style="60" bestFit="1" customWidth="1"/>
    <col min="6" max="6" width="20.28515625" style="186" customWidth="1"/>
    <col min="7" max="8" width="7" style="186" customWidth="1"/>
    <col min="9" max="9" width="11" style="186" customWidth="1"/>
    <col min="10" max="10" width="15.7109375" style="186" customWidth="1"/>
    <col min="11" max="11" width="13.5703125" style="186" customWidth="1"/>
    <col min="12" max="12" width="6" style="186" customWidth="1"/>
    <col min="13" max="13" width="15.140625" style="186" hidden="1" customWidth="1" outlineLevel="1"/>
    <col min="14" max="14" width="19.28515625" style="60" bestFit="1" customWidth="1" collapsed="1"/>
    <col min="15" max="15" width="17.28515625" style="60" bestFit="1" customWidth="1"/>
    <col min="16" max="16" width="12" style="60" bestFit="1" customWidth="1"/>
    <col min="17" max="17" width="6" style="60" hidden="1" customWidth="1" outlineLevel="1"/>
    <col min="18" max="19" width="17.28515625" style="60" hidden="1" customWidth="1" outlineLevel="1"/>
    <col min="20" max="20" width="15.140625" style="60" hidden="1" customWidth="1" outlineLevel="1"/>
    <col min="21" max="21" width="16.140625" style="178" bestFit="1" customWidth="1" collapsed="1"/>
    <col min="22" max="22" width="18.28515625" style="60" bestFit="1" customWidth="1"/>
    <col min="23" max="23" width="3.7109375" style="60" customWidth="1"/>
    <col min="24" max="24" width="19.28515625" style="60" customWidth="1"/>
    <col min="25" max="26" width="17.28515625" style="60" bestFit="1" customWidth="1"/>
    <col min="27" max="28" width="15.140625" style="60" bestFit="1" customWidth="1"/>
    <col min="29" max="29" width="22.42578125" style="60" bestFit="1" customWidth="1"/>
    <col min="30" max="30" width="13.140625" style="60" bestFit="1" customWidth="1"/>
    <col min="31" max="16384" width="9.140625" style="60"/>
  </cols>
  <sheetData>
    <row r="1" spans="1:29" s="186" customFormat="1" ht="11.25" hidden="1" customHeight="1" outlineLevel="1" thickBot="1" x14ac:dyDescent="0.25">
      <c r="A1" s="210"/>
      <c r="B1" s="205" t="s">
        <v>154</v>
      </c>
      <c r="C1" s="204"/>
      <c r="D1" s="204"/>
      <c r="E1" s="204"/>
      <c r="F1" s="204"/>
      <c r="G1" s="205" t="s">
        <v>155</v>
      </c>
      <c r="H1" s="204"/>
      <c r="I1" s="204"/>
      <c r="J1" s="204"/>
      <c r="K1" s="204"/>
      <c r="L1" s="235"/>
      <c r="M1" s="194"/>
      <c r="N1" s="60"/>
    </row>
    <row r="2" spans="1:29" ht="11.25" hidden="1" customHeight="1" outlineLevel="1" thickBot="1" x14ac:dyDescent="0.2">
      <c r="A2" s="211"/>
      <c r="B2" s="203" t="s">
        <v>149</v>
      </c>
      <c r="C2" s="203" t="s">
        <v>151</v>
      </c>
      <c r="D2" s="203" t="s">
        <v>80</v>
      </c>
      <c r="E2" s="203" t="s">
        <v>152</v>
      </c>
      <c r="F2" s="206" t="s">
        <v>153</v>
      </c>
      <c r="G2" s="203" t="s">
        <v>151</v>
      </c>
      <c r="H2" s="203" t="s">
        <v>152</v>
      </c>
      <c r="I2" s="203" t="s">
        <v>153</v>
      </c>
      <c r="J2" s="239" t="s">
        <v>157</v>
      </c>
      <c r="K2" s="203" t="s">
        <v>158</v>
      </c>
      <c r="L2" s="235"/>
      <c r="M2" s="194"/>
    </row>
    <row r="3" spans="1:29" ht="11.25" hidden="1" customHeight="1" outlineLevel="1" x14ac:dyDescent="0.2">
      <c r="A3" s="224"/>
      <c r="B3" s="228" t="str">
        <f>_xll.qlPeriodEquivalent(D3&amp;"M")</f>
        <v>1Y</v>
      </c>
      <c r="C3" s="212">
        <f>_xll.qlDateEndOfMonth(EDATE(_xll.qlSettingsEvaluationDate(Trigger),-1))</f>
        <v>42063</v>
      </c>
      <c r="D3" s="209">
        <v>12</v>
      </c>
      <c r="E3" s="212">
        <f t="shared" ref="E3:E16" si="0">EDATE($Z$19,D3)</f>
        <v>42453</v>
      </c>
      <c r="F3" s="231">
        <f>IF(D3&lt;=12,1,IF(D3&lt;=24,3,IF(D3&lt;=120,6,IF(D3&lt;=240,12,IF(D3&lt;=360,36,60)))))</f>
        <v>1</v>
      </c>
      <c r="G3" s="242">
        <f>ROUNDDOWN(J3*10,2)/10</f>
        <v>0</v>
      </c>
      <c r="H3" s="221">
        <f>IF(K3-J3&gt;1%,(QUOTIENT(K3*10000,50)+1)*0.5%,(QUOTIENT(K3*10000,10)+1)*0.1%)</f>
        <v>1E-3</v>
      </c>
      <c r="I3" s="236">
        <f>IF(H3-G3&lt;0.5%,0.05%,IF(H3-G3&lt;1%,0.1%,IF(H3-G3&lt;2%,0.25%,0.5%)))</f>
        <v>5.0000000000000001E-4</v>
      </c>
      <c r="J3" s="221">
        <f>MIN(_xll.ohPack($AA$19:INDEX($AA$19:$AA$3552,MATCH(E3+1,$Z$19:$Z$3552,1),1)))</f>
        <v>7.3086181864194023E-4</v>
      </c>
      <c r="K3" s="236">
        <f>MAX(_xll.ohPack($AA$19:INDEX($AA$19:$AA$3552,MATCH(E3+1,$Z$19:$Z$3552,1),1)))</f>
        <v>8.6091348919618545E-4</v>
      </c>
      <c r="L3" s="235"/>
      <c r="M3" s="194"/>
    </row>
    <row r="4" spans="1:29" ht="11.25" hidden="1" customHeight="1" outlineLevel="1" x14ac:dyDescent="0.2">
      <c r="A4" s="225"/>
      <c r="B4" s="229" t="str">
        <f>_xll.qlPeriodEquivalent(D4&amp;"M")</f>
        <v>2Y</v>
      </c>
      <c r="C4" s="213">
        <f>_xll.qlDateEndOfMonth(EDATE(_xll.qlIMMNextDate(_xll.qlSettingsEvaluationDate(Trigger)-1,TRUE),-3))</f>
        <v>42094</v>
      </c>
      <c r="D4" s="202">
        <v>24</v>
      </c>
      <c r="E4" s="213">
        <f t="shared" si="0"/>
        <v>42818</v>
      </c>
      <c r="F4" s="232">
        <f t="shared" ref="F4:F16" si="1">IF(D4&lt;=12,1,IF(D4&lt;=24,3,IF(D4&lt;=120,6,IF(D4&lt;=240,12,IF(D4&lt;=360,36,60)))))</f>
        <v>3</v>
      </c>
      <c r="G4" s="243">
        <f t="shared" ref="G4:G16" si="2">ROUNDDOWN(J4*10,2)/10</f>
        <v>0</v>
      </c>
      <c r="H4" s="222">
        <f t="shared" ref="H4:H16" si="3">IF(K4-J4&gt;1%,(QUOTIENT(K4*10000,50)+1)*0.5%,(QUOTIENT(K4*10000,10)+1)*0.1%)</f>
        <v>2E-3</v>
      </c>
      <c r="I4" s="237">
        <f t="shared" ref="I4:I16" si="4">IF(H4-G4&lt;0.5%,0.05%,IF(H4-G4&lt;1%,0.1%,IF(H4-G4&lt;2%,0.25%,0.5%)))</f>
        <v>5.0000000000000001E-4</v>
      </c>
      <c r="J4" s="222">
        <f>MIN(_xll.ohPack($AA$19:INDEX($AA$19:$AA$3552,MATCH(E4+1,$Z$19:$Z$3552,1),1)))</f>
        <v>7.3086181864194023E-4</v>
      </c>
      <c r="K4" s="237">
        <f>MAX(_xll.ohPack($AA$19:INDEX($AA$19:$AA$3552,MATCH(E4+1,$Z$19:$Z$3552,1),1)))</f>
        <v>1.7023477619374117E-3</v>
      </c>
      <c r="L4" s="235"/>
      <c r="M4" s="194"/>
    </row>
    <row r="5" spans="1:29" ht="11.25" hidden="1" customHeight="1" outlineLevel="1" x14ac:dyDescent="0.2">
      <c r="A5" s="225"/>
      <c r="B5" s="229" t="str">
        <f>_xll.qlPeriodEquivalent(D5&amp;"M")</f>
        <v>5Y</v>
      </c>
      <c r="C5" s="2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202">
        <v>60</v>
      </c>
      <c r="E5" s="213">
        <f t="shared" si="0"/>
        <v>43914</v>
      </c>
      <c r="F5" s="232">
        <f t="shared" si="1"/>
        <v>6</v>
      </c>
      <c r="G5" s="243">
        <f t="shared" si="2"/>
        <v>0</v>
      </c>
      <c r="H5" s="222">
        <f t="shared" si="3"/>
        <v>7.0000000000000001E-3</v>
      </c>
      <c r="I5" s="237">
        <f t="shared" si="4"/>
        <v>1E-3</v>
      </c>
      <c r="J5" s="222">
        <f>MIN(_xll.ohPack($AA$19:INDEX($AA$19:$AA$3552,MATCH(E5+1,$Z$19:$Z$3552,1),1)))</f>
        <v>7.3086181864194023E-4</v>
      </c>
      <c r="K5" s="237">
        <f>MAX(_xll.ohPack($AA$19:INDEX($AA$19:$AA$3552,MATCH(E5+1,$Z$19:$Z$3552,1),1)))</f>
        <v>6.0567330466190427E-3</v>
      </c>
      <c r="L5" s="235"/>
      <c r="M5" s="194"/>
    </row>
    <row r="6" spans="1:29" ht="11.25" hidden="1" customHeight="1" outlineLevel="1" x14ac:dyDescent="0.2">
      <c r="A6" s="226" t="s">
        <v>150</v>
      </c>
      <c r="B6" s="229" t="str">
        <f>_xll.qlPeriodEquivalent(D6&amp;"M")</f>
        <v>10Y</v>
      </c>
      <c r="C6" s="213">
        <f t="shared" ref="C6:C9" si="5">C5</f>
        <v>42004</v>
      </c>
      <c r="D6" s="202">
        <v>120</v>
      </c>
      <c r="E6" s="213">
        <f t="shared" si="0"/>
        <v>45740</v>
      </c>
      <c r="F6" s="232">
        <f t="shared" si="1"/>
        <v>6</v>
      </c>
      <c r="G6" s="243">
        <f t="shared" si="2"/>
        <v>0</v>
      </c>
      <c r="H6" s="222">
        <f t="shared" si="3"/>
        <v>1.0999999999999999E-2</v>
      </c>
      <c r="I6" s="237">
        <f t="shared" si="4"/>
        <v>2.5000000000000001E-3</v>
      </c>
      <c r="J6" s="222">
        <f>MIN(_xll.ohPack($AA$19:INDEX($AA$19:$AA$3552,MATCH(E6+1,$Z$19:$Z$3552,1),1)))</f>
        <v>7.3086181864194023E-4</v>
      </c>
      <c r="K6" s="237">
        <f>MAX(_xll.ohPack($AA$19:INDEX($AA$19:$AA$3552,MATCH(E6+1,$Z$19:$Z$3552,1),1)))</f>
        <v>1.0437466226093241E-2</v>
      </c>
      <c r="L6" s="235"/>
      <c r="M6" s="194"/>
    </row>
    <row r="7" spans="1:29" ht="11.25" hidden="1" customHeight="1" outlineLevel="1" x14ac:dyDescent="0.2">
      <c r="A7" s="225"/>
      <c r="B7" s="229" t="str">
        <f>_xll.qlPeriodEquivalent(D7&amp;"M")</f>
        <v>20Y</v>
      </c>
      <c r="C7" s="213">
        <f>IF(AND(MONTH(C6)=12),C6,_xll.qlDateEndOfMonth(EDATE(C6,-6)))</f>
        <v>42004</v>
      </c>
      <c r="D7" s="202">
        <v>240</v>
      </c>
      <c r="E7" s="213">
        <f t="shared" si="0"/>
        <v>49392</v>
      </c>
      <c r="F7" s="233">
        <f t="shared" si="1"/>
        <v>12</v>
      </c>
      <c r="G7" s="243">
        <f t="shared" si="2"/>
        <v>0</v>
      </c>
      <c r="H7" s="222">
        <f t="shared" si="3"/>
        <v>1.4999999999999999E-2</v>
      </c>
      <c r="I7" s="237">
        <f t="shared" si="4"/>
        <v>2.5000000000000001E-3</v>
      </c>
      <c r="J7" s="240">
        <f>MIN(_xll.ohPack($AA$19:INDEX($AA$19:$AA$3552,MATCH(E7+1,$Z$19:$Z$3552,1),1)))</f>
        <v>7.3086181864194023E-4</v>
      </c>
      <c r="K7" s="237">
        <f>MAX(_xll.ohPack($AA$19:INDEX($AA$19:$AA$3552,MATCH(E7+1,$Z$19:$Z$3552,1),1)))</f>
        <v>1.1052956409507287E-2</v>
      </c>
      <c r="L7" s="235"/>
      <c r="M7" s="194"/>
    </row>
    <row r="8" spans="1:29" ht="11.25" hidden="1" customHeight="1" outlineLevel="1" x14ac:dyDescent="0.2">
      <c r="A8" s="225"/>
      <c r="B8" s="229" t="str">
        <f>_xll.qlPeriodEquivalent(D8&amp;"M")</f>
        <v>30Y</v>
      </c>
      <c r="C8" s="213">
        <f t="shared" si="5"/>
        <v>42004</v>
      </c>
      <c r="D8" s="202">
        <v>360</v>
      </c>
      <c r="E8" s="213">
        <f t="shared" si="0"/>
        <v>53045</v>
      </c>
      <c r="F8" s="233">
        <f t="shared" si="1"/>
        <v>36</v>
      </c>
      <c r="G8" s="243">
        <f t="shared" si="2"/>
        <v>0</v>
      </c>
      <c r="H8" s="222">
        <f t="shared" si="3"/>
        <v>1.4999999999999999E-2</v>
      </c>
      <c r="I8" s="237">
        <f t="shared" si="4"/>
        <v>2.5000000000000001E-3</v>
      </c>
      <c r="J8" s="240">
        <f>MIN(_xll.ohPack($AA$19:INDEX($AA$19:$AA$3552,MATCH(E8+1,$Z$19:$Z$3552,1),1)))</f>
        <v>7.3086181864194023E-4</v>
      </c>
      <c r="K8" s="237">
        <f>MAX(_xll.ohPack($AA$19:INDEX($AA$19:$AA$3552,MATCH(E8+1,$Z$19:$Z$3552,1),1)))</f>
        <v>1.1052956409507287E-2</v>
      </c>
      <c r="L8" s="235"/>
      <c r="M8" s="194"/>
    </row>
    <row r="9" spans="1:29" ht="11.25" hidden="1" customHeight="1" outlineLevel="1" thickBot="1" x14ac:dyDescent="0.2">
      <c r="A9" s="225"/>
      <c r="B9" s="229" t="str">
        <f>_xll.qlPeriodEquivalent(D9&amp;"M")</f>
        <v>60Y</v>
      </c>
      <c r="C9" s="213">
        <f t="shared" si="5"/>
        <v>42004</v>
      </c>
      <c r="D9" s="202">
        <v>720</v>
      </c>
      <c r="E9" s="213">
        <f t="shared" si="0"/>
        <v>64002</v>
      </c>
      <c r="F9" s="233">
        <f t="shared" si="1"/>
        <v>60</v>
      </c>
      <c r="G9" s="243">
        <f t="shared" si="2"/>
        <v>0</v>
      </c>
      <c r="H9" s="222">
        <f t="shared" si="3"/>
        <v>1.4999999999999999E-2</v>
      </c>
      <c r="I9" s="237">
        <f t="shared" si="4"/>
        <v>2.5000000000000001E-3</v>
      </c>
      <c r="J9" s="240">
        <f>MIN(_xll.ohPack($AA$19:INDEX($AA$19:$AA$3552,MATCH(E9+1,$Z$19:$Z$3552,1),1)))</f>
        <v>7.3086181864194023E-4</v>
      </c>
      <c r="K9" s="237">
        <f>MAX(_xll.ohPack($AA$19:INDEX($AA$19:$AA$3552,MATCH(E9+1,$Z$19:$Z$3552,1),1)))</f>
        <v>1.1052956409507287E-2</v>
      </c>
      <c r="L9" s="235"/>
      <c r="M9" s="194"/>
      <c r="AC9" s="189"/>
    </row>
    <row r="10" spans="1:29" ht="11.25" hidden="1" customHeight="1" outlineLevel="1" x14ac:dyDescent="0.2">
      <c r="A10" s="224"/>
      <c r="B10" s="228" t="str">
        <f>_xll.qlPeriodEquivalent(D10&amp;"M")</f>
        <v>1Y</v>
      </c>
      <c r="C10" s="212">
        <f>C3</f>
        <v>42063</v>
      </c>
      <c r="D10" s="209">
        <v>12</v>
      </c>
      <c r="E10" s="212">
        <f t="shared" si="0"/>
        <v>42453</v>
      </c>
      <c r="F10" s="231">
        <f t="shared" si="1"/>
        <v>1</v>
      </c>
      <c r="G10" s="242">
        <f t="shared" si="2"/>
        <v>0</v>
      </c>
      <c r="H10" s="221">
        <f t="shared" si="3"/>
        <v>5.0000000000000001E-3</v>
      </c>
      <c r="I10" s="236">
        <f t="shared" si="4"/>
        <v>1E-3</v>
      </c>
      <c r="J10" s="221">
        <f>MIN(_xll.ohPack($AB$19:INDEX($AB$19:$AB$3552,MATCH(E10+1,$Z$19:$Z$3552,1),1)))</f>
        <v>2.7095490451323201E-4</v>
      </c>
      <c r="K10" s="236">
        <f>MAX(_xll.ohPack($AB$19:INDEX($AB$19:$AB$3552,MATCH(E10+1,$Z$19:$Z$3552,1),1)))</f>
        <v>4.8731543145574818E-3</v>
      </c>
      <c r="L10" s="235"/>
      <c r="M10" s="194"/>
    </row>
    <row r="11" spans="1:29" ht="11.25" hidden="1" customHeight="1" outlineLevel="1" x14ac:dyDescent="0.2">
      <c r="A11" s="225"/>
      <c r="B11" s="229" t="str">
        <f>_xll.qlPeriodEquivalent(D11&amp;"M")</f>
        <v>2Y</v>
      </c>
      <c r="C11" s="213">
        <f t="shared" ref="C11:C15" si="6">C4</f>
        <v>42094</v>
      </c>
      <c r="D11" s="202">
        <v>24</v>
      </c>
      <c r="E11" s="213">
        <f t="shared" si="0"/>
        <v>42818</v>
      </c>
      <c r="F11" s="232">
        <f t="shared" si="1"/>
        <v>3</v>
      </c>
      <c r="G11" s="243">
        <f t="shared" si="2"/>
        <v>0</v>
      </c>
      <c r="H11" s="222">
        <f t="shared" si="3"/>
        <v>5.0000000000000001E-3</v>
      </c>
      <c r="I11" s="237">
        <f t="shared" si="4"/>
        <v>1E-3</v>
      </c>
      <c r="J11" s="222">
        <f>MIN(_xll.ohPack($AB$19:INDEX($AB$19:$AB$3552,MATCH(E11+1,$Z$19:$Z$3552,1),1)))</f>
        <v>2.7095490451323201E-4</v>
      </c>
      <c r="K11" s="237">
        <f>MAX(_xll.ohPack($AB$19:INDEX($AB$19:$AB$3552,MATCH(E11+1,$Z$19:$Z$3552,1),1)))</f>
        <v>4.8731543145574818E-3</v>
      </c>
      <c r="L11" s="235"/>
      <c r="M11" s="194"/>
    </row>
    <row r="12" spans="1:29" ht="11.25" hidden="1" customHeight="1" outlineLevel="1" x14ac:dyDescent="0.2">
      <c r="A12" s="225"/>
      <c r="B12" s="229" t="str">
        <f>_xll.qlPeriodEquivalent(D12&amp;"M")</f>
        <v>5Y</v>
      </c>
      <c r="C12" s="213">
        <f t="shared" si="6"/>
        <v>42004</v>
      </c>
      <c r="D12" s="202">
        <v>60</v>
      </c>
      <c r="E12" s="213">
        <f t="shared" si="0"/>
        <v>43914</v>
      </c>
      <c r="F12" s="232">
        <f t="shared" si="1"/>
        <v>6</v>
      </c>
      <c r="G12" s="243">
        <f t="shared" si="2"/>
        <v>0</v>
      </c>
      <c r="H12" s="222">
        <f t="shared" si="3"/>
        <v>6.0000000000000001E-3</v>
      </c>
      <c r="I12" s="237">
        <f t="shared" si="4"/>
        <v>1E-3</v>
      </c>
      <c r="J12" s="222">
        <f>MIN(_xll.ohPack($AB$19:INDEX($AB$19:$AB$3552,MATCH(E12+1,$Z$19:$Z$3552,1),1)))</f>
        <v>2.7095490451323201E-4</v>
      </c>
      <c r="K12" s="237">
        <f>MAX(_xll.ohPack($AB$19:INDEX($AB$19:$AB$3552,MATCH(E12+1,$Z$19:$Z$3552,1),1)))</f>
        <v>5.7096986344529199E-3</v>
      </c>
      <c r="L12" s="235"/>
      <c r="M12" s="194"/>
    </row>
    <row r="13" spans="1:29" ht="11.25" hidden="1" customHeight="1" outlineLevel="1" x14ac:dyDescent="0.2">
      <c r="A13" s="226" t="s">
        <v>135</v>
      </c>
      <c r="B13" s="229" t="str">
        <f>_xll.qlPeriodEquivalent(D13&amp;"M")</f>
        <v>10Y</v>
      </c>
      <c r="C13" s="213">
        <f t="shared" si="6"/>
        <v>42004</v>
      </c>
      <c r="D13" s="202">
        <v>120</v>
      </c>
      <c r="E13" s="213">
        <f t="shared" si="0"/>
        <v>45740</v>
      </c>
      <c r="F13" s="232">
        <f t="shared" si="1"/>
        <v>6</v>
      </c>
      <c r="G13" s="243">
        <f t="shared" si="2"/>
        <v>0</v>
      </c>
      <c r="H13" s="222">
        <f t="shared" si="3"/>
        <v>1.4999999999999999E-2</v>
      </c>
      <c r="I13" s="237">
        <f t="shared" si="4"/>
        <v>2.5000000000000001E-3</v>
      </c>
      <c r="J13" s="222">
        <f>MIN(_xll.ohPack($AB$19:INDEX($AB$19:$AB$3552,MATCH(E13+1,$Z$19:$Z$3552,1),1)))</f>
        <v>2.7095490451323201E-4</v>
      </c>
      <c r="K13" s="237">
        <f>MAX(_xll.ohPack($AB$19:INDEX($AB$19:$AB$3552,MATCH(E13+1,$Z$19:$Z$3552,1),1)))</f>
        <v>1.0284622477332306E-2</v>
      </c>
      <c r="L13" s="235"/>
      <c r="M13" s="194"/>
    </row>
    <row r="14" spans="1:29" ht="11.25" hidden="1" customHeight="1" outlineLevel="1" x14ac:dyDescent="0.2">
      <c r="A14" s="225"/>
      <c r="B14" s="229" t="str">
        <f>_xll.qlPeriodEquivalent(D14&amp;"M")</f>
        <v>20Y</v>
      </c>
      <c r="C14" s="213">
        <f t="shared" si="6"/>
        <v>42004</v>
      </c>
      <c r="D14" s="202">
        <v>240</v>
      </c>
      <c r="E14" s="213">
        <f t="shared" si="0"/>
        <v>49392</v>
      </c>
      <c r="F14" s="233">
        <f>IF(D14&lt;=12,1,IF(D14&lt;=24,3,IF(D14&lt;=120,6,IF(D14&lt;=240,12,IF(D14&lt;=360,36,60)))))</f>
        <v>12</v>
      </c>
      <c r="G14" s="243">
        <f>ROUNDDOWN(J14*10,2)/10</f>
        <v>0</v>
      </c>
      <c r="H14" s="222">
        <f t="shared" si="3"/>
        <v>1.4999999999999999E-2</v>
      </c>
      <c r="I14" s="237">
        <f t="shared" si="4"/>
        <v>2.5000000000000001E-3</v>
      </c>
      <c r="J14" s="240">
        <f>MIN(_xll.ohPack($AB$19:INDEX($AB$19:$AB$3552,MATCH(E14+1,$Z$19:$Z$3552,1),1)))</f>
        <v>2.7095490451323201E-4</v>
      </c>
      <c r="K14" s="237">
        <f>MAX(_xll.ohPack($AB$19:INDEX($AB$19:$AB$3552,MATCH(E14+1,$Z$19:$Z$3552,1),1)))</f>
        <v>1.1023103779141952E-2</v>
      </c>
      <c r="L14" s="235"/>
      <c r="M14" s="194"/>
    </row>
    <row r="15" spans="1:29" ht="11.25" hidden="1" customHeight="1" outlineLevel="1" x14ac:dyDescent="0.2">
      <c r="A15" s="225"/>
      <c r="B15" s="229" t="str">
        <f>_xll.qlPeriodEquivalent(D15&amp;"M")</f>
        <v>30Y</v>
      </c>
      <c r="C15" s="213">
        <f t="shared" si="6"/>
        <v>42004</v>
      </c>
      <c r="D15" s="202">
        <v>360</v>
      </c>
      <c r="E15" s="213">
        <f t="shared" si="0"/>
        <v>53045</v>
      </c>
      <c r="F15" s="233">
        <f t="shared" si="1"/>
        <v>36</v>
      </c>
      <c r="G15" s="243">
        <f t="shared" si="2"/>
        <v>0</v>
      </c>
      <c r="H15" s="222">
        <f t="shared" si="3"/>
        <v>1.4999999999999999E-2</v>
      </c>
      <c r="I15" s="237">
        <f t="shared" si="4"/>
        <v>2.5000000000000001E-3</v>
      </c>
      <c r="J15" s="240">
        <f>MIN(_xll.ohPack($AB$19:INDEX($AB$19:$AB$3552,MATCH(E15+1,$Z$19:$Z$3552,1),1)))</f>
        <v>2.7095490451323201E-4</v>
      </c>
      <c r="K15" s="237">
        <f>MAX(_xll.ohPack($AB$19:INDEX($AB$19:$AB$3552,MATCH(E15+1,$Z$19:$Z$3552,1),1)))</f>
        <v>1.1023103779141952E-2</v>
      </c>
      <c r="L15" s="235"/>
      <c r="M15" s="194"/>
      <c r="O15" s="186"/>
      <c r="P15" s="186"/>
      <c r="Q15" s="186"/>
      <c r="R15" s="186"/>
      <c r="S15" s="186"/>
      <c r="T15" s="186"/>
      <c r="U15" s="187"/>
      <c r="V15" s="186"/>
      <c r="W15" s="186"/>
      <c r="AA15" s="185" t="s">
        <v>133</v>
      </c>
      <c r="AB15" s="185" t="s">
        <v>134</v>
      </c>
    </row>
    <row r="16" spans="1:29" ht="11.25" hidden="1" customHeight="1" outlineLevel="1" thickBot="1" x14ac:dyDescent="0.25">
      <c r="A16" s="227"/>
      <c r="B16" s="230" t="str">
        <f>_xll.qlPeriodEquivalent(D16&amp;"M")</f>
        <v>60Y</v>
      </c>
      <c r="C16" s="218">
        <f>C9</f>
        <v>42004</v>
      </c>
      <c r="D16" s="219">
        <v>720</v>
      </c>
      <c r="E16" s="218">
        <f t="shared" si="0"/>
        <v>64002</v>
      </c>
      <c r="F16" s="234">
        <f t="shared" si="1"/>
        <v>60</v>
      </c>
      <c r="G16" s="244">
        <f t="shared" si="2"/>
        <v>0</v>
      </c>
      <c r="H16" s="223">
        <f t="shared" si="3"/>
        <v>1.4999999999999999E-2</v>
      </c>
      <c r="I16" s="238">
        <f t="shared" si="4"/>
        <v>2.5000000000000001E-3</v>
      </c>
      <c r="J16" s="241">
        <f>MIN(_xll.ohPack($AB$19:INDEX($AB$19:$AB$3552,MATCH(E16+1,$Z$19:$Z$3552,1),1)))</f>
        <v>2.7095490451323201E-4</v>
      </c>
      <c r="K16" s="238">
        <f>MAX(_xll.ohPack($AB$19:INDEX($AB$19:$AB$3552,MATCH(E16+1,$Z$19:$Z$3552,1),1)))</f>
        <v>1.1023103779141952E-2</v>
      </c>
      <c r="L16" s="235"/>
      <c r="M16" s="194"/>
      <c r="W16" s="162"/>
      <c r="AA16" s="167" t="str">
        <f>_xll.qlEuribor(,IndexTenor,YieldCurve)</f>
        <v>obj_008c3#0002</v>
      </c>
      <c r="AB16" s="167" t="str">
        <f>_xll.qlEonia(,YieldCurve)</f>
        <v>obj_008c2#0002</v>
      </c>
    </row>
    <row r="17" spans="10:28" ht="12" collapsed="1" thickBot="1" x14ac:dyDescent="0.25"/>
    <row r="18" spans="10:28" ht="12" thickBot="1" x14ac:dyDescent="0.25">
      <c r="M18" s="168" t="s">
        <v>44</v>
      </c>
      <c r="N18" s="168" t="s">
        <v>138</v>
      </c>
      <c r="O18" s="169" t="s">
        <v>131</v>
      </c>
      <c r="P18" s="169" t="s">
        <v>43</v>
      </c>
      <c r="Q18" s="169" t="s">
        <v>144</v>
      </c>
      <c r="R18" s="169" t="s">
        <v>132</v>
      </c>
      <c r="S18" s="169"/>
      <c r="T18" s="169" t="s">
        <v>156</v>
      </c>
      <c r="U18" s="180" t="s">
        <v>145</v>
      </c>
      <c r="V18" s="185" t="s">
        <v>147</v>
      </c>
      <c r="X18" s="198" t="s">
        <v>139</v>
      </c>
      <c r="Y18" s="199" t="s">
        <v>132</v>
      </c>
      <c r="Z18" s="199" t="s">
        <v>131</v>
      </c>
      <c r="AA18" s="200" t="s">
        <v>136</v>
      </c>
      <c r="AB18" s="201" t="s">
        <v>135</v>
      </c>
    </row>
    <row r="19" spans="10:28" ht="12" thickBot="1" x14ac:dyDescent="0.25">
      <c r="J19" s="196" t="s">
        <v>148</v>
      </c>
      <c r="M19" s="170" t="str">
        <f t="array" ref="M19:M36">_xll.ohFilter(RateHelpers!B12:B29,IF(ISERROR(RateHelpers!D12:D29),FALSE,TRUE))</f>
        <v>obj_00806#0001</v>
      </c>
      <c r="N19" s="250" t="str">
        <f>_xll.qlRateHelperQuoteName(M19)</f>
        <v>EUR1x7F_Quote</v>
      </c>
      <c r="O19" s="166">
        <f>_xll.qlRateHelperEarliestDate(M19,Trigger)</f>
        <v>42118</v>
      </c>
      <c r="P19" s="214">
        <f>_xll.qlRateHelperQuoteValue(M19,_xll.ohTrigger(RecalcTrigger,Trigger))</f>
        <v>8.6000000000000009E-4</v>
      </c>
      <c r="Q19" s="214" t="e">
        <f>NA()</f>
        <v>#N/A</v>
      </c>
      <c r="R19" s="166">
        <f>_xll.qlInterestRateIndexFixingDate(IborIndex,O19,_xll.ohTrigger(RecalcTrigger,Trigger))</f>
        <v>42116</v>
      </c>
      <c r="S19" s="166"/>
      <c r="T19" s="214">
        <f>_xll.qlIndexFixing(IborIndex,R19,TRUE,RecalcTrigger)</f>
        <v>8.5999999999980092E-4</v>
      </c>
      <c r="U19" s="215">
        <f>T19-P19</f>
        <v>-1.9916793908558716E-16</v>
      </c>
      <c r="V19" s="252">
        <f t="array" ref="V19">MAX(ABS(U19:U36))</f>
        <v>8.7066313360362191E-14</v>
      </c>
      <c r="X19" s="176" t="s">
        <v>105</v>
      </c>
      <c r="Y19" s="188">
        <f>_xll.qlSettingsEvaluationDate(Trigger)</f>
        <v>42083</v>
      </c>
      <c r="Z19" s="188">
        <f>_xll.qlCalendarAdvance(Calendar,Y19,NDays&amp;"D")</f>
        <v>42087</v>
      </c>
      <c r="AA19" s="163">
        <f t="array" ref="AA19:AA3552">IFERROR(_xll.qlIndexFixing(IborIndex,Y19:Y3552,TRUE,RecalcTrigger),NA())</f>
        <v>8.4300000032914209E-4</v>
      </c>
      <c r="AB19" s="172">
        <f t="array" ref="AB19:AB3552">IFERROR(_xll.qlIndexFixing(OverNightIndex,Z19:Z3552,TRUE,RecalcTrigger),NA())</f>
        <v>8.9946230647619529E-4</v>
      </c>
    </row>
    <row r="20" spans="10:28" ht="12" thickBot="1" x14ac:dyDescent="0.25">
      <c r="J20" s="207"/>
      <c r="M20" s="171" t="str">
        <v>obj_007ad#0001</v>
      </c>
      <c r="N20" s="176" t="str">
        <f>_xll.qlRateHelperQuoteName(M20)</f>
        <v>EUR2x8F_Quote</v>
      </c>
      <c r="O20" s="164">
        <f>_xll.qlRateHelperEarliestDate(M20,Trigger)</f>
        <v>42149</v>
      </c>
      <c r="P20" s="163">
        <f>_xll.qlRateHelperQuoteValue(M20,_xll.ohTrigger(RecalcTrigger,Trigger))</f>
        <v>8.5000000000000006E-4</v>
      </c>
      <c r="Q20" s="163" t="e">
        <f>NA()</f>
        <v>#N/A</v>
      </c>
      <c r="R20" s="164">
        <f>_xll.qlInterestRateIndexFixingDate(IborIndex,O20,_xll.ohTrigger(RecalcTrigger,Trigger))</f>
        <v>42145</v>
      </c>
      <c r="S20" s="164"/>
      <c r="T20" s="163">
        <f>_xll.qlIndexFixing(IborIndex,R20,TRUE,RecalcTrigger)</f>
        <v>8.4999999999992091E-4</v>
      </c>
      <c r="U20" s="216">
        <f t="shared" ref="U20:U36" si="7">T20-P20</f>
        <v>-7.9146758591441824E-17</v>
      </c>
      <c r="X20" s="176" t="str">
        <f>X19</f>
        <v>1D</v>
      </c>
      <c r="Y20" s="164">
        <f>_xll.qlCalendarAdvance(Calendar,Y19,X20,"f",FALSE)</f>
        <v>42086</v>
      </c>
      <c r="Z20" s="188">
        <f>_xll.qlCalendarAdvance(Calendar,Y20,NDays&amp;"D")</f>
        <v>42088</v>
      </c>
      <c r="AA20" s="163">
        <v>8.4296746955150523E-4</v>
      </c>
      <c r="AB20" s="172">
        <v>8.9931786273922398E-4</v>
      </c>
    </row>
    <row r="21" spans="10:28" ht="12" thickBot="1" x14ac:dyDescent="0.25">
      <c r="M21" s="171" t="str">
        <v>obj_0082f#0001</v>
      </c>
      <c r="N21" s="176" t="str">
        <f>_xll.qlRateHelperQuoteName(M21)</f>
        <v>EUR3x9F_Quote</v>
      </c>
      <c r="O21" s="164">
        <f>_xll.qlRateHelperEarliestDate(M21,Trigger)</f>
        <v>42179</v>
      </c>
      <c r="P21" s="163">
        <f>_xll.qlRateHelperQuoteValue(M21,_xll.ohTrigger(RecalcTrigger,Trigger))</f>
        <v>8.3000000000000001E-4</v>
      </c>
      <c r="Q21" s="163" t="e">
        <f>NA()</f>
        <v>#N/A</v>
      </c>
      <c r="R21" s="164">
        <f>_xll.qlInterestRateIndexFixingDate(IborIndex,O21,_xll.ohTrigger(RecalcTrigger,Trigger))</f>
        <v>42177</v>
      </c>
      <c r="S21" s="164"/>
      <c r="T21" s="163">
        <f>_xll.qlIndexFixing(IborIndex,R21,TRUE,RecalcTrigger)</f>
        <v>8.2999999999982458E-4</v>
      </c>
      <c r="U21" s="216">
        <f t="shared" si="7"/>
        <v>-1.7542391150815462E-16</v>
      </c>
      <c r="X21" s="176" t="str">
        <f t="shared" ref="X21:X84" si="8">X20</f>
        <v>1D</v>
      </c>
      <c r="Y21" s="164">
        <f>_xll.qlCalendarAdvance(Calendar,Y20,X21,"f",FALSE)</f>
        <v>42087</v>
      </c>
      <c r="Z21" s="188">
        <f>_xll.qlCalendarAdvance(Calendar,Y21,NDays&amp;"D")</f>
        <v>42089</v>
      </c>
      <c r="AA21" s="163">
        <v>8.4369170042415534E-4</v>
      </c>
      <c r="AB21" s="172">
        <v>8.9902897526528136E-4</v>
      </c>
    </row>
    <row r="22" spans="10:28" ht="23.25" thickBot="1" x14ac:dyDescent="0.25">
      <c r="J22" s="297" t="s">
        <v>165</v>
      </c>
      <c r="M22" s="171" t="str">
        <v>obj_00782#0001</v>
      </c>
      <c r="N22" s="176" t="str">
        <f>_xll.qlRateHelperQuoteName(M22)</f>
        <v>EUR4x10F_Quote</v>
      </c>
      <c r="O22" s="164">
        <f>_xll.qlRateHelperEarliestDate(M22,Trigger)</f>
        <v>42209</v>
      </c>
      <c r="P22" s="163">
        <f>_xll.qlRateHelperQuoteValue(M22,_xll.ohTrigger(RecalcTrigger,Trigger))</f>
        <v>8.1000000000000006E-4</v>
      </c>
      <c r="Q22" s="163" t="e">
        <f>NA()</f>
        <v>#N/A</v>
      </c>
      <c r="R22" s="164">
        <f>_xll.qlInterestRateIndexFixingDate(IborIndex,O22,_xll.ohTrigger(RecalcTrigger,Trigger))</f>
        <v>42207</v>
      </c>
      <c r="S22" s="164"/>
      <c r="T22" s="163">
        <f>_xll.qlIndexFixing(IborIndex,R22,TRUE,RecalcTrigger)</f>
        <v>8.1000000000001351E-4</v>
      </c>
      <c r="U22" s="216">
        <f t="shared" si="7"/>
        <v>1.3444106938820255E-17</v>
      </c>
      <c r="X22" s="176" t="str">
        <f t="shared" si="8"/>
        <v>1D</v>
      </c>
      <c r="Y22" s="164">
        <f>_xll.qlCalendarAdvance(Calendar,Y21,X22,"f",FALSE)</f>
        <v>42088</v>
      </c>
      <c r="Z22" s="188">
        <f>_xll.qlCalendarAdvance(Calendar,Y22,NDays&amp;"D")</f>
        <v>42090</v>
      </c>
      <c r="AA22" s="163">
        <v>8.4339047381812543E-4</v>
      </c>
      <c r="AB22" s="172">
        <v>8.9797196100249721E-4</v>
      </c>
    </row>
    <row r="23" spans="10:28" ht="12" thickBot="1" x14ac:dyDescent="0.25">
      <c r="J23" s="296" t="str">
        <f>ROUNDDOWN((_xll.qlTermStructureMaxDate(YieldCurve,Trigger)-_xll.qlTermStructureReferenceDate(YieldCurve,Trigger))/365,)&amp;"Y"</f>
        <v>60Y</v>
      </c>
      <c r="M23" s="171" t="str">
        <v>obj_007b4#0001</v>
      </c>
      <c r="N23" s="176" t="str">
        <f>_xll.qlRateHelperQuoteName(M23)</f>
        <v>EUR5x11F_Quote</v>
      </c>
      <c r="O23" s="164">
        <f>_xll.qlRateHelperEarliestDate(M23,Trigger)</f>
        <v>42240</v>
      </c>
      <c r="P23" s="163">
        <f>_xll.qlRateHelperQuoteValue(M23,_xll.ohTrigger(RecalcTrigger,Trigger))</f>
        <v>7.9000000000000012E-4</v>
      </c>
      <c r="Q23" s="163" t="e">
        <f>NA()</f>
        <v>#N/A</v>
      </c>
      <c r="R23" s="164">
        <f>_xll.qlInterestRateIndexFixingDate(IborIndex,O23,_xll.ohTrigger(RecalcTrigger,Trigger))</f>
        <v>42236</v>
      </c>
      <c r="S23" s="164"/>
      <c r="T23" s="163">
        <f>_xll.qlIndexFixing(IborIndex,R23,TRUE,RecalcTrigger)</f>
        <v>7.8999999999978848E-4</v>
      </c>
      <c r="U23" s="216">
        <f t="shared" si="7"/>
        <v>-2.1163626406917047E-16</v>
      </c>
      <c r="X23" s="176" t="str">
        <f t="shared" si="8"/>
        <v>1D</v>
      </c>
      <c r="Y23" s="164">
        <f>_xll.qlCalendarAdvance(Calendar,Y22,X23,"f",FALSE)</f>
        <v>42089</v>
      </c>
      <c r="Z23" s="188">
        <f>_xll.qlCalendarAdvance(Calendar,Y23,NDays&amp;"D")</f>
        <v>42093</v>
      </c>
      <c r="AA23" s="163">
        <v>8.4332509391814737E-4</v>
      </c>
      <c r="AB23" s="172">
        <v>8.9642898783992564E-4</v>
      </c>
    </row>
    <row r="24" spans="10:28" x14ac:dyDescent="0.2">
      <c r="M24" s="171" t="str">
        <v>obj_00891#0001</v>
      </c>
      <c r="N24" s="176" t="str">
        <f>_xll.qlRateHelperQuoteName(M24)</f>
        <v>EUR6x12F_Quote</v>
      </c>
      <c r="O24" s="164">
        <f>_xll.qlRateHelperEarliestDate(M24,Trigger)</f>
        <v>42271</v>
      </c>
      <c r="P24" s="163">
        <f>_xll.qlRateHelperQuoteValue(M24,_xll.ohTrigger(RecalcTrigger,Trigger))</f>
        <v>7.8000000000000009E-4</v>
      </c>
      <c r="Q24" s="163" t="e">
        <f>NA()</f>
        <v>#N/A</v>
      </c>
      <c r="R24" s="164">
        <f>_xll.qlInterestRateIndexFixingDate(IborIndex,O24,_xll.ohTrigger(RecalcTrigger,Trigger))</f>
        <v>42269</v>
      </c>
      <c r="S24" s="164"/>
      <c r="T24" s="163">
        <f>_xll.qlIndexFixing(IborIndex,R24,TRUE,RecalcTrigger)</f>
        <v>7.8000000008706641E-4</v>
      </c>
      <c r="U24" s="216">
        <f t="shared" si="7"/>
        <v>8.7066313360362191E-14</v>
      </c>
      <c r="X24" s="176" t="str">
        <f t="shared" si="8"/>
        <v>1D</v>
      </c>
      <c r="Y24" s="164">
        <f>_xll.qlCalendarAdvance(Calendar,Y23,X24,"f",FALSE)</f>
        <v>42090</v>
      </c>
      <c r="Z24" s="188">
        <f>_xll.qlCalendarAdvance(Calendar,Y24,NDays&amp;"D")</f>
        <v>42094</v>
      </c>
      <c r="AA24" s="163">
        <v>8.4303280948586404E-4</v>
      </c>
      <c r="AB24" s="172">
        <v>2.3714276045261329E-3</v>
      </c>
    </row>
    <row r="25" spans="10:28" x14ac:dyDescent="0.2">
      <c r="M25" s="171" t="str">
        <v>obj_007ee#0001</v>
      </c>
      <c r="N25" s="176" t="str">
        <f>_xll.qlRateHelperQuoteName(M25)</f>
        <v>EUR7x13F_Quote</v>
      </c>
      <c r="O25" s="164">
        <f>_xll.qlRateHelperEarliestDate(M25,Trigger)</f>
        <v>42303</v>
      </c>
      <c r="P25" s="163">
        <f>_xll.qlRateHelperQuoteValue(M25,_xll.ohTrigger(RecalcTrigger,Trigger))</f>
        <v>7.7000000000000018E-4</v>
      </c>
      <c r="Q25" s="163" t="e">
        <f>NA()</f>
        <v>#N/A</v>
      </c>
      <c r="R25" s="164">
        <f>_xll.qlInterestRateIndexFixingDate(IborIndex,O25,_xll.ohTrigger(RecalcTrigger,Trigger))</f>
        <v>42299</v>
      </c>
      <c r="S25" s="164"/>
      <c r="T25" s="163">
        <f>_xll.qlIndexFixing(IborIndex,R25,TRUE,RecalcTrigger)</f>
        <v>7.6999999999973726E-4</v>
      </c>
      <c r="U25" s="216">
        <f t="shared" si="7"/>
        <v>-2.6291902682773483E-16</v>
      </c>
      <c r="X25" s="176" t="str">
        <f t="shared" si="8"/>
        <v>1D</v>
      </c>
      <c r="Y25" s="164">
        <f>_xll.qlCalendarAdvance(Calendar,Y24,X25,"f",FALSE)</f>
        <v>42093</v>
      </c>
      <c r="Z25" s="188">
        <f>_xll.qlCalendarAdvance(Calendar,Y25,NDays&amp;"D")</f>
        <v>42095</v>
      </c>
      <c r="AA25" s="163">
        <v>8.5539873507167014E-4</v>
      </c>
      <c r="AB25" s="172">
        <v>8.9426233170541991E-4</v>
      </c>
    </row>
    <row r="26" spans="10:28" x14ac:dyDescent="0.2">
      <c r="M26" s="171" t="str">
        <v>obj_007df#0001</v>
      </c>
      <c r="N26" s="176" t="str">
        <f>_xll.qlRateHelperQuoteName(M26)</f>
        <v>EUR8x14F_Quote</v>
      </c>
      <c r="O26" s="164">
        <f>_xll.qlRateHelperEarliestDate(M26,Trigger)</f>
        <v>42332</v>
      </c>
      <c r="P26" s="163">
        <f>_xll.qlRateHelperQuoteValue(M26,_xll.ohTrigger(RecalcTrigger,Trigger))</f>
        <v>7.7000000000000018E-4</v>
      </c>
      <c r="Q26" s="163" t="e">
        <f>NA()</f>
        <v>#N/A</v>
      </c>
      <c r="R26" s="164">
        <f>_xll.qlInterestRateIndexFixingDate(IborIndex,O26,_xll.ohTrigger(RecalcTrigger,Trigger))</f>
        <v>42328</v>
      </c>
      <c r="S26" s="164"/>
      <c r="T26" s="163">
        <f>_xll.qlIndexFixing(IborIndex,R26,TRUE,RecalcTrigger)</f>
        <v>7.700000000001692E-4</v>
      </c>
      <c r="U26" s="216">
        <f t="shared" si="7"/>
        <v>1.6902711869049014E-16</v>
      </c>
      <c r="X26" s="176" t="str">
        <f t="shared" si="8"/>
        <v>1D</v>
      </c>
      <c r="Y26" s="164">
        <f>_xll.qlCalendarAdvance(Calendar,Y25,X26,"f",FALSE)</f>
        <v>42094</v>
      </c>
      <c r="Z26" s="188">
        <f>_xll.qlCalendarAdvance(Calendar,Y26,NDays&amp;"D")</f>
        <v>42096</v>
      </c>
      <c r="AA26" s="163">
        <v>8.5558610712964877E-4</v>
      </c>
      <c r="AB26" s="172">
        <v>8.8978897411706726E-4</v>
      </c>
    </row>
    <row r="27" spans="10:28" x14ac:dyDescent="0.2">
      <c r="M27" s="171" t="str">
        <v>obj_00781#0001</v>
      </c>
      <c r="N27" s="176" t="str">
        <f>_xll.qlRateHelperQuoteName(M27)</f>
        <v>EUR9x15F_Quote</v>
      </c>
      <c r="O27" s="164">
        <f>_xll.qlRateHelperEarliestDate(M27,Trigger)</f>
        <v>42362</v>
      </c>
      <c r="P27" s="163">
        <f>_xll.qlRateHelperQuoteValue(M27,_xll.ohTrigger(RecalcTrigger,Trigger))</f>
        <v>7.7000000000000018E-4</v>
      </c>
      <c r="Q27" s="163" t="e">
        <f>NA()</f>
        <v>#N/A</v>
      </c>
      <c r="R27" s="164">
        <f>_xll.qlInterestRateIndexFixingDate(IborIndex,O27,_xll.ohTrigger(RecalcTrigger,Trigger))</f>
        <v>42360</v>
      </c>
      <c r="S27" s="164"/>
      <c r="T27" s="163">
        <f>_xll.qlIndexFixing(IborIndex,R27,TRUE,RecalcTrigger)</f>
        <v>7.7000000000017408E-4</v>
      </c>
      <c r="U27" s="216">
        <f t="shared" si="7"/>
        <v>1.7390602846667491E-16</v>
      </c>
      <c r="X27" s="176" t="str">
        <f t="shared" si="8"/>
        <v>1D</v>
      </c>
      <c r="Y27" s="164">
        <f>_xll.qlCalendarAdvance(Calendar,Y26,X27,"f",FALSE)</f>
        <v>42095</v>
      </c>
      <c r="Z27" s="188">
        <f>_xll.qlCalendarAdvance(Calendar,Y27,NDays&amp;"D")</f>
        <v>42101</v>
      </c>
      <c r="AA27" s="163">
        <v>8.5678468949612076E-4</v>
      </c>
      <c r="AB27" s="172">
        <v>8.8429571353465519E-4</v>
      </c>
    </row>
    <row r="28" spans="10:28" x14ac:dyDescent="0.2">
      <c r="M28" s="171" t="str">
        <v>obj_0081e#0001</v>
      </c>
      <c r="N28" s="176" t="str">
        <f>_xll.qlRateHelperQuoteName(M28)</f>
        <v>EUR10x16F_Quote</v>
      </c>
      <c r="O28" s="164">
        <f>_xll.qlRateHelperEarliestDate(M28,Trigger)</f>
        <v>42394</v>
      </c>
      <c r="P28" s="163">
        <f>_xll.qlRateHelperQuoteValue(M28,_xll.ohTrigger(RecalcTrigger,Trigger))</f>
        <v>7.7000000000000018E-4</v>
      </c>
      <c r="Q28" s="163" t="e">
        <f>NA()</f>
        <v>#N/A</v>
      </c>
      <c r="R28" s="164">
        <f>_xll.qlInterestRateIndexFixingDate(IborIndex,O28,_xll.ohTrigger(RecalcTrigger,Trigger))</f>
        <v>42390</v>
      </c>
      <c r="S28" s="164"/>
      <c r="T28" s="163">
        <f>_xll.qlIndexFixing(IborIndex,R28,TRUE,RecalcTrigger)</f>
        <v>7.700000000001692E-4</v>
      </c>
      <c r="U28" s="216">
        <f t="shared" si="7"/>
        <v>1.6902711869049014E-16</v>
      </c>
      <c r="X28" s="176" t="str">
        <f t="shared" si="8"/>
        <v>1D</v>
      </c>
      <c r="Y28" s="164">
        <f>_xll.qlCalendarAdvance(Calendar,Y27,X28,"f",FALSE)</f>
        <v>42096</v>
      </c>
      <c r="Z28" s="188">
        <f>_xll.qlCalendarAdvance(Calendar,Y28,NDays&amp;"D")</f>
        <v>42102</v>
      </c>
      <c r="AA28" s="163">
        <v>8.5705853398113237E-4</v>
      </c>
      <c r="AB28" s="172">
        <v>8.8212905748008552E-4</v>
      </c>
    </row>
    <row r="29" spans="10:28" x14ac:dyDescent="0.2">
      <c r="M29" s="171" t="str">
        <v>obj_00765#0001</v>
      </c>
      <c r="N29" s="176" t="str">
        <f>_xll.qlRateHelperQuoteName(M29)</f>
        <v>EUR11x17F_Quote</v>
      </c>
      <c r="O29" s="164">
        <f>_xll.qlRateHelperEarliestDate(M29,Trigger)</f>
        <v>42424</v>
      </c>
      <c r="P29" s="163">
        <f>_xll.qlRateHelperQuoteValue(M29,_xll.ohTrigger(RecalcTrigger,Trigger))</f>
        <v>7.8000000000000009E-4</v>
      </c>
      <c r="Q29" s="163" t="e">
        <f>NA()</f>
        <v>#N/A</v>
      </c>
      <c r="R29" s="164">
        <f>_xll.qlInterestRateIndexFixingDate(IborIndex,O29,_xll.ohTrigger(RecalcTrigger,Trigger))</f>
        <v>42422</v>
      </c>
      <c r="S29" s="164"/>
      <c r="T29" s="163">
        <f>_xll.qlIndexFixing(IborIndex,R29,TRUE,RecalcTrigger)</f>
        <v>7.8000000002030666E-4</v>
      </c>
      <c r="U29" s="216">
        <f t="shared" si="7"/>
        <v>2.0306564589567255E-14</v>
      </c>
      <c r="X29" s="176" t="str">
        <f t="shared" si="8"/>
        <v>1D</v>
      </c>
      <c r="Y29" s="164">
        <f>_xll.qlCalendarAdvance(Calendar,Y28,X29,"f",FALSE)</f>
        <v>42101</v>
      </c>
      <c r="Z29" s="188">
        <f>_xll.qlCalendarAdvance(Calendar,Y29,NDays&amp;"D")</f>
        <v>42103</v>
      </c>
      <c r="AA29" s="163">
        <v>8.5733768233103229E-4</v>
      </c>
      <c r="AB29" s="172">
        <v>8.7981795768854454E-4</v>
      </c>
    </row>
    <row r="30" spans="10:28" x14ac:dyDescent="0.2">
      <c r="M30" s="171" t="str">
        <v>obj_00857#0001</v>
      </c>
      <c r="N30" s="176" t="str">
        <f>_xll.qlRateHelperQuoteName(M30)</f>
        <v>EUR12x18F_Quote</v>
      </c>
      <c r="O30" s="164">
        <f>_xll.qlRateHelperEarliestDate(M30,Trigger)</f>
        <v>42453</v>
      </c>
      <c r="P30" s="163">
        <f>_xll.qlRateHelperQuoteValue(M30,_xll.ohTrigger(RecalcTrigger,Trigger))</f>
        <v>8.0000000000000015E-4</v>
      </c>
      <c r="Q30" s="163" t="e">
        <f>NA()</f>
        <v>#N/A</v>
      </c>
      <c r="R30" s="164">
        <f>_xll.qlInterestRateIndexFixingDate(IborIndex,O30,_xll.ohTrigger(RecalcTrigger,Trigger))</f>
        <v>42451</v>
      </c>
      <c r="S30" s="164"/>
      <c r="T30" s="163">
        <f>_xll.qlIndexFixing(IborIndex,R30,TRUE,RecalcTrigger)</f>
        <v>8.0000000000008374E-4</v>
      </c>
      <c r="U30" s="216">
        <f t="shared" si="7"/>
        <v>8.3591987498632392E-17</v>
      </c>
      <c r="X30" s="176" t="str">
        <f t="shared" si="8"/>
        <v>1D</v>
      </c>
      <c r="Y30" s="164">
        <f>_xll.qlCalendarAdvance(Calendar,Y29,X30,"f",FALSE)</f>
        <v>42102</v>
      </c>
      <c r="Z30" s="188">
        <f>_xll.qlCalendarAdvance(Calendar,Y30,NDays&amp;"D")</f>
        <v>42104</v>
      </c>
      <c r="AA30" s="163">
        <v>8.5837838367404059E-4</v>
      </c>
      <c r="AB30" s="172">
        <v>8.7471640432212894E-4</v>
      </c>
    </row>
    <row r="31" spans="10:28" x14ac:dyDescent="0.2">
      <c r="M31" s="171" t="str">
        <v>obj_007d5#0001</v>
      </c>
      <c r="N31" s="176" t="str">
        <f>_xll.qlRateHelperQuoteName(M31)</f>
        <v>EUR13x19F_Quote</v>
      </c>
      <c r="O31" s="164">
        <f>_xll.qlRateHelperEarliestDate(M31,Trigger)</f>
        <v>42485</v>
      </c>
      <c r="P31" s="163">
        <f>_xll.qlRateHelperQuoteValue(M31,_xll.ohTrigger(RecalcTrigger,Trigger))</f>
        <v>8.3000000000000001E-4</v>
      </c>
      <c r="Q31" s="163" t="e">
        <f>NA()</f>
        <v>#N/A</v>
      </c>
      <c r="R31" s="164">
        <f>_xll.qlInterestRateIndexFixingDate(IborIndex,O31,_xll.ohTrigger(RecalcTrigger,Trigger))</f>
        <v>42481</v>
      </c>
      <c r="S31" s="164"/>
      <c r="T31" s="163">
        <f>_xll.qlIndexFixing(IborIndex,R31,TRUE,RecalcTrigger)</f>
        <v>8.3000000000069813E-4</v>
      </c>
      <c r="U31" s="216">
        <f t="shared" si="7"/>
        <v>6.9811777886341631E-16</v>
      </c>
      <c r="X31" s="176" t="str">
        <f t="shared" si="8"/>
        <v>1D</v>
      </c>
      <c r="Y31" s="164">
        <f>_xll.qlCalendarAdvance(Calendar,Y30,X31,"f",FALSE)</f>
        <v>42103</v>
      </c>
      <c r="Z31" s="188">
        <f>_xll.qlCalendarAdvance(Calendar,Y31,NDays&amp;"D")</f>
        <v>42107</v>
      </c>
      <c r="AA31" s="163">
        <v>8.5845526739159275E-4</v>
      </c>
      <c r="AB31" s="172">
        <v>8.6912912115266749E-4</v>
      </c>
    </row>
    <row r="32" spans="10:28" x14ac:dyDescent="0.2">
      <c r="M32" s="171" t="str">
        <v>obj_00780#0001</v>
      </c>
      <c r="N32" s="176" t="str">
        <f>_xll.qlRateHelperQuoteName(M32)</f>
        <v>EUR14x20F_Quote</v>
      </c>
      <c r="O32" s="164">
        <f>_xll.qlRateHelperEarliestDate(M32,Trigger)</f>
        <v>42514</v>
      </c>
      <c r="P32" s="163">
        <f>_xll.qlRateHelperQuoteValue(M32,_xll.ohTrigger(RecalcTrigger,Trigger))</f>
        <v>8.6000000000000009E-4</v>
      </c>
      <c r="Q32" s="163" t="e">
        <f>NA()</f>
        <v>#N/A</v>
      </c>
      <c r="R32" s="164">
        <f>_xll.qlInterestRateIndexFixingDate(IborIndex,O32,_xll.ohTrigger(RecalcTrigger,Trigger))</f>
        <v>42510</v>
      </c>
      <c r="S32" s="164"/>
      <c r="T32" s="163">
        <f>_xll.qlIndexFixing(IborIndex,R32,TRUE,RecalcTrigger)</f>
        <v>8.6000000000016022E-4</v>
      </c>
      <c r="U32" s="216">
        <f t="shared" si="7"/>
        <v>1.60136660876109E-16</v>
      </c>
      <c r="X32" s="176" t="str">
        <f t="shared" si="8"/>
        <v>1D</v>
      </c>
      <c r="Y32" s="164">
        <f>_xll.qlCalendarAdvance(Calendar,Y31,X32,"f",FALSE)</f>
        <v>42104</v>
      </c>
      <c r="Z32" s="188">
        <f>_xll.qlCalendarAdvance(Calendar,Y32,NDays&amp;"D")</f>
        <v>42108</v>
      </c>
      <c r="AA32" s="163">
        <v>8.5872189981308961E-4</v>
      </c>
      <c r="AB32" s="172">
        <v>8.6609580283614207E-4</v>
      </c>
    </row>
    <row r="33" spans="13:28" x14ac:dyDescent="0.2">
      <c r="M33" s="171" t="str">
        <v>obj_00864#0001</v>
      </c>
      <c r="N33" s="176" t="str">
        <f>_xll.qlRateHelperQuoteName(M33)</f>
        <v>EUR15x21F_Quote</v>
      </c>
      <c r="O33" s="164">
        <f>_xll.qlRateHelperEarliestDate(M33,Trigger)</f>
        <v>42545</v>
      </c>
      <c r="P33" s="163">
        <f>_xll.qlRateHelperQuoteValue(M33,_xll.ohTrigger(RecalcTrigger,Trigger))</f>
        <v>8.9999999999999998E-4</v>
      </c>
      <c r="Q33" s="163" t="e">
        <f>NA()</f>
        <v>#N/A</v>
      </c>
      <c r="R33" s="164">
        <f>_xll.qlInterestRateIndexFixingDate(IborIndex,O33,_xll.ohTrigger(RecalcTrigger,Trigger))</f>
        <v>42543</v>
      </c>
      <c r="S33" s="164"/>
      <c r="T33" s="163">
        <f>_xll.qlIndexFixing(IborIndex,R33,TRUE,RecalcTrigger)</f>
        <v>8.999999999998793E-4</v>
      </c>
      <c r="U33" s="216">
        <f t="shared" si="7"/>
        <v>-1.2067170179763664E-16</v>
      </c>
      <c r="X33" s="176" t="str">
        <f t="shared" si="8"/>
        <v>1D</v>
      </c>
      <c r="Y33" s="164">
        <f>_xll.qlCalendarAdvance(Calendar,Y32,X33,"f",FALSE)</f>
        <v>42107</v>
      </c>
      <c r="Z33" s="188">
        <f>_xll.qlCalendarAdvance(Calendar,Y33,NDays&amp;"D")</f>
        <v>42109</v>
      </c>
      <c r="AA33" s="163">
        <v>8.5897822198837781E-4</v>
      </c>
      <c r="AB33" s="172">
        <v>8.6291804078264533E-4</v>
      </c>
    </row>
    <row r="34" spans="13:28" x14ac:dyDescent="0.2">
      <c r="M34" s="171" t="str">
        <v>obj_00830#0001</v>
      </c>
      <c r="N34" s="176" t="str">
        <f>_xll.qlRateHelperQuoteName(M34)</f>
        <v>EUR16x22F_Quote</v>
      </c>
      <c r="O34" s="164">
        <f>_xll.qlRateHelperEarliestDate(M34,Trigger)</f>
        <v>42576</v>
      </c>
      <c r="P34" s="163">
        <f>_xll.qlRateHelperQuoteValue(M34,_xll.ohTrigger(RecalcTrigger,Trigger))</f>
        <v>9.6000000000000002E-4</v>
      </c>
      <c r="Q34" s="163" t="e">
        <f>NA()</f>
        <v>#N/A</v>
      </c>
      <c r="R34" s="164">
        <f>_xll.qlInterestRateIndexFixingDate(IborIndex,O34,_xll.ohTrigger(RecalcTrigger,Trigger))</f>
        <v>42572</v>
      </c>
      <c r="S34" s="164"/>
      <c r="T34" s="163">
        <f>_xll.qlIndexFixing(IborIndex,R34,TRUE,RecalcTrigger)</f>
        <v>9.6000000004034893E-4</v>
      </c>
      <c r="U34" s="216">
        <f t="shared" si="7"/>
        <v>4.0348909109699793E-14</v>
      </c>
      <c r="X34" s="176" t="str">
        <f t="shared" si="8"/>
        <v>1D</v>
      </c>
      <c r="Y34" s="164">
        <f>_xll.qlCalendarAdvance(Calendar,Y33,X34,"f",FALSE)</f>
        <v>42108</v>
      </c>
      <c r="Z34" s="188">
        <f>_xll.qlCalendarAdvance(Calendar,Y34,NDays&amp;"D")</f>
        <v>42110</v>
      </c>
      <c r="AA34" s="163">
        <v>8.5922163156153101E-4</v>
      </c>
      <c r="AB34" s="172">
        <v>8.5959583491224123E-4</v>
      </c>
    </row>
    <row r="35" spans="13:28" x14ac:dyDescent="0.2">
      <c r="M35" s="171" t="str">
        <v>obj_008ba#0001</v>
      </c>
      <c r="N35" s="176" t="str">
        <f>_xll.qlRateHelperQuoteName(M35)</f>
        <v>EUR17x23F_Quote</v>
      </c>
      <c r="O35" s="164">
        <f>_xll.qlRateHelperEarliestDate(M35,Trigger)</f>
        <v>42606</v>
      </c>
      <c r="P35" s="163">
        <f>_xll.qlRateHelperQuoteValue(M35,_xll.ohTrigger(RecalcTrigger,Trigger))</f>
        <v>1.01E-3</v>
      </c>
      <c r="Q35" s="163" t="e">
        <f>NA()</f>
        <v>#N/A</v>
      </c>
      <c r="R35" s="164">
        <f>_xll.qlInterestRateIndexFixingDate(IborIndex,O35,_xll.ohTrigger(RecalcTrigger,Trigger))</f>
        <v>42604</v>
      </c>
      <c r="S35" s="164"/>
      <c r="T35" s="163">
        <f>_xll.qlIndexFixing(IborIndex,R35,TRUE,RecalcTrigger)</f>
        <v>1.0099999999998396E-3</v>
      </c>
      <c r="U35" s="216">
        <f t="shared" si="7"/>
        <v>-1.6046192152785466E-16</v>
      </c>
      <c r="X35" s="176" t="str">
        <f t="shared" si="8"/>
        <v>1D</v>
      </c>
      <c r="Y35" s="164">
        <f>_xll.qlCalendarAdvance(Calendar,Y34,X35,"f",FALSE)</f>
        <v>42109</v>
      </c>
      <c r="Z35" s="188">
        <f>_xll.qlCalendarAdvance(Calendar,Y35,NDays&amp;"D")</f>
        <v>42111</v>
      </c>
      <c r="AA35" s="163">
        <v>8.5979268225153495E-4</v>
      </c>
      <c r="AB35" s="172">
        <v>8.5247196299320649E-4</v>
      </c>
    </row>
    <row r="36" spans="13:28" ht="12" thickBot="1" x14ac:dyDescent="0.25">
      <c r="M36" s="173" t="str">
        <v>obj_007ef#0001</v>
      </c>
      <c r="N36" s="177" t="str">
        <f>_xll.qlRateHelperQuoteName(M36)</f>
        <v>EUR18x24F_Quote</v>
      </c>
      <c r="O36" s="174">
        <f>_xll.qlRateHelperEarliestDate(M36,Trigger)</f>
        <v>42639</v>
      </c>
      <c r="P36" s="190">
        <f>_xll.qlRateHelperQuoteValue(M36,_xll.ohTrigger(RecalcTrigger,Trigger))</f>
        <v>1.0800000000000002E-3</v>
      </c>
      <c r="Q36" s="190" t="e">
        <f>NA()</f>
        <v>#N/A</v>
      </c>
      <c r="R36" s="174">
        <f>_xll.qlInterestRateIndexFixingDate(IborIndex,O36,_xll.ohTrigger(RecalcTrigger,Trigger))</f>
        <v>42635</v>
      </c>
      <c r="S36" s="174"/>
      <c r="T36" s="190">
        <f>_xll.qlIndexFixing(IborIndex,R36,TRUE,RecalcTrigger)</f>
        <v>1.0799999999998723E-3</v>
      </c>
      <c r="U36" s="217">
        <f t="shared" si="7"/>
        <v>-1.2793585635328952E-16</v>
      </c>
      <c r="X36" s="176" t="str">
        <f t="shared" si="8"/>
        <v>1D</v>
      </c>
      <c r="Y36" s="164">
        <f>_xll.qlCalendarAdvance(Calendar,Y35,X36,"f",FALSE)</f>
        <v>42110</v>
      </c>
      <c r="Z36" s="188">
        <f>_xll.qlCalendarAdvance(Calendar,Y36,NDays&amp;"D")</f>
        <v>42114</v>
      </c>
      <c r="AA36" s="163">
        <v>8.6001409666403201E-4</v>
      </c>
      <c r="AB36" s="172">
        <v>8.4486257486027228E-4</v>
      </c>
    </row>
    <row r="37" spans="13:28" ht="12" thickBot="1" x14ac:dyDescent="0.25">
      <c r="N37" s="249"/>
      <c r="X37" s="176" t="str">
        <f t="shared" si="8"/>
        <v>1D</v>
      </c>
      <c r="Y37" s="164">
        <f>_xll.qlCalendarAdvance(Calendar,Y36,X37,"f",FALSE)</f>
        <v>42111</v>
      </c>
      <c r="Z37" s="188">
        <f>_xll.qlCalendarAdvance(Calendar,Y37,NDays&amp;"D")</f>
        <v>42115</v>
      </c>
      <c r="AA37" s="163">
        <v>8.6015390784699084E-4</v>
      </c>
      <c r="AB37" s="172">
        <v>8.408181507046919E-4</v>
      </c>
    </row>
    <row r="38" spans="13:28" x14ac:dyDescent="0.2">
      <c r="M38" s="168" t="s">
        <v>44</v>
      </c>
      <c r="N38" s="168" t="s">
        <v>146</v>
      </c>
      <c r="O38" s="169" t="s">
        <v>37</v>
      </c>
      <c r="P38" s="169" t="s">
        <v>43</v>
      </c>
      <c r="Q38" s="179" t="s">
        <v>141</v>
      </c>
      <c r="R38" s="169" t="s">
        <v>140</v>
      </c>
      <c r="S38" s="169"/>
      <c r="T38" s="169" t="s">
        <v>156</v>
      </c>
      <c r="U38" s="180" t="s">
        <v>145</v>
      </c>
      <c r="X38" s="176" t="str">
        <f t="shared" si="8"/>
        <v>1D</v>
      </c>
      <c r="Y38" s="164">
        <f>_xll.qlCalendarAdvance(Calendar,Y37,X38,"f",FALSE)</f>
        <v>42114</v>
      </c>
      <c r="Z38" s="188">
        <f>_xll.qlCalendarAdvance(Calendar,Y38,NDays&amp;"D")</f>
        <v>42116</v>
      </c>
      <c r="AA38" s="163">
        <v>8.6026519227259989E-4</v>
      </c>
      <c r="AB38" s="172">
        <v>8.366292826522681E-4</v>
      </c>
    </row>
    <row r="39" spans="13:28" x14ac:dyDescent="0.2">
      <c r="M39" s="176" t="str">
        <f t="array" ref="M39:M75">_xll.ohFilter(RateHelpers!B30:B66,IF(ISERROR(RateHelpers!D30:D66),FALSE,TRUE))</f>
        <v>obj_008bc#0001</v>
      </c>
      <c r="N39" s="176" t="str">
        <f>_xll.qlRateHelperQuoteName(M39)</f>
        <v>EURAB6E1Y_Quote</v>
      </c>
      <c r="O39" s="164">
        <f>_xll.qlRateHelperLatestDate(M39,Trigger)</f>
        <v>42453</v>
      </c>
      <c r="P39" s="191">
        <f>_xll.qlRateHelperQuoteValue(M39,_xll.ohTrigger(RecalcTrigger,YieldCurve))</f>
        <v>8.5000000000000006E-4</v>
      </c>
      <c r="Q39" s="193" t="str">
        <f t="shared" ref="Q39:Q75" si="9">SUBSTITUTE(SUBSTITUTE(N39,"_Quote",""),"EURAB6E","")</f>
        <v>1Y</v>
      </c>
      <c r="R39" s="194" t="str">
        <f>_xll.qlEuriborSwap(,"IsdaFixA",Monitor!Q39,YieldCurve,"EurON",,_xll.ohTrigger(Trigger,RecalcTrigger))</f>
        <v>obj_00a14#0001</v>
      </c>
      <c r="S39" s="194"/>
      <c r="T39" s="181">
        <f>_xll.qlIndexFixing(R39,$Y$19,TRUE,Trigger)</f>
        <v>6.5309987048645622E-4</v>
      </c>
      <c r="U39" s="182">
        <f t="shared" ref="U39:U75" si="10">T39-P39</f>
        <v>-1.9690012951354384E-4</v>
      </c>
      <c r="X39" s="176" t="str">
        <f t="shared" si="8"/>
        <v>1D</v>
      </c>
      <c r="Y39" s="164">
        <f>_xll.qlCalendarAdvance(Calendar,Y38,X39,"f",FALSE)</f>
        <v>42115</v>
      </c>
      <c r="Z39" s="188">
        <f>_xll.qlCalendarAdvance(Calendar,Y39,NDays&amp;"D")</f>
        <v>42117</v>
      </c>
      <c r="AA39" s="163">
        <v>8.603453475844959E-4</v>
      </c>
      <c r="AB39" s="172">
        <v>8.3229597110268116E-4</v>
      </c>
    </row>
    <row r="40" spans="13:28" x14ac:dyDescent="0.2">
      <c r="M40" s="176" t="str">
        <v>obj_008b6#0001</v>
      </c>
      <c r="N40" s="176" t="str">
        <f>_xll.qlRateHelperQuoteName(M40)</f>
        <v>EURAB6E15M_Quote</v>
      </c>
      <c r="O40" s="164">
        <f>_xll.qlRateHelperLatestDate(M40,Trigger)</f>
        <v>42545</v>
      </c>
      <c r="P40" s="191">
        <f>_xll.qlRateHelperQuoteValue(M40,_xll.ohTrigger(RecalcTrigger,YieldCurve))</f>
        <v>6.9000000000000008E-4</v>
      </c>
      <c r="Q40" s="193" t="str">
        <f t="shared" si="9"/>
        <v>15M</v>
      </c>
      <c r="R40" s="194" t="str">
        <f>_xll.qlEuriborSwap(,"IsdaFixA",Monitor!Q40,YieldCurve,Discounting,,_xll.ohTrigger(Trigger,RecalcTrigger))</f>
        <v>obj_00a87#0001</v>
      </c>
      <c r="S40" s="194"/>
      <c r="T40" s="181">
        <f>_xll.qlIndexFixing(R40,$Y$19,TRUE,Trigger)</f>
        <v>8.3234870173586333E-4</v>
      </c>
      <c r="U40" s="182">
        <f t="shared" si="10"/>
        <v>1.4234870173586325E-4</v>
      </c>
      <c r="V40" s="165"/>
      <c r="X40" s="176" t="str">
        <f t="shared" si="8"/>
        <v>1D</v>
      </c>
      <c r="Y40" s="164">
        <f>_xll.qlCalendarAdvance(Calendar,Y39,X40,"f",FALSE)</f>
        <v>42116</v>
      </c>
      <c r="Z40" s="188">
        <f>_xll.qlCalendarAdvance(Calendar,Y40,NDays&amp;"D")</f>
        <v>42118</v>
      </c>
      <c r="AA40" s="163">
        <v>8.5999999999980092E-4</v>
      </c>
      <c r="AB40" s="172">
        <v>8.2347511247249372E-4</v>
      </c>
    </row>
    <row r="41" spans="13:28" x14ac:dyDescent="0.2">
      <c r="M41" s="176" t="str">
        <v>obj_0078e#0001</v>
      </c>
      <c r="N41" s="176" t="str">
        <f>_xll.qlRateHelperQuoteName(M41)</f>
        <v>EURAB6E18M_Quote</v>
      </c>
      <c r="O41" s="164">
        <f>_xll.qlRateHelperLatestDate(M41,Trigger)</f>
        <v>42639</v>
      </c>
      <c r="P41" s="191">
        <f>_xll.qlRateHelperQuoteValue(M41,_xll.ohTrigger(RecalcTrigger,YieldCurve))</f>
        <v>8.4000000000000014E-4</v>
      </c>
      <c r="Q41" s="193" t="str">
        <f t="shared" si="9"/>
        <v>18M</v>
      </c>
      <c r="R41" s="194" t="str">
        <f>_xll.qlEuriborSwap(,"IsdaFixA",Monitor!Q41,YieldCurve,Discounting,,_xll.ohTrigger(Trigger,RecalcTrigger))</f>
        <v>obj_00a0b#0001</v>
      </c>
      <c r="S41" s="194"/>
      <c r="T41" s="181">
        <f>_xll.qlIndexFixing(R41,$Y$19,TRUE,Trigger)</f>
        <v>8.3836124686197295E-4</v>
      </c>
      <c r="U41" s="182">
        <f t="shared" si="10"/>
        <v>-1.6387531380271901E-6</v>
      </c>
      <c r="V41" s="165"/>
      <c r="X41" s="176" t="str">
        <f t="shared" si="8"/>
        <v>1D</v>
      </c>
      <c r="Y41" s="164">
        <f>_xll.qlCalendarAdvance(Calendar,Y40,X41,"f",FALSE)</f>
        <v>42117</v>
      </c>
      <c r="Z41" s="188">
        <f>_xll.qlCalendarAdvance(Calendar,Y41,NDays&amp;"D")</f>
        <v>42121</v>
      </c>
      <c r="AA41" s="163">
        <v>8.6029824670523351E-4</v>
      </c>
      <c r="AB41" s="172">
        <v>8.1485587829277506E-4</v>
      </c>
    </row>
    <row r="42" spans="13:28" x14ac:dyDescent="0.2">
      <c r="M42" s="176" t="str">
        <v>obj_008b3#0001</v>
      </c>
      <c r="N42" s="176" t="str">
        <f>_xll.qlRateHelperQuoteName(M42)</f>
        <v>EURAB6E21M_Quote</v>
      </c>
      <c r="O42" s="164">
        <f>_xll.qlRateHelperLatestDate(M42,Trigger)</f>
        <v>42731</v>
      </c>
      <c r="P42" s="191">
        <f>_xll.qlRateHelperQuoteValue(M42,_xll.ohTrigger(RecalcTrigger,YieldCurve))</f>
        <v>7.6000000000000015E-4</v>
      </c>
      <c r="Q42" s="193" t="str">
        <f t="shared" si="9"/>
        <v>21M</v>
      </c>
      <c r="R42" s="194" t="str">
        <f>_xll.qlEuriborSwap(,"IsdaFixA",Monitor!Q42,YieldCurve,Discounting,,_xll.ohTrigger(Trigger,RecalcTrigger))</f>
        <v>obj_00a7e#0001</v>
      </c>
      <c r="S42" s="194"/>
      <c r="T42" s="181">
        <f>_xll.qlIndexFixing(R42,$Y$19,TRUE,Trigger)</f>
        <v>8.5610713343923898E-4</v>
      </c>
      <c r="U42" s="182">
        <f t="shared" si="10"/>
        <v>9.6107133439238832E-5</v>
      </c>
      <c r="V42" s="165"/>
      <c r="X42" s="176" t="str">
        <f t="shared" si="8"/>
        <v>1D</v>
      </c>
      <c r="Y42" s="164">
        <f>_xll.qlCalendarAdvance(Calendar,Y41,X42,"f",FALSE)</f>
        <v>42118</v>
      </c>
      <c r="Z42" s="188">
        <f>_xll.qlCalendarAdvance(Calendar,Y42,NDays&amp;"D")</f>
        <v>42122</v>
      </c>
      <c r="AA42" s="163">
        <v>8.601830744212832E-4</v>
      </c>
      <c r="AB42" s="172">
        <v>8.1066797450901618E-4</v>
      </c>
    </row>
    <row r="43" spans="13:28" x14ac:dyDescent="0.2">
      <c r="M43" s="176" t="str">
        <v>obj_008aa#0001</v>
      </c>
      <c r="N43" s="176" t="str">
        <f>_xll.qlRateHelperQuoteName(M43)</f>
        <v>EURAB6E2Y_Quote</v>
      </c>
      <c r="O43" s="164">
        <f>_xll.qlRateHelperLatestDate(M43,Trigger)</f>
        <v>42818</v>
      </c>
      <c r="P43" s="191">
        <f>_xll.qlRateHelperQuoteValue(M43,_xll.ohTrigger(RecalcTrigger,YieldCurve))</f>
        <v>8.9999999999999998E-4</v>
      </c>
      <c r="Q43" s="193" t="str">
        <f t="shared" si="9"/>
        <v>2Y</v>
      </c>
      <c r="R43" s="194" t="str">
        <f>_xll.qlEuriborSwap(,"IsdaFixA",Monitor!Q43,YieldCurve,Discounting,,_xll.ohTrigger(Trigger,RecalcTrigger))</f>
        <v>obj_00a1f#0001</v>
      </c>
      <c r="S43" s="194"/>
      <c r="T43" s="181">
        <f>_xll.qlIndexFixing(R43,$Y$19,TRUE,Trigger)</f>
        <v>8.9831551080391838E-4</v>
      </c>
      <c r="U43" s="182">
        <f t="shared" si="10"/>
        <v>-1.6844891960815988E-6</v>
      </c>
      <c r="V43" s="185" t="s">
        <v>147</v>
      </c>
      <c r="X43" s="176" t="str">
        <f t="shared" si="8"/>
        <v>1D</v>
      </c>
      <c r="Y43" s="164">
        <f>_xll.qlCalendarAdvance(Calendar,Y42,X43,"f",FALSE)</f>
        <v>42121</v>
      </c>
      <c r="Z43" s="188">
        <f>_xll.qlCalendarAdvance(Calendar,Y43,NDays&amp;"D")</f>
        <v>42123</v>
      </c>
      <c r="AA43" s="163">
        <v>8.6002784267775827E-4</v>
      </c>
      <c r="AB43" s="172">
        <v>8.0655253348105305E-4</v>
      </c>
    </row>
    <row r="44" spans="13:28" x14ac:dyDescent="0.2">
      <c r="M44" s="176" t="str">
        <v>obj_00894#0001</v>
      </c>
      <c r="N44" s="176" t="str">
        <f>_xll.qlRateHelperQuoteName(M44)</f>
        <v>EURAB6E3Y_Quote</v>
      </c>
      <c r="O44" s="164">
        <f>_xll.qlRateHelperLatestDate(M44,Trigger)</f>
        <v>43185</v>
      </c>
      <c r="P44" s="191">
        <f>_xll.qlRateHelperQuoteValue(M44,_xll.ohTrigger(RecalcTrigger,YieldCurve))</f>
        <v>1.2999999999999999E-3</v>
      </c>
      <c r="Q44" s="193" t="str">
        <f t="shared" si="9"/>
        <v>3Y</v>
      </c>
      <c r="R44" s="194" t="str">
        <f>_xll.qlEuriborSwap(,"IsdaFixA",Monitor!Q44,YieldCurve,Discounting,,_xll.ohTrigger(Trigger,RecalcTrigger))</f>
        <v>obj_00a13#0001</v>
      </c>
      <c r="S44" s="194"/>
      <c r="T44" s="181">
        <f>_xll.qlIndexFixing(R44,$Y$19,TRUE,Trigger)</f>
        <v>1.3000000001543166E-3</v>
      </c>
      <c r="U44" s="182">
        <f t="shared" si="10"/>
        <v>1.5431666361420682E-13</v>
      </c>
      <c r="V44" s="208">
        <f t="array" ref="V44">MAX(ABS(U44:U75))</f>
        <v>1.2254339789376928E-5</v>
      </c>
      <c r="X44" s="176" t="str">
        <f t="shared" si="8"/>
        <v>1D</v>
      </c>
      <c r="Y44" s="164">
        <f>_xll.qlCalendarAdvance(Calendar,Y43,X44,"f",FALSE)</f>
        <v>42122</v>
      </c>
      <c r="Z44" s="188">
        <f>_xll.qlCalendarAdvance(Calendar,Y44,NDays&amp;"D")</f>
        <v>42124</v>
      </c>
      <c r="AA44" s="163">
        <v>8.5983447681410932E-4</v>
      </c>
      <c r="AB44" s="172">
        <v>1.7236466429149111E-3</v>
      </c>
    </row>
    <row r="45" spans="13:28" x14ac:dyDescent="0.2">
      <c r="M45" s="176" t="str">
        <v>obj_008bd#0001</v>
      </c>
      <c r="N45" s="176" t="str">
        <f>_xll.qlRateHelperQuoteName(M45)</f>
        <v>EURAB6E4Y_Quote</v>
      </c>
      <c r="O45" s="164">
        <f>_xll.qlRateHelperLatestDate(M45,Trigger)</f>
        <v>43549</v>
      </c>
      <c r="P45" s="191">
        <f>_xll.qlRateHelperQuoteValue(M45,_xll.ohTrigger(RecalcTrigger,YieldCurve))</f>
        <v>1.89E-3</v>
      </c>
      <c r="Q45" s="193" t="str">
        <f t="shared" si="9"/>
        <v>4Y</v>
      </c>
      <c r="R45" s="194" t="str">
        <f>_xll.qlEuriborSwap(,"IsdaFixA",Monitor!Q45,YieldCurve,Discounting,,_xll.ohTrigger(Trigger,RecalcTrigger))</f>
        <v>obj_00a23#0001</v>
      </c>
      <c r="S45" s="194"/>
      <c r="T45" s="181">
        <f>_xll.qlIndexFixing(R45,$Y$19,TRUE,Trigger)</f>
        <v>1.88999999957828E-3</v>
      </c>
      <c r="U45" s="182">
        <f t="shared" si="10"/>
        <v>-4.2171995062734169E-13</v>
      </c>
      <c r="V45" s="165"/>
      <c r="X45" s="176" t="str">
        <f t="shared" si="8"/>
        <v>1D</v>
      </c>
      <c r="Y45" s="164">
        <f>_xll.qlCalendarAdvance(Calendar,Y44,X45,"f",FALSE)</f>
        <v>42123</v>
      </c>
      <c r="Z45" s="188">
        <f>_xll.qlCalendarAdvance(Calendar,Y45,NDays&amp;"D")</f>
        <v>42128</v>
      </c>
      <c r="AA45" s="163">
        <v>8.6091348919618545E-4</v>
      </c>
      <c r="AB45" s="172">
        <v>7.870622710370867E-4</v>
      </c>
    </row>
    <row r="46" spans="13:28" x14ac:dyDescent="0.2">
      <c r="M46" s="176" t="str">
        <v>obj_008ad#0001</v>
      </c>
      <c r="N46" s="176" t="str">
        <f>_xll.qlRateHelperQuoteName(M46)</f>
        <v>EURAB6E5Y_Quote</v>
      </c>
      <c r="O46" s="164">
        <f>_xll.qlRateHelperLatestDate(M46,Trigger)</f>
        <v>43914</v>
      </c>
      <c r="P46" s="191">
        <f>_xll.qlRateHelperQuoteValue(M46,_xll.ohTrigger(RecalcTrigger,YieldCurve))</f>
        <v>2.5300000000000001E-3</v>
      </c>
      <c r="Q46" s="193" t="str">
        <f t="shared" si="9"/>
        <v>5Y</v>
      </c>
      <c r="R46" s="194" t="str">
        <f>_xll.qlEuriborSwap(,"IsdaFixA",Monitor!Q46,YieldCurve,Discounting,,_xll.ohTrigger(Trigger,RecalcTrigger))</f>
        <v>obj_00a08#0001</v>
      </c>
      <c r="S46" s="194"/>
      <c r="T46" s="181">
        <f>_xll.qlIndexFixing(R46,$Y$19,TRUE,Trigger)</f>
        <v>2.5299999999997777E-3</v>
      </c>
      <c r="U46" s="182">
        <f t="shared" si="10"/>
        <v>-2.2247828579402551E-16</v>
      </c>
      <c r="V46" s="165"/>
      <c r="X46" s="176" t="str">
        <f t="shared" si="8"/>
        <v>1D</v>
      </c>
      <c r="Y46" s="164">
        <f>_xll.qlCalendarAdvance(Calendar,Y45,X46,"f",FALSE)</f>
        <v>42124</v>
      </c>
      <c r="Z46" s="188">
        <f>_xll.qlCalendarAdvance(Calendar,Y46,NDays&amp;"D")</f>
        <v>42129</v>
      </c>
      <c r="AA46" s="163">
        <v>8.6051381168813937E-4</v>
      </c>
      <c r="AB46" s="172">
        <v>7.8338160702351445E-4</v>
      </c>
    </row>
    <row r="47" spans="13:28" x14ac:dyDescent="0.2">
      <c r="M47" s="176" t="str">
        <v>obj_0089c#0001</v>
      </c>
      <c r="N47" s="176" t="str">
        <f>_xll.qlRateHelperQuoteName(M47)</f>
        <v>EURAB6E6Y_Quote</v>
      </c>
      <c r="O47" s="164">
        <f>_xll.qlRateHelperLatestDate(M47,Trigger)</f>
        <v>44279</v>
      </c>
      <c r="P47" s="191">
        <f>_xll.qlRateHelperQuoteValue(M47,_xll.ohTrigger(RecalcTrigger,YieldCurve))</f>
        <v>3.1799999999999997E-3</v>
      </c>
      <c r="Q47" s="193" t="str">
        <f t="shared" si="9"/>
        <v>6Y</v>
      </c>
      <c r="R47" s="194" t="str">
        <f>_xll.qlEuriborSwap(,"IsdaFixA",Monitor!Q47,YieldCurve,Discounting,,_xll.ohTrigger(Trigger,RecalcTrigger))</f>
        <v>obj_00a20#0001</v>
      </c>
      <c r="S47" s="194"/>
      <c r="T47" s="181">
        <f>_xll.qlIndexFixing(R47,$Y$19,TRUE,Trigger)</f>
        <v>3.1800000000598142E-3</v>
      </c>
      <c r="U47" s="182">
        <f t="shared" si="10"/>
        <v>5.9814566494287291E-14</v>
      </c>
      <c r="V47" s="165"/>
      <c r="X47" s="176" t="str">
        <f t="shared" si="8"/>
        <v>1D</v>
      </c>
      <c r="Y47" s="164">
        <f>_xll.qlCalendarAdvance(Calendar,Y46,X47,"f",FALSE)</f>
        <v>42128</v>
      </c>
      <c r="Z47" s="188">
        <f>_xll.qlCalendarAdvance(Calendar,Y47,NDays&amp;"D")</f>
        <v>42130</v>
      </c>
      <c r="AA47" s="163">
        <v>8.6009000536810146E-4</v>
      </c>
      <c r="AB47" s="172">
        <v>7.7977340584567401E-4</v>
      </c>
    </row>
    <row r="48" spans="13:28" x14ac:dyDescent="0.2">
      <c r="M48" s="176" t="str">
        <v>obj_00896#0001</v>
      </c>
      <c r="N48" s="176" t="str">
        <f>_xll.qlRateHelperQuoteName(M48)</f>
        <v>EURAB6E7Y_Quote</v>
      </c>
      <c r="O48" s="164">
        <f>_xll.qlRateHelperLatestDate(M48,Trigger)</f>
        <v>44644</v>
      </c>
      <c r="P48" s="191">
        <f>_xll.qlRateHelperQuoteValue(M48,_xll.ohTrigger(RecalcTrigger,YieldCurve))</f>
        <v>3.8E-3</v>
      </c>
      <c r="Q48" s="193" t="str">
        <f t="shared" si="9"/>
        <v>7Y</v>
      </c>
      <c r="R48" s="194" t="str">
        <f>_xll.qlEuriborSwap(,"IsdaFixA",Monitor!Q48,YieldCurve,Discounting,,_xll.ohTrigger(Trigger,RecalcTrigger))</f>
        <v>obj_00a6f#0001</v>
      </c>
      <c r="S48" s="194"/>
      <c r="T48" s="181">
        <f>_xll.qlIndexFixing(R48,$Y$19,TRUE,Trigger)</f>
        <v>3.7999999999998877E-3</v>
      </c>
      <c r="U48" s="182">
        <f t="shared" si="10"/>
        <v>-1.1232334506949826E-16</v>
      </c>
      <c r="V48" s="165"/>
      <c r="X48" s="176" t="str">
        <f t="shared" si="8"/>
        <v>1D</v>
      </c>
      <c r="Y48" s="164">
        <f>_xll.qlCalendarAdvance(Calendar,Y47,X48,"f",FALSE)</f>
        <v>42129</v>
      </c>
      <c r="Z48" s="188">
        <f>_xll.qlCalendarAdvance(Calendar,Y48,NDays&amp;"D")</f>
        <v>42131</v>
      </c>
      <c r="AA48" s="163">
        <v>8.5779139058151169E-4</v>
      </c>
      <c r="AB48" s="172">
        <v>7.7623766750356538E-4</v>
      </c>
    </row>
    <row r="49" spans="10:28" x14ac:dyDescent="0.2">
      <c r="J49" s="186" t="b">
        <v>1</v>
      </c>
      <c r="M49" s="176" t="str">
        <v>obj_008b7#0001</v>
      </c>
      <c r="N49" s="176" t="str">
        <f>_xll.qlRateHelperQuoteName(M49)</f>
        <v>EURAB6E8Y_Quote</v>
      </c>
      <c r="O49" s="164">
        <f>_xll.qlRateHelperLatestDate(M49,Trigger)</f>
        <v>45009</v>
      </c>
      <c r="P49" s="191">
        <f>_xll.qlRateHelperQuoteValue(M49,_xll.ohTrigger(RecalcTrigger,YieldCurve))</f>
        <v>4.4099999999999999E-3</v>
      </c>
      <c r="Q49" s="193" t="str">
        <f t="shared" si="9"/>
        <v>8Y</v>
      </c>
      <c r="R49" s="194" t="str">
        <f>_xll.qlEuriborSwap(,"IsdaFixA",Monitor!Q49,YieldCurve,Discounting,,_xll.ohTrigger(Trigger,RecalcTrigger))</f>
        <v>obj_00a0f#0001</v>
      </c>
      <c r="S49" s="194"/>
      <c r="T49" s="181">
        <f>_xll.qlIndexFixing(R49,$Y$19,TRUE,Trigger)</f>
        <v>4.4099999999986554E-3</v>
      </c>
      <c r="U49" s="182">
        <f t="shared" si="10"/>
        <v>-1.3444106938820255E-15</v>
      </c>
      <c r="V49" s="165"/>
      <c r="X49" s="176" t="str">
        <f t="shared" si="8"/>
        <v>1D</v>
      </c>
      <c r="Y49" s="164">
        <f>_xll.qlCalendarAdvance(Calendar,Y48,X49,"f",FALSE)</f>
        <v>42130</v>
      </c>
      <c r="Z49" s="188">
        <f>_xll.qlCalendarAdvance(Calendar,Y49,NDays&amp;"D")</f>
        <v>42132</v>
      </c>
      <c r="AA49" s="163">
        <v>8.5823037098739291E-4</v>
      </c>
      <c r="AB49" s="172">
        <v>7.6940937794311992E-4</v>
      </c>
    </row>
    <row r="50" spans="10:28" x14ac:dyDescent="0.2">
      <c r="M50" s="176" t="str">
        <v>obj_008bf#0001</v>
      </c>
      <c r="N50" s="176" t="str">
        <f>_xll.qlRateHelperQuoteName(M50)</f>
        <v>EURAB6E9Y_Quote</v>
      </c>
      <c r="O50" s="164">
        <f>_xll.qlRateHelperLatestDate(M50,Trigger)</f>
        <v>45376</v>
      </c>
      <c r="P50" s="191">
        <f>_xll.qlRateHelperQuoteValue(M50,_xll.ohTrigger(RecalcTrigger,YieldCurve))</f>
        <v>4.9899999999999996E-3</v>
      </c>
      <c r="Q50" s="193" t="str">
        <f t="shared" si="9"/>
        <v>9Y</v>
      </c>
      <c r="R50" s="194" t="str">
        <f>_xll.qlEuriborSwap(,"IsdaFixA",Monitor!Q50,YieldCurve,Discounting,,_xll.ohTrigger(Trigger,RecalcTrigger))</f>
        <v>obj_00a55#0001</v>
      </c>
      <c r="S50" s="194"/>
      <c r="T50" s="181">
        <f>_xll.qlIndexFixing(R50,$Y$19,TRUE,Trigger)</f>
        <v>4.9900000000665376E-3</v>
      </c>
      <c r="U50" s="182">
        <f t="shared" si="10"/>
        <v>6.6537921006304401E-14</v>
      </c>
      <c r="V50" s="165"/>
      <c r="X50" s="176" t="str">
        <f t="shared" si="8"/>
        <v>1D</v>
      </c>
      <c r="Y50" s="164">
        <f>_xll.qlCalendarAdvance(Calendar,Y49,X50,"f",FALSE)</f>
        <v>42131</v>
      </c>
      <c r="Z50" s="188">
        <f>_xll.qlCalendarAdvance(Calendar,Y50,NDays&amp;"D")</f>
        <v>42135</v>
      </c>
      <c r="AA50" s="163">
        <v>8.576760625515949E-4</v>
      </c>
      <c r="AB50" s="172">
        <v>7.6281934233257687E-4</v>
      </c>
    </row>
    <row r="51" spans="10:28" x14ac:dyDescent="0.2">
      <c r="M51" s="176" t="str">
        <v>obj_008ac#0001</v>
      </c>
      <c r="N51" s="176" t="str">
        <f>_xll.qlRateHelperQuoteName(M51)</f>
        <v>EURAB6E10Y_Quote</v>
      </c>
      <c r="O51" s="164">
        <f>_xll.qlRateHelperLatestDate(M51,Trigger)</f>
        <v>45740</v>
      </c>
      <c r="P51" s="191">
        <f>_xll.qlRateHelperQuoteValue(M51,_xll.ohTrigger(RecalcTrigger,YieldCurve))</f>
        <v>5.5000000000000005E-3</v>
      </c>
      <c r="Q51" s="193" t="str">
        <f t="shared" si="9"/>
        <v>10Y</v>
      </c>
      <c r="R51" s="194" t="str">
        <f>_xll.qlEuriborSwap(,"IsdaFixA",Monitor!Q51,YieldCurve,Discounting,,_xll.ohTrigger(Trigger,RecalcTrigger))</f>
        <v>obj_00a0c#0001</v>
      </c>
      <c r="S51" s="194"/>
      <c r="T51" s="181">
        <f>_xll.qlIndexFixing(R51,$Y$19,TRUE,Trigger)</f>
        <v>5.5000000000604548E-3</v>
      </c>
      <c r="U51" s="182">
        <f t="shared" si="10"/>
        <v>6.0454245776053739E-14</v>
      </c>
      <c r="V51" s="165"/>
      <c r="X51" s="176" t="str">
        <f t="shared" si="8"/>
        <v>1D</v>
      </c>
      <c r="Y51" s="164">
        <f>_xll.qlCalendarAdvance(Calendar,Y50,X51,"f",FALSE)</f>
        <v>42132</v>
      </c>
      <c r="Z51" s="188">
        <f>_xll.qlCalendarAdvance(Calendar,Y51,NDays&amp;"D")</f>
        <v>42136</v>
      </c>
      <c r="AA51" s="163">
        <v>8.571476959185404E-4</v>
      </c>
      <c r="AB51" s="172">
        <v>7.5964591800925518E-4</v>
      </c>
    </row>
    <row r="52" spans="10:28" x14ac:dyDescent="0.2">
      <c r="M52" s="176" t="str">
        <v>obj_008af#0001</v>
      </c>
      <c r="N52" s="176" t="str">
        <f>_xll.qlRateHelperQuoteName(M52)</f>
        <v>EURAB6E11Y_Quote</v>
      </c>
      <c r="O52" s="164">
        <f>_xll.qlRateHelperLatestDate(M52,Trigger)</f>
        <v>46105</v>
      </c>
      <c r="P52" s="191">
        <f>_xll.qlRateHelperQuoteValue(M52,_xll.ohTrigger(RecalcTrigger,YieldCurve))</f>
        <v>5.96E-3</v>
      </c>
      <c r="Q52" s="193" t="str">
        <f t="shared" si="9"/>
        <v>11Y</v>
      </c>
      <c r="R52" s="194" t="str">
        <f>_xll.qlEuriborSwap(,"IsdaFixA",Monitor!Q52,YieldCurve,Discounting,,_xll.ohTrigger(Trigger,RecalcTrigger))</f>
        <v>obj_00a37#0001</v>
      </c>
      <c r="S52" s="194"/>
      <c r="T52" s="181">
        <f>_xll.qlIndexFixing(R52,$Y$19,TRUE,Trigger)</f>
        <v>5.9606915500347831E-3</v>
      </c>
      <c r="U52" s="182">
        <f t="shared" si="10"/>
        <v>6.9155003478305749E-7</v>
      </c>
      <c r="V52" s="165"/>
      <c r="X52" s="176" t="str">
        <f t="shared" si="8"/>
        <v>1D</v>
      </c>
      <c r="Y52" s="164">
        <f>_xll.qlCalendarAdvance(Calendar,Y51,X52,"f",FALSE)</f>
        <v>42135</v>
      </c>
      <c r="Z52" s="188">
        <f>_xll.qlCalendarAdvance(Calendar,Y52,NDays&amp;"D")</f>
        <v>42137</v>
      </c>
      <c r="AA52" s="163">
        <v>8.5660860464648297E-4</v>
      </c>
      <c r="AB52" s="172">
        <v>7.5654495660160137E-4</v>
      </c>
    </row>
    <row r="53" spans="10:28" x14ac:dyDescent="0.2">
      <c r="M53" s="176" t="str">
        <v>obj_008b2#0001</v>
      </c>
      <c r="N53" s="176" t="str">
        <f>_xll.qlRateHelperQuoteName(M53)</f>
        <v>EURAB6E12Y_Quote</v>
      </c>
      <c r="O53" s="164">
        <f>_xll.qlRateHelperLatestDate(M53,Trigger)</f>
        <v>46470</v>
      </c>
      <c r="P53" s="191">
        <f>_xll.qlRateHelperQuoteValue(M53,_xll.ohTrigger(RecalcTrigger,YieldCurve))</f>
        <v>6.3699999999999998E-3</v>
      </c>
      <c r="Q53" s="193" t="str">
        <f t="shared" si="9"/>
        <v>12Y</v>
      </c>
      <c r="R53" s="194" t="str">
        <f>_xll.qlEuriborSwap(,"IsdaFixA",Monitor!Q53,YieldCurve,Discounting,,_xll.ohTrigger(Trigger,RecalcTrigger))</f>
        <v>obj_00ab6#0001</v>
      </c>
      <c r="S53" s="194"/>
      <c r="T53" s="181">
        <f>_xll.qlIndexFixing(R53,$Y$19,TRUE,Trigger)</f>
        <v>6.3699999999988401E-3</v>
      </c>
      <c r="U53" s="182">
        <f t="shared" si="10"/>
        <v>-1.1596626436904955E-15</v>
      </c>
      <c r="V53" s="165"/>
      <c r="X53" s="176" t="str">
        <f t="shared" si="8"/>
        <v>1D</v>
      </c>
      <c r="Y53" s="164">
        <f>_xll.qlCalendarAdvance(Calendar,Y52,X53,"f",FALSE)</f>
        <v>42136</v>
      </c>
      <c r="Z53" s="188">
        <f>_xll.qlCalendarAdvance(Calendar,Y53,NDays&amp;"D")</f>
        <v>42138</v>
      </c>
      <c r="AA53" s="163">
        <v>8.538431394176523E-4</v>
      </c>
      <c r="AB53" s="172">
        <v>7.5351645802967937E-4</v>
      </c>
    </row>
    <row r="54" spans="10:28" x14ac:dyDescent="0.2">
      <c r="M54" s="176" t="str">
        <v>obj_00892#0001</v>
      </c>
      <c r="N54" s="176" t="str">
        <f>_xll.qlRateHelperQuoteName(M54)</f>
        <v>EURAB6E13Y_Quote</v>
      </c>
      <c r="O54" s="164">
        <f>_xll.qlRateHelperLatestDate(M54,Trigger)</f>
        <v>46836</v>
      </c>
      <c r="P54" s="191">
        <f>_xll.qlRateHelperQuoteValue(M54,_xll.ohTrigger(RecalcTrigger,YieldCurve))</f>
        <v>6.7400000000000003E-3</v>
      </c>
      <c r="Q54" s="193" t="str">
        <f t="shared" si="9"/>
        <v>13Y</v>
      </c>
      <c r="R54" s="194" t="str">
        <f>_xll.qlEuriborSwap(,"IsdaFixA",Monitor!Q54,YieldCurve,Discounting,,_xll.ohTrigger(Trigger,RecalcTrigger))</f>
        <v>obj_00a1a#0001</v>
      </c>
      <c r="S54" s="194"/>
      <c r="T54" s="181">
        <f>_xll.qlIndexFixing(R54,$Y$19,TRUE,Trigger)</f>
        <v>6.7277456602106234E-3</v>
      </c>
      <c r="U54" s="182">
        <f t="shared" si="10"/>
        <v>-1.2254339789376928E-5</v>
      </c>
      <c r="V54" s="165"/>
      <c r="X54" s="176" t="str">
        <f t="shared" si="8"/>
        <v>1D</v>
      </c>
      <c r="Y54" s="164">
        <f>_xll.qlCalendarAdvance(Calendar,Y53,X54,"f",FALSE)</f>
        <v>42137</v>
      </c>
      <c r="Z54" s="188">
        <f>_xll.qlCalendarAdvance(Calendar,Y54,NDays&amp;"D")</f>
        <v>42139</v>
      </c>
      <c r="AA54" s="163">
        <v>8.5438365749219655E-4</v>
      </c>
      <c r="AB54" s="172">
        <v>7.4770255632294891E-4</v>
      </c>
    </row>
    <row r="55" spans="10:28" x14ac:dyDescent="0.2">
      <c r="M55" s="176" t="str">
        <v>obj_008b8#0001</v>
      </c>
      <c r="N55" s="176" t="str">
        <f>_xll.qlRateHelperQuoteName(M55)</f>
        <v>EURAB6E14Y_Quote</v>
      </c>
      <c r="O55" s="164">
        <f>_xll.qlRateHelperLatestDate(M55,Trigger)</f>
        <v>47203</v>
      </c>
      <c r="P55" s="191">
        <f>_xll.qlRateHelperQuoteValue(M55,_xll.ohTrigger(RecalcTrigger,YieldCurve))</f>
        <v>7.0399999999999994E-3</v>
      </c>
      <c r="Q55" s="193" t="str">
        <f t="shared" si="9"/>
        <v>14Y</v>
      </c>
      <c r="R55" s="194" t="str">
        <f>_xll.qlEuriborSwap(,"IsdaFixA",Monitor!Q55,YieldCurve,Discounting,,_xll.ohTrigger(Trigger,RecalcTrigger))</f>
        <v>obj_00a17#0001</v>
      </c>
      <c r="S55" s="194"/>
      <c r="T55" s="181">
        <f>_xll.qlIndexFixing(R55,$Y$19,TRUE,Trigger)</f>
        <v>7.0363244192471206E-3</v>
      </c>
      <c r="U55" s="182">
        <f t="shared" si="10"/>
        <v>-3.6755807528788056E-6</v>
      </c>
      <c r="V55" s="165"/>
      <c r="X55" s="176" t="str">
        <f t="shared" si="8"/>
        <v>1D</v>
      </c>
      <c r="Y55" s="164">
        <f>_xll.qlCalendarAdvance(Calendar,Y54,X55,"f",FALSE)</f>
        <v>42138</v>
      </c>
      <c r="Z55" s="188">
        <f>_xll.qlCalendarAdvance(Calendar,Y55,NDays&amp;"D")</f>
        <v>42142</v>
      </c>
      <c r="AA55" s="163">
        <v>8.5381929925895065E-4</v>
      </c>
      <c r="AB55" s="172">
        <v>7.4212709145982103E-4</v>
      </c>
    </row>
    <row r="56" spans="10:28" x14ac:dyDescent="0.2">
      <c r="M56" s="176" t="str">
        <v>obj_008a7#0001</v>
      </c>
      <c r="N56" s="176" t="str">
        <f>_xll.qlRateHelperQuoteName(M56)</f>
        <v>EURAB6E15Y_Quote</v>
      </c>
      <c r="O56" s="164">
        <f>_xll.qlRateHelperLatestDate(M56,Trigger)</f>
        <v>47567</v>
      </c>
      <c r="P56" s="191">
        <f>_xll.qlRateHelperQuoteValue(M56,_xll.ohTrigger(RecalcTrigger,YieldCurve))</f>
        <v>7.3000000000000001E-3</v>
      </c>
      <c r="Q56" s="193" t="str">
        <f t="shared" si="9"/>
        <v>15Y</v>
      </c>
      <c r="R56" s="194" t="str">
        <f>_xll.qlEuriborSwap(,"IsdaFixA",Monitor!Q56,YieldCurve,Discounting,,_xll.ohTrigger(Trigger,RecalcTrigger))</f>
        <v>obj_00a1c#0001</v>
      </c>
      <c r="S56" s="194"/>
      <c r="T56" s="181">
        <f>_xll.qlIndexFixing(R56,$Y$19,TRUE,Trigger)</f>
        <v>7.3000000000048816E-3</v>
      </c>
      <c r="U56" s="182">
        <f t="shared" si="10"/>
        <v>4.8815118613987352E-15</v>
      </c>
      <c r="V56" s="165"/>
      <c r="X56" s="176" t="str">
        <f t="shared" si="8"/>
        <v>1D</v>
      </c>
      <c r="Y56" s="164">
        <f>_xll.qlCalendarAdvance(Calendar,Y55,X56,"f",FALSE)</f>
        <v>42139</v>
      </c>
      <c r="Z56" s="188">
        <f>_xll.qlCalendarAdvance(Calendar,Y56,NDays&amp;"D")</f>
        <v>42143</v>
      </c>
      <c r="AA56" s="163">
        <v>8.5325607245940354E-4</v>
      </c>
      <c r="AB56" s="172">
        <v>7.3946090690668598E-4</v>
      </c>
    </row>
    <row r="57" spans="10:28" x14ac:dyDescent="0.2">
      <c r="M57" s="176" t="str">
        <v>obj_008a6#0001</v>
      </c>
      <c r="N57" s="176" t="str">
        <f>_xll.qlRateHelperQuoteName(M57)</f>
        <v>EURAB6E16Y_Quote</v>
      </c>
      <c r="O57" s="164">
        <f>_xll.qlRateHelperLatestDate(M57,Trigger)</f>
        <v>47931</v>
      </c>
      <c r="P57" s="191">
        <f>_xll.qlRateHelperQuoteValue(M57,_xll.ohTrigger(RecalcTrigger,YieldCurve))</f>
        <v>7.5199999999999998E-3</v>
      </c>
      <c r="Q57" s="193" t="str">
        <f t="shared" si="9"/>
        <v>16Y</v>
      </c>
      <c r="R57" s="194" t="str">
        <f>_xll.qlEuriborSwap(,"IsdaFixA",Monitor!Q57,YieldCurve,Discounting,,_xll.ohTrigger(Trigger,RecalcTrigger))</f>
        <v>obj_00a68#0001</v>
      </c>
      <c r="S57" s="194"/>
      <c r="T57" s="181">
        <f>_xll.qlIndexFixing(R57,$Y$19,TRUE,Trigger)</f>
        <v>7.5262658693324878E-3</v>
      </c>
      <c r="U57" s="182">
        <f t="shared" si="10"/>
        <v>6.2658693324880305E-6</v>
      </c>
      <c r="V57" s="165"/>
      <c r="X57" s="176" t="str">
        <f t="shared" si="8"/>
        <v>1D</v>
      </c>
      <c r="Y57" s="164">
        <f>_xll.qlCalendarAdvance(Calendar,Y56,X57,"f",FALSE)</f>
        <v>42142</v>
      </c>
      <c r="Z57" s="188">
        <f>_xll.qlCalendarAdvance(Calendar,Y57,NDays&amp;"D")</f>
        <v>42144</v>
      </c>
      <c r="AA57" s="163">
        <v>8.5269552510261113E-4</v>
      </c>
      <c r="AB57" s="172">
        <v>7.3686718510934668E-4</v>
      </c>
    </row>
    <row r="58" spans="10:28" x14ac:dyDescent="0.2">
      <c r="M58" s="176" t="str">
        <v>obj_00897#0001</v>
      </c>
      <c r="N58" s="176" t="str">
        <f>_xll.qlRateHelperQuoteName(M58)</f>
        <v>EURAB6E17Y_Quote</v>
      </c>
      <c r="O58" s="164">
        <f>_xll.qlRateHelperLatestDate(M58,Trigger)</f>
        <v>48297</v>
      </c>
      <c r="P58" s="191">
        <f>_xll.qlRateHelperQuoteValue(M58,_xll.ohTrigger(RecalcTrigger,YieldCurve))</f>
        <v>7.729999999999999E-3</v>
      </c>
      <c r="Q58" s="193" t="str">
        <f t="shared" si="9"/>
        <v>17Y</v>
      </c>
      <c r="R58" s="194" t="str">
        <f>_xll.qlEuriborSwap(,"IsdaFixA",Monitor!Q58,YieldCurve,Discounting,,_xll.ohTrigger(Trigger,RecalcTrigger))</f>
        <v>obj_00a59#0001</v>
      </c>
      <c r="S58" s="194"/>
      <c r="T58" s="181">
        <f>_xll.qlIndexFixing(R58,$Y$19,TRUE,Trigger)</f>
        <v>7.722872055257804E-3</v>
      </c>
      <c r="U58" s="182">
        <f t="shared" si="10"/>
        <v>-7.1279447421950665E-6</v>
      </c>
      <c r="V58" s="165"/>
      <c r="X58" s="176" t="str">
        <f t="shared" si="8"/>
        <v>1D</v>
      </c>
      <c r="Y58" s="164">
        <f>_xll.qlCalendarAdvance(Calendar,Y57,X58,"f",FALSE)</f>
        <v>42143</v>
      </c>
      <c r="Z58" s="188">
        <f>_xll.qlCalendarAdvance(Calendar,Y58,NDays&amp;"D")</f>
        <v>42145</v>
      </c>
      <c r="AA58" s="163">
        <v>8.4978450677950933E-4</v>
      </c>
      <c r="AB58" s="172">
        <v>7.3434592614773919E-4</v>
      </c>
    </row>
    <row r="59" spans="10:28" x14ac:dyDescent="0.2">
      <c r="M59" s="176" t="str">
        <v>obj_00895#0001</v>
      </c>
      <c r="N59" s="176" t="str">
        <f>_xll.qlRateHelperQuoteName(M59)</f>
        <v>EURAB6E18Y_Quote</v>
      </c>
      <c r="O59" s="164">
        <f>_xll.qlRateHelperLatestDate(M59,Trigger)</f>
        <v>48662</v>
      </c>
      <c r="P59" s="191">
        <f>_xll.qlRateHelperQuoteValue(M59,_xll.ohTrigger(RecalcTrigger,YieldCurve))</f>
        <v>7.8899999999999994E-3</v>
      </c>
      <c r="Q59" s="193" t="str">
        <f t="shared" si="9"/>
        <v>18Y</v>
      </c>
      <c r="R59" s="194" t="str">
        <f>_xll.qlEuriborSwap(,"IsdaFixA",Monitor!Q59,YieldCurve,Discounting,,_xll.ohTrigger(Trigger,RecalcTrigger))</f>
        <v>obj_00a18#0001</v>
      </c>
      <c r="S59" s="194"/>
      <c r="T59" s="181">
        <f>_xll.qlIndexFixing(R59,$Y$19,TRUE,Trigger)</f>
        <v>7.8905605921743074E-3</v>
      </c>
      <c r="U59" s="182">
        <f t="shared" si="10"/>
        <v>5.6059217430799724E-7</v>
      </c>
      <c r="V59" s="165"/>
      <c r="X59" s="176" t="str">
        <f t="shared" si="8"/>
        <v>1D</v>
      </c>
      <c r="Y59" s="164">
        <f>_xll.qlCalendarAdvance(Calendar,Y58,X59,"f",FALSE)</f>
        <v>42144</v>
      </c>
      <c r="Z59" s="188">
        <f>_xll.qlCalendarAdvance(Calendar,Y59,NDays&amp;"D")</f>
        <v>42146</v>
      </c>
      <c r="AA59" s="163">
        <v>8.504067644053532E-4</v>
      </c>
      <c r="AB59" s="172">
        <v>7.2954642918787727E-4</v>
      </c>
    </row>
    <row r="60" spans="10:28" x14ac:dyDescent="0.2">
      <c r="M60" s="176" t="str">
        <v>obj_008b9#0001</v>
      </c>
      <c r="N60" s="176" t="str">
        <f>_xll.qlRateHelperQuoteName(M60)</f>
        <v>EURAB6E19Y_Quote</v>
      </c>
      <c r="O60" s="164">
        <f>_xll.qlRateHelperLatestDate(M60,Trigger)</f>
        <v>49027</v>
      </c>
      <c r="P60" s="191">
        <f>_xll.qlRateHelperQuoteValue(M60,_xll.ohTrigger(RecalcTrigger,YieldCurve))</f>
        <v>8.0400000000000003E-3</v>
      </c>
      <c r="Q60" s="193" t="str">
        <f t="shared" si="9"/>
        <v>19Y</v>
      </c>
      <c r="R60" s="194" t="str">
        <f>_xll.qlEuriborSwap(,"IsdaFixA",Monitor!Q60,YieldCurve,Discounting,,_xll.ohTrigger(Trigger,RecalcTrigger))</f>
        <v>obj_00a4e#0001</v>
      </c>
      <c r="S60" s="194"/>
      <c r="T60" s="181">
        <f>_xll.qlIndexFixing(R60,$Y$19,TRUE,Trigger)</f>
        <v>8.0349434532676137E-3</v>
      </c>
      <c r="U60" s="182">
        <f t="shared" si="10"/>
        <v>-5.0565467323866048E-6</v>
      </c>
      <c r="V60" s="165"/>
      <c r="X60" s="176" t="str">
        <f t="shared" si="8"/>
        <v>1D</v>
      </c>
      <c r="Y60" s="164">
        <f>_xll.qlCalendarAdvance(Calendar,Y59,X60,"f",FALSE)</f>
        <v>42145</v>
      </c>
      <c r="Z60" s="188">
        <f>_xll.qlCalendarAdvance(Calendar,Y60,NDays&amp;"D")</f>
        <v>42149</v>
      </c>
      <c r="AA60" s="163">
        <v>8.4999999999992091E-4</v>
      </c>
      <c r="AB60" s="172">
        <v>7.2497598588405765E-4</v>
      </c>
    </row>
    <row r="61" spans="10:28" x14ac:dyDescent="0.2">
      <c r="M61" s="176" t="str">
        <v>obj_008a9#0001</v>
      </c>
      <c r="N61" s="176" t="str">
        <f>_xll.qlRateHelperQuoteName(M61)</f>
        <v>EURAB6E20Y_Quote</v>
      </c>
      <c r="O61" s="164">
        <f>_xll.qlRateHelperLatestDate(M61,Trigger)</f>
        <v>49395</v>
      </c>
      <c r="P61" s="191">
        <f>_xll.qlRateHelperQuoteValue(M61,_xll.ohTrigger(RecalcTrigger,YieldCurve))</f>
        <v>8.1600000000000006E-3</v>
      </c>
      <c r="Q61" s="193" t="str">
        <f t="shared" si="9"/>
        <v>20Y</v>
      </c>
      <c r="R61" s="194" t="str">
        <f>_xll.qlEuriborSwap(,"IsdaFixA",Monitor!Q61,YieldCurve,Discounting,,_xll.ohTrigger(Trigger,RecalcTrigger))</f>
        <v>obj_00a12#0001</v>
      </c>
      <c r="S61" s="194"/>
      <c r="T61" s="181">
        <f>_xll.qlIndexFixing(R61,$Y$19,TRUE,Trigger)</f>
        <v>8.1599999999845251E-3</v>
      </c>
      <c r="U61" s="182">
        <f t="shared" si="10"/>
        <v>-1.5475468129189096E-14</v>
      </c>
      <c r="V61" s="165"/>
      <c r="X61" s="176" t="str">
        <f t="shared" si="8"/>
        <v>1D</v>
      </c>
      <c r="Y61" s="164">
        <f>_xll.qlCalendarAdvance(Calendar,Y60,X61,"f",FALSE)</f>
        <v>42146</v>
      </c>
      <c r="Z61" s="188">
        <f>_xll.qlCalendarAdvance(Calendar,Y61,NDays&amp;"D")</f>
        <v>42150</v>
      </c>
      <c r="AA61" s="163">
        <v>8.4949487375821694E-4</v>
      </c>
      <c r="AB61" s="172">
        <v>7.227598480508135E-4</v>
      </c>
    </row>
    <row r="62" spans="10:28" x14ac:dyDescent="0.2">
      <c r="M62" s="176" t="str">
        <v>obj_008c0#0001</v>
      </c>
      <c r="N62" s="176" t="str">
        <f>_xll.qlRateHelperQuoteName(M62)</f>
        <v>EURAB6E21Y_Quote</v>
      </c>
      <c r="O62" s="164">
        <f>_xll.qlRateHelperLatestDate(M62,Trigger)</f>
        <v>49758</v>
      </c>
      <c r="P62" s="191">
        <f>_xll.qlRateHelperQuoteValue(M62,_xll.ohTrigger(RecalcTrigger,YieldCurve))</f>
        <v>8.2700000000000013E-3</v>
      </c>
      <c r="Q62" s="193" t="str">
        <f t="shared" si="9"/>
        <v>21Y</v>
      </c>
      <c r="R62" s="194" t="str">
        <f>_xll.qlEuriborSwap(,"IsdaFixA",Monitor!Q62,YieldCurve,Discounting,,_xll.ohTrigger(Trigger,RecalcTrigger))</f>
        <v>obj_00a0d#0001</v>
      </c>
      <c r="S62" s="194"/>
      <c r="T62" s="181">
        <f>_xll.qlIndexFixing(R62,$Y$19,TRUE,Trigger)</f>
        <v>8.2670915149394512E-3</v>
      </c>
      <c r="U62" s="182">
        <f t="shared" si="10"/>
        <v>-2.9084850605501367E-6</v>
      </c>
      <c r="V62" s="165"/>
      <c r="X62" s="176" t="str">
        <f t="shared" si="8"/>
        <v>1D</v>
      </c>
      <c r="Y62" s="164">
        <f>_xll.qlCalendarAdvance(Calendar,Y61,X62,"f",FALSE)</f>
        <v>42149</v>
      </c>
      <c r="Z62" s="188">
        <f>_xll.qlCalendarAdvance(Calendar,Y62,NDays&amp;"D")</f>
        <v>42151</v>
      </c>
      <c r="AA62" s="163">
        <v>8.4900062572310943E-4</v>
      </c>
      <c r="AB62" s="172">
        <v>7.2055898016287756E-4</v>
      </c>
    </row>
    <row r="63" spans="10:28" x14ac:dyDescent="0.2">
      <c r="M63" s="176" t="str">
        <v>obj_008ab#0001</v>
      </c>
      <c r="N63" s="176" t="str">
        <f>_xll.qlRateHelperQuoteName(M63)</f>
        <v>EURAB6E22Y_Quote</v>
      </c>
      <c r="O63" s="164">
        <f>_xll.qlRateHelperLatestDate(M63,Trigger)</f>
        <v>50123</v>
      </c>
      <c r="P63" s="191">
        <f>_xll.qlRateHelperQuoteValue(M63,_xll.ohTrigger(RecalcTrigger,YieldCurve))</f>
        <v>8.3600000000000011E-3</v>
      </c>
      <c r="Q63" s="193" t="str">
        <f t="shared" si="9"/>
        <v>22Y</v>
      </c>
      <c r="R63" s="194" t="str">
        <f>_xll.qlEuriborSwap(,"IsdaFixA",Monitor!Q63,YieldCurve,Discounting,,_xll.ohTrigger(Trigger,RecalcTrigger))</f>
        <v>obj_00a63#0001</v>
      </c>
      <c r="S63" s="194"/>
      <c r="T63" s="181">
        <f>_xll.qlIndexFixing(R63,$Y$19,TRUE,Trigger)</f>
        <v>8.3601152384300305E-3</v>
      </c>
      <c r="U63" s="182">
        <f t="shared" si="10"/>
        <v>1.1523843002937684E-7</v>
      </c>
      <c r="V63" s="165"/>
      <c r="X63" s="176" t="str">
        <f t="shared" si="8"/>
        <v>1D</v>
      </c>
      <c r="Y63" s="164">
        <f>_xll.qlCalendarAdvance(Calendar,Y62,X63,"f",FALSE)</f>
        <v>42150</v>
      </c>
      <c r="Z63" s="188">
        <f>_xll.qlCalendarAdvance(Calendar,Y63,NDays&amp;"D")</f>
        <v>42152</v>
      </c>
      <c r="AA63" s="163">
        <v>8.4615292906182527E-4</v>
      </c>
      <c r="AB63" s="172">
        <v>7.1837338222024982E-4</v>
      </c>
    </row>
    <row r="64" spans="10:28" x14ac:dyDescent="0.2">
      <c r="M64" s="176" t="str">
        <v>obj_008a2#0001</v>
      </c>
      <c r="N64" s="176" t="str">
        <f>_xll.qlRateHelperQuoteName(M64)</f>
        <v>EURAB6E23Y_Quote</v>
      </c>
      <c r="O64" s="164">
        <f>_xll.qlRateHelperLatestDate(M64,Trigger)</f>
        <v>50488</v>
      </c>
      <c r="P64" s="191">
        <f>_xll.qlRateHelperQuoteValue(M64,_xll.ohTrigger(RecalcTrigger,YieldCurve))</f>
        <v>8.4400000000000013E-3</v>
      </c>
      <c r="Q64" s="193" t="str">
        <f t="shared" si="9"/>
        <v>23Y</v>
      </c>
      <c r="R64" s="194" t="str">
        <f>_xll.qlEuriborSwap(,"IsdaFixA",Monitor!Q64,YieldCurve,Discounting,,_xll.ohTrigger(Trigger,RecalcTrigger))</f>
        <v>obj_00a7c#0001</v>
      </c>
      <c r="S64" s="194"/>
      <c r="T64" s="181">
        <f>_xll.qlIndexFixing(R64,$Y$19,TRUE,Trigger)</f>
        <v>8.44290725169357E-3</v>
      </c>
      <c r="U64" s="182">
        <f t="shared" si="10"/>
        <v>2.9072516935686743E-6</v>
      </c>
      <c r="V64" s="165"/>
      <c r="X64" s="176" t="str">
        <f t="shared" si="8"/>
        <v>1D</v>
      </c>
      <c r="Y64" s="164">
        <f>_xll.qlCalendarAdvance(Calendar,Y63,X64,"f",FALSE)</f>
        <v>42151</v>
      </c>
      <c r="Z64" s="188">
        <f>_xll.qlCalendarAdvance(Calendar,Y64,NDays&amp;"D")</f>
        <v>42153</v>
      </c>
      <c r="AA64" s="163">
        <v>8.4684193945768794E-4</v>
      </c>
      <c r="AB64" s="172">
        <v>2.0460772140040717E-3</v>
      </c>
    </row>
    <row r="65" spans="13:28" x14ac:dyDescent="0.2">
      <c r="M65" s="176" t="str">
        <v>obj_0089e#0001</v>
      </c>
      <c r="N65" s="176" t="str">
        <f>_xll.qlRateHelperQuoteName(M65)</f>
        <v>EURAB6E24Y_Quote</v>
      </c>
      <c r="O65" s="164">
        <f>_xll.qlRateHelperLatestDate(M65,Trigger)</f>
        <v>50853</v>
      </c>
      <c r="P65" s="191">
        <f>_xll.qlRateHelperQuoteValue(M65,_xll.ohTrigger(RecalcTrigger,YieldCurve))</f>
        <v>8.5200000000000015E-3</v>
      </c>
      <c r="Q65" s="193" t="str">
        <f t="shared" si="9"/>
        <v>24Y</v>
      </c>
      <c r="R65" s="194" t="str">
        <f>_xll.qlEuriborSwap(,"IsdaFixA",Monitor!Q65,YieldCurve,Discounting,,_xll.ohTrigger(Trigger,RecalcTrigger))</f>
        <v>obj_00a0a#0001</v>
      </c>
      <c r="S65" s="194"/>
      <c r="T65" s="181">
        <f>_xll.qlIndexFixing(R65,$Y$19,TRUE,Trigger)</f>
        <v>8.5182873704814591E-3</v>
      </c>
      <c r="U65" s="182">
        <f t="shared" si="10"/>
        <v>-1.7126295185423968E-6</v>
      </c>
      <c r="V65" s="165"/>
      <c r="X65" s="176" t="str">
        <f t="shared" si="8"/>
        <v>1D</v>
      </c>
      <c r="Y65" s="164">
        <f>_xll.qlCalendarAdvance(Calendar,Y64,X65,"f",FALSE)</f>
        <v>42152</v>
      </c>
      <c r="Z65" s="188">
        <f>_xll.qlCalendarAdvance(Calendar,Y65,NDays&amp;"D")</f>
        <v>42156</v>
      </c>
      <c r="AA65" s="163">
        <v>8.4918116126722393E-4</v>
      </c>
      <c r="AB65" s="172">
        <v>7.097836901426291E-4</v>
      </c>
    </row>
    <row r="66" spans="13:28" x14ac:dyDescent="0.2">
      <c r="M66" s="176" t="str">
        <v>obj_008ae#0001</v>
      </c>
      <c r="N66" s="176" t="str">
        <f>_xll.qlRateHelperQuoteName(M66)</f>
        <v>EURAB6E25Y_Quote</v>
      </c>
      <c r="O66" s="164">
        <f>_xll.qlRateHelperLatestDate(M66,Trigger)</f>
        <v>51221</v>
      </c>
      <c r="P66" s="191">
        <f>_xll.qlRateHelperQuoteValue(M66,_xll.ohTrigger(RecalcTrigger,YieldCurve))</f>
        <v>8.5900000000000004E-3</v>
      </c>
      <c r="Q66" s="193" t="str">
        <f t="shared" si="9"/>
        <v>25Y</v>
      </c>
      <c r="R66" s="194" t="str">
        <f>_xll.qlEuriborSwap(,"IsdaFixA",Monitor!Q66,YieldCurve,Discounting,,_xll.ohTrigger(Trigger,RecalcTrigger))</f>
        <v>obj_00a5d#0001</v>
      </c>
      <c r="S66" s="194"/>
      <c r="T66" s="181">
        <f>_xll.qlIndexFixing(R66,$Y$19,TRUE,Trigger)</f>
        <v>8.5900000000123239E-3</v>
      </c>
      <c r="U66" s="182">
        <f t="shared" si="10"/>
        <v>1.2323475573339238E-14</v>
      </c>
      <c r="V66" s="165"/>
      <c r="X66" s="176" t="str">
        <f t="shared" si="8"/>
        <v>1D</v>
      </c>
      <c r="Y66" s="164">
        <f>_xll.qlCalendarAdvance(Calendar,Y65,X66,"f",FALSE)</f>
        <v>42153</v>
      </c>
      <c r="Z66" s="188">
        <f>_xll.qlCalendarAdvance(Calendar,Y66,NDays&amp;"D")</f>
        <v>42157</v>
      </c>
      <c r="AA66" s="163">
        <v>8.4870089058629425E-4</v>
      </c>
      <c r="AB66" s="172">
        <v>7.076744420864145E-4</v>
      </c>
    </row>
    <row r="67" spans="13:28" x14ac:dyDescent="0.2">
      <c r="M67" s="176" t="str">
        <v>obj_008b5#0001</v>
      </c>
      <c r="N67" s="176" t="str">
        <f>_xll.qlRateHelperQuoteName(M67)</f>
        <v>EURAB6E26Y_Quote</v>
      </c>
      <c r="O67" s="164">
        <f>_xll.qlRateHelperLatestDate(M67,Trigger)</f>
        <v>51585</v>
      </c>
      <c r="P67" s="191">
        <f>_xll.qlRateHelperQuoteValue(M67,_xll.ohTrigger(RecalcTrigger,YieldCurve))</f>
        <v>8.6599999999999993E-3</v>
      </c>
      <c r="Q67" s="193" t="str">
        <f t="shared" si="9"/>
        <v>26Y</v>
      </c>
      <c r="R67" s="194" t="str">
        <f>_xll.qlEuriborSwap(,"IsdaFixA",Monitor!Q67,YieldCurve,Discounting,,_xll.ohTrigger(Trigger,RecalcTrigger))</f>
        <v>obj_00a97#0001</v>
      </c>
      <c r="S67" s="194"/>
      <c r="T67" s="181">
        <f>_xll.qlIndexFixing(R67,$Y$19,TRUE,Trigger)</f>
        <v>8.6565844391583071E-3</v>
      </c>
      <c r="U67" s="182">
        <f t="shared" si="10"/>
        <v>-3.4155608416922001E-6</v>
      </c>
      <c r="V67" s="165"/>
      <c r="X67" s="176" t="str">
        <f t="shared" si="8"/>
        <v>1D</v>
      </c>
      <c r="Y67" s="164">
        <f>_xll.qlCalendarAdvance(Calendar,Y66,X67,"f",FALSE)</f>
        <v>42156</v>
      </c>
      <c r="Z67" s="188">
        <f>_xll.qlCalendarAdvance(Calendar,Y67,NDays&amp;"D")</f>
        <v>42158</v>
      </c>
      <c r="AA67" s="163">
        <v>8.4821162407003098E-4</v>
      </c>
      <c r="AB67" s="172">
        <v>7.0558046389557205E-4</v>
      </c>
    </row>
    <row r="68" spans="13:28" x14ac:dyDescent="0.2">
      <c r="M68" s="176" t="str">
        <v>obj_0089f#0001</v>
      </c>
      <c r="N68" s="176" t="str">
        <f>_xll.qlRateHelperQuoteName(M68)</f>
        <v>EURAB6E27Y_Quote</v>
      </c>
      <c r="O68" s="164">
        <f>_xll.qlRateHelperLatestDate(M68,Trigger)</f>
        <v>51949</v>
      </c>
      <c r="P68" s="191">
        <f>_xll.qlRateHelperQuoteValue(M68,_xll.ohTrigger(RecalcTrigger,YieldCurve))</f>
        <v>8.7200000000000003E-3</v>
      </c>
      <c r="Q68" s="193" t="str">
        <f t="shared" si="9"/>
        <v>27Y</v>
      </c>
      <c r="R68" s="194" t="str">
        <f>_xll.qlEuriborSwap(,"IsdaFixA",Monitor!Q68,YieldCurve,Discounting,,_xll.ohTrigger(Trigger,RecalcTrigger))</f>
        <v>obj_00a09#0001</v>
      </c>
      <c r="S68" s="194"/>
      <c r="T68" s="181">
        <f>_xll.qlIndexFixing(R68,$Y$19,TRUE,Trigger)</f>
        <v>8.7193632152985732E-3</v>
      </c>
      <c r="U68" s="182">
        <f t="shared" si="10"/>
        <v>-6.3678470142713994E-7</v>
      </c>
      <c r="V68" s="165"/>
      <c r="X68" s="176" t="str">
        <f t="shared" si="8"/>
        <v>1D</v>
      </c>
      <c r="Y68" s="164">
        <f>_xll.qlCalendarAdvance(Calendar,Y67,X68,"f",FALSE)</f>
        <v>42157</v>
      </c>
      <c r="Z68" s="188">
        <f>_xll.qlCalendarAdvance(Calendar,Y68,NDays&amp;"D")</f>
        <v>42159</v>
      </c>
      <c r="AA68" s="163">
        <v>8.4771005339869595E-4</v>
      </c>
      <c r="AB68" s="172">
        <v>7.0350175572997387E-4</v>
      </c>
    </row>
    <row r="69" spans="13:28" x14ac:dyDescent="0.2">
      <c r="M69" s="176" t="str">
        <v>obj_0089a#0001</v>
      </c>
      <c r="N69" s="176" t="str">
        <f>_xll.qlRateHelperQuoteName(M69)</f>
        <v>EURAB6E28Y_Quote</v>
      </c>
      <c r="O69" s="164">
        <f>_xll.qlRateHelperLatestDate(M69,Trigger)</f>
        <v>52314</v>
      </c>
      <c r="P69" s="191">
        <f>_xll.qlRateHelperQuoteValue(M69,_xll.ohTrigger(RecalcTrigger,YieldCurve))</f>
        <v>8.7799999999999996E-3</v>
      </c>
      <c r="Q69" s="193" t="str">
        <f t="shared" si="9"/>
        <v>28Y</v>
      </c>
      <c r="R69" s="194" t="str">
        <f>_xll.qlEuriborSwap(,"IsdaFixA",Monitor!Q69,YieldCurve,Discounting,,_xll.ohTrigger(Trigger,RecalcTrigger))</f>
        <v>obj_00a50#0001</v>
      </c>
      <c r="S69" s="194"/>
      <c r="T69" s="181">
        <f>_xll.qlIndexFixing(R69,$Y$19,TRUE,Trigger)</f>
        <v>8.7778278830183323E-3</v>
      </c>
      <c r="U69" s="182">
        <f t="shared" si="10"/>
        <v>-2.1721169816673463E-6</v>
      </c>
      <c r="V69" s="165"/>
      <c r="X69" s="176" t="str">
        <f t="shared" si="8"/>
        <v>1D</v>
      </c>
      <c r="Y69" s="164">
        <f>_xll.qlCalendarAdvance(Calendar,Y68,X69,"f",FALSE)</f>
        <v>42158</v>
      </c>
      <c r="Z69" s="188">
        <f>_xll.qlCalendarAdvance(Calendar,Y69,NDays&amp;"D")</f>
        <v>42160</v>
      </c>
      <c r="AA69" s="163">
        <v>8.445267330929034E-4</v>
      </c>
      <c r="AB69" s="172">
        <v>6.9939659802287224E-4</v>
      </c>
    </row>
    <row r="70" spans="13:28" x14ac:dyDescent="0.2">
      <c r="M70" s="176" t="str">
        <v>obj_008b0#0001</v>
      </c>
      <c r="N70" s="176" t="str">
        <f>_xll.qlRateHelperQuoteName(M70)</f>
        <v>EURAB6E29Y_Quote</v>
      </c>
      <c r="O70" s="164">
        <f>_xll.qlRateHelperLatestDate(M70,Trigger)</f>
        <v>52680</v>
      </c>
      <c r="P70" s="191">
        <f>_xll.qlRateHelperQuoteValue(M70,_xll.ohTrigger(RecalcTrigger,YieldCurve))</f>
        <v>8.8299999999999993E-3</v>
      </c>
      <c r="Q70" s="193" t="str">
        <f t="shared" si="9"/>
        <v>29Y</v>
      </c>
      <c r="R70" s="194" t="str">
        <f>_xll.qlEuriborSwap(,"IsdaFixA",Monitor!Q70,YieldCurve,Discounting,,_xll.ohTrigger(Trigger,RecalcTrigger))</f>
        <v>obj_00a39#0001</v>
      </c>
      <c r="S70" s="194"/>
      <c r="T70" s="181">
        <f>_xll.qlIndexFixing(R70,$Y$19,TRUE,Trigger)</f>
        <v>8.8321251711342853E-3</v>
      </c>
      <c r="U70" s="182">
        <f t="shared" si="10"/>
        <v>2.1251711342859525E-6</v>
      </c>
      <c r="V70" s="165"/>
      <c r="X70" s="176" t="str">
        <f t="shared" si="8"/>
        <v>1D</v>
      </c>
      <c r="Y70" s="164">
        <f>_xll.qlCalendarAdvance(Calendar,Y69,X70,"f",FALSE)</f>
        <v>42159</v>
      </c>
      <c r="Z70" s="188">
        <f>_xll.qlCalendarAdvance(Calendar,Y70,NDays&amp;"D")</f>
        <v>42163</v>
      </c>
      <c r="AA70" s="163">
        <v>8.4551456289498096E-4</v>
      </c>
      <c r="AB70" s="172">
        <v>6.9533962268053529E-4</v>
      </c>
    </row>
    <row r="71" spans="13:28" x14ac:dyDescent="0.2">
      <c r="M71" s="176" t="str">
        <v>obj_008be#0001</v>
      </c>
      <c r="N71" s="176" t="str">
        <f>_xll.qlRateHelperQuoteName(M71)</f>
        <v>EURAB6E30Y_Quote</v>
      </c>
      <c r="O71" s="164">
        <f>_xll.qlRateHelperLatestDate(M71,Trigger)</f>
        <v>53045</v>
      </c>
      <c r="P71" s="191">
        <f>_xll.qlRateHelperQuoteValue(M71,_xll.ohTrigger(RecalcTrigger,YieldCurve))</f>
        <v>8.8800000000000007E-3</v>
      </c>
      <c r="Q71" s="193" t="str">
        <f t="shared" si="9"/>
        <v>30Y</v>
      </c>
      <c r="R71" s="194" t="str">
        <f>_xll.qlEuriborSwap(,"IsdaFixA",Monitor!Q71,YieldCurve,Discounting,,_xll.ohTrigger(Trigger,RecalcTrigger))</f>
        <v>obj_00a24#0001</v>
      </c>
      <c r="S71" s="194"/>
      <c r="T71" s="181">
        <f>_xll.qlIndexFixing(R71,$Y$19,TRUE,Trigger)</f>
        <v>8.8800000000031909E-3</v>
      </c>
      <c r="U71" s="182">
        <f t="shared" si="10"/>
        <v>3.1901564723213482E-15</v>
      </c>
      <c r="V71" s="165"/>
      <c r="X71" s="176" t="str">
        <f t="shared" si="8"/>
        <v>1D</v>
      </c>
      <c r="Y71" s="164">
        <f>_xll.qlCalendarAdvance(Calendar,Y70,X71,"f",FALSE)</f>
        <v>42160</v>
      </c>
      <c r="Z71" s="188">
        <f>_xll.qlCalendarAdvance(Calendar,Y71,NDays&amp;"D")</f>
        <v>42164</v>
      </c>
      <c r="AA71" s="163">
        <v>8.4490184678412731E-4</v>
      </c>
      <c r="AB71" s="172">
        <v>6.9333726432141418E-4</v>
      </c>
    </row>
    <row r="72" spans="13:28" x14ac:dyDescent="0.2">
      <c r="M72" s="176" t="str">
        <v>obj_008a0#0001</v>
      </c>
      <c r="N72" s="176" t="str">
        <f>_xll.qlRateHelperQuoteName(M72)</f>
        <v>EURAB6E35Y_Quote</v>
      </c>
      <c r="O72" s="164">
        <f>_xll.qlRateHelperLatestDate(M72,Trigger)</f>
        <v>54871</v>
      </c>
      <c r="P72" s="191">
        <f>_xll.qlRateHelperQuoteValue(M72,_xll.ohTrigger(RecalcTrigger,YieldCurve))</f>
        <v>9.0500000000000008E-3</v>
      </c>
      <c r="Q72" s="193" t="str">
        <f t="shared" si="9"/>
        <v>35Y</v>
      </c>
      <c r="R72" s="194" t="str">
        <f>_xll.qlEuriborSwap(,"IsdaFixA",Monitor!Q72,YieldCurve,Discounting,,_xll.ohTrigger(Trigger,RecalcTrigger))</f>
        <v>obj_00a41#0001</v>
      </c>
      <c r="S72" s="194"/>
      <c r="T72" s="181">
        <f>_xll.qlIndexFixing(R72,$Y$19,TRUE,Trigger)</f>
        <v>9.0500000000004657E-3</v>
      </c>
      <c r="U72" s="182">
        <f t="shared" si="10"/>
        <v>4.649058915617843E-16</v>
      </c>
      <c r="V72" s="165"/>
      <c r="X72" s="176" t="str">
        <f t="shared" si="8"/>
        <v>1D</v>
      </c>
      <c r="Y72" s="164">
        <f>_xll.qlCalendarAdvance(Calendar,Y71,X72,"f",FALSE)</f>
        <v>42163</v>
      </c>
      <c r="Z72" s="188">
        <f>_xll.qlCalendarAdvance(Calendar,Y72,NDays&amp;"D")</f>
        <v>42165</v>
      </c>
      <c r="AA72" s="163">
        <v>8.4425697668494921E-4</v>
      </c>
      <c r="AB72" s="172">
        <v>6.9135017590760128E-4</v>
      </c>
    </row>
    <row r="73" spans="13:28" x14ac:dyDescent="0.2">
      <c r="M73" s="176" t="str">
        <v>obj_008a4#0001</v>
      </c>
      <c r="N73" s="176" t="str">
        <f>_xll.qlRateHelperQuoteName(M73)</f>
        <v>EURAB6E40Y_Quote</v>
      </c>
      <c r="O73" s="164">
        <f>_xll.qlRateHelperLatestDate(M73,Trigger)</f>
        <v>56697</v>
      </c>
      <c r="P73" s="191">
        <f>_xll.qlRateHelperQuoteValue(M73,_xll.ohTrigger(RecalcTrigger,YieldCurve))</f>
        <v>9.11E-3</v>
      </c>
      <c r="Q73" s="193" t="str">
        <f t="shared" si="9"/>
        <v>40Y</v>
      </c>
      <c r="R73" s="194" t="str">
        <f>_xll.qlEuriborSwap(,"IsdaFixA",Monitor!Q73,YieldCurve,Discounting,,_xll.ohTrigger(Trigger,RecalcTrigger))</f>
        <v>obj_00a48#0001</v>
      </c>
      <c r="S73" s="194"/>
      <c r="T73" s="181">
        <f>_xll.qlIndexFixing(R73,$Y$19,TRUE,Trigger)</f>
        <v>9.1099999999959443E-3</v>
      </c>
      <c r="U73" s="182">
        <f t="shared" si="10"/>
        <v>-4.055783486833775E-15</v>
      </c>
      <c r="V73" s="165"/>
      <c r="X73" s="176" t="str">
        <f t="shared" si="8"/>
        <v>1D</v>
      </c>
      <c r="Y73" s="164">
        <f>_xll.qlCalendarAdvance(Calendar,Y72,X73,"f",FALSE)</f>
        <v>42164</v>
      </c>
      <c r="Z73" s="188">
        <f>_xll.qlCalendarAdvance(Calendar,Y73,NDays&amp;"D")</f>
        <v>42166</v>
      </c>
      <c r="AA73" s="163">
        <v>8.4357664430915872E-4</v>
      </c>
      <c r="AB73" s="172">
        <v>6.8937835751903265E-4</v>
      </c>
    </row>
    <row r="74" spans="13:28" x14ac:dyDescent="0.2">
      <c r="M74" s="176" t="str">
        <v>obj_0089b#0001</v>
      </c>
      <c r="N74" s="176" t="str">
        <f>_xll.qlRateHelperQuoteName(M74)</f>
        <v>EURAB6E50Y_Quote</v>
      </c>
      <c r="O74" s="164">
        <f>_xll.qlRateHelperLatestDate(M74,Trigger)</f>
        <v>60350</v>
      </c>
      <c r="P74" s="191">
        <f>_xll.qlRateHelperQuoteValue(M74,_xll.ohTrigger(RecalcTrigger,YieldCurve))</f>
        <v>8.77E-3</v>
      </c>
      <c r="Q74" s="193" t="str">
        <f t="shared" si="9"/>
        <v>50Y</v>
      </c>
      <c r="R74" s="194" t="str">
        <f>_xll.qlEuriborSwap(,"IsdaFixA",Monitor!Q74,YieldCurve,Discounting,,_xll.ohTrigger(Trigger,RecalcTrigger))</f>
        <v>obj_00a22#0001</v>
      </c>
      <c r="S74" s="194"/>
      <c r="T74" s="181">
        <f>_xll.qlIndexFixing(R74,$Y$19,TRUE,Trigger)</f>
        <v>8.7699999999973424E-3</v>
      </c>
      <c r="U74" s="182">
        <f t="shared" si="10"/>
        <v>-2.6575963651964685E-15</v>
      </c>
      <c r="V74" s="165"/>
      <c r="X74" s="176" t="str">
        <f t="shared" si="8"/>
        <v>1D</v>
      </c>
      <c r="Y74" s="164">
        <f>_xll.qlCalendarAdvance(Calendar,Y73,X74,"f",FALSE)</f>
        <v>42165</v>
      </c>
      <c r="Z74" s="188">
        <f>_xll.qlCalendarAdvance(Calendar,Y74,NDays&amp;"D")</f>
        <v>42167</v>
      </c>
      <c r="AA74" s="163">
        <v>8.3961904045316653E-4</v>
      </c>
      <c r="AB74" s="172">
        <v>6.8548692575554071E-4</v>
      </c>
    </row>
    <row r="75" spans="13:28" ht="12" thickBot="1" x14ac:dyDescent="0.25">
      <c r="M75" s="177" t="str">
        <v>obj_00898#0001</v>
      </c>
      <c r="N75" s="177" t="str">
        <f>_xll.qlRateHelperQuoteName(M75)</f>
        <v>EURAB6E60Y_Quote</v>
      </c>
      <c r="O75" s="174">
        <f>_xll.qlRateHelperLatestDate(M75,Trigger)</f>
        <v>64003</v>
      </c>
      <c r="P75" s="192">
        <f>_xll.qlRateHelperQuoteValue(M75,_xll.ohTrigger(RecalcTrigger,YieldCurve))</f>
        <v>8.6199999999999992E-3</v>
      </c>
      <c r="Q75" s="273" t="str">
        <f t="shared" si="9"/>
        <v>60Y</v>
      </c>
      <c r="R75" s="195" t="str">
        <f>_xll.qlEuriborSwap(,"IsdaFixA",Monitor!Q75,YieldCurve,Discounting,,_xll.ohTrigger(Trigger,RecalcTrigger))</f>
        <v>obj_00a10#0001</v>
      </c>
      <c r="S75" s="195"/>
      <c r="T75" s="183">
        <f>_xll.qlIndexFixing(R75,$Y$19,TRUE,Trigger)</f>
        <v>8.6199999999872993E-3</v>
      </c>
      <c r="U75" s="184">
        <f t="shared" si="10"/>
        <v>-1.2699910567626205E-14</v>
      </c>
      <c r="V75" s="165"/>
      <c r="X75" s="176" t="str">
        <f t="shared" si="8"/>
        <v>1D</v>
      </c>
      <c r="Y75" s="164">
        <f>_xll.qlCalendarAdvance(Calendar,Y74,X75,"f",FALSE)</f>
        <v>42166</v>
      </c>
      <c r="Z75" s="188">
        <f>_xll.qlCalendarAdvance(Calendar,Y75,NDays&amp;"D")</f>
        <v>42170</v>
      </c>
      <c r="AA75" s="163">
        <v>8.4043452651435418E-4</v>
      </c>
      <c r="AB75" s="172">
        <v>6.8164378341784015E-4</v>
      </c>
    </row>
    <row r="76" spans="13:28" ht="12" thickBot="1" x14ac:dyDescent="0.25">
      <c r="X76" s="176" t="str">
        <f t="shared" si="8"/>
        <v>1D</v>
      </c>
      <c r="Y76" s="164">
        <f>_xll.qlCalendarAdvance(Calendar,Y75,X76,"f",FALSE)</f>
        <v>42167</v>
      </c>
      <c r="Z76" s="188">
        <f>_xll.qlCalendarAdvance(Calendar,Y76,NDays&amp;"D")</f>
        <v>42171</v>
      </c>
      <c r="AA76" s="163">
        <v>8.3952725868147084E-4</v>
      </c>
      <c r="AB76" s="172">
        <v>6.7974831475581254E-4</v>
      </c>
    </row>
    <row r="77" spans="13:28" x14ac:dyDescent="0.2">
      <c r="M77" s="274" t="s">
        <v>44</v>
      </c>
      <c r="N77" s="168" t="s">
        <v>164</v>
      </c>
      <c r="O77" s="169" t="s">
        <v>132</v>
      </c>
      <c r="P77" s="169" t="s">
        <v>43</v>
      </c>
      <c r="Q77" s="179" t="s">
        <v>141</v>
      </c>
      <c r="R77" s="169" t="s">
        <v>140</v>
      </c>
      <c r="S77" s="169" t="s">
        <v>162</v>
      </c>
      <c r="T77" s="169" t="s">
        <v>156</v>
      </c>
      <c r="U77" s="180" t="s">
        <v>145</v>
      </c>
      <c r="V77" s="185" t="s">
        <v>163</v>
      </c>
      <c r="X77" s="176" t="str">
        <f t="shared" si="8"/>
        <v>1D</v>
      </c>
      <c r="Y77" s="164">
        <f>_xll.qlCalendarAdvance(Calendar,Y76,X77,"f",FALSE)</f>
        <v>42170</v>
      </c>
      <c r="Z77" s="188">
        <f>_xll.qlCalendarAdvance(Calendar,Y77,NDays&amp;"D")</f>
        <v>42172</v>
      </c>
      <c r="AA77" s="163">
        <v>8.3856467900168168E-4</v>
      </c>
      <c r="AB77" s="172">
        <v>6.7786811603909314E-4</v>
      </c>
    </row>
    <row r="78" spans="13:28" x14ac:dyDescent="0.2">
      <c r="M78" s="293" t="str">
        <f t="array" ref="M78:M401">_xll.ohFilter(RateHelpers!B67:B390,IF(ISERROR(RateHelpers!D67:D390),FALSE,TRUE))</f>
        <v>obj_007c4#0001</v>
      </c>
      <c r="N78" s="176" t="str">
        <f>_xll.qlRateHelperQuoteName(M78)</f>
        <v>EUR1F1Y_Quote</v>
      </c>
      <c r="O78" s="164">
        <f>_xll.qlInterestRateIndexFixingDate(R78,_xll.qlRateHelperEarliestDate(M78,Trigger),)</f>
        <v>42451</v>
      </c>
      <c r="P78" s="191">
        <f>_xll.qlRateHelperQuoteValue(M78,_xll.ohTrigger(RecalcTrigger,YieldCurve))</f>
        <v>1E-3</v>
      </c>
      <c r="Q78" s="194" t="str">
        <f t="shared" ref="Q78:Q95" si="11">SUBSTITUTE(SUBSTITUTE(N78,"_Quote",""),"EUR1F","")</f>
        <v>1Y</v>
      </c>
      <c r="R78" s="194" t="str">
        <f>_xll.qlSwapIndex(,"Euribor",Q78,NDays,Currency,Calendar,"1Y","mf","30/360 (Bond Basis)",IborIndex,Discounting,,_xll.ohTrigger(Trigger,RecalcTrigger))</f>
        <v>obj_008ed#0002</v>
      </c>
      <c r="S78" s="194" t="str">
        <f>_xll.qlVanillaSwapFromSwapIndex(,R78,O78)</f>
        <v>obj_00aa0#0001</v>
      </c>
      <c r="T78" s="181">
        <f>_xll.qlVanillaSwapFairRate(S78)</f>
        <v>9.4766531333632985E-4</v>
      </c>
      <c r="U78" s="290">
        <f>T78-P78</f>
        <v>-5.2334686663670169E-5</v>
      </c>
      <c r="V78" s="208" t="e">
        <f t="array" ref="V78">MAX(ABS(U78:U400))</f>
        <v>#NUM!</v>
      </c>
      <c r="X78" s="176" t="str">
        <f t="shared" si="8"/>
        <v>1D</v>
      </c>
      <c r="Y78" s="164">
        <f>_xll.qlCalendarAdvance(Calendar,Y77,X78,"f",FALSE)</f>
        <v>42171</v>
      </c>
      <c r="Z78" s="188">
        <f>_xll.qlCalendarAdvance(Calendar,Y78,NDays&amp;"D")</f>
        <v>42173</v>
      </c>
      <c r="AA78" s="163">
        <v>8.3754347924741481E-4</v>
      </c>
      <c r="AB78" s="172">
        <v>6.76003187347618E-4</v>
      </c>
    </row>
    <row r="79" spans="13:28" x14ac:dyDescent="0.2">
      <c r="M79" s="293" t="str">
        <v>obj_0074a#0001</v>
      </c>
      <c r="N79" s="176" t="str">
        <f>_xll.qlRateHelperQuoteName(M79)</f>
        <v>EUR1F2Y_Quote</v>
      </c>
      <c r="O79" s="164">
        <f>_xll.qlInterestRateIndexFixingDate(R79,_xll.qlRateHelperEarliestDate(M79,Trigger),)</f>
        <v>42451</v>
      </c>
      <c r="P79" s="191">
        <f>_xll.qlRateHelperQuoteValue(M79,_xll.ohTrigger(RecalcTrigger,YieldCurve))</f>
        <v>1.5199999999999999E-3</v>
      </c>
      <c r="Q79" s="194" t="str">
        <f t="shared" si="11"/>
        <v>2Y</v>
      </c>
      <c r="R79" s="194" t="str">
        <f>_xll.qlSwapIndex(,"Euribor",Q79,NDays,Currency,Calendar,"1Y","mf","30/360 (Bond Basis)",IborIndex,Discounting,,_xll.ohTrigger(Trigger,RecalcTrigger))</f>
        <v>obj_009cd#0001</v>
      </c>
      <c r="S79" s="194" t="str">
        <f>_xll.qlVanillaSwapFromSwapIndex(,R79,O79)</f>
        <v>obj_00aa9#0001</v>
      </c>
      <c r="T79" s="181">
        <f>_xll.qlVanillaSwapFairRate(S79)</f>
        <v>1.5245391827387468E-3</v>
      </c>
      <c r="U79" s="290">
        <f t="shared" ref="U79:U142" si="12">T79-P79</f>
        <v>4.5391827387468962E-6</v>
      </c>
      <c r="X79" s="176" t="str">
        <f t="shared" si="8"/>
        <v>1D</v>
      </c>
      <c r="Y79" s="164">
        <f>_xll.qlCalendarAdvance(Calendar,Y78,X79,"f",FALSE)</f>
        <v>42172</v>
      </c>
      <c r="Z79" s="188">
        <f>_xll.qlCalendarAdvance(Calendar,Y79,NDays&amp;"D")</f>
        <v>42174</v>
      </c>
      <c r="AA79" s="163">
        <v>8.3235915676306083E-4</v>
      </c>
      <c r="AB79" s="172">
        <v>6.7232548547124793E-4</v>
      </c>
    </row>
    <row r="80" spans="13:28" x14ac:dyDescent="0.2">
      <c r="M80" s="293" t="str">
        <v>obj_00837#0001</v>
      </c>
      <c r="N80" s="176" t="str">
        <f>_xll.qlRateHelperQuoteName(M80)</f>
        <v>EUR1F3Y_Quote</v>
      </c>
      <c r="O80" s="164">
        <f>_xll.qlInterestRateIndexFixingDate(R80,_xll.qlRateHelperEarliestDate(M80,Trigger),)</f>
        <v>42451</v>
      </c>
      <c r="P80" s="191">
        <f>_xll.qlRateHelperQuoteValue(M80,_xll.ohTrigger(RecalcTrigger,YieldCurve))</f>
        <v>2.2500000000000003E-3</v>
      </c>
      <c r="Q80" s="194" t="str">
        <f t="shared" si="11"/>
        <v>3Y</v>
      </c>
      <c r="R80" s="194" t="str">
        <f>_xll.qlSwapIndex(,"Euribor",Q80,NDays,Currency,Calendar,"1Y","mf","30/360 (Bond Basis)",IborIndex,Discounting,,_xll.ohTrigger(Trigger,RecalcTrigger))</f>
        <v>obj_00941#0001</v>
      </c>
      <c r="S80" s="194" t="str">
        <f>_xll.qlVanillaSwapFromSwapIndex(,R80,O80)</f>
        <v>obj_00b3c#0001</v>
      </c>
      <c r="T80" s="181">
        <f>_xll.qlVanillaSwapFairRate(S80)</f>
        <v>2.2361748853133357E-3</v>
      </c>
      <c r="U80" s="290">
        <f t="shared" si="12"/>
        <v>-1.3825114686664541E-5</v>
      </c>
      <c r="X80" s="176" t="str">
        <f t="shared" si="8"/>
        <v>1D</v>
      </c>
      <c r="Y80" s="164">
        <f>_xll.qlCalendarAdvance(Calendar,Y79,X80,"f",FALSE)</f>
        <v>42173</v>
      </c>
      <c r="Z80" s="188">
        <f>_xll.qlCalendarAdvance(Calendar,Y80,NDays&amp;"D")</f>
        <v>42177</v>
      </c>
      <c r="AA80" s="163">
        <v>8.3280631535391167E-4</v>
      </c>
      <c r="AB80" s="172">
        <v>6.6869617219467159E-4</v>
      </c>
    </row>
    <row r="81" spans="13:28" x14ac:dyDescent="0.2">
      <c r="M81" s="293" t="str">
        <v>obj_00794#0001</v>
      </c>
      <c r="N81" s="176" t="str">
        <f>_xll.qlRateHelperQuoteName(M81)</f>
        <v>EUR1F4Y_Quote</v>
      </c>
      <c r="O81" s="164">
        <f>_xll.qlInterestRateIndexFixingDate(R81,_xll.qlRateHelperEarliestDate(M81,Trigger),)</f>
        <v>42451</v>
      </c>
      <c r="P81" s="191">
        <f>_xll.qlRateHelperQuoteValue(M81,_xll.ohTrigger(RecalcTrigger,YieldCurve))</f>
        <v>2.97E-3</v>
      </c>
      <c r="Q81" s="194" t="str">
        <f t="shared" si="11"/>
        <v>4Y</v>
      </c>
      <c r="R81" s="194" t="str">
        <f>_xll.qlSwapIndex(,"Euribor",Q81,NDays,Currency,Calendar,"1Y","mf","30/360 (Bond Basis)",IborIndex,Discounting,,_xll.ohTrigger(Trigger,RecalcTrigger))</f>
        <v>obj_009b7#0001</v>
      </c>
      <c r="S81" s="194" t="str">
        <f>_xll.qlVanillaSwapFromSwapIndex(,R81,O81)</f>
        <v>obj_00b42#0001</v>
      </c>
      <c r="T81" s="181">
        <f>_xll.qlVanillaSwapFairRate(S81)</f>
        <v>2.9498759043830496E-3</v>
      </c>
      <c r="U81" s="290">
        <f t="shared" si="12"/>
        <v>-2.0124095616950392E-5</v>
      </c>
      <c r="X81" s="176" t="str">
        <f t="shared" si="8"/>
        <v>1D</v>
      </c>
      <c r="Y81" s="164">
        <f>_xll.qlCalendarAdvance(Calendar,Y80,X81,"f",FALSE)</f>
        <v>42174</v>
      </c>
      <c r="Z81" s="188">
        <f>_xll.qlCalendarAdvance(Calendar,Y81,NDays&amp;"D")</f>
        <v>42178</v>
      </c>
      <c r="AA81" s="163">
        <v>8.3144239225529579E-4</v>
      </c>
      <c r="AB81" s="172">
        <v>6.6690759322973747E-4</v>
      </c>
    </row>
    <row r="82" spans="13:28" x14ac:dyDescent="0.2">
      <c r="M82" s="293" t="str">
        <v>obj_00810#0001</v>
      </c>
      <c r="N82" s="176" t="str">
        <f>_xll.qlRateHelperQuoteName(M82)</f>
        <v>EUR1F5Y_Quote</v>
      </c>
      <c r="O82" s="164">
        <f>_xll.qlInterestRateIndexFixingDate(R82,_xll.qlRateHelperEarliestDate(M82,Trigger),)</f>
        <v>42451</v>
      </c>
      <c r="P82" s="191">
        <f>_xll.qlRateHelperQuoteValue(M82,_xll.ohTrigger(RecalcTrigger,YieldCurve))</f>
        <v>3.6700000000000001E-3</v>
      </c>
      <c r="Q82" s="194" t="str">
        <f t="shared" si="11"/>
        <v>5Y</v>
      </c>
      <c r="R82" s="194" t="str">
        <f>_xll.qlSwapIndex(,"Euribor",Q82,NDays,Currency,Calendar,"1Y","mf","30/360 (Bond Basis)",IborIndex,Discounting,,_xll.ohTrigger(Trigger,RecalcTrigger))</f>
        <v>obj_009b4#0001</v>
      </c>
      <c r="S82" s="194" t="str">
        <f>_xll.qlVanillaSwapFromSwapIndex(,R82,O82)</f>
        <v>obj_00b15#0001</v>
      </c>
      <c r="T82" s="181">
        <f>_xll.qlVanillaSwapFairRate(S82)</f>
        <v>3.646284754794529E-3</v>
      </c>
      <c r="U82" s="290">
        <f t="shared" si="12"/>
        <v>-2.3715245205471053E-5</v>
      </c>
      <c r="X82" s="176" t="str">
        <f t="shared" si="8"/>
        <v>1D</v>
      </c>
      <c r="Y82" s="164">
        <f>_xll.qlCalendarAdvance(Calendar,Y81,X82,"f",FALSE)</f>
        <v>42177</v>
      </c>
      <c r="Z82" s="188">
        <f>_xll.qlCalendarAdvance(Calendar,Y82,NDays&amp;"D")</f>
        <v>42179</v>
      </c>
      <c r="AA82" s="163">
        <v>8.2999999999982458E-4</v>
      </c>
      <c r="AB82" s="172">
        <v>6.6517720291869864E-4</v>
      </c>
    </row>
    <row r="83" spans="13:28" x14ac:dyDescent="0.2">
      <c r="M83" s="293" t="str">
        <v>obj_0087a#0001</v>
      </c>
      <c r="N83" s="176" t="str">
        <f>_xll.qlRateHelperQuoteName(M83)</f>
        <v>EUR1F6Y_Quote</v>
      </c>
      <c r="O83" s="164">
        <f>_xll.qlInterestRateIndexFixingDate(R83,_xll.qlRateHelperEarliestDate(M83,Trigger),)</f>
        <v>42451</v>
      </c>
      <c r="P83" s="191">
        <f>_xll.qlRateHelperQuoteValue(M83,_xll.ohTrigger(RecalcTrigger,YieldCurve))</f>
        <v>4.3200000000000009E-3</v>
      </c>
      <c r="Q83" s="194" t="str">
        <f t="shared" si="11"/>
        <v>6Y</v>
      </c>
      <c r="R83" s="194" t="str">
        <f>_xll.qlSwapIndex(,"Euribor",Q83,NDays,Currency,Calendar,"1Y","mf","30/360 (Bond Basis)",IborIndex,Discounting,,_xll.ohTrigger(Trigger,RecalcTrigger))</f>
        <v>obj_00987#0001</v>
      </c>
      <c r="S83" s="194" t="str">
        <f>_xll.qlVanillaSwapFromSwapIndex(,R83,O83)</f>
        <v>obj_00aca#0001</v>
      </c>
      <c r="T83" s="181">
        <f>_xll.qlVanillaSwapFairRate(S83)</f>
        <v>4.2926694199460907E-3</v>
      </c>
      <c r="U83" s="290">
        <f t="shared" si="12"/>
        <v>-2.7330580053910175E-5</v>
      </c>
      <c r="X83" s="176" t="str">
        <f t="shared" si="8"/>
        <v>1D</v>
      </c>
      <c r="Y83" s="164">
        <f>_xll.qlCalendarAdvance(Calendar,Y82,X83,"f",FALSE)</f>
        <v>42178</v>
      </c>
      <c r="Z83" s="188">
        <f>_xll.qlCalendarAdvance(Calendar,Y83,NDays&amp;"D")</f>
        <v>42180</v>
      </c>
      <c r="AA83" s="163">
        <v>8.208737499148718E-4</v>
      </c>
      <c r="AB83" s="172">
        <v>6.6367667545641496E-4</v>
      </c>
    </row>
    <row r="84" spans="13:28" x14ac:dyDescent="0.2">
      <c r="M84" s="293" t="str">
        <v>obj_00846#0001</v>
      </c>
      <c r="N84" s="176" t="str">
        <f>_xll.qlRateHelperQuoteName(M84)</f>
        <v>EUR1F7Y_Quote</v>
      </c>
      <c r="O84" s="164">
        <f>_xll.qlInterestRateIndexFixingDate(R84,_xll.qlRateHelperEarliestDate(M84,Trigger),)</f>
        <v>42451</v>
      </c>
      <c r="P84" s="191">
        <f>_xll.qlRateHelperQuoteValue(M84,_xll.ohTrigger(RecalcTrigger,YieldCurve))</f>
        <v>4.9400000000000008E-3</v>
      </c>
      <c r="Q84" s="194" t="str">
        <f t="shared" si="11"/>
        <v>7Y</v>
      </c>
      <c r="R84" s="194" t="str">
        <f>_xll.qlSwapIndex(,"Euribor",Q84,NDays,Currency,Calendar,"1Y","mf","30/360 (Bond Basis)",IborIndex,Discounting,,_xll.ohTrigger(Trigger,RecalcTrigger))</f>
        <v>obj_00954#0001</v>
      </c>
      <c r="S84" s="194" t="str">
        <f>_xll.qlVanillaSwapFromSwapIndex(,R84,O84)</f>
        <v>obj_00ae7#0001</v>
      </c>
      <c r="T84" s="181">
        <f>_xll.qlVanillaSwapFairRate(S84)</f>
        <v>4.9205700803283325E-3</v>
      </c>
      <c r="U84" s="290">
        <f t="shared" si="12"/>
        <v>-1.9429919671668308E-5</v>
      </c>
      <c r="X84" s="176" t="str">
        <f t="shared" si="8"/>
        <v>1D</v>
      </c>
      <c r="Y84" s="164">
        <f>_xll.qlCalendarAdvance(Calendar,Y83,X84,"f",FALSE)</f>
        <v>42179</v>
      </c>
      <c r="Z84" s="188">
        <f>_xll.qlCalendarAdvance(Calendar,Y84,NDays&amp;"D")</f>
        <v>42181</v>
      </c>
      <c r="AA84" s="163">
        <v>8.2172194894837385E-4</v>
      </c>
      <c r="AB84" s="172">
        <v>6.6158610811051233E-4</v>
      </c>
    </row>
    <row r="85" spans="13:28" x14ac:dyDescent="0.2">
      <c r="M85" s="293" t="str">
        <v>obj_00758#0001</v>
      </c>
      <c r="N85" s="176" t="str">
        <f>_xll.qlRateHelperQuoteName(M85)</f>
        <v>EUR1F8Y_Quote</v>
      </c>
      <c r="O85" s="164">
        <f>_xll.qlInterestRateIndexFixingDate(R85,_xll.qlRateHelperEarliestDate(M85,Trigger),)</f>
        <v>42451</v>
      </c>
      <c r="P85" s="191">
        <f>_xll.qlRateHelperQuoteValue(M85,_xll.ohTrigger(RecalcTrigger,YieldCurve))</f>
        <v>5.5300000000000002E-3</v>
      </c>
      <c r="Q85" s="194" t="str">
        <f t="shared" si="11"/>
        <v>8Y</v>
      </c>
      <c r="R85" s="194" t="str">
        <f>_xll.qlSwapIndex(,"Euribor",Q85,NDays,Currency,Calendar,"1Y","mf","30/360 (Bond Basis)",IborIndex,Discounting,,_xll.ohTrigger(Trigger,RecalcTrigger))</f>
        <v>obj_0095f#0001</v>
      </c>
      <c r="S85" s="194" t="str">
        <f>_xll.qlVanillaSwapFromSwapIndex(,R85,O85)</f>
        <v>obj_00af3#0001</v>
      </c>
      <c r="T85" s="181">
        <f>_xll.qlVanillaSwapFairRate(S85)</f>
        <v>5.5105582150810177E-3</v>
      </c>
      <c r="U85" s="290">
        <f t="shared" si="12"/>
        <v>-1.9441784918982491E-5</v>
      </c>
      <c r="X85" s="176" t="str">
        <f t="shared" ref="X85:X148" si="13">X84</f>
        <v>1D</v>
      </c>
      <c r="Y85" s="164">
        <f>_xll.qlCalendarAdvance(Calendar,Y84,X85,"f",FALSE)</f>
        <v>42180</v>
      </c>
      <c r="Z85" s="188">
        <f>_xll.qlCalendarAdvance(Calendar,Y85,NDays&amp;"D")</f>
        <v>42184</v>
      </c>
      <c r="AA85" s="163">
        <v>8.2166170936743914E-4</v>
      </c>
      <c r="AB85" s="172">
        <v>6.6040238086095826E-4</v>
      </c>
    </row>
    <row r="86" spans="13:28" x14ac:dyDescent="0.2">
      <c r="M86" s="293" t="str">
        <v>obj_00768#0001</v>
      </c>
      <c r="N86" s="176" t="str">
        <f>_xll.qlRateHelperQuoteName(M86)</f>
        <v>EUR1F9Y_Quote</v>
      </c>
      <c r="O86" s="164">
        <f>_xll.qlInterestRateIndexFixingDate(R86,_xll.qlRateHelperEarliestDate(M86,Trigger),)</f>
        <v>42451</v>
      </c>
      <c r="P86" s="191">
        <f>_xll.qlRateHelperQuoteValue(M86,_xll.ohTrigger(RecalcTrigger,YieldCurve))</f>
        <v>6.0400000000000002E-3</v>
      </c>
      <c r="Q86" s="194" t="str">
        <f t="shared" si="11"/>
        <v>9Y</v>
      </c>
      <c r="R86" s="194" t="str">
        <f>_xll.qlSwapIndex(,"Euribor",Q86,NDays,Currency,Calendar,"1Y","mf","30/360 (Bond Basis)",IborIndex,Discounting,,_xll.ohTrigger(Trigger,RecalcTrigger))</f>
        <v>obj_00953#0001</v>
      </c>
      <c r="S86" s="194" t="str">
        <f>_xll.qlVanillaSwapFromSwapIndex(,R86,O86)</f>
        <v>obj_00a31#0001</v>
      </c>
      <c r="T86" s="181">
        <f>_xll.qlVanillaSwapFairRate(S86)</f>
        <v>6.0212686930126861E-3</v>
      </c>
      <c r="U86" s="290">
        <f t="shared" si="12"/>
        <v>-1.8731306987314171E-5</v>
      </c>
      <c r="X86" s="176" t="str">
        <f t="shared" si="13"/>
        <v>1D</v>
      </c>
      <c r="Y86" s="164">
        <f>_xll.qlCalendarAdvance(Calendar,Y85,X86,"f",FALSE)</f>
        <v>42181</v>
      </c>
      <c r="Z86" s="188">
        <f>_xll.qlCalendarAdvance(Calendar,Y86,NDays&amp;"D")</f>
        <v>42185</v>
      </c>
      <c r="AA86" s="163">
        <v>8.1702995525862159E-4</v>
      </c>
      <c r="AB86" s="172">
        <v>3.2882897654396004E-3</v>
      </c>
    </row>
    <row r="87" spans="13:28" x14ac:dyDescent="0.2">
      <c r="M87" s="293" t="str">
        <v>obj_00793#0001</v>
      </c>
      <c r="N87" s="176" t="str">
        <f>_xll.qlRateHelperQuoteName(M87)</f>
        <v>EUR1F10Y_Quote</v>
      </c>
      <c r="O87" s="164">
        <f>_xll.qlInterestRateIndexFixingDate(R87,_xll.qlRateHelperEarliestDate(M87,Trigger),)</f>
        <v>42451</v>
      </c>
      <c r="P87" s="191">
        <f>_xll.qlRateHelperQuoteValue(M87,_xll.ohTrigger(RecalcTrigger,YieldCurve))</f>
        <v>6.5000000000000006E-3</v>
      </c>
      <c r="Q87" s="194" t="str">
        <f t="shared" si="11"/>
        <v>10Y</v>
      </c>
      <c r="R87" s="194" t="str">
        <f>_xll.qlSwapIndex(,"Euribor",Q87,NDays,Currency,Calendar,"1Y","mf","30/360 (Bond Basis)",IborIndex,Discounting,,_xll.ohTrigger(Trigger,RecalcTrigger))</f>
        <v>obj_008e5#0002</v>
      </c>
      <c r="S87" s="194" t="str">
        <f>_xll.qlVanillaSwapFromSwapIndex(,R87,O87)</f>
        <v>obj_00a6d#0001</v>
      </c>
      <c r="T87" s="181">
        <f>_xll.qlVanillaSwapFairRate(S87)</f>
        <v>6.4778325085813075E-3</v>
      </c>
      <c r="U87" s="290">
        <f t="shared" si="12"/>
        <v>-2.2167491418693085E-5</v>
      </c>
      <c r="X87" s="176" t="str">
        <f t="shared" si="13"/>
        <v>1D</v>
      </c>
      <c r="Y87" s="164">
        <f>_xll.qlCalendarAdvance(Calendar,Y86,X87,"f",FALSE)</f>
        <v>42184</v>
      </c>
      <c r="Z87" s="188">
        <f>_xll.qlCalendarAdvance(Calendar,Y87,NDays&amp;"D")</f>
        <v>42186</v>
      </c>
      <c r="AA87" s="163">
        <v>8.5013849163282555E-4</v>
      </c>
      <c r="AB87" s="172">
        <v>6.6040192250760299E-4</v>
      </c>
    </row>
    <row r="88" spans="13:28" x14ac:dyDescent="0.2">
      <c r="M88" s="293" t="str">
        <v>obj_007cf#0001</v>
      </c>
      <c r="N88" s="176" t="str">
        <f>_xll.qlRateHelperQuoteName(M88)</f>
        <v>EUR1F11Y_Quote</v>
      </c>
      <c r="O88" s="164">
        <f>_xll.qlInterestRateIndexFixingDate(R88,_xll.qlRateHelperEarliestDate(M88,Trigger),)</f>
        <v>42451</v>
      </c>
      <c r="P88" s="191">
        <f>_xll.qlRateHelperQuoteValue(M88,_xll.ohTrigger(RecalcTrigger,YieldCurve))</f>
        <v>6.9000000000000008E-3</v>
      </c>
      <c r="Q88" s="194" t="str">
        <f t="shared" si="11"/>
        <v>11Y</v>
      </c>
      <c r="R88" s="194" t="str">
        <f>_xll.qlSwapIndex(,"Euribor",Q88,NDays,Currency,Calendar,"1Y","mf","30/360 (Bond Basis)",IborIndex,Discounting,,_xll.ohTrigger(Trigger,RecalcTrigger))</f>
        <v>obj_0095c#0001</v>
      </c>
      <c r="S88" s="194" t="str">
        <f>_xll.qlVanillaSwapFromSwapIndex(,R88,O88)</f>
        <v>obj_00ac0#0001</v>
      </c>
      <c r="T88" s="181">
        <f>_xll.qlVanillaSwapFairRate(S88)</f>
        <v>6.8794128415099881E-3</v>
      </c>
      <c r="U88" s="290">
        <f t="shared" si="12"/>
        <v>-2.0587158490012643E-5</v>
      </c>
      <c r="X88" s="176" t="str">
        <f t="shared" si="13"/>
        <v>1D</v>
      </c>
      <c r="Y88" s="164">
        <f>_xll.qlCalendarAdvance(Calendar,Y87,X88,"f",FALSE)</f>
        <v>42185</v>
      </c>
      <c r="Z88" s="188">
        <f>_xll.qlCalendarAdvance(Calendar,Y88,NDays&amp;"D")</f>
        <v>42187</v>
      </c>
      <c r="AA88" s="163">
        <v>8.5115701930937502E-4</v>
      </c>
      <c r="AB88" s="172">
        <v>6.6081086562697067E-4</v>
      </c>
    </row>
    <row r="89" spans="13:28" x14ac:dyDescent="0.2">
      <c r="M89" s="293" t="str">
        <v>obj_00802#0001</v>
      </c>
      <c r="N89" s="176" t="str">
        <f>_xll.qlRateHelperQuoteName(M89)</f>
        <v>EUR1F12Y_Quote</v>
      </c>
      <c r="O89" s="164">
        <f>_xll.qlInterestRateIndexFixingDate(R89,_xll.qlRateHelperEarliestDate(M89,Trigger),)</f>
        <v>42451</v>
      </c>
      <c r="P89" s="191">
        <f>_xll.qlRateHelperQuoteValue(M89,_xll.ohTrigger(RecalcTrigger,YieldCurve))</f>
        <v>7.26E-3</v>
      </c>
      <c r="Q89" s="194" t="str">
        <f t="shared" si="11"/>
        <v>12Y</v>
      </c>
      <c r="R89" s="194" t="str">
        <f>_xll.qlSwapIndex(,"Euribor",Q89,NDays,Currency,Calendar,"1Y","mf","30/360 (Bond Basis)",IborIndex,Discounting,,_xll.ohTrigger(Trigger,RecalcTrigger))</f>
        <v>obj_009c7#0001</v>
      </c>
      <c r="S89" s="194" t="str">
        <f>_xll.qlVanillaSwapFromSwapIndex(,R89,O89)</f>
        <v>obj_00a3b#0001</v>
      </c>
      <c r="T89" s="181">
        <f>_xll.qlVanillaSwapFairRate(S89)</f>
        <v>7.2266771698512745E-3</v>
      </c>
      <c r="U89" s="290">
        <f t="shared" si="12"/>
        <v>-3.3322830148725495E-5</v>
      </c>
      <c r="X89" s="176" t="str">
        <f t="shared" si="13"/>
        <v>1D</v>
      </c>
      <c r="Y89" s="164">
        <f>_xll.qlCalendarAdvance(Calendar,Y88,X89,"f",FALSE)</f>
        <v>42186</v>
      </c>
      <c r="Z89" s="188">
        <f>_xll.qlCalendarAdvance(Calendar,Y89,NDays&amp;"D")</f>
        <v>42188</v>
      </c>
      <c r="AA89" s="163">
        <v>8.5218435318033998E-4</v>
      </c>
      <c r="AB89" s="172">
        <v>6.6253924280168519E-4</v>
      </c>
    </row>
    <row r="90" spans="13:28" x14ac:dyDescent="0.2">
      <c r="M90" s="293" t="str">
        <v>obj_00743#0001</v>
      </c>
      <c r="N90" s="176" t="str">
        <f>_xll.qlRateHelperQuoteName(M90)</f>
        <v>EUR1F13Y_Quote</v>
      </c>
      <c r="O90" s="164">
        <f>_xll.qlInterestRateIndexFixingDate(R90,_xll.qlRateHelperEarliestDate(M90,Trigger),)</f>
        <v>42451</v>
      </c>
      <c r="P90" s="191">
        <f>_xll.qlRateHelperQuoteValue(M90,_xll.ohTrigger(RecalcTrigger,YieldCurve))</f>
        <v>7.5500000000000003E-3</v>
      </c>
      <c r="Q90" s="194" t="str">
        <f t="shared" si="11"/>
        <v>13Y</v>
      </c>
      <c r="R90" s="194" t="str">
        <f>_xll.qlSwapIndex(,"Euribor",Q90,NDays,Currency,Calendar,"1Y","mf","30/360 (Bond Basis)",IborIndex,Discounting,,_xll.ohTrigger(Trigger,RecalcTrigger))</f>
        <v>obj_00923#0001</v>
      </c>
      <c r="S90" s="194" t="str">
        <f>_xll.qlVanillaSwapFromSwapIndex(,R90,O90)</f>
        <v>obj_00b2a#0001</v>
      </c>
      <c r="T90" s="181">
        <f>_xll.qlVanillaSwapFairRate(S90)</f>
        <v>7.5226056963246307E-3</v>
      </c>
      <c r="U90" s="290">
        <f t="shared" si="12"/>
        <v>-2.7394303675369602E-5</v>
      </c>
      <c r="X90" s="176" t="str">
        <f t="shared" si="13"/>
        <v>1D</v>
      </c>
      <c r="Y90" s="164">
        <f>_xll.qlCalendarAdvance(Calendar,Y89,X90,"f",FALSE)</f>
        <v>42187</v>
      </c>
      <c r="Z90" s="188">
        <f>_xll.qlCalendarAdvance(Calendar,Y90,NDays&amp;"D")</f>
        <v>42191</v>
      </c>
      <c r="AA90" s="163">
        <v>8.4900485706230144E-4</v>
      </c>
      <c r="AB90" s="172">
        <v>6.6517445303837519E-4</v>
      </c>
    </row>
    <row r="91" spans="13:28" x14ac:dyDescent="0.2">
      <c r="M91" s="293" t="str">
        <v>obj_00850#0001</v>
      </c>
      <c r="N91" s="176" t="str">
        <f>_xll.qlRateHelperQuoteName(M91)</f>
        <v>EUR1F14Y_Quote</v>
      </c>
      <c r="O91" s="164">
        <f>_xll.qlInterestRateIndexFixingDate(R91,_xll.qlRateHelperEarliestDate(M91,Trigger),)</f>
        <v>42451</v>
      </c>
      <c r="P91" s="191">
        <f>_xll.qlRateHelperQuoteValue(M91,_xll.ohTrigger(RecalcTrigger,YieldCurve))</f>
        <v>7.79E-3</v>
      </c>
      <c r="Q91" s="194" t="str">
        <f t="shared" si="11"/>
        <v>14Y</v>
      </c>
      <c r="R91" s="194" t="str">
        <f>_xll.qlSwapIndex(,"Euribor",Q91,NDays,Currency,Calendar,"1Y","mf","30/360 (Bond Basis)",IborIndex,Discounting,,_xll.ohTrigger(Trigger,RecalcTrigger))</f>
        <v>obj_009c6#0001</v>
      </c>
      <c r="S91" s="194" t="str">
        <f>_xll.qlVanillaSwapFromSwapIndex(,R91,O91)</f>
        <v>obj_00b41#0001</v>
      </c>
      <c r="T91" s="181">
        <f>_xll.qlVanillaSwapFairRate(S91)</f>
        <v>7.772660802547196E-3</v>
      </c>
      <c r="U91" s="290">
        <f t="shared" si="12"/>
        <v>-1.7339197452804003E-5</v>
      </c>
      <c r="X91" s="176" t="str">
        <f t="shared" si="13"/>
        <v>1D</v>
      </c>
      <c r="Y91" s="164">
        <f>_xll.qlCalendarAdvance(Calendar,Y90,X91,"f",FALSE)</f>
        <v>42188</v>
      </c>
      <c r="Z91" s="188">
        <f>_xll.qlCalendarAdvance(Calendar,Y91,NDays&amp;"D")</f>
        <v>42192</v>
      </c>
      <c r="AA91" s="163">
        <v>8.4686643525484599E-4</v>
      </c>
      <c r="AB91" s="172">
        <v>6.6694730370464583E-4</v>
      </c>
    </row>
    <row r="92" spans="13:28" x14ac:dyDescent="0.2">
      <c r="M92" s="293" t="str">
        <v>obj_007f4#0001</v>
      </c>
      <c r="N92" s="176" t="str">
        <f>_xll.qlRateHelperQuoteName(M92)</f>
        <v>EUR1F15Y_Quote</v>
      </c>
      <c r="O92" s="164">
        <f>_xll.qlInterestRateIndexFixingDate(R92,_xll.qlRateHelperEarliestDate(M92,Trigger),)</f>
        <v>42451</v>
      </c>
      <c r="P92" s="191">
        <f>_xll.qlRateHelperQuoteValue(M92,_xll.ohTrigger(RecalcTrigger,YieldCurve))</f>
        <v>8.0000000000000002E-3</v>
      </c>
      <c r="Q92" s="194" t="str">
        <f t="shared" si="11"/>
        <v>15Y</v>
      </c>
      <c r="R92" s="194" t="str">
        <f>_xll.qlSwapIndex(,"Euribor",Q92,NDays,Currency,Calendar,"1Y","mf","30/360 (Bond Basis)",IborIndex,Discounting,,_xll.ohTrigger(Trigger,RecalcTrigger))</f>
        <v>obj_009fc#0001</v>
      </c>
      <c r="S92" s="194" t="str">
        <f>_xll.qlVanillaSwapFromSwapIndex(,R92,O92)</f>
        <v>obj_00aff#0001</v>
      </c>
      <c r="T92" s="181">
        <f>_xll.qlVanillaSwapFairRate(S92)</f>
        <v>7.9847451787549741E-3</v>
      </c>
      <c r="U92" s="290">
        <f t="shared" si="12"/>
        <v>-1.5254821245026112E-5</v>
      </c>
      <c r="X92" s="176" t="str">
        <f t="shared" si="13"/>
        <v>1D</v>
      </c>
      <c r="Y92" s="164">
        <f>_xll.qlCalendarAdvance(Calendar,Y91,X92,"f",FALSE)</f>
        <v>42191</v>
      </c>
      <c r="Z92" s="188">
        <f>_xll.qlCalendarAdvance(Calendar,Y92,NDays&amp;"D")</f>
        <v>42193</v>
      </c>
      <c r="AA92" s="163">
        <v>8.4471337510424419E-4</v>
      </c>
      <c r="AB92" s="172">
        <v>6.6899293576838659E-4</v>
      </c>
    </row>
    <row r="93" spans="13:28" x14ac:dyDescent="0.2">
      <c r="M93" s="293" t="str">
        <v>obj_0088c#0001</v>
      </c>
      <c r="N93" s="176" t="str">
        <f>_xll.qlRateHelperQuoteName(M93)</f>
        <v>EUR1F20Y_Quote</v>
      </c>
      <c r="O93" s="164">
        <f>_xll.qlInterestRateIndexFixingDate(R93,_xll.qlRateHelperEarliestDate(M93,Trigger),)</f>
        <v>42451</v>
      </c>
      <c r="P93" s="191">
        <f>_xll.qlRateHelperQuoteValue(M93,_xll.ohTrigger(RecalcTrigger,YieldCurve))</f>
        <v>8.6800000000000002E-3</v>
      </c>
      <c r="Q93" s="194" t="str">
        <f t="shared" si="11"/>
        <v>20Y</v>
      </c>
      <c r="R93" s="194" t="str">
        <f>_xll.qlSwapIndex(,"Euribor",Q93,NDays,Currency,Calendar,"1Y","mf","30/360 (Bond Basis)",IborIndex,Discounting,,_xll.ohTrigger(Trigger,RecalcTrigger))</f>
        <v>obj_009bb#0001</v>
      </c>
      <c r="S93" s="194" t="str">
        <f>_xll.qlVanillaSwapFromSwapIndex(,R93,O93)</f>
        <v>obj_00ae3#0001</v>
      </c>
      <c r="T93" s="181">
        <f>_xll.qlVanillaSwapFairRate(S93)</f>
        <v>8.6570519764353968E-3</v>
      </c>
      <c r="U93" s="290">
        <f t="shared" si="12"/>
        <v>-2.2948023564603459E-5</v>
      </c>
      <c r="X93" s="176" t="str">
        <f t="shared" si="13"/>
        <v>1D</v>
      </c>
      <c r="Y93" s="164">
        <f>_xll.qlCalendarAdvance(Calendar,Y92,X93,"f",FALSE)</f>
        <v>42192</v>
      </c>
      <c r="Z93" s="188">
        <f>_xll.qlCalendarAdvance(Calendar,Y93,NDays&amp;"D")</f>
        <v>42194</v>
      </c>
      <c r="AA93" s="163">
        <v>8.3643533974924042E-4</v>
      </c>
      <c r="AB93" s="172">
        <v>6.7131134954934168E-4</v>
      </c>
    </row>
    <row r="94" spans="13:28" x14ac:dyDescent="0.2">
      <c r="M94" s="293" t="str">
        <v>obj_007ac#0001</v>
      </c>
      <c r="N94" s="176" t="str">
        <f>_xll.qlRateHelperQuoteName(M94)</f>
        <v>EUR1F25Y_Quote</v>
      </c>
      <c r="O94" s="164">
        <f>_xll.qlInterestRateIndexFixingDate(R94,_xll.qlRateHelperEarliestDate(M94,Trigger),)</f>
        <v>42451</v>
      </c>
      <c r="P94" s="191">
        <f>_xll.qlRateHelperQuoteValue(M94,_xll.ohTrigger(RecalcTrigger,YieldCurve))</f>
        <v>9.0199999999999985E-3</v>
      </c>
      <c r="Q94" s="194" t="str">
        <f t="shared" si="11"/>
        <v>25Y</v>
      </c>
      <c r="R94" s="194" t="str">
        <f>_xll.qlSwapIndex(,"Euribor",Q94,NDays,Currency,Calendar,"1Y","mf","30/360 (Bond Basis)",IborIndex,Discounting,,_xll.ohTrigger(Trigger,RecalcTrigger))</f>
        <v>obj_00906#0001</v>
      </c>
      <c r="S94" s="194" t="str">
        <f>_xll.qlVanillaSwapFromSwapIndex(,R94,O94)</f>
        <v>obj_00a45#0001</v>
      </c>
      <c r="T94" s="181">
        <f>_xll.qlVanillaSwapFairRate(S94)</f>
        <v>8.9920678720830215E-3</v>
      </c>
      <c r="U94" s="290">
        <f t="shared" si="12"/>
        <v>-2.7932127916976968E-5</v>
      </c>
      <c r="X94" s="176" t="str">
        <f t="shared" si="13"/>
        <v>1D</v>
      </c>
      <c r="Y94" s="164">
        <f>_xll.qlCalendarAdvance(Calendar,Y93,X94,"f",FALSE)</f>
        <v>42193</v>
      </c>
      <c r="Z94" s="188">
        <f>_xll.qlCalendarAdvance(Calendar,Y94,NDays&amp;"D")</f>
        <v>42195</v>
      </c>
      <c r="AA94" s="163">
        <v>8.3732634045099335E-4</v>
      </c>
      <c r="AB94" s="172">
        <v>6.7685872120470947E-4</v>
      </c>
    </row>
    <row r="95" spans="13:28" ht="12" thickBot="1" x14ac:dyDescent="0.25">
      <c r="M95" s="294" t="str">
        <v>obj_0078f#0001</v>
      </c>
      <c r="N95" s="177" t="str">
        <f>_xll.qlRateHelperQuoteName(M95)</f>
        <v>EUR1F30Y_Quote</v>
      </c>
      <c r="O95" s="174">
        <f>_xll.qlInterestRateIndexFixingDate(R95,_xll.qlRateHelperEarliestDate(M95,Trigger),)</f>
        <v>42451</v>
      </c>
      <c r="P95" s="192">
        <f>_xll.qlRateHelperQuoteValue(M95,_xll.ohTrigger(RecalcTrigger,YieldCurve))</f>
        <v>9.2399999999999999E-3</v>
      </c>
      <c r="Q95" s="195" t="str">
        <f t="shared" si="11"/>
        <v>30Y</v>
      </c>
      <c r="R95" s="195" t="str">
        <f>_xll.qlSwapIndex(,"Euribor",Q95,NDays,Currency,Calendar,"1Y","mf","30/360 (Bond Basis)",IborIndex,Discounting,,_xll.ohTrigger(Trigger,RecalcTrigger))</f>
        <v>obj_0090e#0001</v>
      </c>
      <c r="S95" s="195" t="str">
        <f>_xll.qlVanillaSwapFromSwapIndex(,R95,O95)</f>
        <v>obj_00ada#0001</v>
      </c>
      <c r="T95" s="183">
        <f>_xll.qlVanillaSwapFairRate(S95)</f>
        <v>9.2179869930104075E-3</v>
      </c>
      <c r="U95" s="291">
        <f t="shared" si="12"/>
        <v>-2.2013006989592479E-5</v>
      </c>
      <c r="X95" s="176" t="str">
        <f t="shared" si="13"/>
        <v>1D</v>
      </c>
      <c r="Y95" s="164">
        <f>_xll.qlCalendarAdvance(Calendar,Y94,X95,"f",FALSE)</f>
        <v>42194</v>
      </c>
      <c r="Z95" s="188">
        <f>_xll.qlCalendarAdvance(Calendar,Y95,NDays&amp;"D")</f>
        <v>42198</v>
      </c>
      <c r="AA95" s="163">
        <v>8.3389152732026451E-4</v>
      </c>
      <c r="AB95" s="172">
        <v>6.8331281944722377E-4</v>
      </c>
    </row>
    <row r="96" spans="13:28" x14ac:dyDescent="0.2">
      <c r="M96" s="295" t="str">
        <v>obj_00745#0001</v>
      </c>
      <c r="N96" s="279" t="str">
        <f>_xll.qlRateHelperQuoteName(M96)</f>
        <v>EUR2F1Y_Quote</v>
      </c>
      <c r="O96" s="276">
        <f>_xll.qlInterestRateIndexFixingDate(R96,_xll.qlRateHelperEarliestDate(M96,Trigger),)</f>
        <v>42816</v>
      </c>
      <c r="P96" s="277">
        <f>_xll.qlRateHelperQuoteValue(M96,_xll.ohTrigger(RecalcTrigger,YieldCurve))</f>
        <v>2.0899999999999998E-3</v>
      </c>
      <c r="Q96" s="275" t="str">
        <f t="shared" ref="Q96:Q113" si="14">SUBSTITUTE(SUBSTITUTE(N96,"_Quote",""),"EUR2F","")</f>
        <v>1Y</v>
      </c>
      <c r="R96" s="275" t="str">
        <f>_xll.qlSwapIndex(,"Euribor",Q96,NDays,Currency,Calendar,"1Y","mf","30/360 (Bond Basis)",IborIndex,Discounting,,_xll.ohTrigger(Trigger,RecalcTrigger))</f>
        <v>obj_00986#0001</v>
      </c>
      <c r="S96" s="275" t="str">
        <f>_xll.qlVanillaSwapFromSwapIndex(,R96,O96)</f>
        <v>obj_00b3a#0001</v>
      </c>
      <c r="T96" s="278">
        <f>_xll.qlVanillaSwapFairRate(S96)</f>
        <v>2.097885118963594E-3</v>
      </c>
      <c r="U96" s="292">
        <f t="shared" si="12"/>
        <v>7.885118963594194E-6</v>
      </c>
      <c r="X96" s="176" t="str">
        <f t="shared" si="13"/>
        <v>1D</v>
      </c>
      <c r="Y96" s="164">
        <f>_xll.qlCalendarAdvance(Calendar,Y95,X96,"f",FALSE)</f>
        <v>42195</v>
      </c>
      <c r="Z96" s="188">
        <f>_xll.qlCalendarAdvance(Calendar,Y96,NDays&amp;"D")</f>
        <v>42199</v>
      </c>
      <c r="AA96" s="163">
        <v>8.3174845368996905E-4</v>
      </c>
      <c r="AB96" s="172">
        <v>6.8699514093495395E-4</v>
      </c>
    </row>
    <row r="97" spans="13:28" x14ac:dyDescent="0.2">
      <c r="M97" s="293" t="str">
        <v>obj_00851#0001</v>
      </c>
      <c r="N97" s="176" t="str">
        <f>_xll.qlRateHelperQuoteName(M97)</f>
        <v>EUR2F2Y_Quote</v>
      </c>
      <c r="O97" s="164">
        <f>_xll.qlInterestRateIndexFixingDate(R97,_xll.qlRateHelperEarliestDate(M97,Trigger),)</f>
        <v>42816</v>
      </c>
      <c r="P97" s="191">
        <f>_xll.qlRateHelperQuoteValue(M97,_xll.ohTrigger(RecalcTrigger,YieldCurve))</f>
        <v>2.8999999999999998E-3</v>
      </c>
      <c r="Q97" s="194" t="str">
        <f t="shared" si="14"/>
        <v>2Y</v>
      </c>
      <c r="R97" s="194" t="str">
        <f>_xll.qlSwapIndex(,"Euribor",Q97,NDays,Currency,Calendar,"1Y","mf","30/360 (Bond Basis)",IborIndex,Discounting,,_xll.ohTrigger(Trigger,RecalcTrigger))</f>
        <v>obj_00966#0001</v>
      </c>
      <c r="S97" s="194" t="str">
        <f>_xll.qlVanillaSwapFromSwapIndex(,R97,O97)</f>
        <v>obj_00a21#0001</v>
      </c>
      <c r="T97" s="181">
        <f>_xll.qlVanillaSwapFairRate(S97)</f>
        <v>2.8794152832057607E-3</v>
      </c>
      <c r="U97" s="290">
        <f t="shared" si="12"/>
        <v>-2.0584716794239122E-5</v>
      </c>
      <c r="X97" s="176" t="str">
        <f t="shared" si="13"/>
        <v>1D</v>
      </c>
      <c r="Y97" s="164">
        <f>_xll.qlCalendarAdvance(Calendar,Y96,X97,"f",FALSE)</f>
        <v>42198</v>
      </c>
      <c r="Z97" s="188">
        <f>_xll.qlCalendarAdvance(Calendar,Y97,NDays&amp;"D")</f>
        <v>42200</v>
      </c>
      <c r="AA97" s="163">
        <v>8.2962334705104657E-4</v>
      </c>
      <c r="AB97" s="172">
        <v>6.9095024382015424E-4</v>
      </c>
    </row>
    <row r="98" spans="13:28" x14ac:dyDescent="0.2">
      <c r="M98" s="293" t="str">
        <v>obj_0088b#0001</v>
      </c>
      <c r="N98" s="176" t="str">
        <f>_xll.qlRateHelperQuoteName(M98)</f>
        <v>EUR2F3Y_Quote</v>
      </c>
      <c r="O98" s="164">
        <f>_xll.qlInterestRateIndexFixingDate(R98,_xll.qlRateHelperEarliestDate(M98,Trigger),)</f>
        <v>42816</v>
      </c>
      <c r="P98" s="191">
        <f>_xll.qlRateHelperQuoteValue(M98,_xll.ohTrigger(RecalcTrigger,YieldCurve))</f>
        <v>3.65E-3</v>
      </c>
      <c r="Q98" s="194" t="str">
        <f t="shared" si="14"/>
        <v>3Y</v>
      </c>
      <c r="R98" s="194" t="str">
        <f>_xll.qlSwapIndex(,"Euribor",Q98,NDays,Currency,Calendar,"1Y","mf","30/360 (Bond Basis)",IborIndex,Discounting,,_xll.ohTrigger(Trigger,RecalcTrigger))</f>
        <v>obj_0092d#0001</v>
      </c>
      <c r="S98" s="194" t="str">
        <f>_xll.qlVanillaSwapFromSwapIndex(,R98,O98)</f>
        <v>obj_00abe#0001</v>
      </c>
      <c r="T98" s="181">
        <f>_xll.qlVanillaSwapFairRate(S98)</f>
        <v>3.6177047063582208E-3</v>
      </c>
      <c r="U98" s="290">
        <f t="shared" si="12"/>
        <v>-3.2295293641779188E-5</v>
      </c>
      <c r="X98" s="176" t="str">
        <f t="shared" si="13"/>
        <v>1D</v>
      </c>
      <c r="Y98" s="164">
        <f>_xll.qlCalendarAdvance(Calendar,Y97,X98,"f",FALSE)</f>
        <v>42199</v>
      </c>
      <c r="Z98" s="188">
        <f>_xll.qlCalendarAdvance(Calendar,Y98,NDays&amp;"D")</f>
        <v>42201</v>
      </c>
      <c r="AA98" s="163">
        <v>8.2205101198248767E-4</v>
      </c>
      <c r="AB98" s="172">
        <v>6.9517812826269676E-4</v>
      </c>
    </row>
    <row r="99" spans="13:28" x14ac:dyDescent="0.2">
      <c r="M99" s="293" t="str">
        <v>obj_007fc#0001</v>
      </c>
      <c r="N99" s="176" t="str">
        <f>_xll.qlRateHelperQuoteName(M99)</f>
        <v>EUR2F4Y_Quote</v>
      </c>
      <c r="O99" s="164">
        <f>_xll.qlInterestRateIndexFixingDate(R99,_xll.qlRateHelperEarliestDate(M99,Trigger),)</f>
        <v>42816</v>
      </c>
      <c r="P99" s="191">
        <f>_xll.qlRateHelperQuoteValue(M99,_xll.ohTrigger(RecalcTrigger,YieldCurve))</f>
        <v>4.3499999999999997E-3</v>
      </c>
      <c r="Q99" s="194" t="str">
        <f t="shared" si="14"/>
        <v>4Y</v>
      </c>
      <c r="R99" s="194" t="str">
        <f>_xll.qlSwapIndex(,"Euribor",Q99,NDays,Currency,Calendar,"1Y","mf","30/360 (Bond Basis)",IborIndex,Discounting,,_xll.ohTrigger(Trigger,RecalcTrigger))</f>
        <v>obj_009db#0001</v>
      </c>
      <c r="S99" s="194" t="str">
        <f>_xll.qlVanillaSwapFromSwapIndex(,R99,O99)</f>
        <v>obj_00a74#0001</v>
      </c>
      <c r="T99" s="181">
        <f>_xll.qlVanillaSwapFairRate(S99)</f>
        <v>4.3222630500158558E-3</v>
      </c>
      <c r="U99" s="290">
        <f t="shared" si="12"/>
        <v>-2.773694998414386E-5</v>
      </c>
      <c r="X99" s="176" t="str">
        <f t="shared" si="13"/>
        <v>1D</v>
      </c>
      <c r="Y99" s="164">
        <f>_xll.qlCalendarAdvance(Calendar,Y98,X99,"f",FALSE)</f>
        <v>42200</v>
      </c>
      <c r="Z99" s="188">
        <f>_xll.qlCalendarAdvance(Calendar,Y99,NDays&amp;"D")</f>
        <v>42202</v>
      </c>
      <c r="AA99" s="163">
        <v>8.2273522261097111E-4</v>
      </c>
      <c r="AB99" s="172">
        <v>7.0454454808910327E-4</v>
      </c>
    </row>
    <row r="100" spans="13:28" x14ac:dyDescent="0.2">
      <c r="M100" s="293" t="str">
        <v>obj_00853#0001</v>
      </c>
      <c r="N100" s="176" t="str">
        <f>_xll.qlRateHelperQuoteName(M100)</f>
        <v>EUR2F5Y_Quote</v>
      </c>
      <c r="O100" s="164">
        <f>_xll.qlInterestRateIndexFixingDate(R100,_xll.qlRateHelperEarliestDate(M100,Trigger),)</f>
        <v>42816</v>
      </c>
      <c r="P100" s="191">
        <f>_xll.qlRateHelperQuoteValue(M100,_xll.ohTrigger(RecalcTrigger,YieldCurve))</f>
        <v>4.9899999999999996E-3</v>
      </c>
      <c r="Q100" s="194" t="str">
        <f t="shared" si="14"/>
        <v>5Y</v>
      </c>
      <c r="R100" s="194" t="str">
        <f>_xll.qlSwapIndex(,"Euribor",Q100,NDays,Currency,Calendar,"1Y","mf","30/360 (Bond Basis)",IborIndex,Discounting,,_xll.ohTrigger(Trigger,RecalcTrigger))</f>
        <v>obj_009bf#0001</v>
      </c>
      <c r="S100" s="194" t="str">
        <f>_xll.qlVanillaSwapFromSwapIndex(,R100,O100)</f>
        <v>obj_00aac#0001</v>
      </c>
      <c r="T100" s="181">
        <f>_xll.qlVanillaSwapFairRate(S100)</f>
        <v>4.9641592106173249E-3</v>
      </c>
      <c r="U100" s="290">
        <f t="shared" si="12"/>
        <v>-2.5840789382674742E-5</v>
      </c>
      <c r="X100" s="176" t="str">
        <f t="shared" si="13"/>
        <v>1D</v>
      </c>
      <c r="Y100" s="164">
        <f>_xll.qlCalendarAdvance(Calendar,Y99,X100,"f",FALSE)</f>
        <v>42201</v>
      </c>
      <c r="Z100" s="188">
        <f>_xll.qlCalendarAdvance(Calendar,Y100,NDays&amp;"D")</f>
        <v>42205</v>
      </c>
      <c r="AA100" s="163">
        <v>8.1943034188852021E-4</v>
      </c>
      <c r="AB100" s="172">
        <v>7.1481748224577757E-4</v>
      </c>
    </row>
    <row r="101" spans="13:28" x14ac:dyDescent="0.2">
      <c r="M101" s="293" t="str">
        <v>obj_0077c#0001</v>
      </c>
      <c r="N101" s="176" t="str">
        <f>_xll.qlRateHelperQuoteName(M101)</f>
        <v>EUR2F6Y_Quote</v>
      </c>
      <c r="O101" s="164">
        <f>_xll.qlInterestRateIndexFixingDate(R101,_xll.qlRateHelperEarliestDate(M101,Trigger),)</f>
        <v>42816</v>
      </c>
      <c r="P101" s="191">
        <f>_xll.qlRateHelperQuoteValue(M101,_xll.ohTrigger(RecalcTrigger,YieldCurve))</f>
        <v>5.6100000000000004E-3</v>
      </c>
      <c r="Q101" s="194" t="str">
        <f t="shared" si="14"/>
        <v>6Y</v>
      </c>
      <c r="R101" s="194" t="str">
        <f>_xll.qlSwapIndex(,"Euribor",Q101,NDays,Currency,Calendar,"1Y","mf","30/360 (Bond Basis)",IborIndex,Discounting,,_xll.ohTrigger(Trigger,RecalcTrigger))</f>
        <v>obj_0090d#0001</v>
      </c>
      <c r="S101" s="194" t="str">
        <f>_xll.qlVanillaSwapFromSwapIndex(,R101,O101)</f>
        <v>obj_00b39#0001</v>
      </c>
      <c r="T101" s="181">
        <f>_xll.qlVanillaSwapFairRate(S101)</f>
        <v>5.5866294715410892E-3</v>
      </c>
      <c r="U101" s="290">
        <f t="shared" si="12"/>
        <v>-2.3370528458911168E-5</v>
      </c>
      <c r="X101" s="176" t="str">
        <f t="shared" si="13"/>
        <v>1D</v>
      </c>
      <c r="Y101" s="164">
        <f>_xll.qlCalendarAdvance(Calendar,Y100,X101,"f",FALSE)</f>
        <v>42202</v>
      </c>
      <c r="Z101" s="188">
        <f>_xll.qlCalendarAdvance(Calendar,Y101,NDays&amp;"D")</f>
        <v>42206</v>
      </c>
      <c r="AA101" s="163">
        <v>8.175108508406729E-4</v>
      </c>
      <c r="AB101" s="172">
        <v>7.2040927479477546E-4</v>
      </c>
    </row>
    <row r="102" spans="13:28" x14ac:dyDescent="0.2">
      <c r="M102" s="293" t="str">
        <v>obj_00844#0001</v>
      </c>
      <c r="N102" s="176" t="str">
        <f>_xll.qlRateHelperQuoteName(M102)</f>
        <v>EUR2F7Y_Quote</v>
      </c>
      <c r="O102" s="164">
        <f>_xll.qlInterestRateIndexFixingDate(R102,_xll.qlRateHelperEarliestDate(M102,Trigger),)</f>
        <v>42816</v>
      </c>
      <c r="P102" s="191">
        <f>_xll.qlRateHelperQuoteValue(M102,_xll.ohTrigger(RecalcTrigger,YieldCurve))</f>
        <v>6.1900000000000002E-3</v>
      </c>
      <c r="Q102" s="194" t="str">
        <f t="shared" si="14"/>
        <v>7Y</v>
      </c>
      <c r="R102" s="194" t="str">
        <f>_xll.qlSwapIndex(,"Euribor",Q102,NDays,Currency,Calendar,"1Y","mf","30/360 (Bond Basis)",IborIndex,Discounting,,_xll.ohTrigger(Trigger,RecalcTrigger))</f>
        <v>obj_008d2#0002</v>
      </c>
      <c r="S102" s="194" t="str">
        <f>_xll.qlVanillaSwapFromSwapIndex(,R102,O102)</f>
        <v>obj_00a82#0001</v>
      </c>
      <c r="T102" s="181">
        <f>_xll.qlVanillaSwapFairRate(S102)</f>
        <v>6.167680480828646E-3</v>
      </c>
      <c r="U102" s="290">
        <f t="shared" si="12"/>
        <v>-2.2319519171354156E-5</v>
      </c>
      <c r="X102" s="176" t="str">
        <f t="shared" si="13"/>
        <v>1D</v>
      </c>
      <c r="Y102" s="164">
        <f>_xll.qlCalendarAdvance(Calendar,Y101,X102,"f",FALSE)</f>
        <v>42205</v>
      </c>
      <c r="Z102" s="188">
        <f>_xll.qlCalendarAdvance(Calendar,Y102,NDays&amp;"D")</f>
        <v>42207</v>
      </c>
      <c r="AA102" s="163">
        <v>8.1564193116860824E-4</v>
      </c>
      <c r="AB102" s="172">
        <v>7.2627384898105163E-4</v>
      </c>
    </row>
    <row r="103" spans="13:28" x14ac:dyDescent="0.2">
      <c r="M103" s="293" t="str">
        <v>obj_0082d#0001</v>
      </c>
      <c r="N103" s="176" t="str">
        <f>_xll.qlRateHelperQuoteName(M103)</f>
        <v>EUR2F8Y_Quote</v>
      </c>
      <c r="O103" s="164">
        <f>_xll.qlInterestRateIndexFixingDate(R103,_xll.qlRateHelperEarliestDate(M103,Trigger),)</f>
        <v>42816</v>
      </c>
      <c r="P103" s="191">
        <f>_xll.qlRateHelperQuoteValue(M103,_xll.ohTrigger(RecalcTrigger,YieldCurve))</f>
        <v>6.6900000000000006E-3</v>
      </c>
      <c r="Q103" s="194" t="str">
        <f t="shared" si="14"/>
        <v>8Y</v>
      </c>
      <c r="R103" s="194" t="str">
        <f>_xll.qlSwapIndex(,"Euribor",Q103,NDays,Currency,Calendar,"1Y","mf","30/360 (Bond Basis)",IborIndex,Discounting,,_xll.ohTrigger(Trigger,RecalcTrigger))</f>
        <v>obj_00996#0001</v>
      </c>
      <c r="S103" s="194" t="str">
        <f>_xll.qlVanillaSwapFromSwapIndex(,R103,O103)</f>
        <v>obj_00b56#0001</v>
      </c>
      <c r="T103" s="181">
        <f>_xll.qlVanillaSwapFairRate(S103)</f>
        <v>6.6626926318494187E-3</v>
      </c>
      <c r="U103" s="290">
        <f t="shared" si="12"/>
        <v>-2.730736815058192E-5</v>
      </c>
      <c r="X103" s="176" t="str">
        <f t="shared" si="13"/>
        <v>1D</v>
      </c>
      <c r="Y103" s="164">
        <f>_xll.qlCalendarAdvance(Calendar,Y102,X103,"f",FALSE)</f>
        <v>42206</v>
      </c>
      <c r="Z103" s="188">
        <f>_xll.qlCalendarAdvance(Calendar,Y103,NDays&amp;"D")</f>
        <v>42208</v>
      </c>
      <c r="AA103" s="163">
        <v>8.0958449500505064E-4</v>
      </c>
      <c r="AB103" s="172">
        <v>7.3241120480460609E-4</v>
      </c>
    </row>
    <row r="104" spans="13:28" x14ac:dyDescent="0.2">
      <c r="M104" s="293" t="str">
        <v>obj_0073f#0001</v>
      </c>
      <c r="N104" s="176" t="str">
        <f>_xll.qlRateHelperQuoteName(M104)</f>
        <v>EUR2F9Y_Quote</v>
      </c>
      <c r="O104" s="164">
        <f>_xll.qlInterestRateIndexFixingDate(R104,_xll.qlRateHelperEarliestDate(M104,Trigger),)</f>
        <v>42816</v>
      </c>
      <c r="P104" s="191">
        <f>_xll.qlRateHelperQuoteValue(M104,_xll.ohTrigger(RecalcTrigger,YieldCurve))</f>
        <v>7.1199999999999996E-3</v>
      </c>
      <c r="Q104" s="194" t="str">
        <f t="shared" si="14"/>
        <v>9Y</v>
      </c>
      <c r="R104" s="194" t="str">
        <f>_xll.qlSwapIndex(,"Euribor",Q104,NDays,Currency,Calendar,"1Y","mf","30/360 (Bond Basis)",IborIndex,Discounting,,_xll.ohTrigger(Trigger,RecalcTrigger))</f>
        <v>obj_009a7#0001</v>
      </c>
      <c r="S104" s="194" t="str">
        <f>_xll.qlVanillaSwapFromSwapIndex(,R104,O104)</f>
        <v>obj_00b65#0001</v>
      </c>
      <c r="T104" s="181">
        <f>_xll.qlVanillaSwapFairRate(S104)</f>
        <v>7.1012594704223993E-3</v>
      </c>
      <c r="U104" s="290">
        <f t="shared" si="12"/>
        <v>-1.8740529577600251E-5</v>
      </c>
      <c r="X104" s="176" t="str">
        <f t="shared" si="13"/>
        <v>1D</v>
      </c>
      <c r="Y104" s="164">
        <f>_xll.qlCalendarAdvance(Calendar,Y103,X104,"f",FALSE)</f>
        <v>42207</v>
      </c>
      <c r="Z104" s="188">
        <f>_xll.qlCalendarAdvance(Calendar,Y104,NDays&amp;"D")</f>
        <v>42209</v>
      </c>
      <c r="AA104" s="163">
        <v>8.1000000000001351E-4</v>
      </c>
      <c r="AB104" s="172">
        <v>7.447818848049792E-4</v>
      </c>
    </row>
    <row r="105" spans="13:28" x14ac:dyDescent="0.2">
      <c r="M105" s="293" t="str">
        <v>obj_00751#0001</v>
      </c>
      <c r="N105" s="176" t="str">
        <f>_xll.qlRateHelperQuoteName(M105)</f>
        <v>EUR2F10Y_Quote</v>
      </c>
      <c r="O105" s="164">
        <f>_xll.qlInterestRateIndexFixingDate(R105,_xll.qlRateHelperEarliestDate(M105,Trigger),)</f>
        <v>42816</v>
      </c>
      <c r="P105" s="191">
        <f>_xll.qlRateHelperQuoteValue(M105,_xll.ohTrigger(RecalcTrigger,YieldCurve))</f>
        <v>7.5100000000000002E-3</v>
      </c>
      <c r="Q105" s="194" t="str">
        <f t="shared" si="14"/>
        <v>10Y</v>
      </c>
      <c r="R105" s="194" t="str">
        <f>_xll.qlSwapIndex(,"Euribor",Q105,NDays,Currency,Calendar,"1Y","mf","30/360 (Bond Basis)",IborIndex,Discounting,,_xll.ohTrigger(Trigger,RecalcTrigger))</f>
        <v>obj_009ab#0001</v>
      </c>
      <c r="S105" s="194" t="str">
        <f>_xll.qlVanillaSwapFromSwapIndex(,R105,O105)</f>
        <v>obj_00a3a#0001</v>
      </c>
      <c r="T105" s="181">
        <f>_xll.qlVanillaSwapFairRate(S105)</f>
        <v>7.4832957272716084E-3</v>
      </c>
      <c r="U105" s="290">
        <f t="shared" si="12"/>
        <v>-2.6704272728391744E-5</v>
      </c>
      <c r="X105" s="176" t="str">
        <f t="shared" si="13"/>
        <v>1D</v>
      </c>
      <c r="Y105" s="164">
        <f>_xll.qlCalendarAdvance(Calendar,Y104,X105,"f",FALSE)</f>
        <v>42208</v>
      </c>
      <c r="Z105" s="188">
        <f>_xll.qlCalendarAdvance(Calendar,Y105,NDays&amp;"D")</f>
        <v>42212</v>
      </c>
      <c r="AA105" s="163">
        <v>8.0721878639345855E-4</v>
      </c>
      <c r="AB105" s="172">
        <v>7.5633852804735113E-4</v>
      </c>
    </row>
    <row r="106" spans="13:28" x14ac:dyDescent="0.2">
      <c r="M106" s="293" t="str">
        <v>obj_007cd#0001</v>
      </c>
      <c r="N106" s="176" t="str">
        <f>_xll.qlRateHelperQuoteName(M106)</f>
        <v>EUR2F11Y_Quote</v>
      </c>
      <c r="O106" s="164">
        <f>_xll.qlInterestRateIndexFixingDate(R106,_xll.qlRateHelperEarliestDate(M106,Trigger),)</f>
        <v>42816</v>
      </c>
      <c r="P106" s="191">
        <f>_xll.qlRateHelperQuoteValue(M106,_xll.ohTrigger(RecalcTrigger,YieldCurve))</f>
        <v>7.8499999999999993E-3</v>
      </c>
      <c r="Q106" s="194" t="str">
        <f t="shared" si="14"/>
        <v>11Y</v>
      </c>
      <c r="R106" s="194" t="str">
        <f>_xll.qlSwapIndex(,"Euribor",Q106,NDays,Currency,Calendar,"1Y","mf","30/360 (Bond Basis)",IborIndex,Discounting,,_xll.ohTrigger(Trigger,RecalcTrigger))</f>
        <v>obj_00935#0001</v>
      </c>
      <c r="S106" s="194" t="str">
        <f>_xll.qlVanillaSwapFromSwapIndex(,R106,O106)</f>
        <v>obj_00b6e#0001</v>
      </c>
      <c r="T106" s="181">
        <f>_xll.qlVanillaSwapFairRate(S106)</f>
        <v>7.8099013346447236E-3</v>
      </c>
      <c r="U106" s="290">
        <f t="shared" si="12"/>
        <v>-4.009866535527578E-5</v>
      </c>
      <c r="X106" s="176" t="str">
        <f t="shared" si="13"/>
        <v>1D</v>
      </c>
      <c r="Y106" s="164">
        <f>_xll.qlCalendarAdvance(Calendar,Y105,X106,"f",FALSE)</f>
        <v>42209</v>
      </c>
      <c r="Z106" s="188">
        <f>_xll.qlCalendarAdvance(Calendar,Y106,NDays&amp;"D")</f>
        <v>42213</v>
      </c>
      <c r="AA106" s="163">
        <v>8.0573743017793879E-4</v>
      </c>
      <c r="AB106" s="172">
        <v>7.6166687333234506E-4</v>
      </c>
    </row>
    <row r="107" spans="13:28" x14ac:dyDescent="0.2">
      <c r="M107" s="293" t="str">
        <v>obj_0087f#0001</v>
      </c>
      <c r="N107" s="176" t="str">
        <f>_xll.qlRateHelperQuoteName(M107)</f>
        <v>EUR2F12Y_Quote</v>
      </c>
      <c r="O107" s="164">
        <f>_xll.qlInterestRateIndexFixingDate(R107,_xll.qlRateHelperEarliestDate(M107,Trigger),)</f>
        <v>42816</v>
      </c>
      <c r="P107" s="191">
        <f>_xll.qlRateHelperQuoteValue(M107,_xll.ohTrigger(RecalcTrigger,YieldCurve))</f>
        <v>8.1099999999999992E-3</v>
      </c>
      <c r="Q107" s="194" t="str">
        <f t="shared" si="14"/>
        <v>12Y</v>
      </c>
      <c r="R107" s="194" t="str">
        <f>_xll.qlSwapIndex(,"Euribor",Q107,NDays,Currency,Calendar,"1Y","mf","30/360 (Bond Basis)",IborIndex,Discounting,,_xll.ohTrigger(Trigger,RecalcTrigger))</f>
        <v>obj_00970#0001</v>
      </c>
      <c r="S107" s="194" t="str">
        <f>_xll.qlVanillaSwapFromSwapIndex(,R107,O107)</f>
        <v>obj_00b2c#0001</v>
      </c>
      <c r="T107" s="181">
        <f>_xll.qlVanillaSwapFairRate(S107)</f>
        <v>8.0842888980706441E-3</v>
      </c>
      <c r="U107" s="290">
        <f t="shared" si="12"/>
        <v>-2.5711101929355024E-5</v>
      </c>
      <c r="X107" s="176" t="str">
        <f t="shared" si="13"/>
        <v>1D</v>
      </c>
      <c r="Y107" s="164">
        <f>_xll.qlCalendarAdvance(Calendar,Y106,X107,"f",FALSE)</f>
        <v>42212</v>
      </c>
      <c r="Z107" s="188">
        <f>_xll.qlCalendarAdvance(Calendar,Y107,NDays&amp;"D")</f>
        <v>42214</v>
      </c>
      <c r="AA107" s="163">
        <v>8.0432085194583123E-4</v>
      </c>
      <c r="AB107" s="172">
        <v>7.6672477047345922E-4</v>
      </c>
    </row>
    <row r="108" spans="13:28" x14ac:dyDescent="0.2">
      <c r="M108" s="293" t="str">
        <v>obj_00872#0001</v>
      </c>
      <c r="N108" s="176" t="str">
        <f>_xll.qlRateHelperQuoteName(M108)</f>
        <v>EUR2F13Y_Quote</v>
      </c>
      <c r="O108" s="164">
        <f>_xll.qlInterestRateIndexFixingDate(R108,_xll.qlRateHelperEarliestDate(M108,Trigger),)</f>
        <v>42816</v>
      </c>
      <c r="P108" s="191">
        <f>_xll.qlRateHelperQuoteValue(M108,_xll.ohTrigger(RecalcTrigger,YieldCurve))</f>
        <v>8.3400000000000002E-3</v>
      </c>
      <c r="Q108" s="194" t="str">
        <f t="shared" si="14"/>
        <v>13Y</v>
      </c>
      <c r="R108" s="194" t="str">
        <f>_xll.qlSwapIndex(,"Euribor",Q108,NDays,Currency,Calendar,"1Y","mf","30/360 (Bond Basis)",IborIndex,Discounting,,_xll.ohTrigger(Trigger,RecalcTrigger))</f>
        <v>obj_009f2#0001</v>
      </c>
      <c r="S108" s="194" t="str">
        <f>_xll.qlVanillaSwapFromSwapIndex(,R108,O108)</f>
        <v>obj_00b5d#0001</v>
      </c>
      <c r="T108" s="181">
        <f>_xll.qlVanillaSwapFairRate(S108)</f>
        <v>8.3130843867463538E-3</v>
      </c>
      <c r="U108" s="290">
        <f t="shared" si="12"/>
        <v>-2.69156132536464E-5</v>
      </c>
      <c r="X108" s="176" t="str">
        <f t="shared" si="13"/>
        <v>1D</v>
      </c>
      <c r="Y108" s="164">
        <f>_xll.qlCalendarAdvance(Calendar,Y107,X108,"f",FALSE)</f>
        <v>42213</v>
      </c>
      <c r="Z108" s="188">
        <f>_xll.qlCalendarAdvance(Calendar,Y108,NDays&amp;"D")</f>
        <v>42215</v>
      </c>
      <c r="AA108" s="163">
        <v>8.0452458154440143E-4</v>
      </c>
      <c r="AB108" s="172">
        <v>7.7151221947069359E-4</v>
      </c>
    </row>
    <row r="109" spans="13:28" x14ac:dyDescent="0.2">
      <c r="M109" s="293" t="str">
        <v>obj_007a0#0001</v>
      </c>
      <c r="N109" s="176" t="str">
        <f>_xll.qlRateHelperQuoteName(M109)</f>
        <v>EUR2F14Y_Quote</v>
      </c>
      <c r="O109" s="164">
        <f>_xll.qlInterestRateIndexFixingDate(R109,_xll.qlRateHelperEarliestDate(M109,Trigger),)</f>
        <v>42816</v>
      </c>
      <c r="P109" s="191">
        <f>_xll.qlRateHelperQuoteValue(M109,_xll.ohTrigger(RecalcTrigger,YieldCurve))</f>
        <v>8.5199999999999998E-3</v>
      </c>
      <c r="Q109" s="194" t="str">
        <f t="shared" si="14"/>
        <v>14Y</v>
      </c>
      <c r="R109" s="194" t="str">
        <f>_xll.qlSwapIndex(,"Euribor",Q109,NDays,Currency,Calendar,"1Y","mf","30/360 (Bond Basis)",IborIndex,Discounting,,_xll.ohTrigger(Trigger,RecalcTrigger))</f>
        <v>obj_0092f#0001</v>
      </c>
      <c r="S109" s="194" t="str">
        <f>_xll.qlVanillaSwapFromSwapIndex(,R109,O109)</f>
        <v>obj_00af1#0001</v>
      </c>
      <c r="T109" s="181">
        <f>_xll.qlVanillaSwapFairRate(S109)</f>
        <v>8.5043419393041209E-3</v>
      </c>
      <c r="U109" s="290">
        <f t="shared" si="12"/>
        <v>-1.565806069587887E-5</v>
      </c>
      <c r="X109" s="176" t="str">
        <f t="shared" si="13"/>
        <v>1D</v>
      </c>
      <c r="Y109" s="164">
        <f>_xll.qlCalendarAdvance(Calendar,Y108,X109,"f",FALSE)</f>
        <v>42214</v>
      </c>
      <c r="Z109" s="188">
        <f>_xll.qlCalendarAdvance(Calendar,Y109,NDays&amp;"D")</f>
        <v>42216</v>
      </c>
      <c r="AA109" s="163">
        <v>8.0470424359595455E-4</v>
      </c>
      <c r="AB109" s="172">
        <v>9.1218831800077282E-4</v>
      </c>
    </row>
    <row r="110" spans="13:28" x14ac:dyDescent="0.2">
      <c r="M110" s="293" t="str">
        <v>obj_00813#0001</v>
      </c>
      <c r="N110" s="176" t="str">
        <f>_xll.qlRateHelperQuoteName(M110)</f>
        <v>EUR2F15Y_Quote</v>
      </c>
      <c r="O110" s="164">
        <f>_xll.qlInterestRateIndexFixingDate(R110,_xll.qlRateHelperEarliestDate(M110,Trigger),)</f>
        <v>42816</v>
      </c>
      <c r="P110" s="191">
        <f>_xll.qlRateHelperQuoteValue(M110,_xll.ohTrigger(RecalcTrigger,YieldCurve))</f>
        <v>8.6999999999999994E-3</v>
      </c>
      <c r="Q110" s="194" t="str">
        <f t="shared" si="14"/>
        <v>15Y</v>
      </c>
      <c r="R110" s="194" t="str">
        <f>_xll.qlSwapIndex(,"Euribor",Q110,NDays,Currency,Calendar,"1Y","mf","30/360 (Bond Basis)",IborIndex,Discounting,,_xll.ohTrigger(Trigger,RecalcTrigger))</f>
        <v>obj_0093c#0001</v>
      </c>
      <c r="S110" s="194" t="str">
        <f>_xll.qlVanillaSwapFromSwapIndex(,R110,O110)</f>
        <v>obj_00a4c#0001</v>
      </c>
      <c r="T110" s="181">
        <f>_xll.qlVanillaSwapFairRate(S110)</f>
        <v>8.6666833425144869E-3</v>
      </c>
      <c r="U110" s="290">
        <f t="shared" si="12"/>
        <v>-3.3316657485512463E-5</v>
      </c>
      <c r="X110" s="176" t="str">
        <f t="shared" si="13"/>
        <v>1D</v>
      </c>
      <c r="Y110" s="164">
        <f>_xll.qlCalendarAdvance(Calendar,Y109,X110,"f",FALSE)</f>
        <v>42215</v>
      </c>
      <c r="Z110" s="188">
        <f>_xll.qlCalendarAdvance(Calendar,Y110,NDays&amp;"D")</f>
        <v>42219</v>
      </c>
      <c r="AA110" s="163">
        <v>8.0595287827382441E-4</v>
      </c>
      <c r="AB110" s="172">
        <v>7.8795753442051364E-4</v>
      </c>
    </row>
    <row r="111" spans="13:28" x14ac:dyDescent="0.2">
      <c r="M111" s="293" t="str">
        <v>obj_0082e#0001</v>
      </c>
      <c r="N111" s="176" t="str">
        <f>_xll.qlRateHelperQuoteName(M111)</f>
        <v>EUR2F20Y_Quote</v>
      </c>
      <c r="O111" s="164">
        <f>_xll.qlInterestRateIndexFixingDate(R111,_xll.qlRateHelperEarliestDate(M111,Trigger),)</f>
        <v>42816</v>
      </c>
      <c r="P111" s="191">
        <f>_xll.qlRateHelperQuoteValue(M111,_xll.ohTrigger(RecalcTrigger,YieldCurve))</f>
        <v>9.1700000000000011E-3</v>
      </c>
      <c r="Q111" s="194" t="str">
        <f t="shared" si="14"/>
        <v>20Y</v>
      </c>
      <c r="R111" s="194" t="str">
        <f>_xll.qlSwapIndex(,"Euribor",Q111,NDays,Currency,Calendar,"1Y","mf","30/360 (Bond Basis)",IborIndex,Discounting,,_xll.ohTrigger(Trigger,RecalcTrigger))</f>
        <v>obj_009fa#0001</v>
      </c>
      <c r="S111" s="194" t="str">
        <f>_xll.qlVanillaSwapFromSwapIndex(,R111,O111)</f>
        <v>obj_00a60#0001</v>
      </c>
      <c r="T111" s="181">
        <f>_xll.qlVanillaSwapFairRate(S111)</f>
        <v>9.150811000395007E-3</v>
      </c>
      <c r="U111" s="290">
        <f t="shared" si="12"/>
        <v>-1.9188999604994109E-5</v>
      </c>
      <c r="X111" s="176" t="str">
        <f t="shared" si="13"/>
        <v>1D</v>
      </c>
      <c r="Y111" s="164">
        <f>_xll.qlCalendarAdvance(Calendar,Y110,X111,"f",FALSE)</f>
        <v>42216</v>
      </c>
      <c r="Z111" s="188">
        <f>_xll.qlCalendarAdvance(Calendar,Y111,NDays&amp;"D")</f>
        <v>42220</v>
      </c>
      <c r="AA111" s="163">
        <v>8.048733208025809E-4</v>
      </c>
      <c r="AB111" s="172">
        <v>7.913927427782852E-4</v>
      </c>
    </row>
    <row r="112" spans="13:28" x14ac:dyDescent="0.2">
      <c r="M112" s="293" t="str">
        <v>obj_00860#0001</v>
      </c>
      <c r="N112" s="176" t="str">
        <f>_xll.qlRateHelperQuoteName(M112)</f>
        <v>EUR2F25Y_Quote</v>
      </c>
      <c r="O112" s="164">
        <f>_xll.qlInterestRateIndexFixingDate(R112,_xll.qlRateHelperEarliestDate(M112,Trigger),)</f>
        <v>42816</v>
      </c>
      <c r="P112" s="191">
        <f>_xll.qlRateHelperQuoteValue(M112,_xll.ohTrigger(RecalcTrigger,YieldCurve))</f>
        <v>9.4199999999999996E-3</v>
      </c>
      <c r="Q112" s="194" t="str">
        <f t="shared" si="14"/>
        <v>25Y</v>
      </c>
      <c r="R112" s="194" t="str">
        <f>_xll.qlSwapIndex(,"Euribor",Q112,NDays,Currency,Calendar,"1Y","mf","30/360 (Bond Basis)",IborIndex,Discounting,,_xll.ohTrigger(Trigger,RecalcTrigger))</f>
        <v>obj_00921#0001</v>
      </c>
      <c r="S112" s="194" t="str">
        <f>_xll.qlVanillaSwapFromSwapIndex(,R112,O112)</f>
        <v>obj_00aae#0001</v>
      </c>
      <c r="T112" s="181">
        <f>_xll.qlVanillaSwapFairRate(S112)</f>
        <v>9.3971614373079583E-3</v>
      </c>
      <c r="U112" s="290">
        <f t="shared" si="12"/>
        <v>-2.283856269204125E-5</v>
      </c>
      <c r="X112" s="176" t="str">
        <f t="shared" si="13"/>
        <v>1D</v>
      </c>
      <c r="Y112" s="164">
        <f>_xll.qlCalendarAdvance(Calendar,Y111,X112,"f",FALSE)</f>
        <v>42219</v>
      </c>
      <c r="Z112" s="188">
        <f>_xll.qlCalendarAdvance(Calendar,Y112,NDays&amp;"D")</f>
        <v>42221</v>
      </c>
      <c r="AA112" s="163">
        <v>8.0384132733581147E-4</v>
      </c>
      <c r="AB112" s="172">
        <v>7.9455750291224092E-4</v>
      </c>
    </row>
    <row r="113" spans="13:28" ht="12" thickBot="1" x14ac:dyDescent="0.25">
      <c r="M113" s="294" t="str">
        <v>obj_00795#0001</v>
      </c>
      <c r="N113" s="177" t="str">
        <f>_xll.qlRateHelperQuoteName(M113)</f>
        <v>EUR2F30Y_Quote</v>
      </c>
      <c r="O113" s="174">
        <f>_xll.qlInterestRateIndexFixingDate(R113,_xll.qlRateHelperEarliestDate(M113,Trigger),)</f>
        <v>42816</v>
      </c>
      <c r="P113" s="192">
        <f>_xll.qlRateHelperQuoteValue(M113,_xll.ohTrigger(RecalcTrigger,YieldCurve))</f>
        <v>9.58E-3</v>
      </c>
      <c r="Q113" s="195" t="str">
        <f t="shared" si="14"/>
        <v>30Y</v>
      </c>
      <c r="R113" s="195" t="str">
        <f>_xll.qlSwapIndex(,"Euribor",Q113,NDays,Currency,Calendar,"1Y","mf","30/360 (Bond Basis)",IborIndex,Discounting,,_xll.ohTrigger(Trigger,RecalcTrigger))</f>
        <v>obj_0092c#0001</v>
      </c>
      <c r="S113" s="195" t="str">
        <f>_xll.qlVanillaSwapFromSwapIndex(,R113,O113)</f>
        <v>obj_00abc#0001</v>
      </c>
      <c r="T113" s="183">
        <f>_xll.qlVanillaSwapFairRate(S113)</f>
        <v>9.5548100685962419E-3</v>
      </c>
      <c r="U113" s="291">
        <f t="shared" si="12"/>
        <v>-2.5189931403758054E-5</v>
      </c>
      <c r="X113" s="176" t="str">
        <f t="shared" si="13"/>
        <v>1D</v>
      </c>
      <c r="Y113" s="164">
        <f>_xll.qlCalendarAdvance(Calendar,Y112,X113,"f",FALSE)</f>
        <v>42220</v>
      </c>
      <c r="Z113" s="188">
        <f>_xll.qlCalendarAdvance(Calendar,Y113,NDays&amp;"D")</f>
        <v>42222</v>
      </c>
      <c r="AA113" s="163">
        <v>8.0098555372000836E-4</v>
      </c>
      <c r="AB113" s="172">
        <v>7.9745181506218898E-4</v>
      </c>
    </row>
    <row r="114" spans="13:28" x14ac:dyDescent="0.2">
      <c r="M114" s="295" t="str">
        <v>obj_0082b#0001</v>
      </c>
      <c r="N114" s="279" t="str">
        <f>_xll.qlRateHelperQuoteName(M114)</f>
        <v>EUR3F1Y_Quote</v>
      </c>
      <c r="O114" s="276">
        <f>_xll.qlInterestRateIndexFixingDate(R114,_xll.qlRateHelperEarliestDate(M114,Trigger),)</f>
        <v>43181</v>
      </c>
      <c r="P114" s="277">
        <f>_xll.qlRateHelperQuoteValue(M114,_xll.ohTrigger(RecalcTrigger,YieldCurve))</f>
        <v>3.7099999999999998E-3</v>
      </c>
      <c r="Q114" s="275" t="str">
        <f t="shared" ref="Q114:Q131" si="15">SUBSTITUTE(SUBSTITUTE(N114,"_Quote",""),"EUR3F","")</f>
        <v>1Y</v>
      </c>
      <c r="R114" s="275" t="str">
        <f>_xll.qlSwapIndex(,"Euribor",Q114,NDays,Currency,Calendar,"1Y","mf","30/360 (Bond Basis)",IborIndex,Discounting,,_xll.ohTrigger(Trigger,RecalcTrigger))</f>
        <v>obj_00960#0001</v>
      </c>
      <c r="S114" s="275" t="str">
        <f>_xll.qlVanillaSwapFromSwapIndex(,R114,O114)</f>
        <v>obj_00ab4#0001</v>
      </c>
      <c r="T114" s="278">
        <f>_xll.qlVanillaSwapFairRate(S114)</f>
        <v>3.6699935181887539E-3</v>
      </c>
      <c r="U114" s="292">
        <f t="shared" si="12"/>
        <v>-4.0006481811245831E-5</v>
      </c>
      <c r="X114" s="176" t="str">
        <f t="shared" si="13"/>
        <v>1D</v>
      </c>
      <c r="Y114" s="164">
        <f>_xll.qlCalendarAdvance(Calendar,Y113,X114,"f",FALSE)</f>
        <v>42221</v>
      </c>
      <c r="Z114" s="188">
        <f>_xll.qlCalendarAdvance(Calendar,Y114,NDays&amp;"D")</f>
        <v>42223</v>
      </c>
      <c r="AA114" s="163">
        <v>8.010028806732652E-4</v>
      </c>
      <c r="AB114" s="172">
        <v>8.0234073334572997E-4</v>
      </c>
    </row>
    <row r="115" spans="13:28" x14ac:dyDescent="0.2">
      <c r="M115" s="293" t="str">
        <v>obj_00759#0001</v>
      </c>
      <c r="N115" s="176" t="str">
        <f>_xll.qlRateHelperQuoteName(M115)</f>
        <v>EUR3F2Y_Quote</v>
      </c>
      <c r="O115" s="164">
        <f>_xll.qlInterestRateIndexFixingDate(R115,_xll.qlRateHelperEarliestDate(M115,Trigger),)</f>
        <v>43181</v>
      </c>
      <c r="P115" s="191">
        <f>_xll.qlRateHelperQuoteValue(M115,_xll.ohTrigger(RecalcTrigger,YieldCurve))</f>
        <v>4.4400000000000004E-3</v>
      </c>
      <c r="Q115" s="194" t="str">
        <f t="shared" si="15"/>
        <v>2Y</v>
      </c>
      <c r="R115" s="194" t="str">
        <f>_xll.qlSwapIndex(,"Euribor",Q115,NDays,Currency,Calendar,"1Y","mf","30/360 (Bond Basis)",IborIndex,Discounting,,_xll.ohTrigger(Trigger,RecalcTrigger))</f>
        <v>obj_00989#0001</v>
      </c>
      <c r="S115" s="194" t="str">
        <f>_xll.qlVanillaSwapFromSwapIndex(,R115,O115)</f>
        <v>obj_00b70#0001</v>
      </c>
      <c r="T115" s="181">
        <f>_xll.qlVanillaSwapFairRate(S115)</f>
        <v>4.3891140001411375E-3</v>
      </c>
      <c r="U115" s="290">
        <f t="shared" si="12"/>
        <v>-5.0885999858862885E-5</v>
      </c>
      <c r="X115" s="176" t="str">
        <f t="shared" si="13"/>
        <v>1D</v>
      </c>
      <c r="Y115" s="164">
        <f>_xll.qlCalendarAdvance(Calendar,Y114,X115,"f",FALSE)</f>
        <v>42222</v>
      </c>
      <c r="Z115" s="188">
        <f>_xll.qlCalendarAdvance(Calendar,Y115,NDays&amp;"D")</f>
        <v>42226</v>
      </c>
      <c r="AA115" s="163">
        <v>7.9930875055191151E-4</v>
      </c>
      <c r="AB115" s="172">
        <v>8.0632458134388685E-4</v>
      </c>
    </row>
    <row r="116" spans="13:28" x14ac:dyDescent="0.2">
      <c r="M116" s="293" t="str">
        <v>obj_0084a#0001</v>
      </c>
      <c r="N116" s="176" t="str">
        <f>_xll.qlRateHelperQuoteName(M116)</f>
        <v>EUR3F3Y_Quote</v>
      </c>
      <c r="O116" s="164">
        <f>_xll.qlInterestRateIndexFixingDate(R116,_xll.qlRateHelperEarliestDate(M116,Trigger),)</f>
        <v>43181</v>
      </c>
      <c r="P116" s="191">
        <f>_xll.qlRateHelperQuoteValue(M116,_xll.ohTrigger(RecalcTrigger,YieldCurve))</f>
        <v>5.11E-3</v>
      </c>
      <c r="Q116" s="194" t="str">
        <f t="shared" si="15"/>
        <v>3Y</v>
      </c>
      <c r="R116" s="194" t="str">
        <f>_xll.qlSwapIndex(,"Euribor",Q116,NDays,Currency,Calendar,"1Y","mf","30/360 (Bond Basis)",IborIndex,Discounting,,_xll.ohTrigger(Trigger,RecalcTrigger))</f>
        <v>obj_00956#0001</v>
      </c>
      <c r="S116" s="194" t="str">
        <f>_xll.qlVanillaSwapFromSwapIndex(,R116,O116)</f>
        <v>obj_00a6e#0001</v>
      </c>
      <c r="T116" s="181">
        <f>_xll.qlVanillaSwapFairRate(S116)</f>
        <v>5.0751980995008628E-3</v>
      </c>
      <c r="U116" s="290">
        <f t="shared" si="12"/>
        <v>-3.4801900499137166E-5</v>
      </c>
      <c r="X116" s="176" t="str">
        <f t="shared" si="13"/>
        <v>1D</v>
      </c>
      <c r="Y116" s="164">
        <f>_xll.qlCalendarAdvance(Calendar,Y115,X116,"f",FALSE)</f>
        <v>42223</v>
      </c>
      <c r="Z116" s="188">
        <f>_xll.qlCalendarAdvance(Calendar,Y116,NDays&amp;"D")</f>
        <v>42227</v>
      </c>
      <c r="AA116" s="163">
        <v>7.9851049950751618E-4</v>
      </c>
      <c r="AB116" s="172">
        <v>8.0786665253462786E-4</v>
      </c>
    </row>
    <row r="117" spans="13:28" x14ac:dyDescent="0.2">
      <c r="M117" s="293" t="str">
        <v>obj_007f8#0001</v>
      </c>
      <c r="N117" s="176" t="str">
        <f>_xll.qlRateHelperQuoteName(M117)</f>
        <v>EUR3F4Y_Quote</v>
      </c>
      <c r="O117" s="164">
        <f>_xll.qlInterestRateIndexFixingDate(R117,_xll.qlRateHelperEarliestDate(M117,Trigger),)</f>
        <v>43181</v>
      </c>
      <c r="P117" s="191" t="e">
        <f>_xll.qlRateHelperQuoteValue(M117,_xll.ohTrigger(RecalcTrigger,YieldCurve))</f>
        <v>#NUM!</v>
      </c>
      <c r="Q117" s="194" t="str">
        <f t="shared" si="15"/>
        <v>4Y</v>
      </c>
      <c r="R117" s="194" t="str">
        <f>_xll.qlSwapIndex(,"Euribor",Q117,NDays,Currency,Calendar,"1Y","mf","30/360 (Bond Basis)",IborIndex,Discounting,,_xll.ohTrigger(Trigger,RecalcTrigger))</f>
        <v>obj_009a2#0001</v>
      </c>
      <c r="S117" s="194" t="str">
        <f>_xll.qlVanillaSwapFromSwapIndex(,R117,O117)</f>
        <v>obj_00b24#0001</v>
      </c>
      <c r="T117" s="181">
        <f>_xll.qlVanillaSwapFairRate(S117)</f>
        <v>5.6961204465171304E-3</v>
      </c>
      <c r="U117" s="290" t="e">
        <f t="shared" si="12"/>
        <v>#NUM!</v>
      </c>
      <c r="X117" s="176" t="str">
        <f t="shared" si="13"/>
        <v>1D</v>
      </c>
      <c r="Y117" s="164">
        <f>_xll.qlCalendarAdvance(Calendar,Y116,X117,"f",FALSE)</f>
        <v>42226</v>
      </c>
      <c r="Z117" s="188">
        <f>_xll.qlCalendarAdvance(Calendar,Y117,NDays&amp;"D")</f>
        <v>42228</v>
      </c>
      <c r="AA117" s="163">
        <v>7.9774259866373441E-4</v>
      </c>
      <c r="AB117" s="172">
        <v>8.0913827542161698E-4</v>
      </c>
    </row>
    <row r="118" spans="13:28" x14ac:dyDescent="0.2">
      <c r="M118" s="293" t="str">
        <v>obj_00800#0001</v>
      </c>
      <c r="N118" s="176" t="str">
        <f>_xll.qlRateHelperQuoteName(M118)</f>
        <v>EUR3F5Y_Quote</v>
      </c>
      <c r="O118" s="164">
        <f>_xll.qlInterestRateIndexFixingDate(R118,_xll.qlRateHelperEarliestDate(M118,Trigger),)</f>
        <v>43181</v>
      </c>
      <c r="P118" s="191">
        <f>_xll.qlRateHelperQuoteValue(M118,_xll.ohTrigger(RecalcTrigger,YieldCurve))</f>
        <v>6.3299999999999997E-3</v>
      </c>
      <c r="Q118" s="194" t="str">
        <f t="shared" si="15"/>
        <v>5Y</v>
      </c>
      <c r="R118" s="194" t="str">
        <f>_xll.qlSwapIndex(,"Euribor",Q118,NDays,Currency,Calendar,"1Y","mf","30/360 (Bond Basis)",IborIndex,Discounting,,_xll.ohTrigger(Trigger,RecalcTrigger))</f>
        <v>obj_00924#0001</v>
      </c>
      <c r="S118" s="194" t="str">
        <f>_xll.qlVanillaSwapFromSwapIndex(,R118,O118)</f>
        <v>obj_00b49#0001</v>
      </c>
      <c r="T118" s="181">
        <f>_xll.qlVanillaSwapFairRate(S118)</f>
        <v>6.2992539210839403E-3</v>
      </c>
      <c r="U118" s="290">
        <f t="shared" si="12"/>
        <v>-3.074607891605935E-5</v>
      </c>
      <c r="X118" s="176" t="str">
        <f t="shared" si="13"/>
        <v>1D</v>
      </c>
      <c r="Y118" s="164">
        <f>_xll.qlCalendarAdvance(Calendar,Y117,X118,"f",FALSE)</f>
        <v>42227</v>
      </c>
      <c r="Z118" s="188">
        <f>_xll.qlCalendarAdvance(Calendar,Y118,NDays&amp;"D")</f>
        <v>42229</v>
      </c>
      <c r="AA118" s="163">
        <v>7.9576026563005036E-4</v>
      </c>
      <c r="AB118" s="172">
        <v>8.1013945016472633E-4</v>
      </c>
    </row>
    <row r="119" spans="13:28" x14ac:dyDescent="0.2">
      <c r="M119" s="293" t="str">
        <v>obj_007c1#0001</v>
      </c>
      <c r="N119" s="176" t="str">
        <f>_xll.qlRateHelperQuoteName(M119)</f>
        <v>EUR3F6Y_Quote</v>
      </c>
      <c r="O119" s="164">
        <f>_xll.qlInterestRateIndexFixingDate(R119,_xll.qlRateHelperEarliestDate(M119,Trigger),)</f>
        <v>43181</v>
      </c>
      <c r="P119" s="191">
        <f>_xll.qlRateHelperQuoteValue(M119,_xll.ohTrigger(RecalcTrigger,YieldCurve))</f>
        <v>6.8899999999999994E-3</v>
      </c>
      <c r="Q119" s="194" t="str">
        <f t="shared" si="15"/>
        <v>6Y</v>
      </c>
      <c r="R119" s="194" t="str">
        <f>_xll.qlSwapIndex(,"Euribor",Q119,NDays,Currency,Calendar,"1Y","mf","30/360 (Bond Basis)",IborIndex,Discounting,,_xll.ohTrigger(Trigger,RecalcTrigger))</f>
        <v>obj_0094e#0001</v>
      </c>
      <c r="S119" s="194" t="str">
        <f>_xll.qlVanillaSwapFromSwapIndex(,R119,O119)</f>
        <v>obj_00a90#0001</v>
      </c>
      <c r="T119" s="181">
        <f>_xll.qlVanillaSwapFairRate(S119)</f>
        <v>6.8586730354509347E-3</v>
      </c>
      <c r="U119" s="290">
        <f t="shared" si="12"/>
        <v>-3.1326964549064674E-5</v>
      </c>
      <c r="X119" s="176" t="str">
        <f t="shared" si="13"/>
        <v>1D</v>
      </c>
      <c r="Y119" s="164">
        <f>_xll.qlCalendarAdvance(Calendar,Y118,X119,"f",FALSE)</f>
        <v>42228</v>
      </c>
      <c r="Z119" s="188">
        <f>_xll.qlCalendarAdvance(Calendar,Y119,NDays&amp;"D")</f>
        <v>42230</v>
      </c>
      <c r="AA119" s="163">
        <v>7.9568074971807885E-4</v>
      </c>
      <c r="AB119" s="172">
        <v>8.1124213368255482E-4</v>
      </c>
    </row>
    <row r="120" spans="13:28" x14ac:dyDescent="0.2">
      <c r="M120" s="293" t="str">
        <v>obj_00783#0001</v>
      </c>
      <c r="N120" s="176" t="str">
        <f>_xll.qlRateHelperQuoteName(M120)</f>
        <v>EUR3F7Y_Quote</v>
      </c>
      <c r="O120" s="164">
        <f>_xll.qlInterestRateIndexFixingDate(R120,_xll.qlRateHelperEarliestDate(M120,Trigger),)</f>
        <v>43181</v>
      </c>
      <c r="P120" s="191" t="e">
        <f>_xll.qlRateHelperQuoteValue(M120,_xll.ohTrigger(RecalcTrigger,YieldCurve))</f>
        <v>#NUM!</v>
      </c>
      <c r="Q120" s="194" t="str">
        <f t="shared" si="15"/>
        <v>7Y</v>
      </c>
      <c r="R120" s="194" t="str">
        <f>_xll.qlSwapIndex(,"Euribor",Q120,NDays,Currency,Calendar,"1Y","mf","30/360 (Bond Basis)",IborIndex,Discounting,,_xll.ohTrigger(Trigger,RecalcTrigger))</f>
        <v>obj_008c5#0002</v>
      </c>
      <c r="S120" s="194" t="str">
        <f>_xll.qlVanillaSwapFromSwapIndex(,R120,O120)</f>
        <v>obj_00a3e#0001</v>
      </c>
      <c r="T120" s="181">
        <f>_xll.qlVanillaSwapFairRate(S120)</f>
        <v>7.330297948598922E-3</v>
      </c>
      <c r="U120" s="290" t="e">
        <f t="shared" si="12"/>
        <v>#NUM!</v>
      </c>
      <c r="X120" s="176" t="str">
        <f t="shared" si="13"/>
        <v>1D</v>
      </c>
      <c r="Y120" s="164">
        <f>_xll.qlCalendarAdvance(Calendar,Y119,X120,"f",FALSE)</f>
        <v>42229</v>
      </c>
      <c r="Z120" s="188">
        <f>_xll.qlCalendarAdvance(Calendar,Y120,NDays&amp;"D")</f>
        <v>42233</v>
      </c>
      <c r="AA120" s="163">
        <v>7.9427227949561681E-4</v>
      </c>
      <c r="AB120" s="172">
        <v>8.1143966705887749E-4</v>
      </c>
    </row>
    <row r="121" spans="13:28" x14ac:dyDescent="0.2">
      <c r="M121" s="293" t="str">
        <v>obj_007b9#0001</v>
      </c>
      <c r="N121" s="176" t="str">
        <f>_xll.qlRateHelperQuoteName(M121)</f>
        <v>EUR3F8Y_Quote</v>
      </c>
      <c r="O121" s="164">
        <f>_xll.qlInterestRateIndexFixingDate(R121,_xll.qlRateHelperEarliestDate(M121,Trigger),)</f>
        <v>43181</v>
      </c>
      <c r="P121" s="191">
        <f>_xll.qlRateHelperQuoteValue(M121,_xll.ohTrigger(RecalcTrigger,YieldCurve))</f>
        <v>7.7699999999999991E-3</v>
      </c>
      <c r="Q121" s="194" t="str">
        <f t="shared" si="15"/>
        <v>8Y</v>
      </c>
      <c r="R121" s="194" t="str">
        <f>_xll.qlSwapIndex(,"Euribor",Q121,NDays,Currency,Calendar,"1Y","mf","30/360 (Bond Basis)",IborIndex,Discounting,,_xll.ohTrigger(Trigger,RecalcTrigger))</f>
        <v>obj_009cb#0001</v>
      </c>
      <c r="S121" s="194" t="str">
        <f>_xll.qlVanillaSwapFromSwapIndex(,R121,O121)</f>
        <v>obj_00a7a#0001</v>
      </c>
      <c r="T121" s="181">
        <f>_xll.qlVanillaSwapFairRate(S121)</f>
        <v>7.743417040230377E-3</v>
      </c>
      <c r="U121" s="290">
        <f t="shared" si="12"/>
        <v>-2.6582959769622105E-5</v>
      </c>
      <c r="X121" s="176" t="str">
        <f t="shared" si="13"/>
        <v>1D</v>
      </c>
      <c r="Y121" s="164">
        <f>_xll.qlCalendarAdvance(Calendar,Y120,X121,"f",FALSE)</f>
        <v>42230</v>
      </c>
      <c r="Z121" s="188">
        <f>_xll.qlCalendarAdvance(Calendar,Y121,NDays&amp;"D")</f>
        <v>42234</v>
      </c>
      <c r="AA121" s="163">
        <v>7.9363483913946526E-4</v>
      </c>
      <c r="AB121" s="172">
        <v>8.1108860076284373E-4</v>
      </c>
    </row>
    <row r="122" spans="13:28" x14ac:dyDescent="0.2">
      <c r="M122" s="293" t="str">
        <v>obj_0084b#0001</v>
      </c>
      <c r="N122" s="176" t="str">
        <f>_xll.qlRateHelperQuoteName(M122)</f>
        <v>EUR3F9Y_Quote</v>
      </c>
      <c r="O122" s="164">
        <f>_xll.qlInterestRateIndexFixingDate(R122,_xll.qlRateHelperEarliestDate(M122,Trigger),)</f>
        <v>43181</v>
      </c>
      <c r="P122" s="191">
        <f>_xll.qlRateHelperQuoteValue(M122,_xll.ohTrigger(RecalcTrigger,YieldCurve))</f>
        <v>8.1199999999999987E-3</v>
      </c>
      <c r="Q122" s="194" t="str">
        <f t="shared" si="15"/>
        <v>9Y</v>
      </c>
      <c r="R122" s="194" t="str">
        <f>_xll.qlSwapIndex(,"Euribor",Q122,NDays,Currency,Calendar,"1Y","mf","30/360 (Bond Basis)",IborIndex,Discounting,,_xll.ohTrigger(Trigger,RecalcTrigger))</f>
        <v>obj_00a05#0001</v>
      </c>
      <c r="S122" s="194" t="str">
        <f>_xll.qlVanillaSwapFromSwapIndex(,R122,O122)</f>
        <v>obj_00acb#0001</v>
      </c>
      <c r="T122" s="181">
        <f>_xll.qlVanillaSwapFairRate(S122)</f>
        <v>8.1030935566187203E-3</v>
      </c>
      <c r="U122" s="290">
        <f t="shared" si="12"/>
        <v>-1.6906443381278433E-5</v>
      </c>
      <c r="X122" s="176" t="str">
        <f t="shared" si="13"/>
        <v>1D</v>
      </c>
      <c r="Y122" s="164">
        <f>_xll.qlCalendarAdvance(Calendar,Y121,X122,"f",FALSE)</f>
        <v>42233</v>
      </c>
      <c r="Z122" s="188">
        <f>_xll.qlCalendarAdvance(Calendar,Y122,NDays&amp;"D")</f>
        <v>42235</v>
      </c>
      <c r="AA122" s="163">
        <v>7.9301053545071981E-4</v>
      </c>
      <c r="AB122" s="172">
        <v>8.1046708624299413E-4</v>
      </c>
    </row>
    <row r="123" spans="13:28" x14ac:dyDescent="0.2">
      <c r="M123" s="293" t="str">
        <v>obj_007db#0001</v>
      </c>
      <c r="N123" s="176" t="str">
        <f>_xll.qlRateHelperQuoteName(M123)</f>
        <v>EUR3F10Y_Quote</v>
      </c>
      <c r="O123" s="164">
        <f>_xll.qlInterestRateIndexFixingDate(R123,_xll.qlRateHelperEarliestDate(M123,Trigger),)</f>
        <v>43181</v>
      </c>
      <c r="P123" s="191">
        <f>_xll.qlRateHelperQuoteValue(M123,_xll.ohTrigger(RecalcTrigger,YieldCurve))</f>
        <v>8.4399999999999996E-3</v>
      </c>
      <c r="Q123" s="194" t="str">
        <f t="shared" si="15"/>
        <v>10Y</v>
      </c>
      <c r="R123" s="194" t="str">
        <f>_xll.qlSwapIndex(,"Euribor",Q123,NDays,Currency,Calendar,"1Y","mf","30/360 (Bond Basis)",IborIndex,Discounting,,_xll.ohTrigger(Trigger,RecalcTrigger))</f>
        <v>obj_00943#0001</v>
      </c>
      <c r="S123" s="194" t="str">
        <f>_xll.qlVanillaSwapFromSwapIndex(,R123,O123)</f>
        <v>obj_00a6a#0001</v>
      </c>
      <c r="T123" s="181">
        <f>_xll.qlVanillaSwapFairRate(S123)</f>
        <v>8.4008983395703306E-3</v>
      </c>
      <c r="U123" s="290">
        <f t="shared" si="12"/>
        <v>-3.9101660429669005E-5</v>
      </c>
      <c r="X123" s="176" t="str">
        <f t="shared" si="13"/>
        <v>1D</v>
      </c>
      <c r="Y123" s="164">
        <f>_xll.qlCalendarAdvance(Calendar,Y122,X123,"f",FALSE)</f>
        <v>42234</v>
      </c>
      <c r="Z123" s="188">
        <f>_xll.qlCalendarAdvance(Calendar,Y123,NDays&amp;"D")</f>
        <v>42236</v>
      </c>
      <c r="AA123" s="163">
        <v>7.9138680132536407E-4</v>
      </c>
      <c r="AB123" s="172">
        <v>8.095751234993287E-4</v>
      </c>
    </row>
    <row r="124" spans="13:28" x14ac:dyDescent="0.2">
      <c r="M124" s="293" t="str">
        <v>obj_00776#0001</v>
      </c>
      <c r="N124" s="176" t="str">
        <f>_xll.qlRateHelperQuoteName(M124)</f>
        <v>EUR3F11Y_Quote</v>
      </c>
      <c r="O124" s="164">
        <f>_xll.qlInterestRateIndexFixingDate(R124,_xll.qlRateHelperEarliestDate(M124,Trigger),)</f>
        <v>43181</v>
      </c>
      <c r="P124" s="191">
        <f>_xll.qlRateHelperQuoteValue(M124,_xll.ohTrigger(RecalcTrigger,YieldCurve))</f>
        <v>8.6800000000000002E-3</v>
      </c>
      <c r="Q124" s="194" t="str">
        <f t="shared" si="15"/>
        <v>11Y</v>
      </c>
      <c r="R124" s="194" t="str">
        <f>_xll.qlSwapIndex(,"Euribor",Q124,NDays,Currency,Calendar,"1Y","mf","30/360 (Bond Basis)",IborIndex,Discounting,,_xll.ohTrigger(Trigger,RecalcTrigger))</f>
        <v>obj_00990#0001</v>
      </c>
      <c r="S124" s="194" t="str">
        <f>_xll.qlVanillaSwapFromSwapIndex(,R124,O124)</f>
        <v>obj_00a81#0001</v>
      </c>
      <c r="T124" s="181">
        <f>_xll.qlVanillaSwapFairRate(S124)</f>
        <v>8.6472025200617156E-3</v>
      </c>
      <c r="U124" s="290">
        <f t="shared" si="12"/>
        <v>-3.2797479938284635E-5</v>
      </c>
      <c r="X124" s="176" t="str">
        <f t="shared" si="13"/>
        <v>1D</v>
      </c>
      <c r="Y124" s="164">
        <f>_xll.qlCalendarAdvance(Calendar,Y123,X124,"f",FALSE)</f>
        <v>42235</v>
      </c>
      <c r="Z124" s="188">
        <f>_xll.qlCalendarAdvance(Calendar,Y124,NDays&amp;"D")</f>
        <v>42237</v>
      </c>
      <c r="AA124" s="163">
        <v>7.9128670660946689E-4</v>
      </c>
      <c r="AB124" s="172">
        <v>8.0689151269908166E-4</v>
      </c>
    </row>
    <row r="125" spans="13:28" x14ac:dyDescent="0.2">
      <c r="M125" s="293" t="str">
        <v>obj_00796#0001</v>
      </c>
      <c r="N125" s="176" t="str">
        <f>_xll.qlRateHelperQuoteName(M125)</f>
        <v>EUR3F12Y_Quote</v>
      </c>
      <c r="O125" s="164">
        <f>_xll.qlInterestRateIndexFixingDate(R125,_xll.qlRateHelperEarliestDate(M125,Trigger),)</f>
        <v>43181</v>
      </c>
      <c r="P125" s="191">
        <f>_xll.qlRateHelperQuoteValue(M125,_xll.ohTrigger(RecalcTrigger,YieldCurve))</f>
        <v>8.8800000000000007E-3</v>
      </c>
      <c r="Q125" s="194" t="str">
        <f t="shared" si="15"/>
        <v>12Y</v>
      </c>
      <c r="R125" s="194" t="str">
        <f>_xll.qlSwapIndex(,"Euribor",Q125,NDays,Currency,Calendar,"1Y","mf","30/360 (Bond Basis)",IborIndex,Discounting,,_xll.ohTrigger(Trigger,RecalcTrigger))</f>
        <v>obj_009aa#0001</v>
      </c>
      <c r="S125" s="194" t="str">
        <f>_xll.qlVanillaSwapFromSwapIndex(,R125,O125)</f>
        <v>obj_00b44#0001</v>
      </c>
      <c r="T125" s="181">
        <f>_xll.qlVanillaSwapFairRate(S125)</f>
        <v>8.8515821636124536E-3</v>
      </c>
      <c r="U125" s="290">
        <f t="shared" si="12"/>
        <v>-2.8417836387547094E-5</v>
      </c>
      <c r="X125" s="176" t="str">
        <f t="shared" si="13"/>
        <v>1D</v>
      </c>
      <c r="Y125" s="164">
        <f>_xll.qlCalendarAdvance(Calendar,Y124,X125,"f",FALSE)</f>
        <v>42236</v>
      </c>
      <c r="Z125" s="188">
        <f>_xll.qlCalendarAdvance(Calendar,Y125,NDays&amp;"D")</f>
        <v>42240</v>
      </c>
      <c r="AA125" s="163">
        <v>7.8999999999978848E-4</v>
      </c>
      <c r="AB125" s="172">
        <v>8.0339874624968388E-4</v>
      </c>
    </row>
    <row r="126" spans="13:28" x14ac:dyDescent="0.2">
      <c r="M126" s="293" t="str">
        <v>obj_00881#0001</v>
      </c>
      <c r="N126" s="176" t="str">
        <f>_xll.qlRateHelperQuoteName(M126)</f>
        <v>EUR3F13Y_Quote</v>
      </c>
      <c r="O126" s="164">
        <f>_xll.qlInterestRateIndexFixingDate(R126,_xll.qlRateHelperEarliestDate(M126,Trigger),)</f>
        <v>43181</v>
      </c>
      <c r="P126" s="191">
        <f>_xll.qlRateHelperQuoteValue(M126,_xll.ohTrigger(RecalcTrigger,YieldCurve))</f>
        <v>9.0399999999999994E-3</v>
      </c>
      <c r="Q126" s="194" t="str">
        <f t="shared" si="15"/>
        <v>13Y</v>
      </c>
      <c r="R126" s="194" t="str">
        <f>_xll.qlSwapIndex(,"Euribor",Q126,NDays,Currency,Calendar,"1Y","mf","30/360 (Bond Basis)",IborIndex,Discounting,,_xll.ohTrigger(Trigger,RecalcTrigger))</f>
        <v>obj_009d0#0001</v>
      </c>
      <c r="S126" s="194" t="str">
        <f>_xll.qlVanillaSwapFromSwapIndex(,R126,O126)</f>
        <v>obj_00a44#0001</v>
      </c>
      <c r="T126" s="181">
        <f>_xll.qlVanillaSwapFairRate(S126)</f>
        <v>9.0192594985352269E-3</v>
      </c>
      <c r="U126" s="290">
        <f t="shared" si="12"/>
        <v>-2.0740501464772479E-5</v>
      </c>
      <c r="X126" s="176" t="str">
        <f t="shared" si="13"/>
        <v>1D</v>
      </c>
      <c r="Y126" s="164">
        <f>_xll.qlCalendarAdvance(Calendar,Y125,X126,"f",FALSE)</f>
        <v>42237</v>
      </c>
      <c r="Z126" s="188">
        <f>_xll.qlCalendarAdvance(Calendar,Y126,NDays&amp;"D")</f>
        <v>42241</v>
      </c>
      <c r="AA126" s="163">
        <v>7.8940349778129941E-4</v>
      </c>
      <c r="AB126" s="172">
        <v>8.0173027536822872E-4</v>
      </c>
    </row>
    <row r="127" spans="13:28" x14ac:dyDescent="0.2">
      <c r="M127" s="293" t="str">
        <v>obj_00882#0001</v>
      </c>
      <c r="N127" s="176" t="str">
        <f>_xll.qlRateHelperQuoteName(M127)</f>
        <v>EUR3F14Y_Quote</v>
      </c>
      <c r="O127" s="164">
        <f>_xll.qlInterestRateIndexFixingDate(R127,_xll.qlRateHelperEarliestDate(M127,Trigger),)</f>
        <v>43181</v>
      </c>
      <c r="P127" s="191">
        <f>_xll.qlRateHelperQuoteValue(M127,_xll.ohTrigger(RecalcTrigger,YieldCurve))</f>
        <v>9.1899999999999985E-3</v>
      </c>
      <c r="Q127" s="194" t="str">
        <f t="shared" si="15"/>
        <v>14Y</v>
      </c>
      <c r="R127" s="194" t="str">
        <f>_xll.qlSwapIndex(,"Euribor",Q127,NDays,Currency,Calendar,"1Y","mf","30/360 (Bond Basis)",IborIndex,Discounting,,_xll.ohTrigger(Trigger,RecalcTrigger))</f>
        <v>obj_0096e#0001</v>
      </c>
      <c r="S127" s="194" t="str">
        <f>_xll.qlVanillaSwapFromSwapIndex(,R127,O127)</f>
        <v>obj_00b37#0001</v>
      </c>
      <c r="T127" s="181">
        <f>_xll.qlVanillaSwapFairRate(S127)</f>
        <v>9.1601830951863056E-3</v>
      </c>
      <c r="U127" s="290">
        <f t="shared" si="12"/>
        <v>-2.9816904813692938E-5</v>
      </c>
      <c r="X127" s="176" t="str">
        <f t="shared" si="13"/>
        <v>1D</v>
      </c>
      <c r="Y127" s="164">
        <f>_xll.qlCalendarAdvance(Calendar,Y126,X127,"f",FALSE)</f>
        <v>42240</v>
      </c>
      <c r="Z127" s="188">
        <f>_xll.qlCalendarAdvance(Calendar,Y127,NDays&amp;"D")</f>
        <v>42242</v>
      </c>
      <c r="AA127" s="163">
        <v>7.8880664865986928E-4</v>
      </c>
      <c r="AB127" s="172">
        <v>8.0036708908437504E-4</v>
      </c>
    </row>
    <row r="128" spans="13:28" x14ac:dyDescent="0.2">
      <c r="M128" s="293" t="str">
        <v>obj_0086f#0001</v>
      </c>
      <c r="N128" s="176" t="str">
        <f>_xll.qlRateHelperQuoteName(M128)</f>
        <v>EUR3F15Y_Quote</v>
      </c>
      <c r="O128" s="164">
        <f>_xll.qlInterestRateIndexFixingDate(R128,_xll.qlRateHelperEarliestDate(M128,Trigger),)</f>
        <v>43181</v>
      </c>
      <c r="P128" s="191">
        <f>_xll.qlRateHelperQuoteValue(M128,_xll.ohTrigger(RecalcTrigger,YieldCurve))</f>
        <v>9.2899999999999996E-3</v>
      </c>
      <c r="Q128" s="194" t="str">
        <f t="shared" si="15"/>
        <v>15Y</v>
      </c>
      <c r="R128" s="194" t="str">
        <f>_xll.qlSwapIndex(,"Euribor",Q128,NDays,Currency,Calendar,"1Y","mf","30/360 (Bond Basis)",IborIndex,Discounting,,_xll.ohTrigger(Trigger,RecalcTrigger))</f>
        <v>obj_0099d#0001</v>
      </c>
      <c r="S128" s="194" t="str">
        <f>_xll.qlVanillaSwapFromSwapIndex(,R128,O128)</f>
        <v>obj_00afb#0001</v>
      </c>
      <c r="T128" s="181">
        <f>_xll.qlVanillaSwapFairRate(S128)</f>
        <v>9.2721297197807303E-3</v>
      </c>
      <c r="U128" s="290">
        <f t="shared" si="12"/>
        <v>-1.7870280219269355E-5</v>
      </c>
      <c r="X128" s="176" t="str">
        <f t="shared" si="13"/>
        <v>1D</v>
      </c>
      <c r="Y128" s="164">
        <f>_xll.qlCalendarAdvance(Calendar,Y127,X128,"f",FALSE)</f>
        <v>42241</v>
      </c>
      <c r="Z128" s="188">
        <f>_xll.qlCalendarAdvance(Calendar,Y128,NDays&amp;"D")</f>
        <v>42243</v>
      </c>
      <c r="AA128" s="163">
        <v>7.871582156777061E-4</v>
      </c>
      <c r="AB128" s="172">
        <v>7.993091874780589E-4</v>
      </c>
    </row>
    <row r="129" spans="13:28" x14ac:dyDescent="0.2">
      <c r="M129" s="293" t="str">
        <v>obj_007fd#0001</v>
      </c>
      <c r="N129" s="176" t="str">
        <f>_xll.qlRateHelperQuoteName(M129)</f>
        <v>EUR3F20Y_Quote</v>
      </c>
      <c r="O129" s="164">
        <f>_xll.qlInterestRateIndexFixingDate(R129,_xll.qlRateHelperEarliestDate(M129,Trigger),)</f>
        <v>43181</v>
      </c>
      <c r="P129" s="191">
        <f>_xll.qlRateHelperQuoteValue(M129,_xll.ohTrigger(RecalcTrigger,YieldCurve))</f>
        <v>9.6100000000000005E-3</v>
      </c>
      <c r="Q129" s="194" t="str">
        <f t="shared" si="15"/>
        <v>20Y</v>
      </c>
      <c r="R129" s="194" t="str">
        <f>_xll.qlSwapIndex(,"Euribor",Q129,NDays,Currency,Calendar,"1Y","mf","30/360 (Bond Basis)",IborIndex,Discounting,,_xll.ohTrigger(Trigger,RecalcTrigger))</f>
        <v>obj_008fd#0001</v>
      </c>
      <c r="S129" s="194" t="str">
        <f>_xll.qlVanillaSwapFromSwapIndex(,R129,O129)</f>
        <v>obj_00b5b#0001</v>
      </c>
      <c r="T129" s="181">
        <f>_xll.qlVanillaSwapFairRate(S129)</f>
        <v>9.5901418651397289E-3</v>
      </c>
      <c r="U129" s="290">
        <f t="shared" si="12"/>
        <v>-1.985813486027159E-5</v>
      </c>
      <c r="X129" s="176" t="str">
        <f t="shared" si="13"/>
        <v>1D</v>
      </c>
      <c r="Y129" s="164">
        <f>_xll.qlCalendarAdvance(Calendar,Y128,X129,"f",FALSE)</f>
        <v>42242</v>
      </c>
      <c r="Z129" s="188">
        <f>_xll.qlCalendarAdvance(Calendar,Y129,NDays&amp;"D")</f>
        <v>42244</v>
      </c>
      <c r="AA129" s="163">
        <v>7.8709078716881304E-4</v>
      </c>
      <c r="AB129" s="172">
        <v>7.9821276924185725E-4</v>
      </c>
    </row>
    <row r="130" spans="13:28" x14ac:dyDescent="0.2">
      <c r="M130" s="293" t="str">
        <v>obj_00862#0001</v>
      </c>
      <c r="N130" s="176" t="str">
        <f>_xll.qlRateHelperQuoteName(M130)</f>
        <v>EUR3F25Y_Quote</v>
      </c>
      <c r="O130" s="164">
        <f>_xll.qlInterestRateIndexFixingDate(R130,_xll.qlRateHelperEarliestDate(M130,Trigger),)</f>
        <v>43181</v>
      </c>
      <c r="P130" s="191">
        <f>_xll.qlRateHelperQuoteValue(M130,_xll.ohTrigger(RecalcTrigger,YieldCurve))</f>
        <v>9.7899999999999984E-3</v>
      </c>
      <c r="Q130" s="194" t="str">
        <f t="shared" si="15"/>
        <v>25Y</v>
      </c>
      <c r="R130" s="194" t="str">
        <f>_xll.qlSwapIndex(,"Euribor",Q130,NDays,Currency,Calendar,"1Y","mf","30/360 (Bond Basis)",IborIndex,Discounting,,_xll.ohTrigger(Trigger,RecalcTrigger))</f>
        <v>obj_0097c#0001</v>
      </c>
      <c r="S130" s="194" t="str">
        <f>_xll.qlVanillaSwapFromSwapIndex(,R130,O130)</f>
        <v>obj_00a26#0001</v>
      </c>
      <c r="T130" s="181">
        <f>_xll.qlVanillaSwapFairRate(S130)</f>
        <v>9.7603650201197184E-3</v>
      </c>
      <c r="U130" s="290">
        <f t="shared" si="12"/>
        <v>-2.9634979880279952E-5</v>
      </c>
      <c r="X130" s="176" t="str">
        <f t="shared" si="13"/>
        <v>1D</v>
      </c>
      <c r="Y130" s="164">
        <f>_xll.qlCalendarAdvance(Calendar,Y129,X130,"f",FALSE)</f>
        <v>42243</v>
      </c>
      <c r="Z130" s="188">
        <f>_xll.qlCalendarAdvance(Calendar,Y130,NDays&amp;"D")</f>
        <v>42247</v>
      </c>
      <c r="AA130" s="163">
        <v>7.8690222349878743E-4</v>
      </c>
      <c r="AB130" s="172">
        <v>1.2661320727058722E-3</v>
      </c>
    </row>
    <row r="131" spans="13:28" ht="12" thickBot="1" x14ac:dyDescent="0.25">
      <c r="M131" s="294" t="str">
        <v>obj_0076f#0001</v>
      </c>
      <c r="N131" s="177" t="str">
        <f>_xll.qlRateHelperQuoteName(M131)</f>
        <v>EUR3F30Y_Quote</v>
      </c>
      <c r="O131" s="174">
        <f>_xll.qlInterestRateIndexFixingDate(R131,_xll.qlRateHelperEarliestDate(M131,Trigger),)</f>
        <v>43181</v>
      </c>
      <c r="P131" s="192">
        <f>_xll.qlRateHelperQuoteValue(M131,_xll.ohTrigger(RecalcTrigger,YieldCurve))</f>
        <v>9.8800000000000016E-3</v>
      </c>
      <c r="Q131" s="195" t="str">
        <f t="shared" si="15"/>
        <v>30Y</v>
      </c>
      <c r="R131" s="195" t="str">
        <f>_xll.qlSwapIndex(,"Euribor",Q131,NDays,Currency,Calendar,"1Y","mf","30/360 (Bond Basis)",IborIndex,Discounting,,_xll.ohTrigger(Trigger,RecalcTrigger))</f>
        <v>obj_0096a#0001</v>
      </c>
      <c r="S131" s="195" t="str">
        <f>_xll.qlVanillaSwapFromSwapIndex(,R131,O131)</f>
        <v>obj_00b6c#0001</v>
      </c>
      <c r="T131" s="183">
        <f>_xll.qlVanillaSwapFairRate(S131)</f>
        <v>9.8548250029868393E-3</v>
      </c>
      <c r="U131" s="291">
        <f t="shared" si="12"/>
        <v>-2.5174997013162337E-5</v>
      </c>
      <c r="X131" s="176" t="str">
        <f t="shared" si="13"/>
        <v>1D</v>
      </c>
      <c r="Y131" s="164">
        <f>_xll.qlCalendarAdvance(Calendar,Y130,X131,"f",FALSE)</f>
        <v>42244</v>
      </c>
      <c r="Z131" s="188">
        <f>_xll.qlCalendarAdvance(Calendar,Y131,NDays&amp;"D")</f>
        <v>42248</v>
      </c>
      <c r="AA131" s="163">
        <v>7.9026777562105413E-4</v>
      </c>
      <c r="AB131" s="172">
        <v>7.9859894801082021E-4</v>
      </c>
    </row>
    <row r="132" spans="13:28" x14ac:dyDescent="0.2">
      <c r="M132" s="295" t="str">
        <v>obj_007a2#0001</v>
      </c>
      <c r="N132" s="279" t="str">
        <f>_xll.qlRateHelperQuoteName(M132)</f>
        <v>EUR4F1Y_Quote</v>
      </c>
      <c r="O132" s="276">
        <f>_xll.qlInterestRateIndexFixingDate(R132,_xll.qlRateHelperEarliestDate(M132,Trigger),)</f>
        <v>43545</v>
      </c>
      <c r="P132" s="277">
        <f>_xll.qlRateHelperQuoteValue(M132,_xll.ohTrigger(RecalcTrigger,YieldCurve))</f>
        <v>5.1600000000000005E-3</v>
      </c>
      <c r="Q132" s="275" t="str">
        <f t="shared" ref="Q132:Q149" si="16">SUBSTITUTE(SUBSTITUTE(N132,"_Quote",""),"EUR4F","")</f>
        <v>1Y</v>
      </c>
      <c r="R132" s="275" t="str">
        <f>_xll.qlSwapIndex(,"Euribor",Q132,NDays,Currency,Calendar,"1Y","mf","30/360 (Bond Basis)",IborIndex,Discounting,,_xll.ohTrigger(Trigger,RecalcTrigger))</f>
        <v>obj_008e7#0002</v>
      </c>
      <c r="S132" s="275" t="str">
        <f>_xll.qlVanillaSwapFromSwapIndex(,R132,O132)</f>
        <v>obj_00a4b#0001</v>
      </c>
      <c r="T132" s="278">
        <f>_xll.qlVanillaSwapFairRate(S132)</f>
        <v>5.1058827204980266E-3</v>
      </c>
      <c r="U132" s="292">
        <f t="shared" si="12"/>
        <v>-5.4117279501973876E-5</v>
      </c>
      <c r="X132" s="176" t="str">
        <f t="shared" si="13"/>
        <v>1D</v>
      </c>
      <c r="Y132" s="164">
        <f>_xll.qlCalendarAdvance(Calendar,Y131,X132,"f",FALSE)</f>
        <v>42247</v>
      </c>
      <c r="Z132" s="188">
        <f>_xll.qlCalendarAdvance(Calendar,Y132,NDays&amp;"D")</f>
        <v>42249</v>
      </c>
      <c r="AA132" s="163">
        <v>7.896784136236073E-4</v>
      </c>
      <c r="AB132" s="172">
        <v>7.9937275391017693E-4</v>
      </c>
    </row>
    <row r="133" spans="13:28" x14ac:dyDescent="0.2">
      <c r="M133" s="293" t="str">
        <v>obj_00885#0001</v>
      </c>
      <c r="N133" s="176" t="str">
        <f>_xll.qlRateHelperQuoteName(M133)</f>
        <v>EUR4F2Y_Quote</v>
      </c>
      <c r="O133" s="164">
        <f>_xll.qlInterestRateIndexFixingDate(R133,_xll.qlRateHelperEarliestDate(M133,Trigger),)</f>
        <v>43545</v>
      </c>
      <c r="P133" s="191" t="e">
        <f>_xll.qlRateHelperQuoteValue(M133,_xll.ohTrigger(RecalcTrigger,YieldCurve))</f>
        <v>#NUM!</v>
      </c>
      <c r="Q133" s="194" t="str">
        <f t="shared" si="16"/>
        <v>2Y</v>
      </c>
      <c r="R133" s="194" t="str">
        <f>_xll.qlSwapIndex(,"Euribor",Q133,NDays,Currency,Calendar,"1Y","mf","30/360 (Bond Basis)",IborIndex,Discounting,,_xll.ohTrigger(Trigger,RecalcTrigger))</f>
        <v>obj_008f1#0002</v>
      </c>
      <c r="S133" s="194" t="str">
        <f>_xll.qlVanillaSwapFromSwapIndex(,R133,O133)</f>
        <v>obj_00ab1#0001</v>
      </c>
      <c r="T133" s="181">
        <f>_xll.qlVanillaSwapFairRate(S133)</f>
        <v>5.7769653837546628E-3</v>
      </c>
      <c r="U133" s="290" t="e">
        <f t="shared" si="12"/>
        <v>#NUM!</v>
      </c>
      <c r="X133" s="176" t="str">
        <f t="shared" si="13"/>
        <v>1D</v>
      </c>
      <c r="Y133" s="164">
        <f>_xll.qlCalendarAdvance(Calendar,Y132,X133,"f",FALSE)</f>
        <v>42248</v>
      </c>
      <c r="Z133" s="188">
        <f>_xll.qlCalendarAdvance(Calendar,Y133,NDays&amp;"D")</f>
        <v>42250</v>
      </c>
      <c r="AA133" s="163">
        <v>7.8909305303020375E-4</v>
      </c>
      <c r="AB133" s="172">
        <v>8.0045184440713513E-4</v>
      </c>
    </row>
    <row r="134" spans="13:28" x14ac:dyDescent="0.2">
      <c r="M134" s="293" t="str">
        <v>obj_00861#0001</v>
      </c>
      <c r="N134" s="176" t="str">
        <f>_xll.qlRateHelperQuoteName(M134)</f>
        <v>EUR4F3Y_Quote</v>
      </c>
      <c r="O134" s="164">
        <f>_xll.qlInterestRateIndexFixingDate(R134,_xll.qlRateHelperEarliestDate(M134,Trigger),)</f>
        <v>43545</v>
      </c>
      <c r="P134" s="191">
        <f>_xll.qlRateHelperQuoteValue(M134,_xll.ohTrigger(RecalcTrigger,YieldCurve))</f>
        <v>6.4000000000000003E-3</v>
      </c>
      <c r="Q134" s="194" t="str">
        <f t="shared" si="16"/>
        <v>3Y</v>
      </c>
      <c r="R134" s="194" t="str">
        <f>_xll.qlSwapIndex(,"Euribor",Q134,NDays,Currency,Calendar,"1Y","mf","30/360 (Bond Basis)",IborIndex,Discounting,,_xll.ohTrigger(Trigger,RecalcTrigger))</f>
        <v>obj_00994#0001</v>
      </c>
      <c r="S134" s="194" t="str">
        <f>_xll.qlVanillaSwapFromSwapIndex(,R134,O134)</f>
        <v>obj_00ae4#0001</v>
      </c>
      <c r="T134" s="181">
        <f>_xll.qlVanillaSwapFairRate(S134)</f>
        <v>6.3678622401445459E-3</v>
      </c>
      <c r="U134" s="290">
        <f t="shared" si="12"/>
        <v>-3.213775985545439E-5</v>
      </c>
      <c r="X134" s="176" t="str">
        <f t="shared" si="13"/>
        <v>1D</v>
      </c>
      <c r="Y134" s="164">
        <f>_xll.qlCalendarAdvance(Calendar,Y133,X134,"f",FALSE)</f>
        <v>42249</v>
      </c>
      <c r="Z134" s="188">
        <f>_xll.qlCalendarAdvance(Calendar,Y134,NDays&amp;"D")</f>
        <v>42251</v>
      </c>
      <c r="AA134" s="163">
        <v>7.8851297854154098E-4</v>
      </c>
      <c r="AB134" s="172">
        <v>8.0362943465139836E-4</v>
      </c>
    </row>
    <row r="135" spans="13:28" x14ac:dyDescent="0.2">
      <c r="M135" s="293" t="str">
        <v>obj_0075f#0001</v>
      </c>
      <c r="N135" s="176" t="str">
        <f>_xll.qlRateHelperQuoteName(M135)</f>
        <v>EUR4F4Y_Quote</v>
      </c>
      <c r="O135" s="164">
        <f>_xll.qlInterestRateIndexFixingDate(R135,_xll.qlRateHelperEarliestDate(M135,Trigger),)</f>
        <v>43545</v>
      </c>
      <c r="P135" s="191">
        <f>_xll.qlRateHelperQuoteValue(M135,_xll.ohTrigger(RecalcTrigger,YieldCurve))</f>
        <v>6.9900000000000006E-3</v>
      </c>
      <c r="Q135" s="194" t="str">
        <f t="shared" si="16"/>
        <v>4Y</v>
      </c>
      <c r="R135" s="194" t="str">
        <f>_xll.qlSwapIndex(,"Euribor",Q135,NDays,Currency,Calendar,"1Y","mf","30/360 (Bond Basis)",IborIndex,Discounting,,_xll.ohTrigger(Trigger,RecalcTrigger))</f>
        <v>obj_00926#0001</v>
      </c>
      <c r="S135" s="194" t="str">
        <f>_xll.qlVanillaSwapFromSwapIndex(,R135,O135)</f>
        <v>obj_00ad0#0001</v>
      </c>
      <c r="T135" s="181">
        <f>_xll.qlVanillaSwapFairRate(S135)</f>
        <v>6.96007846635053E-3</v>
      </c>
      <c r="U135" s="290">
        <f t="shared" si="12"/>
        <v>-2.9921533649470561E-5</v>
      </c>
      <c r="X135" s="176" t="str">
        <f t="shared" si="13"/>
        <v>1D</v>
      </c>
      <c r="Y135" s="164">
        <f>_xll.qlCalendarAdvance(Calendar,Y134,X135,"f",FALSE)</f>
        <v>42250</v>
      </c>
      <c r="Z135" s="188">
        <f>_xll.qlCalendarAdvance(Calendar,Y135,NDays&amp;"D")</f>
        <v>42254</v>
      </c>
      <c r="AA135" s="163">
        <v>7.8681731869911298E-4</v>
      </c>
      <c r="AB135" s="172">
        <v>8.0782105245091884E-4</v>
      </c>
    </row>
    <row r="136" spans="13:28" x14ac:dyDescent="0.2">
      <c r="M136" s="293" t="str">
        <v>obj_007ce#0001</v>
      </c>
      <c r="N136" s="176" t="str">
        <f>_xll.qlRateHelperQuoteName(M136)</f>
        <v>EUR4F5Y_Quote</v>
      </c>
      <c r="O136" s="164">
        <f>_xll.qlInterestRateIndexFixingDate(R136,_xll.qlRateHelperEarliestDate(M136,Trigger),)</f>
        <v>43545</v>
      </c>
      <c r="P136" s="191">
        <f>_xll.qlRateHelperQuoteValue(M136,_xll.ohTrigger(RecalcTrigger,YieldCurve))</f>
        <v>7.5300000000000002E-3</v>
      </c>
      <c r="Q136" s="194" t="str">
        <f t="shared" si="16"/>
        <v>5Y</v>
      </c>
      <c r="R136" s="194" t="str">
        <f>_xll.qlSwapIndex(,"Euribor",Q136,NDays,Currency,Calendar,"1Y","mf","30/360 (Bond Basis)",IborIndex,Discounting,,_xll.ohTrigger(Trigger,RecalcTrigger))</f>
        <v>obj_009da#0001</v>
      </c>
      <c r="S136" s="194" t="str">
        <f>_xll.qlVanillaSwapFromSwapIndex(,R136,O136)</f>
        <v>obj_00b0d#0001</v>
      </c>
      <c r="T136" s="181">
        <f>_xll.qlVanillaSwapFairRate(S136)</f>
        <v>7.500883479380654E-3</v>
      </c>
      <c r="U136" s="290">
        <f t="shared" si="12"/>
        <v>-2.9116520619346282E-5</v>
      </c>
      <c r="X136" s="176" t="str">
        <f t="shared" si="13"/>
        <v>1D</v>
      </c>
      <c r="Y136" s="164">
        <f>_xll.qlCalendarAdvance(Calendar,Y135,X136,"f",FALSE)</f>
        <v>42251</v>
      </c>
      <c r="Z136" s="188">
        <f>_xll.qlCalendarAdvance(Calendar,Y136,NDays&amp;"D")</f>
        <v>42255</v>
      </c>
      <c r="AA136" s="163">
        <v>7.8627123561574508E-4</v>
      </c>
      <c r="AB136" s="172">
        <v>8.1042656593588447E-4</v>
      </c>
    </row>
    <row r="137" spans="13:28" x14ac:dyDescent="0.2">
      <c r="M137" s="293" t="str">
        <v>obj_00757#0001</v>
      </c>
      <c r="N137" s="176" t="str">
        <f>_xll.qlRateHelperQuoteName(M137)</f>
        <v>EUR4F6Y_Quote</v>
      </c>
      <c r="O137" s="164">
        <f>_xll.qlInterestRateIndexFixingDate(R137,_xll.qlRateHelperEarliestDate(M137,Trigger),)</f>
        <v>43545</v>
      </c>
      <c r="P137" s="191">
        <f>_xll.qlRateHelperQuoteValue(M137,_xll.ohTrigger(RecalcTrigger,YieldCurve))</f>
        <v>7.9699999999999997E-3</v>
      </c>
      <c r="Q137" s="194" t="str">
        <f t="shared" si="16"/>
        <v>6Y</v>
      </c>
      <c r="R137" s="194" t="str">
        <f>_xll.qlSwapIndex(,"Euribor",Q137,NDays,Currency,Calendar,"1Y","mf","30/360 (Bond Basis)",IborIndex,Discounting,,_xll.ohTrigger(Trigger,RecalcTrigger))</f>
        <v>obj_009bc#0001</v>
      </c>
      <c r="S137" s="194" t="str">
        <f>_xll.qlVanillaSwapFromSwapIndex(,R137,O137)</f>
        <v>obj_00ab0#0001</v>
      </c>
      <c r="T137" s="181">
        <f>_xll.qlVanillaSwapFairRate(S137)</f>
        <v>7.9467973220659956E-3</v>
      </c>
      <c r="U137" s="290">
        <f t="shared" si="12"/>
        <v>-2.3202677934004018E-5</v>
      </c>
      <c r="X137" s="176" t="str">
        <f t="shared" si="13"/>
        <v>1D</v>
      </c>
      <c r="Y137" s="164">
        <f>_xll.qlCalendarAdvance(Calendar,Y136,X137,"f",FALSE)</f>
        <v>42254</v>
      </c>
      <c r="Z137" s="188">
        <f>_xll.qlCalendarAdvance(Calendar,Y137,NDays&amp;"D")</f>
        <v>42256</v>
      </c>
      <c r="AA137" s="163">
        <v>7.8573686212347611E-4</v>
      </c>
      <c r="AB137" s="172">
        <v>8.133373641783237E-4</v>
      </c>
    </row>
    <row r="138" spans="13:28" x14ac:dyDescent="0.2">
      <c r="M138" s="293" t="str">
        <v>obj_00798#0001</v>
      </c>
      <c r="N138" s="176" t="str">
        <f>_xll.qlRateHelperQuoteName(M138)</f>
        <v>EUR4F7Y_Quote</v>
      </c>
      <c r="O138" s="164">
        <f>_xll.qlInterestRateIndexFixingDate(R138,_xll.qlRateHelperEarliestDate(M138,Trigger),)</f>
        <v>43545</v>
      </c>
      <c r="P138" s="191">
        <f>_xll.qlRateHelperQuoteValue(M138,_xll.ohTrigger(RecalcTrigger,YieldCurve))</f>
        <v>8.3599999999999994E-3</v>
      </c>
      <c r="Q138" s="194" t="str">
        <f t="shared" si="16"/>
        <v>7Y</v>
      </c>
      <c r="R138" s="194" t="str">
        <f>_xll.qlSwapIndex(,"Euribor",Q138,NDays,Currency,Calendar,"1Y","mf","30/360 (Bond Basis)",IborIndex,Discounting,,_xll.ohTrigger(Trigger,RecalcTrigger))</f>
        <v>obj_00965#0001</v>
      </c>
      <c r="S138" s="194" t="str">
        <f>_xll.qlVanillaSwapFromSwapIndex(,R138,O138)</f>
        <v>obj_00a57#0001</v>
      </c>
      <c r="T138" s="181">
        <f>_xll.qlVanillaSwapFairRate(S138)</f>
        <v>8.3336651970207162E-3</v>
      </c>
      <c r="U138" s="290">
        <f t="shared" si="12"/>
        <v>-2.6334802979283145E-5</v>
      </c>
      <c r="X138" s="176" t="str">
        <f t="shared" si="13"/>
        <v>1D</v>
      </c>
      <c r="Y138" s="164">
        <f>_xll.qlCalendarAdvance(Calendar,Y137,X138,"f",FALSE)</f>
        <v>42255</v>
      </c>
      <c r="Z138" s="188">
        <f>_xll.qlCalendarAdvance(Calendar,Y138,NDays&amp;"D")</f>
        <v>42257</v>
      </c>
      <c r="AA138" s="163">
        <v>7.8521548291509769E-4</v>
      </c>
      <c r="AB138" s="172">
        <v>8.1655344685849229E-4</v>
      </c>
    </row>
    <row r="139" spans="13:28" x14ac:dyDescent="0.2">
      <c r="M139" s="293" t="str">
        <v>obj_00880#0001</v>
      </c>
      <c r="N139" s="176" t="str">
        <f>_xll.qlRateHelperQuoteName(M139)</f>
        <v>EUR4F8Y_Quote</v>
      </c>
      <c r="O139" s="164">
        <f>_xll.qlInterestRateIndexFixingDate(R139,_xll.qlRateHelperEarliestDate(M139,Trigger),)</f>
        <v>43545</v>
      </c>
      <c r="P139" s="191">
        <f>_xll.qlRateHelperQuoteValue(M139,_xll.ohTrigger(RecalcTrigger,YieldCurve))</f>
        <v>8.6899999999999998E-3</v>
      </c>
      <c r="Q139" s="194" t="str">
        <f t="shared" si="16"/>
        <v>8Y</v>
      </c>
      <c r="R139" s="194" t="str">
        <f>_xll.qlSwapIndex(,"Euribor",Q139,NDays,Currency,Calendar,"1Y","mf","30/360 (Bond Basis)",IborIndex,Discounting,,_xll.ohTrigger(Trigger,RecalcTrigger))</f>
        <v>obj_00901#0001</v>
      </c>
      <c r="S139" s="194" t="str">
        <f>_xll.qlVanillaSwapFromSwapIndex(,R139,O139)</f>
        <v>obj_00b5c#0001</v>
      </c>
      <c r="T139" s="181">
        <f>_xll.qlVanillaSwapFairRate(S139)</f>
        <v>8.6634686391933204E-3</v>
      </c>
      <c r="U139" s="290">
        <f t="shared" si="12"/>
        <v>-2.6531360806679449E-5</v>
      </c>
      <c r="X139" s="176" t="str">
        <f t="shared" si="13"/>
        <v>1D</v>
      </c>
      <c r="Y139" s="164">
        <f>_xll.qlCalendarAdvance(Calendar,Y138,X139,"f",FALSE)</f>
        <v>42256</v>
      </c>
      <c r="Z139" s="188">
        <f>_xll.qlCalendarAdvance(Calendar,Y139,NDays&amp;"D")</f>
        <v>42258</v>
      </c>
      <c r="AA139" s="163">
        <v>7.8470838268384095E-4</v>
      </c>
      <c r="AB139" s="172">
        <v>8.2400511403513121E-4</v>
      </c>
    </row>
    <row r="140" spans="13:28" x14ac:dyDescent="0.2">
      <c r="M140" s="293" t="str">
        <v>obj_00871#0001</v>
      </c>
      <c r="N140" s="176" t="str">
        <f>_xll.qlRateHelperQuoteName(M140)</f>
        <v>EUR4F9Y_Quote</v>
      </c>
      <c r="O140" s="164">
        <f>_xll.qlInterestRateIndexFixingDate(R140,_xll.qlRateHelperEarliestDate(M140,Trigger),)</f>
        <v>43545</v>
      </c>
      <c r="P140" s="191">
        <f>_xll.qlRateHelperQuoteValue(M140,_xll.ohTrigger(RecalcTrigger,YieldCurve))</f>
        <v>8.9800000000000001E-3</v>
      </c>
      <c r="Q140" s="194" t="str">
        <f t="shared" si="16"/>
        <v>9Y</v>
      </c>
      <c r="R140" s="194" t="str">
        <f>_xll.qlSwapIndex(,"Euribor",Q140,NDays,Currency,Calendar,"1Y","mf","30/360 (Bond Basis)",IborIndex,Discounting,,_xll.ohTrigger(Trigger,RecalcTrigger))</f>
        <v>obj_008fc#0001</v>
      </c>
      <c r="S140" s="194" t="str">
        <f>_xll.qlVanillaSwapFromSwapIndex(,R140,O140)</f>
        <v>obj_00adc#0001</v>
      </c>
      <c r="T140" s="181">
        <f>_xll.qlVanillaSwapFairRate(S140)</f>
        <v>8.9389101893906885E-3</v>
      </c>
      <c r="U140" s="290">
        <f t="shared" si="12"/>
        <v>-4.1089810609311675E-5</v>
      </c>
      <c r="X140" s="176" t="str">
        <f t="shared" si="13"/>
        <v>1D</v>
      </c>
      <c r="Y140" s="164">
        <f>_xll.qlCalendarAdvance(Calendar,Y139,X140,"f",FALSE)</f>
        <v>42257</v>
      </c>
      <c r="Z140" s="188">
        <f>_xll.qlCalendarAdvance(Calendar,Y140,NDays&amp;"D")</f>
        <v>42261</v>
      </c>
      <c r="AA140" s="163">
        <v>7.8328560275348622E-4</v>
      </c>
      <c r="AB140" s="172">
        <v>8.3247062451441423E-4</v>
      </c>
    </row>
    <row r="141" spans="13:28" x14ac:dyDescent="0.2">
      <c r="M141" s="293" t="str">
        <v>obj_00839#0001</v>
      </c>
      <c r="N141" s="176" t="str">
        <f>_xll.qlRateHelperQuoteName(M141)</f>
        <v>EUR4F10Y_Quote</v>
      </c>
      <c r="O141" s="164">
        <f>_xll.qlInterestRateIndexFixingDate(R141,_xll.qlRateHelperEarliestDate(M141,Trigger),)</f>
        <v>43545</v>
      </c>
      <c r="P141" s="191">
        <f>_xll.qlRateHelperQuoteValue(M141,_xll.ohTrigger(RecalcTrigger,YieldCurve))</f>
        <v>9.1899999999999985E-3</v>
      </c>
      <c r="Q141" s="194" t="str">
        <f t="shared" si="16"/>
        <v>10Y</v>
      </c>
      <c r="R141" s="194" t="str">
        <f>_xll.qlSwapIndex(,"Euribor",Q141,NDays,Currency,Calendar,"1Y","mf","30/360 (Bond Basis)",IborIndex,Discounting,,_xll.ohTrigger(Trigger,RecalcTrigger))</f>
        <v>obj_00968#0001</v>
      </c>
      <c r="S141" s="194" t="str">
        <f>_xll.qlVanillaSwapFromSwapIndex(,R141,O141)</f>
        <v>obj_00af2#0001</v>
      </c>
      <c r="T141" s="181">
        <f>_xll.qlVanillaSwapFairRate(S141)</f>
        <v>9.158846753387264E-3</v>
      </c>
      <c r="U141" s="290">
        <f t="shared" si="12"/>
        <v>-3.1153246612734484E-5</v>
      </c>
      <c r="X141" s="176" t="str">
        <f t="shared" si="13"/>
        <v>1D</v>
      </c>
      <c r="Y141" s="164">
        <f>_xll.qlCalendarAdvance(Calendar,Y140,X141,"f",FALSE)</f>
        <v>42258</v>
      </c>
      <c r="Z141" s="188">
        <f>_xll.qlCalendarAdvance(Calendar,Y141,NDays&amp;"D")</f>
        <v>42262</v>
      </c>
      <c r="AA141" s="163">
        <v>7.8284846533008419E-4</v>
      </c>
      <c r="AB141" s="172">
        <v>8.3721313074214265E-4</v>
      </c>
    </row>
    <row r="142" spans="13:28" x14ac:dyDescent="0.2">
      <c r="M142" s="293" t="str">
        <v>obj_0088a#0001</v>
      </c>
      <c r="N142" s="176" t="str">
        <f>_xll.qlRateHelperQuoteName(M142)</f>
        <v>EUR4F11Y_Quote</v>
      </c>
      <c r="O142" s="164">
        <f>_xll.qlInterestRateIndexFixingDate(R142,_xll.qlRateHelperEarliestDate(M142,Trigger),)</f>
        <v>43545</v>
      </c>
      <c r="P142" s="191">
        <f>_xll.qlRateHelperQuoteValue(M142,_xll.ohTrigger(RecalcTrigger,YieldCurve))</f>
        <v>9.3600000000000003E-3</v>
      </c>
      <c r="Q142" s="194" t="str">
        <f t="shared" si="16"/>
        <v>11Y</v>
      </c>
      <c r="R142" s="194" t="str">
        <f>_xll.qlSwapIndex(,"Euribor",Q142,NDays,Currency,Calendar,"1Y","mf","30/360 (Bond Basis)",IborIndex,Discounting,,_xll.ohTrigger(Trigger,RecalcTrigger))</f>
        <v>obj_008f6#0001</v>
      </c>
      <c r="S142" s="194" t="str">
        <f>_xll.qlVanillaSwapFromSwapIndex(,R142,O142)</f>
        <v>obj_00a9d#0001</v>
      </c>
      <c r="T142" s="181">
        <f>_xll.qlVanillaSwapFairRate(S142)</f>
        <v>9.3374142391068737E-3</v>
      </c>
      <c r="U142" s="290">
        <f t="shared" si="12"/>
        <v>-2.2585760893126597E-5</v>
      </c>
      <c r="X142" s="176" t="str">
        <f t="shared" si="13"/>
        <v>1D</v>
      </c>
      <c r="Y142" s="164">
        <f>_xll.qlCalendarAdvance(Calendar,Y141,X142,"f",FALSE)</f>
        <v>42261</v>
      </c>
      <c r="Z142" s="188">
        <f>_xll.qlCalendarAdvance(Calendar,Y142,NDays&amp;"D")</f>
        <v>42263</v>
      </c>
      <c r="AA142" s="163">
        <v>7.8243203033019398E-4</v>
      </c>
      <c r="AB142" s="172">
        <v>8.4226092148753651E-4</v>
      </c>
    </row>
    <row r="143" spans="13:28" x14ac:dyDescent="0.2">
      <c r="M143" s="293" t="str">
        <v>obj_00838#0001</v>
      </c>
      <c r="N143" s="176" t="str">
        <f>_xll.qlRateHelperQuoteName(M143)</f>
        <v>EUR4F12Y_Quote</v>
      </c>
      <c r="O143" s="164">
        <f>_xll.qlInterestRateIndexFixingDate(R143,_xll.qlRateHelperEarliestDate(M143,Trigger),)</f>
        <v>43545</v>
      </c>
      <c r="P143" s="191">
        <f>_xll.qlRateHelperQuoteValue(M143,_xll.ohTrigger(RecalcTrigger,YieldCurve))</f>
        <v>9.4999999999999998E-3</v>
      </c>
      <c r="Q143" s="194" t="str">
        <f t="shared" si="16"/>
        <v>12Y</v>
      </c>
      <c r="R143" s="194" t="str">
        <f>_xll.qlSwapIndex(,"Euribor",Q143,NDays,Currency,Calendar,"1Y","mf","30/360 (Bond Basis)",IborIndex,Discounting,,_xll.ohTrigger(Trigger,RecalcTrigger))</f>
        <v>obj_008f2#0002</v>
      </c>
      <c r="S143" s="194" t="str">
        <f>_xll.qlVanillaSwapFromSwapIndex(,R143,O143)</f>
        <v>obj_00b32#0001</v>
      </c>
      <c r="T143" s="181">
        <f>_xll.qlVanillaSwapFairRate(S143)</f>
        <v>9.4810422833990163E-3</v>
      </c>
      <c r="U143" s="290">
        <f t="shared" ref="U143:U206" si="17">T143-P143</f>
        <v>-1.8957716600983415E-5</v>
      </c>
      <c r="X143" s="176" t="str">
        <f t="shared" si="13"/>
        <v>1D</v>
      </c>
      <c r="Y143" s="164">
        <f>_xll.qlCalendarAdvance(Calendar,Y142,X143,"f",FALSE)</f>
        <v>42262</v>
      </c>
      <c r="Z143" s="188">
        <f>_xll.qlCalendarAdvance(Calendar,Y143,NDays&amp;"D")</f>
        <v>42264</v>
      </c>
      <c r="AA143" s="163">
        <v>7.820375824426544E-4</v>
      </c>
      <c r="AB143" s="172">
        <v>8.4761399699040396E-4</v>
      </c>
    </row>
    <row r="144" spans="13:28" x14ac:dyDescent="0.2">
      <c r="M144" s="293" t="str">
        <v>obj_00873#0001</v>
      </c>
      <c r="N144" s="176" t="str">
        <f>_xll.qlRateHelperQuoteName(M144)</f>
        <v>EUR4F13Y_Quote</v>
      </c>
      <c r="O144" s="164">
        <f>_xll.qlInterestRateIndexFixingDate(R144,_xll.qlRateHelperEarliestDate(M144,Trigger),)</f>
        <v>43545</v>
      </c>
      <c r="P144" s="191">
        <f>_xll.qlRateHelperQuoteValue(M144,_xll.ohTrigger(RecalcTrigger,YieldCurve))</f>
        <v>9.6300000000000014E-3</v>
      </c>
      <c r="Q144" s="194" t="str">
        <f t="shared" si="16"/>
        <v>13Y</v>
      </c>
      <c r="R144" s="194" t="str">
        <f>_xll.qlSwapIndex(,"Euribor",Q144,NDays,Currency,Calendar,"1Y","mf","30/360 (Bond Basis)",IborIndex,Discounting,,_xll.ohTrigger(Trigger,RecalcTrigger))</f>
        <v>obj_008d7#0002</v>
      </c>
      <c r="S144" s="194" t="str">
        <f>_xll.qlVanillaSwapFromSwapIndex(,R144,O144)</f>
        <v>obj_00b22#0001</v>
      </c>
      <c r="T144" s="181">
        <f>_xll.qlVanillaSwapFairRate(S144)</f>
        <v>9.5982183941583192E-3</v>
      </c>
      <c r="U144" s="290">
        <f t="shared" si="17"/>
        <v>-3.1781605841682201E-5</v>
      </c>
      <c r="X144" s="176" t="str">
        <f t="shared" si="13"/>
        <v>1D</v>
      </c>
      <c r="Y144" s="164">
        <f>_xll.qlCalendarAdvance(Calendar,Y143,X144,"f",FALSE)</f>
        <v>42263</v>
      </c>
      <c r="Z144" s="188">
        <f>_xll.qlCalendarAdvance(Calendar,Y144,NDays&amp;"D")</f>
        <v>42265</v>
      </c>
      <c r="AA144" s="163">
        <v>7.8166640635322969E-4</v>
      </c>
      <c r="AB144" s="172">
        <v>8.5933981496033596E-4</v>
      </c>
    </row>
    <row r="145" spans="13:28" x14ac:dyDescent="0.2">
      <c r="M145" s="293" t="str">
        <v>obj_0080a#0001</v>
      </c>
      <c r="N145" s="176" t="str">
        <f>_xll.qlRateHelperQuoteName(M145)</f>
        <v>EUR4F14Y_Quote</v>
      </c>
      <c r="O145" s="164">
        <f>_xll.qlInterestRateIndexFixingDate(R145,_xll.qlRateHelperEarliestDate(M145,Trigger),)</f>
        <v>43545</v>
      </c>
      <c r="P145" s="191">
        <f>_xll.qlRateHelperQuoteValue(M145,_xll.ohTrigger(RecalcTrigger,YieldCurve))</f>
        <v>9.7100000000000016E-3</v>
      </c>
      <c r="Q145" s="194" t="str">
        <f t="shared" si="16"/>
        <v>14Y</v>
      </c>
      <c r="R145" s="194" t="str">
        <f>_xll.qlSwapIndex(,"Euribor",Q145,NDays,Currency,Calendar,"1Y","mf","30/360 (Bond Basis)",IborIndex,Discounting,,_xll.ohTrigger(Trigger,RecalcTrigger))</f>
        <v>obj_008db#0002</v>
      </c>
      <c r="S145" s="194" t="str">
        <f>_xll.qlVanillaSwapFromSwapIndex(,R145,O145)</f>
        <v>obj_00a4d#0001</v>
      </c>
      <c r="T145" s="181">
        <f>_xll.qlVanillaSwapFairRate(S145)</f>
        <v>9.6898095254274001E-3</v>
      </c>
      <c r="U145" s="290">
        <f t="shared" si="17"/>
        <v>-2.0190474572601494E-5</v>
      </c>
      <c r="X145" s="176" t="str">
        <f t="shared" si="13"/>
        <v>1D</v>
      </c>
      <c r="Y145" s="164">
        <f>_xll.qlCalendarAdvance(Calendar,Y144,X145,"f",FALSE)</f>
        <v>42264</v>
      </c>
      <c r="Z145" s="188">
        <f>_xll.qlCalendarAdvance(Calendar,Y145,NDays&amp;"D")</f>
        <v>42268</v>
      </c>
      <c r="AA145" s="163">
        <v>7.8070535575193163E-4</v>
      </c>
      <c r="AB145" s="172">
        <v>8.7207914633680161E-4</v>
      </c>
    </row>
    <row r="146" spans="13:28" x14ac:dyDescent="0.2">
      <c r="M146" s="293" t="str">
        <v>obj_0073d#0001</v>
      </c>
      <c r="N146" s="176" t="str">
        <f>_xll.qlRateHelperQuoteName(M146)</f>
        <v>EUR4F15Y_Quote</v>
      </c>
      <c r="O146" s="164">
        <f>_xll.qlInterestRateIndexFixingDate(R146,_xll.qlRateHelperEarliestDate(M146,Trigger),)</f>
        <v>43545</v>
      </c>
      <c r="P146" s="191">
        <f>_xll.qlRateHelperQuoteValue(M146,_xll.ohTrigger(RecalcTrigger,YieldCurve))</f>
        <v>9.7899999999999984E-3</v>
      </c>
      <c r="Q146" s="194" t="str">
        <f t="shared" si="16"/>
        <v>15Y</v>
      </c>
      <c r="R146" s="194" t="str">
        <f>_xll.qlSwapIndex(,"Euribor",Q146,NDays,Currency,Calendar,"1Y","mf","30/360 (Bond Basis)",IborIndex,Discounting,,_xll.ohTrigger(Trigger,RecalcTrigger))</f>
        <v>obj_0095e#0001</v>
      </c>
      <c r="S146" s="194" t="str">
        <f>_xll.qlVanillaSwapFromSwapIndex(,R146,O146)</f>
        <v>obj_00b09#0001</v>
      </c>
      <c r="T146" s="181">
        <f>_xll.qlVanillaSwapFairRate(S146)</f>
        <v>9.7625418619926591E-3</v>
      </c>
      <c r="U146" s="290">
        <f t="shared" si="17"/>
        <v>-2.7458138007339233E-5</v>
      </c>
      <c r="X146" s="176" t="str">
        <f t="shared" si="13"/>
        <v>1D</v>
      </c>
      <c r="Y146" s="164">
        <f>_xll.qlCalendarAdvance(Calendar,Y145,X146,"f",FALSE)</f>
        <v>42265</v>
      </c>
      <c r="Z146" s="188">
        <f>_xll.qlCalendarAdvance(Calendar,Y146,NDays&amp;"D")</f>
        <v>42269</v>
      </c>
      <c r="AA146" s="163">
        <v>7.8044011373105699E-4</v>
      </c>
      <c r="AB146" s="172">
        <v>8.7895864554710101E-4</v>
      </c>
    </row>
    <row r="147" spans="13:28" x14ac:dyDescent="0.2">
      <c r="M147" s="293" t="str">
        <v>obj_007f7#0001</v>
      </c>
      <c r="N147" s="176" t="str">
        <f>_xll.qlRateHelperQuoteName(M147)</f>
        <v>EUR4F20Y_Quote</v>
      </c>
      <c r="O147" s="164">
        <f>_xll.qlInterestRateIndexFixingDate(R147,_xll.qlRateHelperEarliestDate(M147,Trigger),)</f>
        <v>43545</v>
      </c>
      <c r="P147" s="191">
        <f>_xll.qlRateHelperQuoteValue(M147,_xll.ohTrigger(RecalcTrigger,YieldCurve))</f>
        <v>9.9700000000000014E-3</v>
      </c>
      <c r="Q147" s="194" t="str">
        <f t="shared" si="16"/>
        <v>20Y</v>
      </c>
      <c r="R147" s="194" t="str">
        <f>_xll.qlSwapIndex(,"Euribor",Q147,NDays,Currency,Calendar,"1Y","mf","30/360 (Bond Basis)",IborIndex,Discounting,,_xll.ohTrigger(Trigger,RecalcTrigger))</f>
        <v>obj_008f9#0001</v>
      </c>
      <c r="S147" s="194" t="str">
        <f>_xll.qlVanillaSwapFromSwapIndex(,R147,O147)</f>
        <v>obj_00b6b#0001</v>
      </c>
      <c r="T147" s="181">
        <f>_xll.qlVanillaSwapFairRate(S147)</f>
        <v>9.9472935250576981E-3</v>
      </c>
      <c r="U147" s="290">
        <f t="shared" si="17"/>
        <v>-2.2706474942303309E-5</v>
      </c>
      <c r="X147" s="176" t="str">
        <f t="shared" si="13"/>
        <v>1D</v>
      </c>
      <c r="Y147" s="164">
        <f>_xll.qlCalendarAdvance(Calendar,Y146,X147,"f",FALSE)</f>
        <v>42268</v>
      </c>
      <c r="Z147" s="188">
        <f>_xll.qlCalendarAdvance(Calendar,Y147,NDays&amp;"D")</f>
        <v>42270</v>
      </c>
      <c r="AA147" s="163">
        <v>7.8020456694678178E-4</v>
      </c>
      <c r="AB147" s="172">
        <v>8.8614342959481007E-4</v>
      </c>
    </row>
    <row r="148" spans="13:28" x14ac:dyDescent="0.2">
      <c r="M148" s="293" t="str">
        <v>obj_007f5#0001</v>
      </c>
      <c r="N148" s="176" t="str">
        <f>_xll.qlRateHelperQuoteName(M148)</f>
        <v>EUR4F25Y_Quote</v>
      </c>
      <c r="O148" s="164">
        <f>_xll.qlInterestRateIndexFixingDate(R148,_xll.qlRateHelperEarliestDate(M148,Trigger),)</f>
        <v>43545</v>
      </c>
      <c r="P148" s="191">
        <f>_xll.qlRateHelperQuoteValue(M148,_xll.ohTrigger(RecalcTrigger,YieldCurve))</f>
        <v>1.008E-2</v>
      </c>
      <c r="Q148" s="194" t="str">
        <f t="shared" si="16"/>
        <v>25Y</v>
      </c>
      <c r="R148" s="194" t="str">
        <f>_xll.qlSwapIndex(,"Euribor",Q148,NDays,Currency,Calendar,"1Y","mf","30/360 (Bond Basis)",IborIndex,Discounting,,_xll.ohTrigger(Trigger,RecalcTrigger))</f>
        <v>obj_008f8#0001</v>
      </c>
      <c r="S148" s="194" t="str">
        <f>_xll.qlVanillaSwapFromSwapIndex(,R148,O148)</f>
        <v>obj_00a75#0001</v>
      </c>
      <c r="T148" s="181">
        <f>_xll.qlVanillaSwapFairRate(S148)</f>
        <v>1.0056941001150807E-2</v>
      </c>
      <c r="U148" s="290">
        <f t="shared" si="17"/>
        <v>-2.305899884919374E-5</v>
      </c>
      <c r="X148" s="176" t="str">
        <f t="shared" si="13"/>
        <v>1D</v>
      </c>
      <c r="Y148" s="164">
        <f>_xll.qlCalendarAdvance(Calendar,Y147,X148,"f",FALSE)</f>
        <v>42269</v>
      </c>
      <c r="Z148" s="188">
        <f>_xll.qlCalendarAdvance(Calendar,Y148,NDays&amp;"D")</f>
        <v>42271</v>
      </c>
      <c r="AA148" s="163">
        <v>7.8000000008706641E-4</v>
      </c>
      <c r="AB148" s="172">
        <v>8.9347920638083167E-4</v>
      </c>
    </row>
    <row r="149" spans="13:28" ht="12" thickBot="1" x14ac:dyDescent="0.25">
      <c r="M149" s="294" t="str">
        <v>obj_00750#0001</v>
      </c>
      <c r="N149" s="177" t="str">
        <f>_xll.qlRateHelperQuoteName(M149)</f>
        <v>EUR4F30Y_Quote</v>
      </c>
      <c r="O149" s="174">
        <f>_xll.qlInterestRateIndexFixingDate(R149,_xll.qlRateHelperEarliestDate(M149,Trigger),)</f>
        <v>43545</v>
      </c>
      <c r="P149" s="192">
        <f>_xll.qlRateHelperQuoteValue(M149,_xll.ohTrigger(RecalcTrigger,YieldCurve))</f>
        <v>1.0120000000000001E-2</v>
      </c>
      <c r="Q149" s="195" t="str">
        <f t="shared" si="16"/>
        <v>30Y</v>
      </c>
      <c r="R149" s="195" t="str">
        <f>_xll.qlSwapIndex(,"Euribor",Q149,NDays,Currency,Calendar,"1Y","mf","30/360 (Bond Basis)",IborIndex,Discounting,,_xll.ohTrigger(Trigger,RecalcTrigger))</f>
        <v>obj_0091a#0001</v>
      </c>
      <c r="S149" s="195" t="str">
        <f>_xll.qlVanillaSwapFromSwapIndex(,R149,O149)</f>
        <v>obj_00b61#0001</v>
      </c>
      <c r="T149" s="183">
        <f>_xll.qlVanillaSwapFairRate(S149)</f>
        <v>1.0095948782445617E-2</v>
      </c>
      <c r="U149" s="291">
        <f t="shared" si="17"/>
        <v>-2.4051217554383122E-5</v>
      </c>
      <c r="X149" s="176" t="str">
        <f t="shared" ref="X149:X212" si="18">X148</f>
        <v>1D</v>
      </c>
      <c r="Y149" s="164">
        <f>_xll.qlCalendarAdvance(Calendar,Y148,X149,"f",FALSE)</f>
        <v>42270</v>
      </c>
      <c r="Z149" s="188">
        <f>_xll.qlCalendarAdvance(Calendar,Y149,NDays&amp;"D")</f>
        <v>42272</v>
      </c>
      <c r="AA149" s="163">
        <v>7.8225190067096335E-4</v>
      </c>
      <c r="AB149" s="172">
        <v>9.0639340153408909E-4</v>
      </c>
    </row>
    <row r="150" spans="13:28" x14ac:dyDescent="0.2">
      <c r="M150" s="295" t="str">
        <v>obj_0085a#0001</v>
      </c>
      <c r="N150" s="279" t="str">
        <f>_xll.qlRateHelperQuoteName(M150)</f>
        <v>EUR5F1Y_Quote</v>
      </c>
      <c r="O150" s="276">
        <f>_xll.qlInterestRateIndexFixingDate(R150,_xll.qlRateHelperEarliestDate(M150,Trigger),)</f>
        <v>43910</v>
      </c>
      <c r="P150" s="277">
        <f>_xll.qlRateHelperQuoteValue(M150,_xll.ohTrigger(RecalcTrigger,YieldCurve))</f>
        <v>6.4700000000000001E-3</v>
      </c>
      <c r="Q150" s="275" t="str">
        <f t="shared" ref="Q150:Q167" si="19">SUBSTITUTE(SUBSTITUTE(N150,"_Quote",""),"EUR5F","")</f>
        <v>1Y</v>
      </c>
      <c r="R150" s="275" t="str">
        <f>_xll.qlSwapIndex(,"Euribor",Q150,NDays,Currency,Calendar,"1Y","mf","30/360 (Bond Basis)",IborIndex,Discounting,,_xll.ohTrigger(Trigger,RecalcTrigger))</f>
        <v>obj_009f8#0001</v>
      </c>
      <c r="S150" s="275" t="str">
        <f>_xll.qlVanillaSwapFromSwapIndex(,R150,O150)</f>
        <v>obj_00a9a#0001</v>
      </c>
      <c r="T150" s="278">
        <f>_xll.qlVanillaSwapFairRate(S150)</f>
        <v>6.4471733411011183E-3</v>
      </c>
      <c r="U150" s="292">
        <f t="shared" si="17"/>
        <v>-2.2826658898881733E-5</v>
      </c>
      <c r="X150" s="176" t="str">
        <f t="shared" si="18"/>
        <v>1D</v>
      </c>
      <c r="Y150" s="164">
        <f>_xll.qlCalendarAdvance(Calendar,Y149,X150,"f",FALSE)</f>
        <v>42271</v>
      </c>
      <c r="Z150" s="188">
        <f>_xll.qlCalendarAdvance(Calendar,Y150,NDays&amp;"D")</f>
        <v>42275</v>
      </c>
      <c r="AA150" s="163">
        <v>7.8021090094942502E-4</v>
      </c>
      <c r="AB150" s="172">
        <v>9.1723480778682642E-4</v>
      </c>
    </row>
    <row r="151" spans="13:28" x14ac:dyDescent="0.2">
      <c r="M151" s="293" t="str">
        <v>obj_00820#0001</v>
      </c>
      <c r="N151" s="176" t="str">
        <f>_xll.qlRateHelperQuoteName(M151)</f>
        <v>EUR5F2Y_Quote</v>
      </c>
      <c r="O151" s="164">
        <f>_xll.qlInterestRateIndexFixingDate(R151,_xll.qlRateHelperEarliestDate(M151,Trigger),)</f>
        <v>43910</v>
      </c>
      <c r="P151" s="191">
        <f>_xll.qlRateHelperQuoteValue(M151,_xll.ohTrigger(RecalcTrigger,YieldCurve))</f>
        <v>7.0199999999999993E-3</v>
      </c>
      <c r="Q151" s="194" t="str">
        <f t="shared" si="19"/>
        <v>2Y</v>
      </c>
      <c r="R151" s="194" t="str">
        <f>_xll.qlSwapIndex(,"Euribor",Q151,NDays,Currency,Calendar,"1Y","mf","30/360 (Bond Basis)",IborIndex,Discounting,,_xll.ohTrigger(Trigger,RecalcTrigger))</f>
        <v>obj_008fb#0001</v>
      </c>
      <c r="S151" s="194" t="str">
        <f>_xll.qlVanillaSwapFromSwapIndex(,R151,O151)</f>
        <v>obj_00ac7#0001</v>
      </c>
      <c r="T151" s="181">
        <f>_xll.qlVanillaSwapFairRate(S151)</f>
        <v>6.9994711265661778E-3</v>
      </c>
      <c r="U151" s="290">
        <f t="shared" si="17"/>
        <v>-2.0528873433821489E-5</v>
      </c>
      <c r="X151" s="176" t="str">
        <f t="shared" si="18"/>
        <v>1D</v>
      </c>
      <c r="Y151" s="164">
        <f>_xll.qlCalendarAdvance(Calendar,Y150,X151,"f",FALSE)</f>
        <v>42272</v>
      </c>
      <c r="Z151" s="188">
        <f>_xll.qlCalendarAdvance(Calendar,Y151,NDays&amp;"D")</f>
        <v>42276</v>
      </c>
      <c r="AA151" s="163">
        <v>7.7945603638441337E-4</v>
      </c>
      <c r="AB151" s="172">
        <v>9.2162253940486494E-4</v>
      </c>
    </row>
    <row r="152" spans="13:28" x14ac:dyDescent="0.2">
      <c r="M152" s="293" t="str">
        <v>obj_007d1#0001</v>
      </c>
      <c r="N152" s="176" t="str">
        <f>_xll.qlRateHelperQuoteName(M152)</f>
        <v>EUR5F3Y_Quote</v>
      </c>
      <c r="O152" s="164">
        <f>_xll.qlInterestRateIndexFixingDate(R152,_xll.qlRateHelperEarliestDate(M152,Trigger),)</f>
        <v>43910</v>
      </c>
      <c r="P152" s="191">
        <f>_xll.qlRateHelperQuoteValue(M152,_xll.ohTrigger(RecalcTrigger,YieldCurve))</f>
        <v>7.6E-3</v>
      </c>
      <c r="Q152" s="194" t="str">
        <f t="shared" si="19"/>
        <v>3Y</v>
      </c>
      <c r="R152" s="194" t="str">
        <f>_xll.qlSwapIndex(,"Euribor",Q152,NDays,Currency,Calendar,"1Y","mf","30/360 (Bond Basis)",IborIndex,Discounting,,_xll.ohTrigger(Trigger,RecalcTrigger))</f>
        <v>obj_00916#0001</v>
      </c>
      <c r="S152" s="194" t="str">
        <f>_xll.qlVanillaSwapFromSwapIndex(,R152,O152)</f>
        <v>obj_00b29#0001</v>
      </c>
      <c r="T152" s="181">
        <f>_xll.qlVanillaSwapFairRate(S152)</f>
        <v>7.5763860997913436E-3</v>
      </c>
      <c r="U152" s="290">
        <f t="shared" si="17"/>
        <v>-2.3613900208656335E-5</v>
      </c>
      <c r="X152" s="176" t="str">
        <f t="shared" si="18"/>
        <v>1D</v>
      </c>
      <c r="Y152" s="164">
        <f>_xll.qlCalendarAdvance(Calendar,Y151,X152,"f",FALSE)</f>
        <v>42275</v>
      </c>
      <c r="Z152" s="188">
        <f>_xll.qlCalendarAdvance(Calendar,Y152,NDays&amp;"D")</f>
        <v>42277</v>
      </c>
      <c r="AA152" s="163">
        <v>7.8025831891144102E-4</v>
      </c>
      <c r="AB152" s="172">
        <v>4.6334375279766249E-3</v>
      </c>
    </row>
    <row r="153" spans="13:28" x14ac:dyDescent="0.2">
      <c r="M153" s="293" t="str">
        <v>obj_007e3#0001</v>
      </c>
      <c r="N153" s="176" t="str">
        <f>_xll.qlRateHelperQuoteName(M153)</f>
        <v>EUR5F4Y_Quote</v>
      </c>
      <c r="O153" s="164">
        <f>_xll.qlInterestRateIndexFixingDate(R153,_xll.qlRateHelperEarliestDate(M153,Trigger),)</f>
        <v>43910</v>
      </c>
      <c r="P153" s="191">
        <f>_xll.qlRateHelperQuoteValue(M153,_xll.ohTrigger(RecalcTrigger,YieldCurve))</f>
        <v>8.1300000000000001E-3</v>
      </c>
      <c r="Q153" s="194" t="str">
        <f t="shared" si="19"/>
        <v>4Y</v>
      </c>
      <c r="R153" s="194" t="str">
        <f>_xll.qlSwapIndex(,"Euribor",Q153,NDays,Currency,Calendar,"1Y","mf","30/360 (Bond Basis)",IborIndex,Discounting,,_xll.ohTrigger(Trigger,RecalcTrigger))</f>
        <v>obj_0098f#0001</v>
      </c>
      <c r="S153" s="194" t="str">
        <f>_xll.qlVanillaSwapFromSwapIndex(,R153,O153)</f>
        <v>obj_00b67#0001</v>
      </c>
      <c r="T153" s="181">
        <f>_xll.qlVanillaSwapFairRate(S153)</f>
        <v>8.1052662362763855E-3</v>
      </c>
      <c r="U153" s="290">
        <f t="shared" si="17"/>
        <v>-2.4733763723614605E-5</v>
      </c>
      <c r="X153" s="176" t="str">
        <f t="shared" si="18"/>
        <v>1D</v>
      </c>
      <c r="Y153" s="164">
        <f>_xll.qlCalendarAdvance(Calendar,Y152,X153,"f",FALSE)</f>
        <v>42276</v>
      </c>
      <c r="Z153" s="188">
        <f>_xll.qlCalendarAdvance(Calendar,Y153,NDays&amp;"D")</f>
        <v>42278</v>
      </c>
      <c r="AA153" s="163">
        <v>7.6005281738945592E-4</v>
      </c>
      <c r="AB153" s="172">
        <v>9.2853660016878337E-4</v>
      </c>
    </row>
    <row r="154" spans="13:28" x14ac:dyDescent="0.2">
      <c r="M154" s="293" t="str">
        <v>obj_00868#0001</v>
      </c>
      <c r="N154" s="176" t="str">
        <f>_xll.qlRateHelperQuoteName(M154)</f>
        <v>EUR5F5Y_Quote</v>
      </c>
      <c r="O154" s="164">
        <f>_xll.qlInterestRateIndexFixingDate(R154,_xll.qlRateHelperEarliestDate(M154,Trigger),)</f>
        <v>43910</v>
      </c>
      <c r="P154" s="191">
        <f>_xll.qlRateHelperQuoteValue(M154,_xll.ohTrigger(RecalcTrigger,YieldCurve))</f>
        <v>8.539999999999999E-3</v>
      </c>
      <c r="Q154" s="194" t="str">
        <f t="shared" si="19"/>
        <v>5Y</v>
      </c>
      <c r="R154" s="194" t="str">
        <f>_xll.qlSwapIndex(,"Euribor",Q154,NDays,Currency,Calendar,"1Y","mf","30/360 (Bond Basis)",IborIndex,Discounting,,_xll.ohTrigger(Trigger,RecalcTrigger))</f>
        <v>obj_00913#0001</v>
      </c>
      <c r="S154" s="194" t="str">
        <f>_xll.qlVanillaSwapFromSwapIndex(,R154,O154)</f>
        <v>obj_00aaa#0001</v>
      </c>
      <c r="T154" s="181">
        <f>_xll.qlVanillaSwapFairRate(S154)</f>
        <v>8.5213015470150411E-3</v>
      </c>
      <c r="U154" s="290">
        <f t="shared" si="17"/>
        <v>-1.8698452984957856E-5</v>
      </c>
      <c r="X154" s="176" t="str">
        <f t="shared" si="18"/>
        <v>1D</v>
      </c>
      <c r="Y154" s="164">
        <f>_xll.qlCalendarAdvance(Calendar,Y153,X154,"f",FALSE)</f>
        <v>42277</v>
      </c>
      <c r="Z154" s="188">
        <f>_xll.qlCalendarAdvance(Calendar,Y154,NDays&amp;"D")</f>
        <v>42279</v>
      </c>
      <c r="AA154" s="163">
        <v>7.6226859846606498E-4</v>
      </c>
      <c r="AB154" s="172">
        <v>9.3276438498435255E-4</v>
      </c>
    </row>
    <row r="155" spans="13:28" x14ac:dyDescent="0.2">
      <c r="M155" s="293" t="str">
        <v>obj_00809#0001</v>
      </c>
      <c r="N155" s="176" t="str">
        <f>_xll.qlRateHelperQuoteName(M155)</f>
        <v>EUR5F6Y_Quote</v>
      </c>
      <c r="O155" s="164">
        <f>_xll.qlInterestRateIndexFixingDate(R155,_xll.qlRateHelperEarliestDate(M155,Trigger),)</f>
        <v>43910</v>
      </c>
      <c r="P155" s="191">
        <f>_xll.qlRateHelperQuoteValue(M155,_xll.ohTrigger(RecalcTrigger,YieldCurve))</f>
        <v>8.8999999999999999E-3</v>
      </c>
      <c r="Q155" s="194" t="str">
        <f t="shared" si="19"/>
        <v>6Y</v>
      </c>
      <c r="R155" s="194" t="str">
        <f>_xll.qlSwapIndex(,"Euribor",Q155,NDays,Currency,Calendar,"1Y","mf","30/360 (Bond Basis)",IborIndex,Discounting,,_xll.ohTrigger(Trigger,RecalcTrigger))</f>
        <v>obj_00946#0001</v>
      </c>
      <c r="S155" s="194" t="str">
        <f>_xll.qlVanillaSwapFromSwapIndex(,R155,O155)</f>
        <v>obj_00a27#0001</v>
      </c>
      <c r="T155" s="181">
        <f>_xll.qlVanillaSwapFairRate(S155)</f>
        <v>8.8797187809522161E-3</v>
      </c>
      <c r="U155" s="290">
        <f t="shared" si="17"/>
        <v>-2.0281219047783849E-5</v>
      </c>
      <c r="X155" s="176" t="str">
        <f t="shared" si="18"/>
        <v>1D</v>
      </c>
      <c r="Y155" s="164">
        <f>_xll.qlCalendarAdvance(Calendar,Y154,X155,"f",FALSE)</f>
        <v>42278</v>
      </c>
      <c r="Z155" s="188">
        <f>_xll.qlCalendarAdvance(Calendar,Y155,NDays&amp;"D")</f>
        <v>42282</v>
      </c>
      <c r="AA155" s="163">
        <v>7.6058179501356385E-4</v>
      </c>
      <c r="AB155" s="172">
        <v>9.3491911092868918E-4</v>
      </c>
    </row>
    <row r="156" spans="13:28" x14ac:dyDescent="0.2">
      <c r="M156" s="293" t="str">
        <v>obj_007bc#0001</v>
      </c>
      <c r="N156" s="176" t="str">
        <f>_xll.qlRateHelperQuoteName(M156)</f>
        <v>EUR5F7Y_Quote</v>
      </c>
      <c r="O156" s="164">
        <f>_xll.qlInterestRateIndexFixingDate(R156,_xll.qlRateHelperEarliestDate(M156,Trigger),)</f>
        <v>43910</v>
      </c>
      <c r="P156" s="191">
        <f>_xll.qlRateHelperQuoteValue(M156,_xll.ohTrigger(RecalcTrigger,YieldCurve))</f>
        <v>9.1999999999999998E-3</v>
      </c>
      <c r="Q156" s="194" t="str">
        <f t="shared" si="19"/>
        <v>7Y</v>
      </c>
      <c r="R156" s="194" t="str">
        <f>_xll.qlSwapIndex(,"Euribor",Q156,NDays,Currency,Calendar,"1Y","mf","30/360 (Bond Basis)",IborIndex,Discounting,,_xll.ohTrigger(Trigger,RecalcTrigger))</f>
        <v>obj_009ad#0001</v>
      </c>
      <c r="S156" s="194" t="str">
        <f>_xll.qlVanillaSwapFromSwapIndex(,R156,O156)</f>
        <v>obj_00a9f#0001</v>
      </c>
      <c r="T156" s="181">
        <f>_xll.qlVanillaSwapFairRate(S156)</f>
        <v>9.181476848380523E-3</v>
      </c>
      <c r="U156" s="290">
        <f t="shared" si="17"/>
        <v>-1.8523151619476846E-5</v>
      </c>
      <c r="X156" s="176" t="str">
        <f t="shared" si="18"/>
        <v>1D</v>
      </c>
      <c r="Y156" s="164">
        <f>_xll.qlCalendarAdvance(Calendar,Y155,X156,"f",FALSE)</f>
        <v>42279</v>
      </c>
      <c r="Z156" s="188">
        <f>_xll.qlCalendarAdvance(Calendar,Y156,NDays&amp;"D")</f>
        <v>42283</v>
      </c>
      <c r="AA156" s="163">
        <v>7.6078049222569018E-4</v>
      </c>
      <c r="AB156" s="172">
        <v>9.3496356968536531E-4</v>
      </c>
    </row>
    <row r="157" spans="13:28" x14ac:dyDescent="0.2">
      <c r="M157" s="293" t="str">
        <v>obj_00805#0001</v>
      </c>
      <c r="N157" s="176" t="str">
        <f>_xll.qlRateHelperQuoteName(M157)</f>
        <v>EUR5F8Y_Quote</v>
      </c>
      <c r="O157" s="164">
        <f>_xll.qlInterestRateIndexFixingDate(R157,_xll.qlRateHelperEarliestDate(M157,Trigger),)</f>
        <v>43910</v>
      </c>
      <c r="P157" s="191">
        <f>_xll.qlRateHelperQuoteValue(M157,_xll.ohTrigger(RecalcTrigger,YieldCurve))</f>
        <v>9.470000000000001E-3</v>
      </c>
      <c r="Q157" s="194" t="str">
        <f t="shared" si="19"/>
        <v>8Y</v>
      </c>
      <c r="R157" s="194" t="str">
        <f>_xll.qlSwapIndex(,"Euribor",Q157,NDays,Currency,Calendar,"1Y","mf","30/360 (Bond Basis)",IborIndex,Discounting,,_xll.ohTrigger(Trigger,RecalcTrigger))</f>
        <v>obj_009d8#0001</v>
      </c>
      <c r="S157" s="194" t="str">
        <f>_xll.qlVanillaSwapFromSwapIndex(,R157,O157)</f>
        <v>obj_00b2b#0001</v>
      </c>
      <c r="T157" s="181">
        <f>_xll.qlVanillaSwapFairRate(S157)</f>
        <v>9.4279071616445876E-3</v>
      </c>
      <c r="U157" s="290">
        <f t="shared" si="17"/>
        <v>-4.2092838355413387E-5</v>
      </c>
      <c r="X157" s="176" t="str">
        <f t="shared" si="18"/>
        <v>1D</v>
      </c>
      <c r="Y157" s="164">
        <f>_xll.qlCalendarAdvance(Calendar,Y156,X157,"f",FALSE)</f>
        <v>42282</v>
      </c>
      <c r="Z157" s="188">
        <f>_xll.qlCalendarAdvance(Calendar,Y157,NDays&amp;"D")</f>
        <v>42284</v>
      </c>
      <c r="AA157" s="163">
        <v>7.6100538601234365E-4</v>
      </c>
      <c r="AB157" s="172">
        <v>9.3438756084474051E-4</v>
      </c>
    </row>
    <row r="158" spans="13:28" x14ac:dyDescent="0.2">
      <c r="M158" s="293" t="str">
        <v>obj_0078d#0001</v>
      </c>
      <c r="N158" s="176" t="str">
        <f>_xll.qlRateHelperQuoteName(M158)</f>
        <v>EUR5F9Y_Quote</v>
      </c>
      <c r="O158" s="164">
        <f>_xll.qlInterestRateIndexFixingDate(R158,_xll.qlRateHelperEarliestDate(M158,Trigger),)</f>
        <v>43910</v>
      </c>
      <c r="P158" s="191">
        <f>_xll.qlRateHelperQuoteValue(M158,_xll.ohTrigger(RecalcTrigger,YieldCurve))</f>
        <v>9.6500000000000006E-3</v>
      </c>
      <c r="Q158" s="194" t="str">
        <f t="shared" si="19"/>
        <v>9Y</v>
      </c>
      <c r="R158" s="194" t="str">
        <f>_xll.qlSwapIndex(,"Euribor",Q158,NDays,Currency,Calendar,"1Y","mf","30/360 (Bond Basis)",IborIndex,Discounting,,_xll.ohTrigger(Trigger,RecalcTrigger))</f>
        <v>obj_00909#0001</v>
      </c>
      <c r="S158" s="194" t="str">
        <f>_xll.qlVanillaSwapFromSwapIndex(,R158,O158)</f>
        <v>obj_00abd#0001</v>
      </c>
      <c r="T158" s="181">
        <f>_xll.qlVanillaSwapFairRate(S158)</f>
        <v>9.6221500262322051E-3</v>
      </c>
      <c r="U158" s="290">
        <f t="shared" si="17"/>
        <v>-2.7849973767795494E-5</v>
      </c>
      <c r="X158" s="176" t="str">
        <f t="shared" si="18"/>
        <v>1D</v>
      </c>
      <c r="Y158" s="164">
        <f>_xll.qlCalendarAdvance(Calendar,Y157,X158,"f",FALSE)</f>
        <v>42283</v>
      </c>
      <c r="Z158" s="188">
        <f>_xll.qlCalendarAdvance(Calendar,Y158,NDays&amp;"D")</f>
        <v>42285</v>
      </c>
      <c r="AA158" s="163">
        <v>7.6125628410065997E-4</v>
      </c>
      <c r="AB158" s="172">
        <v>9.3319108440681475E-4</v>
      </c>
    </row>
    <row r="159" spans="13:28" x14ac:dyDescent="0.2">
      <c r="M159" s="293" t="str">
        <v>obj_0083e#0001</v>
      </c>
      <c r="N159" s="176" t="str">
        <f>_xll.qlRateHelperQuoteName(M159)</f>
        <v>EUR5F10Y_Quote</v>
      </c>
      <c r="O159" s="164">
        <f>_xll.qlInterestRateIndexFixingDate(R159,_xll.qlRateHelperEarliestDate(M159,Trigger),)</f>
        <v>43910</v>
      </c>
      <c r="P159" s="191">
        <f>_xll.qlRateHelperQuoteValue(M159,_xll.ohTrigger(RecalcTrigger,YieldCurve))</f>
        <v>9.8000000000000014E-3</v>
      </c>
      <c r="Q159" s="194" t="str">
        <f t="shared" si="19"/>
        <v>10Y</v>
      </c>
      <c r="R159" s="194" t="str">
        <f>_xll.qlSwapIndex(,"Euribor",Q159,NDays,Currency,Calendar,"1Y","mf","30/360 (Bond Basis)",IborIndex,Discounting,,_xll.ohTrigger(Trigger,RecalcTrigger))</f>
        <v>obj_00936#0001</v>
      </c>
      <c r="S159" s="194" t="str">
        <f>_xll.qlVanillaSwapFromSwapIndex(,R159,O159)</f>
        <v>obj_00a98#0001</v>
      </c>
      <c r="T159" s="181">
        <f>_xll.qlVanillaSwapFairRate(S159)</f>
        <v>9.7747537614100675E-3</v>
      </c>
      <c r="U159" s="290">
        <f t="shared" si="17"/>
        <v>-2.524623858993387E-5</v>
      </c>
      <c r="X159" s="176" t="str">
        <f t="shared" si="18"/>
        <v>1D</v>
      </c>
      <c r="Y159" s="164">
        <f>_xll.qlCalendarAdvance(Calendar,Y158,X159,"f",FALSE)</f>
        <v>42284</v>
      </c>
      <c r="Z159" s="188">
        <f>_xll.qlCalendarAdvance(Calendar,Y159,NDays&amp;"D")</f>
        <v>42286</v>
      </c>
      <c r="AA159" s="163">
        <v>7.6398312393425889E-4</v>
      </c>
      <c r="AB159" s="172">
        <v>9.287323021833771E-4</v>
      </c>
    </row>
    <row r="160" spans="13:28" x14ac:dyDescent="0.2">
      <c r="M160" s="293" t="str">
        <v>obj_007c9#0001</v>
      </c>
      <c r="N160" s="176" t="str">
        <f>_xll.qlRateHelperQuoteName(M160)</f>
        <v>EUR5F11Y_Quote</v>
      </c>
      <c r="O160" s="164">
        <f>_xll.qlInterestRateIndexFixingDate(R160,_xll.qlRateHelperEarliestDate(M160,Trigger),)</f>
        <v>43910</v>
      </c>
      <c r="P160" s="191">
        <f>_xll.qlRateHelperQuoteValue(M160,_xll.ohTrigger(RecalcTrigger,YieldCurve))</f>
        <v>9.8999999999999991E-3</v>
      </c>
      <c r="Q160" s="194" t="str">
        <f t="shared" si="19"/>
        <v>11Y</v>
      </c>
      <c r="R160" s="194" t="str">
        <f>_xll.qlSwapIndex(,"Euribor",Q160,NDays,Currency,Calendar,"1Y","mf","30/360 (Bond Basis)",IborIndex,Discounting,,_xll.ohTrigger(Trigger,RecalcTrigger))</f>
        <v>obj_008f4#0002</v>
      </c>
      <c r="S160" s="194" t="str">
        <f>_xll.qlVanillaSwapFromSwapIndex(,R160,O160)</f>
        <v>obj_00acc#0001</v>
      </c>
      <c r="T160" s="181">
        <f>_xll.qlVanillaSwapFairRate(S160)</f>
        <v>9.8936465391822586E-3</v>
      </c>
      <c r="U160" s="290">
        <f t="shared" si="17"/>
        <v>-6.3534608177404778E-6</v>
      </c>
      <c r="X160" s="176" t="str">
        <f t="shared" si="18"/>
        <v>1D</v>
      </c>
      <c r="Y160" s="164">
        <f>_xll.qlCalendarAdvance(Calendar,Y159,X160,"f",FALSE)</f>
        <v>42285</v>
      </c>
      <c r="Z160" s="188">
        <f>_xll.qlCalendarAdvance(Calendar,Y160,NDays&amp;"D")</f>
        <v>42289</v>
      </c>
      <c r="AA160" s="163">
        <v>7.6251607406087947E-4</v>
      </c>
      <c r="AB160" s="172">
        <v>9.2220050292191047E-4</v>
      </c>
    </row>
    <row r="161" spans="13:28" x14ac:dyDescent="0.2">
      <c r="M161" s="293" t="str">
        <v>obj_00799#0001</v>
      </c>
      <c r="N161" s="176" t="str">
        <f>_xll.qlRateHelperQuoteName(M161)</f>
        <v>EUR5F12Y_Quote</v>
      </c>
      <c r="O161" s="164">
        <f>_xll.qlInterestRateIndexFixingDate(R161,_xll.qlRateHelperEarliestDate(M161,Trigger),)</f>
        <v>43910</v>
      </c>
      <c r="P161" s="191">
        <f>_xll.qlRateHelperQuoteValue(M161,_xll.ohTrigger(RecalcTrigger,YieldCurve))</f>
        <v>1.0019999999999999E-2</v>
      </c>
      <c r="Q161" s="194" t="str">
        <f t="shared" si="19"/>
        <v>12Y</v>
      </c>
      <c r="R161" s="194" t="str">
        <f>_xll.qlSwapIndex(,"Euribor",Q161,NDays,Currency,Calendar,"1Y","mf","30/360 (Bond Basis)",IborIndex,Discounting,,_xll.ohTrigger(Trigger,RecalcTrigger))</f>
        <v>obj_008e6#0002</v>
      </c>
      <c r="S161" s="194" t="str">
        <f>_xll.qlVanillaSwapFromSwapIndex(,R161,O161)</f>
        <v>obj_00b21#0001</v>
      </c>
      <c r="T161" s="181">
        <f>_xll.qlVanillaSwapFairRate(S161)</f>
        <v>9.9883400124674716E-3</v>
      </c>
      <c r="U161" s="290">
        <f t="shared" si="17"/>
        <v>-3.1659987532527828E-5</v>
      </c>
      <c r="X161" s="176" t="str">
        <f t="shared" si="18"/>
        <v>1D</v>
      </c>
      <c r="Y161" s="164">
        <f>_xll.qlCalendarAdvance(Calendar,Y160,X161,"f",FALSE)</f>
        <v>42286</v>
      </c>
      <c r="Z161" s="188">
        <f>_xll.qlCalendarAdvance(Calendar,Y161,NDays&amp;"D")</f>
        <v>42290</v>
      </c>
      <c r="AA161" s="163">
        <v>7.6289410960647902E-4</v>
      </c>
      <c r="AB161" s="172">
        <v>9.1790168873728817E-4</v>
      </c>
    </row>
    <row r="162" spans="13:28" x14ac:dyDescent="0.2">
      <c r="M162" s="293" t="str">
        <v>obj_007dc#0001</v>
      </c>
      <c r="N162" s="176" t="str">
        <f>_xll.qlRateHelperQuoteName(M162)</f>
        <v>EUR5F13Y_Quote</v>
      </c>
      <c r="O162" s="164">
        <f>_xll.qlInterestRateIndexFixingDate(R162,_xll.qlRateHelperEarliestDate(M162,Trigger),)</f>
        <v>43910</v>
      </c>
      <c r="P162" s="191">
        <f>_xll.qlRateHelperQuoteValue(M162,_xll.ohTrigger(RecalcTrigger,YieldCurve))</f>
        <v>1.008E-2</v>
      </c>
      <c r="Q162" s="194" t="str">
        <f t="shared" si="19"/>
        <v>13Y</v>
      </c>
      <c r="R162" s="194" t="str">
        <f>_xll.qlSwapIndex(,"Euribor",Q162,NDays,Currency,Calendar,"1Y","mf","30/360 (Bond Basis)",IborIndex,Discounting,,_xll.ohTrigger(Trigger,RecalcTrigger))</f>
        <v>obj_00908#0001</v>
      </c>
      <c r="S162" s="194" t="str">
        <f>_xll.qlVanillaSwapFromSwapIndex(,R162,O162)</f>
        <v>obj_00af6#0001</v>
      </c>
      <c r="T162" s="181">
        <f>_xll.qlVanillaSwapFairRate(S162)</f>
        <v>1.0058952615978837E-2</v>
      </c>
      <c r="U162" s="290">
        <f t="shared" si="17"/>
        <v>-2.1047384021163559E-5</v>
      </c>
      <c r="X162" s="176" t="str">
        <f t="shared" si="18"/>
        <v>1D</v>
      </c>
      <c r="Y162" s="164">
        <f>_xll.qlCalendarAdvance(Calendar,Y161,X162,"f",FALSE)</f>
        <v>42289</v>
      </c>
      <c r="Z162" s="188">
        <f>_xll.qlCalendarAdvance(Calendar,Y162,NDays&amp;"D")</f>
        <v>42291</v>
      </c>
      <c r="AA162" s="163">
        <v>7.6329699583926978E-4</v>
      </c>
      <c r="AB162" s="172">
        <v>9.1298240695536492E-4</v>
      </c>
    </row>
    <row r="163" spans="13:28" x14ac:dyDescent="0.2">
      <c r="M163" s="293" t="str">
        <v>obj_00824#0001</v>
      </c>
      <c r="N163" s="176" t="str">
        <f>_xll.qlRateHelperQuoteName(M163)</f>
        <v>EUR5F14Y_Quote</v>
      </c>
      <c r="O163" s="164">
        <f>_xll.qlInterestRateIndexFixingDate(R163,_xll.qlRateHelperEarliestDate(M163,Trigger),)</f>
        <v>43910</v>
      </c>
      <c r="P163" s="191">
        <f>_xll.qlRateHelperQuoteValue(M163,_xll.ohTrigger(RecalcTrigger,YieldCurve))</f>
        <v>1.014E-2</v>
      </c>
      <c r="Q163" s="194" t="str">
        <f t="shared" si="19"/>
        <v>14Y</v>
      </c>
      <c r="R163" s="194" t="str">
        <f>_xll.qlSwapIndex(,"Euribor",Q163,NDays,Currency,Calendar,"1Y","mf","30/360 (Bond Basis)",IborIndex,Discounting,,_xll.ohTrigger(Trigger,RecalcTrigger))</f>
        <v>obj_008ef#0002</v>
      </c>
      <c r="S163" s="194" t="str">
        <f>_xll.qlVanillaSwapFromSwapIndex(,R163,O163)</f>
        <v>obj_00b54#0001</v>
      </c>
      <c r="T163" s="181">
        <f>_xll.qlVanillaSwapFairRate(S163)</f>
        <v>1.0112022304113583E-2</v>
      </c>
      <c r="U163" s="290">
        <f t="shared" si="17"/>
        <v>-2.7977695886416409E-5</v>
      </c>
      <c r="X163" s="176" t="str">
        <f t="shared" si="18"/>
        <v>1D</v>
      </c>
      <c r="Y163" s="164">
        <f>_xll.qlCalendarAdvance(Calendar,Y162,X163,"f",FALSE)</f>
        <v>42290</v>
      </c>
      <c r="Z163" s="188">
        <f>_xll.qlCalendarAdvance(Calendar,Y163,NDays&amp;"D")</f>
        <v>42292</v>
      </c>
      <c r="AA163" s="163">
        <v>7.6372454049250256E-4</v>
      </c>
      <c r="AB163" s="172">
        <v>9.0744265781594891E-4</v>
      </c>
    </row>
    <row r="164" spans="13:28" x14ac:dyDescent="0.2">
      <c r="M164" s="293" t="str">
        <v>obj_00755#0001</v>
      </c>
      <c r="N164" s="176" t="str">
        <f>_xll.qlRateHelperQuoteName(M164)</f>
        <v>EUR5F15Y_Quote</v>
      </c>
      <c r="O164" s="164">
        <f>_xll.qlInterestRateIndexFixingDate(R164,_xll.qlRateHelperEarliestDate(M164,Trigger),)</f>
        <v>43910</v>
      </c>
      <c r="P164" s="191">
        <f>_xll.qlRateHelperQuoteValue(M164,_xll.ohTrigger(RecalcTrigger,YieldCurve))</f>
        <v>1.0169999999999998E-2</v>
      </c>
      <c r="Q164" s="194" t="str">
        <f t="shared" si="19"/>
        <v>15Y</v>
      </c>
      <c r="R164" s="194" t="str">
        <f>_xll.qlSwapIndex(,"Euribor",Q164,NDays,Currency,Calendar,"1Y","mf","30/360 (Bond Basis)",IborIndex,Discounting,,_xll.ohTrigger(Trigger,RecalcTrigger))</f>
        <v>obj_00930#0001</v>
      </c>
      <c r="S164" s="194" t="str">
        <f>_xll.qlVanillaSwapFromSwapIndex(,R164,O164)</f>
        <v>obj_00b2f#0001</v>
      </c>
      <c r="T164" s="181">
        <f>_xll.qlVanillaSwapFairRate(S164)</f>
        <v>1.0150634175705834E-2</v>
      </c>
      <c r="U164" s="290">
        <f t="shared" si="17"/>
        <v>-1.936582429416453E-5</v>
      </c>
      <c r="X164" s="176" t="str">
        <f t="shared" si="18"/>
        <v>1D</v>
      </c>
      <c r="Y164" s="164">
        <f>_xll.qlCalendarAdvance(Calendar,Y163,X164,"f",FALSE)</f>
        <v>42291</v>
      </c>
      <c r="Z164" s="188">
        <f>_xll.qlCalendarAdvance(Calendar,Y164,NDays&amp;"D")</f>
        <v>42293</v>
      </c>
      <c r="AA164" s="163">
        <v>7.6659200507780902E-4</v>
      </c>
      <c r="AB164" s="172">
        <v>8.9429715619537831E-4</v>
      </c>
    </row>
    <row r="165" spans="13:28" x14ac:dyDescent="0.2">
      <c r="M165" s="293" t="str">
        <v>obj_007b1#0001</v>
      </c>
      <c r="N165" s="176" t="str">
        <f>_xll.qlRateHelperQuoteName(M165)</f>
        <v>EUR5F20Y_Quote</v>
      </c>
      <c r="O165" s="164">
        <f>_xll.qlInterestRateIndexFixingDate(R165,_xll.qlRateHelperEarliestDate(M165,Trigger),)</f>
        <v>43910</v>
      </c>
      <c r="P165" s="191">
        <f>_xll.qlRateHelperQuoteValue(M165,_xll.ohTrigger(RecalcTrigger,YieldCurve))</f>
        <v>1.026E-2</v>
      </c>
      <c r="Q165" s="194" t="str">
        <f t="shared" si="19"/>
        <v>20Y</v>
      </c>
      <c r="R165" s="194" t="str">
        <f>_xll.qlSwapIndex(,"Euribor",Q165,NDays,Currency,Calendar,"1Y","mf","30/360 (Bond Basis)",IborIndex,Discounting,,_xll.ohTrigger(Trigger,RecalcTrigger))</f>
        <v>obj_009e8#0001</v>
      </c>
      <c r="S165" s="194" t="str">
        <f>_xll.qlVanillaSwapFromSwapIndex(,R165,O165)</f>
        <v>obj_00b1d#0001</v>
      </c>
      <c r="T165" s="181">
        <f>_xll.qlVanillaSwapFairRate(S165)</f>
        <v>1.0234573342456877E-2</v>
      </c>
      <c r="U165" s="290">
        <f t="shared" si="17"/>
        <v>-2.5426657543122649E-5</v>
      </c>
      <c r="X165" s="176" t="str">
        <f t="shared" si="18"/>
        <v>1D</v>
      </c>
      <c r="Y165" s="164">
        <f>_xll.qlCalendarAdvance(Calendar,Y164,X165,"f",FALSE)</f>
        <v>42292</v>
      </c>
      <c r="Z165" s="188">
        <f>_xll.qlCalendarAdvance(Calendar,Y165,NDays&amp;"D")</f>
        <v>42296</v>
      </c>
      <c r="AA165" s="163">
        <v>7.6567745801200461E-4</v>
      </c>
      <c r="AB165" s="172">
        <v>8.7907898688399655E-4</v>
      </c>
    </row>
    <row r="166" spans="13:28" x14ac:dyDescent="0.2">
      <c r="M166" s="293" t="str">
        <v>obj_00801#0001</v>
      </c>
      <c r="N166" s="176" t="str">
        <f>_xll.qlRateHelperQuoteName(M166)</f>
        <v>EUR5F25Y_Quote</v>
      </c>
      <c r="O166" s="164">
        <f>_xll.qlInterestRateIndexFixingDate(R166,_xll.qlRateHelperEarliestDate(M166,Trigger),)</f>
        <v>43910</v>
      </c>
      <c r="P166" s="191">
        <f>_xll.qlRateHelperQuoteValue(M166,_xll.ohTrigger(RecalcTrigger,YieldCurve))</f>
        <v>1.031E-2</v>
      </c>
      <c r="Q166" s="194" t="str">
        <f t="shared" si="19"/>
        <v>25Y</v>
      </c>
      <c r="R166" s="194" t="str">
        <f>_xll.qlSwapIndex(,"Euribor",Q166,NDays,Currency,Calendar,"1Y","mf","30/360 (Bond Basis)",IborIndex,Discounting,,_xll.ohTrigger(Trigger,RecalcTrigger))</f>
        <v>obj_009c0#0001</v>
      </c>
      <c r="S166" s="194" t="str">
        <f>_xll.qlVanillaSwapFromSwapIndex(,R166,O166)</f>
        <v>obj_00aa5#0001</v>
      </c>
      <c r="T166" s="181">
        <f>_xll.qlVanillaSwapFairRate(S166)</f>
        <v>1.0290995607291069E-2</v>
      </c>
      <c r="U166" s="290">
        <f t="shared" si="17"/>
        <v>-1.9004392708930895E-5</v>
      </c>
      <c r="X166" s="176" t="str">
        <f t="shared" si="18"/>
        <v>1D</v>
      </c>
      <c r="Y166" s="164">
        <f>_xll.qlCalendarAdvance(Calendar,Y165,X166,"f",FALSE)</f>
        <v>42293</v>
      </c>
      <c r="Z166" s="188">
        <f>_xll.qlCalendarAdvance(Calendar,Y166,NDays&amp;"D")</f>
        <v>42297</v>
      </c>
      <c r="AA166" s="163">
        <v>7.6622541080028468E-4</v>
      </c>
      <c r="AB166" s="172">
        <v>8.7043690087718062E-4</v>
      </c>
    </row>
    <row r="167" spans="13:28" ht="12" thickBot="1" x14ac:dyDescent="0.25">
      <c r="M167" s="294" t="str">
        <v>obj_0074c#0001</v>
      </c>
      <c r="N167" s="177" t="str">
        <f>_xll.qlRateHelperQuoteName(M167)</f>
        <v>EUR5F30Y_Quote</v>
      </c>
      <c r="O167" s="174">
        <f>_xll.qlInterestRateIndexFixingDate(R167,_xll.qlRateHelperEarliestDate(M167,Trigger),)</f>
        <v>43910</v>
      </c>
      <c r="P167" s="192">
        <f>_xll.qlRateHelperQuoteValue(M167,_xll.ohTrigger(RecalcTrigger,YieldCurve))</f>
        <v>1.031E-2</v>
      </c>
      <c r="Q167" s="195" t="str">
        <f t="shared" si="19"/>
        <v>30Y</v>
      </c>
      <c r="R167" s="195" t="str">
        <f>_xll.qlSwapIndex(,"Euribor",Q167,NDays,Currency,Calendar,"1Y","mf","30/360 (Bond Basis)",IborIndex,Discounting,,_xll.ohTrigger(Trigger,RecalcTrigger))</f>
        <v>obj_008e4#0002</v>
      </c>
      <c r="S167" s="195" t="str">
        <f>_xll.qlVanillaSwapFromSwapIndex(,R167,O167)</f>
        <v>obj_00aed#0001</v>
      </c>
      <c r="T167" s="183">
        <f>_xll.qlVanillaSwapFairRate(S167)</f>
        <v>1.0285459081775536E-2</v>
      </c>
      <c r="U167" s="291">
        <f t="shared" si="17"/>
        <v>-2.4540918224463457E-5</v>
      </c>
      <c r="X167" s="176" t="str">
        <f t="shared" si="18"/>
        <v>1D</v>
      </c>
      <c r="Y167" s="164">
        <f>_xll.qlCalendarAdvance(Calendar,Y166,X167,"f",FALSE)</f>
        <v>42296</v>
      </c>
      <c r="Z167" s="188">
        <f>_xll.qlCalendarAdvance(Calendar,Y167,NDays&amp;"D")</f>
        <v>42298</v>
      </c>
      <c r="AA167" s="163">
        <v>7.6679686842642228E-4</v>
      </c>
      <c r="AB167" s="172">
        <v>8.6117434751287192E-4</v>
      </c>
    </row>
    <row r="168" spans="13:28" x14ac:dyDescent="0.2">
      <c r="M168" s="295" t="str">
        <v>obj_007f1#0001</v>
      </c>
      <c r="N168" s="279" t="str">
        <f>_xll.qlRateHelperQuoteName(M168)</f>
        <v>EUR6F1Y_Quote</v>
      </c>
      <c r="O168" s="276">
        <f>_xll.qlInterestRateIndexFixingDate(R168,_xll.qlRateHelperEarliestDate(M168,Trigger),)</f>
        <v>44277</v>
      </c>
      <c r="P168" s="277">
        <f>_xll.qlRateHelperQuoteValue(M168,_xll.ohTrigger(RecalcTrigger,YieldCurve))</f>
        <v>7.5700000000000003E-3</v>
      </c>
      <c r="Q168" s="275" t="str">
        <f t="shared" ref="Q168:Q185" si="20">SUBSTITUTE(SUBSTITUTE(N168,"_Quote",""),"EUR6F","")</f>
        <v>1Y</v>
      </c>
      <c r="R168" s="275" t="str">
        <f>_xll.qlSwapIndex(,"Euribor",Q168,NDays,Currency,Calendar,"1Y","mf","30/360 (Bond Basis)",IborIndex,Discounting,,_xll.ohTrigger(Trigger,RecalcTrigger))</f>
        <v>obj_0091b#0001</v>
      </c>
      <c r="S168" s="275" t="str">
        <f>_xll.qlVanillaSwapFromSwapIndex(,R168,O168)</f>
        <v>obj_00b57#0001</v>
      </c>
      <c r="T168" s="278">
        <f>_xll.qlVanillaSwapFairRate(S168)</f>
        <v>7.5544380830215273E-3</v>
      </c>
      <c r="U168" s="292">
        <f t="shared" si="17"/>
        <v>-1.5561916978473062E-5</v>
      </c>
      <c r="X168" s="176" t="str">
        <f t="shared" si="18"/>
        <v>1D</v>
      </c>
      <c r="Y168" s="164">
        <f>_xll.qlCalendarAdvance(Calendar,Y167,X168,"f",FALSE)</f>
        <v>42297</v>
      </c>
      <c r="Z168" s="188">
        <f>_xll.qlCalendarAdvance(Calendar,Y168,NDays&amp;"D")</f>
        <v>42299</v>
      </c>
      <c r="AA168" s="163">
        <v>7.6739163862934686E-4</v>
      </c>
      <c r="AB168" s="172">
        <v>8.5129132703087862E-4</v>
      </c>
    </row>
    <row r="169" spans="13:28" x14ac:dyDescent="0.2">
      <c r="M169" s="293" t="str">
        <v>obj_007cb#0001</v>
      </c>
      <c r="N169" s="176" t="str">
        <f>_xll.qlRateHelperQuoteName(M169)</f>
        <v>EUR6F2Y_Quote</v>
      </c>
      <c r="O169" s="164">
        <f>_xll.qlInterestRateIndexFixingDate(R169,_xll.qlRateHelperEarliestDate(M169,Trigger),)</f>
        <v>44277</v>
      </c>
      <c r="P169" s="191">
        <f>_xll.qlRateHelperQuoteValue(M169,_xll.ohTrigger(RecalcTrigger,YieldCurve))</f>
        <v>8.1700000000000002E-3</v>
      </c>
      <c r="Q169" s="194" t="str">
        <f t="shared" si="20"/>
        <v>2Y</v>
      </c>
      <c r="R169" s="194" t="str">
        <f>_xll.qlSwapIndex(,"Euribor",Q169,NDays,Currency,Calendar,"1Y","mf","30/360 (Bond Basis)",IborIndex,Discounting,,_xll.ohTrigger(Trigger,RecalcTrigger))</f>
        <v>obj_008e8#0002</v>
      </c>
      <c r="S169" s="194" t="str">
        <f>_xll.qlVanillaSwapFromSwapIndex(,R169,O169)</f>
        <v>obj_00b48#0001</v>
      </c>
      <c r="T169" s="181">
        <f>_xll.qlVanillaSwapFairRate(S169)</f>
        <v>8.1454393697727306E-3</v>
      </c>
      <c r="U169" s="290">
        <f t="shared" si="17"/>
        <v>-2.4560630227269536E-5</v>
      </c>
      <c r="X169" s="176" t="str">
        <f t="shared" si="18"/>
        <v>1D</v>
      </c>
      <c r="Y169" s="164">
        <f>_xll.qlCalendarAdvance(Calendar,Y168,X169,"f",FALSE)</f>
        <v>42298</v>
      </c>
      <c r="Z169" s="188">
        <f>_xll.qlCalendarAdvance(Calendar,Y169,NDays&amp;"D")</f>
        <v>42300</v>
      </c>
      <c r="AA169" s="163">
        <v>7.7003000543399678E-4</v>
      </c>
      <c r="AB169" s="172">
        <v>8.2945897315944705E-4</v>
      </c>
    </row>
    <row r="170" spans="13:28" x14ac:dyDescent="0.2">
      <c r="M170" s="293" t="str">
        <v>obj_007ea#0001</v>
      </c>
      <c r="N170" s="176" t="str">
        <f>_xll.qlRateHelperQuoteName(M170)</f>
        <v>EUR6F3Y_Quote</v>
      </c>
      <c r="O170" s="164">
        <f>_xll.qlInterestRateIndexFixingDate(R170,_xll.qlRateHelperEarliestDate(M170,Trigger),)</f>
        <v>44277</v>
      </c>
      <c r="P170" s="191">
        <f>_xll.qlRateHelperQuoteValue(M170,_xll.ohTrigger(RecalcTrigger,YieldCurve))</f>
        <v>8.6800000000000002E-3</v>
      </c>
      <c r="Q170" s="194" t="str">
        <f t="shared" si="20"/>
        <v>3Y</v>
      </c>
      <c r="R170" s="194" t="str">
        <f>_xll.qlSwapIndex(,"Euribor",Q170,NDays,Currency,Calendar,"1Y","mf","30/360 (Bond Basis)",IborIndex,Discounting,,_xll.ohTrigger(Trigger,RecalcTrigger))</f>
        <v>obj_00961#0001</v>
      </c>
      <c r="S170" s="194" t="str">
        <f>_xll.qlVanillaSwapFromSwapIndex(,R170,O170)</f>
        <v>obj_00b4a#0001</v>
      </c>
      <c r="T170" s="181">
        <f>_xll.qlVanillaSwapFairRate(S170)</f>
        <v>8.6637043515557371E-3</v>
      </c>
      <c r="U170" s="290">
        <f t="shared" si="17"/>
        <v>-1.6295648444263067E-5</v>
      </c>
      <c r="X170" s="176" t="str">
        <f t="shared" si="18"/>
        <v>1D</v>
      </c>
      <c r="Y170" s="164">
        <f>_xll.qlCalendarAdvance(Calendar,Y169,X170,"f",FALSE)</f>
        <v>42299</v>
      </c>
      <c r="Z170" s="188">
        <f>_xll.qlCalendarAdvance(Calendar,Y170,NDays&amp;"D")</f>
        <v>42303</v>
      </c>
      <c r="AA170" s="163">
        <v>7.6999999999973726E-4</v>
      </c>
      <c r="AB170" s="172">
        <v>8.0572875931217425E-4</v>
      </c>
    </row>
    <row r="171" spans="13:28" x14ac:dyDescent="0.2">
      <c r="M171" s="293" t="str">
        <v>obj_0085b#0001</v>
      </c>
      <c r="N171" s="176" t="str">
        <f>_xll.qlRateHelperQuoteName(M171)</f>
        <v>EUR6F4Y_Quote</v>
      </c>
      <c r="O171" s="164">
        <f>_xll.qlInterestRateIndexFixingDate(R171,_xll.qlRateHelperEarliestDate(M171,Trigger),)</f>
        <v>44277</v>
      </c>
      <c r="P171" s="191">
        <f>_xll.qlRateHelperQuoteValue(M171,_xll.ohTrigger(RecalcTrigger,YieldCurve))</f>
        <v>9.0699999999999999E-3</v>
      </c>
      <c r="Q171" s="194" t="str">
        <f t="shared" si="20"/>
        <v>4Y</v>
      </c>
      <c r="R171" s="194" t="str">
        <f>_xll.qlSwapIndex(,"Euribor",Q171,NDays,Currency,Calendar,"1Y","mf","30/360 (Bond Basis)",IborIndex,Discounting,,_xll.ohTrigger(Trigger,RecalcTrigger))</f>
        <v>obj_00995#0001</v>
      </c>
      <c r="S171" s="194" t="str">
        <f>_xll.qlVanillaSwapFromSwapIndex(,R171,O171)</f>
        <v>obj_00a2c#0001</v>
      </c>
      <c r="T171" s="181">
        <f>_xll.qlVanillaSwapFairRate(S171)</f>
        <v>9.0475868121156228E-3</v>
      </c>
      <c r="U171" s="290">
        <f t="shared" si="17"/>
        <v>-2.24131878843771E-5</v>
      </c>
      <c r="X171" s="176" t="str">
        <f t="shared" si="18"/>
        <v>1D</v>
      </c>
      <c r="Y171" s="164">
        <f>_xll.qlCalendarAdvance(Calendar,Y170,X171,"f",FALSE)</f>
        <v>42300</v>
      </c>
      <c r="Z171" s="188">
        <f>_xll.qlCalendarAdvance(Calendar,Y171,NDays&amp;"D")</f>
        <v>42304</v>
      </c>
      <c r="AA171" s="163">
        <v>7.7070821624342003E-4</v>
      </c>
      <c r="AB171" s="172">
        <v>7.9378851571831888E-4</v>
      </c>
    </row>
    <row r="172" spans="13:28" x14ac:dyDescent="0.2">
      <c r="M172" s="293" t="str">
        <v>obj_0077d#0001</v>
      </c>
      <c r="N172" s="176" t="str">
        <f>_xll.qlRateHelperQuoteName(M172)</f>
        <v>EUR6F5Y_Quote</v>
      </c>
      <c r="O172" s="164">
        <f>_xll.qlInterestRateIndexFixingDate(R172,_xll.qlRateHelperEarliestDate(M172,Trigger),)</f>
        <v>44277</v>
      </c>
      <c r="P172" s="191">
        <f>_xll.qlRateHelperQuoteValue(M172,_xll.ohTrigger(RecalcTrigger,YieldCurve))</f>
        <v>9.3900000000000008E-3</v>
      </c>
      <c r="Q172" s="194" t="str">
        <f t="shared" si="20"/>
        <v>5Y</v>
      </c>
      <c r="R172" s="194" t="str">
        <f>_xll.qlSwapIndex(,"Euribor",Q172,NDays,Currency,Calendar,"1Y","mf","30/360 (Bond Basis)",IborIndex,Discounting,,_xll.ohTrigger(Trigger,RecalcTrigger))</f>
        <v>obj_00a07#0001</v>
      </c>
      <c r="S172" s="194" t="str">
        <f>_xll.qlVanillaSwapFromSwapIndex(,R172,O172)</f>
        <v>obj_00ac9#0001</v>
      </c>
      <c r="T172" s="181">
        <f>_xll.qlVanillaSwapFairRate(S172)</f>
        <v>9.3753998345378446E-3</v>
      </c>
      <c r="U172" s="290">
        <f t="shared" si="17"/>
        <v>-1.4600165462156159E-5</v>
      </c>
      <c r="X172" s="176" t="str">
        <f t="shared" si="18"/>
        <v>1D</v>
      </c>
      <c r="Y172" s="164">
        <f>_xll.qlCalendarAdvance(Calendar,Y171,X172,"f",FALSE)</f>
        <v>42303</v>
      </c>
      <c r="Z172" s="188">
        <f>_xll.qlCalendarAdvance(Calendar,Y172,NDays&amp;"D")</f>
        <v>42305</v>
      </c>
      <c r="AA172" s="163">
        <v>7.7143719385743068E-4</v>
      </c>
      <c r="AB172" s="172">
        <v>7.8227291748333982E-4</v>
      </c>
    </row>
    <row r="173" spans="13:28" x14ac:dyDescent="0.2">
      <c r="M173" s="293" t="str">
        <v>obj_00774#0001</v>
      </c>
      <c r="N173" s="176" t="str">
        <f>_xll.qlRateHelperQuoteName(M173)</f>
        <v>EUR6F6Y_Quote</v>
      </c>
      <c r="O173" s="164">
        <f>_xll.qlInterestRateIndexFixingDate(R173,_xll.qlRateHelperEarliestDate(M173,Trigger),)</f>
        <v>44277</v>
      </c>
      <c r="P173" s="191">
        <f>_xll.qlRateHelperQuoteValue(M173,_xll.ohTrigger(RecalcTrigger,YieldCurve))</f>
        <v>9.6699999999999998E-3</v>
      </c>
      <c r="Q173" s="194" t="str">
        <f t="shared" si="20"/>
        <v>6Y</v>
      </c>
      <c r="R173" s="194" t="str">
        <f>_xll.qlSwapIndex(,"Euribor",Q173,NDays,Currency,Calendar,"1Y","mf","30/360 (Bond Basis)",IborIndex,Discounting,,_xll.ohTrigger(Trigger,RecalcTrigger))</f>
        <v>obj_00976#0001</v>
      </c>
      <c r="S173" s="194" t="str">
        <f>_xll.qlVanillaSwapFromSwapIndex(,R173,O173)</f>
        <v>obj_00a92#0001</v>
      </c>
      <c r="T173" s="181">
        <f>_xll.qlVanillaSwapFairRate(S173)</f>
        <v>9.6476649187144485E-3</v>
      </c>
      <c r="U173" s="290">
        <f t="shared" si="17"/>
        <v>-2.233508128555127E-5</v>
      </c>
      <c r="X173" s="176" t="str">
        <f t="shared" si="18"/>
        <v>1D</v>
      </c>
      <c r="Y173" s="164">
        <f>_xll.qlCalendarAdvance(Calendar,Y172,X173,"f",FALSE)</f>
        <v>42304</v>
      </c>
      <c r="Z173" s="188">
        <f>_xll.qlCalendarAdvance(Calendar,Y173,NDays&amp;"D")</f>
        <v>42306</v>
      </c>
      <c r="AA173" s="163">
        <v>7.7218534293192601E-4</v>
      </c>
      <c r="AB173" s="172">
        <v>7.7118196452730103E-4</v>
      </c>
    </row>
    <row r="174" spans="13:28" x14ac:dyDescent="0.2">
      <c r="M174" s="293" t="str">
        <v>obj_00876#0001</v>
      </c>
      <c r="N174" s="176" t="str">
        <f>_xll.qlRateHelperQuoteName(M174)</f>
        <v>EUR6F7Y_Quote</v>
      </c>
      <c r="O174" s="164">
        <f>_xll.qlInterestRateIndexFixingDate(R174,_xll.qlRateHelperEarliestDate(M174,Trigger),)</f>
        <v>44277</v>
      </c>
      <c r="P174" s="191">
        <f>_xll.qlRateHelperQuoteValue(M174,_xll.ohTrigger(RecalcTrigger,YieldCurve))</f>
        <v>9.9100000000000004E-3</v>
      </c>
      <c r="Q174" s="194" t="str">
        <f t="shared" si="20"/>
        <v>7Y</v>
      </c>
      <c r="R174" s="194" t="str">
        <f>_xll.qlSwapIndex(,"Euribor",Q174,NDays,Currency,Calendar,"1Y","mf","30/360 (Bond Basis)",IborIndex,Discounting,,_xll.ohTrigger(Trigger,RecalcTrigger))</f>
        <v>obj_009b5#0001</v>
      </c>
      <c r="S174" s="194" t="str">
        <f>_xll.qlVanillaSwapFromSwapIndex(,R174,O174)</f>
        <v>obj_00b3f#0001</v>
      </c>
      <c r="T174" s="181">
        <f>_xll.qlVanillaSwapFairRate(S174)</f>
        <v>9.8653361312446217E-3</v>
      </c>
      <c r="U174" s="290">
        <f t="shared" si="17"/>
        <v>-4.4663868755378741E-5</v>
      </c>
      <c r="X174" s="176" t="str">
        <f t="shared" si="18"/>
        <v>1D</v>
      </c>
      <c r="Y174" s="164">
        <f>_xll.qlCalendarAdvance(Calendar,Y173,X174,"f",FALSE)</f>
        <v>42305</v>
      </c>
      <c r="Z174" s="188">
        <f>_xll.qlCalendarAdvance(Calendar,Y174,NDays&amp;"D")</f>
        <v>42307</v>
      </c>
      <c r="AA174" s="163">
        <v>7.7218920183800123E-4</v>
      </c>
      <c r="AB174" s="172">
        <v>2.1664426705125805E-3</v>
      </c>
    </row>
    <row r="175" spans="13:28" x14ac:dyDescent="0.2">
      <c r="M175" s="293" t="str">
        <v>obj_007e6#0001</v>
      </c>
      <c r="N175" s="176" t="str">
        <f>_xll.qlRateHelperQuoteName(M175)</f>
        <v>EUR6F8Y_Quote</v>
      </c>
      <c r="O175" s="164">
        <f>_xll.qlInterestRateIndexFixingDate(R175,_xll.qlRateHelperEarliestDate(M175,Trigger),)</f>
        <v>44277</v>
      </c>
      <c r="P175" s="191">
        <f>_xll.qlRateHelperQuoteValue(M175,_xll.ohTrigger(RecalcTrigger,YieldCurve))</f>
        <v>1.0059999999999999E-2</v>
      </c>
      <c r="Q175" s="194" t="str">
        <f t="shared" si="20"/>
        <v>8Y</v>
      </c>
      <c r="R175" s="194" t="str">
        <f>_xll.qlSwapIndex(,"Euribor",Q175,NDays,Currency,Calendar,"1Y","mf","30/360 (Bond Basis)",IborIndex,Discounting,,_xll.ohTrigger(Trigger,RecalcTrigger))</f>
        <v>obj_0094a#0001</v>
      </c>
      <c r="S175" s="194" t="str">
        <f>_xll.qlVanillaSwapFromSwapIndex(,R175,O175)</f>
        <v>obj_00acf#0001</v>
      </c>
      <c r="T175" s="181">
        <f>_xll.qlVanillaSwapFairRate(S175)</f>
        <v>1.0031319971804818E-2</v>
      </c>
      <c r="U175" s="290">
        <f t="shared" si="17"/>
        <v>-2.8680028195181978E-5</v>
      </c>
      <c r="X175" s="176" t="str">
        <f t="shared" si="18"/>
        <v>1D</v>
      </c>
      <c r="Y175" s="164">
        <f>_xll.qlCalendarAdvance(Calendar,Y174,X175,"f",FALSE)</f>
        <v>42306</v>
      </c>
      <c r="Z175" s="188">
        <f>_xll.qlCalendarAdvance(Calendar,Y175,NDays&amp;"D")</f>
        <v>42310</v>
      </c>
      <c r="AA175" s="163">
        <v>7.5136473385326128E-4</v>
      </c>
      <c r="AB175" s="172">
        <v>7.3106460397376338E-4</v>
      </c>
    </row>
    <row r="176" spans="13:28" x14ac:dyDescent="0.2">
      <c r="M176" s="293" t="str">
        <v>obj_0086a#0001</v>
      </c>
      <c r="N176" s="176" t="str">
        <f>_xll.qlRateHelperQuoteName(M176)</f>
        <v>EUR6F9Y_Quote</v>
      </c>
      <c r="O176" s="164">
        <f>_xll.qlInterestRateIndexFixingDate(R176,_xll.qlRateHelperEarliestDate(M176,Trigger),)</f>
        <v>44277</v>
      </c>
      <c r="P176" s="191">
        <f>_xll.qlRateHelperQuoteValue(M176,_xll.ohTrigger(RecalcTrigger,YieldCurve))</f>
        <v>1.018E-2</v>
      </c>
      <c r="Q176" s="194" t="str">
        <f t="shared" si="20"/>
        <v>9Y</v>
      </c>
      <c r="R176" s="194" t="str">
        <f>_xll.qlSwapIndex(,"Euribor",Q176,NDays,Currency,Calendar,"1Y","mf","30/360 (Bond Basis)",IborIndex,Discounting,,_xll.ohTrigger(Trigger,RecalcTrigger))</f>
        <v>obj_00949#0001</v>
      </c>
      <c r="S176" s="194" t="str">
        <f>_xll.qlVanillaSwapFromSwapIndex(,R176,O176)</f>
        <v>obj_00ace#0001</v>
      </c>
      <c r="T176" s="181">
        <f>_xll.qlVanillaSwapFairRate(S176)</f>
        <v>1.0157751665359819E-2</v>
      </c>
      <c r="U176" s="290">
        <f t="shared" si="17"/>
        <v>-2.2248334640180903E-5</v>
      </c>
      <c r="X176" s="176" t="str">
        <f t="shared" si="18"/>
        <v>1D</v>
      </c>
      <c r="Y176" s="164">
        <f>_xll.qlCalendarAdvance(Calendar,Y175,X176,"f",FALSE)</f>
        <v>42307</v>
      </c>
      <c r="Z176" s="188">
        <f>_xll.qlCalendarAdvance(Calendar,Y176,NDays&amp;"D")</f>
        <v>42311</v>
      </c>
      <c r="AA176" s="163">
        <v>7.5222972903072455E-4</v>
      </c>
      <c r="AB176" s="172">
        <v>7.2209687653312926E-4</v>
      </c>
    </row>
    <row r="177" spans="13:28" x14ac:dyDescent="0.2">
      <c r="M177" s="293" t="str">
        <v>obj_007a3#0001</v>
      </c>
      <c r="N177" s="176" t="str">
        <f>_xll.qlRateHelperQuoteName(M177)</f>
        <v>EUR6F10Y_Quote</v>
      </c>
      <c r="O177" s="164">
        <f>_xll.qlInterestRateIndexFixingDate(R177,_xll.qlRateHelperEarliestDate(M177,Trigger),)</f>
        <v>44277</v>
      </c>
      <c r="P177" s="191">
        <f>_xll.qlRateHelperQuoteValue(M177,_xll.ohTrigger(RecalcTrigger,YieldCurve))</f>
        <v>1.026E-2</v>
      </c>
      <c r="Q177" s="194" t="str">
        <f t="shared" si="20"/>
        <v>10Y</v>
      </c>
      <c r="R177" s="194" t="str">
        <f>_xll.qlSwapIndex(,"Euribor",Q177,NDays,Currency,Calendar,"1Y","mf","30/360 (Bond Basis)",IborIndex,Discounting,,_xll.ohTrigger(Trigger,RecalcTrigger))</f>
        <v>obj_008ff#0001</v>
      </c>
      <c r="S177" s="194" t="str">
        <f>_xll.qlVanillaSwapFromSwapIndex(,R177,O177)</f>
        <v>obj_00af5#0001</v>
      </c>
      <c r="T177" s="181">
        <f>_xll.qlVanillaSwapFairRate(S177)</f>
        <v>1.0252352730009085E-2</v>
      </c>
      <c r="U177" s="290">
        <f t="shared" si="17"/>
        <v>-7.6472699909145569E-6</v>
      </c>
      <c r="X177" s="176" t="str">
        <f t="shared" si="18"/>
        <v>1D</v>
      </c>
      <c r="Y177" s="164">
        <f>_xll.qlCalendarAdvance(Calendar,Y176,X177,"f",FALSE)</f>
        <v>42310</v>
      </c>
      <c r="Z177" s="188">
        <f>_xll.qlCalendarAdvance(Calendar,Y177,NDays&amp;"D")</f>
        <v>42312</v>
      </c>
      <c r="AA177" s="163">
        <v>7.5310367354133054E-4</v>
      </c>
      <c r="AB177" s="172">
        <v>7.1355379405169117E-4</v>
      </c>
    </row>
    <row r="178" spans="13:28" x14ac:dyDescent="0.2">
      <c r="M178" s="293" t="str">
        <v>obj_0082c#0001</v>
      </c>
      <c r="N178" s="176" t="str">
        <f>_xll.qlRateHelperQuoteName(M178)</f>
        <v>EUR6F11Y_Quote</v>
      </c>
      <c r="O178" s="164">
        <f>_xll.qlInterestRateIndexFixingDate(R178,_xll.qlRateHelperEarliestDate(M178,Trigger),)</f>
        <v>44277</v>
      </c>
      <c r="P178" s="191">
        <f>_xll.qlRateHelperQuoteValue(M178,_xll.ohTrigger(RecalcTrigger,YieldCurve))</f>
        <v>1.0360000000000001E-2</v>
      </c>
      <c r="Q178" s="194" t="str">
        <f t="shared" si="20"/>
        <v>11Y</v>
      </c>
      <c r="R178" s="194" t="str">
        <f>_xll.qlSwapIndex(,"Euribor",Q178,NDays,Currency,Calendar,"1Y","mf","30/360 (Bond Basis)",IborIndex,Discounting,,_xll.ohTrigger(Trigger,RecalcTrigger))</f>
        <v>obj_008d8#0002</v>
      </c>
      <c r="S178" s="194" t="str">
        <f>_xll.qlVanillaSwapFromSwapIndex(,R178,O178)</f>
        <v>obj_00a7b#0001</v>
      </c>
      <c r="T178" s="181">
        <f>_xll.qlVanillaSwapFairRate(S178)</f>
        <v>1.0324905253766239E-2</v>
      </c>
      <c r="U178" s="290">
        <f t="shared" si="17"/>
        <v>-3.5094746233761687E-5</v>
      </c>
      <c r="X178" s="176" t="str">
        <f t="shared" si="18"/>
        <v>1D</v>
      </c>
      <c r="Y178" s="164">
        <f>_xll.qlCalendarAdvance(Calendar,Y177,X178,"f",FALSE)</f>
        <v>42311</v>
      </c>
      <c r="Z178" s="188">
        <f>_xll.qlCalendarAdvance(Calendar,Y178,NDays&amp;"D")</f>
        <v>42313</v>
      </c>
      <c r="AA178" s="163">
        <v>7.539849687464951E-4</v>
      </c>
      <c r="AB178" s="172">
        <v>7.0543535660938517E-4</v>
      </c>
    </row>
    <row r="179" spans="13:28" x14ac:dyDescent="0.2">
      <c r="M179" s="293" t="str">
        <v>obj_00827#0001</v>
      </c>
      <c r="N179" s="176" t="str">
        <f>_xll.qlRateHelperQuoteName(M179)</f>
        <v>EUR6F12Y_Quote</v>
      </c>
      <c r="O179" s="164">
        <f>_xll.qlInterestRateIndexFixingDate(R179,_xll.qlRateHelperEarliestDate(M179,Trigger),)</f>
        <v>44277</v>
      </c>
      <c r="P179" s="191">
        <f>_xll.qlRateHelperQuoteValue(M179,_xll.ohTrigger(RecalcTrigger,YieldCurve))</f>
        <v>1.039E-2</v>
      </c>
      <c r="Q179" s="194" t="str">
        <f t="shared" si="20"/>
        <v>12Y</v>
      </c>
      <c r="R179" s="194" t="str">
        <f>_xll.qlSwapIndex(,"Euribor",Q179,NDays,Currency,Calendar,"1Y","mf","30/360 (Bond Basis)",IborIndex,Discounting,,_xll.ohTrigger(Trigger,RecalcTrigger))</f>
        <v>obj_00a02#0001</v>
      </c>
      <c r="S179" s="194" t="str">
        <f>_xll.qlVanillaSwapFromSwapIndex(,R179,O179)</f>
        <v>obj_00ac1#0001</v>
      </c>
      <c r="T179" s="181">
        <f>_xll.qlVanillaSwapFairRate(S179)</f>
        <v>1.0375054521201976E-2</v>
      </c>
      <c r="U179" s="290">
        <f t="shared" si="17"/>
        <v>-1.4945478798024381E-5</v>
      </c>
      <c r="X179" s="176" t="str">
        <f t="shared" si="18"/>
        <v>1D</v>
      </c>
      <c r="Y179" s="164">
        <f>_xll.qlCalendarAdvance(Calendar,Y178,X179,"f",FALSE)</f>
        <v>42312</v>
      </c>
      <c r="Z179" s="188">
        <f>_xll.qlCalendarAdvance(Calendar,Y179,NDays&amp;"D")</f>
        <v>42314</v>
      </c>
      <c r="AA179" s="163">
        <v>7.5487201600543804E-4</v>
      </c>
      <c r="AB179" s="172">
        <v>6.9061528970237873E-4</v>
      </c>
    </row>
    <row r="180" spans="13:28" x14ac:dyDescent="0.2">
      <c r="M180" s="293" t="str">
        <v>obj_007c5#0001</v>
      </c>
      <c r="N180" s="176" t="str">
        <f>_xll.qlRateHelperQuoteName(M180)</f>
        <v>EUR6F13Y_Quote</v>
      </c>
      <c r="O180" s="164">
        <f>_xll.qlInterestRateIndexFixingDate(R180,_xll.qlRateHelperEarliestDate(M180,Trigger),)</f>
        <v>44277</v>
      </c>
      <c r="P180" s="191" t="e">
        <f>_xll.qlRateHelperQuoteValue(M180,_xll.ohTrigger(RecalcTrigger,YieldCurve))</f>
        <v>#NUM!</v>
      </c>
      <c r="Q180" s="194" t="str">
        <f t="shared" si="20"/>
        <v>13Y</v>
      </c>
      <c r="R180" s="194" t="str">
        <f>_xll.qlSwapIndex(,"Euribor",Q180,NDays,Currency,Calendar,"1Y","mf","30/360 (Bond Basis)",IborIndex,Discounting,,_xll.ohTrigger(Trigger,RecalcTrigger))</f>
        <v>obj_009d3#0001</v>
      </c>
      <c r="S180" s="194" t="str">
        <f>_xll.qlVanillaSwapFromSwapIndex(,R180,O180)</f>
        <v>obj_00ad6#0001</v>
      </c>
      <c r="T180" s="181">
        <f>_xll.qlVanillaSwapFairRate(S180)</f>
        <v>1.040945347321583E-2</v>
      </c>
      <c r="U180" s="290" t="e">
        <f t="shared" si="17"/>
        <v>#NUM!</v>
      </c>
      <c r="X180" s="176" t="str">
        <f t="shared" si="18"/>
        <v>1D</v>
      </c>
      <c r="Y180" s="164">
        <f>_xll.qlCalendarAdvance(Calendar,Y179,X180,"f",FALSE)</f>
        <v>42313</v>
      </c>
      <c r="Z180" s="188">
        <f>_xll.qlCalendarAdvance(Calendar,Y180,NDays&amp;"D")</f>
        <v>42317</v>
      </c>
      <c r="AA180" s="163">
        <v>7.5755168365057861E-4</v>
      </c>
      <c r="AB180" s="172">
        <v>6.7720805611237722E-4</v>
      </c>
    </row>
    <row r="181" spans="13:28" x14ac:dyDescent="0.2">
      <c r="M181" s="293" t="str">
        <v>obj_007dd#0001</v>
      </c>
      <c r="N181" s="176" t="str">
        <f>_xll.qlRateHelperQuoteName(M181)</f>
        <v>EUR6F14Y_Quote</v>
      </c>
      <c r="O181" s="164">
        <f>_xll.qlInterestRateIndexFixingDate(R181,_xll.qlRateHelperEarliestDate(M181,Trigger),)</f>
        <v>44277</v>
      </c>
      <c r="P181" s="191">
        <f>_xll.qlRateHelperQuoteValue(M181,_xll.ohTrigger(RecalcTrigger,YieldCurve))</f>
        <v>1.0449999999999999E-2</v>
      </c>
      <c r="Q181" s="194" t="str">
        <f t="shared" si="20"/>
        <v>14Y</v>
      </c>
      <c r="R181" s="194" t="str">
        <f>_xll.qlSwapIndex(,"Euribor",Q181,NDays,Currency,Calendar,"1Y","mf","30/360 (Bond Basis)",IborIndex,Discounting,,_xll.ohTrigger(Trigger,RecalcTrigger))</f>
        <v>obj_00992#0001</v>
      </c>
      <c r="S181" s="194" t="str">
        <f>_xll.qlVanillaSwapFromSwapIndex(,R181,O181)</f>
        <v>obj_00a86#0001</v>
      </c>
      <c r="T181" s="181">
        <f>_xll.qlVanillaSwapFairRate(S181)</f>
        <v>1.0430860872336484E-2</v>
      </c>
      <c r="U181" s="290">
        <f t="shared" si="17"/>
        <v>-1.9139127663514791E-5</v>
      </c>
      <c r="X181" s="176" t="str">
        <f t="shared" si="18"/>
        <v>1D</v>
      </c>
      <c r="Y181" s="164">
        <f>_xll.qlCalendarAdvance(Calendar,Y180,X181,"f",FALSE)</f>
        <v>42314</v>
      </c>
      <c r="Z181" s="188">
        <f>_xll.qlCalendarAdvance(Calendar,Y181,NDays&amp;"D")</f>
        <v>42318</v>
      </c>
      <c r="AA181" s="163">
        <v>7.5844575265622202E-4</v>
      </c>
      <c r="AB181" s="172">
        <v>6.7121284330617925E-4</v>
      </c>
    </row>
    <row r="182" spans="13:28" x14ac:dyDescent="0.2">
      <c r="M182" s="293" t="str">
        <v>obj_00888#0001</v>
      </c>
      <c r="N182" s="176" t="str">
        <f>_xll.qlRateHelperQuoteName(M182)</f>
        <v>EUR6F15Y_Quote</v>
      </c>
      <c r="O182" s="164">
        <f>_xll.qlInterestRateIndexFixingDate(R182,_xll.qlRateHelperEarliestDate(M182,Trigger),)</f>
        <v>44277</v>
      </c>
      <c r="P182" s="191">
        <f>_xll.qlRateHelperQuoteValue(M182,_xll.ohTrigger(RecalcTrigger,YieldCurve))</f>
        <v>1.047E-2</v>
      </c>
      <c r="Q182" s="194" t="str">
        <f t="shared" si="20"/>
        <v>15Y</v>
      </c>
      <c r="R182" s="194" t="str">
        <f>_xll.qlSwapIndex(,"Euribor",Q182,NDays,Currency,Calendar,"1Y","mf","30/360 (Bond Basis)",IborIndex,Discounting,,_xll.ohTrigger(Trigger,RecalcTrigger))</f>
        <v>obj_009f5#0001</v>
      </c>
      <c r="S182" s="194" t="str">
        <f>_xll.qlVanillaSwapFromSwapIndex(,R182,O182)</f>
        <v>obj_00a36#0001</v>
      </c>
      <c r="T182" s="181">
        <f>_xll.qlVanillaSwapFairRate(S182)</f>
        <v>1.0443352095489805E-2</v>
      </c>
      <c r="U182" s="290">
        <f t="shared" si="17"/>
        <v>-2.6647904510195344E-5</v>
      </c>
      <c r="X182" s="176" t="str">
        <f t="shared" si="18"/>
        <v>1D</v>
      </c>
      <c r="Y182" s="164">
        <f>_xll.qlCalendarAdvance(Calendar,Y181,X182,"f",FALSE)</f>
        <v>42317</v>
      </c>
      <c r="Z182" s="188">
        <f>_xll.qlCalendarAdvance(Calendar,Y182,NDays&amp;"D")</f>
        <v>42319</v>
      </c>
      <c r="AA182" s="163">
        <v>7.593375804665043E-4</v>
      </c>
      <c r="AB182" s="172">
        <v>6.6564227513943308E-4</v>
      </c>
    </row>
    <row r="183" spans="13:28" x14ac:dyDescent="0.2">
      <c r="M183" s="293" t="str">
        <v>obj_0082a#0001</v>
      </c>
      <c r="N183" s="176" t="str">
        <f>_xll.qlRateHelperQuoteName(M183)</f>
        <v>EUR6F20Y_Quote</v>
      </c>
      <c r="O183" s="164">
        <f>_xll.qlInterestRateIndexFixingDate(R183,_xll.qlRateHelperEarliestDate(M183,Trigger),)</f>
        <v>44277</v>
      </c>
      <c r="P183" s="191">
        <f>_xll.qlRateHelperQuoteValue(M183,_xll.ohTrigger(RecalcTrigger,YieldCurve))</f>
        <v>1.048E-2</v>
      </c>
      <c r="Q183" s="194" t="str">
        <f t="shared" si="20"/>
        <v>20Y</v>
      </c>
      <c r="R183" s="194" t="str">
        <f>_xll.qlSwapIndex(,"Euribor",Q183,NDays,Currency,Calendar,"1Y","mf","30/360 (Bond Basis)",IborIndex,Discounting,,_xll.ohTrigger(Trigger,RecalcTrigger))</f>
        <v>obj_00972#0001</v>
      </c>
      <c r="S183" s="194" t="str">
        <f>_xll.qlVanillaSwapFromSwapIndex(,R183,O183)</f>
        <v>obj_00ac2#0001</v>
      </c>
      <c r="T183" s="181">
        <f>_xll.qlVanillaSwapFairRate(S183)</f>
        <v>1.045457170302283E-2</v>
      </c>
      <c r="U183" s="290">
        <f t="shared" si="17"/>
        <v>-2.5428296977169501E-5</v>
      </c>
      <c r="X183" s="176" t="str">
        <f t="shared" si="18"/>
        <v>1D</v>
      </c>
      <c r="Y183" s="164">
        <f>_xll.qlCalendarAdvance(Calendar,Y182,X183,"f",FALSE)</f>
        <v>42318</v>
      </c>
      <c r="Z183" s="188">
        <f>_xll.qlCalendarAdvance(Calendar,Y183,NDays&amp;"D")</f>
        <v>42320</v>
      </c>
      <c r="AA183" s="163">
        <v>7.6022556842351605E-4</v>
      </c>
      <c r="AB183" s="172">
        <v>6.6049635185194688E-4</v>
      </c>
    </row>
    <row r="184" spans="13:28" x14ac:dyDescent="0.2">
      <c r="M184" s="293" t="str">
        <v>obj_00756#0001</v>
      </c>
      <c r="N184" s="176" t="str">
        <f>_xll.qlRateHelperQuoteName(M184)</f>
        <v>EUR6F25Y_Quote</v>
      </c>
      <c r="O184" s="164">
        <f>_xll.qlInterestRateIndexFixingDate(R184,_xll.qlRateHelperEarliestDate(M184,Trigger),)</f>
        <v>44277</v>
      </c>
      <c r="P184" s="191">
        <f>_xll.qlRateHelperQuoteValue(M184,_xll.ohTrigger(RecalcTrigger,YieldCurve))</f>
        <v>1.0489999999999999E-2</v>
      </c>
      <c r="Q184" s="194" t="str">
        <f t="shared" si="20"/>
        <v>25Y</v>
      </c>
      <c r="R184" s="194" t="str">
        <f>_xll.qlSwapIndex(,"Euribor",Q184,NDays,Currency,Calendar,"1Y","mf","30/360 (Bond Basis)",IborIndex,Discounting,,_xll.ohTrigger(Trigger,RecalcTrigger))</f>
        <v>obj_008f5#0002</v>
      </c>
      <c r="S184" s="194" t="str">
        <f>_xll.qlVanillaSwapFromSwapIndex(,R184,O184)</f>
        <v>obj_00a1e#0001</v>
      </c>
      <c r="T184" s="181">
        <f>_xll.qlVanillaSwapFairRate(S184)</f>
        <v>1.0465782985227006E-2</v>
      </c>
      <c r="U184" s="290">
        <f t="shared" si="17"/>
        <v>-2.4217014772993581E-5</v>
      </c>
      <c r="X184" s="176" t="str">
        <f t="shared" si="18"/>
        <v>1D</v>
      </c>
      <c r="Y184" s="164">
        <f>_xll.qlCalendarAdvance(Calendar,Y183,X184,"f",FALSE)</f>
        <v>42319</v>
      </c>
      <c r="Z184" s="188">
        <f>_xll.qlCalendarAdvance(Calendar,Y184,NDays&amp;"D")</f>
        <v>42321</v>
      </c>
      <c r="AA184" s="163">
        <v>7.6110811786627352E-4</v>
      </c>
      <c r="AB184" s="172">
        <v>6.5162116742456533E-4</v>
      </c>
    </row>
    <row r="185" spans="13:28" ht="12" thickBot="1" x14ac:dyDescent="0.25">
      <c r="M185" s="294" t="str">
        <v>obj_00865#0001</v>
      </c>
      <c r="N185" s="177" t="str">
        <f>_xll.qlRateHelperQuoteName(M185)</f>
        <v>EUR6F30Y_Quote</v>
      </c>
      <c r="O185" s="174">
        <f>_xll.qlInterestRateIndexFixingDate(R185,_xll.qlRateHelperEarliestDate(M185,Trigger),)</f>
        <v>44277</v>
      </c>
      <c r="P185" s="192">
        <f>_xll.qlRateHelperQuoteValue(M185,_xll.ohTrigger(RecalcTrigger,YieldCurve))</f>
        <v>1.0449999999999999E-2</v>
      </c>
      <c r="Q185" s="195" t="str">
        <f t="shared" si="20"/>
        <v>30Y</v>
      </c>
      <c r="R185" s="195" t="str">
        <f>_xll.qlSwapIndex(,"Euribor",Q185,NDays,Currency,Calendar,"1Y","mf","30/360 (Bond Basis)",IborIndex,Discounting,,_xll.ohTrigger(Trigger,RecalcTrigger))</f>
        <v>obj_00973#0001</v>
      </c>
      <c r="S185" s="195" t="str">
        <f>_xll.qlVanillaSwapFromSwapIndex(,R185,O185)</f>
        <v>obj_00b1c#0001</v>
      </c>
      <c r="T185" s="183">
        <f>_xll.qlVanillaSwapFairRate(S185)</f>
        <v>1.0425830822335214E-2</v>
      </c>
      <c r="U185" s="291">
        <f t="shared" si="17"/>
        <v>-2.4169177664784894E-5</v>
      </c>
      <c r="X185" s="176" t="str">
        <f t="shared" si="18"/>
        <v>1D</v>
      </c>
      <c r="Y185" s="164">
        <f>_xll.qlCalendarAdvance(Calendar,Y184,X185,"f",FALSE)</f>
        <v>42320</v>
      </c>
      <c r="Z185" s="188">
        <f>_xll.qlCalendarAdvance(Calendar,Y185,NDays&amp;"D")</f>
        <v>42324</v>
      </c>
      <c r="AA185" s="163">
        <v>7.6370714845306481E-4</v>
      </c>
      <c r="AB185" s="172">
        <v>6.4415910653536912E-4</v>
      </c>
    </row>
    <row r="186" spans="13:28" x14ac:dyDescent="0.2">
      <c r="M186" s="295" t="str">
        <v>obj_0074f#0001</v>
      </c>
      <c r="N186" s="279" t="str">
        <f>_xll.qlRateHelperQuoteName(M186)</f>
        <v>EUR7F1Y_Quote</v>
      </c>
      <c r="O186" s="276">
        <f>_xll.qlInterestRateIndexFixingDate(R186,_xll.qlRateHelperEarliestDate(M186,Trigger),)</f>
        <v>44642</v>
      </c>
      <c r="P186" s="277">
        <f>_xll.qlRateHelperQuoteValue(M186,_xll.ohTrigger(RecalcTrigger,YieldCurve))</f>
        <v>8.7600000000000004E-3</v>
      </c>
      <c r="Q186" s="275" t="str">
        <f t="shared" ref="Q186:Q203" si="21">SUBSTITUTE(SUBSTITUTE(N186,"_Quote",""),"EUR7F","")</f>
        <v>1Y</v>
      </c>
      <c r="R186" s="275" t="str">
        <f>_xll.qlSwapIndex(,"Euribor",Q186,NDays,Currency,Calendar,"1Y","mf","30/360 (Bond Basis)",IborIndex,Discounting,,_xll.ohTrigger(Trigger,RecalcTrigger))</f>
        <v>obj_008e1#0002</v>
      </c>
      <c r="S186" s="275" t="str">
        <f>_xll.qlVanillaSwapFromSwapIndex(,R186,O186)</f>
        <v>obj_00a54#0001</v>
      </c>
      <c r="T186" s="278">
        <f>_xll.qlVanillaSwapFairRate(S186)</f>
        <v>8.7400313509797892E-3</v>
      </c>
      <c r="U186" s="292">
        <f t="shared" si="17"/>
        <v>-1.9968649020211254E-5</v>
      </c>
      <c r="X186" s="176" t="str">
        <f t="shared" si="18"/>
        <v>1D</v>
      </c>
      <c r="Y186" s="164">
        <f>_xll.qlCalendarAdvance(Calendar,Y185,X186,"f",FALSE)</f>
        <v>42321</v>
      </c>
      <c r="Z186" s="188">
        <f>_xll.qlCalendarAdvance(Calendar,Y186,NDays&amp;"D")</f>
        <v>42325</v>
      </c>
      <c r="AA186" s="163">
        <v>7.6455195717099126E-4</v>
      </c>
      <c r="AB186" s="172">
        <v>6.4113640716456644E-4</v>
      </c>
    </row>
    <row r="187" spans="13:28" x14ac:dyDescent="0.2">
      <c r="M187" s="293" t="str">
        <v>obj_00790#0001</v>
      </c>
      <c r="N187" s="176" t="str">
        <f>_xll.qlRateHelperQuoteName(M187)</f>
        <v>EUR7F2Y_Quote</v>
      </c>
      <c r="O187" s="164">
        <f>_xll.qlInterestRateIndexFixingDate(R187,_xll.qlRateHelperEarliestDate(M187,Trigger),)</f>
        <v>44642</v>
      </c>
      <c r="P187" s="191">
        <f>_xll.qlRateHelperQuoteValue(M187,_xll.ohTrigger(RecalcTrigger,YieldCurve))</f>
        <v>9.2399999999999999E-3</v>
      </c>
      <c r="Q187" s="194" t="str">
        <f t="shared" si="21"/>
        <v>2Y</v>
      </c>
      <c r="R187" s="194" t="str">
        <f>_xll.qlSwapIndex(,"Euribor",Q187,NDays,Currency,Calendar,"1Y","mf","30/360 (Bond Basis)",IborIndex,Discounting,,_xll.ohTrigger(Trigger,RecalcTrigger))</f>
        <v>obj_00997#0001</v>
      </c>
      <c r="S187" s="194" t="str">
        <f>_xll.qlVanillaSwapFromSwapIndex(,R187,O187)</f>
        <v>obj_00a4a#0001</v>
      </c>
      <c r="T187" s="181">
        <f>_xll.qlVanillaSwapFairRate(S187)</f>
        <v>9.222948198972649E-3</v>
      </c>
      <c r="U187" s="290">
        <f t="shared" si="17"/>
        <v>-1.7051801027350919E-5</v>
      </c>
      <c r="X187" s="176" t="str">
        <f t="shared" si="18"/>
        <v>1D</v>
      </c>
      <c r="Y187" s="164">
        <f>_xll.qlCalendarAdvance(Calendar,Y186,X187,"f",FALSE)</f>
        <v>42324</v>
      </c>
      <c r="Z187" s="188">
        <f>_xll.qlCalendarAdvance(Calendar,Y187,NDays&amp;"D")</f>
        <v>42326</v>
      </c>
      <c r="AA187" s="163">
        <v>7.6538333402714092E-4</v>
      </c>
      <c r="AB187" s="172">
        <v>6.3853835251315161E-4</v>
      </c>
    </row>
    <row r="188" spans="13:28" x14ac:dyDescent="0.2">
      <c r="M188" s="293" t="str">
        <v>obj_007d6#0001</v>
      </c>
      <c r="N188" s="176" t="str">
        <f>_xll.qlRateHelperQuoteName(M188)</f>
        <v>EUR7F3Y_Quote</v>
      </c>
      <c r="O188" s="164">
        <f>_xll.qlInterestRateIndexFixingDate(R188,_xll.qlRateHelperEarliestDate(M188,Trigger),)</f>
        <v>44642</v>
      </c>
      <c r="P188" s="191">
        <f>_xll.qlRateHelperQuoteValue(M188,_xll.ohTrigger(RecalcTrigger,YieldCurve))</f>
        <v>9.5700000000000004E-3</v>
      </c>
      <c r="Q188" s="194" t="str">
        <f t="shared" si="21"/>
        <v>3Y</v>
      </c>
      <c r="R188" s="194" t="str">
        <f>_xll.qlSwapIndex(,"Euribor",Q188,NDays,Currency,Calendar,"1Y","mf","30/360 (Bond Basis)",IborIndex,Discounting,,_xll.ohTrigger(Trigger,RecalcTrigger))</f>
        <v>obj_009dc#0001</v>
      </c>
      <c r="S188" s="194" t="str">
        <f>_xll.qlVanillaSwapFromSwapIndex(,R188,O188)</f>
        <v>obj_00b1e#0001</v>
      </c>
      <c r="T188" s="181">
        <f>_xll.qlVanillaSwapFairRate(S188)</f>
        <v>9.5520087121432132E-3</v>
      </c>
      <c r="U188" s="290">
        <f t="shared" si="17"/>
        <v>-1.7991287856787205E-5</v>
      </c>
      <c r="X188" s="176" t="str">
        <f t="shared" si="18"/>
        <v>1D</v>
      </c>
      <c r="Y188" s="164">
        <f>_xll.qlCalendarAdvance(Calendar,Y187,X188,"f",FALSE)</f>
        <v>42325</v>
      </c>
      <c r="Z188" s="188">
        <f>_xll.qlCalendarAdvance(Calendar,Y188,NDays&amp;"D")</f>
        <v>42327</v>
      </c>
      <c r="AA188" s="163">
        <v>7.6619968034384025E-4</v>
      </c>
      <c r="AB188" s="172">
        <v>6.3636494242125252E-4</v>
      </c>
    </row>
    <row r="189" spans="13:28" x14ac:dyDescent="0.2">
      <c r="M189" s="293" t="str">
        <v>obj_00752#0001</v>
      </c>
      <c r="N189" s="176" t="str">
        <f>_xll.qlRateHelperQuoteName(M189)</f>
        <v>EUR7F4Y_Quote</v>
      </c>
      <c r="O189" s="164">
        <f>_xll.qlInterestRateIndexFixingDate(R189,_xll.qlRateHelperEarliestDate(M189,Trigger),)</f>
        <v>44642</v>
      </c>
      <c r="P189" s="191">
        <f>_xll.qlRateHelperQuoteValue(M189,_xll.ohTrigger(RecalcTrigger,YieldCurve))</f>
        <v>9.8600000000000007E-3</v>
      </c>
      <c r="Q189" s="194" t="str">
        <f t="shared" si="21"/>
        <v>4Y</v>
      </c>
      <c r="R189" s="194" t="str">
        <f>_xll.qlSwapIndex(,"Euribor",Q189,NDays,Currency,Calendar,"1Y","mf","30/360 (Bond Basis)",IborIndex,Discounting,,_xll.ohTrigger(Trigger,RecalcTrigger))</f>
        <v>obj_008cd#0002</v>
      </c>
      <c r="S189" s="194" t="str">
        <f>_xll.qlVanillaSwapFromSwapIndex(,R189,O189)</f>
        <v>obj_00b33#0001</v>
      </c>
      <c r="T189" s="181">
        <f>_xll.qlVanillaSwapFairRate(S189)</f>
        <v>9.8386076454271918E-3</v>
      </c>
      <c r="U189" s="290">
        <f t="shared" si="17"/>
        <v>-2.13923545728089E-5</v>
      </c>
      <c r="X189" s="176" t="str">
        <f t="shared" si="18"/>
        <v>1D</v>
      </c>
      <c r="Y189" s="164">
        <f>_xll.qlCalendarAdvance(Calendar,Y188,X189,"f",FALSE)</f>
        <v>42326</v>
      </c>
      <c r="Z189" s="188">
        <f>_xll.qlCalendarAdvance(Calendar,Y189,NDays&amp;"D")</f>
        <v>42328</v>
      </c>
      <c r="AA189" s="163">
        <v>7.669993974434154E-4</v>
      </c>
      <c r="AB189" s="172">
        <v>6.3343471934373952E-4</v>
      </c>
    </row>
    <row r="190" spans="13:28" x14ac:dyDescent="0.2">
      <c r="M190" s="293" t="str">
        <v>obj_007f0#0001</v>
      </c>
      <c r="N190" s="176" t="str">
        <f>_xll.qlRateHelperQuoteName(M190)</f>
        <v>EUR7F5Y_Quote</v>
      </c>
      <c r="O190" s="164">
        <f>_xll.qlInterestRateIndexFixingDate(R190,_xll.qlRateHelperEarliestDate(M190,Trigger),)</f>
        <v>44642</v>
      </c>
      <c r="P190" s="191">
        <f>_xll.qlRateHelperQuoteValue(M190,_xll.ohTrigger(RecalcTrigger,YieldCurve))</f>
        <v>1.01E-2</v>
      </c>
      <c r="Q190" s="194" t="str">
        <f t="shared" si="21"/>
        <v>5Y</v>
      </c>
      <c r="R190" s="194" t="str">
        <f>_xll.qlSwapIndex(,"Euribor",Q190,NDays,Currency,Calendar,"1Y","mf","30/360 (Bond Basis)",IborIndex,Discounting,,_xll.ohTrigger(Trigger,RecalcTrigger))</f>
        <v>obj_0099c#0001</v>
      </c>
      <c r="S190" s="194" t="str">
        <f>_xll.qlVanillaSwapFromSwapIndex(,R190,O190)</f>
        <v>obj_00a8f#0001</v>
      </c>
      <c r="T190" s="181">
        <f>_xll.qlVanillaSwapFairRate(S190)</f>
        <v>1.00754142659233E-2</v>
      </c>
      <c r="U190" s="290">
        <f t="shared" si="17"/>
        <v>-2.4585734076699312E-5</v>
      </c>
      <c r="X190" s="176" t="str">
        <f t="shared" si="18"/>
        <v>1D</v>
      </c>
      <c r="Y190" s="164">
        <f>_xll.qlCalendarAdvance(Calendar,Y189,X190,"f",FALSE)</f>
        <v>42327</v>
      </c>
      <c r="Z190" s="188">
        <f>_xll.qlCalendarAdvance(Calendar,Y190,NDays&amp;"D")</f>
        <v>42331</v>
      </c>
      <c r="AA190" s="163">
        <v>7.6928278660819615E-4</v>
      </c>
      <c r="AB190" s="172">
        <v>6.3191774948734292E-4</v>
      </c>
    </row>
    <row r="191" spans="13:28" x14ac:dyDescent="0.2">
      <c r="M191" s="293" t="str">
        <v>obj_0081b#0001</v>
      </c>
      <c r="N191" s="176" t="str">
        <f>_xll.qlRateHelperQuoteName(M191)</f>
        <v>EUR7F6Y_Quote</v>
      </c>
      <c r="O191" s="164">
        <f>_xll.qlInterestRateIndexFixingDate(R191,_xll.qlRateHelperEarliestDate(M191,Trigger),)</f>
        <v>44642</v>
      </c>
      <c r="P191" s="191">
        <f>_xll.qlRateHelperQuoteValue(M191,_xll.ohTrigger(RecalcTrigger,YieldCurve))</f>
        <v>1.031E-2</v>
      </c>
      <c r="Q191" s="194" t="str">
        <f t="shared" si="21"/>
        <v>6Y</v>
      </c>
      <c r="R191" s="194" t="str">
        <f>_xll.qlSwapIndex(,"Euribor",Q191,NDays,Currency,Calendar,"1Y","mf","30/360 (Bond Basis)",IborIndex,Discounting,,_xll.ohTrigger(Trigger,RecalcTrigger))</f>
        <v>obj_008c6#0002</v>
      </c>
      <c r="S191" s="194" t="str">
        <f>_xll.qlVanillaSwapFromSwapIndex(,R191,O191)</f>
        <v>obj_00afe#0001</v>
      </c>
      <c r="T191" s="181">
        <f>_xll.qlVanillaSwapFairRate(S191)</f>
        <v>1.0260554369521767E-2</v>
      </c>
      <c r="U191" s="290">
        <f t="shared" si="17"/>
        <v>-4.9445630478232513E-5</v>
      </c>
      <c r="X191" s="176" t="str">
        <f t="shared" si="18"/>
        <v>1D</v>
      </c>
      <c r="Y191" s="164">
        <f>_xll.qlCalendarAdvance(Calendar,Y190,X191,"f",FALSE)</f>
        <v>42328</v>
      </c>
      <c r="Z191" s="188">
        <f>_xll.qlCalendarAdvance(Calendar,Y191,NDays&amp;"D")</f>
        <v>42332</v>
      </c>
      <c r="AA191" s="163">
        <v>7.700000000001692E-4</v>
      </c>
      <c r="AB191" s="172">
        <v>6.3186756299238311E-4</v>
      </c>
    </row>
    <row r="192" spans="13:28" x14ac:dyDescent="0.2">
      <c r="M192" s="293" t="str">
        <v>obj_0084d#0001</v>
      </c>
      <c r="N192" s="176" t="str">
        <f>_xll.qlRateHelperQuoteName(M192)</f>
        <v>EUR7F7Y_Quote</v>
      </c>
      <c r="O192" s="164">
        <f>_xll.qlInterestRateIndexFixingDate(R192,_xll.qlRateHelperEarliestDate(M192,Trigger),)</f>
        <v>44642</v>
      </c>
      <c r="P192" s="191">
        <f>_xll.qlRateHelperQuoteValue(M192,_xll.ohTrigger(RecalcTrigger,YieldCurve))</f>
        <v>1.042E-2</v>
      </c>
      <c r="Q192" s="194" t="str">
        <f t="shared" si="21"/>
        <v>7Y</v>
      </c>
      <c r="R192" s="194" t="str">
        <f>_xll.qlSwapIndex(,"Euribor",Q192,NDays,Currency,Calendar,"1Y","mf","30/360 (Bond Basis)",IborIndex,Discounting,,_xll.ohTrigger(Trigger,RecalcTrigger))</f>
        <v>obj_008dd#0002</v>
      </c>
      <c r="S192" s="194" t="str">
        <f>_xll.qlVanillaSwapFromSwapIndex(,R192,O192)</f>
        <v>obj_00aba#0001</v>
      </c>
      <c r="T192" s="181">
        <f>_xll.qlVanillaSwapFairRate(S192)</f>
        <v>1.0395725089533844E-2</v>
      </c>
      <c r="U192" s="290">
        <f t="shared" si="17"/>
        <v>-2.4274910466156804E-5</v>
      </c>
      <c r="X192" s="176" t="str">
        <f t="shared" si="18"/>
        <v>1D</v>
      </c>
      <c r="Y192" s="164">
        <f>_xll.qlCalendarAdvance(Calendar,Y191,X192,"f",FALSE)</f>
        <v>42331</v>
      </c>
      <c r="Z192" s="188">
        <f>_xll.qlCalendarAdvance(Calendar,Y192,NDays&amp;"D")</f>
        <v>42333</v>
      </c>
      <c r="AA192" s="163">
        <v>7.7069253272232677E-4</v>
      </c>
      <c r="AB192" s="172">
        <v>6.3207293143463517E-4</v>
      </c>
    </row>
    <row r="193" spans="13:28" x14ac:dyDescent="0.2">
      <c r="M193" s="293" t="str">
        <v>obj_0079e#0001</v>
      </c>
      <c r="N193" s="176" t="str">
        <f>_xll.qlRateHelperQuoteName(M193)</f>
        <v>EUR7F8Y_Quote</v>
      </c>
      <c r="O193" s="164">
        <f>_xll.qlInterestRateIndexFixingDate(R193,_xll.qlRateHelperEarliestDate(M193,Trigger),)</f>
        <v>44642</v>
      </c>
      <c r="P193" s="191">
        <f>_xll.qlRateHelperQuoteValue(M193,_xll.ohTrigger(RecalcTrigger,YieldCurve))</f>
        <v>1.052E-2</v>
      </c>
      <c r="Q193" s="194" t="str">
        <f t="shared" si="21"/>
        <v>8Y</v>
      </c>
      <c r="R193" s="194" t="str">
        <f>_xll.qlSwapIndex(,"Euribor",Q193,NDays,Currency,Calendar,"1Y","mf","30/360 (Bond Basis)",IborIndex,Discounting,,_xll.ohTrigger(Trigger,RecalcTrigger))</f>
        <v>obj_009ea#0001</v>
      </c>
      <c r="S193" s="194" t="str">
        <f>_xll.qlVanillaSwapFromSwapIndex(,R193,O193)</f>
        <v>obj_00b02#0001</v>
      </c>
      <c r="T193" s="181">
        <f>_xll.qlVanillaSwapFairRate(S193)</f>
        <v>1.0494521922389604E-2</v>
      </c>
      <c r="U193" s="290">
        <f t="shared" si="17"/>
        <v>-2.5478077610396194E-5</v>
      </c>
      <c r="X193" s="176" t="str">
        <f t="shared" si="18"/>
        <v>1D</v>
      </c>
      <c r="Y193" s="164">
        <f>_xll.qlCalendarAdvance(Calendar,Y192,X193,"f",FALSE)</f>
        <v>42332</v>
      </c>
      <c r="Z193" s="188">
        <f>_xll.qlCalendarAdvance(Calendar,Y193,NDays&amp;"D")</f>
        <v>42334</v>
      </c>
      <c r="AA193" s="163">
        <v>7.713594253842994E-4</v>
      </c>
      <c r="AB193" s="172">
        <v>6.3185749552552295E-4</v>
      </c>
    </row>
    <row r="194" spans="13:28" x14ac:dyDescent="0.2">
      <c r="M194" s="293" t="str">
        <v>obj_007a4#0001</v>
      </c>
      <c r="N194" s="176" t="str">
        <f>_xll.qlRateHelperQuoteName(M194)</f>
        <v>EUR7F9Y_Quote</v>
      </c>
      <c r="O194" s="164">
        <f>_xll.qlInterestRateIndexFixingDate(R194,_xll.qlRateHelperEarliestDate(M194,Trigger),)</f>
        <v>44642</v>
      </c>
      <c r="P194" s="191">
        <f>_xll.qlRateHelperQuoteValue(M194,_xll.ohTrigger(RecalcTrigger,YieldCurve))</f>
        <v>1.057E-2</v>
      </c>
      <c r="Q194" s="194" t="str">
        <f t="shared" si="21"/>
        <v>9Y</v>
      </c>
      <c r="R194" s="194" t="str">
        <f>_xll.qlSwapIndex(,"Euribor",Q194,NDays,Currency,Calendar,"1Y","mf","30/360 (Bond Basis)",IborIndex,Discounting,,_xll.ohTrigger(Trigger,RecalcTrigger))</f>
        <v>obj_00a06#0001</v>
      </c>
      <c r="S194" s="194" t="str">
        <f>_xll.qlVanillaSwapFromSwapIndex(,R194,O194)</f>
        <v>obj_00ac5#0001</v>
      </c>
      <c r="T194" s="181">
        <f>_xll.qlVanillaSwapFairRate(S194)</f>
        <v>1.056408814648001E-2</v>
      </c>
      <c r="U194" s="290">
        <f t="shared" si="17"/>
        <v>-5.9118535199898653E-6</v>
      </c>
      <c r="X194" s="176" t="str">
        <f t="shared" si="18"/>
        <v>1D</v>
      </c>
      <c r="Y194" s="164">
        <f>_xll.qlCalendarAdvance(Calendar,Y193,X194,"f",FALSE)</f>
        <v>42333</v>
      </c>
      <c r="Z194" s="188">
        <f>_xll.qlCalendarAdvance(Calendar,Y194,NDays&amp;"D")</f>
        <v>42335</v>
      </c>
      <c r="AA194" s="163">
        <v>7.7200337827399248E-4</v>
      </c>
      <c r="AB194" s="172">
        <v>6.294614108082186E-4</v>
      </c>
    </row>
    <row r="195" spans="13:28" x14ac:dyDescent="0.2">
      <c r="M195" s="293" t="str">
        <v>obj_00773#0001</v>
      </c>
      <c r="N195" s="176" t="str">
        <f>_xll.qlRateHelperQuoteName(M195)</f>
        <v>EUR7F10Y_Quote</v>
      </c>
      <c r="O195" s="164">
        <f>_xll.qlInterestRateIndexFixingDate(R195,_xll.qlRateHelperEarliestDate(M195,Trigger),)</f>
        <v>44642</v>
      </c>
      <c r="P195" s="191">
        <f>_xll.qlRateHelperQuoteValue(M195,_xll.ohTrigger(RecalcTrigger,YieldCurve))</f>
        <v>1.065E-2</v>
      </c>
      <c r="Q195" s="194" t="str">
        <f t="shared" si="21"/>
        <v>10Y</v>
      </c>
      <c r="R195" s="194" t="str">
        <f>_xll.qlSwapIndex(,"Euribor",Q195,NDays,Currency,Calendar,"1Y","mf","30/360 (Bond Basis)",IborIndex,Discounting,,_xll.ohTrigger(Trigger,RecalcTrigger))</f>
        <v>obj_009cc#0001</v>
      </c>
      <c r="S195" s="194" t="str">
        <f>_xll.qlVanillaSwapFromSwapIndex(,R195,O195)</f>
        <v>obj_00aa1#0001</v>
      </c>
      <c r="T195" s="181">
        <f>_xll.qlVanillaSwapFairRate(S195)</f>
        <v>1.0614329628956205E-2</v>
      </c>
      <c r="U195" s="290">
        <f t="shared" si="17"/>
        <v>-3.5670371043794447E-5</v>
      </c>
      <c r="X195" s="176" t="str">
        <f t="shared" si="18"/>
        <v>1D</v>
      </c>
      <c r="Y195" s="164">
        <f>_xll.qlCalendarAdvance(Calendar,Y194,X195,"f",FALSE)</f>
        <v>42334</v>
      </c>
      <c r="Z195" s="188">
        <f>_xll.qlCalendarAdvance(Calendar,Y195,NDays&amp;"D")</f>
        <v>42338</v>
      </c>
      <c r="AA195" s="163">
        <v>7.7360773713128998E-4</v>
      </c>
      <c r="AB195" s="172">
        <v>4.8731543145574818E-3</v>
      </c>
    </row>
    <row r="196" spans="13:28" x14ac:dyDescent="0.2">
      <c r="M196" s="293" t="str">
        <v>obj_0076e#0001</v>
      </c>
      <c r="N196" s="176" t="str">
        <f>_xll.qlRateHelperQuoteName(M196)</f>
        <v>EUR7F11Y_Quote</v>
      </c>
      <c r="O196" s="164">
        <f>_xll.qlInterestRateIndexFixingDate(R196,_xll.qlRateHelperEarliestDate(M196,Trigger),)</f>
        <v>44642</v>
      </c>
      <c r="P196" s="191">
        <f>_xll.qlRateHelperQuoteValue(M196,_xll.ohTrigger(RecalcTrigger,YieldCurve))</f>
        <v>1.0660000000000001E-2</v>
      </c>
      <c r="Q196" s="194" t="str">
        <f t="shared" si="21"/>
        <v>11Y</v>
      </c>
      <c r="R196" s="194" t="str">
        <f>_xll.qlSwapIndex(,"Euribor",Q196,NDays,Currency,Calendar,"1Y","mf","30/360 (Bond Basis)",IborIndex,Discounting,,_xll.ohTrigger(Trigger,RecalcTrigger))</f>
        <v>obj_00979#0001</v>
      </c>
      <c r="S196" s="194" t="str">
        <f>_xll.qlVanillaSwapFromSwapIndex(,R196,O196)</f>
        <v>obj_00afd#0001</v>
      </c>
      <c r="T196" s="181">
        <f>_xll.qlVanillaSwapFairRate(S196)</f>
        <v>1.0644166069574195E-2</v>
      </c>
      <c r="U196" s="290">
        <f t="shared" si="17"/>
        <v>-1.5833930425805665E-5</v>
      </c>
      <c r="X196" s="176" t="str">
        <f t="shared" si="18"/>
        <v>1D</v>
      </c>
      <c r="Y196" s="164">
        <f>_xll.qlCalendarAdvance(Calendar,Y195,X196,"f",FALSE)</f>
        <v>42335</v>
      </c>
      <c r="Z196" s="188">
        <f>_xll.qlCalendarAdvance(Calendar,Y196,NDays&amp;"D")</f>
        <v>42339</v>
      </c>
      <c r="AA196" s="163">
        <v>7.509486970985837E-4</v>
      </c>
      <c r="AB196" s="172">
        <v>6.2193190501602658E-4</v>
      </c>
    </row>
    <row r="197" spans="13:28" x14ac:dyDescent="0.2">
      <c r="M197" s="293" t="str">
        <v>obj_007a6#0001</v>
      </c>
      <c r="N197" s="176" t="str">
        <f>_xll.qlRateHelperQuoteName(M197)</f>
        <v>EUR7F12Y_Quote</v>
      </c>
      <c r="O197" s="164">
        <f>_xll.qlInterestRateIndexFixingDate(R197,_xll.qlRateHelperEarliestDate(M197,Trigger),)</f>
        <v>44642</v>
      </c>
      <c r="P197" s="191">
        <f>_xll.qlRateHelperQuoteValue(M197,_xll.ohTrigger(RecalcTrigger,YieldCurve))</f>
        <v>1.069E-2</v>
      </c>
      <c r="Q197" s="194" t="str">
        <f t="shared" si="21"/>
        <v>12Y</v>
      </c>
      <c r="R197" s="194" t="str">
        <f>_xll.qlSwapIndex(,"Euribor",Q197,NDays,Currency,Calendar,"1Y","mf","30/360 (Bond Basis)",IborIndex,Discounting,,_xll.ohTrigger(Trigger,RecalcTrigger))</f>
        <v>obj_0092e#0001</v>
      </c>
      <c r="S197" s="194" t="str">
        <f>_xll.qlVanillaSwapFromSwapIndex(,R197,O197)</f>
        <v>obj_00a56#0001</v>
      </c>
      <c r="T197" s="181">
        <f>_xll.qlVanillaSwapFairRate(S197)</f>
        <v>1.0660306676263862E-2</v>
      </c>
      <c r="U197" s="290">
        <f t="shared" si="17"/>
        <v>-2.9693323736137631E-5</v>
      </c>
      <c r="X197" s="176" t="str">
        <f t="shared" si="18"/>
        <v>1D</v>
      </c>
      <c r="Y197" s="164">
        <f>_xll.qlCalendarAdvance(Calendar,Y196,X197,"f",FALSE)</f>
        <v>42338</v>
      </c>
      <c r="Z197" s="188">
        <f>_xll.qlCalendarAdvance(Calendar,Y197,NDays&amp;"D")</f>
        <v>42340</v>
      </c>
      <c r="AA197" s="163">
        <v>7.515075206569403E-4</v>
      </c>
      <c r="AB197" s="172">
        <v>6.1817710478528909E-4</v>
      </c>
    </row>
    <row r="198" spans="13:28" x14ac:dyDescent="0.2">
      <c r="M198" s="293" t="str">
        <v>obj_0087e#0001</v>
      </c>
      <c r="N198" s="176" t="str">
        <f>_xll.qlRateHelperQuoteName(M198)</f>
        <v>EUR7F13Y_Quote</v>
      </c>
      <c r="O198" s="164">
        <f>_xll.qlInterestRateIndexFixingDate(R198,_xll.qlRateHelperEarliestDate(M198,Trigger),)</f>
        <v>44642</v>
      </c>
      <c r="P198" s="191">
        <f>_xll.qlRateHelperQuoteValue(M198,_xll.ohTrigger(RecalcTrigger,YieldCurve))</f>
        <v>1.069E-2</v>
      </c>
      <c r="Q198" s="194" t="str">
        <f t="shared" si="21"/>
        <v>13Y</v>
      </c>
      <c r="R198" s="194" t="str">
        <f>_xll.qlSwapIndex(,"Euribor",Q198,NDays,Currency,Calendar,"1Y","mf","30/360 (Bond Basis)",IborIndex,Discounting,,_xll.ohTrigger(Trigger,RecalcTrigger))</f>
        <v>obj_009f3#0001</v>
      </c>
      <c r="S198" s="194" t="str">
        <f>_xll.qlVanillaSwapFromSwapIndex(,R198,O198)</f>
        <v>obj_00ad3#0001</v>
      </c>
      <c r="T198" s="181">
        <f>_xll.qlVanillaSwapFairRate(S198)</f>
        <v>1.0665100756995363E-2</v>
      </c>
      <c r="U198" s="290">
        <f t="shared" si="17"/>
        <v>-2.4899243004637348E-5</v>
      </c>
      <c r="X198" s="176" t="str">
        <f t="shared" si="18"/>
        <v>1D</v>
      </c>
      <c r="Y198" s="164">
        <f>_xll.qlCalendarAdvance(Calendar,Y197,X198,"f",FALSE)</f>
        <v>42339</v>
      </c>
      <c r="Z198" s="188">
        <f>_xll.qlCalendarAdvance(Calendar,Y198,NDays&amp;"D")</f>
        <v>42341</v>
      </c>
      <c r="AA198" s="163">
        <v>7.5206557435199804E-4</v>
      </c>
      <c r="AB198" s="172">
        <v>6.1383241058088345E-4</v>
      </c>
    </row>
    <row r="199" spans="13:28" x14ac:dyDescent="0.2">
      <c r="M199" s="293" t="str">
        <v>obj_007e2#0001</v>
      </c>
      <c r="N199" s="176" t="str">
        <f>_xll.qlRateHelperQuoteName(M199)</f>
        <v>EUR7F14Y_Quote</v>
      </c>
      <c r="O199" s="164">
        <f>_xll.qlInterestRateIndexFixingDate(R199,_xll.qlRateHelperEarliestDate(M199,Trigger),)</f>
        <v>44642</v>
      </c>
      <c r="P199" s="191">
        <f>_xll.qlRateHelperQuoteValue(M199,_xll.ohTrigger(RecalcTrigger,YieldCurve))</f>
        <v>1.069E-2</v>
      </c>
      <c r="Q199" s="194" t="str">
        <f t="shared" si="21"/>
        <v>14Y</v>
      </c>
      <c r="R199" s="194" t="str">
        <f>_xll.qlSwapIndex(,"Euribor",Q199,NDays,Currency,Calendar,"1Y","mf","30/360 (Bond Basis)",IborIndex,Discounting,,_xll.ohTrigger(Trigger,RecalcTrigger))</f>
        <v>obj_009ff#0001</v>
      </c>
      <c r="S199" s="194" t="str">
        <f>_xll.qlVanillaSwapFromSwapIndex(,R199,O199)</f>
        <v>obj_00b18#0001</v>
      </c>
      <c r="T199" s="181">
        <f>_xll.qlVanillaSwapFairRate(S199)</f>
        <v>1.0662956764709058E-2</v>
      </c>
      <c r="U199" s="290">
        <f t="shared" si="17"/>
        <v>-2.7043235290942144E-5</v>
      </c>
      <c r="X199" s="176" t="str">
        <f t="shared" si="18"/>
        <v>1D</v>
      </c>
      <c r="Y199" s="164">
        <f>_xll.qlCalendarAdvance(Calendar,Y198,X199,"f",FALSE)</f>
        <v>42340</v>
      </c>
      <c r="Z199" s="188">
        <f>_xll.qlCalendarAdvance(Calendar,Y199,NDays&amp;"D")</f>
        <v>42342</v>
      </c>
      <c r="AA199" s="163">
        <v>7.5217767047232439E-4</v>
      </c>
      <c r="AB199" s="172">
        <v>6.0317771934492725E-4</v>
      </c>
    </row>
    <row r="200" spans="13:28" x14ac:dyDescent="0.2">
      <c r="M200" s="293" t="str">
        <v>obj_0081d#0001</v>
      </c>
      <c r="N200" s="176" t="str">
        <f>_xll.qlRateHelperQuoteName(M200)</f>
        <v>EUR7F15Y_Quote</v>
      </c>
      <c r="O200" s="164">
        <f>_xll.qlInterestRateIndexFixingDate(R200,_xll.qlRateHelperEarliestDate(M200,Trigger),)</f>
        <v>44642</v>
      </c>
      <c r="P200" s="191">
        <f>_xll.qlRateHelperQuoteValue(M200,_xll.ohTrigger(RecalcTrigger,YieldCurve))</f>
        <v>1.0669999999999999E-2</v>
      </c>
      <c r="Q200" s="194" t="str">
        <f t="shared" si="21"/>
        <v>15Y</v>
      </c>
      <c r="R200" s="194" t="str">
        <f>_xll.qlSwapIndex(,"Euribor",Q200,NDays,Currency,Calendar,"1Y","mf","30/360 (Bond Basis)",IborIndex,Discounting,,_xll.ohTrigger(Trigger,RecalcTrigger))</f>
        <v>obj_009c3#0001</v>
      </c>
      <c r="S200" s="194" t="str">
        <f>_xll.qlVanillaSwapFromSwapIndex(,R200,O200)</f>
        <v>obj_00b19#0001</v>
      </c>
      <c r="T200" s="181">
        <f>_xll.qlVanillaSwapFairRate(S200)</f>
        <v>1.0653483419177122E-2</v>
      </c>
      <c r="U200" s="290">
        <f t="shared" si="17"/>
        <v>-1.6516580822877047E-5</v>
      </c>
      <c r="X200" s="176" t="str">
        <f t="shared" si="18"/>
        <v>1D</v>
      </c>
      <c r="Y200" s="164">
        <f>_xll.qlCalendarAdvance(Calendar,Y199,X200,"f",FALSE)</f>
        <v>42341</v>
      </c>
      <c r="Z200" s="188">
        <f>_xll.qlCalendarAdvance(Calendar,Y200,NDays&amp;"D")</f>
        <v>42345</v>
      </c>
      <c r="AA200" s="163">
        <v>7.5436228807961416E-4</v>
      </c>
      <c r="AB200" s="172">
        <v>5.9055469386670723E-4</v>
      </c>
    </row>
    <row r="201" spans="13:28" x14ac:dyDescent="0.2">
      <c r="M201" s="293" t="str">
        <v>obj_007c0#0001</v>
      </c>
      <c r="N201" s="176" t="str">
        <f>_xll.qlRateHelperQuoteName(M201)</f>
        <v>EUR7F20Y_Quote</v>
      </c>
      <c r="O201" s="164">
        <f>_xll.qlInterestRateIndexFixingDate(R201,_xll.qlRateHelperEarliestDate(M201,Trigger),)</f>
        <v>44642</v>
      </c>
      <c r="P201" s="191">
        <f>_xll.qlRateHelperQuoteValue(M201,_xll.ohTrigger(RecalcTrigger,YieldCurve))</f>
        <v>1.064E-2</v>
      </c>
      <c r="Q201" s="194" t="str">
        <f t="shared" si="21"/>
        <v>20Y</v>
      </c>
      <c r="R201" s="194" t="str">
        <f>_xll.qlSwapIndex(,"Euribor",Q201,NDays,Currency,Calendar,"1Y","mf","30/360 (Bond Basis)",IborIndex,Discounting,,_xll.ohTrigger(Trigger,RecalcTrigger))</f>
        <v>obj_0091c#0001</v>
      </c>
      <c r="S201" s="194" t="str">
        <f>_xll.qlVanillaSwapFromSwapIndex(,R201,O201)</f>
        <v>obj_00a43#0001</v>
      </c>
      <c r="T201" s="181">
        <f>_xll.qlVanillaSwapFairRate(S201)</f>
        <v>1.0618568910499789E-2</v>
      </c>
      <c r="U201" s="290">
        <f t="shared" si="17"/>
        <v>-2.1431089500211636E-5</v>
      </c>
      <c r="X201" s="176" t="str">
        <f t="shared" si="18"/>
        <v>1D</v>
      </c>
      <c r="Y201" s="164">
        <f>_xll.qlCalendarAdvance(Calendar,Y200,X201,"f",FALSE)</f>
        <v>42342</v>
      </c>
      <c r="Z201" s="188">
        <f>_xll.qlCalendarAdvance(Calendar,Y201,NDays&amp;"D")</f>
        <v>42346</v>
      </c>
      <c r="AA201" s="163">
        <v>7.5497064068200624E-4</v>
      </c>
      <c r="AB201" s="172">
        <v>5.8326052987389687E-4</v>
      </c>
    </row>
    <row r="202" spans="13:28" x14ac:dyDescent="0.2">
      <c r="M202" s="293" t="str">
        <v>obj_00884#0001</v>
      </c>
      <c r="N202" s="176" t="str">
        <f>_xll.qlRateHelperQuoteName(M202)</f>
        <v>EUR7F25Y_Quote</v>
      </c>
      <c r="O202" s="164">
        <f>_xll.qlInterestRateIndexFixingDate(R202,_xll.qlRateHelperEarliestDate(M202,Trigger),)</f>
        <v>44642</v>
      </c>
      <c r="P202" s="191">
        <f>_xll.qlRateHelperQuoteValue(M202,_xll.ohTrigger(RecalcTrigger,YieldCurve))</f>
        <v>1.061E-2</v>
      </c>
      <c r="Q202" s="194" t="str">
        <f t="shared" si="21"/>
        <v>25Y</v>
      </c>
      <c r="R202" s="194" t="str">
        <f>_xll.qlSwapIndex(,"Euribor",Q202,NDays,Currency,Calendar,"1Y","mf","30/360 (Bond Basis)",IborIndex,Discounting,,_xll.ohTrigger(Trigger,RecalcTrigger))</f>
        <v>obj_0096d#0001</v>
      </c>
      <c r="S202" s="194" t="str">
        <f>_xll.qlVanillaSwapFromSwapIndex(,R202,O202)</f>
        <v>obj_00aa7#0001</v>
      </c>
      <c r="T202" s="181">
        <f>_xll.qlVanillaSwapFairRate(S202)</f>
        <v>1.0590430388626369E-2</v>
      </c>
      <c r="U202" s="290">
        <f t="shared" si="17"/>
        <v>-1.9569611373631071E-5</v>
      </c>
      <c r="X202" s="176" t="str">
        <f t="shared" si="18"/>
        <v>1D</v>
      </c>
      <c r="Y202" s="164">
        <f>_xll.qlCalendarAdvance(Calendar,Y201,X202,"f",FALSE)</f>
        <v>42345</v>
      </c>
      <c r="Z202" s="188">
        <f>_xll.qlCalendarAdvance(Calendar,Y202,NDays&amp;"D")</f>
        <v>42347</v>
      </c>
      <c r="AA202" s="163">
        <v>7.5559988274155685E-4</v>
      </c>
      <c r="AB202" s="172">
        <v>5.7537647206729048E-4</v>
      </c>
    </row>
    <row r="203" spans="13:28" ht="12" thickBot="1" x14ac:dyDescent="0.25">
      <c r="M203" s="294" t="str">
        <v>obj_0076b#0001</v>
      </c>
      <c r="N203" s="177" t="str">
        <f>_xll.qlRateHelperQuoteName(M203)</f>
        <v>EUR7F30Y_Quote</v>
      </c>
      <c r="O203" s="174">
        <f>_xll.qlInterestRateIndexFixingDate(R203,_xll.qlRateHelperEarliestDate(M203,Trigger),)</f>
        <v>44642</v>
      </c>
      <c r="P203" s="192">
        <f>_xll.qlRateHelperQuoteValue(M203,_xll.ohTrigger(RecalcTrigger,YieldCurve))</f>
        <v>1.0540000000000001E-2</v>
      </c>
      <c r="Q203" s="195" t="str">
        <f t="shared" si="21"/>
        <v>30Y</v>
      </c>
      <c r="R203" s="195" t="str">
        <f>_xll.qlSwapIndex(,"Euribor",Q203,NDays,Currency,Calendar,"1Y","mf","30/360 (Bond Basis)",IborIndex,Discounting,,_xll.ohTrigger(Trigger,RecalcTrigger))</f>
        <v>obj_009fb#0001</v>
      </c>
      <c r="S203" s="195" t="str">
        <f>_xll.qlVanillaSwapFromSwapIndex(,R203,O203)</f>
        <v>obj_00ade#0001</v>
      </c>
      <c r="T203" s="183">
        <f>_xll.qlVanillaSwapFairRate(S203)</f>
        <v>1.0522725667216629E-2</v>
      </c>
      <c r="U203" s="291">
        <f t="shared" si="17"/>
        <v>-1.7274332783371454E-5</v>
      </c>
      <c r="X203" s="176" t="str">
        <f t="shared" si="18"/>
        <v>1D</v>
      </c>
      <c r="Y203" s="164">
        <f>_xll.qlCalendarAdvance(Calendar,Y202,X203,"f",FALSE)</f>
        <v>42346</v>
      </c>
      <c r="Z203" s="188">
        <f>_xll.qlCalendarAdvance(Calendar,Y203,NDays&amp;"D")</f>
        <v>42348</v>
      </c>
      <c r="AA203" s="163">
        <v>7.5625362416189884E-4</v>
      </c>
      <c r="AB203" s="172">
        <v>5.6690252044688805E-4</v>
      </c>
    </row>
    <row r="204" spans="13:28" x14ac:dyDescent="0.2">
      <c r="M204" s="295" t="str">
        <v>obj_0075b#0001</v>
      </c>
      <c r="N204" s="279" t="str">
        <f>_xll.qlRateHelperQuoteName(M204)</f>
        <v>EUR8F1Y_Quote</v>
      </c>
      <c r="O204" s="276">
        <f>_xll.qlInterestRateIndexFixingDate(R204,_xll.qlRateHelperEarliestDate(M204,Trigger),)</f>
        <v>45007</v>
      </c>
      <c r="P204" s="277">
        <f>_xll.qlRateHelperQuoteValue(M204,_xll.ohTrigger(RecalcTrigger,YieldCurve))</f>
        <v>9.7300000000000008E-3</v>
      </c>
      <c r="Q204" s="275" t="str">
        <f t="shared" ref="Q204:Q221" si="22">SUBSTITUTE(SUBSTITUTE(N204,"_Quote",""),"EUR8F","")</f>
        <v>1Y</v>
      </c>
      <c r="R204" s="275" t="str">
        <f>_xll.qlSwapIndex(,"Euribor",Q204,NDays,Currency,Calendar,"1Y","mf","30/360 (Bond Basis)",IborIndex,Discounting,,_xll.ohTrigger(Trigger,RecalcTrigger))</f>
        <v>obj_009bd#0001</v>
      </c>
      <c r="S204" s="275" t="str">
        <f>_xll.qlVanillaSwapFromSwapIndex(,R204,O204)</f>
        <v>obj_00aa4#0001</v>
      </c>
      <c r="T204" s="278">
        <f>_xll.qlVanillaSwapFairRate(S204)</f>
        <v>9.7080178125854913E-3</v>
      </c>
      <c r="U204" s="292">
        <f t="shared" si="17"/>
        <v>-2.198218741450951E-5</v>
      </c>
      <c r="X204" s="176" t="str">
        <f t="shared" si="18"/>
        <v>1D</v>
      </c>
      <c r="Y204" s="164">
        <f>_xll.qlCalendarAdvance(Calendar,Y203,X204,"f",FALSE)</f>
        <v>42347</v>
      </c>
      <c r="Z204" s="188">
        <f>_xll.qlCalendarAdvance(Calendar,Y204,NDays&amp;"D")</f>
        <v>42349</v>
      </c>
      <c r="AA204" s="163">
        <v>7.5617986244561292E-4</v>
      </c>
      <c r="AB204" s="172">
        <v>5.4798913881271005E-4</v>
      </c>
    </row>
    <row r="205" spans="13:28" x14ac:dyDescent="0.2">
      <c r="M205" s="293" t="str">
        <v>obj_0079b#0001</v>
      </c>
      <c r="N205" s="176" t="str">
        <f>_xll.qlRateHelperQuoteName(M205)</f>
        <v>EUR8F2Y_Quote</v>
      </c>
      <c r="O205" s="164">
        <f>_xll.qlInterestRateIndexFixingDate(R205,_xll.qlRateHelperEarliestDate(M205,Trigger),)</f>
        <v>45007</v>
      </c>
      <c r="P205" s="191">
        <f>_xll.qlRateHelperQuoteValue(M205,_xll.ohTrigger(RecalcTrigger,YieldCurve))</f>
        <v>9.9799999999999993E-3</v>
      </c>
      <c r="Q205" s="194" t="str">
        <f t="shared" si="22"/>
        <v>2Y</v>
      </c>
      <c r="R205" s="194" t="str">
        <f>_xll.qlSwapIndex(,"Euribor",Q205,NDays,Currency,Calendar,"1Y","mf","30/360 (Bond Basis)",IborIndex,Discounting,,_xll.ohTrigger(Trigger,RecalcTrigger))</f>
        <v>obj_0093d#0001</v>
      </c>
      <c r="S205" s="194" t="str">
        <f>_xll.qlVanillaSwapFromSwapIndex(,R205,O205)</f>
        <v>obj_00b04#0001</v>
      </c>
      <c r="T205" s="181">
        <f>_xll.qlVanillaSwapFairRate(S205)</f>
        <v>9.9624915035280894E-3</v>
      </c>
      <c r="U205" s="290">
        <f t="shared" si="17"/>
        <v>-1.7508496471909871E-5</v>
      </c>
      <c r="X205" s="176" t="str">
        <f t="shared" si="18"/>
        <v>1D</v>
      </c>
      <c r="Y205" s="164">
        <f>_xll.qlCalendarAdvance(Calendar,Y204,X205,"f",FALSE)</f>
        <v>42348</v>
      </c>
      <c r="Z205" s="188">
        <f>_xll.qlCalendarAdvance(Calendar,Y205,NDays&amp;"D")</f>
        <v>42352</v>
      </c>
      <c r="AA205" s="163">
        <v>7.5918578172433392E-4</v>
      </c>
      <c r="AB205" s="172">
        <v>5.2710777686648669E-4</v>
      </c>
    </row>
    <row r="206" spans="13:28" x14ac:dyDescent="0.2">
      <c r="M206" s="293" t="str">
        <v>obj_0085d#0001</v>
      </c>
      <c r="N206" s="176" t="str">
        <f>_xll.qlRateHelperQuoteName(M206)</f>
        <v>EUR8F3Y_Quote</v>
      </c>
      <c r="O206" s="164">
        <f>_xll.qlInterestRateIndexFixingDate(R206,_xll.qlRateHelperEarliestDate(M206,Trigger),)</f>
        <v>45007</v>
      </c>
      <c r="P206" s="191">
        <f>_xll.qlRateHelperQuoteValue(M206,_xll.ohTrigger(RecalcTrigger,YieldCurve))</f>
        <v>1.023E-2</v>
      </c>
      <c r="Q206" s="194" t="str">
        <f t="shared" si="22"/>
        <v>3Y</v>
      </c>
      <c r="R206" s="194" t="str">
        <f>_xll.qlSwapIndex(,"Euribor",Q206,NDays,Currency,Calendar,"1Y","mf","30/360 (Bond Basis)",IborIndex,Discounting,,_xll.ohTrigger(Trigger,RecalcTrigger))</f>
        <v>obj_00928#0001</v>
      </c>
      <c r="S206" s="194" t="str">
        <f>_xll.qlVanillaSwapFromSwapIndex(,R206,O206)</f>
        <v>obj_00b53#0001</v>
      </c>
      <c r="T206" s="181">
        <f>_xll.qlVanillaSwapFairRate(S206)</f>
        <v>1.0210365866329577E-2</v>
      </c>
      <c r="U206" s="290">
        <f t="shared" si="17"/>
        <v>-1.9634133670422965E-5</v>
      </c>
      <c r="X206" s="176" t="str">
        <f t="shared" si="18"/>
        <v>1D</v>
      </c>
      <c r="Y206" s="164">
        <f>_xll.qlCalendarAdvance(Calendar,Y205,X206,"f",FALSE)</f>
        <v>42349</v>
      </c>
      <c r="Z206" s="188">
        <f>_xll.qlCalendarAdvance(Calendar,Y206,NDays&amp;"D")</f>
        <v>42353</v>
      </c>
      <c r="AA206" s="163">
        <v>7.6001616871410461E-4</v>
      </c>
      <c r="AB206" s="172">
        <v>5.1568435689652858E-4</v>
      </c>
    </row>
    <row r="207" spans="13:28" x14ac:dyDescent="0.2">
      <c r="M207" s="293" t="str">
        <v>obj_0080c#0001</v>
      </c>
      <c r="N207" s="176" t="str">
        <f>_xll.qlRateHelperQuoteName(M207)</f>
        <v>EUR8F4Y_Quote</v>
      </c>
      <c r="O207" s="164">
        <f>_xll.qlInterestRateIndexFixingDate(R207,_xll.qlRateHelperEarliestDate(M207,Trigger),)</f>
        <v>45007</v>
      </c>
      <c r="P207" s="191">
        <f>_xll.qlRateHelperQuoteValue(M207,_xll.ohTrigger(RecalcTrigger,YieldCurve))</f>
        <v>1.044E-2</v>
      </c>
      <c r="Q207" s="194" t="str">
        <f t="shared" si="22"/>
        <v>4Y</v>
      </c>
      <c r="R207" s="194" t="str">
        <f>_xll.qlSwapIndex(,"Euribor",Q207,NDays,Currency,Calendar,"1Y","mf","30/360 (Bond Basis)",IborIndex,Discounting,,_xll.ohTrigger(Trigger,RecalcTrigger))</f>
        <v>obj_0097d#0001</v>
      </c>
      <c r="S207" s="194" t="str">
        <f>_xll.qlVanillaSwapFromSwapIndex(,R207,O207)</f>
        <v>obj_00b12#0001</v>
      </c>
      <c r="T207" s="181">
        <f>_xll.qlVanillaSwapFairRate(S207)</f>
        <v>1.0415785395910064E-2</v>
      </c>
      <c r="U207" s="290">
        <f t="shared" ref="U207:U270" si="23">T207-P207</f>
        <v>-2.4214604089935893E-5</v>
      </c>
      <c r="X207" s="176" t="str">
        <f t="shared" si="18"/>
        <v>1D</v>
      </c>
      <c r="Y207" s="164">
        <f>_xll.qlCalendarAdvance(Calendar,Y206,X207,"f",FALSE)</f>
        <v>42352</v>
      </c>
      <c r="Z207" s="188">
        <f>_xll.qlCalendarAdvance(Calendar,Y207,NDays&amp;"D")</f>
        <v>42354</v>
      </c>
      <c r="AA207" s="163">
        <v>7.6089271462143797E-4</v>
      </c>
      <c r="AB207" s="172">
        <v>5.0367104343251867E-4</v>
      </c>
    </row>
    <row r="208" spans="13:28" x14ac:dyDescent="0.2">
      <c r="M208" s="293" t="str">
        <v>obj_00856#0001</v>
      </c>
      <c r="N208" s="176" t="str">
        <f>_xll.qlRateHelperQuoteName(M208)</f>
        <v>EUR8F5Y_Quote</v>
      </c>
      <c r="O208" s="164">
        <f>_xll.qlInterestRateIndexFixingDate(R208,_xll.qlRateHelperEarliestDate(M208,Trigger),)</f>
        <v>45007</v>
      </c>
      <c r="P208" s="191">
        <f>_xll.qlRateHelperQuoteValue(M208,_xll.ohTrigger(RecalcTrigger,YieldCurve))</f>
        <v>1.0629999999999999E-2</v>
      </c>
      <c r="Q208" s="194" t="str">
        <f t="shared" si="22"/>
        <v>5Y</v>
      </c>
      <c r="R208" s="194" t="str">
        <f>_xll.qlSwapIndex(,"Euribor",Q208,NDays,Currency,Calendar,"1Y","mf","30/360 (Bond Basis)",IborIndex,Discounting,,_xll.ohTrigger(Trigger,RecalcTrigger))</f>
        <v>obj_009f9#0001</v>
      </c>
      <c r="S208" s="194" t="str">
        <f>_xll.qlVanillaSwapFromSwapIndex(,R208,O208)</f>
        <v>obj_00b0c#0001</v>
      </c>
      <c r="T208" s="181">
        <f>_xll.qlVanillaSwapFairRate(S208)</f>
        <v>1.0571966621328569E-2</v>
      </c>
      <c r="U208" s="290">
        <f t="shared" si="23"/>
        <v>-5.8033378671430019E-5</v>
      </c>
      <c r="X208" s="176" t="str">
        <f t="shared" si="18"/>
        <v>1D</v>
      </c>
      <c r="Y208" s="164">
        <f>_xll.qlCalendarAdvance(Calendar,Y207,X208,"f",FALSE)</f>
        <v>42353</v>
      </c>
      <c r="Z208" s="188">
        <f>_xll.qlCalendarAdvance(Calendar,Y208,NDays&amp;"D")</f>
        <v>42355</v>
      </c>
      <c r="AA208" s="163">
        <v>7.6181902940282052E-4</v>
      </c>
      <c r="AB208" s="172">
        <v>4.9106783655439301E-4</v>
      </c>
    </row>
    <row r="209" spans="13:28" x14ac:dyDescent="0.2">
      <c r="M209" s="293" t="str">
        <v>obj_0073c#0001</v>
      </c>
      <c r="N209" s="176" t="str">
        <f>_xll.qlRateHelperQuoteName(M209)</f>
        <v>EUR8F6Y_Quote</v>
      </c>
      <c r="O209" s="164">
        <f>_xll.qlInterestRateIndexFixingDate(R209,_xll.qlRateHelperEarliestDate(M209,Trigger),)</f>
        <v>45007</v>
      </c>
      <c r="P209" s="191">
        <f>_xll.qlRateHelperQuoteValue(M209,_xll.ohTrigger(RecalcTrigger,YieldCurve))</f>
        <v>1.0709999999999999E-2</v>
      </c>
      <c r="Q209" s="194" t="str">
        <f t="shared" si="22"/>
        <v>6Y</v>
      </c>
      <c r="R209" s="194" t="str">
        <f>_xll.qlSwapIndex(,"Euribor",Q209,NDays,Currency,Calendar,"1Y","mf","30/360 (Bond Basis)",IborIndex,Discounting,,_xll.ohTrigger(Trigger,RecalcTrigger))</f>
        <v>obj_00952#0001</v>
      </c>
      <c r="S209" s="194" t="str">
        <f>_xll.qlVanillaSwapFromSwapIndex(,R209,O209)</f>
        <v>obj_00b08#0001</v>
      </c>
      <c r="T209" s="181">
        <f>_xll.qlVanillaSwapFairRate(S209)</f>
        <v>1.0679314318390174E-2</v>
      </c>
      <c r="U209" s="290">
        <f t="shared" si="23"/>
        <v>-3.0685681609824919E-5</v>
      </c>
      <c r="X209" s="176" t="str">
        <f t="shared" si="18"/>
        <v>1D</v>
      </c>
      <c r="Y209" s="164">
        <f>_xll.qlCalendarAdvance(Calendar,Y208,X209,"f",FALSE)</f>
        <v>42354</v>
      </c>
      <c r="Z209" s="188">
        <f>_xll.qlCalendarAdvance(Calendar,Y209,NDays&amp;"D")</f>
        <v>42356</v>
      </c>
      <c r="AA209" s="163">
        <v>7.6175683803397949E-4</v>
      </c>
      <c r="AB209" s="172">
        <v>4.6389570915295053E-4</v>
      </c>
    </row>
    <row r="210" spans="13:28" x14ac:dyDescent="0.2">
      <c r="M210" s="293" t="str">
        <v>obj_00741#0001</v>
      </c>
      <c r="N210" s="176" t="str">
        <f>_xll.qlRateHelperQuoteName(M210)</f>
        <v>EUR8F7Y_Quote</v>
      </c>
      <c r="O210" s="164">
        <f>_xll.qlInterestRateIndexFixingDate(R210,_xll.qlRateHelperEarliestDate(M210,Trigger),)</f>
        <v>45007</v>
      </c>
      <c r="P210" s="191">
        <f>_xll.qlRateHelperQuoteValue(M210,_xll.ohTrigger(RecalcTrigger,YieldCurve))</f>
        <v>1.077E-2</v>
      </c>
      <c r="Q210" s="194" t="str">
        <f t="shared" si="22"/>
        <v>7Y</v>
      </c>
      <c r="R210" s="194" t="str">
        <f>_xll.qlSwapIndex(,"Euribor",Q210,NDays,Currency,Calendar,"1Y","mf","30/360 (Bond Basis)",IborIndex,Discounting,,_xll.ohTrigger(Trigger,RecalcTrigger))</f>
        <v>obj_009b6#0001</v>
      </c>
      <c r="S210" s="194" t="str">
        <f>_xll.qlVanillaSwapFromSwapIndex(,R210,O210)</f>
        <v>obj_00a9c#0001</v>
      </c>
      <c r="T210" s="181">
        <f>_xll.qlVanillaSwapFairRate(S210)</f>
        <v>1.0753403180465929E-2</v>
      </c>
      <c r="U210" s="290">
        <f t="shared" si="23"/>
        <v>-1.659681953407148E-5</v>
      </c>
      <c r="X210" s="176" t="str">
        <f t="shared" si="18"/>
        <v>1D</v>
      </c>
      <c r="Y210" s="164">
        <f>_xll.qlCalendarAdvance(Calendar,Y209,X210,"f",FALSE)</f>
        <v>42355</v>
      </c>
      <c r="Z210" s="188">
        <f>_xll.qlCalendarAdvance(Calendar,Y210,NDays&amp;"D")</f>
        <v>42359</v>
      </c>
      <c r="AA210" s="163">
        <v>7.6609417674977285E-4</v>
      </c>
      <c r="AB210" s="172">
        <v>4.3475607570009345E-4</v>
      </c>
    </row>
    <row r="211" spans="13:28" x14ac:dyDescent="0.2">
      <c r="M211" s="293" t="str">
        <v>obj_007ae#0001</v>
      </c>
      <c r="N211" s="176" t="str">
        <f>_xll.qlRateHelperQuoteName(M211)</f>
        <v>EUR8F8Y_Quote</v>
      </c>
      <c r="O211" s="164">
        <f>_xll.qlInterestRateIndexFixingDate(R211,_xll.qlRateHelperEarliestDate(M211,Trigger),)</f>
        <v>45007</v>
      </c>
      <c r="P211" s="191">
        <f>_xll.qlRateHelperQuoteValue(M211,_xll.ohTrigger(RecalcTrigger,YieldCurve))</f>
        <v>1.081E-2</v>
      </c>
      <c r="Q211" s="194" t="str">
        <f t="shared" si="22"/>
        <v>8Y</v>
      </c>
      <c r="R211" s="194" t="str">
        <f>_xll.qlSwapIndex(,"Euribor",Q211,NDays,Currency,Calendar,"1Y","mf","30/360 (Bond Basis)",IborIndex,Discounting,,_xll.ohTrigger(Trigger,RecalcTrigger))</f>
        <v>obj_00915#0001</v>
      </c>
      <c r="S211" s="194" t="str">
        <f>_xll.qlVanillaSwapFromSwapIndex(,R211,O211)</f>
        <v>obj_00a66#0001</v>
      </c>
      <c r="T211" s="181">
        <f>_xll.qlVanillaSwapFairRate(S211)</f>
        <v>1.0800760932743826E-2</v>
      </c>
      <c r="U211" s="290">
        <f t="shared" si="23"/>
        <v>-9.2390672561740161E-6</v>
      </c>
      <c r="X211" s="176" t="str">
        <f t="shared" si="18"/>
        <v>1D</v>
      </c>
      <c r="Y211" s="164">
        <f>_xll.qlCalendarAdvance(Calendar,Y210,X211,"f",FALSE)</f>
        <v>42356</v>
      </c>
      <c r="Z211" s="188">
        <f>_xll.qlCalendarAdvance(Calendar,Y211,NDays&amp;"D")</f>
        <v>42360</v>
      </c>
      <c r="AA211" s="163">
        <v>7.6732348562479546E-4</v>
      </c>
      <c r="AB211" s="172">
        <v>4.1920340255074962E-4</v>
      </c>
    </row>
    <row r="212" spans="13:28" x14ac:dyDescent="0.2">
      <c r="M212" s="293" t="str">
        <v>obj_00854#0001</v>
      </c>
      <c r="N212" s="176" t="str">
        <f>_xll.qlRateHelperQuoteName(M212)</f>
        <v>EUR8F9Y_Quote</v>
      </c>
      <c r="O212" s="164">
        <f>_xll.qlInterestRateIndexFixingDate(R212,_xll.qlRateHelperEarliestDate(M212,Trigger),)</f>
        <v>45007</v>
      </c>
      <c r="P212" s="191">
        <f>_xll.qlRateHelperQuoteValue(M212,_xll.ohTrigger(RecalcTrigger,YieldCurve))</f>
        <v>1.0869999999999999E-2</v>
      </c>
      <c r="Q212" s="194" t="str">
        <f t="shared" si="22"/>
        <v>9Y</v>
      </c>
      <c r="R212" s="194" t="str">
        <f>_xll.qlSwapIndex(,"Euribor",Q212,NDays,Currency,Calendar,"1Y","mf","30/360 (Bond Basis)",IborIndex,Discounting,,_xll.ohTrigger(Trigger,RecalcTrigger))</f>
        <v>obj_009e5#0001</v>
      </c>
      <c r="S212" s="194" t="str">
        <f>_xll.qlVanillaSwapFromSwapIndex(,R212,O212)</f>
        <v>obj_00b5a#0001</v>
      </c>
      <c r="T212" s="181">
        <f>_xll.qlVanillaSwapFairRate(S212)</f>
        <v>1.0831501261199717E-2</v>
      </c>
      <c r="U212" s="290">
        <f t="shared" si="23"/>
        <v>-3.8498738800282761E-5</v>
      </c>
      <c r="X212" s="176" t="str">
        <f t="shared" si="18"/>
        <v>1D</v>
      </c>
      <c r="Y212" s="164">
        <f>_xll.qlCalendarAdvance(Calendar,Y211,X212,"f",FALSE)</f>
        <v>42359</v>
      </c>
      <c r="Z212" s="188">
        <f>_xll.qlCalendarAdvance(Calendar,Y212,NDays&amp;"D")</f>
        <v>42361</v>
      </c>
      <c r="AA212" s="163">
        <v>7.6862422335783785E-4</v>
      </c>
      <c r="AB212" s="172">
        <v>4.0306083630703426E-4</v>
      </c>
    </row>
    <row r="213" spans="13:28" x14ac:dyDescent="0.2">
      <c r="M213" s="293" t="str">
        <v>obj_00740#0001</v>
      </c>
      <c r="N213" s="176" t="str">
        <f>_xll.qlRateHelperQuoteName(M213)</f>
        <v>EUR8F10Y_Quote</v>
      </c>
      <c r="O213" s="164">
        <f>_xll.qlInterestRateIndexFixingDate(R213,_xll.qlRateHelperEarliestDate(M213,Trigger),)</f>
        <v>45007</v>
      </c>
      <c r="P213" s="191">
        <f>_xll.qlRateHelperQuoteValue(M213,_xll.ohTrigger(RecalcTrigger,YieldCurve))</f>
        <v>1.0860000000000002E-2</v>
      </c>
      <c r="Q213" s="194" t="str">
        <f t="shared" si="22"/>
        <v>10Y</v>
      </c>
      <c r="R213" s="194" t="str">
        <f>_xll.qlSwapIndex(,"Euribor",Q213,NDays,Currency,Calendar,"1Y","mf","30/360 (Bond Basis)",IborIndex,Discounting,,_xll.ohTrigger(Trigger,RecalcTrigger))</f>
        <v>obj_00977#0001</v>
      </c>
      <c r="S213" s="194" t="str">
        <f>_xll.qlVanillaSwapFromSwapIndex(,R213,O213)</f>
        <v>obj_00a2e#0001</v>
      </c>
      <c r="T213" s="181">
        <f>_xll.qlVanillaSwapFairRate(S213)</f>
        <v>1.0843658513532323E-2</v>
      </c>
      <c r="U213" s="290">
        <f t="shared" si="23"/>
        <v>-1.6341486467678218E-5</v>
      </c>
      <c r="X213" s="176" t="str">
        <f t="shared" ref="X213:X276" si="24">X212</f>
        <v>1D</v>
      </c>
      <c r="Y213" s="164">
        <f>_xll.qlCalendarAdvance(Calendar,Y212,X213,"f",FALSE)</f>
        <v>42360</v>
      </c>
      <c r="Z213" s="188">
        <f>_xll.qlCalendarAdvance(Calendar,Y213,NDays&amp;"D")</f>
        <v>42362</v>
      </c>
      <c r="AA213" s="163">
        <v>7.7000000000017408E-4</v>
      </c>
      <c r="AB213" s="172">
        <v>3.6434047888667109E-4</v>
      </c>
    </row>
    <row r="214" spans="13:28" x14ac:dyDescent="0.2">
      <c r="M214" s="293" t="str">
        <v>obj_00791#0001</v>
      </c>
      <c r="N214" s="176" t="str">
        <f>_xll.qlRateHelperQuoteName(M214)</f>
        <v>EUR8F11Y_Quote</v>
      </c>
      <c r="O214" s="164">
        <f>_xll.qlInterestRateIndexFixingDate(R214,_xll.qlRateHelperEarliestDate(M214,Trigger),)</f>
        <v>45007</v>
      </c>
      <c r="P214" s="191">
        <f>_xll.qlRateHelperQuoteValue(M214,_xll.ohTrigger(RecalcTrigger,YieldCurve))</f>
        <v>1.0869999999999999E-2</v>
      </c>
      <c r="Q214" s="194" t="str">
        <f t="shared" si="22"/>
        <v>11Y</v>
      </c>
      <c r="R214" s="194" t="str">
        <f>_xll.qlSwapIndex(,"Euribor",Q214,NDays,Currency,Calendar,"1Y","mf","30/360 (Bond Basis)",IborIndex,Discounting,,_xll.ohTrigger(Trigger,RecalcTrigger))</f>
        <v>obj_008ee#0002</v>
      </c>
      <c r="S214" s="194" t="str">
        <f>_xll.qlVanillaSwapFromSwapIndex(,R214,O214)</f>
        <v>obj_00a35#0001</v>
      </c>
      <c r="T214" s="181">
        <f>_xll.qlVanillaSwapFairRate(S214)</f>
        <v>1.0844058619050904E-2</v>
      </c>
      <c r="U214" s="290">
        <f t="shared" si="23"/>
        <v>-2.5941380949094997E-5</v>
      </c>
      <c r="X214" s="176" t="str">
        <f t="shared" si="24"/>
        <v>1D</v>
      </c>
      <c r="Y214" s="164">
        <f>_xll.qlCalendarAdvance(Calendar,Y213,X214,"f",FALSE)</f>
        <v>42361</v>
      </c>
      <c r="Z214" s="188">
        <f>_xll.qlCalendarAdvance(Calendar,Y214,NDays&amp;"D")</f>
        <v>42366</v>
      </c>
      <c r="AA214" s="163">
        <v>7.7623420674183361E-4</v>
      </c>
      <c r="AB214" s="172">
        <v>3.309798089201621E-4</v>
      </c>
    </row>
    <row r="215" spans="13:28" x14ac:dyDescent="0.2">
      <c r="M215" s="293" t="str">
        <v>obj_00833#0001</v>
      </c>
      <c r="N215" s="176" t="str">
        <f>_xll.qlRateHelperQuoteName(M215)</f>
        <v>EUR8F12Y_Quote</v>
      </c>
      <c r="O215" s="164">
        <f>_xll.qlInterestRateIndexFixingDate(R215,_xll.qlRateHelperEarliestDate(M215,Trigger),)</f>
        <v>45007</v>
      </c>
      <c r="P215" s="191">
        <f>_xll.qlRateHelperQuoteValue(M215,_xll.ohTrigger(RecalcTrigger,YieldCurve))</f>
        <v>1.0860000000000002E-2</v>
      </c>
      <c r="Q215" s="194" t="str">
        <f t="shared" si="22"/>
        <v>12Y</v>
      </c>
      <c r="R215" s="194" t="str">
        <f>_xll.qlSwapIndex(,"Euribor",Q215,NDays,Currency,Calendar,"1Y","mf","30/360 (Bond Basis)",IborIndex,Discounting,,_xll.ohTrigger(Trigger,RecalcTrigger))</f>
        <v>obj_009c9#0001</v>
      </c>
      <c r="S215" s="194" t="str">
        <f>_xll.qlVanillaSwapFromSwapIndex(,R215,O215)</f>
        <v>obj_00ad1#0001</v>
      </c>
      <c r="T215" s="181">
        <f>_xll.qlVanillaSwapFairRate(S215)</f>
        <v>1.0834644313875897E-2</v>
      </c>
      <c r="U215" s="290">
        <f t="shared" si="23"/>
        <v>-2.5355686124104923E-5</v>
      </c>
      <c r="X215" s="176" t="str">
        <f t="shared" si="24"/>
        <v>1D</v>
      </c>
      <c r="Y215" s="164">
        <f>_xll.qlCalendarAdvance(Calendar,Y214,X215,"f",FALSE)</f>
        <v>42362</v>
      </c>
      <c r="Z215" s="188">
        <f>_xll.qlCalendarAdvance(Calendar,Y215,NDays&amp;"D")</f>
        <v>42367</v>
      </c>
      <c r="AA215" s="163">
        <v>7.7795212724582753E-4</v>
      </c>
      <c r="AB215" s="172">
        <v>3.1989470304694123E-4</v>
      </c>
    </row>
    <row r="216" spans="13:28" x14ac:dyDescent="0.2">
      <c r="M216" s="293" t="str">
        <v>obj_0083d#0001</v>
      </c>
      <c r="N216" s="176" t="str">
        <f>_xll.qlRateHelperQuoteName(M216)</f>
        <v>EUR8F13Y_Quote</v>
      </c>
      <c r="O216" s="164">
        <f>_xll.qlInterestRateIndexFixingDate(R216,_xll.qlRateHelperEarliestDate(M216,Trigger),)</f>
        <v>45007</v>
      </c>
      <c r="P216" s="191">
        <f>_xll.qlRateHelperQuoteValue(M216,_xll.ohTrigger(RecalcTrigger,YieldCurve))</f>
        <v>1.085E-2</v>
      </c>
      <c r="Q216" s="194" t="str">
        <f t="shared" si="22"/>
        <v>13Y</v>
      </c>
      <c r="R216" s="194" t="str">
        <f>_xll.qlSwapIndex(,"Euribor",Q216,NDays,Currency,Calendar,"1Y","mf","30/360 (Bond Basis)",IborIndex,Discounting,,_xll.ohTrigger(Trigger,RecalcTrigger))</f>
        <v>obj_0090f#0001</v>
      </c>
      <c r="S216" s="194" t="str">
        <f>_xll.qlVanillaSwapFromSwapIndex(,R216,O216)</f>
        <v>obj_00ac6#0001</v>
      </c>
      <c r="T216" s="181">
        <f>_xll.qlVanillaSwapFairRate(S216)</f>
        <v>1.0820122825023365E-2</v>
      </c>
      <c r="U216" s="290">
        <f t="shared" si="23"/>
        <v>-2.9877174976634946E-5</v>
      </c>
      <c r="X216" s="176" t="str">
        <f t="shared" si="24"/>
        <v>1D</v>
      </c>
      <c r="Y216" s="164">
        <f>_xll.qlCalendarAdvance(Calendar,Y215,X216,"f",FALSE)</f>
        <v>42366</v>
      </c>
      <c r="Z216" s="188">
        <f>_xll.qlCalendarAdvance(Calendar,Y216,NDays&amp;"D")</f>
        <v>42368</v>
      </c>
      <c r="AA216" s="163">
        <v>7.7972386093891756E-4</v>
      </c>
      <c r="AB216" s="172">
        <v>3.0993906745102606E-4</v>
      </c>
    </row>
    <row r="217" spans="13:28" x14ac:dyDescent="0.2">
      <c r="M217" s="293" t="str">
        <v>obj_0074b#0001</v>
      </c>
      <c r="N217" s="176" t="str">
        <f>_xll.qlRateHelperQuoteName(M217)</f>
        <v>EUR8F14Y_Quote</v>
      </c>
      <c r="O217" s="164">
        <f>_xll.qlInterestRateIndexFixingDate(R217,_xll.qlRateHelperEarliestDate(M217,Trigger),)</f>
        <v>45007</v>
      </c>
      <c r="P217" s="191">
        <f>_xll.qlRateHelperQuoteValue(M217,_xll.ohTrigger(RecalcTrigger,YieldCurve))</f>
        <v>1.0820000000000001E-2</v>
      </c>
      <c r="Q217" s="194" t="str">
        <f t="shared" si="22"/>
        <v>14Y</v>
      </c>
      <c r="R217" s="194" t="str">
        <f>_xll.qlSwapIndex(,"Euribor",Q217,NDays,Currency,Calendar,"1Y","mf","30/360 (Bond Basis)",IborIndex,Discounting,,_xll.ohTrigger(Trigger,RecalcTrigger))</f>
        <v>obj_00912#0001</v>
      </c>
      <c r="S217" s="194" t="str">
        <f>_xll.qlVanillaSwapFromSwapIndex(,R217,O217)</f>
        <v>obj_00add#0001</v>
      </c>
      <c r="T217" s="181">
        <f>_xll.qlVanillaSwapFairRate(S217)</f>
        <v>1.0799387782342507E-2</v>
      </c>
      <c r="U217" s="290">
        <f t="shared" si="23"/>
        <v>-2.0612217657494172E-5</v>
      </c>
      <c r="X217" s="176" t="str">
        <f t="shared" si="24"/>
        <v>1D</v>
      </c>
      <c r="Y217" s="164">
        <f>_xll.qlCalendarAdvance(Calendar,Y216,X217,"f",FALSE)</f>
        <v>42367</v>
      </c>
      <c r="Z217" s="188">
        <f>_xll.qlCalendarAdvance(Calendar,Y217,NDays&amp;"D")</f>
        <v>42369</v>
      </c>
      <c r="AA217" s="163">
        <v>7.8230442254958803E-4</v>
      </c>
      <c r="AB217" s="172">
        <v>2.9817868366621703E-3</v>
      </c>
    </row>
    <row r="218" spans="13:28" x14ac:dyDescent="0.2">
      <c r="M218" s="293" t="str">
        <v>obj_00834#0001</v>
      </c>
      <c r="N218" s="176" t="str">
        <f>_xll.qlRateHelperQuoteName(M218)</f>
        <v>EUR8F15Y_Quote</v>
      </c>
      <c r="O218" s="164">
        <f>_xll.qlInterestRateIndexFixingDate(R218,_xll.qlRateHelperEarliestDate(M218,Trigger),)</f>
        <v>45007</v>
      </c>
      <c r="P218" s="191">
        <f>_xll.qlRateHelperQuoteValue(M218,_xll.ohTrigger(RecalcTrigger,YieldCurve))</f>
        <v>1.0789999999999999E-2</v>
      </c>
      <c r="Q218" s="194" t="str">
        <f t="shared" si="22"/>
        <v>15Y</v>
      </c>
      <c r="R218" s="194" t="str">
        <f>_xll.qlSwapIndex(,"Euribor",Q218,NDays,Currency,Calendar,"1Y","mf","30/360 (Bond Basis)",IborIndex,Discounting,,_xll.ohTrigger(Trigger,RecalcTrigger))</f>
        <v>obj_0091e#0001</v>
      </c>
      <c r="S218" s="194" t="str">
        <f>_xll.qlVanillaSwapFromSwapIndex(,R218,O218)</f>
        <v>obj_00af0#0001</v>
      </c>
      <c r="T218" s="181">
        <f>_xll.qlVanillaSwapFairRate(S218)</f>
        <v>1.0778204045214406E-2</v>
      </c>
      <c r="U218" s="290">
        <f t="shared" si="23"/>
        <v>-1.179595478559281E-5</v>
      </c>
      <c r="X218" s="176" t="str">
        <f t="shared" si="24"/>
        <v>1D</v>
      </c>
      <c r="Y218" s="164">
        <f>_xll.qlCalendarAdvance(Calendar,Y217,X218,"f",FALSE)</f>
        <v>42368</v>
      </c>
      <c r="Z218" s="188">
        <f>_xll.qlCalendarAdvance(Calendar,Y218,NDays&amp;"D")</f>
        <v>42373</v>
      </c>
      <c r="AA218" s="163">
        <v>7.3086181864194023E-4</v>
      </c>
      <c r="AB218" s="172">
        <v>2.7710294107308187E-4</v>
      </c>
    </row>
    <row r="219" spans="13:28" x14ac:dyDescent="0.2">
      <c r="M219" s="293" t="str">
        <v>obj_00852#0001</v>
      </c>
      <c r="N219" s="176" t="str">
        <f>_xll.qlRateHelperQuoteName(M219)</f>
        <v>EUR8F20Y_Quote</v>
      </c>
      <c r="O219" s="164">
        <f>_xll.qlInterestRateIndexFixingDate(R219,_xll.qlRateHelperEarliestDate(M219,Trigger),)</f>
        <v>45007</v>
      </c>
      <c r="P219" s="191">
        <f>_xll.qlRateHelperQuoteValue(M219,_xll.ohTrigger(RecalcTrigger,YieldCurve))</f>
        <v>1.0740000000000001E-2</v>
      </c>
      <c r="Q219" s="194" t="str">
        <f t="shared" si="22"/>
        <v>20Y</v>
      </c>
      <c r="R219" s="194" t="str">
        <f>_xll.qlSwapIndex(,"Euribor",Q219,NDays,Currency,Calendar,"1Y","mf","30/360 (Bond Basis)",IborIndex,Discounting,,_xll.ohTrigger(Trigger,RecalcTrigger))</f>
        <v>obj_0098e#0001</v>
      </c>
      <c r="S219" s="194" t="str">
        <f>_xll.qlVanillaSwapFromSwapIndex(,R219,O219)</f>
        <v>obj_00a8c#0001</v>
      </c>
      <c r="T219" s="181">
        <f>_xll.qlVanillaSwapFairRate(S219)</f>
        <v>1.0719644878886759E-2</v>
      </c>
      <c r="U219" s="290">
        <f t="shared" si="23"/>
        <v>-2.0355121113242378E-5</v>
      </c>
      <c r="X219" s="176" t="str">
        <f t="shared" si="24"/>
        <v>1D</v>
      </c>
      <c r="Y219" s="164">
        <f>_xll.qlCalendarAdvance(Calendar,Y218,X219,"f",FALSE)</f>
        <v>42369</v>
      </c>
      <c r="Z219" s="188">
        <f>_xll.qlCalendarAdvance(Calendar,Y219,NDays&amp;"D")</f>
        <v>42374</v>
      </c>
      <c r="AA219" s="163">
        <v>7.3286253390002145E-4</v>
      </c>
      <c r="AB219" s="172">
        <v>2.7392412578208791E-4</v>
      </c>
    </row>
    <row r="220" spans="13:28" x14ac:dyDescent="0.2">
      <c r="M220" s="293" t="str">
        <v>obj_00858#0001</v>
      </c>
      <c r="N220" s="176" t="str">
        <f>_xll.qlRateHelperQuoteName(M220)</f>
        <v>EUR8F25Y_Quote</v>
      </c>
      <c r="O220" s="164">
        <f>_xll.qlInterestRateIndexFixingDate(R220,_xll.qlRateHelperEarliestDate(M220,Trigger),)</f>
        <v>45007</v>
      </c>
      <c r="P220" s="191">
        <f>_xll.qlRateHelperQuoteValue(M220,_xll.ohTrigger(RecalcTrigger,YieldCurve))</f>
        <v>1.068E-2</v>
      </c>
      <c r="Q220" s="194" t="str">
        <f t="shared" si="22"/>
        <v>25Y</v>
      </c>
      <c r="R220" s="194" t="str">
        <f>_xll.qlSwapIndex(,"Euribor",Q220,NDays,Currency,Calendar,"1Y","mf","30/360 (Bond Basis)",IborIndex,Discounting,,_xll.ohTrigger(Trigger,RecalcTrigger))</f>
        <v>obj_00919#0001</v>
      </c>
      <c r="S220" s="194" t="str">
        <f>_xll.qlVanillaSwapFromSwapIndex(,R220,O220)</f>
        <v>obj_00b35#0001</v>
      </c>
      <c r="T220" s="181">
        <f>_xll.qlVanillaSwapFairRate(S220)</f>
        <v>1.0661935703202655E-2</v>
      </c>
      <c r="U220" s="290">
        <f t="shared" si="23"/>
        <v>-1.8064296797345308E-5</v>
      </c>
      <c r="X220" s="176" t="str">
        <f t="shared" si="24"/>
        <v>1D</v>
      </c>
      <c r="Y220" s="164">
        <f>_xll.qlCalendarAdvance(Calendar,Y219,X220,"f",FALSE)</f>
        <v>42373</v>
      </c>
      <c r="Z220" s="188">
        <f>_xll.qlCalendarAdvance(Calendar,Y220,NDays&amp;"D")</f>
        <v>42375</v>
      </c>
      <c r="AA220" s="163">
        <v>7.3488118201374278E-4</v>
      </c>
      <c r="AB220" s="172">
        <v>2.7187478020884726E-4</v>
      </c>
    </row>
    <row r="221" spans="13:28" ht="12" thickBot="1" x14ac:dyDescent="0.25">
      <c r="M221" s="294" t="str">
        <v>obj_007d3#0001</v>
      </c>
      <c r="N221" s="177" t="str">
        <f>_xll.qlRateHelperQuoteName(M221)</f>
        <v>EUR8F30Y_Quote</v>
      </c>
      <c r="O221" s="174">
        <f>_xll.qlInterestRateIndexFixingDate(R221,_xll.qlRateHelperEarliestDate(M221,Trigger),)</f>
        <v>45007</v>
      </c>
      <c r="P221" s="192">
        <f>_xll.qlRateHelperQuoteValue(M221,_xll.ohTrigger(RecalcTrigger,YieldCurve))</f>
        <v>1.0589999999999999E-2</v>
      </c>
      <c r="Q221" s="195" t="str">
        <f t="shared" si="22"/>
        <v>30Y</v>
      </c>
      <c r="R221" s="195" t="str">
        <f>_xll.qlSwapIndex(,"Euribor",Q221,NDays,Currency,Calendar,"1Y","mf","30/360 (Bond Basis)",IborIndex,Discounting,,_xll.ohTrigger(Trigger,RecalcTrigger))</f>
        <v>obj_008f3#0002</v>
      </c>
      <c r="S221" s="195" t="str">
        <f>_xll.qlVanillaSwapFromSwapIndex(,R221,O221)</f>
        <v>obj_00af4#0001</v>
      </c>
      <c r="T221" s="183">
        <f>_xll.qlVanillaSwapFairRate(S221)</f>
        <v>1.0567796316278548E-2</v>
      </c>
      <c r="U221" s="291">
        <f t="shared" si="23"/>
        <v>-2.2203683721451137E-5</v>
      </c>
      <c r="X221" s="176" t="str">
        <f t="shared" si="24"/>
        <v>1D</v>
      </c>
      <c r="Y221" s="164">
        <f>_xll.qlCalendarAdvance(Calendar,Y220,X221,"f",FALSE)</f>
        <v>42374</v>
      </c>
      <c r="Z221" s="188">
        <f>_xll.qlCalendarAdvance(Calendar,Y221,NDays&amp;"D")</f>
        <v>42376</v>
      </c>
      <c r="AA221" s="163">
        <v>7.3691276853341502E-4</v>
      </c>
      <c r="AB221" s="172">
        <v>2.7095490451323201E-4</v>
      </c>
    </row>
    <row r="222" spans="13:28" x14ac:dyDescent="0.2">
      <c r="M222" s="295" t="str">
        <v>obj_00742#0001</v>
      </c>
      <c r="N222" s="279" t="str">
        <f>_xll.qlRateHelperQuoteName(M222)</f>
        <v>EUR9F1Y_Quote</v>
      </c>
      <c r="O222" s="276">
        <f>_xll.qlInterestRateIndexFixingDate(R222,_xll.qlRateHelperEarliestDate(M222,Trigger),)</f>
        <v>45372</v>
      </c>
      <c r="P222" s="277">
        <f>_xll.qlRateHelperQuoteValue(M222,_xll.ohTrigger(RecalcTrigger,YieldCurve))</f>
        <v>1.0240000000000001E-2</v>
      </c>
      <c r="Q222" s="275" t="str">
        <f t="shared" ref="Q222:Q239" si="25">SUBSTITUTE(SUBSTITUTE(N222,"_Quote",""),"EUR9F","")</f>
        <v>1Y</v>
      </c>
      <c r="R222" s="275" t="str">
        <f>_xll.qlSwapIndex(,"Euribor",Q222,NDays,Currency,Calendar,"1Y","mf","30/360 (Bond Basis)",IborIndex,Discounting,,_xll.ohTrigger(Trigger,RecalcTrigger))</f>
        <v>obj_009f1#0001</v>
      </c>
      <c r="S222" s="275" t="str">
        <f>_xll.qlVanillaSwapFromSwapIndex(,R222,O222)</f>
        <v>obj_00a5e#0001</v>
      </c>
      <c r="T222" s="278">
        <f>_xll.qlVanillaSwapFairRate(S222)</f>
        <v>1.0220770427049362E-2</v>
      </c>
      <c r="U222" s="292">
        <f t="shared" si="23"/>
        <v>-1.9229572950639137E-5</v>
      </c>
      <c r="X222" s="176" t="str">
        <f t="shared" si="24"/>
        <v>1D</v>
      </c>
      <c r="Y222" s="164">
        <f>_xll.qlCalendarAdvance(Calendar,Y221,X222,"f",FALSE)</f>
        <v>42375</v>
      </c>
      <c r="Z222" s="188">
        <f>_xll.qlCalendarAdvance(Calendar,Y222,NDays&amp;"D")</f>
        <v>42377</v>
      </c>
      <c r="AA222" s="163">
        <v>7.3895229898694964E-4</v>
      </c>
      <c r="AB222" s="172">
        <v>2.7288025958860374E-4</v>
      </c>
    </row>
    <row r="223" spans="13:28" x14ac:dyDescent="0.2">
      <c r="M223" s="293" t="str">
        <v>obj_00847#0001</v>
      </c>
      <c r="N223" s="176" t="str">
        <f>_xll.qlRateHelperQuoteName(M223)</f>
        <v>EUR9F2Y_Quote</v>
      </c>
      <c r="O223" s="164">
        <f>_xll.qlInterestRateIndexFixingDate(R223,_xll.qlRateHelperEarliestDate(M223,Trigger),)</f>
        <v>45372</v>
      </c>
      <c r="P223" s="191">
        <f>_xll.qlRateHelperQuoteValue(M223,_xll.ohTrigger(RecalcTrigger,YieldCurve))</f>
        <v>1.048E-2</v>
      </c>
      <c r="Q223" s="194" t="str">
        <f t="shared" si="25"/>
        <v>2Y</v>
      </c>
      <c r="R223" s="194" t="str">
        <f>_xll.qlSwapIndex(,"Euribor",Q223,NDays,Currency,Calendar,"1Y","mf","30/360 (Bond Basis)",IborIndex,Discounting,,_xll.ohTrigger(Trigger,RecalcTrigger))</f>
        <v>obj_008dc#0002</v>
      </c>
      <c r="S223" s="194" t="str">
        <f>_xll.qlVanillaSwapFromSwapIndex(,R223,O223)</f>
        <v>obj_00a7d#0001</v>
      </c>
      <c r="T223" s="181">
        <f>_xll.qlVanillaSwapFairRate(S223)</f>
        <v>1.0466066211610701E-2</v>
      </c>
      <c r="U223" s="290">
        <f t="shared" si="23"/>
        <v>-1.3933788389298984E-5</v>
      </c>
      <c r="X223" s="176" t="str">
        <f t="shared" si="24"/>
        <v>1D</v>
      </c>
      <c r="Y223" s="164">
        <f>_xll.qlCalendarAdvance(Calendar,Y222,X223,"f",FALSE)</f>
        <v>42376</v>
      </c>
      <c r="Z223" s="188">
        <f>_xll.qlCalendarAdvance(Calendar,Y223,NDays&amp;"D")</f>
        <v>42380</v>
      </c>
      <c r="AA223" s="163">
        <v>7.4506860893601044E-4</v>
      </c>
      <c r="AB223" s="172">
        <v>2.7857010042708907E-4</v>
      </c>
    </row>
    <row r="224" spans="13:28" x14ac:dyDescent="0.2">
      <c r="M224" s="293" t="str">
        <v>obj_0078c#0001</v>
      </c>
      <c r="N224" s="176" t="str">
        <f>_xll.qlRateHelperQuoteName(M224)</f>
        <v>EUR9F3Y_Quote</v>
      </c>
      <c r="O224" s="164">
        <f>_xll.qlInterestRateIndexFixingDate(R224,_xll.qlRateHelperEarliestDate(M224,Trigger),)</f>
        <v>45372</v>
      </c>
      <c r="P224" s="191">
        <f>_xll.qlRateHelperQuoteValue(M224,_xll.ohTrigger(RecalcTrigger,YieldCurve))</f>
        <v>1.068E-2</v>
      </c>
      <c r="Q224" s="194" t="str">
        <f t="shared" si="25"/>
        <v>3Y</v>
      </c>
      <c r="R224" s="194" t="str">
        <f>_xll.qlSwapIndex(,"Euribor",Q224,NDays,Currency,Calendar,"1Y","mf","30/360 (Bond Basis)",IborIndex,Discounting,,_xll.ohTrigger(Trigger,RecalcTrigger))</f>
        <v>obj_0097e#0001</v>
      </c>
      <c r="S224" s="194" t="str">
        <f>_xll.qlVanillaSwapFromSwapIndex(,R224,O224)</f>
        <v>obj_00adb#0001</v>
      </c>
      <c r="T224" s="181">
        <f>_xll.qlVanillaSwapFairRate(S224)</f>
        <v>1.065679613710336E-2</v>
      </c>
      <c r="U224" s="290">
        <f t="shared" si="23"/>
        <v>-2.3203862896640712E-5</v>
      </c>
      <c r="X224" s="176" t="str">
        <f t="shared" si="24"/>
        <v>1D</v>
      </c>
      <c r="Y224" s="164">
        <f>_xll.qlCalendarAdvance(Calendar,Y223,X224,"f",FALSE)</f>
        <v>42377</v>
      </c>
      <c r="Z224" s="188">
        <f>_xll.qlCalendarAdvance(Calendar,Y224,NDays&amp;"D")</f>
        <v>42381</v>
      </c>
      <c r="AA224" s="163">
        <v>7.47089970007063E-4</v>
      </c>
      <c r="AB224" s="172">
        <v>2.8329757411960088E-4</v>
      </c>
    </row>
    <row r="225" spans="13:28" x14ac:dyDescent="0.2">
      <c r="M225" s="293" t="str">
        <v>obj_00749#0001</v>
      </c>
      <c r="N225" s="176" t="str">
        <f>_xll.qlRateHelperQuoteName(M225)</f>
        <v>EUR9F4Y_Quote</v>
      </c>
      <c r="O225" s="164">
        <f>_xll.qlInterestRateIndexFixingDate(R225,_xll.qlRateHelperEarliestDate(M225,Trigger),)</f>
        <v>45372</v>
      </c>
      <c r="P225" s="191">
        <f>_xll.qlRateHelperQuoteValue(M225,_xll.ohTrigger(RecalcTrigger,YieldCurve))</f>
        <v>1.085E-2</v>
      </c>
      <c r="Q225" s="194" t="str">
        <f t="shared" si="25"/>
        <v>4Y</v>
      </c>
      <c r="R225" s="194" t="str">
        <f>_xll.qlSwapIndex(,"Euribor",Q225,NDays,Currency,Calendar,"1Y","mf","30/360 (Bond Basis)",IborIndex,Discounting,,_xll.ohTrigger(Trigger,RecalcTrigger))</f>
        <v>obj_009d6#0001</v>
      </c>
      <c r="S225" s="194" t="str">
        <f>_xll.qlVanillaSwapFromSwapIndex(,R225,O225)</f>
        <v>obj_00b6d#0001</v>
      </c>
      <c r="T225" s="181">
        <f>_xll.qlVanillaSwapFairRate(S225)</f>
        <v>1.07938923777103E-2</v>
      </c>
      <c r="U225" s="290">
        <f t="shared" si="23"/>
        <v>-5.6107622289700357E-5</v>
      </c>
      <c r="X225" s="176" t="str">
        <f t="shared" si="24"/>
        <v>1D</v>
      </c>
      <c r="Y225" s="164">
        <f>_xll.qlCalendarAdvance(Calendar,Y224,X225,"f",FALSE)</f>
        <v>42380</v>
      </c>
      <c r="Z225" s="188">
        <f>_xll.qlCalendarAdvance(Calendar,Y225,NDays&amp;"D")</f>
        <v>42382</v>
      </c>
      <c r="AA225" s="163">
        <v>7.4909430235023725E-4</v>
      </c>
      <c r="AB225" s="172">
        <v>2.891545176897381E-4</v>
      </c>
    </row>
    <row r="226" spans="13:28" x14ac:dyDescent="0.2">
      <c r="M226" s="293" t="str">
        <v>obj_007c3#0001</v>
      </c>
      <c r="N226" s="176" t="str">
        <f>_xll.qlRateHelperQuoteName(M226)</f>
        <v>EUR9F5Y_Quote</v>
      </c>
      <c r="O226" s="164">
        <f>_xll.qlInterestRateIndexFixingDate(R226,_xll.qlRateHelperEarliestDate(M226,Trigger),)</f>
        <v>45372</v>
      </c>
      <c r="P226" s="191">
        <f>_xll.qlRateHelperQuoteValue(M226,_xll.ohTrigger(RecalcTrigger,YieldCurve))</f>
        <v>1.091E-2</v>
      </c>
      <c r="Q226" s="194" t="str">
        <f t="shared" si="25"/>
        <v>5Y</v>
      </c>
      <c r="R226" s="194" t="str">
        <f>_xll.qlSwapIndex(,"Euribor",Q226,NDays,Currency,Calendar,"1Y","mf","30/360 (Bond Basis)",IborIndex,Discounting,,_xll.ohTrigger(Trigger,RecalcTrigger))</f>
        <v>obj_009c5#0001</v>
      </c>
      <c r="S226" s="194" t="str">
        <f>_xll.qlVanillaSwapFromSwapIndex(,R226,O226)</f>
        <v>obj_00a5b#0001</v>
      </c>
      <c r="T226" s="181">
        <f>_xll.qlVanillaSwapFairRate(S226)</f>
        <v>1.0878982206018356E-2</v>
      </c>
      <c r="U226" s="290">
        <f t="shared" si="23"/>
        <v>-3.1017793981643824E-5</v>
      </c>
      <c r="X226" s="176" t="str">
        <f t="shared" si="24"/>
        <v>1D</v>
      </c>
      <c r="Y226" s="164">
        <f>_xll.qlCalendarAdvance(Calendar,Y225,X226,"f",FALSE)</f>
        <v>42381</v>
      </c>
      <c r="Z226" s="188">
        <f>_xll.qlCalendarAdvance(Calendar,Y226,NDays&amp;"D")</f>
        <v>42383</v>
      </c>
      <c r="AA226" s="163">
        <v>7.5107661137222286E-4</v>
      </c>
      <c r="AB226" s="172">
        <v>2.9614093145724496E-4</v>
      </c>
    </row>
    <row r="227" spans="13:28" x14ac:dyDescent="0.2">
      <c r="M227" s="293" t="str">
        <v>obj_007e4#0001</v>
      </c>
      <c r="N227" s="176" t="str">
        <f>_xll.qlRateHelperQuoteName(M227)</f>
        <v>EUR9F6Y_Quote</v>
      </c>
      <c r="O227" s="164">
        <f>_xll.qlInterestRateIndexFixingDate(R227,_xll.qlRateHelperEarliestDate(M227,Trigger),)</f>
        <v>45372</v>
      </c>
      <c r="P227" s="191">
        <f>_xll.qlRateHelperQuoteValue(M227,_xll.ohTrigger(RecalcTrigger,YieldCurve))</f>
        <v>1.095E-2</v>
      </c>
      <c r="Q227" s="194" t="str">
        <f t="shared" si="25"/>
        <v>6Y</v>
      </c>
      <c r="R227" s="194" t="str">
        <f>_xll.qlSwapIndex(,"Euribor",Q227,NDays,Currency,Calendar,"1Y","mf","30/360 (Bond Basis)",IborIndex,Discounting,,_xll.ohTrigger(Trigger,RecalcTrigger))</f>
        <v>obj_009a8#0001</v>
      </c>
      <c r="S227" s="194" t="str">
        <f>_xll.qlVanillaSwapFromSwapIndex(,R227,O227)</f>
        <v>obj_00a78#0001</v>
      </c>
      <c r="T227" s="181">
        <f>_xll.qlVanillaSwapFairRate(S227)</f>
        <v>1.0933405822004251E-2</v>
      </c>
      <c r="U227" s="290">
        <f t="shared" si="23"/>
        <v>-1.6594177995748333E-5</v>
      </c>
      <c r="X227" s="176" t="str">
        <f t="shared" si="24"/>
        <v>1D</v>
      </c>
      <c r="Y227" s="164">
        <f>_xll.qlCalendarAdvance(Calendar,Y226,X227,"f",FALSE)</f>
        <v>42382</v>
      </c>
      <c r="Z227" s="188">
        <f>_xll.qlCalendarAdvance(Calendar,Y227,NDays&amp;"D")</f>
        <v>42384</v>
      </c>
      <c r="AA227" s="163">
        <v>7.5303190246038413E-4</v>
      </c>
      <c r="AB227" s="172">
        <v>3.1387893268508549E-4</v>
      </c>
    </row>
    <row r="228" spans="13:28" x14ac:dyDescent="0.2">
      <c r="M228" s="293" t="str">
        <v>obj_0078b#0001</v>
      </c>
      <c r="N228" s="176" t="str">
        <f>_xll.qlRateHelperQuoteName(M228)</f>
        <v>EUR9F7Y_Quote</v>
      </c>
      <c r="O228" s="164">
        <f>_xll.qlInterestRateIndexFixingDate(R228,_xll.qlRateHelperEarliestDate(M228,Trigger),)</f>
        <v>45372</v>
      </c>
      <c r="P228" s="191">
        <f>_xll.qlRateHelperQuoteValue(M228,_xll.ohTrigger(RecalcTrigger,YieldCurve))</f>
        <v>1.0970000000000001E-2</v>
      </c>
      <c r="Q228" s="194" t="str">
        <f t="shared" si="25"/>
        <v>7Y</v>
      </c>
      <c r="R228" s="194" t="str">
        <f>_xll.qlSwapIndex(,"Euribor",Q228,NDays,Currency,Calendar,"1Y","mf","30/360 (Bond Basis)",IborIndex,Discounting,,_xll.ohTrigger(Trigger,RecalcTrigger))</f>
        <v>obj_009a3#0001</v>
      </c>
      <c r="S228" s="194" t="str">
        <f>_xll.qlVanillaSwapFromSwapIndex(,R228,O228)</f>
        <v>obj_00a89#0001</v>
      </c>
      <c r="T228" s="181">
        <f>_xll.qlVanillaSwapFairRate(S228)</f>
        <v>1.0962866099474116E-2</v>
      </c>
      <c r="U228" s="290">
        <f t="shared" si="23"/>
        <v>-7.1339005258842098E-6</v>
      </c>
      <c r="X228" s="176" t="str">
        <f t="shared" si="24"/>
        <v>1D</v>
      </c>
      <c r="Y228" s="164">
        <f>_xll.qlCalendarAdvance(Calendar,Y227,X228,"f",FALSE)</f>
        <v>42383</v>
      </c>
      <c r="Z228" s="188">
        <f>_xll.qlCalendarAdvance(Calendar,Y228,NDays&amp;"D")</f>
        <v>42387</v>
      </c>
      <c r="AA228" s="163">
        <v>7.586857217215001E-4</v>
      </c>
      <c r="AB228" s="172">
        <v>3.3538128770160824E-4</v>
      </c>
    </row>
    <row r="229" spans="13:28" x14ac:dyDescent="0.2">
      <c r="M229" s="293" t="str">
        <v>obj_00804#0001</v>
      </c>
      <c r="N229" s="176" t="str">
        <f>_xll.qlRateHelperQuoteName(M229)</f>
        <v>EUR9F8Y_Quote</v>
      </c>
      <c r="O229" s="164">
        <f>_xll.qlInterestRateIndexFixingDate(R229,_xll.qlRateHelperEarliestDate(M229,Trigger),)</f>
        <v>45372</v>
      </c>
      <c r="P229" s="191">
        <f>_xll.qlRateHelperQuoteValue(M229,_xll.ohTrigger(RecalcTrigger,YieldCurve))</f>
        <v>1.1009999999999999E-2</v>
      </c>
      <c r="Q229" s="194" t="str">
        <f t="shared" si="25"/>
        <v>8Y</v>
      </c>
      <c r="R229" s="194" t="str">
        <f>_xll.qlSwapIndex(,"Euribor",Q229,NDays,Currency,Calendar,"1Y","mf","30/360 (Bond Basis)",IborIndex,Discounting,,_xll.ohTrigger(Trigger,RecalcTrigger))</f>
        <v>obj_00959#0001</v>
      </c>
      <c r="S229" s="194" t="str">
        <f>_xll.qlVanillaSwapFromSwapIndex(,R229,O229)</f>
        <v>obj_00a8e#0001</v>
      </c>
      <c r="T229" s="181">
        <f>_xll.qlVanillaSwapFairRate(S229)</f>
        <v>1.0977972422754778E-2</v>
      </c>
      <c r="U229" s="290">
        <f t="shared" si="23"/>
        <v>-3.2027577245220817E-5</v>
      </c>
      <c r="X229" s="176" t="str">
        <f t="shared" si="24"/>
        <v>1D</v>
      </c>
      <c r="Y229" s="164">
        <f>_xll.qlCalendarAdvance(Calendar,Y228,X229,"f",FALSE)</f>
        <v>42384</v>
      </c>
      <c r="Z229" s="188">
        <f>_xll.qlCalendarAdvance(Calendar,Y229,NDays&amp;"D")</f>
        <v>42388</v>
      </c>
      <c r="AA229" s="163">
        <v>7.6048299458610037E-4</v>
      </c>
      <c r="AB229" s="172">
        <v>3.4801505253589937E-4</v>
      </c>
    </row>
    <row r="230" spans="13:28" x14ac:dyDescent="0.2">
      <c r="M230" s="293" t="str">
        <v>obj_007f6#0001</v>
      </c>
      <c r="N230" s="176" t="str">
        <f>_xll.qlRateHelperQuoteName(M230)</f>
        <v>EUR9F9Y_Quote</v>
      </c>
      <c r="O230" s="164">
        <f>_xll.qlInterestRateIndexFixingDate(R230,_xll.qlRateHelperEarliestDate(M230,Trigger),)</f>
        <v>45372</v>
      </c>
      <c r="P230" s="191">
        <f>_xll.qlRateHelperQuoteValue(M230,_xll.ohTrigger(RecalcTrigger,YieldCurve))</f>
        <v>1.1000000000000001E-2</v>
      </c>
      <c r="Q230" s="194" t="str">
        <f t="shared" si="25"/>
        <v>9Y</v>
      </c>
      <c r="R230" s="194" t="str">
        <f>_xll.qlSwapIndex(,"Euribor",Q230,NDays,Currency,Calendar,"1Y","mf","30/360 (Bond Basis)",IborIndex,Discounting,,_xll.ohTrigger(Trigger,RecalcTrigger))</f>
        <v>obj_009dd#0001</v>
      </c>
      <c r="S230" s="194" t="str">
        <f>_xll.qlVanillaSwapFromSwapIndex(,R230,O230)</f>
        <v>obj_00b14#0001</v>
      </c>
      <c r="T230" s="181">
        <f>_xll.qlVanillaSwapFairRate(S230)</f>
        <v>1.0975849639189579E-2</v>
      </c>
      <c r="U230" s="290">
        <f t="shared" si="23"/>
        <v>-2.4150360810422031E-5</v>
      </c>
      <c r="X230" s="176" t="str">
        <f t="shared" si="24"/>
        <v>1D</v>
      </c>
      <c r="Y230" s="164">
        <f>_xll.qlCalendarAdvance(Calendar,Y229,X230,"f",FALSE)</f>
        <v>42387</v>
      </c>
      <c r="Z230" s="188">
        <f>_xll.qlCalendarAdvance(Calendar,Y230,NDays&amp;"D")</f>
        <v>42389</v>
      </c>
      <c r="AA230" s="163">
        <v>7.6222827619061226E-4</v>
      </c>
      <c r="AB230" s="172">
        <v>3.6177828804717649E-4</v>
      </c>
    </row>
    <row r="231" spans="13:28" x14ac:dyDescent="0.2">
      <c r="M231" s="293" t="str">
        <v>obj_00807#0001</v>
      </c>
      <c r="N231" s="176" t="str">
        <f>_xll.qlRateHelperQuoteName(M231)</f>
        <v>EUR9F10Y_Quote</v>
      </c>
      <c r="O231" s="164">
        <f>_xll.qlInterestRateIndexFixingDate(R231,_xll.qlRateHelperEarliestDate(M231,Trigger),)</f>
        <v>45372</v>
      </c>
      <c r="P231" s="191">
        <f>_xll.qlRateHelperQuoteValue(M231,_xll.ohTrigger(RecalcTrigger,YieldCurve))</f>
        <v>1.099E-2</v>
      </c>
      <c r="Q231" s="194" t="str">
        <f t="shared" si="25"/>
        <v>10Y</v>
      </c>
      <c r="R231" s="194" t="str">
        <f>_xll.qlSwapIndex(,"Euribor",Q231,NDays,Currency,Calendar,"1Y","mf","30/360 (Bond Basis)",IborIndex,Discounting,,_xll.ohTrigger(Trigger,RecalcTrigger))</f>
        <v>obj_0099a#0001</v>
      </c>
      <c r="S231" s="194" t="str">
        <f>_xll.qlVanillaSwapFromSwapIndex(,R231,O231)</f>
        <v>obj_00b6a#0001</v>
      </c>
      <c r="T231" s="181">
        <f>_xll.qlVanillaSwapFairRate(S231)</f>
        <v>1.0963463927434159E-2</v>
      </c>
      <c r="U231" s="290">
        <f t="shared" si="23"/>
        <v>-2.6536072565841104E-5</v>
      </c>
      <c r="X231" s="176" t="str">
        <f t="shared" si="24"/>
        <v>1D</v>
      </c>
      <c r="Y231" s="164">
        <f>_xll.qlCalendarAdvance(Calendar,Y230,X231,"f",FALSE)</f>
        <v>42388</v>
      </c>
      <c r="Z231" s="188">
        <f>_xll.qlCalendarAdvance(Calendar,Y231,NDays&amp;"D")</f>
        <v>42390</v>
      </c>
      <c r="AA231" s="163">
        <v>7.6391657182269977E-4</v>
      </c>
      <c r="AB231" s="172">
        <v>3.7667099423543959E-4</v>
      </c>
    </row>
    <row r="232" spans="13:28" x14ac:dyDescent="0.2">
      <c r="M232" s="293" t="str">
        <v>obj_007ba#0001</v>
      </c>
      <c r="N232" s="176" t="str">
        <f>_xll.qlRateHelperQuoteName(M232)</f>
        <v>EUR9F11Y_Quote</v>
      </c>
      <c r="O232" s="164">
        <f>_xll.qlInterestRateIndexFixingDate(R232,_xll.qlRateHelperEarliestDate(M232,Trigger),)</f>
        <v>45372</v>
      </c>
      <c r="P232" s="191">
        <f>_xll.qlRateHelperQuoteValue(M232,_xll.ohTrigger(RecalcTrigger,YieldCurve))</f>
        <v>1.0960000000000001E-2</v>
      </c>
      <c r="Q232" s="194" t="str">
        <f t="shared" si="25"/>
        <v>11Y</v>
      </c>
      <c r="R232" s="194" t="str">
        <f>_xll.qlSwapIndex(,"Euribor",Q232,NDays,Currency,Calendar,"1Y","mf","30/360 (Bond Basis)",IborIndex,Discounting,,_xll.ohTrigger(Trigger,RecalcTrigger))</f>
        <v>obj_00939#0001</v>
      </c>
      <c r="S232" s="194" t="str">
        <f>_xll.qlVanillaSwapFromSwapIndex(,R232,O232)</f>
        <v>obj_00a5a#0001</v>
      </c>
      <c r="T232" s="181">
        <f>_xll.qlVanillaSwapFairRate(S232)</f>
        <v>1.0942916814533899E-2</v>
      </c>
      <c r="U232" s="290">
        <f t="shared" si="23"/>
        <v>-1.708318546610188E-5</v>
      </c>
      <c r="X232" s="176" t="str">
        <f t="shared" si="24"/>
        <v>1D</v>
      </c>
      <c r="Y232" s="164">
        <f>_xll.qlCalendarAdvance(Calendar,Y231,X232,"f",FALSE)</f>
        <v>42389</v>
      </c>
      <c r="Z232" s="188">
        <f>_xll.qlCalendarAdvance(Calendar,Y232,NDays&amp;"D")</f>
        <v>42391</v>
      </c>
      <c r="AA232" s="163">
        <v>7.6554288675904653E-4</v>
      </c>
      <c r="AB232" s="172">
        <v>4.1022177676097726E-4</v>
      </c>
    </row>
    <row r="233" spans="13:28" x14ac:dyDescent="0.2">
      <c r="M233" s="293" t="str">
        <v>obj_00866#0001</v>
      </c>
      <c r="N233" s="176" t="str">
        <f>_xll.qlRateHelperQuoteName(M233)</f>
        <v>EUR9F12Y_Quote</v>
      </c>
      <c r="O233" s="164">
        <f>_xll.qlInterestRateIndexFixingDate(R233,_xll.qlRateHelperEarliestDate(M233,Trigger),)</f>
        <v>45372</v>
      </c>
      <c r="P233" s="191">
        <f>_xll.qlRateHelperQuoteValue(M233,_xll.ohTrigger(RecalcTrigger,YieldCurve))</f>
        <v>1.094E-2</v>
      </c>
      <c r="Q233" s="194" t="str">
        <f t="shared" si="25"/>
        <v>12Y</v>
      </c>
      <c r="R233" s="194" t="str">
        <f>_xll.qlSwapIndex(,"Euribor",Q233,NDays,Currency,Calendar,"1Y","mf","30/360 (Bond Basis)",IborIndex,Discounting,,_xll.ohTrigger(Trigger,RecalcTrigger))</f>
        <v>obj_00a04#0001</v>
      </c>
      <c r="S233" s="194" t="str">
        <f>_xll.qlVanillaSwapFromSwapIndex(,R233,O233)</f>
        <v>obj_00b0b#0001</v>
      </c>
      <c r="T233" s="181">
        <f>_xll.qlVanillaSwapFairRate(S233)</f>
        <v>1.091852589584723E-2</v>
      </c>
      <c r="U233" s="290">
        <f t="shared" si="23"/>
        <v>-2.1474104152770235E-5</v>
      </c>
      <c r="X233" s="176" t="str">
        <f t="shared" si="24"/>
        <v>1D</v>
      </c>
      <c r="Y233" s="164">
        <f>_xll.qlCalendarAdvance(Calendar,Y232,X233,"f",FALSE)</f>
        <v>42390</v>
      </c>
      <c r="Z233" s="188">
        <f>_xll.qlCalendarAdvance(Calendar,Y233,NDays&amp;"D")</f>
        <v>42394</v>
      </c>
      <c r="AA233" s="163">
        <v>7.700000000001692E-4</v>
      </c>
      <c r="AB233" s="172">
        <v>4.4722782869044408E-4</v>
      </c>
    </row>
    <row r="234" spans="13:28" x14ac:dyDescent="0.2">
      <c r="M234" s="293" t="str">
        <v>obj_0075d#0001</v>
      </c>
      <c r="N234" s="176" t="str">
        <f>_xll.qlRateHelperQuoteName(M234)</f>
        <v>EUR9F13Y_Quote</v>
      </c>
      <c r="O234" s="164">
        <f>_xll.qlInterestRateIndexFixingDate(R234,_xll.qlRateHelperEarliestDate(M234,Trigger),)</f>
        <v>45372</v>
      </c>
      <c r="P234" s="191" t="e">
        <f>_xll.qlRateHelperQuoteValue(M234,_xll.ohTrigger(RecalcTrigger,YieldCurve))</f>
        <v>#NUM!</v>
      </c>
      <c r="Q234" s="194" t="str">
        <f t="shared" si="25"/>
        <v>13Y</v>
      </c>
      <c r="R234" s="194" t="str">
        <f>_xll.qlSwapIndex(,"Euribor",Q234,NDays,Currency,Calendar,"1Y","mf","30/360 (Bond Basis)",IborIndex,Discounting,,_xll.ohTrigger(Trigger,RecalcTrigger))</f>
        <v>obj_008e9#0002</v>
      </c>
      <c r="S234" s="194" t="str">
        <f>_xll.qlVanillaSwapFromSwapIndex(,R234,O234)</f>
        <v>obj_00b36#0001</v>
      </c>
      <c r="T234" s="181">
        <f>_xll.qlVanillaSwapFairRate(S234)</f>
        <v>1.0888939039398728E-2</v>
      </c>
      <c r="U234" s="290" t="e">
        <f t="shared" si="23"/>
        <v>#NUM!</v>
      </c>
      <c r="X234" s="176" t="str">
        <f t="shared" si="24"/>
        <v>1D</v>
      </c>
      <c r="Y234" s="164">
        <f>_xll.qlCalendarAdvance(Calendar,Y233,X234,"f",FALSE)</f>
        <v>42391</v>
      </c>
      <c r="Z234" s="188">
        <f>_xll.qlCalendarAdvance(Calendar,Y234,NDays&amp;"D")</f>
        <v>42395</v>
      </c>
      <c r="AA234" s="163">
        <v>7.7132986479911097E-4</v>
      </c>
      <c r="AB234" s="172">
        <v>4.659156900288508E-4</v>
      </c>
    </row>
    <row r="235" spans="13:28" x14ac:dyDescent="0.2">
      <c r="M235" s="293" t="str">
        <v>obj_0084c#0001</v>
      </c>
      <c r="N235" s="176" t="str">
        <f>_xll.qlRateHelperQuoteName(M235)</f>
        <v>EUR9F14Y_Quote</v>
      </c>
      <c r="O235" s="164">
        <f>_xll.qlInterestRateIndexFixingDate(R235,_xll.qlRateHelperEarliestDate(M235,Trigger),)</f>
        <v>45372</v>
      </c>
      <c r="P235" s="191">
        <f>_xll.qlRateHelperQuoteValue(M235,_xll.ohTrigger(RecalcTrigger,YieldCurve))</f>
        <v>1.0880000000000001E-2</v>
      </c>
      <c r="Q235" s="194" t="str">
        <f t="shared" si="25"/>
        <v>14Y</v>
      </c>
      <c r="R235" s="194" t="str">
        <f>_xll.qlSwapIndex(,"Euribor",Q235,NDays,Currency,Calendar,"1Y","mf","30/360 (Bond Basis)",IborIndex,Discounting,,_xll.ohTrigger(Trigger,RecalcTrigger))</f>
        <v>obj_00922#0001</v>
      </c>
      <c r="S235" s="194" t="str">
        <f>_xll.qlVanillaSwapFromSwapIndex(,R235,O235)</f>
        <v>obj_00aef#0001</v>
      </c>
      <c r="T235" s="181">
        <f>_xll.qlVanillaSwapFairRate(S235)</f>
        <v>1.086012739126479E-2</v>
      </c>
      <c r="U235" s="290">
        <f t="shared" si="23"/>
        <v>-1.9872608735210448E-5</v>
      </c>
      <c r="X235" s="176" t="str">
        <f t="shared" si="24"/>
        <v>1D</v>
      </c>
      <c r="Y235" s="164">
        <f>_xll.qlCalendarAdvance(Calendar,Y234,X235,"f",FALSE)</f>
        <v>42394</v>
      </c>
      <c r="Z235" s="188">
        <f>_xll.qlCalendarAdvance(Calendar,Y235,NDays&amp;"D")</f>
        <v>42396</v>
      </c>
      <c r="AA235" s="163">
        <v>7.7258129562620781E-4</v>
      </c>
      <c r="AB235" s="172">
        <v>4.8388082197092785E-4</v>
      </c>
    </row>
    <row r="236" spans="13:28" x14ac:dyDescent="0.2">
      <c r="M236" s="293" t="str">
        <v>obj_007be#0001</v>
      </c>
      <c r="N236" s="176" t="str">
        <f>_xll.qlRateHelperQuoteName(M236)</f>
        <v>EUR9F15Y_Quote</v>
      </c>
      <c r="O236" s="164">
        <f>_xll.qlInterestRateIndexFixingDate(R236,_xll.qlRateHelperEarliestDate(M236,Trigger),)</f>
        <v>45372</v>
      </c>
      <c r="P236" s="191">
        <f>_xll.qlRateHelperQuoteValue(M236,_xll.ohTrigger(RecalcTrigger,YieldCurve))</f>
        <v>1.0860000000000002E-2</v>
      </c>
      <c r="Q236" s="194" t="str">
        <f t="shared" si="25"/>
        <v>15Y</v>
      </c>
      <c r="R236" s="194" t="str">
        <f>_xll.qlSwapIndex(,"Euribor",Q236,NDays,Currency,Calendar,"1Y","mf","30/360 (Bond Basis)",IborIndex,Discounting,,_xll.ohTrigger(Trigger,RecalcTrigger))</f>
        <v>obj_008c8#0002</v>
      </c>
      <c r="S236" s="194" t="str">
        <f>_xll.qlVanillaSwapFromSwapIndex(,R236,O236)</f>
        <v>obj_00b4c#0001</v>
      </c>
      <c r="T236" s="181">
        <f>_xll.qlVanillaSwapFairRate(S236)</f>
        <v>1.0834467841826853E-2</v>
      </c>
      <c r="U236" s="290">
        <f t="shared" si="23"/>
        <v>-2.5532158173148176E-5</v>
      </c>
      <c r="X236" s="176" t="str">
        <f t="shared" si="24"/>
        <v>1D</v>
      </c>
      <c r="Y236" s="164">
        <f>_xll.qlCalendarAdvance(Calendar,Y235,X236,"f",FALSE)</f>
        <v>42395</v>
      </c>
      <c r="Z236" s="188">
        <f>_xll.qlCalendarAdvance(Calendar,Y236,NDays&amp;"D")</f>
        <v>42397</v>
      </c>
      <c r="AA236" s="163">
        <v>7.7375781820798381E-4</v>
      </c>
      <c r="AB236" s="172">
        <v>5.0112322459661129E-4</v>
      </c>
    </row>
    <row r="237" spans="13:28" x14ac:dyDescent="0.2">
      <c r="M237" s="293" t="str">
        <v>obj_0080e#0001</v>
      </c>
      <c r="N237" s="176" t="str">
        <f>_xll.qlRateHelperQuoteName(M237)</f>
        <v>EUR9F20Y_Quote</v>
      </c>
      <c r="O237" s="164">
        <f>_xll.qlInterestRateIndexFixingDate(R237,_xll.qlRateHelperEarliestDate(M237,Trigger),)</f>
        <v>45372</v>
      </c>
      <c r="P237" s="191">
        <f>_xll.qlRateHelperQuoteValue(M237,_xll.ohTrigger(RecalcTrigger,YieldCurve))</f>
        <v>1.0789999999999999E-2</v>
      </c>
      <c r="Q237" s="194" t="str">
        <f t="shared" si="25"/>
        <v>20Y</v>
      </c>
      <c r="R237" s="194" t="str">
        <f>_xll.qlSwapIndex(,"Euribor",Q237,NDays,Currency,Calendar,"1Y","mf","30/360 (Bond Basis)",IborIndex,Discounting,,_xll.ohTrigger(Trigger,RecalcTrigger))</f>
        <v>obj_009a6#0001</v>
      </c>
      <c r="S237" s="194" t="str">
        <f>_xll.qlVanillaSwapFromSwapIndex(,R237,O237)</f>
        <v>obj_00a6c#0001</v>
      </c>
      <c r="T237" s="181">
        <f>_xll.qlVanillaSwapFairRate(S237)</f>
        <v>1.0768664664851093E-2</v>
      </c>
      <c r="U237" s="290">
        <f t="shared" si="23"/>
        <v>-2.1335335148905954E-5</v>
      </c>
      <c r="X237" s="176" t="str">
        <f t="shared" si="24"/>
        <v>1D</v>
      </c>
      <c r="Y237" s="164">
        <f>_xll.qlCalendarAdvance(Calendar,Y236,X237,"f",FALSE)</f>
        <v>42396</v>
      </c>
      <c r="Z237" s="188">
        <f>_xll.qlCalendarAdvance(Calendar,Y237,NDays&amp;"D")</f>
        <v>42398</v>
      </c>
      <c r="AA237" s="163">
        <v>7.748629582898487E-4</v>
      </c>
      <c r="AB237" s="172">
        <v>1.1452055612348744E-3</v>
      </c>
    </row>
    <row r="238" spans="13:28" x14ac:dyDescent="0.2">
      <c r="M238" s="293" t="str">
        <v>obj_00870#0001</v>
      </c>
      <c r="N238" s="176" t="str">
        <f>_xll.qlRateHelperQuoteName(M238)</f>
        <v>EUR9F25Y_Quote</v>
      </c>
      <c r="O238" s="164">
        <f>_xll.qlInterestRateIndexFixingDate(R238,_xll.qlRateHelperEarliestDate(M238,Trigger),)</f>
        <v>45372</v>
      </c>
      <c r="P238" s="191">
        <f>_xll.qlRateHelperQuoteValue(M238,_xll.ohTrigger(RecalcTrigger,YieldCurve))</f>
        <v>1.0709999999999999E-2</v>
      </c>
      <c r="Q238" s="194" t="str">
        <f t="shared" si="25"/>
        <v>25Y</v>
      </c>
      <c r="R238" s="194" t="str">
        <f>_xll.qlSwapIndex(,"Euribor",Q238,NDays,Currency,Calendar,"1Y","mf","30/360 (Bond Basis)",IborIndex,Discounting,,_xll.ohTrigger(Trigger,RecalcTrigger))</f>
        <v>obj_009ed#0001</v>
      </c>
      <c r="S238" s="194" t="str">
        <f>_xll.qlVanillaSwapFromSwapIndex(,R238,O238)</f>
        <v>obj_00a67#0001</v>
      </c>
      <c r="T238" s="181">
        <f>_xll.qlVanillaSwapFairRate(S238)</f>
        <v>1.0687758140915604E-2</v>
      </c>
      <c r="U238" s="290">
        <f t="shared" si="23"/>
        <v>-2.2241859084394869E-5</v>
      </c>
      <c r="X238" s="176" t="str">
        <f t="shared" si="24"/>
        <v>1D</v>
      </c>
      <c r="Y238" s="164">
        <f>_xll.qlCalendarAdvance(Calendar,Y237,X238,"f",FALSE)</f>
        <v>42397</v>
      </c>
      <c r="Z238" s="188">
        <f>_xll.qlCalendarAdvance(Calendar,Y238,NDays&amp;"D")</f>
        <v>42401</v>
      </c>
      <c r="AA238" s="163">
        <v>7.6769346241857875E-4</v>
      </c>
      <c r="AB238" s="172">
        <v>5.6286553873796663E-4</v>
      </c>
    </row>
    <row r="239" spans="13:28" ht="12" thickBot="1" x14ac:dyDescent="0.25">
      <c r="M239" s="294" t="str">
        <v>obj_00867#0001</v>
      </c>
      <c r="N239" s="177" t="str">
        <f>_xll.qlRateHelperQuoteName(M239)</f>
        <v>EUR9F30Y_Quote</v>
      </c>
      <c r="O239" s="174">
        <f>_xll.qlInterestRateIndexFixingDate(R239,_xll.qlRateHelperEarliestDate(M239,Trigger),)</f>
        <v>45372</v>
      </c>
      <c r="P239" s="192">
        <f>_xll.qlRateHelperQuoteValue(M239,_xll.ohTrigger(RecalcTrigger,YieldCurve))</f>
        <v>1.0589999999999999E-2</v>
      </c>
      <c r="Q239" s="195" t="str">
        <f t="shared" si="25"/>
        <v>30Y</v>
      </c>
      <c r="R239" s="195" t="str">
        <f>_xll.qlSwapIndex(,"Euribor",Q239,NDays,Currency,Calendar,"1Y","mf","30/360 (Bond Basis)",IborIndex,Discounting,,_xll.ohTrigger(Trigger,RecalcTrigger))</f>
        <v>obj_008d1#0002</v>
      </c>
      <c r="S239" s="195" t="str">
        <f>_xll.qlVanillaSwapFromSwapIndex(,R239,O239)</f>
        <v>obj_00a77#0001</v>
      </c>
      <c r="T239" s="183">
        <f>_xll.qlVanillaSwapFairRate(S239)</f>
        <v>1.0566059672067639E-2</v>
      </c>
      <c r="U239" s="291">
        <f t="shared" si="23"/>
        <v>-2.3940327932360159E-5</v>
      </c>
      <c r="X239" s="176" t="str">
        <f t="shared" si="24"/>
        <v>1D</v>
      </c>
      <c r="Y239" s="164">
        <f>_xll.qlCalendarAdvance(Calendar,Y238,X239,"f",FALSE)</f>
        <v>42398</v>
      </c>
      <c r="Z239" s="188">
        <f>_xll.qlCalendarAdvance(Calendar,Y239,NDays&amp;"D")</f>
        <v>42402</v>
      </c>
      <c r="AA239" s="163">
        <v>7.685483258856264E-4</v>
      </c>
      <c r="AB239" s="172">
        <v>5.7649429286321663E-4</v>
      </c>
    </row>
    <row r="240" spans="13:28" x14ac:dyDescent="0.2">
      <c r="M240" s="295" t="str">
        <v>obj_0086d#0001</v>
      </c>
      <c r="N240" s="279" t="str">
        <f>_xll.qlRateHelperQuoteName(M240)</f>
        <v>EUR10F1Y_Quote</v>
      </c>
      <c r="O240" s="276">
        <f>_xll.qlInterestRateIndexFixingDate(R240,_xll.qlRateHelperEarliestDate(M240,Trigger),)</f>
        <v>45736</v>
      </c>
      <c r="P240" s="277">
        <f>_xll.qlRateHelperQuoteValue(M240,_xll.ohTrigger(RecalcTrigger,YieldCurve))</f>
        <v>1.072E-2</v>
      </c>
      <c r="Q240" s="275" t="str">
        <f t="shared" ref="Q240:Q257" si="26">SUBSTITUTE(SUBSTITUTE(N240,"_Quote",""),"EUR10F","")</f>
        <v>1Y</v>
      </c>
      <c r="R240" s="275" t="str">
        <f>_xll.qlSwapIndex(,"Euribor",Q240,NDays,Currency,Calendar,"1Y","mf","30/360 (Bond Basis)",IborIndex,Discounting,,_xll.ohTrigger(Trigger,RecalcTrigger))</f>
        <v>obj_00951#0001</v>
      </c>
      <c r="S240" s="275" t="str">
        <f>_xll.qlVanillaSwapFromSwapIndex(,R240,O240)</f>
        <v>obj_00abb#0001</v>
      </c>
      <c r="T240" s="278">
        <f>_xll.qlVanillaSwapFairRate(S240)</f>
        <v>1.0712240398808259E-2</v>
      </c>
      <c r="U240" s="292">
        <f t="shared" si="23"/>
        <v>-7.7596011917417662E-6</v>
      </c>
      <c r="X240" s="176" t="str">
        <f t="shared" si="24"/>
        <v>1D</v>
      </c>
      <c r="Y240" s="164">
        <f>_xll.qlCalendarAdvance(Calendar,Y239,X240,"f",FALSE)</f>
        <v>42401</v>
      </c>
      <c r="Z240" s="188">
        <f>_xll.qlCalendarAdvance(Calendar,Y240,NDays&amp;"D")</f>
        <v>42403</v>
      </c>
      <c r="AA240" s="163">
        <v>7.6934943606338181E-4</v>
      </c>
      <c r="AB240" s="172">
        <v>5.894003169526485E-4</v>
      </c>
    </row>
    <row r="241" spans="13:28" x14ac:dyDescent="0.2">
      <c r="M241" s="293" t="str">
        <v>obj_00828#0001</v>
      </c>
      <c r="N241" s="176" t="str">
        <f>_xll.qlRateHelperQuoteName(M241)</f>
        <v>EUR10F2Y_Quote</v>
      </c>
      <c r="O241" s="164">
        <f>_xll.qlInterestRateIndexFixingDate(R241,_xll.qlRateHelperEarliestDate(M241,Trigger),)</f>
        <v>45736</v>
      </c>
      <c r="P241" s="191" t="e">
        <f>_xll.qlRateHelperQuoteValue(M241,_xll.ohTrigger(RecalcTrigger,YieldCurve))</f>
        <v>#NUM!</v>
      </c>
      <c r="Q241" s="194" t="str">
        <f t="shared" si="26"/>
        <v>2Y</v>
      </c>
      <c r="R241" s="194" t="str">
        <f>_xll.qlSwapIndex(,"Euribor",Q241,NDays,Currency,Calendar,"1Y","mf","30/360 (Bond Basis)",IborIndex,Discounting,,_xll.ohTrigger(Trigger,RecalcTrigger))</f>
        <v>obj_0097b#0001</v>
      </c>
      <c r="S241" s="194" t="str">
        <f>_xll.qlVanillaSwapFromSwapIndex(,R241,O241)</f>
        <v>obj_00b46#0001</v>
      </c>
      <c r="T241" s="181">
        <f>_xll.qlVanillaSwapFairRate(S241)</f>
        <v>1.087674420528875E-2</v>
      </c>
      <c r="U241" s="290" t="e">
        <f t="shared" si="23"/>
        <v>#NUM!</v>
      </c>
      <c r="X241" s="176" t="str">
        <f t="shared" si="24"/>
        <v>1D</v>
      </c>
      <c r="Y241" s="164">
        <f>_xll.qlCalendarAdvance(Calendar,Y240,X241,"f",FALSE)</f>
        <v>42402</v>
      </c>
      <c r="Z241" s="188">
        <f>_xll.qlCalendarAdvance(Calendar,Y241,NDays&amp;"D")</f>
        <v>42404</v>
      </c>
      <c r="AA241" s="163">
        <v>7.701003187574265E-4</v>
      </c>
      <c r="AB241" s="172">
        <v>6.0158361100626223E-4</v>
      </c>
    </row>
    <row r="242" spans="13:28" x14ac:dyDescent="0.2">
      <c r="M242" s="293" t="str">
        <v>obj_00842#0001</v>
      </c>
      <c r="N242" s="176" t="str">
        <f>_xll.qlRateHelperQuoteName(M242)</f>
        <v>EUR10F3Y_Quote</v>
      </c>
      <c r="O242" s="164">
        <f>_xll.qlInterestRateIndexFixingDate(R242,_xll.qlRateHelperEarliestDate(M242,Trigger),)</f>
        <v>45736</v>
      </c>
      <c r="P242" s="191">
        <f>_xll.qlRateHelperQuoteValue(M242,_xll.ohTrigger(RecalcTrigger,YieldCurve))</f>
        <v>1.106E-2</v>
      </c>
      <c r="Q242" s="194" t="str">
        <f t="shared" si="26"/>
        <v>3Y</v>
      </c>
      <c r="R242" s="194" t="str">
        <f>_xll.qlSwapIndex(,"Euribor",Q242,NDays,Currency,Calendar,"1Y","mf","30/360 (Bond Basis)",IborIndex,Discounting,,_xll.ohTrigger(Trigger,RecalcTrigger))</f>
        <v>obj_00940#0001</v>
      </c>
      <c r="S242" s="194" t="str">
        <f>_xll.qlVanillaSwapFromSwapIndex(,R242,O242)</f>
        <v>obj_00ad2#0001</v>
      </c>
      <c r="T242" s="181">
        <f>_xll.qlVanillaSwapFairRate(S242)</f>
        <v>1.0987038878177102E-2</v>
      </c>
      <c r="U242" s="290">
        <f t="shared" si="23"/>
        <v>-7.296112182289885E-5</v>
      </c>
      <c r="X242" s="176" t="str">
        <f t="shared" si="24"/>
        <v>1D</v>
      </c>
      <c r="Y242" s="164">
        <f>_xll.qlCalendarAdvance(Calendar,Y241,X242,"f",FALSE)</f>
        <v>42403</v>
      </c>
      <c r="Z242" s="188">
        <f>_xll.qlCalendarAdvance(Calendar,Y242,NDays&amp;"D")</f>
        <v>42405</v>
      </c>
      <c r="AA242" s="163">
        <v>7.708044997812479E-4</v>
      </c>
      <c r="AB242" s="172">
        <v>6.2354217855720151E-4</v>
      </c>
    </row>
    <row r="243" spans="13:28" x14ac:dyDescent="0.2">
      <c r="M243" s="293" t="str">
        <v>obj_00819#0001</v>
      </c>
      <c r="N243" s="176" t="str">
        <f>_xll.qlRateHelperQuoteName(M243)</f>
        <v>EUR10F4Y_Quote</v>
      </c>
      <c r="O243" s="164">
        <f>_xll.qlInterestRateIndexFixingDate(R243,_xll.qlRateHelperEarliestDate(M243,Trigger),)</f>
        <v>45736</v>
      </c>
      <c r="P243" s="191">
        <f>_xll.qlRateHelperQuoteValue(M243,_xll.ohTrigger(RecalcTrigger,YieldCurve))</f>
        <v>1.1080000000000001E-2</v>
      </c>
      <c r="Q243" s="194" t="str">
        <f t="shared" si="26"/>
        <v>4Y</v>
      </c>
      <c r="R243" s="194" t="str">
        <f>_xll.qlSwapIndex(,"Euribor",Q243,NDays,Currency,Calendar,"1Y","mf","30/360 (Bond Basis)",IborIndex,Discounting,,_xll.ohTrigger(Trigger,RecalcTrigger))</f>
        <v>obj_00993#0001</v>
      </c>
      <c r="S243" s="194" t="str">
        <f>_xll.qlVanillaSwapFromSwapIndex(,R243,O243)</f>
        <v>obj_00a1d#0001</v>
      </c>
      <c r="T243" s="181">
        <f>_xll.qlVanillaSwapFairRate(S243)</f>
        <v>1.1046635100408608E-2</v>
      </c>
      <c r="U243" s="290">
        <f t="shared" si="23"/>
        <v>-3.3364899591393701E-5</v>
      </c>
      <c r="X243" s="176" t="str">
        <f t="shared" si="24"/>
        <v>1D</v>
      </c>
      <c r="Y243" s="164">
        <f>_xll.qlCalendarAdvance(Calendar,Y242,X243,"f",FALSE)</f>
        <v>42404</v>
      </c>
      <c r="Z243" s="188">
        <f>_xll.qlCalendarAdvance(Calendar,Y243,NDays&amp;"D")</f>
        <v>42408</v>
      </c>
      <c r="AA243" s="163">
        <v>7.7267209109054165E-4</v>
      </c>
      <c r="AB243" s="172">
        <v>6.4308948550362288E-4</v>
      </c>
    </row>
    <row r="244" spans="13:28" x14ac:dyDescent="0.2">
      <c r="M244" s="293" t="str">
        <v>obj_0078a#0001</v>
      </c>
      <c r="N244" s="176" t="str">
        <f>_xll.qlRateHelperQuoteName(M244)</f>
        <v>EUR10F5Y_Quote</v>
      </c>
      <c r="O244" s="164">
        <f>_xll.qlInterestRateIndexFixingDate(R244,_xll.qlRateHelperEarliestDate(M244,Trigger),)</f>
        <v>45736</v>
      </c>
      <c r="P244" s="191">
        <f>_xll.qlRateHelperQuoteValue(M244,_xll.ohTrigger(RecalcTrigger,YieldCurve))</f>
        <v>1.11E-2</v>
      </c>
      <c r="Q244" s="194" t="str">
        <f t="shared" si="26"/>
        <v>5Y</v>
      </c>
      <c r="R244" s="194" t="str">
        <f>_xll.qlSwapIndex(,"Euribor",Q244,NDays,Currency,Calendar,"1Y","mf","30/360 (Bond Basis)",IborIndex,Discounting,,_xll.ohTrigger(Trigger,RecalcTrigger))</f>
        <v>obj_00984#0001</v>
      </c>
      <c r="S244" s="194" t="str">
        <f>_xll.qlVanillaSwapFromSwapIndex(,R244,O244)</f>
        <v>obj_00a3f#0001</v>
      </c>
      <c r="T244" s="181">
        <f>_xll.qlVanillaSwapFairRate(S244)</f>
        <v>1.1079402935508425E-2</v>
      </c>
      <c r="U244" s="290">
        <f t="shared" si="23"/>
        <v>-2.0597064491575945E-5</v>
      </c>
      <c r="X244" s="176" t="str">
        <f t="shared" si="24"/>
        <v>1D</v>
      </c>
      <c r="Y244" s="164">
        <f>_xll.qlCalendarAdvance(Calendar,Y243,X244,"f",FALSE)</f>
        <v>42405</v>
      </c>
      <c r="Z244" s="188">
        <f>_xll.qlCalendarAdvance(Calendar,Y244,NDays&amp;"D")</f>
        <v>42409</v>
      </c>
      <c r="AA244" s="163">
        <v>7.7322472372865424E-4</v>
      </c>
      <c r="AB244" s="172">
        <v>6.5165912833897721E-4</v>
      </c>
    </row>
    <row r="245" spans="13:28" x14ac:dyDescent="0.2">
      <c r="M245" s="293" t="str">
        <v>obj_00855#0001</v>
      </c>
      <c r="N245" s="176" t="str">
        <f>_xll.qlRateHelperQuoteName(M245)</f>
        <v>EUR10F6Y_Quote</v>
      </c>
      <c r="O245" s="164">
        <f>_xll.qlInterestRateIndexFixingDate(R245,_xll.qlRateHelperEarliestDate(M245,Trigger),)</f>
        <v>45736</v>
      </c>
      <c r="P245" s="191">
        <f>_xll.qlRateHelperQuoteValue(M245,_xll.ohTrigger(RecalcTrigger,YieldCurve))</f>
        <v>1.1089999999999999E-2</v>
      </c>
      <c r="Q245" s="194" t="str">
        <f t="shared" si="26"/>
        <v>6Y</v>
      </c>
      <c r="R245" s="194" t="str">
        <f>_xll.qlSwapIndex(,"Euribor",Q245,NDays,Currency,Calendar,"1Y","mf","30/360 (Bond Basis)",IborIndex,Discounting,,_xll.ohTrigger(Trigger,RecalcTrigger))</f>
        <v>obj_009b0#0001</v>
      </c>
      <c r="S245" s="194" t="str">
        <f>_xll.qlVanillaSwapFromSwapIndex(,R245,O245)</f>
        <v>obj_00a2a#0001</v>
      </c>
      <c r="T245" s="181">
        <f>_xll.qlVanillaSwapFairRate(S245)</f>
        <v>1.1090198776372458E-2</v>
      </c>
      <c r="U245" s="290">
        <f t="shared" si="23"/>
        <v>1.9877637245924173E-7</v>
      </c>
      <c r="X245" s="176" t="str">
        <f t="shared" si="24"/>
        <v>1D</v>
      </c>
      <c r="Y245" s="164">
        <f>_xll.qlCalendarAdvance(Calendar,Y244,X245,"f",FALSE)</f>
        <v>42408</v>
      </c>
      <c r="Z245" s="188">
        <f>_xll.qlCalendarAdvance(Calendar,Y245,NDays&amp;"D")</f>
        <v>42410</v>
      </c>
      <c r="AA245" s="163">
        <v>7.7374828387861375E-4</v>
      </c>
      <c r="AB245" s="172">
        <v>6.5950604073883312E-4</v>
      </c>
    </row>
    <row r="246" spans="13:28" x14ac:dyDescent="0.2">
      <c r="M246" s="293" t="str">
        <v>obj_00747#0001</v>
      </c>
      <c r="N246" s="176" t="str">
        <f>_xll.qlRateHelperQuoteName(M246)</f>
        <v>EUR10F7Y_Quote</v>
      </c>
      <c r="O246" s="164">
        <f>_xll.qlInterestRateIndexFixingDate(R246,_xll.qlRateHelperEarliestDate(M246,Trigger),)</f>
        <v>45736</v>
      </c>
      <c r="P246" s="191">
        <f>_xll.qlRateHelperQuoteValue(M246,_xll.ohTrigger(RecalcTrigger,YieldCurve))</f>
        <v>1.1129999999999999E-2</v>
      </c>
      <c r="Q246" s="194" t="str">
        <f t="shared" si="26"/>
        <v>7Y</v>
      </c>
      <c r="R246" s="194" t="str">
        <f>_xll.qlSwapIndex(,"Euribor",Q246,NDays,Currency,Calendar,"1Y","mf","30/360 (Bond Basis)",IborIndex,Discounting,,_xll.ohTrigger(Trigger,RecalcTrigger))</f>
        <v>obj_008d9#0002</v>
      </c>
      <c r="S246" s="194" t="str">
        <f>_xll.qlVanillaSwapFromSwapIndex(,R246,O246)</f>
        <v>obj_00a62#0001</v>
      </c>
      <c r="T246" s="181">
        <f>_xll.qlVanillaSwapFairRate(S246)</f>
        <v>1.1089903295268783E-2</v>
      </c>
      <c r="U246" s="290">
        <f t="shared" si="23"/>
        <v>-4.0096704731215974E-5</v>
      </c>
      <c r="X246" s="176" t="str">
        <f t="shared" si="24"/>
        <v>1D</v>
      </c>
      <c r="Y246" s="164">
        <f>_xll.qlCalendarAdvance(Calendar,Y245,X246,"f",FALSE)</f>
        <v>42409</v>
      </c>
      <c r="Z246" s="188">
        <f>_xll.qlCalendarAdvance(Calendar,Y246,NDays&amp;"D")</f>
        <v>42411</v>
      </c>
      <c r="AA246" s="163">
        <v>7.7424629739343629E-4</v>
      </c>
      <c r="AB246" s="172">
        <v>6.6663022270319061E-4</v>
      </c>
    </row>
    <row r="247" spans="13:28" x14ac:dyDescent="0.2">
      <c r="M247" s="293" t="str">
        <v>obj_0087d#0001</v>
      </c>
      <c r="N247" s="176" t="str">
        <f>_xll.qlRateHelperQuoteName(M247)</f>
        <v>EUR10F8Y_Quote</v>
      </c>
      <c r="O247" s="164">
        <f>_xll.qlInterestRateIndexFixingDate(R247,_xll.qlRateHelperEarliestDate(M247,Trigger),)</f>
        <v>45736</v>
      </c>
      <c r="P247" s="191">
        <f>_xll.qlRateHelperQuoteValue(M247,_xll.ohTrigger(RecalcTrigger,YieldCurve))</f>
        <v>1.1089999999999999E-2</v>
      </c>
      <c r="Q247" s="194" t="str">
        <f t="shared" si="26"/>
        <v>8Y</v>
      </c>
      <c r="R247" s="194" t="str">
        <f>_xll.qlSwapIndex(,"Euribor",Q247,NDays,Currency,Calendar,"1Y","mf","30/360 (Bond Basis)",IborIndex,Discounting,,_xll.ohTrigger(Trigger,RecalcTrigger))</f>
        <v>obj_009f7#0001</v>
      </c>
      <c r="S247" s="194" t="str">
        <f>_xll.qlVanillaSwapFromSwapIndex(,R247,O247)</f>
        <v>obj_00b58#0001</v>
      </c>
      <c r="T247" s="181">
        <f>_xll.qlVanillaSwapFairRate(S247)</f>
        <v>1.1074012288144816E-2</v>
      </c>
      <c r="U247" s="290">
        <f t="shared" si="23"/>
        <v>-1.5987711855182732E-5</v>
      </c>
      <c r="X247" s="176" t="str">
        <f t="shared" si="24"/>
        <v>1D</v>
      </c>
      <c r="Y247" s="164">
        <f>_xll.qlCalendarAdvance(Calendar,Y246,X247,"f",FALSE)</f>
        <v>42410</v>
      </c>
      <c r="Z247" s="188">
        <f>_xll.qlCalendarAdvance(Calendar,Y247,NDays&amp;"D")</f>
        <v>42412</v>
      </c>
      <c r="AA247" s="163">
        <v>7.7472229013228694E-4</v>
      </c>
      <c r="AB247" s="172">
        <v>6.7847076359761616E-4</v>
      </c>
    </row>
    <row r="248" spans="13:28" x14ac:dyDescent="0.2">
      <c r="M248" s="293" t="str">
        <v>obj_007e1#0001</v>
      </c>
      <c r="N248" s="176" t="str">
        <f>_xll.qlRateHelperQuoteName(M248)</f>
        <v>EUR10F9Y_Quote</v>
      </c>
      <c r="O248" s="164">
        <f>_xll.qlInterestRateIndexFixingDate(R248,_xll.qlRateHelperEarliestDate(M248,Trigger),)</f>
        <v>45736</v>
      </c>
      <c r="P248" s="191">
        <f>_xll.qlRateHelperQuoteValue(M248,_xll.ohTrigger(RecalcTrigger,YieldCurve))</f>
        <v>1.1080000000000001E-2</v>
      </c>
      <c r="Q248" s="194" t="str">
        <f t="shared" si="26"/>
        <v>9Y</v>
      </c>
      <c r="R248" s="194" t="str">
        <f>_xll.qlSwapIndex(,"Euribor",Q248,NDays,Currency,Calendar,"1Y","mf","30/360 (Bond Basis)",IborIndex,Discounting,,_xll.ohTrigger(Trigger,RecalcTrigger))</f>
        <v>obj_008d0#0002</v>
      </c>
      <c r="S248" s="194" t="str">
        <f>_xll.qlVanillaSwapFromSwapIndex(,R248,O248)</f>
        <v>obj_00b00#0001</v>
      </c>
      <c r="T248" s="181">
        <f>_xll.qlVanillaSwapFairRate(S248)</f>
        <v>1.1049886810601059E-2</v>
      </c>
      <c r="U248" s="290">
        <f t="shared" si="23"/>
        <v>-3.0113189398942725E-5</v>
      </c>
      <c r="X248" s="176" t="str">
        <f t="shared" si="24"/>
        <v>1D</v>
      </c>
      <c r="Y248" s="164">
        <f>_xll.qlCalendarAdvance(Calendar,Y247,X248,"f",FALSE)</f>
        <v>42411</v>
      </c>
      <c r="Z248" s="188">
        <f>_xll.qlCalendarAdvance(Calendar,Y248,NDays&amp;"D")</f>
        <v>42415</v>
      </c>
      <c r="AA248" s="163">
        <v>7.7605340234131594E-4</v>
      </c>
      <c r="AB248" s="172">
        <v>6.8789964524640368E-4</v>
      </c>
    </row>
    <row r="249" spans="13:28" x14ac:dyDescent="0.2">
      <c r="M249" s="293" t="str">
        <v>obj_0085f#0001</v>
      </c>
      <c r="N249" s="176" t="str">
        <f>_xll.qlRateHelperQuoteName(M249)</f>
        <v>EUR10F10Y_Quote</v>
      </c>
      <c r="O249" s="164">
        <f>_xll.qlInterestRateIndexFixingDate(R249,_xll.qlRateHelperEarliestDate(M249,Trigger),)</f>
        <v>45736</v>
      </c>
      <c r="P249" s="191">
        <f>_xll.qlRateHelperQuoteValue(M249,_xll.ohTrigger(RecalcTrigger,YieldCurve))</f>
        <v>1.1040000000000001E-2</v>
      </c>
      <c r="Q249" s="194" t="str">
        <f t="shared" si="26"/>
        <v>10Y</v>
      </c>
      <c r="R249" s="194" t="str">
        <f>_xll.qlSwapIndex(,"Euribor",Q249,NDays,Currency,Calendar,"1Y","mf","30/360 (Bond Basis)",IborIndex,Discounting,,_xll.ohTrigger(Trigger,RecalcTrigger))</f>
        <v>obj_00982#0001</v>
      </c>
      <c r="S249" s="194" t="str">
        <f>_xll.qlVanillaSwapFromSwapIndex(,R249,O249)</f>
        <v>obj_00a8b#0001</v>
      </c>
      <c r="T249" s="181">
        <f>_xll.qlVanillaSwapFairRate(S249)</f>
        <v>1.1018640619781653E-2</v>
      </c>
      <c r="U249" s="290">
        <f t="shared" si="23"/>
        <v>-2.1359380218348434E-5</v>
      </c>
      <c r="X249" s="176" t="str">
        <f t="shared" si="24"/>
        <v>1D</v>
      </c>
      <c r="Y249" s="164">
        <f>_xll.qlCalendarAdvance(Calendar,Y248,X249,"f",FALSE)</f>
        <v>42412</v>
      </c>
      <c r="Z249" s="188">
        <f>_xll.qlCalendarAdvance(Calendar,Y249,NDays&amp;"D")</f>
        <v>42416</v>
      </c>
      <c r="AA249" s="163">
        <v>7.7647657064215593E-4</v>
      </c>
      <c r="AB249" s="172">
        <v>6.9141017431384455E-4</v>
      </c>
    </row>
    <row r="250" spans="13:28" x14ac:dyDescent="0.2">
      <c r="M250" s="293" t="str">
        <v>obj_00763#0001</v>
      </c>
      <c r="N250" s="176" t="str">
        <f>_xll.qlRateHelperQuoteName(M250)</f>
        <v>EUR10F11Y_Quote</v>
      </c>
      <c r="O250" s="164">
        <f>_xll.qlInterestRateIndexFixingDate(R250,_xll.qlRateHelperEarliestDate(M250,Trigger),)</f>
        <v>45736</v>
      </c>
      <c r="P250" s="191">
        <f>_xll.qlRateHelperQuoteValue(M250,_xll.ohTrigger(RecalcTrigger,YieldCurve))</f>
        <v>1.1009999999999999E-2</v>
      </c>
      <c r="Q250" s="194" t="str">
        <f t="shared" si="26"/>
        <v>11Y</v>
      </c>
      <c r="R250" s="194" t="str">
        <f>_xll.qlSwapIndex(,"Euribor",Q250,NDays,Currency,Calendar,"1Y","mf","30/360 (Bond Basis)",IborIndex,Discounting,,_xll.ohTrigger(Trigger,RecalcTrigger))</f>
        <v>obj_009d7#0001</v>
      </c>
      <c r="S250" s="194" t="str">
        <f>_xll.qlVanillaSwapFromSwapIndex(,R250,O250)</f>
        <v>obj_00ac3#0001</v>
      </c>
      <c r="T250" s="181">
        <f>_xll.qlVanillaSwapFairRate(S250)</f>
        <v>1.098552224292893E-2</v>
      </c>
      <c r="U250" s="290">
        <f t="shared" si="23"/>
        <v>-2.4477757071069209E-5</v>
      </c>
      <c r="X250" s="176" t="str">
        <f t="shared" si="24"/>
        <v>1D</v>
      </c>
      <c r="Y250" s="164">
        <f>_xll.qlCalendarAdvance(Calendar,Y249,X250,"f",FALSE)</f>
        <v>42415</v>
      </c>
      <c r="Z250" s="188">
        <f>_xll.qlCalendarAdvance(Calendar,Y250,NDays&amp;"D")</f>
        <v>42417</v>
      </c>
      <c r="AA250" s="163">
        <v>7.7689534751775057E-4</v>
      </c>
      <c r="AB250" s="172">
        <v>6.9419797278591489E-4</v>
      </c>
    </row>
    <row r="251" spans="13:28" x14ac:dyDescent="0.2">
      <c r="M251" s="293" t="str">
        <v>obj_0077b#0001</v>
      </c>
      <c r="N251" s="176" t="str">
        <f>_xll.qlRateHelperQuoteName(M251)</f>
        <v>EUR10F12Y_Quote</v>
      </c>
      <c r="O251" s="164">
        <f>_xll.qlInterestRateIndexFixingDate(R251,_xll.qlRateHelperEarliestDate(M251,Trigger),)</f>
        <v>45736</v>
      </c>
      <c r="P251" s="191">
        <f>_xll.qlRateHelperQuoteValue(M251,_xll.ohTrigger(RecalcTrigger,YieldCurve))</f>
        <v>1.0970000000000001E-2</v>
      </c>
      <c r="Q251" s="194" t="str">
        <f t="shared" si="26"/>
        <v>12Y</v>
      </c>
      <c r="R251" s="194" t="str">
        <f>_xll.qlSwapIndex(,"Euribor",Q251,NDays,Currency,Calendar,"1Y","mf","30/360 (Bond Basis)",IborIndex,Discounting,,_xll.ohTrigger(Trigger,RecalcTrigger))</f>
        <v>obj_00978#0001</v>
      </c>
      <c r="S251" s="194" t="str">
        <f>_xll.qlVanillaSwapFromSwapIndex(,R251,O251)</f>
        <v>obj_00b40#0001</v>
      </c>
      <c r="T251" s="181">
        <f>_xll.qlVanillaSwapFairRate(S251)</f>
        <v>1.0948042525200033E-2</v>
      </c>
      <c r="U251" s="290">
        <f t="shared" si="23"/>
        <v>-2.1957474799967971E-5</v>
      </c>
      <c r="X251" s="176" t="str">
        <f t="shared" si="24"/>
        <v>1D</v>
      </c>
      <c r="Y251" s="164">
        <f>_xll.qlCalendarAdvance(Calendar,Y250,X251,"f",FALSE)</f>
        <v>42416</v>
      </c>
      <c r="Z251" s="188">
        <f>_xll.qlCalendarAdvance(Calendar,Y251,NDays&amp;"D")</f>
        <v>42418</v>
      </c>
      <c r="AA251" s="163">
        <v>7.7731325884746838E-4</v>
      </c>
      <c r="AB251" s="172">
        <v>6.9626304050274257E-4</v>
      </c>
    </row>
    <row r="252" spans="13:28" x14ac:dyDescent="0.2">
      <c r="M252" s="293" t="str">
        <v>obj_00812#0001</v>
      </c>
      <c r="N252" s="176" t="str">
        <f>_xll.qlRateHelperQuoteName(M252)</f>
        <v>EUR10F13Y_Quote</v>
      </c>
      <c r="O252" s="164">
        <f>_xll.qlInterestRateIndexFixingDate(R252,_xll.qlRateHelperEarliestDate(M252,Trigger),)</f>
        <v>45736</v>
      </c>
      <c r="P252" s="191">
        <f>_xll.qlRateHelperQuoteValue(M252,_xll.ohTrigger(RecalcTrigger,YieldCurve))</f>
        <v>1.093E-2</v>
      </c>
      <c r="Q252" s="194" t="str">
        <f t="shared" si="26"/>
        <v>13Y</v>
      </c>
      <c r="R252" s="194" t="str">
        <f>_xll.qlSwapIndex(,"Euribor",Q252,NDays,Currency,Calendar,"1Y","mf","30/360 (Bond Basis)",IborIndex,Discounting,,_xll.ohTrigger(Trigger,RecalcTrigger))</f>
        <v>obj_009e4#0001</v>
      </c>
      <c r="S252" s="194" t="str">
        <f>_xll.qlVanillaSwapFromSwapIndex(,R252,O252)</f>
        <v>obj_00a16#0001</v>
      </c>
      <c r="T252" s="181">
        <f>_xll.qlVanillaSwapFairRate(S252)</f>
        <v>1.0912585564860038E-2</v>
      </c>
      <c r="U252" s="290">
        <f t="shared" si="23"/>
        <v>-1.7414435139962575E-5</v>
      </c>
      <c r="X252" s="176" t="str">
        <f t="shared" si="24"/>
        <v>1D</v>
      </c>
      <c r="Y252" s="164">
        <f>_xll.qlCalendarAdvance(Calendar,Y251,X252,"f",FALSE)</f>
        <v>42417</v>
      </c>
      <c r="Z252" s="188">
        <f>_xll.qlCalendarAdvance(Calendar,Y252,NDays&amp;"D")</f>
        <v>42419</v>
      </c>
      <c r="AA252" s="163">
        <v>7.777338305146311E-4</v>
      </c>
      <c r="AB252" s="172">
        <v>6.9798542708277012E-4</v>
      </c>
    </row>
    <row r="253" spans="13:28" x14ac:dyDescent="0.2">
      <c r="M253" s="293" t="str">
        <v>obj_007bf#0001</v>
      </c>
      <c r="N253" s="176" t="str">
        <f>_xll.qlRateHelperQuoteName(M253)</f>
        <v>EUR10F14Y_Quote</v>
      </c>
      <c r="O253" s="164">
        <f>_xll.qlInterestRateIndexFixingDate(R253,_xll.qlRateHelperEarliestDate(M253,Trigger),)</f>
        <v>45736</v>
      </c>
      <c r="P253" s="191">
        <f>_xll.qlRateHelperQuoteValue(M253,_xll.ohTrigger(RecalcTrigger,YieldCurve))</f>
        <v>1.091E-2</v>
      </c>
      <c r="Q253" s="194" t="str">
        <f t="shared" si="26"/>
        <v>14Y</v>
      </c>
      <c r="R253" s="194" t="str">
        <f>_xll.qlSwapIndex(,"Euribor",Q253,NDays,Currency,Calendar,"1Y","mf","30/360 (Bond Basis)",IborIndex,Discounting,,_xll.ohTrigger(Trigger,RecalcTrigger))</f>
        <v>obj_009ee#0001</v>
      </c>
      <c r="S253" s="194" t="str">
        <f>_xll.qlVanillaSwapFromSwapIndex(,R253,O253)</f>
        <v>obj_00a84#0001</v>
      </c>
      <c r="T253" s="181">
        <f>_xll.qlVanillaSwapFairRate(S253)</f>
        <v>1.0881443675477897E-2</v>
      </c>
      <c r="U253" s="290">
        <f t="shared" si="23"/>
        <v>-2.8556324522102661E-5</v>
      </c>
      <c r="X253" s="176" t="str">
        <f t="shared" si="24"/>
        <v>1D</v>
      </c>
      <c r="Y253" s="164">
        <f>_xll.qlCalendarAdvance(Calendar,Y252,X253,"f",FALSE)</f>
        <v>42418</v>
      </c>
      <c r="Z253" s="188">
        <f>_xll.qlCalendarAdvance(Calendar,Y253,NDays&amp;"D")</f>
        <v>42422</v>
      </c>
      <c r="AA253" s="163">
        <v>7.7904676641133667E-4</v>
      </c>
      <c r="AB253" s="172">
        <v>6.9729600477685949E-4</v>
      </c>
    </row>
    <row r="254" spans="13:28" x14ac:dyDescent="0.2">
      <c r="M254" s="293" t="str">
        <v>obj_00875#0001</v>
      </c>
      <c r="N254" s="176" t="str">
        <f>_xll.qlRateHelperQuoteName(M254)</f>
        <v>EUR10F15Y_Quote</v>
      </c>
      <c r="O254" s="164">
        <f>_xll.qlInterestRateIndexFixingDate(R254,_xll.qlRateHelperEarliestDate(M254,Trigger),)</f>
        <v>45736</v>
      </c>
      <c r="P254" s="191">
        <f>_xll.qlRateHelperQuoteValue(M254,_xll.ohTrigger(RecalcTrigger,YieldCurve))</f>
        <v>1.0880000000000001E-2</v>
      </c>
      <c r="Q254" s="194" t="str">
        <f t="shared" si="26"/>
        <v>15Y</v>
      </c>
      <c r="R254" s="194" t="str">
        <f>_xll.qlSwapIndex(,"Euribor",Q254,NDays,Currency,Calendar,"1Y","mf","30/360 (Bond Basis)",IborIndex,Discounting,,_xll.ohTrigger(Trigger,RecalcTrigger))</f>
        <v>obj_009a1#0001</v>
      </c>
      <c r="S254" s="194" t="str">
        <f>_xll.qlVanillaSwapFromSwapIndex(,R254,O254)</f>
        <v>obj_00b01#0001</v>
      </c>
      <c r="T254" s="181">
        <f>_xll.qlVanillaSwapFairRate(S254)</f>
        <v>1.0857922281448645E-2</v>
      </c>
      <c r="U254" s="290">
        <f t="shared" si="23"/>
        <v>-2.2077718551356124E-5</v>
      </c>
      <c r="X254" s="176" t="str">
        <f t="shared" si="24"/>
        <v>1D</v>
      </c>
      <c r="Y254" s="164">
        <f>_xll.qlCalendarAdvance(Calendar,Y253,X254,"f",FALSE)</f>
        <v>42419</v>
      </c>
      <c r="Z254" s="188">
        <f>_xll.qlCalendarAdvance(Calendar,Y254,NDays&amp;"D")</f>
        <v>42423</v>
      </c>
      <c r="AA254" s="163">
        <v>7.795132383163956E-4</v>
      </c>
      <c r="AB254" s="172">
        <v>6.9574741903721815E-4</v>
      </c>
    </row>
    <row r="255" spans="13:28" x14ac:dyDescent="0.2">
      <c r="M255" s="293" t="str">
        <v>obj_00766#0001</v>
      </c>
      <c r="N255" s="176" t="str">
        <f>_xll.qlRateHelperQuoteName(M255)</f>
        <v>EUR10F20Y_Quote</v>
      </c>
      <c r="O255" s="164">
        <f>_xll.qlInterestRateIndexFixingDate(R255,_xll.qlRateHelperEarliestDate(M255,Trigger),)</f>
        <v>45736</v>
      </c>
      <c r="P255" s="191">
        <f>_xll.qlRateHelperQuoteValue(M255,_xll.ohTrigger(RecalcTrigger,YieldCurve))</f>
        <v>1.081E-2</v>
      </c>
      <c r="Q255" s="194" t="str">
        <f t="shared" si="26"/>
        <v>20Y</v>
      </c>
      <c r="R255" s="194" t="str">
        <f>_xll.qlSwapIndex(,"Euribor",Q255,NDays,Currency,Calendar,"1Y","mf","30/360 (Bond Basis)",IborIndex,Discounting,,_xll.ohTrigger(Trigger,RecalcTrigger))</f>
        <v>obj_009c1#0001</v>
      </c>
      <c r="S255" s="194" t="str">
        <f>_xll.qlVanillaSwapFromSwapIndex(,R255,O255)</f>
        <v>obj_00b3b#0001</v>
      </c>
      <c r="T255" s="181">
        <f>_xll.qlVanillaSwapFairRate(S255)</f>
        <v>1.0785585448135489E-2</v>
      </c>
      <c r="U255" s="290">
        <f t="shared" si="23"/>
        <v>-2.4414551864511067E-5</v>
      </c>
      <c r="X255" s="176" t="str">
        <f t="shared" si="24"/>
        <v>1D</v>
      </c>
      <c r="Y255" s="164">
        <f>_xll.qlCalendarAdvance(Calendar,Y254,X255,"f",FALSE)</f>
        <v>42422</v>
      </c>
      <c r="Z255" s="188">
        <f>_xll.qlCalendarAdvance(Calendar,Y255,NDays&amp;"D")</f>
        <v>42424</v>
      </c>
      <c r="AA255" s="163">
        <v>7.8000000002030666E-4</v>
      </c>
      <c r="AB255" s="172">
        <v>6.9368639248779118E-4</v>
      </c>
    </row>
    <row r="256" spans="13:28" x14ac:dyDescent="0.2">
      <c r="M256" s="293" t="str">
        <v>obj_00808#0001</v>
      </c>
      <c r="N256" s="176" t="str">
        <f>_xll.qlRateHelperQuoteName(M256)</f>
        <v>EUR10F25Y_Quote</v>
      </c>
      <c r="O256" s="164">
        <f>_xll.qlInterestRateIndexFixingDate(R256,_xll.qlRateHelperEarliestDate(M256,Trigger),)</f>
        <v>45736</v>
      </c>
      <c r="P256" s="191">
        <f>_xll.qlRateHelperQuoteValue(M256,_xll.ohTrigger(RecalcTrigger,YieldCurve))</f>
        <v>1.0709999999999999E-2</v>
      </c>
      <c r="Q256" s="194" t="str">
        <f t="shared" si="26"/>
        <v>25Y</v>
      </c>
      <c r="R256" s="194" t="str">
        <f>_xll.qlSwapIndex(,"Euribor",Q256,NDays,Currency,Calendar,"1Y","mf","30/360 (Bond Basis)",IborIndex,Discounting,,_xll.ohTrigger(Trigger,RecalcTrigger))</f>
        <v>obj_0093f#0001</v>
      </c>
      <c r="S256" s="194" t="str">
        <f>_xll.qlVanillaSwapFromSwapIndex(,R256,O256)</f>
        <v>obj_00a65#0001</v>
      </c>
      <c r="T256" s="181">
        <f>_xll.qlVanillaSwapFairRate(S256)</f>
        <v>1.0689290622821564E-2</v>
      </c>
      <c r="U256" s="290">
        <f t="shared" si="23"/>
        <v>-2.0709377178435018E-5</v>
      </c>
      <c r="X256" s="176" t="str">
        <f t="shared" si="24"/>
        <v>1D</v>
      </c>
      <c r="Y256" s="164">
        <f>_xll.qlCalendarAdvance(Calendar,Y255,X256,"f",FALSE)</f>
        <v>42423</v>
      </c>
      <c r="Z256" s="188">
        <f>_xll.qlCalendarAdvance(Calendar,Y256,NDays&amp;"D")</f>
        <v>42425</v>
      </c>
      <c r="AA256" s="163">
        <v>7.8050985840351199E-4</v>
      </c>
      <c r="AB256" s="172">
        <v>6.9195408419098214E-4</v>
      </c>
    </row>
    <row r="257" spans="13:28" ht="12" thickBot="1" x14ac:dyDescent="0.25">
      <c r="M257" s="294" t="str">
        <v>obj_0080d#0001</v>
      </c>
      <c r="N257" s="177" t="str">
        <f>_xll.qlRateHelperQuoteName(M257)</f>
        <v>EUR10F30Y_Quote</v>
      </c>
      <c r="O257" s="174">
        <f>_xll.qlInterestRateIndexFixingDate(R257,_xll.qlRateHelperEarliestDate(M257,Trigger),)</f>
        <v>45736</v>
      </c>
      <c r="P257" s="192">
        <f>_xll.qlRateHelperQuoteValue(M257,_xll.ohTrigger(RecalcTrigger,YieldCurve))</f>
        <v>1.0549999999999999E-2</v>
      </c>
      <c r="Q257" s="195" t="str">
        <f t="shared" si="26"/>
        <v>30Y</v>
      </c>
      <c r="R257" s="195" t="str">
        <f>_xll.qlSwapIndex(,"Euribor",Q257,NDays,Currency,Calendar,"1Y","mf","30/360 (Bond Basis)",IborIndex,Discounting,,_xll.ohTrigger(Trigger,RecalcTrigger))</f>
        <v>obj_00a00#0001</v>
      </c>
      <c r="S257" s="195" t="str">
        <f>_xll.qlVanillaSwapFromSwapIndex(,R257,O257)</f>
        <v>obj_00b23#0001</v>
      </c>
      <c r="T257" s="183">
        <f>_xll.qlVanillaSwapFairRate(S257)</f>
        <v>1.0531513776899561E-2</v>
      </c>
      <c r="U257" s="291">
        <f t="shared" si="23"/>
        <v>-1.848622310043728E-5</v>
      </c>
      <c r="X257" s="176" t="str">
        <f t="shared" si="24"/>
        <v>1D</v>
      </c>
      <c r="Y257" s="164">
        <f>_xll.qlCalendarAdvance(Calendar,Y256,X257,"f",FALSE)</f>
        <v>42424</v>
      </c>
      <c r="Z257" s="188">
        <f>_xll.qlCalendarAdvance(Calendar,Y257,NDays&amp;"D")</f>
        <v>42426</v>
      </c>
      <c r="AA257" s="163">
        <v>7.8104274425807565E-4</v>
      </c>
      <c r="AB257" s="172">
        <v>6.9028748487909297E-4</v>
      </c>
    </row>
    <row r="258" spans="13:28" x14ac:dyDescent="0.2">
      <c r="M258" s="295" t="str">
        <v>obj_00879#0001</v>
      </c>
      <c r="N258" s="279" t="str">
        <f>_xll.qlRateHelperQuoteName(M258)</f>
        <v>EUR11F1Y_Quote</v>
      </c>
      <c r="O258" s="276">
        <f>_xll.qlInterestRateIndexFixingDate(R258,_xll.qlRateHelperEarliestDate(M258,Trigger),)</f>
        <v>46101</v>
      </c>
      <c r="P258" s="277">
        <f>_xll.qlRateHelperQuoteValue(M258,_xll.ohTrigger(RecalcTrigger,YieldCurve))</f>
        <v>1.107E-2</v>
      </c>
      <c r="Q258" s="275" t="str">
        <f t="shared" ref="Q258:Q275" si="27">SUBSTITUTE(SUBSTITUTE(N258,"_Quote",""),"EUR11F","")</f>
        <v>1Y</v>
      </c>
      <c r="R258" s="275" t="str">
        <f>_xll.qlSwapIndex(,"Euribor",Q258,NDays,Currency,Calendar,"1Y","mf","30/360 (Bond Basis)",IborIndex,Discounting,,_xll.ohTrigger(Trigger,RecalcTrigger))</f>
        <v>obj_008c7#0002</v>
      </c>
      <c r="S258" s="275" t="str">
        <f>_xll.qlVanillaSwapFromSwapIndex(,R258,O258)</f>
        <v>obj_00b3d#0001</v>
      </c>
      <c r="T258" s="278">
        <f>_xll.qlVanillaSwapFairRate(S258)</f>
        <v>1.1042734285647124E-2</v>
      </c>
      <c r="U258" s="292">
        <f t="shared" si="23"/>
        <v>-2.7265714352875739E-5</v>
      </c>
      <c r="X258" s="176" t="str">
        <f t="shared" si="24"/>
        <v>1D</v>
      </c>
      <c r="Y258" s="164">
        <f>_xll.qlCalendarAdvance(Calendar,Y257,X258,"f",FALSE)</f>
        <v>42425</v>
      </c>
      <c r="Z258" s="188">
        <f>_xll.qlCalendarAdvance(Calendar,Y258,NDays&amp;"D")</f>
        <v>42429</v>
      </c>
      <c r="AA258" s="163">
        <v>7.8301571290894257E-4</v>
      </c>
      <c r="AB258" s="172">
        <v>1.8784211307210086E-3</v>
      </c>
    </row>
    <row r="259" spans="13:28" x14ac:dyDescent="0.2">
      <c r="M259" s="293" t="str">
        <v>obj_007af#0001</v>
      </c>
      <c r="N259" s="176" t="str">
        <f>_xll.qlRateHelperQuoteName(M259)</f>
        <v>EUR11F2Y_Quote</v>
      </c>
      <c r="O259" s="164">
        <f>_xll.qlInterestRateIndexFixingDate(R259,_xll.qlRateHelperEarliestDate(M259,Trigger),)</f>
        <v>46101</v>
      </c>
      <c r="P259" s="191">
        <f>_xll.qlRateHelperQuoteValue(M259,_xll.ohTrigger(RecalcTrigger,YieldCurve))</f>
        <v>1.123E-2</v>
      </c>
      <c r="Q259" s="194" t="str">
        <f t="shared" si="27"/>
        <v>2Y</v>
      </c>
      <c r="R259" s="194" t="str">
        <f>_xll.qlSwapIndex(,"Euribor",Q259,NDays,Currency,Calendar,"1Y","mf","30/360 (Bond Basis)",IborIndex,Discounting,,_xll.ohTrigger(Trigger,RecalcTrigger))</f>
        <v>obj_009e7#0001</v>
      </c>
      <c r="S259" s="194" t="str">
        <f>_xll.qlVanillaSwapFromSwapIndex(,R259,O259)</f>
        <v>obj_00aea#0001</v>
      </c>
      <c r="T259" s="181">
        <f>_xll.qlVanillaSwapFairRate(S259)</f>
        <v>1.1126317950743409E-2</v>
      </c>
      <c r="U259" s="290">
        <f t="shared" si="23"/>
        <v>-1.036820492565909E-4</v>
      </c>
      <c r="X259" s="176" t="str">
        <f t="shared" si="24"/>
        <v>1D</v>
      </c>
      <c r="Y259" s="164">
        <f>_xll.qlCalendarAdvance(Calendar,Y258,X259,"f",FALSE)</f>
        <v>42426</v>
      </c>
      <c r="Z259" s="188">
        <f>_xll.qlCalendarAdvance(Calendar,Y259,NDays&amp;"D")</f>
        <v>42430</v>
      </c>
      <c r="AA259" s="163">
        <v>7.7721739047283925E-4</v>
      </c>
      <c r="AB259" s="172">
        <v>6.9137766407934009E-4</v>
      </c>
    </row>
    <row r="260" spans="13:28" x14ac:dyDescent="0.2">
      <c r="M260" s="293" t="str">
        <v>obj_0085e#0001</v>
      </c>
      <c r="N260" s="176" t="str">
        <f>_xll.qlRateHelperQuoteName(M260)</f>
        <v>EUR11F3Y_Quote</v>
      </c>
      <c r="O260" s="164">
        <f>_xll.qlInterestRateIndexFixingDate(R260,_xll.qlRateHelperEarliestDate(M260,Trigger),)</f>
        <v>46101</v>
      </c>
      <c r="P260" s="191">
        <f>_xll.qlRateHelperQuoteValue(M260,_xll.ohTrigger(RecalcTrigger,YieldCurve))</f>
        <v>1.1200000000000002E-2</v>
      </c>
      <c r="Q260" s="194" t="str">
        <f t="shared" si="27"/>
        <v>3Y</v>
      </c>
      <c r="R260" s="194" t="str">
        <f>_xll.qlSwapIndex(,"Euribor",Q260,NDays,Currency,Calendar,"1Y","mf","30/360 (Bond Basis)",IborIndex,Discounting,,_xll.ohTrigger(Trigger,RecalcTrigger))</f>
        <v>obj_009f0#0001</v>
      </c>
      <c r="S260" s="194" t="str">
        <f>_xll.qlVanillaSwapFromSwapIndex(,R260,O260)</f>
        <v>obj_00ae5#0001</v>
      </c>
      <c r="T260" s="181">
        <f>_xll.qlVanillaSwapFairRate(S260)</f>
        <v>1.11599428470559E-2</v>
      </c>
      <c r="U260" s="290">
        <f t="shared" si="23"/>
        <v>-4.0057152944101421E-5</v>
      </c>
      <c r="X260" s="176" t="str">
        <f t="shared" si="24"/>
        <v>1D</v>
      </c>
      <c r="Y260" s="164">
        <f>_xll.qlCalendarAdvance(Calendar,Y259,X260,"f",FALSE)</f>
        <v>42429</v>
      </c>
      <c r="Z260" s="188">
        <f>_xll.qlCalendarAdvance(Calendar,Y260,NDays&amp;"D")</f>
        <v>42431</v>
      </c>
      <c r="AA260" s="163">
        <v>7.7790135437878598E-4</v>
      </c>
      <c r="AB260" s="172">
        <v>6.9287940425155625E-4</v>
      </c>
    </row>
    <row r="261" spans="13:28" x14ac:dyDescent="0.2">
      <c r="M261" s="293" t="str">
        <v>obj_0081c#0001</v>
      </c>
      <c r="N261" s="176" t="str">
        <f>_xll.qlRateHelperQuoteName(M261)</f>
        <v>EUR11F4Y_Quote</v>
      </c>
      <c r="O261" s="164">
        <f>_xll.qlInterestRateIndexFixingDate(R261,_xll.qlRateHelperEarliestDate(M261,Trigger),)</f>
        <v>46101</v>
      </c>
      <c r="P261" s="191">
        <f>_xll.qlRateHelperQuoteValue(M261,_xll.ohTrigger(RecalcTrigger,YieldCurve))</f>
        <v>1.1200000000000002E-2</v>
      </c>
      <c r="Q261" s="194" t="str">
        <f t="shared" si="27"/>
        <v>4Y</v>
      </c>
      <c r="R261" s="194" t="str">
        <f>_xll.qlSwapIndex(,"Euribor",Q261,NDays,Currency,Calendar,"1Y","mf","30/360 (Bond Basis)",IborIndex,Discounting,,_xll.ohTrigger(Trigger,RecalcTrigger))</f>
        <v>obj_008ea#0002</v>
      </c>
      <c r="S261" s="194" t="str">
        <f>_xll.qlVanillaSwapFromSwapIndex(,R261,O261)</f>
        <v>obj_00af8#0001</v>
      </c>
      <c r="T261" s="181">
        <f>_xll.qlVanillaSwapFairRate(S261)</f>
        <v>1.1173254074505661E-2</v>
      </c>
      <c r="U261" s="290">
        <f t="shared" si="23"/>
        <v>-2.674592549434078E-5</v>
      </c>
      <c r="X261" s="176" t="str">
        <f t="shared" si="24"/>
        <v>1D</v>
      </c>
      <c r="Y261" s="164">
        <f>_xll.qlCalendarAdvance(Calendar,Y260,X261,"f",FALSE)</f>
        <v>42430</v>
      </c>
      <c r="Z261" s="188">
        <f>_xll.qlCalendarAdvance(Calendar,Y261,NDays&amp;"D")</f>
        <v>42432</v>
      </c>
      <c r="AA261" s="163">
        <v>7.7918564908327395E-4</v>
      </c>
      <c r="AB261" s="172">
        <v>6.9492015254191131E-4</v>
      </c>
    </row>
    <row r="262" spans="13:28" x14ac:dyDescent="0.2">
      <c r="M262" s="293" t="str">
        <v>obj_00785#0001</v>
      </c>
      <c r="N262" s="176" t="str">
        <f>_xll.qlRateHelperQuoteName(M262)</f>
        <v>EUR11F5Y_Quote</v>
      </c>
      <c r="O262" s="164">
        <f>_xll.qlInterestRateIndexFixingDate(R262,_xll.qlRateHelperEarliestDate(M262,Trigger),)</f>
        <v>46101</v>
      </c>
      <c r="P262" s="191">
        <f>_xll.qlRateHelperQuoteValue(M262,_xll.ohTrigger(RecalcTrigger,YieldCurve))</f>
        <v>1.1169999999999999E-2</v>
      </c>
      <c r="Q262" s="194" t="str">
        <f t="shared" si="27"/>
        <v>5Y</v>
      </c>
      <c r="R262" s="194" t="str">
        <f>_xll.qlSwapIndex(,"Euribor",Q262,NDays,Currency,Calendar,"1Y","mf","30/360 (Bond Basis)",IborIndex,Discounting,,_xll.ohTrigger(Trigger,RecalcTrigger))</f>
        <v>obj_0098d#0001</v>
      </c>
      <c r="S262" s="194" t="str">
        <f>_xll.qlVanillaSwapFromSwapIndex(,R262,O262)</f>
        <v>obj_00a94#0001</v>
      </c>
      <c r="T262" s="181">
        <f>_xll.qlVanillaSwapFairRate(S262)</f>
        <v>1.1167904487932681E-2</v>
      </c>
      <c r="U262" s="290">
        <f t="shared" si="23"/>
        <v>-2.0955120673179367E-6</v>
      </c>
      <c r="X262" s="176" t="str">
        <f t="shared" si="24"/>
        <v>1D</v>
      </c>
      <c r="Y262" s="164">
        <f>_xll.qlCalendarAdvance(Calendar,Y261,X262,"f",FALSE)</f>
        <v>42431</v>
      </c>
      <c r="Z262" s="188">
        <f>_xll.qlCalendarAdvance(Calendar,Y262,NDays&amp;"D")</f>
        <v>42433</v>
      </c>
      <c r="AA262" s="163">
        <v>7.7963963328896656E-4</v>
      </c>
      <c r="AB262" s="172">
        <v>7.0079970703851302E-4</v>
      </c>
    </row>
    <row r="263" spans="13:28" x14ac:dyDescent="0.2">
      <c r="M263" s="293" t="str">
        <v>obj_00832#0001</v>
      </c>
      <c r="N263" s="176" t="str">
        <f>_xll.qlRateHelperQuoteName(M263)</f>
        <v>EUR11F6Y_Quote</v>
      </c>
      <c r="O263" s="164">
        <f>_xll.qlInterestRateIndexFixingDate(R263,_xll.qlRateHelperEarliestDate(M263,Trigger),)</f>
        <v>46101</v>
      </c>
      <c r="P263" s="191">
        <f>_xll.qlRateHelperQuoteValue(M263,_xll.ohTrigger(RecalcTrigger,YieldCurve))</f>
        <v>1.1200000000000002E-2</v>
      </c>
      <c r="Q263" s="194" t="str">
        <f t="shared" si="27"/>
        <v>6Y</v>
      </c>
      <c r="R263" s="194" t="str">
        <f>_xll.qlSwapIndex(,"Euribor",Q263,NDays,Currency,Calendar,"1Y","mf","30/360 (Bond Basis)",IborIndex,Discounting,,_xll.ohTrigger(Trigger,RecalcTrigger))</f>
        <v>obj_00911#0001</v>
      </c>
      <c r="S263" s="194" t="str">
        <f>_xll.qlVanillaSwapFromSwapIndex(,R263,O263)</f>
        <v>obj_00a8a#0001</v>
      </c>
      <c r="T263" s="181">
        <f>_xll.qlVanillaSwapFairRate(S263)</f>
        <v>1.1154915136555371E-2</v>
      </c>
      <c r="U263" s="290">
        <f t="shared" si="23"/>
        <v>-4.5084863444630821E-5</v>
      </c>
      <c r="X263" s="176" t="str">
        <f t="shared" si="24"/>
        <v>1D</v>
      </c>
      <c r="Y263" s="164">
        <f>_xll.qlCalendarAdvance(Calendar,Y262,X263,"f",FALSE)</f>
        <v>42432</v>
      </c>
      <c r="Z263" s="188">
        <f>_xll.qlCalendarAdvance(Calendar,Y263,NDays&amp;"D")</f>
        <v>42436</v>
      </c>
      <c r="AA263" s="163">
        <v>7.8164159562159514E-4</v>
      </c>
      <c r="AB263" s="172">
        <v>7.0847322680478442E-4</v>
      </c>
    </row>
    <row r="264" spans="13:28" x14ac:dyDescent="0.2">
      <c r="M264" s="293" t="str">
        <v>obj_0086c#0001</v>
      </c>
      <c r="N264" s="176" t="str">
        <f>_xll.qlRateHelperQuoteName(M264)</f>
        <v>EUR11F7Y_Quote</v>
      </c>
      <c r="O264" s="164">
        <f>_xll.qlInterestRateIndexFixingDate(R264,_xll.qlRateHelperEarliestDate(M264,Trigger),)</f>
        <v>46101</v>
      </c>
      <c r="P264" s="191">
        <f>_xll.qlRateHelperQuoteValue(M264,_xll.ohTrigger(RecalcTrigger,YieldCurve))</f>
        <v>1.115E-2</v>
      </c>
      <c r="Q264" s="194" t="str">
        <f t="shared" si="27"/>
        <v>7Y</v>
      </c>
      <c r="R264" s="194" t="str">
        <f>_xll.qlSwapIndex(,"Euribor",Q264,NDays,Currency,Calendar,"1Y","mf","30/360 (Bond Basis)",IborIndex,Discounting,,_xll.ohTrigger(Trigger,RecalcTrigger))</f>
        <v>obj_008f0#0002</v>
      </c>
      <c r="S264" s="194" t="str">
        <f>_xll.qlVanillaSwapFromSwapIndex(,R264,O264)</f>
        <v>obj_00aa2#0001</v>
      </c>
      <c r="T264" s="181">
        <f>_xll.qlVanillaSwapFairRate(S264)</f>
        <v>1.1127647141577544E-2</v>
      </c>
      <c r="U264" s="290">
        <f t="shared" si="23"/>
        <v>-2.235285842245617E-5</v>
      </c>
      <c r="X264" s="176" t="str">
        <f t="shared" si="24"/>
        <v>1D</v>
      </c>
      <c r="Y264" s="164">
        <f>_xll.qlCalendarAdvance(Calendar,Y263,X264,"f",FALSE)</f>
        <v>42433</v>
      </c>
      <c r="Z264" s="188">
        <f>_xll.qlCalendarAdvance(Calendar,Y264,NDays&amp;"D")</f>
        <v>42437</v>
      </c>
      <c r="AA264" s="163">
        <v>7.8244827059276406E-4</v>
      </c>
      <c r="AB264" s="172">
        <v>7.1320901576577E-4</v>
      </c>
    </row>
    <row r="265" spans="13:28" x14ac:dyDescent="0.2">
      <c r="M265" s="293" t="str">
        <v>obj_00761#0001</v>
      </c>
      <c r="N265" s="176" t="str">
        <f>_xll.qlRateHelperQuoteName(M265)</f>
        <v>EUR11F8Y_Quote</v>
      </c>
      <c r="O265" s="164">
        <f>_xll.qlInterestRateIndexFixingDate(R265,_xll.qlRateHelperEarliestDate(M265,Trigger),)</f>
        <v>46101</v>
      </c>
      <c r="P265" s="191">
        <f>_xll.qlRateHelperQuoteValue(M265,_xll.ohTrigger(RecalcTrigger,YieldCurve))</f>
        <v>1.1129999999999999E-2</v>
      </c>
      <c r="Q265" s="194" t="str">
        <f t="shared" si="27"/>
        <v>8Y</v>
      </c>
      <c r="R265" s="194" t="str">
        <f>_xll.qlSwapIndex(,"Euribor",Q265,NDays,Currency,Calendar,"1Y","mf","30/360 (Bond Basis)",IborIndex,Discounting,,_xll.ohTrigger(Trigger,RecalcTrigger))</f>
        <v>obj_00a01#0001</v>
      </c>
      <c r="S265" s="194" t="str">
        <f>_xll.qlVanillaSwapFromSwapIndex(,R265,O265)</f>
        <v>obj_00ad8#0001</v>
      </c>
      <c r="T265" s="181">
        <f>_xll.qlVanillaSwapFairRate(S265)</f>
        <v>1.1093897626595576E-2</v>
      </c>
      <c r="U265" s="290">
        <f t="shared" si="23"/>
        <v>-3.6102373404423363E-5</v>
      </c>
      <c r="X265" s="176" t="str">
        <f t="shared" si="24"/>
        <v>1D</v>
      </c>
      <c r="Y265" s="164">
        <f>_xll.qlCalendarAdvance(Calendar,Y264,X265,"f",FALSE)</f>
        <v>42436</v>
      </c>
      <c r="Z265" s="188">
        <f>_xll.qlCalendarAdvance(Calendar,Y265,NDays&amp;"D")</f>
        <v>42438</v>
      </c>
      <c r="AA265" s="163">
        <v>7.8327266859523636E-4</v>
      </c>
      <c r="AB265" s="172">
        <v>7.1848381284489449E-4</v>
      </c>
    </row>
    <row r="266" spans="13:28" x14ac:dyDescent="0.2">
      <c r="M266" s="293" t="str">
        <v>obj_00771#0001</v>
      </c>
      <c r="N266" s="176" t="str">
        <f>_xll.qlRateHelperQuoteName(M266)</f>
        <v>EUR11F9Y_Quote</v>
      </c>
      <c r="O266" s="164">
        <f>_xll.qlInterestRateIndexFixingDate(R266,_xll.qlRateHelperEarliestDate(M266,Trigger),)</f>
        <v>46101</v>
      </c>
      <c r="P266" s="191">
        <f>_xll.qlRateHelperQuoteValue(M266,_xll.ohTrigger(RecalcTrigger,YieldCurve))</f>
        <v>1.1080000000000001E-2</v>
      </c>
      <c r="Q266" s="194" t="str">
        <f t="shared" si="27"/>
        <v>9Y</v>
      </c>
      <c r="R266" s="194" t="str">
        <f>_xll.qlSwapIndex(,"Euribor",Q266,NDays,Currency,Calendar,"1Y","mf","30/360 (Bond Basis)",IborIndex,Discounting,,_xll.ohTrigger(Trigger,RecalcTrigger))</f>
        <v>obj_0097f#0001</v>
      </c>
      <c r="S266" s="194" t="str">
        <f>_xll.qlVanillaSwapFromSwapIndex(,R266,O266)</f>
        <v>obj_00a83#0001</v>
      </c>
      <c r="T266" s="181">
        <f>_xll.qlVanillaSwapFairRate(S266)</f>
        <v>1.1054279928586003E-2</v>
      </c>
      <c r="U266" s="290">
        <f t="shared" si="23"/>
        <v>-2.5720071413997889E-5</v>
      </c>
      <c r="X266" s="176" t="str">
        <f t="shared" si="24"/>
        <v>1D</v>
      </c>
      <c r="Y266" s="164">
        <f>_xll.qlCalendarAdvance(Calendar,Y265,X266,"f",FALSE)</f>
        <v>42437</v>
      </c>
      <c r="Z266" s="188">
        <f>_xll.qlCalendarAdvance(Calendar,Y266,NDays&amp;"D")</f>
        <v>42439</v>
      </c>
      <c r="AA266" s="163">
        <v>7.8521991543653482E-4</v>
      </c>
      <c r="AB266" s="172">
        <v>7.2429761820202998E-4</v>
      </c>
    </row>
    <row r="267" spans="13:28" x14ac:dyDescent="0.2">
      <c r="M267" s="293" t="str">
        <v>obj_0083c#0001</v>
      </c>
      <c r="N267" s="176" t="str">
        <f>_xll.qlRateHelperQuoteName(M267)</f>
        <v>EUR11F10Y_Quote</v>
      </c>
      <c r="O267" s="164">
        <f>_xll.qlInterestRateIndexFixingDate(R267,_xll.qlRateHelperEarliestDate(M267,Trigger),)</f>
        <v>46101</v>
      </c>
      <c r="P267" s="191">
        <f>_xll.qlRateHelperQuoteValue(M267,_xll.ohTrigger(RecalcTrigger,YieldCurve))</f>
        <v>1.1040000000000001E-2</v>
      </c>
      <c r="Q267" s="194" t="str">
        <f t="shared" si="27"/>
        <v>10Y</v>
      </c>
      <c r="R267" s="194" t="str">
        <f>_xll.qlSwapIndex(,"Euribor",Q267,NDays,Currency,Calendar,"1Y","mf","30/360 (Bond Basis)",IborIndex,Discounting,,_xll.ohTrigger(Trigger,RecalcTrigger))</f>
        <v>obj_008e3#0002</v>
      </c>
      <c r="S267" s="194" t="str">
        <f>_xll.qlVanillaSwapFromSwapIndex(,R267,O267)</f>
        <v>obj_00a15#0001</v>
      </c>
      <c r="T267" s="181">
        <f>_xll.qlVanillaSwapFairRate(S267)</f>
        <v>1.1014293079528529E-2</v>
      </c>
      <c r="U267" s="290">
        <f t="shared" si="23"/>
        <v>-2.5706920471471953E-5</v>
      </c>
      <c r="X267" s="176" t="str">
        <f t="shared" si="24"/>
        <v>1D</v>
      </c>
      <c r="Y267" s="164">
        <f>_xll.qlCalendarAdvance(Calendar,Y266,X267,"f",FALSE)</f>
        <v>42438</v>
      </c>
      <c r="Z267" s="188">
        <f>_xll.qlCalendarAdvance(Calendar,Y267,NDays&amp;"D")</f>
        <v>42440</v>
      </c>
      <c r="AA267" s="163">
        <v>7.8554764467805036E-4</v>
      </c>
      <c r="AB267" s="172">
        <v>7.377234346872541E-4</v>
      </c>
    </row>
    <row r="268" spans="13:28" x14ac:dyDescent="0.2">
      <c r="M268" s="293" t="str">
        <v>obj_00841#0001</v>
      </c>
      <c r="N268" s="176" t="str">
        <f>_xll.qlRateHelperQuoteName(M268)</f>
        <v>EUR11F11Y_Quote</v>
      </c>
      <c r="O268" s="164">
        <f>_xll.qlInterestRateIndexFixingDate(R268,_xll.qlRateHelperEarliestDate(M268,Trigger),)</f>
        <v>46101</v>
      </c>
      <c r="P268" s="191">
        <f>_xll.qlRateHelperQuoteValue(M268,_xll.ohTrigger(RecalcTrigger,YieldCurve))</f>
        <v>1.099E-2</v>
      </c>
      <c r="Q268" s="194" t="str">
        <f t="shared" si="27"/>
        <v>11Y</v>
      </c>
      <c r="R268" s="194" t="str">
        <f>_xll.qlSwapIndex(,"Euribor",Q268,NDays,Currency,Calendar,"1Y","mf","30/360 (Bond Basis)",IborIndex,Discounting,,_xll.ohTrigger(Trigger,RecalcTrigger))</f>
        <v>obj_00988#0001</v>
      </c>
      <c r="S268" s="194" t="str">
        <f>_xll.qlVanillaSwapFromSwapIndex(,R268,O268)</f>
        <v>obj_00b60#0001</v>
      </c>
      <c r="T268" s="181">
        <f>_xll.qlVanillaSwapFairRate(S268)</f>
        <v>1.0970718578691885E-2</v>
      </c>
      <c r="U268" s="290">
        <f t="shared" si="23"/>
        <v>-1.9281421308114596E-5</v>
      </c>
      <c r="X268" s="176" t="str">
        <f t="shared" si="24"/>
        <v>1D</v>
      </c>
      <c r="Y268" s="164">
        <f>_xll.qlCalendarAdvance(Calendar,Y267,X268,"f",FALSE)</f>
        <v>42439</v>
      </c>
      <c r="Z268" s="188">
        <f>_xll.qlCalendarAdvance(Calendar,Y268,NDays&amp;"D")</f>
        <v>42443</v>
      </c>
      <c r="AA268" s="163">
        <v>7.8763321584981885E-4</v>
      </c>
      <c r="AB268" s="172">
        <v>7.5294292209093783E-4</v>
      </c>
    </row>
    <row r="269" spans="13:28" x14ac:dyDescent="0.2">
      <c r="M269" s="293" t="str">
        <v>obj_0076a#0001</v>
      </c>
      <c r="N269" s="176" t="str">
        <f>_xll.qlRateHelperQuoteName(M269)</f>
        <v>EUR11F12Y_Quote</v>
      </c>
      <c r="O269" s="164">
        <f>_xll.qlInterestRateIndexFixingDate(R269,_xll.qlRateHelperEarliestDate(M269,Trigger),)</f>
        <v>46101</v>
      </c>
      <c r="P269" s="191">
        <f>_xll.qlRateHelperQuoteValue(M269,_xll.ohTrigger(RecalcTrigger,YieldCurve))</f>
        <v>1.095E-2</v>
      </c>
      <c r="Q269" s="194" t="str">
        <f t="shared" si="27"/>
        <v>12Y</v>
      </c>
      <c r="R269" s="194" t="str">
        <f>_xll.qlSwapIndex(,"Euribor",Q269,NDays,Currency,Calendar,"1Y","mf","30/360 (Bond Basis)",IborIndex,Discounting,,_xll.ohTrigger(Trigger,RecalcTrigger))</f>
        <v>obj_00999#0001</v>
      </c>
      <c r="S269" s="194" t="str">
        <f>_xll.qlVanillaSwapFromSwapIndex(,R269,O269)</f>
        <v>obj_00a0e#0001</v>
      </c>
      <c r="T269" s="181">
        <f>_xll.qlVanillaSwapFairRate(S269)</f>
        <v>1.0930330517735161E-2</v>
      </c>
      <c r="U269" s="290">
        <f t="shared" si="23"/>
        <v>-1.9669482264839111E-5</v>
      </c>
      <c r="X269" s="176" t="str">
        <f t="shared" si="24"/>
        <v>1D</v>
      </c>
      <c r="Y269" s="164">
        <f>_xll.qlCalendarAdvance(Calendar,Y268,X269,"f",FALSE)</f>
        <v>42440</v>
      </c>
      <c r="Z269" s="188">
        <f>_xll.qlCalendarAdvance(Calendar,Y269,NDays&amp;"D")</f>
        <v>42444</v>
      </c>
      <c r="AA269" s="163">
        <v>7.8854757909059374E-4</v>
      </c>
      <c r="AB269" s="172">
        <v>7.6145176883812837E-4</v>
      </c>
    </row>
    <row r="270" spans="13:28" x14ac:dyDescent="0.2">
      <c r="M270" s="293" t="str">
        <v>obj_00831#0001</v>
      </c>
      <c r="N270" s="176" t="str">
        <f>_xll.qlRateHelperQuoteName(M270)</f>
        <v>EUR11F13Y_Quote</v>
      </c>
      <c r="O270" s="164">
        <f>_xll.qlInterestRateIndexFixingDate(R270,_xll.qlRateHelperEarliestDate(M270,Trigger),)</f>
        <v>46101</v>
      </c>
      <c r="P270" s="191">
        <f>_xll.qlRateHelperQuoteValue(M270,_xll.ohTrigger(RecalcTrigger,YieldCurve))</f>
        <v>1.0920000000000001E-2</v>
      </c>
      <c r="Q270" s="194" t="str">
        <f t="shared" si="27"/>
        <v>13Y</v>
      </c>
      <c r="R270" s="194" t="str">
        <f>_xll.qlSwapIndex(,"Euribor",Q270,NDays,Currency,Calendar,"1Y","mf","30/360 (Bond Basis)",IborIndex,Discounting,,_xll.ohTrigger(Trigger,RecalcTrigger))</f>
        <v>obj_009ba#0001</v>
      </c>
      <c r="S270" s="194" t="str">
        <f>_xll.qlVanillaSwapFromSwapIndex(,R270,O270)</f>
        <v>obj_00ae6#0001</v>
      </c>
      <c r="T270" s="181">
        <f>_xll.qlVanillaSwapFairRate(S270)</f>
        <v>1.0895343267667137E-2</v>
      </c>
      <c r="U270" s="290">
        <f t="shared" si="23"/>
        <v>-2.4656732332864126E-5</v>
      </c>
      <c r="X270" s="176" t="str">
        <f t="shared" si="24"/>
        <v>1D</v>
      </c>
      <c r="Y270" s="164">
        <f>_xll.qlCalendarAdvance(Calendar,Y269,X270,"f",FALSE)</f>
        <v>42443</v>
      </c>
      <c r="Z270" s="188">
        <f>_xll.qlCalendarAdvance(Calendar,Y270,NDays&amp;"D")</f>
        <v>42445</v>
      </c>
      <c r="AA270" s="163">
        <v>7.8947420770226139E-4</v>
      </c>
      <c r="AB270" s="172">
        <v>7.7049962402320205E-4</v>
      </c>
    </row>
    <row r="271" spans="13:28" x14ac:dyDescent="0.2">
      <c r="M271" s="293" t="str">
        <v>obj_0077f#0001</v>
      </c>
      <c r="N271" s="176" t="str">
        <f>_xll.qlRateHelperQuoteName(M271)</f>
        <v>EUR11F14Y_Quote</v>
      </c>
      <c r="O271" s="164">
        <f>_xll.qlInterestRateIndexFixingDate(R271,_xll.qlRateHelperEarliestDate(M271,Trigger),)</f>
        <v>46101</v>
      </c>
      <c r="P271" s="191">
        <f>_xll.qlRateHelperQuoteValue(M271,_xll.ohTrigger(RecalcTrigger,YieldCurve))</f>
        <v>1.089E-2</v>
      </c>
      <c r="Q271" s="194" t="str">
        <f t="shared" si="27"/>
        <v>14Y</v>
      </c>
      <c r="R271" s="194" t="str">
        <f>_xll.qlSwapIndex(,"Euribor",Q271,NDays,Currency,Calendar,"1Y","mf","30/360 (Bond Basis)",IborIndex,Discounting,,_xll.ohTrigger(Trigger,RecalcTrigger))</f>
        <v>obj_009c2#0001</v>
      </c>
      <c r="S271" s="194" t="str">
        <f>_xll.qlVanillaSwapFromSwapIndex(,R271,O271)</f>
        <v>obj_00b06#0001</v>
      </c>
      <c r="T271" s="181">
        <f>_xll.qlVanillaSwapFairRate(S271)</f>
        <v>1.0869083459741928E-2</v>
      </c>
      <c r="U271" s="290">
        <f t="shared" ref="U271:U334" si="28">T271-P271</f>
        <v>-2.091654025807195E-5</v>
      </c>
      <c r="X271" s="176" t="str">
        <f t="shared" si="24"/>
        <v>1D</v>
      </c>
      <c r="Y271" s="164">
        <f>_xll.qlCalendarAdvance(Calendar,Y270,X271,"f",FALSE)</f>
        <v>42444</v>
      </c>
      <c r="Z271" s="188">
        <f>_xll.qlCalendarAdvance(Calendar,Y271,NDays&amp;"D")</f>
        <v>42446</v>
      </c>
      <c r="AA271" s="163">
        <v>7.9224621538141336E-4</v>
      </c>
      <c r="AB271" s="172">
        <v>7.8008648756622279E-4</v>
      </c>
    </row>
    <row r="272" spans="13:28" x14ac:dyDescent="0.2">
      <c r="M272" s="293" t="str">
        <v>obj_007c2#0001</v>
      </c>
      <c r="N272" s="176" t="str">
        <f>_xll.qlRateHelperQuoteName(M272)</f>
        <v>EUR11F15Y_Quote</v>
      </c>
      <c r="O272" s="164">
        <f>_xll.qlInterestRateIndexFixingDate(R272,_xll.qlRateHelperEarliestDate(M272,Trigger),)</f>
        <v>46101</v>
      </c>
      <c r="P272" s="191">
        <f>_xll.qlRateHelperQuoteValue(M272,_xll.ohTrigger(RecalcTrigger,YieldCurve))</f>
        <v>1.0880000000000001E-2</v>
      </c>
      <c r="Q272" s="194" t="str">
        <f t="shared" si="27"/>
        <v>15Y</v>
      </c>
      <c r="R272" s="194" t="str">
        <f>_xll.qlSwapIndex(,"Euribor",Q272,NDays,Currency,Calendar,"1Y","mf","30/360 (Bond Basis)",IborIndex,Discounting,,_xll.ohTrigger(Trigger,RecalcTrigger))</f>
        <v>obj_008c4#0002</v>
      </c>
      <c r="S272" s="194" t="str">
        <f>_xll.qlVanillaSwapFromSwapIndex(,R272,O272)</f>
        <v>obj_00b03#0001</v>
      </c>
      <c r="T272" s="181">
        <f>_xll.qlVanillaSwapFairRate(S272)</f>
        <v>1.0848365233495865E-2</v>
      </c>
      <c r="U272" s="290">
        <f t="shared" si="28"/>
        <v>-3.1634766504135339E-5</v>
      </c>
      <c r="X272" s="176" t="str">
        <f t="shared" si="24"/>
        <v>1D</v>
      </c>
      <c r="Y272" s="164">
        <f>_xll.qlCalendarAdvance(Calendar,Y271,X272,"f",FALSE)</f>
        <v>42445</v>
      </c>
      <c r="Z272" s="188">
        <f>_xll.qlCalendarAdvance(Calendar,Y272,NDays&amp;"D")</f>
        <v>42447</v>
      </c>
      <c r="AA272" s="163">
        <v>7.9231022677711397E-4</v>
      </c>
      <c r="AB272" s="172">
        <v>8.0105869223245918E-4</v>
      </c>
    </row>
    <row r="273" spans="13:28" x14ac:dyDescent="0.2">
      <c r="M273" s="293" t="str">
        <v>obj_007ca#0001</v>
      </c>
      <c r="N273" s="176" t="str">
        <f>_xll.qlRateHelperQuoteName(M273)</f>
        <v>EUR11F20Y_Quote</v>
      </c>
      <c r="O273" s="164">
        <f>_xll.qlInterestRateIndexFixingDate(R273,_xll.qlRateHelperEarliestDate(M273,Trigger),)</f>
        <v>46101</v>
      </c>
      <c r="P273" s="191">
        <f>_xll.qlRateHelperQuoteValue(M273,_xll.ohTrigger(RecalcTrigger,YieldCurve))</f>
        <v>1.0789999999999999E-2</v>
      </c>
      <c r="Q273" s="194" t="str">
        <f t="shared" si="27"/>
        <v>20Y</v>
      </c>
      <c r="R273" s="194" t="str">
        <f>_xll.qlSwapIndex(,"Euribor",Q273,NDays,Currency,Calendar,"1Y","mf","30/360 (Bond Basis)",IborIndex,Discounting,,_xll.ohTrigger(Trigger,RecalcTrigger))</f>
        <v>obj_00985#0001</v>
      </c>
      <c r="S273" s="194" t="str">
        <f>_xll.qlVanillaSwapFromSwapIndex(,R273,O273)</f>
        <v>obj_00a2d#0001</v>
      </c>
      <c r="T273" s="181">
        <f>_xll.qlVanillaSwapFairRate(S273)</f>
        <v>1.077126848048072E-2</v>
      </c>
      <c r="U273" s="290">
        <f t="shared" si="28"/>
        <v>-1.8731519519279288E-5</v>
      </c>
      <c r="X273" s="176" t="str">
        <f t="shared" si="24"/>
        <v>1D</v>
      </c>
      <c r="Y273" s="164">
        <f>_xll.qlCalendarAdvance(Calendar,Y272,X273,"f",FALSE)</f>
        <v>42446</v>
      </c>
      <c r="Z273" s="188">
        <f>_xll.qlCalendarAdvance(Calendar,Y273,NDays&amp;"D")</f>
        <v>42450</v>
      </c>
      <c r="AA273" s="163">
        <v>7.9426404283339496E-4</v>
      </c>
      <c r="AB273" s="172">
        <v>8.2382402739611393E-4</v>
      </c>
    </row>
    <row r="274" spans="13:28" x14ac:dyDescent="0.2">
      <c r="M274" s="293" t="str">
        <v>obj_00874#0001</v>
      </c>
      <c r="N274" s="176" t="str">
        <f>_xll.qlRateHelperQuoteName(M274)</f>
        <v>EUR11F25Y_Quote</v>
      </c>
      <c r="O274" s="164">
        <f>_xll.qlInterestRateIndexFixingDate(R274,_xll.qlRateHelperEarliestDate(M274,Trigger),)</f>
        <v>46101</v>
      </c>
      <c r="P274" s="191">
        <f>_xll.qlRateHelperQuoteValue(M274,_xll.ohTrigger(RecalcTrigger,YieldCurve))</f>
        <v>1.069E-2</v>
      </c>
      <c r="Q274" s="194" t="str">
        <f t="shared" si="27"/>
        <v>25Y</v>
      </c>
      <c r="R274" s="194" t="str">
        <f>_xll.qlSwapIndex(,"Euribor",Q274,NDays,Currency,Calendar,"1Y","mf","30/360 (Bond Basis)",IborIndex,Discounting,,_xll.ohTrigger(Trigger,RecalcTrigger))</f>
        <v>obj_009c8#0001</v>
      </c>
      <c r="S274" s="194" t="str">
        <f>_xll.qlVanillaSwapFromSwapIndex(,R274,O274)</f>
        <v>obj_00ad7#0001</v>
      </c>
      <c r="T274" s="181">
        <f>_xll.qlVanillaSwapFairRate(S274)</f>
        <v>1.066696929052317E-2</v>
      </c>
      <c r="U274" s="290">
        <f t="shared" si="28"/>
        <v>-2.3030709476829989E-5</v>
      </c>
      <c r="X274" s="176" t="str">
        <f t="shared" si="24"/>
        <v>1D</v>
      </c>
      <c r="Y274" s="164">
        <f>_xll.qlCalendarAdvance(Calendar,Y273,X274,"f",FALSE)</f>
        <v>42447</v>
      </c>
      <c r="Z274" s="188">
        <f>_xll.qlCalendarAdvance(Calendar,Y274,NDays&amp;"D")</f>
        <v>42451</v>
      </c>
      <c r="AA274" s="163">
        <v>7.9524789055407873E-4</v>
      </c>
      <c r="AB274" s="172">
        <v>8.3610593384797482E-4</v>
      </c>
    </row>
    <row r="275" spans="13:28" ht="12" thickBot="1" x14ac:dyDescent="0.25">
      <c r="M275" s="294" t="str">
        <v>obj_00754#0001</v>
      </c>
      <c r="N275" s="177" t="str">
        <f>_xll.qlRateHelperQuoteName(M275)</f>
        <v>EUR11F30Y_Quote</v>
      </c>
      <c r="O275" s="174">
        <f>_xll.qlInterestRateIndexFixingDate(R275,_xll.qlRateHelperEarliestDate(M275,Trigger),)</f>
        <v>46101</v>
      </c>
      <c r="P275" s="192">
        <f>_xll.qlRateHelperQuoteValue(M275,_xll.ohTrigger(RecalcTrigger,YieldCurve))</f>
        <v>1.048E-2</v>
      </c>
      <c r="Q275" s="195" t="str">
        <f t="shared" si="27"/>
        <v>30Y</v>
      </c>
      <c r="R275" s="195" t="str">
        <f>_xll.qlSwapIndex(,"Euribor",Q275,NDays,Currency,Calendar,"1Y","mf","30/360 (Bond Basis)",IborIndex,Discounting,,_xll.ohTrigger(Trigger,RecalcTrigger))</f>
        <v>obj_00967#0001</v>
      </c>
      <c r="S275" s="195" t="str">
        <f>_xll.qlVanillaSwapFromSwapIndex(,R275,O275)</f>
        <v>obj_00afa#0001</v>
      </c>
      <c r="T275" s="183">
        <f>_xll.qlVanillaSwapFairRate(S275)</f>
        <v>1.0462694876353268E-2</v>
      </c>
      <c r="U275" s="291">
        <f t="shared" si="28"/>
        <v>-1.7305123646732187E-5</v>
      </c>
      <c r="X275" s="176" t="str">
        <f t="shared" si="24"/>
        <v>1D</v>
      </c>
      <c r="Y275" s="164">
        <f>_xll.qlCalendarAdvance(Calendar,Y274,X275,"f",FALSE)</f>
        <v>42450</v>
      </c>
      <c r="Z275" s="188">
        <f>_xll.qlCalendarAdvance(Calendar,Y275,NDays&amp;"D")</f>
        <v>42452</v>
      </c>
      <c r="AA275" s="163">
        <v>7.9623854592703058E-4</v>
      </c>
      <c r="AB275" s="172">
        <v>8.4892684913739913E-4</v>
      </c>
    </row>
    <row r="276" spans="13:28" x14ac:dyDescent="0.2">
      <c r="M276" s="295" t="str">
        <v>obj_00863#0001</v>
      </c>
      <c r="N276" s="279" t="str">
        <f>_xll.qlRateHelperQuoteName(M276)</f>
        <v>EUR12F1Y_Quote</v>
      </c>
      <c r="O276" s="276">
        <f>_xll.qlInterestRateIndexFixingDate(R276,_xll.qlRateHelperEarliestDate(M276,Trigger),)</f>
        <v>46468</v>
      </c>
      <c r="P276" s="277">
        <f>_xll.qlRateHelperQuoteValue(M276,_xll.ohTrigger(RecalcTrigger,YieldCurve))</f>
        <v>1.1399999999999999E-2</v>
      </c>
      <c r="Q276" s="275" t="str">
        <f t="shared" ref="Q276:Q293" si="29">SUBSTITUTE(SUBSTITUTE(N276,"_Quote",""),"EUR12F","")</f>
        <v>1Y</v>
      </c>
      <c r="R276" s="275" t="str">
        <f>_xll.qlSwapIndex(,"Euribor",Q276,NDays,Currency,Calendar,"1Y","mf","30/360 (Bond Basis)",IborIndex,Discounting,,_xll.ohTrigger(Trigger,RecalcTrigger))</f>
        <v>obj_00944#0001</v>
      </c>
      <c r="S276" s="275" t="str">
        <f>_xll.qlVanillaSwapFromSwapIndex(,R276,O276)</f>
        <v>obj_00b4f#0001</v>
      </c>
      <c r="T276" s="278">
        <f>_xll.qlVanillaSwapFairRate(S276)</f>
        <v>1.1210674989699453E-2</v>
      </c>
      <c r="U276" s="292">
        <f t="shared" si="28"/>
        <v>-1.8932501030054574E-4</v>
      </c>
      <c r="X276" s="176" t="str">
        <f t="shared" si="24"/>
        <v>1D</v>
      </c>
      <c r="Y276" s="164">
        <f>_xll.qlCalendarAdvance(Calendar,Y275,X276,"f",FALSE)</f>
        <v>42451</v>
      </c>
      <c r="Z276" s="188">
        <f>_xll.qlCalendarAdvance(Calendar,Y276,NDays&amp;"D")</f>
        <v>42453</v>
      </c>
      <c r="AA276" s="163">
        <v>8.0000000000008374E-4</v>
      </c>
      <c r="AB276" s="172">
        <v>8.8618931142114832E-4</v>
      </c>
    </row>
    <row r="277" spans="13:28" x14ac:dyDescent="0.2">
      <c r="M277" s="293" t="str">
        <v>obj_007c8#0001</v>
      </c>
      <c r="N277" s="176" t="str">
        <f>_xll.qlRateHelperQuoteName(M277)</f>
        <v>EUR12F2Y_Quote</v>
      </c>
      <c r="O277" s="164">
        <f>_xll.qlInterestRateIndexFixingDate(R277,_xll.qlRateHelperEarliestDate(M277,Trigger),)</f>
        <v>46468</v>
      </c>
      <c r="P277" s="191">
        <f>_xll.qlRateHelperQuoteValue(M277,_xll.ohTrigger(RecalcTrigger,YieldCurve))</f>
        <v>1.1270000000000001E-2</v>
      </c>
      <c r="Q277" s="194" t="str">
        <f t="shared" si="29"/>
        <v>2Y</v>
      </c>
      <c r="R277" s="194" t="str">
        <f>_xll.qlSwapIndex(,"Euribor",Q277,NDays,Currency,Calendar,"1Y","mf","30/360 (Bond Basis)",IborIndex,Discounting,,_xll.ohTrigger(Trigger,RecalcTrigger))</f>
        <v>obj_00900#0001</v>
      </c>
      <c r="S277" s="194" t="str">
        <f>_xll.qlVanillaSwapFromSwapIndex(,R277,O277)</f>
        <v>obj_00a4f#0001</v>
      </c>
      <c r="T277" s="181">
        <f>_xll.qlVanillaSwapFairRate(S277)</f>
        <v>1.1219202791556884E-2</v>
      </c>
      <c r="U277" s="290">
        <f t="shared" si="28"/>
        <v>-5.0797208443116929E-5</v>
      </c>
      <c r="X277" s="176" t="str">
        <f t="shared" ref="X277:X340" si="30">X276</f>
        <v>1D</v>
      </c>
      <c r="Y277" s="164">
        <f>_xll.qlCalendarAdvance(Calendar,Y276,X277,"f",FALSE)</f>
        <v>42452</v>
      </c>
      <c r="Z277" s="188">
        <f>_xll.qlCalendarAdvance(Calendar,Y277,NDays&amp;"D")</f>
        <v>42458</v>
      </c>
      <c r="AA277" s="163">
        <v>8.0238559034572854E-4</v>
      </c>
      <c r="AB277" s="172">
        <v>9.190526694080603E-4</v>
      </c>
    </row>
    <row r="278" spans="13:28" x14ac:dyDescent="0.2">
      <c r="M278" s="293" t="str">
        <v>obj_007ff#0001</v>
      </c>
      <c r="N278" s="176" t="str">
        <f>_xll.qlRateHelperQuoteName(M278)</f>
        <v>EUR12F3Y_Quote</v>
      </c>
      <c r="O278" s="164">
        <f>_xll.qlInterestRateIndexFixingDate(R278,_xll.qlRateHelperEarliestDate(M278,Trigger),)</f>
        <v>46468</v>
      </c>
      <c r="P278" s="191">
        <f>_xll.qlRateHelperQuoteValue(M278,_xll.ohTrigger(RecalcTrigger,YieldCurve))</f>
        <v>1.1240000000000002E-2</v>
      </c>
      <c r="Q278" s="194" t="str">
        <f t="shared" si="29"/>
        <v>3Y</v>
      </c>
      <c r="R278" s="194" t="str">
        <f>_xll.qlSwapIndex(,"Euribor",Q278,NDays,Currency,Calendar,"1Y","mf","30/360 (Bond Basis)",IborIndex,Discounting,,_xll.ohTrigger(Trigger,RecalcTrigger))</f>
        <v>obj_00948#0001</v>
      </c>
      <c r="S278" s="194" t="str">
        <f>_xll.qlVanillaSwapFromSwapIndex(,R278,O278)</f>
        <v>obj_00a79#0001</v>
      </c>
      <c r="T278" s="181">
        <f>_xll.qlVanillaSwapFairRate(S278)</f>
        <v>1.1217535207047118E-2</v>
      </c>
      <c r="U278" s="290">
        <f t="shared" si="28"/>
        <v>-2.2464792952883728E-5</v>
      </c>
      <c r="X278" s="176" t="str">
        <f t="shared" si="30"/>
        <v>1D</v>
      </c>
      <c r="Y278" s="164">
        <f>_xll.qlCalendarAdvance(Calendar,Y277,X278,"f",FALSE)</f>
        <v>42453</v>
      </c>
      <c r="Z278" s="188">
        <f>_xll.qlCalendarAdvance(Calendar,Y278,NDays&amp;"D")</f>
        <v>42459</v>
      </c>
      <c r="AA278" s="163">
        <v>8.0345740656064045E-4</v>
      </c>
      <c r="AB278" s="172">
        <v>9.2847874684665044E-4</v>
      </c>
    </row>
    <row r="279" spans="13:28" x14ac:dyDescent="0.2">
      <c r="M279" s="293" t="str">
        <v>obj_007a8#0001</v>
      </c>
      <c r="N279" s="176" t="str">
        <f>_xll.qlRateHelperQuoteName(M279)</f>
        <v>EUR12F4Y_Quote</v>
      </c>
      <c r="O279" s="164">
        <f>_xll.qlInterestRateIndexFixingDate(R279,_xll.qlRateHelperEarliestDate(M279,Trigger),)</f>
        <v>46468</v>
      </c>
      <c r="P279" s="191">
        <f>_xll.qlRateHelperQuoteValue(M279,_xll.ohTrigger(RecalcTrigger,YieldCurve))</f>
        <v>1.119E-2</v>
      </c>
      <c r="Q279" s="194" t="str">
        <f t="shared" si="29"/>
        <v>4Y</v>
      </c>
      <c r="R279" s="194" t="str">
        <f>_xll.qlSwapIndex(,"Euribor",Q279,NDays,Currency,Calendar,"1Y","mf","30/360 (Bond Basis)",IborIndex,Discounting,,_xll.ohTrigger(Trigger,RecalcTrigger))</f>
        <v>obj_008eb#0002</v>
      </c>
      <c r="S279" s="194" t="str">
        <f>_xll.qlVanillaSwapFromSwapIndex(,R279,O279)</f>
        <v>obj_00b25#0001</v>
      </c>
      <c r="T279" s="181">
        <f>_xll.qlVanillaSwapFairRate(S279)</f>
        <v>1.1199934390116921E-2</v>
      </c>
      <c r="U279" s="290">
        <f t="shared" si="28"/>
        <v>9.9343901169210436E-6</v>
      </c>
      <c r="X279" s="176" t="str">
        <f t="shared" si="30"/>
        <v>1D</v>
      </c>
      <c r="Y279" s="164">
        <f>_xll.qlCalendarAdvance(Calendar,Y278,X279,"f",FALSE)</f>
        <v>42458</v>
      </c>
      <c r="Z279" s="188">
        <f>_xll.qlCalendarAdvance(Calendar,Y279,NDays&amp;"D")</f>
        <v>42460</v>
      </c>
      <c r="AA279" s="163">
        <v>8.0277215940213981E-4</v>
      </c>
      <c r="AB279" s="172">
        <v>9.3724918290405412E-4</v>
      </c>
    </row>
    <row r="280" spans="13:28" x14ac:dyDescent="0.2">
      <c r="M280" s="293" t="str">
        <v>obj_00746#0001</v>
      </c>
      <c r="N280" s="176" t="str">
        <f>_xll.qlRateHelperQuoteName(M280)</f>
        <v>EUR12F5Y_Quote</v>
      </c>
      <c r="O280" s="164">
        <f>_xll.qlInterestRateIndexFixingDate(R280,_xll.qlRateHelperEarliestDate(M280,Trigger),)</f>
        <v>46468</v>
      </c>
      <c r="P280" s="191">
        <f>_xll.qlRateHelperQuoteValue(M280,_xll.ohTrigger(RecalcTrigger,YieldCurve))</f>
        <v>1.1219999999999999E-2</v>
      </c>
      <c r="Q280" s="194" t="str">
        <f t="shared" si="29"/>
        <v>5Y</v>
      </c>
      <c r="R280" s="194" t="str">
        <f>_xll.qlSwapIndex(,"Euribor",Q280,NDays,Currency,Calendar,"1Y","mf","30/360 (Bond Basis)",IborIndex,Discounting,,_xll.ohTrigger(Trigger,RecalcTrigger))</f>
        <v>obj_008d5#0002</v>
      </c>
      <c r="S280" s="194" t="str">
        <f>_xll.qlVanillaSwapFromSwapIndex(,R280,O280)</f>
        <v>obj_00a42#0001</v>
      </c>
      <c r="T280" s="181">
        <f>_xll.qlVanillaSwapFairRate(S280)</f>
        <v>1.1177989900459408E-2</v>
      </c>
      <c r="U280" s="290">
        <f t="shared" si="28"/>
        <v>-4.2010099540591359E-5</v>
      </c>
      <c r="X280" s="176" t="str">
        <f t="shared" si="30"/>
        <v>1D</v>
      </c>
      <c r="Y280" s="164">
        <f>_xll.qlCalendarAdvance(Calendar,Y279,X280,"f",FALSE)</f>
        <v>42459</v>
      </c>
      <c r="Z280" s="188">
        <f>_xll.qlCalendarAdvance(Calendar,Y280,NDays&amp;"D")</f>
        <v>42461</v>
      </c>
      <c r="AA280" s="163">
        <v>8.0748838001861464E-4</v>
      </c>
      <c r="AB280" s="172">
        <v>9.5260710445188579E-4</v>
      </c>
    </row>
    <row r="281" spans="13:28" x14ac:dyDescent="0.2">
      <c r="M281" s="293" t="str">
        <v>obj_007de#0001</v>
      </c>
      <c r="N281" s="176" t="str">
        <f>_xll.qlRateHelperQuoteName(M281)</f>
        <v>EUR12F6Y_Quote</v>
      </c>
      <c r="O281" s="164">
        <f>_xll.qlInterestRateIndexFixingDate(R281,_xll.qlRateHelperEarliestDate(M281,Trigger),)</f>
        <v>46468</v>
      </c>
      <c r="P281" s="191">
        <f>_xll.qlRateHelperQuoteValue(M281,_xll.ohTrigger(RecalcTrigger,YieldCurve))</f>
        <v>1.1160000000000002E-2</v>
      </c>
      <c r="Q281" s="194" t="str">
        <f t="shared" si="29"/>
        <v>6Y</v>
      </c>
      <c r="R281" s="194" t="str">
        <f>_xll.qlSwapIndex(,"Euribor",Q281,NDays,Currency,Calendar,"1Y","mf","30/360 (Bond Basis)",IborIndex,Discounting,,_xll.ohTrigger(Trigger,RecalcTrigger))</f>
        <v>obj_00969#0001</v>
      </c>
      <c r="S281" s="194" t="str">
        <f>_xll.qlVanillaSwapFromSwapIndex(,R281,O281)</f>
        <v>obj_00aa8#0001</v>
      </c>
      <c r="T281" s="181">
        <f>_xll.qlVanillaSwapFairRate(S281)</f>
        <v>1.1142272082505844E-2</v>
      </c>
      <c r="U281" s="290">
        <f t="shared" si="28"/>
        <v>-1.7727917494157405E-5</v>
      </c>
      <c r="X281" s="176" t="str">
        <f t="shared" si="30"/>
        <v>1D</v>
      </c>
      <c r="Y281" s="164">
        <f>_xll.qlCalendarAdvance(Calendar,Y280,X281,"f",FALSE)</f>
        <v>42460</v>
      </c>
      <c r="Z281" s="188">
        <f>_xll.qlCalendarAdvance(Calendar,Y281,NDays&amp;"D")</f>
        <v>42464</v>
      </c>
      <c r="AA281" s="163">
        <v>8.070156432025534E-4</v>
      </c>
      <c r="AB281" s="172">
        <v>9.6577451324186825E-4</v>
      </c>
    </row>
    <row r="282" spans="13:28" x14ac:dyDescent="0.2">
      <c r="M282" s="293" t="str">
        <v>obj_00769#0001</v>
      </c>
      <c r="N282" s="176" t="str">
        <f>_xll.qlRateHelperQuoteName(M282)</f>
        <v>EUR12F7Y_Quote</v>
      </c>
      <c r="O282" s="164">
        <f>_xll.qlInterestRateIndexFixingDate(R282,_xll.qlRateHelperEarliestDate(M282,Trigger),)</f>
        <v>46468</v>
      </c>
      <c r="P282" s="191">
        <f>_xll.qlRateHelperQuoteValue(M282,_xll.ohTrigger(RecalcTrigger,YieldCurve))</f>
        <v>1.1139999999999999E-2</v>
      </c>
      <c r="Q282" s="194" t="str">
        <f t="shared" si="29"/>
        <v>7Y</v>
      </c>
      <c r="R282" s="194" t="str">
        <f>_xll.qlSwapIndex(,"Euribor",Q282,NDays,Currency,Calendar,"1Y","mf","30/360 (Bond Basis)",IborIndex,Discounting,,_xll.ohTrigger(Trigger,RecalcTrigger))</f>
        <v>obj_00998#0001</v>
      </c>
      <c r="S282" s="194" t="str">
        <f>_xll.qlVanillaSwapFromSwapIndex(,R282,O282)</f>
        <v>obj_00ae9#0001</v>
      </c>
      <c r="T282" s="181">
        <f>_xll.qlVanillaSwapFairRate(S282)</f>
        <v>1.1101487263149301E-2</v>
      </c>
      <c r="U282" s="290">
        <f t="shared" si="28"/>
        <v>-3.851273685069774E-5</v>
      </c>
      <c r="X282" s="176" t="str">
        <f t="shared" si="30"/>
        <v>1D</v>
      </c>
      <c r="Y282" s="164">
        <f>_xll.qlCalendarAdvance(Calendar,Y281,X282,"f",FALSE)</f>
        <v>42461</v>
      </c>
      <c r="Z282" s="188">
        <f>_xll.qlCalendarAdvance(Calendar,Y282,NDays&amp;"D")</f>
        <v>42465</v>
      </c>
      <c r="AA282" s="163">
        <v>8.0810478145973105E-4</v>
      </c>
      <c r="AB282" s="172">
        <v>9.7126674207359542E-4</v>
      </c>
    </row>
    <row r="283" spans="13:28" x14ac:dyDescent="0.2">
      <c r="M283" s="293" t="str">
        <v>obj_007a7#0001</v>
      </c>
      <c r="N283" s="176" t="str">
        <f>_xll.qlRateHelperQuoteName(M283)</f>
        <v>EUR12F8Y_Quote</v>
      </c>
      <c r="O283" s="164">
        <f>_xll.qlInterestRateIndexFixingDate(R283,_xll.qlRateHelperEarliestDate(M283,Trigger),)</f>
        <v>46468</v>
      </c>
      <c r="P283" s="191">
        <f>_xll.qlRateHelperQuoteValue(M283,_xll.ohTrigger(RecalcTrigger,YieldCurve))</f>
        <v>1.1080000000000001E-2</v>
      </c>
      <c r="Q283" s="194" t="str">
        <f t="shared" si="29"/>
        <v>8Y</v>
      </c>
      <c r="R283" s="194" t="str">
        <f>_xll.qlSwapIndex(,"Euribor",Q283,NDays,Currency,Calendar,"1Y","mf","30/360 (Bond Basis)",IborIndex,Discounting,,_xll.ohTrigger(Trigger,RecalcTrigger))</f>
        <v>obj_00904#0001</v>
      </c>
      <c r="S283" s="194" t="str">
        <f>_xll.qlVanillaSwapFromSwapIndex(,R283,O283)</f>
        <v>obj_00a96#0001</v>
      </c>
      <c r="T283" s="181">
        <f>_xll.qlVanillaSwapFairRate(S283)</f>
        <v>1.1055784260580919E-2</v>
      </c>
      <c r="U283" s="290">
        <f t="shared" si="28"/>
        <v>-2.421573941908256E-5</v>
      </c>
      <c r="X283" s="176" t="str">
        <f t="shared" si="30"/>
        <v>1D</v>
      </c>
      <c r="Y283" s="164">
        <f>_xll.qlCalendarAdvance(Calendar,Y282,X283,"f",FALSE)</f>
        <v>42464</v>
      </c>
      <c r="Z283" s="188">
        <f>_xll.qlCalendarAdvance(Calendar,Y283,NDays&amp;"D")</f>
        <v>42466</v>
      </c>
      <c r="AA283" s="163">
        <v>8.092026415235736E-4</v>
      </c>
      <c r="AB283" s="172">
        <v>9.7610332952413614E-4</v>
      </c>
    </row>
    <row r="284" spans="13:28" x14ac:dyDescent="0.2">
      <c r="M284" s="293" t="str">
        <v>obj_00845#0001</v>
      </c>
      <c r="N284" s="176" t="str">
        <f>_xll.qlRateHelperQuoteName(M284)</f>
        <v>EUR12F9Y_Quote</v>
      </c>
      <c r="O284" s="164">
        <f>_xll.qlInterestRateIndexFixingDate(R284,_xll.qlRateHelperEarliestDate(M284,Trigger),)</f>
        <v>46468</v>
      </c>
      <c r="P284" s="191">
        <f>_xll.qlRateHelperQuoteValue(M284,_xll.ohTrigger(RecalcTrigger,YieldCurve))</f>
        <v>1.1040000000000001E-2</v>
      </c>
      <c r="Q284" s="194" t="str">
        <f t="shared" si="29"/>
        <v>9Y</v>
      </c>
      <c r="R284" s="194" t="str">
        <f>_xll.qlSwapIndex(,"Euribor",Q284,NDays,Currency,Calendar,"1Y","mf","30/360 (Bond Basis)",IborIndex,Discounting,,_xll.ohTrigger(Trigger,RecalcTrigger))</f>
        <v>obj_0092b#0001</v>
      </c>
      <c r="S284" s="194" t="str">
        <f>_xll.qlVanillaSwapFromSwapIndex(,R284,O284)</f>
        <v>obj_00b07#0001</v>
      </c>
      <c r="T284" s="181">
        <f>_xll.qlVanillaSwapFairRate(S284)</f>
        <v>1.101097994878108E-2</v>
      </c>
      <c r="U284" s="290">
        <f t="shared" si="28"/>
        <v>-2.9020051218920859E-5</v>
      </c>
      <c r="X284" s="176" t="str">
        <f t="shared" si="30"/>
        <v>1D</v>
      </c>
      <c r="Y284" s="164">
        <f>_xll.qlCalendarAdvance(Calendar,Y283,X284,"f",FALSE)</f>
        <v>42465</v>
      </c>
      <c r="Z284" s="188">
        <f>_xll.qlCalendarAdvance(Calendar,Y284,NDays&amp;"D")</f>
        <v>42467</v>
      </c>
      <c r="AA284" s="163">
        <v>8.1030793083021089E-4</v>
      </c>
      <c r="AB284" s="172">
        <v>9.8028427527374618E-4</v>
      </c>
    </row>
    <row r="285" spans="13:28" x14ac:dyDescent="0.2">
      <c r="M285" s="293" t="str">
        <v>obj_007b0#0001</v>
      </c>
      <c r="N285" s="176" t="str">
        <f>_xll.qlRateHelperQuoteName(M285)</f>
        <v>EUR12F10Y_Quote</v>
      </c>
      <c r="O285" s="164">
        <f>_xll.qlInterestRateIndexFixingDate(R285,_xll.qlRateHelperEarliestDate(M285,Trigger),)</f>
        <v>46468</v>
      </c>
      <c r="P285" s="191">
        <f>_xll.qlRateHelperQuoteValue(M285,_xll.ohTrigger(RecalcTrigger,YieldCurve))</f>
        <v>1.098E-2</v>
      </c>
      <c r="Q285" s="194" t="str">
        <f t="shared" si="29"/>
        <v>10Y</v>
      </c>
      <c r="R285" s="194" t="str">
        <f>_xll.qlSwapIndex(,"Euribor",Q285,NDays,Currency,Calendar,"1Y","mf","30/360 (Bond Basis)",IborIndex,Discounting,,_xll.ohTrigger(Trigger,RecalcTrigger))</f>
        <v>obj_00931#0001</v>
      </c>
      <c r="S285" s="194" t="str">
        <f>_xll.qlVanillaSwapFromSwapIndex(,R285,O285)</f>
        <v>obj_00a51#0001</v>
      </c>
      <c r="T285" s="181">
        <f>_xll.qlVanillaSwapFairRate(S285)</f>
        <v>1.0963132132397248E-2</v>
      </c>
      <c r="U285" s="290">
        <f t="shared" si="28"/>
        <v>-1.6867867602752065E-5</v>
      </c>
      <c r="X285" s="176" t="str">
        <f t="shared" si="30"/>
        <v>1D</v>
      </c>
      <c r="Y285" s="164">
        <f>_xll.qlCalendarAdvance(Calendar,Y284,X285,"f",FALSE)</f>
        <v>42466</v>
      </c>
      <c r="Z285" s="188">
        <f>_xll.qlCalendarAdvance(Calendar,Y285,NDays&amp;"D")</f>
        <v>42468</v>
      </c>
      <c r="AA285" s="163">
        <v>8.1551488439176331E-4</v>
      </c>
      <c r="AB285" s="172">
        <v>9.8646339798058591E-4</v>
      </c>
    </row>
    <row r="286" spans="13:28" x14ac:dyDescent="0.2">
      <c r="M286" s="293" t="str">
        <v>obj_007b6#0001</v>
      </c>
      <c r="N286" s="176" t="str">
        <f>_xll.qlRateHelperQuoteName(M286)</f>
        <v>EUR12F11Y_Quote</v>
      </c>
      <c r="O286" s="164">
        <f>_xll.qlInterestRateIndexFixingDate(R286,_xll.qlRateHelperEarliestDate(M286,Trigger),)</f>
        <v>46468</v>
      </c>
      <c r="P286" s="191">
        <f>_xll.qlRateHelperQuoteValue(M286,_xll.ohTrigger(RecalcTrigger,YieldCurve))</f>
        <v>1.093E-2</v>
      </c>
      <c r="Q286" s="194" t="str">
        <f t="shared" si="29"/>
        <v>11Y</v>
      </c>
      <c r="R286" s="194" t="str">
        <f>_xll.qlSwapIndex(,"Euribor",Q286,NDays,Currency,Calendar,"1Y","mf","30/360 (Bond Basis)",IborIndex,Discounting,,_xll.ohTrigger(Trigger,RecalcTrigger))</f>
        <v>obj_008d4#0002</v>
      </c>
      <c r="S286" s="194" t="str">
        <f>_xll.qlVanillaSwapFromSwapIndex(,R286,O286)</f>
        <v>obj_00ab7#0001</v>
      </c>
      <c r="T286" s="181">
        <f>_xll.qlVanillaSwapFairRate(S286)</f>
        <v>1.0919514422004936E-2</v>
      </c>
      <c r="U286" s="290">
        <f t="shared" si="28"/>
        <v>-1.0485577995064319E-5</v>
      </c>
      <c r="X286" s="176" t="str">
        <f t="shared" si="30"/>
        <v>1D</v>
      </c>
      <c r="Y286" s="164">
        <f>_xll.qlCalendarAdvance(Calendar,Y285,X286,"f",FALSE)</f>
        <v>42467</v>
      </c>
      <c r="Z286" s="188">
        <f>_xll.qlCalendarAdvance(Calendar,Y286,NDays&amp;"D")</f>
        <v>42471</v>
      </c>
      <c r="AA286" s="163">
        <v>8.1477752913610443E-4</v>
      </c>
      <c r="AB286" s="172">
        <v>9.9045164238198424E-4</v>
      </c>
    </row>
    <row r="287" spans="13:28" x14ac:dyDescent="0.2">
      <c r="M287" s="293" t="str">
        <v>obj_0075a#0001</v>
      </c>
      <c r="N287" s="176" t="str">
        <f>_xll.qlRateHelperQuoteName(M287)</f>
        <v>EUR12F12Y_Quote</v>
      </c>
      <c r="O287" s="164">
        <f>_xll.qlInterestRateIndexFixingDate(R287,_xll.qlRateHelperEarliestDate(M287,Trigger),)</f>
        <v>46468</v>
      </c>
      <c r="P287" s="191">
        <f>_xll.qlRateHelperQuoteValue(M287,_xll.ohTrigger(RecalcTrigger,YieldCurve))</f>
        <v>1.091E-2</v>
      </c>
      <c r="Q287" s="194" t="str">
        <f t="shared" si="29"/>
        <v>12Y</v>
      </c>
      <c r="R287" s="194" t="str">
        <f>_xll.qlSwapIndex(,"Euribor",Q287,NDays,Currency,Calendar,"1Y","mf","30/360 (Bond Basis)",IborIndex,Discounting,,_xll.ohTrigger(Trigger,RecalcTrigger))</f>
        <v>obj_0099e#0001</v>
      </c>
      <c r="S287" s="194" t="str">
        <f>_xll.qlVanillaSwapFromSwapIndex(,R287,O287)</f>
        <v>obj_00a47#0001</v>
      </c>
      <c r="T287" s="181">
        <f>_xll.qlVanillaSwapFairRate(S287)</f>
        <v>1.0882280438730407E-2</v>
      </c>
      <c r="U287" s="290">
        <f t="shared" si="28"/>
        <v>-2.7719561269592269E-5</v>
      </c>
      <c r="X287" s="176" t="str">
        <f t="shared" si="30"/>
        <v>1D</v>
      </c>
      <c r="Y287" s="164">
        <f>_xll.qlCalendarAdvance(Calendar,Y286,X287,"f",FALSE)</f>
        <v>42468</v>
      </c>
      <c r="Z287" s="188">
        <f>_xll.qlCalendarAdvance(Calendar,Y287,NDays&amp;"D")</f>
        <v>42472</v>
      </c>
      <c r="AA287" s="163">
        <v>8.1590057611741662E-4</v>
      </c>
      <c r="AB287" s="172">
        <v>9.9135438010655719E-4</v>
      </c>
    </row>
    <row r="288" spans="13:28" x14ac:dyDescent="0.2">
      <c r="M288" s="293" t="str">
        <v>obj_0087b#0001</v>
      </c>
      <c r="N288" s="176" t="str">
        <f>_xll.qlRateHelperQuoteName(M288)</f>
        <v>EUR12F13Y_Quote</v>
      </c>
      <c r="O288" s="164">
        <f>_xll.qlInterestRateIndexFixingDate(R288,_xll.qlRateHelperEarliestDate(M288,Trigger),)</f>
        <v>46468</v>
      </c>
      <c r="P288" s="191" t="e">
        <f>_xll.qlRateHelperQuoteValue(M288,_xll.ohTrigger(RecalcTrigger,YieldCurve))</f>
        <v>#NUM!</v>
      </c>
      <c r="Q288" s="194" t="str">
        <f t="shared" si="29"/>
        <v>13Y</v>
      </c>
      <c r="R288" s="194" t="str">
        <f>_xll.qlSwapIndex(,"Euribor",Q288,NDays,Currency,Calendar,"1Y","mf","30/360 (Bond Basis)",IborIndex,Discounting,,_xll.ohTrigger(Trigger,RecalcTrigger))</f>
        <v>obj_00942#0001</v>
      </c>
      <c r="S288" s="194" t="str">
        <f>_xll.qlVanillaSwapFromSwapIndex(,R288,O288)</f>
        <v>obj_00a6b#0001</v>
      </c>
      <c r="T288" s="181">
        <f>_xll.qlVanillaSwapFairRate(S288)</f>
        <v>1.0854815263961882E-2</v>
      </c>
      <c r="U288" s="290" t="e">
        <f t="shared" si="28"/>
        <v>#NUM!</v>
      </c>
      <c r="X288" s="176" t="str">
        <f t="shared" si="30"/>
        <v>1D</v>
      </c>
      <c r="Y288" s="164">
        <f>_xll.qlCalendarAdvance(Calendar,Y287,X288,"f",FALSE)</f>
        <v>42471</v>
      </c>
      <c r="Z288" s="188">
        <f>_xll.qlCalendarAdvance(Calendar,Y288,NDays&amp;"D")</f>
        <v>42473</v>
      </c>
      <c r="AA288" s="163">
        <v>8.1702329690413848E-4</v>
      </c>
      <c r="AB288" s="172">
        <v>9.916014762101355E-4</v>
      </c>
    </row>
    <row r="289" spans="13:28" x14ac:dyDescent="0.2">
      <c r="M289" s="293" t="str">
        <v>obj_0079c#0001</v>
      </c>
      <c r="N289" s="176" t="str">
        <f>_xll.qlRateHelperQuoteName(M289)</f>
        <v>EUR12F14Y_Quote</v>
      </c>
      <c r="O289" s="164">
        <f>_xll.qlInterestRateIndexFixingDate(R289,_xll.qlRateHelperEarliestDate(M289,Trigger),)</f>
        <v>46468</v>
      </c>
      <c r="P289" s="191">
        <f>_xll.qlRateHelperQuoteValue(M289,_xll.ohTrigger(RecalcTrigger,YieldCurve))</f>
        <v>1.0860000000000002E-2</v>
      </c>
      <c r="Q289" s="194" t="str">
        <f t="shared" si="29"/>
        <v>14Y</v>
      </c>
      <c r="R289" s="194" t="str">
        <f>_xll.qlSwapIndex(,"Euribor",Q289,NDays,Currency,Calendar,"1Y","mf","30/360 (Bond Basis)",IborIndex,Discounting,,_xll.ohTrigger(Trigger,RecalcTrigger))</f>
        <v>obj_009e9#0001</v>
      </c>
      <c r="S289" s="194" t="str">
        <f>_xll.qlVanillaSwapFromSwapIndex(,R289,O289)</f>
        <v>obj_00aec#0001</v>
      </c>
      <c r="T289" s="181">
        <f>_xll.qlVanillaSwapFairRate(S289)</f>
        <v>1.0833461803417044E-2</v>
      </c>
      <c r="U289" s="290">
        <f t="shared" si="28"/>
        <v>-2.6538196582957807E-5</v>
      </c>
      <c r="X289" s="176" t="str">
        <f t="shared" si="30"/>
        <v>1D</v>
      </c>
      <c r="Y289" s="164">
        <f>_xll.qlCalendarAdvance(Calendar,Y288,X289,"f",FALSE)</f>
        <v>42472</v>
      </c>
      <c r="Z289" s="188">
        <f>_xll.qlCalendarAdvance(Calendar,Y289,NDays&amp;"D")</f>
        <v>42474</v>
      </c>
      <c r="AA289" s="163">
        <v>8.1814439891274326E-4</v>
      </c>
      <c r="AB289" s="172">
        <v>9.9119293053284707E-4</v>
      </c>
    </row>
    <row r="290" spans="13:28" x14ac:dyDescent="0.2">
      <c r="M290" s="293" t="str">
        <v>obj_007a1#0001</v>
      </c>
      <c r="N290" s="176" t="str">
        <f>_xll.qlRateHelperQuoteName(M290)</f>
        <v>EUR12F15Y_Quote</v>
      </c>
      <c r="O290" s="164">
        <f>_xll.qlInterestRateIndexFixingDate(R290,_xll.qlRateHelperEarliestDate(M290,Trigger),)</f>
        <v>46468</v>
      </c>
      <c r="P290" s="191">
        <f>_xll.qlRateHelperQuoteValue(M290,_xll.ohTrigger(RecalcTrigger,YieldCurve))</f>
        <v>1.0840000000000001E-2</v>
      </c>
      <c r="Q290" s="194" t="str">
        <f t="shared" si="29"/>
        <v>15Y</v>
      </c>
      <c r="R290" s="194" t="str">
        <f>_xll.qlSwapIndex(,"Euribor",Q290,NDays,Currency,Calendar,"1Y","mf","30/360 (Bond Basis)",IborIndex,Discounting,,_xll.ohTrigger(Trigger,RecalcTrigger))</f>
        <v>obj_0095d#0001</v>
      </c>
      <c r="S290" s="194" t="str">
        <f>_xll.qlVanillaSwapFromSwapIndex(,R290,O290)</f>
        <v>obj_00a88#0001</v>
      </c>
      <c r="T290" s="181">
        <f>_xll.qlVanillaSwapFairRate(S290)</f>
        <v>1.0817194204070164E-2</v>
      </c>
      <c r="U290" s="290">
        <f t="shared" si="28"/>
        <v>-2.280579592983667E-5</v>
      </c>
      <c r="X290" s="176" t="str">
        <f t="shared" si="30"/>
        <v>1D</v>
      </c>
      <c r="Y290" s="164">
        <f>_xll.qlCalendarAdvance(Calendar,Y289,X290,"f",FALSE)</f>
        <v>42473</v>
      </c>
      <c r="Z290" s="188">
        <f>_xll.qlCalendarAdvance(Calendar,Y290,NDays&amp;"D")</f>
        <v>42475</v>
      </c>
      <c r="AA290" s="163">
        <v>8.2330342563463014E-4</v>
      </c>
      <c r="AB290" s="172">
        <v>9.8819307976505399E-4</v>
      </c>
    </row>
    <row r="291" spans="13:28" x14ac:dyDescent="0.2">
      <c r="M291" s="293" t="str">
        <v>obj_00829#0001</v>
      </c>
      <c r="N291" s="176" t="str">
        <f>_xll.qlRateHelperQuoteName(M291)</f>
        <v>EUR12F20Y_Quote</v>
      </c>
      <c r="O291" s="164">
        <f>_xll.qlInterestRateIndexFixingDate(R291,_xll.qlRateHelperEarliestDate(M291,Trigger),)</f>
        <v>46468</v>
      </c>
      <c r="P291" s="191">
        <f>_xll.qlRateHelperQuoteValue(M291,_xll.ohTrigger(RecalcTrigger,YieldCurve))</f>
        <v>1.076E-2</v>
      </c>
      <c r="Q291" s="194" t="str">
        <f t="shared" si="29"/>
        <v>20Y</v>
      </c>
      <c r="R291" s="194" t="str">
        <f>_xll.qlSwapIndex(,"Euribor",Q291,NDays,Currency,Calendar,"1Y","mf","30/360 (Bond Basis)",IborIndex,Discounting,,_xll.ohTrigger(Trigger,RecalcTrigger))</f>
        <v>obj_009f6#0001</v>
      </c>
      <c r="S291" s="194" t="str">
        <f>_xll.qlVanillaSwapFromSwapIndex(,R291,O291)</f>
        <v>obj_00a1b#0001</v>
      </c>
      <c r="T291" s="181">
        <f>_xll.qlVanillaSwapFairRate(S291)</f>
        <v>1.0735050054989334E-2</v>
      </c>
      <c r="U291" s="290">
        <f t="shared" si="28"/>
        <v>-2.4949945010666746E-5</v>
      </c>
      <c r="X291" s="176" t="str">
        <f t="shared" si="30"/>
        <v>1D</v>
      </c>
      <c r="Y291" s="164">
        <f>_xll.qlCalendarAdvance(Calendar,Y290,X291,"f",FALSE)</f>
        <v>42474</v>
      </c>
      <c r="Z291" s="188">
        <f>_xll.qlCalendarAdvance(Calendar,Y291,NDays&amp;"D")</f>
        <v>42478</v>
      </c>
      <c r="AA291" s="163">
        <v>8.2258676740678876E-4</v>
      </c>
      <c r="AB291" s="172">
        <v>9.8300233169368312E-4</v>
      </c>
    </row>
    <row r="292" spans="13:28" x14ac:dyDescent="0.2">
      <c r="M292" s="293" t="str">
        <v>obj_00835#0001</v>
      </c>
      <c r="N292" s="176" t="str">
        <f>_xll.qlRateHelperQuoteName(M292)</f>
        <v>EUR12F25Y_Quote</v>
      </c>
      <c r="O292" s="164">
        <f>_xll.qlInterestRateIndexFixingDate(R292,_xll.qlRateHelperEarliestDate(M292,Trigger),)</f>
        <v>46468</v>
      </c>
      <c r="P292" s="191">
        <f>_xll.qlRateHelperQuoteValue(M292,_xll.ohTrigger(RecalcTrigger,YieldCurve))</f>
        <v>1.065E-2</v>
      </c>
      <c r="Q292" s="194" t="str">
        <f t="shared" si="29"/>
        <v>25Y</v>
      </c>
      <c r="R292" s="194" t="str">
        <f>_xll.qlSwapIndex(,"Euribor",Q292,NDays,Currency,Calendar,"1Y","mf","30/360 (Bond Basis)",IborIndex,Discounting,,_xll.ohTrigger(Trigger,RecalcTrigger))</f>
        <v>obj_0095a#0001</v>
      </c>
      <c r="S292" s="194" t="str">
        <f>_xll.qlVanillaSwapFromSwapIndex(,R292,O292)</f>
        <v>obj_00a72#0001</v>
      </c>
      <c r="T292" s="181">
        <f>_xll.qlVanillaSwapFairRate(S292)</f>
        <v>1.0625609088936045E-2</v>
      </c>
      <c r="U292" s="290">
        <f t="shared" si="28"/>
        <v>-2.4390911063954315E-5</v>
      </c>
      <c r="X292" s="176" t="str">
        <f t="shared" si="30"/>
        <v>1D</v>
      </c>
      <c r="Y292" s="164">
        <f>_xll.qlCalendarAdvance(Calendar,Y291,X292,"f",FALSE)</f>
        <v>42475</v>
      </c>
      <c r="Z292" s="188">
        <f>_xll.qlCalendarAdvance(Calendar,Y292,NDays&amp;"D")</f>
        <v>42479</v>
      </c>
      <c r="AA292" s="163">
        <v>8.2368038667755947E-4</v>
      </c>
      <c r="AB292" s="172">
        <v>9.793155779913576E-4</v>
      </c>
    </row>
    <row r="293" spans="13:28" ht="12" thickBot="1" x14ac:dyDescent="0.25">
      <c r="M293" s="294" t="str">
        <v>obj_0075e#0001</v>
      </c>
      <c r="N293" s="177" t="str">
        <f>_xll.qlRateHelperQuoteName(M293)</f>
        <v>EUR12F30Y_Quote</v>
      </c>
      <c r="O293" s="174">
        <f>_xll.qlInterestRateIndexFixingDate(R293,_xll.qlRateHelperEarliestDate(M293,Trigger),)</f>
        <v>46468</v>
      </c>
      <c r="P293" s="192">
        <f>_xll.qlRateHelperQuoteValue(M293,_xll.ohTrigger(RecalcTrigger,YieldCurve))</f>
        <v>1.038E-2</v>
      </c>
      <c r="Q293" s="195" t="str">
        <f t="shared" si="29"/>
        <v>30Y</v>
      </c>
      <c r="R293" s="195" t="str">
        <f>_xll.qlSwapIndex(,"Euribor",Q293,NDays,Currency,Calendar,"1Y","mf","30/360 (Bond Basis)",IborIndex,Discounting,,_xll.ohTrigger(Trigger,RecalcTrigger))</f>
        <v>obj_00947#0001</v>
      </c>
      <c r="S293" s="195" t="str">
        <f>_xll.qlVanillaSwapFromSwapIndex(,R293,O293)</f>
        <v>obj_00aeb#0001</v>
      </c>
      <c r="T293" s="183">
        <f>_xll.qlVanillaSwapFairRate(S293)</f>
        <v>1.0364884771770838E-2</v>
      </c>
      <c r="U293" s="291">
        <f t="shared" si="28"/>
        <v>-1.5115228229162572E-5</v>
      </c>
      <c r="X293" s="176" t="str">
        <f t="shared" si="30"/>
        <v>1D</v>
      </c>
      <c r="Y293" s="164">
        <f>_xll.qlCalendarAdvance(Calendar,Y292,X293,"f",FALSE)</f>
        <v>42478</v>
      </c>
      <c r="Z293" s="188">
        <f>_xll.qlCalendarAdvance(Calendar,Y293,NDays&amp;"D")</f>
        <v>42480</v>
      </c>
      <c r="AA293" s="163">
        <v>8.2476463161052134E-4</v>
      </c>
      <c r="AB293" s="172">
        <v>9.7497318266803745E-4</v>
      </c>
    </row>
    <row r="294" spans="13:28" x14ac:dyDescent="0.2">
      <c r="M294" s="295" t="str">
        <v>obj_00821#0001</v>
      </c>
      <c r="N294" s="279" t="str">
        <f>_xll.qlRateHelperQuoteName(M294)</f>
        <v>EUR13F1Y_Quote</v>
      </c>
      <c r="O294" s="276">
        <f>_xll.qlInterestRateIndexFixingDate(R294,_xll.qlRateHelperEarliestDate(M294,Trigger),)</f>
        <v>46834</v>
      </c>
      <c r="P294" s="277">
        <f>_xll.qlRateHelperQuoteValue(M294,_xll.ohTrigger(RecalcTrigger,YieldCurve))</f>
        <v>1.1139999999999999E-2</v>
      </c>
      <c r="Q294" s="275" t="str">
        <f t="shared" ref="Q294:Q311" si="31">SUBSTITUTE(SUBSTITUTE(N294,"_Quote",""),"EUR13F","")</f>
        <v>1Y</v>
      </c>
      <c r="R294" s="275" t="str">
        <f>_xll.qlSwapIndex(,"Euribor",Q294,NDays,Currency,Calendar,"1Y","mf","30/360 (Bond Basis)",IborIndex,Discounting,,_xll.ohTrigger(Trigger,RecalcTrigger))</f>
        <v>obj_00983#0001</v>
      </c>
      <c r="S294" s="275" t="str">
        <f>_xll.qlVanillaSwapFromSwapIndex(,R294,O294)</f>
        <v>obj_00a53#0001</v>
      </c>
      <c r="T294" s="278">
        <f>_xll.qlVanillaSwapFairRate(S294)</f>
        <v>1.1227763361234825E-2</v>
      </c>
      <c r="U294" s="292">
        <f t="shared" si="28"/>
        <v>8.7763361234826157E-5</v>
      </c>
      <c r="X294" s="176" t="str">
        <f t="shared" si="30"/>
        <v>1D</v>
      </c>
      <c r="Y294" s="164">
        <f>_xll.qlCalendarAdvance(Calendar,Y293,X294,"f",FALSE)</f>
        <v>42479</v>
      </c>
      <c r="Z294" s="188">
        <f>_xll.qlCalendarAdvance(Calendar,Y294,NDays&amp;"D")</f>
        <v>42481</v>
      </c>
      <c r="AA294" s="163">
        <v>8.2583820960161793E-4</v>
      </c>
      <c r="AB294" s="172">
        <v>9.6997514572372268E-4</v>
      </c>
    </row>
    <row r="295" spans="13:28" x14ac:dyDescent="0.2">
      <c r="M295" s="293" t="str">
        <v>obj_007f2#0001</v>
      </c>
      <c r="N295" s="176" t="str">
        <f>_xll.qlRateHelperQuoteName(M295)</f>
        <v>EUR13F2Y_Quote</v>
      </c>
      <c r="O295" s="164">
        <f>_xll.qlInterestRateIndexFixingDate(R295,_xll.qlRateHelperEarliestDate(M295,Trigger),)</f>
        <v>46834</v>
      </c>
      <c r="P295" s="191">
        <f>_xll.qlRateHelperQuoteValue(M295,_xll.ohTrigger(RecalcTrigger,YieldCurve))</f>
        <v>1.1160000000000002E-2</v>
      </c>
      <c r="Q295" s="194" t="str">
        <f t="shared" si="31"/>
        <v>2Y</v>
      </c>
      <c r="R295" s="194" t="str">
        <f>_xll.qlSwapIndex(,"Euribor",Q295,NDays,Currency,Calendar,"1Y","mf","30/360 (Bond Basis)",IborIndex,Discounting,,_xll.ohTrigger(Trigger,RecalcTrigger))</f>
        <v>obj_008c9#0002</v>
      </c>
      <c r="S295" s="194" t="str">
        <f>_xll.qlVanillaSwapFromSwapIndex(,R295,O295)</f>
        <v>obj_00acd#0001</v>
      </c>
      <c r="T295" s="181">
        <f>_xll.qlVanillaSwapFairRate(S295)</f>
        <v>1.1221009089181447E-2</v>
      </c>
      <c r="U295" s="290">
        <f t="shared" si="28"/>
        <v>6.1009089181445972E-5</v>
      </c>
      <c r="X295" s="176" t="str">
        <f t="shared" si="30"/>
        <v>1D</v>
      </c>
      <c r="Y295" s="164">
        <f>_xll.qlCalendarAdvance(Calendar,Y294,X295,"f",FALSE)</f>
        <v>42480</v>
      </c>
      <c r="Z295" s="188">
        <f>_xll.qlCalendarAdvance(Calendar,Y295,NDays&amp;"D")</f>
        <v>42482</v>
      </c>
      <c r="AA295" s="163">
        <v>8.304154332639341E-4</v>
      </c>
      <c r="AB295" s="172">
        <v>9.5779614841973171E-4</v>
      </c>
    </row>
    <row r="296" spans="13:28" x14ac:dyDescent="0.2">
      <c r="M296" s="293" t="str">
        <v>obj_0081a#0001</v>
      </c>
      <c r="N296" s="176" t="str">
        <f>_xll.qlRateHelperQuoteName(M296)</f>
        <v>EUR13F3Y_Quote</v>
      </c>
      <c r="O296" s="164">
        <f>_xll.qlInterestRateIndexFixingDate(R296,_xll.qlRateHelperEarliestDate(M296,Trigger),)</f>
        <v>46834</v>
      </c>
      <c r="P296" s="191">
        <f>_xll.qlRateHelperQuoteValue(M296,_xll.ohTrigger(RecalcTrigger,YieldCurve))</f>
        <v>1.1129999999999999E-2</v>
      </c>
      <c r="Q296" s="194" t="str">
        <f t="shared" si="31"/>
        <v>3Y</v>
      </c>
      <c r="R296" s="194" t="str">
        <f>_xll.qlSwapIndex(,"Euribor",Q296,NDays,Currency,Calendar,"1Y","mf","30/360 (Bond Basis)",IborIndex,Discounting,,_xll.ohTrigger(Trigger,RecalcTrigger))</f>
        <v>obj_00937#0001</v>
      </c>
      <c r="S296" s="194" t="str">
        <f>_xll.qlVanillaSwapFromSwapIndex(,R296,O296)</f>
        <v>obj_00ae8#0001</v>
      </c>
      <c r="T296" s="181">
        <f>_xll.qlVanillaSwapFairRate(S296)</f>
        <v>1.1196286182616181E-2</v>
      </c>
      <c r="U296" s="290">
        <f t="shared" si="28"/>
        <v>6.6286182616181327E-5</v>
      </c>
      <c r="X296" s="176" t="str">
        <f t="shared" si="30"/>
        <v>1D</v>
      </c>
      <c r="Y296" s="164">
        <f>_xll.qlCalendarAdvance(Calendar,Y295,X296,"f",FALSE)</f>
        <v>42481</v>
      </c>
      <c r="Z296" s="188">
        <f>_xll.qlCalendarAdvance(Calendar,Y296,NDays&amp;"D")</f>
        <v>42485</v>
      </c>
      <c r="AA296" s="163">
        <v>8.3000000000069813E-4</v>
      </c>
      <c r="AB296" s="172">
        <v>9.4342658317536632E-4</v>
      </c>
    </row>
    <row r="297" spans="13:28" x14ac:dyDescent="0.2">
      <c r="M297" s="293" t="str">
        <v>obj_00778#0001</v>
      </c>
      <c r="N297" s="176" t="str">
        <f>_xll.qlRateHelperQuoteName(M297)</f>
        <v>EUR13F4Y_Quote</v>
      </c>
      <c r="O297" s="164">
        <f>_xll.qlInterestRateIndexFixingDate(R297,_xll.qlRateHelperEarliestDate(M297,Trigger),)</f>
        <v>46834</v>
      </c>
      <c r="P297" s="191">
        <f>_xll.qlRateHelperQuoteValue(M297,_xll.ohTrigger(RecalcTrigger,YieldCurve))</f>
        <v>1.1179999999999999E-2</v>
      </c>
      <c r="Q297" s="194" t="str">
        <f t="shared" si="31"/>
        <v>4Y</v>
      </c>
      <c r="R297" s="194" t="str">
        <f>_xll.qlSwapIndex(,"Euribor",Q297,NDays,Currency,Calendar,"1Y","mf","30/360 (Bond Basis)",IborIndex,Discounting,,_xll.ohTrigger(Trigger,RecalcTrigger))</f>
        <v>obj_009e6#0001</v>
      </c>
      <c r="S297" s="194" t="str">
        <f>_xll.qlVanillaSwapFromSwapIndex(,R297,O297)</f>
        <v>obj_00aad#0001</v>
      </c>
      <c r="T297" s="181">
        <f>_xll.qlVanillaSwapFairRate(S297)</f>
        <v>1.1169623284818379E-2</v>
      </c>
      <c r="U297" s="290">
        <f t="shared" si="28"/>
        <v>-1.0376715181619964E-5</v>
      </c>
      <c r="X297" s="176" t="str">
        <f t="shared" si="30"/>
        <v>1D</v>
      </c>
      <c r="Y297" s="164">
        <f>_xll.qlCalendarAdvance(Calendar,Y296,X297,"f",FALSE)</f>
        <v>42482</v>
      </c>
      <c r="Z297" s="188">
        <f>_xll.qlCalendarAdvance(Calendar,Y297,NDays&amp;"D")</f>
        <v>42486</v>
      </c>
      <c r="AA297" s="163">
        <v>8.310020147036032E-4</v>
      </c>
      <c r="AB297" s="172">
        <v>9.352819126373646E-4</v>
      </c>
    </row>
    <row r="298" spans="13:28" x14ac:dyDescent="0.2">
      <c r="M298" s="293" t="str">
        <v>obj_007c7#0001</v>
      </c>
      <c r="N298" s="176" t="str">
        <f>_xll.qlRateHelperQuoteName(M298)</f>
        <v>EUR13F5Y_Quote</v>
      </c>
      <c r="O298" s="164">
        <f>_xll.qlInterestRateIndexFixingDate(R298,_xll.qlRateHelperEarliestDate(M298,Trigger),)</f>
        <v>46834</v>
      </c>
      <c r="P298" s="191">
        <f>_xll.qlRateHelperQuoteValue(M298,_xll.ohTrigger(RecalcTrigger,YieldCurve))</f>
        <v>1.111E-2</v>
      </c>
      <c r="Q298" s="194" t="str">
        <f t="shared" si="31"/>
        <v>5Y</v>
      </c>
      <c r="R298" s="194" t="str">
        <f>_xll.qlSwapIndex(,"Euribor",Q298,NDays,Currency,Calendar,"1Y","mf","30/360 (Bond Basis)",IborIndex,Discounting,,_xll.ohTrigger(Trigger,RecalcTrigger))</f>
        <v>obj_0096c#0001</v>
      </c>
      <c r="S298" s="194" t="str">
        <f>_xll.qlVanillaSwapFromSwapIndex(,R298,O298)</f>
        <v>obj_00b59#0001</v>
      </c>
      <c r="T298" s="181">
        <f>_xll.qlVanillaSwapFairRate(S298)</f>
        <v>1.1128196692296071E-2</v>
      </c>
      <c r="U298" s="290">
        <f t="shared" si="28"/>
        <v>1.8196692296071001E-5</v>
      </c>
      <c r="X298" s="176" t="str">
        <f t="shared" si="30"/>
        <v>1D</v>
      </c>
      <c r="Y298" s="164">
        <f>_xll.qlCalendarAdvance(Calendar,Y297,X298,"f",FALSE)</f>
        <v>42485</v>
      </c>
      <c r="Z298" s="188">
        <f>_xll.qlCalendarAdvance(Calendar,Y298,NDays&amp;"D")</f>
        <v>42487</v>
      </c>
      <c r="AA298" s="163">
        <v>8.3199185084932917E-4</v>
      </c>
      <c r="AB298" s="172">
        <v>9.2713946943767667E-4</v>
      </c>
    </row>
    <row r="299" spans="13:28" x14ac:dyDescent="0.2">
      <c r="M299" s="293" t="str">
        <v>obj_00818#0001</v>
      </c>
      <c r="N299" s="176" t="str">
        <f>_xll.qlRateHelperQuoteName(M299)</f>
        <v>EUR13F6Y_Quote</v>
      </c>
      <c r="O299" s="164">
        <f>_xll.qlInterestRateIndexFixingDate(R299,_xll.qlRateHelperEarliestDate(M299,Trigger),)</f>
        <v>46834</v>
      </c>
      <c r="P299" s="191">
        <f>_xll.qlRateHelperQuoteValue(M299,_xll.ohTrigger(RecalcTrigger,YieldCurve))</f>
        <v>1.1089999999999999E-2</v>
      </c>
      <c r="Q299" s="194" t="str">
        <f t="shared" si="31"/>
        <v>6Y</v>
      </c>
      <c r="R299" s="194" t="str">
        <f>_xll.qlSwapIndex(,"Euribor",Q299,NDays,Currency,Calendar,"1Y","mf","30/360 (Bond Basis)",IborIndex,Discounting,,_xll.ohTrigger(Trigger,RecalcTrigger))</f>
        <v>obj_0098c#0001</v>
      </c>
      <c r="S299" s="194" t="str">
        <f>_xll.qlVanillaSwapFromSwapIndex(,R299,O299)</f>
        <v>obj_00b05#0001</v>
      </c>
      <c r="T299" s="181">
        <f>_xll.qlVanillaSwapFairRate(S299)</f>
        <v>1.1082673422869142E-2</v>
      </c>
      <c r="U299" s="290">
        <f t="shared" si="28"/>
        <v>-7.3265771308572009E-6</v>
      </c>
      <c r="X299" s="176" t="str">
        <f t="shared" si="30"/>
        <v>1D</v>
      </c>
      <c r="Y299" s="164">
        <f>_xll.qlCalendarAdvance(Calendar,Y298,X299,"f",FALSE)</f>
        <v>42486</v>
      </c>
      <c r="Z299" s="188">
        <f>_xll.qlCalendarAdvance(Calendar,Y299,NDays&amp;"D")</f>
        <v>42488</v>
      </c>
      <c r="AA299" s="163">
        <v>8.3297158274668809E-4</v>
      </c>
      <c r="AB299" s="172">
        <v>9.1913082720829209E-4</v>
      </c>
    </row>
    <row r="300" spans="13:28" x14ac:dyDescent="0.2">
      <c r="M300" s="293" t="str">
        <v>obj_00877#0001</v>
      </c>
      <c r="N300" s="176" t="str">
        <f>_xll.qlRateHelperQuoteName(M300)</f>
        <v>EUR13F7Y_Quote</v>
      </c>
      <c r="O300" s="164">
        <f>_xll.qlInterestRateIndexFixingDate(R300,_xll.qlRateHelperEarliestDate(M300,Trigger),)</f>
        <v>46834</v>
      </c>
      <c r="P300" s="191">
        <f>_xll.qlRateHelperQuoteValue(M300,_xll.ohTrigger(RecalcTrigger,YieldCurve))</f>
        <v>1.103E-2</v>
      </c>
      <c r="Q300" s="194" t="str">
        <f t="shared" si="31"/>
        <v>7Y</v>
      </c>
      <c r="R300" s="194" t="str">
        <f>_xll.qlSwapIndex(,"Euribor",Q300,NDays,Currency,Calendar,"1Y","mf","30/360 (Bond Basis)",IborIndex,Discounting,,_xll.ohTrigger(Trigger,RecalcTrigger))</f>
        <v>obj_009d9#0001</v>
      </c>
      <c r="S300" s="194" t="str">
        <f>_xll.qlVanillaSwapFromSwapIndex(,R300,O300)</f>
        <v>obj_00b55#0001</v>
      </c>
      <c r="T300" s="181">
        <f>_xll.qlVanillaSwapFairRate(S300)</f>
        <v>1.1032823688737353E-2</v>
      </c>
      <c r="U300" s="290">
        <f t="shared" si="28"/>
        <v>2.8236887373526282E-6</v>
      </c>
      <c r="X300" s="176" t="str">
        <f t="shared" si="30"/>
        <v>1D</v>
      </c>
      <c r="Y300" s="164">
        <f>_xll.qlCalendarAdvance(Calendar,Y299,X300,"f",FALSE)</f>
        <v>42487</v>
      </c>
      <c r="Z300" s="188">
        <f>_xll.qlCalendarAdvance(Calendar,Y300,NDays&amp;"D")</f>
        <v>42489</v>
      </c>
      <c r="AA300" s="163">
        <v>8.3664109191372875E-4</v>
      </c>
      <c r="AB300" s="172">
        <v>9.0356181376982647E-4</v>
      </c>
    </row>
    <row r="301" spans="13:28" x14ac:dyDescent="0.2">
      <c r="M301" s="293" t="str">
        <v>obj_00843#0001</v>
      </c>
      <c r="N301" s="176" t="str">
        <f>_xll.qlRateHelperQuoteName(M301)</f>
        <v>EUR13F8Y_Quote</v>
      </c>
      <c r="O301" s="164">
        <f>_xll.qlInterestRateIndexFixingDate(R301,_xll.qlRateHelperEarliestDate(M301,Trigger),)</f>
        <v>46834</v>
      </c>
      <c r="P301" s="191">
        <f>_xll.qlRateHelperQuoteValue(M301,_xll.ohTrigger(RecalcTrigger,YieldCurve))</f>
        <v>1.099E-2</v>
      </c>
      <c r="Q301" s="194" t="str">
        <f t="shared" si="31"/>
        <v>8Y</v>
      </c>
      <c r="R301" s="194" t="str">
        <f>_xll.qlSwapIndex(,"Euribor",Q301,NDays,Currency,Calendar,"1Y","mf","30/360 (Bond Basis)",IborIndex,Discounting,,_xll.ohTrigger(Trigger,RecalcTrigger))</f>
        <v>obj_009ae#0001</v>
      </c>
      <c r="S301" s="194" t="str">
        <f>_xll.qlVanillaSwapFromSwapIndex(,R301,O301)</f>
        <v>obj_00b10#0001</v>
      </c>
      <c r="T301" s="181">
        <f>_xll.qlVanillaSwapFairRate(S301)</f>
        <v>1.0984923089776357E-2</v>
      </c>
      <c r="U301" s="290">
        <f t="shared" si="28"/>
        <v>-5.0769102236426777E-6</v>
      </c>
      <c r="X301" s="176" t="str">
        <f t="shared" si="30"/>
        <v>1D</v>
      </c>
      <c r="Y301" s="164">
        <f>_xll.qlCalendarAdvance(Calendar,Y300,X301,"f",FALSE)</f>
        <v>42488</v>
      </c>
      <c r="Z301" s="188">
        <f>_xll.qlCalendarAdvance(Calendar,Y301,NDays&amp;"D")</f>
        <v>42492</v>
      </c>
      <c r="AA301" s="163">
        <v>8.3804353129567988E-4</v>
      </c>
      <c r="AB301" s="172">
        <v>8.8843426799378733E-4</v>
      </c>
    </row>
    <row r="302" spans="13:28" x14ac:dyDescent="0.2">
      <c r="M302" s="293" t="str">
        <v>obj_00836#0001</v>
      </c>
      <c r="N302" s="176" t="str">
        <f>_xll.qlRateHelperQuoteName(M302)</f>
        <v>EUR13F9Y_Quote</v>
      </c>
      <c r="O302" s="164">
        <f>_xll.qlInterestRateIndexFixingDate(R302,_xll.qlRateHelperEarliestDate(M302,Trigger),)</f>
        <v>46834</v>
      </c>
      <c r="P302" s="191">
        <f>_xll.qlRateHelperQuoteValue(M302,_xll.ohTrigger(RecalcTrigger,YieldCurve))</f>
        <v>1.094E-2</v>
      </c>
      <c r="Q302" s="194" t="str">
        <f t="shared" si="31"/>
        <v>9Y</v>
      </c>
      <c r="R302" s="194" t="str">
        <f>_xll.qlSwapIndex(,"Euribor",Q302,NDays,Currency,Calendar,"1Y","mf","30/360 (Bond Basis)",IborIndex,Discounting,,_xll.ohTrigger(Trigger,RecalcTrigger))</f>
        <v>obj_0099f#0001</v>
      </c>
      <c r="S302" s="194" t="str">
        <f>_xll.qlVanillaSwapFromSwapIndex(,R302,O302)</f>
        <v>obj_00a73#0001</v>
      </c>
      <c r="T302" s="181">
        <f>_xll.qlVanillaSwapFairRate(S302)</f>
        <v>1.0934282707872701E-2</v>
      </c>
      <c r="U302" s="290">
        <f t="shared" si="28"/>
        <v>-5.7172921272986149E-6</v>
      </c>
      <c r="X302" s="176" t="str">
        <f t="shared" si="30"/>
        <v>1D</v>
      </c>
      <c r="Y302" s="164">
        <f>_xll.qlCalendarAdvance(Calendar,Y301,X302,"f",FALSE)</f>
        <v>42489</v>
      </c>
      <c r="Z302" s="188">
        <f>_xll.qlCalendarAdvance(Calendar,Y302,NDays&amp;"D")</f>
        <v>42493</v>
      </c>
      <c r="AA302" s="163">
        <v>8.3894603957509431E-4</v>
      </c>
      <c r="AB302" s="172">
        <v>8.8109463061591953E-4</v>
      </c>
    </row>
    <row r="303" spans="13:28" x14ac:dyDescent="0.2">
      <c r="M303" s="293" t="str">
        <v>obj_00772#0001</v>
      </c>
      <c r="N303" s="176" t="str">
        <f>_xll.qlRateHelperQuoteName(M303)</f>
        <v>EUR13F10Y_Quote</v>
      </c>
      <c r="O303" s="164">
        <f>_xll.qlInterestRateIndexFixingDate(R303,_xll.qlRateHelperEarliestDate(M303,Trigger),)</f>
        <v>46834</v>
      </c>
      <c r="P303" s="191">
        <f>_xll.qlRateHelperQuoteValue(M303,_xll.ohTrigger(RecalcTrigger,YieldCurve))</f>
        <v>1.0880000000000001E-2</v>
      </c>
      <c r="Q303" s="194" t="str">
        <f t="shared" si="31"/>
        <v>10Y</v>
      </c>
      <c r="R303" s="194" t="str">
        <f>_xll.qlSwapIndex(,"Euribor",Q303,NDays,Currency,Calendar,"1Y","mf","30/360 (Bond Basis)",IborIndex,Discounting,,_xll.ohTrigger(Trigger,RecalcTrigger))</f>
        <v>obj_009e0#0001</v>
      </c>
      <c r="S303" s="194" t="str">
        <f>_xll.qlVanillaSwapFromSwapIndex(,R303,O303)</f>
        <v>obj_00a34#0001</v>
      </c>
      <c r="T303" s="181">
        <f>_xll.qlVanillaSwapFairRate(S303)</f>
        <v>1.0888828551818608E-2</v>
      </c>
      <c r="U303" s="290">
        <f t="shared" si="28"/>
        <v>8.8285518186070888E-6</v>
      </c>
      <c r="X303" s="176" t="str">
        <f t="shared" si="30"/>
        <v>1D</v>
      </c>
      <c r="Y303" s="164">
        <f>_xll.qlCalendarAdvance(Calendar,Y302,X303,"f",FALSE)</f>
        <v>42492</v>
      </c>
      <c r="Z303" s="188">
        <f>_xll.qlCalendarAdvance(Calendar,Y303,NDays&amp;"D")</f>
        <v>42494</v>
      </c>
      <c r="AA303" s="163">
        <v>8.3984865967245493E-4</v>
      </c>
      <c r="AB303" s="172">
        <v>8.7388879412841902E-4</v>
      </c>
    </row>
    <row r="304" spans="13:28" x14ac:dyDescent="0.2">
      <c r="M304" s="293" t="str">
        <v>obj_0075c#0001</v>
      </c>
      <c r="N304" s="176" t="str">
        <f>_xll.qlRateHelperQuoteName(M304)</f>
        <v>EUR13F11Y_Quote</v>
      </c>
      <c r="O304" s="164">
        <f>_xll.qlInterestRateIndexFixingDate(R304,_xll.qlRateHelperEarliestDate(M304,Trigger),)</f>
        <v>46834</v>
      </c>
      <c r="P304" s="191">
        <f>_xll.qlRateHelperQuoteValue(M304,_xll.ohTrigger(RecalcTrigger,YieldCurve))</f>
        <v>1.0860000000000002E-2</v>
      </c>
      <c r="Q304" s="194" t="str">
        <f t="shared" si="31"/>
        <v>11Y</v>
      </c>
      <c r="R304" s="194" t="str">
        <f>_xll.qlSwapIndex(,"Euribor",Q304,NDays,Currency,Calendar,"1Y","mf","30/360 (Bond Basis)",IborIndex,Discounting,,_xll.ohTrigger(Trigger,RecalcTrigger))</f>
        <v>obj_00933#0001</v>
      </c>
      <c r="S304" s="194" t="str">
        <f>_xll.qlVanillaSwapFromSwapIndex(,R304,O304)</f>
        <v>obj_00b17#0001</v>
      </c>
      <c r="T304" s="181">
        <f>_xll.qlVanillaSwapFairRate(S304)</f>
        <v>1.0850666464877661E-2</v>
      </c>
      <c r="U304" s="290">
        <f t="shared" si="28"/>
        <v>-9.3335351223407942E-6</v>
      </c>
      <c r="X304" s="176" t="str">
        <f t="shared" si="30"/>
        <v>1D</v>
      </c>
      <c r="Y304" s="164">
        <f>_xll.qlCalendarAdvance(Calendar,Y303,X304,"f",FALSE)</f>
        <v>42493</v>
      </c>
      <c r="Z304" s="188">
        <f>_xll.qlCalendarAdvance(Calendar,Y304,NDays&amp;"D")</f>
        <v>42495</v>
      </c>
      <c r="AA304" s="163">
        <v>8.4279808503257892E-4</v>
      </c>
      <c r="AB304" s="172">
        <v>8.6681675853128581E-4</v>
      </c>
    </row>
    <row r="305" spans="13:28" x14ac:dyDescent="0.2">
      <c r="M305" s="293" t="str">
        <v>obj_0088d#0001</v>
      </c>
      <c r="N305" s="176" t="str">
        <f>_xll.qlRateHelperQuoteName(M305)</f>
        <v>EUR13F12Y_Quote</v>
      </c>
      <c r="O305" s="164">
        <f>_xll.qlInterestRateIndexFixingDate(R305,_xll.qlRateHelperEarliestDate(M305,Trigger),)</f>
        <v>46834</v>
      </c>
      <c r="P305" s="191">
        <f>_xll.qlRateHelperQuoteValue(M305,_xll.ohTrigger(RecalcTrigger,YieldCurve))</f>
        <v>1.0829999999999999E-2</v>
      </c>
      <c r="Q305" s="194" t="str">
        <f t="shared" si="31"/>
        <v>12Y</v>
      </c>
      <c r="R305" s="194" t="str">
        <f>_xll.qlSwapIndex(,"Euribor",Q305,NDays,Currency,Calendar,"1Y","mf","30/360 (Bond Basis)",IborIndex,Discounting,,_xll.ohTrigger(Trigger,RecalcTrigger))</f>
        <v>obj_00945#0001</v>
      </c>
      <c r="S305" s="194" t="str">
        <f>_xll.qlVanillaSwapFromSwapIndex(,R305,O305)</f>
        <v>obj_00aa3#0001</v>
      </c>
      <c r="T305" s="181">
        <f>_xll.qlVanillaSwapFairRate(S305)</f>
        <v>1.0823276061641792E-2</v>
      </c>
      <c r="U305" s="290">
        <f t="shared" si="28"/>
        <v>-6.7239383582072543E-6</v>
      </c>
      <c r="X305" s="176" t="str">
        <f t="shared" si="30"/>
        <v>1D</v>
      </c>
      <c r="Y305" s="164">
        <f>_xll.qlCalendarAdvance(Calendar,Y304,X305,"f",FALSE)</f>
        <v>42494</v>
      </c>
      <c r="Z305" s="188">
        <f>_xll.qlCalendarAdvance(Calendar,Y305,NDays&amp;"D")</f>
        <v>42496</v>
      </c>
      <c r="AA305" s="163">
        <v>8.42666225372693E-4</v>
      </c>
      <c r="AB305" s="172">
        <v>8.5312071218091035E-4</v>
      </c>
    </row>
    <row r="306" spans="13:28" x14ac:dyDescent="0.2">
      <c r="M306" s="293" t="str">
        <v>obj_00848#0001</v>
      </c>
      <c r="N306" s="176" t="str">
        <f>_xll.qlRateHelperQuoteName(M306)</f>
        <v>EUR13F13Y_Quote</v>
      </c>
      <c r="O306" s="164">
        <f>_xll.qlInterestRateIndexFixingDate(R306,_xll.qlRateHelperEarliestDate(M306,Trigger),)</f>
        <v>46834</v>
      </c>
      <c r="P306" s="191">
        <f>_xll.qlRateHelperQuoteValue(M306,_xll.ohTrigger(RecalcTrigger,YieldCurve))</f>
        <v>1.0820000000000001E-2</v>
      </c>
      <c r="Q306" s="194" t="str">
        <f t="shared" si="31"/>
        <v>13Y</v>
      </c>
      <c r="R306" s="194" t="str">
        <f>_xll.qlSwapIndex(,"Euribor",Q306,NDays,Currency,Calendar,"1Y","mf","30/360 (Bond Basis)",IborIndex,Discounting,,_xll.ohTrigger(Trigger,RecalcTrigger))</f>
        <v>obj_009b1#0001</v>
      </c>
      <c r="S306" s="194" t="str">
        <f>_xll.qlVanillaSwapFromSwapIndex(,R306,O306)</f>
        <v>obj_00b51#0001</v>
      </c>
      <c r="T306" s="181">
        <f>_xll.qlVanillaSwapFairRate(S306)</f>
        <v>1.0802447545103924E-2</v>
      </c>
      <c r="U306" s="290">
        <f t="shared" si="28"/>
        <v>-1.7552454896077943E-5</v>
      </c>
      <c r="X306" s="176" t="str">
        <f t="shared" si="30"/>
        <v>1D</v>
      </c>
      <c r="Y306" s="164">
        <f>_xll.qlCalendarAdvance(Calendar,Y305,X306,"f",FALSE)</f>
        <v>42495</v>
      </c>
      <c r="Z306" s="188">
        <f>_xll.qlCalendarAdvance(Calendar,Y306,NDays&amp;"D")</f>
        <v>42499</v>
      </c>
      <c r="AA306" s="163">
        <v>8.4441060654184895E-4</v>
      </c>
      <c r="AB306" s="172">
        <v>8.398666255260423E-4</v>
      </c>
    </row>
    <row r="307" spans="13:28" x14ac:dyDescent="0.2">
      <c r="M307" s="293" t="str">
        <v>obj_00777#0001</v>
      </c>
      <c r="N307" s="176" t="str">
        <f>_xll.qlRateHelperQuoteName(M307)</f>
        <v>EUR13F14Y_Quote</v>
      </c>
      <c r="O307" s="164">
        <f>_xll.qlInterestRateIndexFixingDate(R307,_xll.qlRateHelperEarliestDate(M307,Trigger),)</f>
        <v>46834</v>
      </c>
      <c r="P307" s="191">
        <f>_xll.qlRateHelperQuoteValue(M307,_xll.ohTrigger(RecalcTrigger,YieldCurve))</f>
        <v>1.0800000000000001E-2</v>
      </c>
      <c r="Q307" s="194" t="str">
        <f t="shared" si="31"/>
        <v>14Y</v>
      </c>
      <c r="R307" s="194" t="str">
        <f>_xll.qlSwapIndex(,"Euribor",Q307,NDays,Currency,Calendar,"1Y","mf","30/360 (Bond Basis)",IborIndex,Discounting,,_xll.ohTrigger(Trigger,RecalcTrigger))</f>
        <v>obj_00963#0001</v>
      </c>
      <c r="S307" s="194" t="str">
        <f>_xll.qlVanillaSwapFromSwapIndex(,R307,O307)</f>
        <v>obj_00ae0#0001</v>
      </c>
      <c r="T307" s="181">
        <f>_xll.qlVanillaSwapFairRate(S307)</f>
        <v>1.0787004337416143E-2</v>
      </c>
      <c r="U307" s="290">
        <f t="shared" si="28"/>
        <v>-1.2995662583857592E-5</v>
      </c>
      <c r="X307" s="176" t="str">
        <f t="shared" si="30"/>
        <v>1D</v>
      </c>
      <c r="Y307" s="164">
        <f>_xll.qlCalendarAdvance(Calendar,Y306,X307,"f",FALSE)</f>
        <v>42496</v>
      </c>
      <c r="Z307" s="188">
        <f>_xll.qlCalendarAdvance(Calendar,Y307,NDays&amp;"D")</f>
        <v>42500</v>
      </c>
      <c r="AA307" s="163">
        <v>8.45342199051505E-4</v>
      </c>
      <c r="AB307" s="172">
        <v>8.3346359454061769E-4</v>
      </c>
    </row>
    <row r="308" spans="13:28" x14ac:dyDescent="0.2">
      <c r="M308" s="293" t="str">
        <v>obj_0081f#0001</v>
      </c>
      <c r="N308" s="176" t="str">
        <f>_xll.qlRateHelperQuoteName(M308)</f>
        <v>EUR13F15Y_Quote</v>
      </c>
      <c r="O308" s="164">
        <f>_xll.qlInterestRateIndexFixingDate(R308,_xll.qlRateHelperEarliestDate(M308,Trigger),)</f>
        <v>46834</v>
      </c>
      <c r="P308" s="191">
        <f>_xll.qlRateHelperQuoteValue(M308,_xll.ohTrigger(RecalcTrigger,YieldCurve))</f>
        <v>1.0789999999999999E-2</v>
      </c>
      <c r="Q308" s="194" t="str">
        <f t="shared" si="31"/>
        <v>15Y</v>
      </c>
      <c r="R308" s="194" t="str">
        <f>_xll.qlSwapIndex(,"Euribor",Q308,NDays,Currency,Calendar,"1Y","mf","30/360 (Bond Basis)",IborIndex,Discounting,,_xll.ohTrigger(Trigger,RecalcTrigger))</f>
        <v>obj_009fe#0001</v>
      </c>
      <c r="S308" s="194" t="str">
        <f>_xll.qlVanillaSwapFromSwapIndex(,R308,O308)</f>
        <v>obj_00b43#0001</v>
      </c>
      <c r="T308" s="181">
        <f>_xll.qlVanillaSwapFairRate(S308)</f>
        <v>1.0773724002979797E-2</v>
      </c>
      <c r="U308" s="290">
        <f t="shared" si="28"/>
        <v>-1.6275997020202132E-5</v>
      </c>
      <c r="X308" s="176" t="str">
        <f t="shared" si="30"/>
        <v>1D</v>
      </c>
      <c r="Y308" s="164">
        <f>_xll.qlCalendarAdvance(Calendar,Y307,X308,"f",FALSE)</f>
        <v>42499</v>
      </c>
      <c r="Z308" s="188">
        <f>_xll.qlCalendarAdvance(Calendar,Y308,NDays&amp;"D")</f>
        <v>42501</v>
      </c>
      <c r="AA308" s="163">
        <v>8.4628333723845307E-4</v>
      </c>
      <c r="AB308" s="172">
        <v>8.2719436436562432E-4</v>
      </c>
    </row>
    <row r="309" spans="13:28" x14ac:dyDescent="0.2">
      <c r="M309" s="293" t="str">
        <v>obj_00811#0001</v>
      </c>
      <c r="N309" s="176" t="str">
        <f>_xll.qlRateHelperQuoteName(M309)</f>
        <v>EUR13F20Y_Quote</v>
      </c>
      <c r="O309" s="164">
        <f>_xll.qlInterestRateIndexFixingDate(R309,_xll.qlRateHelperEarliestDate(M309,Trigger),)</f>
        <v>46834</v>
      </c>
      <c r="P309" s="191">
        <f>_xll.qlRateHelperQuoteValue(M309,_xll.ohTrigger(RecalcTrigger,YieldCurve))</f>
        <v>1.0700000000000001E-2</v>
      </c>
      <c r="Q309" s="194" t="str">
        <f t="shared" si="31"/>
        <v>20Y</v>
      </c>
      <c r="R309" s="194" t="str">
        <f>_xll.qlSwapIndex(,"Euribor",Q309,NDays,Currency,Calendar,"1Y","mf","30/360 (Bond Basis)",IborIndex,Discounting,,_xll.ohTrigger(Trigger,RecalcTrigger))</f>
        <v>obj_009a9#0001</v>
      </c>
      <c r="S309" s="194" t="str">
        <f>_xll.qlVanillaSwapFromSwapIndex(,R309,O309)</f>
        <v>obj_00b34#0001</v>
      </c>
      <c r="T309" s="181">
        <f>_xll.qlVanillaSwapFairRate(S309)</f>
        <v>1.0687239300065482E-2</v>
      </c>
      <c r="U309" s="290">
        <f t="shared" si="28"/>
        <v>-1.2760699934518879E-5</v>
      </c>
      <c r="X309" s="176" t="str">
        <f t="shared" si="30"/>
        <v>1D</v>
      </c>
      <c r="Y309" s="164">
        <f>_xll.qlCalendarAdvance(Calendar,Y308,X309,"f",FALSE)</f>
        <v>42500</v>
      </c>
      <c r="Z309" s="188">
        <f>_xll.qlCalendarAdvance(Calendar,Y309,NDays&amp;"D")</f>
        <v>42502</v>
      </c>
      <c r="AA309" s="163">
        <v>8.4884671372554437E-4</v>
      </c>
      <c r="AB309" s="172">
        <v>8.2105893516093431E-4</v>
      </c>
    </row>
    <row r="310" spans="13:28" x14ac:dyDescent="0.2">
      <c r="M310" s="293" t="str">
        <v>obj_007fa#0001</v>
      </c>
      <c r="N310" s="176" t="str">
        <f>_xll.qlRateHelperQuoteName(M310)</f>
        <v>EUR13F25Y_Quote</v>
      </c>
      <c r="O310" s="164">
        <f>_xll.qlInterestRateIndexFixingDate(R310,_xll.qlRateHelperEarliestDate(M310,Trigger),)</f>
        <v>46834</v>
      </c>
      <c r="P310" s="191">
        <f>_xll.qlRateHelperQuoteValue(M310,_xll.ohTrigger(RecalcTrigger,YieldCurve))</f>
        <v>1.0580000000000001E-2</v>
      </c>
      <c r="Q310" s="194" t="str">
        <f t="shared" si="31"/>
        <v>25Y</v>
      </c>
      <c r="R310" s="194" t="str">
        <f>_xll.qlSwapIndex(,"Euribor",Q310,NDays,Currency,Calendar,"1Y","mf","30/360 (Bond Basis)",IborIndex,Discounting,,_xll.ohTrigger(Trigger,RecalcTrigger))</f>
        <v>obj_009a0#0001</v>
      </c>
      <c r="S310" s="194" t="str">
        <f>_xll.qlVanillaSwapFromSwapIndex(,R310,O310)</f>
        <v>obj_00a3d#0001</v>
      </c>
      <c r="T310" s="181">
        <f>_xll.qlVanillaSwapFairRate(S310)</f>
        <v>1.0566835708387673E-2</v>
      </c>
      <c r="U310" s="290">
        <f t="shared" si="28"/>
        <v>-1.3164291612327572E-5</v>
      </c>
      <c r="X310" s="176" t="str">
        <f t="shared" si="30"/>
        <v>1D</v>
      </c>
      <c r="Y310" s="164">
        <f>_xll.qlCalendarAdvance(Calendar,Y309,X310,"f",FALSE)</f>
        <v>42501</v>
      </c>
      <c r="Z310" s="188">
        <f>_xll.qlCalendarAdvance(Calendar,Y310,NDays&amp;"D")</f>
        <v>42503</v>
      </c>
      <c r="AA310" s="163">
        <v>8.4899498161478885E-4</v>
      </c>
      <c r="AB310" s="172">
        <v>8.0923589853121314E-4</v>
      </c>
    </row>
    <row r="311" spans="13:28" ht="12" thickBot="1" x14ac:dyDescent="0.25">
      <c r="M311" s="294" t="str">
        <v>obj_00849#0001</v>
      </c>
      <c r="N311" s="177" t="str">
        <f>_xll.qlRateHelperQuoteName(M311)</f>
        <v>EUR13F30Y_Quote</v>
      </c>
      <c r="O311" s="174">
        <f>_xll.qlInterestRateIndexFixingDate(R311,_xll.qlRateHelperEarliestDate(M311,Trigger),)</f>
        <v>46834</v>
      </c>
      <c r="P311" s="192">
        <f>_xll.qlRateHelperQuoteValue(M311,_xll.ohTrigger(RecalcTrigger,YieldCurve))</f>
        <v>1.0249999999999999E-2</v>
      </c>
      <c r="Q311" s="195" t="str">
        <f t="shared" si="31"/>
        <v>30Y</v>
      </c>
      <c r="R311" s="195" t="str">
        <f>_xll.qlSwapIndex(,"Euribor",Q311,NDays,Currency,Calendar,"1Y","mf","30/360 (Bond Basis)",IborIndex,Discounting,,_xll.ohTrigger(Trigger,RecalcTrigger))</f>
        <v>obj_00902#0001</v>
      </c>
      <c r="S311" s="195" t="str">
        <f>_xll.qlVanillaSwapFromSwapIndex(,R311,O311)</f>
        <v>obj_00b11#0001</v>
      </c>
      <c r="T311" s="183">
        <f>_xll.qlVanillaSwapFairRate(S311)</f>
        <v>1.0247833379706634E-2</v>
      </c>
      <c r="U311" s="291">
        <f t="shared" si="28"/>
        <v>-2.1666202933649098E-6</v>
      </c>
      <c r="X311" s="176" t="str">
        <f t="shared" si="30"/>
        <v>1D</v>
      </c>
      <c r="Y311" s="164">
        <f>_xll.qlCalendarAdvance(Calendar,Y310,X311,"f",FALSE)</f>
        <v>42502</v>
      </c>
      <c r="Z311" s="188">
        <f>_xll.qlCalendarAdvance(Calendar,Y311,NDays&amp;"D")</f>
        <v>42506</v>
      </c>
      <c r="AA311" s="163">
        <v>8.5117938309067418E-4</v>
      </c>
      <c r="AB311" s="172">
        <v>7.9785522676623089E-4</v>
      </c>
    </row>
    <row r="312" spans="13:28" x14ac:dyDescent="0.2">
      <c r="M312" s="295" t="str">
        <v>obj_007fe#0001</v>
      </c>
      <c r="N312" s="279" t="str">
        <f>_xll.qlRateHelperQuoteName(M312)</f>
        <v>EUR14F1Y_Quote</v>
      </c>
      <c r="O312" s="276">
        <f>_xll.qlInterestRateIndexFixingDate(R312,_xll.qlRateHelperEarliestDate(M312,Trigger),)</f>
        <v>47199</v>
      </c>
      <c r="P312" s="277">
        <f>_xll.qlRateHelperQuoteValue(M312,_xll.ohTrigger(RecalcTrigger,YieldCurve))</f>
        <v>1.1179999999999999E-2</v>
      </c>
      <c r="Q312" s="275" t="str">
        <f t="shared" ref="Q312:Q329" si="32">SUBSTITUTE(SUBSTITUTE(N312,"_Quote",""),"EUR14F","")</f>
        <v>1Y</v>
      </c>
      <c r="R312" s="275" t="str">
        <f>_xll.qlSwapIndex(,"Euribor",Q312,NDays,Currency,Calendar,"1Y","mf","30/360 (Bond Basis)",IborIndex,Discounting,,_xll.ohTrigger(Trigger,RecalcTrigger))</f>
        <v>obj_008d3#0002</v>
      </c>
      <c r="S312" s="275" t="str">
        <f>_xll.qlVanillaSwapFromSwapIndex(,R312,O312)</f>
        <v>obj_00b45#0001</v>
      </c>
      <c r="T312" s="278">
        <f>_xll.qlVanillaSwapFairRate(S312)</f>
        <v>1.121378997191015E-2</v>
      </c>
      <c r="U312" s="292">
        <f t="shared" si="28"/>
        <v>3.3789971910150665E-5</v>
      </c>
      <c r="X312" s="176" t="str">
        <f t="shared" si="30"/>
        <v>1D</v>
      </c>
      <c r="Y312" s="164">
        <f>_xll.qlCalendarAdvance(Calendar,Y311,X312,"f",FALSE)</f>
        <v>42503</v>
      </c>
      <c r="Z312" s="188">
        <f>_xll.qlCalendarAdvance(Calendar,Y312,NDays&amp;"D")</f>
        <v>42507</v>
      </c>
      <c r="AA312" s="163">
        <v>8.5220609723828783E-4</v>
      </c>
      <c r="AB312" s="172">
        <v>7.9238880177356918E-4</v>
      </c>
    </row>
    <row r="313" spans="13:28" x14ac:dyDescent="0.2">
      <c r="M313" s="293" t="str">
        <v>obj_00803#0001</v>
      </c>
      <c r="N313" s="176" t="str">
        <f>_xll.qlRateHelperQuoteName(M313)</f>
        <v>EUR14F2Y_Quote</v>
      </c>
      <c r="O313" s="164">
        <f>_xll.qlInterestRateIndexFixingDate(R313,_xll.qlRateHelperEarliestDate(M313,Trigger),)</f>
        <v>47199</v>
      </c>
      <c r="P313" s="191">
        <f>_xll.qlRateHelperQuoteValue(M313,_xll.ohTrigger(RecalcTrigger,YieldCurve))</f>
        <v>1.1120000000000001E-2</v>
      </c>
      <c r="Q313" s="194" t="str">
        <f t="shared" si="32"/>
        <v>2Y</v>
      </c>
      <c r="R313" s="194" t="str">
        <f>_xll.qlSwapIndex(,"Euribor",Q313,NDays,Currency,Calendar,"1Y","mf","30/360 (Bond Basis)",IborIndex,Discounting,,_xll.ohTrigger(Trigger,RecalcTrigger))</f>
        <v>obj_0097a#0001</v>
      </c>
      <c r="S313" s="194" t="str">
        <f>_xll.qlVanillaSwapFromSwapIndex(,R313,O313)</f>
        <v>obj_00b20#0001</v>
      </c>
      <c r="T313" s="181">
        <f>_xll.qlVanillaSwapFairRate(S313)</f>
        <v>1.117971415440349E-2</v>
      </c>
      <c r="U313" s="290">
        <f t="shared" si="28"/>
        <v>5.97141544034889E-5</v>
      </c>
      <c r="X313" s="176" t="str">
        <f t="shared" si="30"/>
        <v>1D</v>
      </c>
      <c r="Y313" s="164">
        <f>_xll.qlCalendarAdvance(Calendar,Y312,X313,"f",FALSE)</f>
        <v>42506</v>
      </c>
      <c r="Z313" s="188">
        <f>_xll.qlCalendarAdvance(Calendar,Y313,NDays&amp;"D")</f>
        <v>42508</v>
      </c>
      <c r="AA313" s="163">
        <v>8.5325179105764871E-4</v>
      </c>
      <c r="AB313" s="172">
        <v>7.8705617767127478E-4</v>
      </c>
    </row>
    <row r="314" spans="13:28" x14ac:dyDescent="0.2">
      <c r="M314" s="293" t="str">
        <v>obj_0080b#0001</v>
      </c>
      <c r="N314" s="176" t="str">
        <f>_xll.qlRateHelperQuoteName(M314)</f>
        <v>EUR14F3Y_Quote</v>
      </c>
      <c r="O314" s="164">
        <f>_xll.qlInterestRateIndexFixingDate(R314,_xll.qlRateHelperEarliestDate(M314,Trigger),)</f>
        <v>47199</v>
      </c>
      <c r="P314" s="191">
        <f>_xll.qlRateHelperQuoteValue(M314,_xll.ohTrigger(RecalcTrigger,YieldCurve))</f>
        <v>1.119E-2</v>
      </c>
      <c r="Q314" s="194" t="str">
        <f t="shared" si="32"/>
        <v>3Y</v>
      </c>
      <c r="R314" s="194" t="str">
        <f>_xll.qlSwapIndex(,"Euribor",Q314,NDays,Currency,Calendar,"1Y","mf","30/360 (Bond Basis)",IborIndex,Discounting,,_xll.ohTrigger(Trigger,RecalcTrigger))</f>
        <v>obj_00920#0001</v>
      </c>
      <c r="S314" s="194" t="str">
        <f>_xll.qlVanillaSwapFromSwapIndex(,R314,O314)</f>
        <v>obj_00a99#0001</v>
      </c>
      <c r="T314" s="181">
        <f>_xll.qlVanillaSwapFairRate(S314)</f>
        <v>1.1148440898729817E-2</v>
      </c>
      <c r="U314" s="290">
        <f t="shared" si="28"/>
        <v>-4.1559101270183252E-5</v>
      </c>
      <c r="X314" s="176" t="str">
        <f t="shared" si="30"/>
        <v>1D</v>
      </c>
      <c r="Y314" s="164">
        <f>_xll.qlCalendarAdvance(Calendar,Y313,X314,"f",FALSE)</f>
        <v>42507</v>
      </c>
      <c r="Z314" s="188">
        <f>_xll.qlCalendarAdvance(Calendar,Y314,NDays&amp;"D")</f>
        <v>42509</v>
      </c>
      <c r="AA314" s="163">
        <v>8.5568989049315586E-4</v>
      </c>
      <c r="AB314" s="172">
        <v>7.8185735445934768E-4</v>
      </c>
    </row>
    <row r="315" spans="13:28" x14ac:dyDescent="0.2">
      <c r="M315" s="293" t="str">
        <v>obj_007d7#0001</v>
      </c>
      <c r="N315" s="176" t="str">
        <f>_xll.qlRateHelperQuoteName(M315)</f>
        <v>EUR14F4Y_Quote</v>
      </c>
      <c r="O315" s="164">
        <f>_xll.qlInterestRateIndexFixingDate(R315,_xll.qlRateHelperEarliestDate(M315,Trigger),)</f>
        <v>47199</v>
      </c>
      <c r="P315" s="191" t="e">
        <f>_xll.qlRateHelperQuoteValue(M315,_xll.ohTrigger(RecalcTrigger,YieldCurve))</f>
        <v>#NUM!</v>
      </c>
      <c r="Q315" s="194" t="str">
        <f t="shared" si="32"/>
        <v>4Y</v>
      </c>
      <c r="R315" s="194" t="str">
        <f>_xll.qlSwapIndex(,"Euribor",Q315,NDays,Currency,Calendar,"1Y","mf","30/360 (Bond Basis)",IborIndex,Discounting,,_xll.ohTrigger(Trigger,RecalcTrigger))</f>
        <v>obj_0093b#0001</v>
      </c>
      <c r="S315" s="194" t="str">
        <f>_xll.qlVanillaSwapFromSwapIndex(,R315,O315)</f>
        <v>obj_00b30#0001</v>
      </c>
      <c r="T315" s="181">
        <f>_xll.qlVanillaSwapFairRate(S315)</f>
        <v>1.110172922031355E-2</v>
      </c>
      <c r="U315" s="290" t="e">
        <f t="shared" si="28"/>
        <v>#NUM!</v>
      </c>
      <c r="X315" s="176" t="str">
        <f t="shared" si="30"/>
        <v>1D</v>
      </c>
      <c r="Y315" s="164">
        <f>_xll.qlCalendarAdvance(Calendar,Y314,X315,"f",FALSE)</f>
        <v>42508</v>
      </c>
      <c r="Z315" s="188">
        <f>_xll.qlCalendarAdvance(Calendar,Y315,NDays&amp;"D")</f>
        <v>42510</v>
      </c>
      <c r="AA315" s="163">
        <v>8.5608712601044031E-4</v>
      </c>
      <c r="AB315" s="172">
        <v>7.7190736562648965E-4</v>
      </c>
    </row>
    <row r="316" spans="13:28" x14ac:dyDescent="0.2">
      <c r="M316" s="293" t="str">
        <v>obj_0077e#0001</v>
      </c>
      <c r="N316" s="176" t="str">
        <f>_xll.qlRateHelperQuoteName(M316)</f>
        <v>EUR14F5Y_Quote</v>
      </c>
      <c r="O316" s="164">
        <f>_xll.qlInterestRateIndexFixingDate(R316,_xll.qlRateHelperEarliestDate(M316,Trigger),)</f>
        <v>47199</v>
      </c>
      <c r="P316" s="191">
        <f>_xll.qlRateHelperQuoteValue(M316,_xll.ohTrigger(RecalcTrigger,YieldCurve))</f>
        <v>1.1080000000000001E-2</v>
      </c>
      <c r="Q316" s="194" t="str">
        <f t="shared" si="32"/>
        <v>5Y</v>
      </c>
      <c r="R316" s="194" t="str">
        <f>_xll.qlSwapIndex(,"Euribor",Q316,NDays,Currency,Calendar,"1Y","mf","30/360 (Bond Basis)",IborIndex,Discounting,,_xll.ohTrigger(Trigger,RecalcTrigger))</f>
        <v>obj_009b2#0001</v>
      </c>
      <c r="S316" s="194" t="str">
        <f>_xll.qlVanillaSwapFromSwapIndex(,R316,O316)</f>
        <v>obj_00b6f#0001</v>
      </c>
      <c r="T316" s="181">
        <f>_xll.qlVanillaSwapFairRate(S316)</f>
        <v>1.1052025664454766E-2</v>
      </c>
      <c r="U316" s="290">
        <f t="shared" si="28"/>
        <v>-2.7974335545235748E-5</v>
      </c>
      <c r="X316" s="176" t="str">
        <f t="shared" si="30"/>
        <v>1D</v>
      </c>
      <c r="Y316" s="164">
        <f>_xll.qlCalendarAdvance(Calendar,Y315,X316,"f",FALSE)</f>
        <v>42509</v>
      </c>
      <c r="Z316" s="188">
        <f>_xll.qlCalendarAdvance(Calendar,Y316,NDays&amp;"D")</f>
        <v>42513</v>
      </c>
      <c r="AA316" s="163">
        <v>8.5881212577204851E-4</v>
      </c>
      <c r="AB316" s="172">
        <v>7.6240006939620741E-4</v>
      </c>
    </row>
    <row r="317" spans="13:28" x14ac:dyDescent="0.2">
      <c r="M317" s="293" t="str">
        <v>obj_00817#0001</v>
      </c>
      <c r="N317" s="176" t="str">
        <f>_xll.qlRateHelperQuoteName(M317)</f>
        <v>EUR14F6Y_Quote</v>
      </c>
      <c r="O317" s="164">
        <f>_xll.qlInterestRateIndexFixingDate(R317,_xll.qlRateHelperEarliestDate(M317,Trigger),)</f>
        <v>47199</v>
      </c>
      <c r="P317" s="191">
        <f>_xll.qlRateHelperQuoteValue(M317,_xll.ohTrigger(RecalcTrigger,YieldCurve))</f>
        <v>1.1009999999999999E-2</v>
      </c>
      <c r="Q317" s="194" t="str">
        <f t="shared" si="32"/>
        <v>6Y</v>
      </c>
      <c r="R317" s="194" t="str">
        <f>_xll.qlSwapIndex(,"Euribor",Q317,NDays,Currency,Calendar,"1Y","mf","30/360 (Bond Basis)",IborIndex,Discounting,,_xll.ohTrigger(Trigger,RecalcTrigger))</f>
        <v>obj_008de#0002</v>
      </c>
      <c r="S317" s="194" t="str">
        <f>_xll.qlVanillaSwapFromSwapIndex(,R317,O317)</f>
        <v>obj_00b26#0001</v>
      </c>
      <c r="T317" s="181">
        <f>_xll.qlVanillaSwapFairRate(S317)</f>
        <v>1.0999044581677985E-2</v>
      </c>
      <c r="U317" s="290">
        <f t="shared" si="28"/>
        <v>-1.0955418322014174E-5</v>
      </c>
      <c r="X317" s="176" t="str">
        <f t="shared" si="30"/>
        <v>1D</v>
      </c>
      <c r="Y317" s="164">
        <f>_xll.qlCalendarAdvance(Calendar,Y316,X317,"f",FALSE)</f>
        <v>42510</v>
      </c>
      <c r="Z317" s="188">
        <f>_xll.qlCalendarAdvance(Calendar,Y317,NDays&amp;"D")</f>
        <v>42514</v>
      </c>
      <c r="AA317" s="163">
        <v>8.6000000000016022E-4</v>
      </c>
      <c r="AB317" s="172">
        <v>7.5785969372077489E-4</v>
      </c>
    </row>
    <row r="318" spans="13:28" x14ac:dyDescent="0.2">
      <c r="M318" s="293" t="str">
        <v>obj_007d4#0001</v>
      </c>
      <c r="N318" s="176" t="str">
        <f>_xll.qlRateHelperQuoteName(M318)</f>
        <v>EUR14F7Y_Quote</v>
      </c>
      <c r="O318" s="164">
        <f>_xll.qlInterestRateIndexFixingDate(R318,_xll.qlRateHelperEarliestDate(M318,Trigger),)</f>
        <v>47199</v>
      </c>
      <c r="P318" s="191">
        <f>_xll.qlRateHelperQuoteValue(M318,_xll.ohTrigger(RecalcTrigger,YieldCurve))</f>
        <v>1.0970000000000001E-2</v>
      </c>
      <c r="Q318" s="194" t="str">
        <f t="shared" si="32"/>
        <v>7Y</v>
      </c>
      <c r="R318" s="194" t="str">
        <f>_xll.qlSwapIndex(,"Euribor",Q318,NDays,Currency,Calendar,"1Y","mf","30/360 (Bond Basis)",IborIndex,Discounting,,_xll.ohTrigger(Trigger,RecalcTrigger))</f>
        <v>obj_009be#0001</v>
      </c>
      <c r="S318" s="194" t="str">
        <f>_xll.qlVanillaSwapFromSwapIndex(,R318,O318)</f>
        <v>obj_00b38#0001</v>
      </c>
      <c r="T318" s="181">
        <f>_xll.qlVanillaSwapFairRate(S318)</f>
        <v>1.0948261989112529E-2</v>
      </c>
      <c r="U318" s="290">
        <f t="shared" si="28"/>
        <v>-2.1738010887471793E-5</v>
      </c>
      <c r="X318" s="176" t="str">
        <f t="shared" si="30"/>
        <v>1D</v>
      </c>
      <c r="Y318" s="164">
        <f>_xll.qlCalendarAdvance(Calendar,Y317,X318,"f",FALSE)</f>
        <v>42513</v>
      </c>
      <c r="Z318" s="188">
        <f>_xll.qlCalendarAdvance(Calendar,Y318,NDays&amp;"D")</f>
        <v>42515</v>
      </c>
      <c r="AA318" s="163">
        <v>8.6121571750465207E-4</v>
      </c>
      <c r="AB318" s="172">
        <v>7.5340033651727367E-4</v>
      </c>
    </row>
    <row r="319" spans="13:28" x14ac:dyDescent="0.2">
      <c r="M319" s="293" t="str">
        <v>obj_00869#0001</v>
      </c>
      <c r="N319" s="176" t="str">
        <f>_xll.qlRateHelperQuoteName(M319)</f>
        <v>EUR14F8Y_Quote</v>
      </c>
      <c r="O319" s="164">
        <f>_xll.qlInterestRateIndexFixingDate(R319,_xll.qlRateHelperEarliestDate(M319,Trigger),)</f>
        <v>47199</v>
      </c>
      <c r="P319" s="191">
        <f>_xll.qlRateHelperQuoteValue(M319,_xll.ohTrigger(RecalcTrigger,YieldCurve))</f>
        <v>1.091E-2</v>
      </c>
      <c r="Q319" s="194" t="str">
        <f t="shared" si="32"/>
        <v>8Y</v>
      </c>
      <c r="R319" s="194" t="str">
        <f>_xll.qlSwapIndex(,"Euribor",Q319,NDays,Currency,Calendar,"1Y","mf","30/360 (Bond Basis)",IborIndex,Discounting,,_xll.ohTrigger(Trigger,RecalcTrigger))</f>
        <v>obj_0091d#0001</v>
      </c>
      <c r="S319" s="194" t="str">
        <f>_xll.qlVanillaSwapFromSwapIndex(,R319,O319)</f>
        <v>obj_00a69#0001</v>
      </c>
      <c r="T319" s="181">
        <f>_xll.qlVanillaSwapFairRate(S319)</f>
        <v>1.0895391771804798E-2</v>
      </c>
      <c r="U319" s="290">
        <f t="shared" si="28"/>
        <v>-1.4608228195201606E-5</v>
      </c>
      <c r="X319" s="176" t="str">
        <f t="shared" si="30"/>
        <v>1D</v>
      </c>
      <c r="Y319" s="164">
        <f>_xll.qlCalendarAdvance(Calendar,Y318,X319,"f",FALSE)</f>
        <v>42514</v>
      </c>
      <c r="Z319" s="188">
        <f>_xll.qlCalendarAdvance(Calendar,Y319,NDays&amp;"D")</f>
        <v>42516</v>
      </c>
      <c r="AA319" s="163">
        <v>8.6374561421350435E-4</v>
      </c>
      <c r="AB319" s="172">
        <v>7.490114411901061E-4</v>
      </c>
    </row>
    <row r="320" spans="13:28" x14ac:dyDescent="0.2">
      <c r="M320" s="293" t="str">
        <v>obj_0083b#0001</v>
      </c>
      <c r="N320" s="176" t="str">
        <f>_xll.qlRateHelperQuoteName(M320)</f>
        <v>EUR14F9Y_Quote</v>
      </c>
      <c r="O320" s="164">
        <f>_xll.qlInterestRateIndexFixingDate(R320,_xll.qlRateHelperEarliestDate(M320,Trigger),)</f>
        <v>47199</v>
      </c>
      <c r="P320" s="191">
        <f>_xll.qlRateHelperQuoteValue(M320,_xll.ohTrigger(RecalcTrigger,YieldCurve))</f>
        <v>1.0860000000000002E-2</v>
      </c>
      <c r="Q320" s="194" t="str">
        <f t="shared" si="32"/>
        <v>9Y</v>
      </c>
      <c r="R320" s="194" t="str">
        <f>_xll.qlSwapIndex(,"Euribor",Q320,NDays,Currency,Calendar,"1Y","mf","30/360 (Bond Basis)",IborIndex,Discounting,,_xll.ohTrigger(Trigger,RecalcTrigger))</f>
        <v>obj_008d6#0002</v>
      </c>
      <c r="S320" s="194" t="str">
        <f>_xll.qlVanillaSwapFromSwapIndex(,R320,O320)</f>
        <v>obj_00ad5#0001</v>
      </c>
      <c r="T320" s="181">
        <f>_xll.qlVanillaSwapFairRate(S320)</f>
        <v>1.0848775158322303E-2</v>
      </c>
      <c r="U320" s="290">
        <f t="shared" si="28"/>
        <v>-1.1224841677698674E-5</v>
      </c>
      <c r="X320" s="176" t="str">
        <f t="shared" si="30"/>
        <v>1D</v>
      </c>
      <c r="Y320" s="164">
        <f>_xll.qlCalendarAdvance(Calendar,Y319,X320,"f",FALSE)</f>
        <v>42515</v>
      </c>
      <c r="Z320" s="188">
        <f>_xll.qlCalendarAdvance(Calendar,Y320,NDays&amp;"D")</f>
        <v>42517</v>
      </c>
      <c r="AA320" s="163">
        <v>8.6436400054797351E-4</v>
      </c>
      <c r="AB320" s="172">
        <v>7.4047004669175465E-4</v>
      </c>
    </row>
    <row r="321" spans="13:28" x14ac:dyDescent="0.2">
      <c r="M321" s="293" t="str">
        <v>obj_007b8#0001</v>
      </c>
      <c r="N321" s="176" t="str">
        <f>_xll.qlRateHelperQuoteName(M321)</f>
        <v>EUR14F10Y_Quote</v>
      </c>
      <c r="O321" s="164">
        <f>_xll.qlInterestRateIndexFixingDate(R321,_xll.qlRateHelperEarliestDate(M321,Trigger),)</f>
        <v>47199</v>
      </c>
      <c r="P321" s="191">
        <f>_xll.qlRateHelperQuoteValue(M321,_xll.ohTrigger(RecalcTrigger,YieldCurve))</f>
        <v>1.0829999999999999E-2</v>
      </c>
      <c r="Q321" s="194" t="str">
        <f t="shared" si="32"/>
        <v>10Y</v>
      </c>
      <c r="R321" s="194" t="str">
        <f>_xll.qlSwapIndex(,"Euribor",Q321,NDays,Currency,Calendar,"1Y","mf","30/360 (Bond Basis)",IborIndex,Discounting,,_xll.ohTrigger(Trigger,RecalcTrigger))</f>
        <v>obj_0093a#0001</v>
      </c>
      <c r="S321" s="194" t="str">
        <f>_xll.qlVanillaSwapFromSwapIndex(,R321,O321)</f>
        <v>obj_00a5f#0001</v>
      </c>
      <c r="T321" s="181">
        <f>_xll.qlVanillaSwapFairRate(S321)</f>
        <v>1.0810192219665315E-2</v>
      </c>
      <c r="U321" s="290">
        <f t="shared" si="28"/>
        <v>-1.980778033468418E-5</v>
      </c>
      <c r="X321" s="176" t="str">
        <f t="shared" si="30"/>
        <v>1D</v>
      </c>
      <c r="Y321" s="164">
        <f>_xll.qlCalendarAdvance(Calendar,Y320,X321,"f",FALSE)</f>
        <v>42516</v>
      </c>
      <c r="Z321" s="188">
        <f>_xll.qlCalendarAdvance(Calendar,Y321,NDays&amp;"D")</f>
        <v>42520</v>
      </c>
      <c r="AA321" s="163">
        <v>8.6764786645376912E-4</v>
      </c>
      <c r="AB321" s="172">
        <v>7.3216047928426065E-4</v>
      </c>
    </row>
    <row r="322" spans="13:28" x14ac:dyDescent="0.2">
      <c r="M322" s="293" t="str">
        <v>obj_00744#0001</v>
      </c>
      <c r="N322" s="176" t="str">
        <f>_xll.qlRateHelperQuoteName(M322)</f>
        <v>EUR14F11Y_Quote</v>
      </c>
      <c r="O322" s="164">
        <f>_xll.qlInterestRateIndexFixingDate(R322,_xll.qlRateHelperEarliestDate(M322,Trigger),)</f>
        <v>47199</v>
      </c>
      <c r="P322" s="191">
        <f>_xll.qlRateHelperQuoteValue(M322,_xll.ohTrigger(RecalcTrigger,YieldCurve))</f>
        <v>1.0800000000000001E-2</v>
      </c>
      <c r="Q322" s="194" t="str">
        <f t="shared" si="32"/>
        <v>11Y</v>
      </c>
      <c r="R322" s="194" t="str">
        <f>_xll.qlSwapIndex(,"Euribor",Q322,NDays,Currency,Calendar,"1Y","mf","30/360 (Bond Basis)",IborIndex,Discounting,,_xll.ohTrigger(Trigger,RecalcTrigger))</f>
        <v>obj_0099b#0001</v>
      </c>
      <c r="S322" s="194" t="str">
        <f>_xll.qlVanillaSwapFromSwapIndex(,R322,O322)</f>
        <v>obj_00a11#0001</v>
      </c>
      <c r="T322" s="181">
        <f>_xll.qlVanillaSwapFairRate(S322)</f>
        <v>1.0784100787002268E-2</v>
      </c>
      <c r="U322" s="290">
        <f t="shared" si="28"/>
        <v>-1.5899212997732073E-5</v>
      </c>
      <c r="X322" s="176" t="str">
        <f t="shared" si="30"/>
        <v>1D</v>
      </c>
      <c r="Y322" s="164">
        <f>_xll.qlCalendarAdvance(Calendar,Y321,X322,"f",FALSE)</f>
        <v>42517</v>
      </c>
      <c r="Z322" s="188">
        <f>_xll.qlCalendarAdvance(Calendar,Y322,NDays&amp;"D")</f>
        <v>42521</v>
      </c>
      <c r="AA322" s="163">
        <v>8.6838646858328119E-4</v>
      </c>
      <c r="AB322" s="172">
        <v>7.2812389365850549E-4</v>
      </c>
    </row>
    <row r="323" spans="13:28" x14ac:dyDescent="0.2">
      <c r="M323" s="293" t="str">
        <v>obj_0086e#0001</v>
      </c>
      <c r="N323" s="176" t="str">
        <f>_xll.qlRateHelperQuoteName(M323)</f>
        <v>EUR14F12Y_Quote</v>
      </c>
      <c r="O323" s="164">
        <f>_xll.qlInterestRateIndexFixingDate(R323,_xll.qlRateHelperEarliestDate(M323,Trigger),)</f>
        <v>47199</v>
      </c>
      <c r="P323" s="191">
        <f>_xll.qlRateHelperQuoteValue(M323,_xll.ohTrigger(RecalcTrigger,YieldCurve))</f>
        <v>1.0789999999999999E-2</v>
      </c>
      <c r="Q323" s="194" t="str">
        <f t="shared" si="32"/>
        <v>12Y</v>
      </c>
      <c r="R323" s="194" t="str">
        <f>_xll.qlSwapIndex(,"Euribor",Q323,NDays,Currency,Calendar,"1Y","mf","30/360 (Bond Basis)",IborIndex,Discounting,,_xll.ohTrigger(Trigger,RecalcTrigger))</f>
        <v>obj_00975#0001</v>
      </c>
      <c r="S323" s="194" t="str">
        <f>_xll.qlVanillaSwapFromSwapIndex(,R323,O323)</f>
        <v>obj_00a2f#0001</v>
      </c>
      <c r="T323" s="181">
        <f>_xll.qlVanillaSwapFairRate(S323)</f>
        <v>1.0764434753123588E-2</v>
      </c>
      <c r="U323" s="290">
        <f t="shared" si="28"/>
        <v>-2.5565246876411638E-5</v>
      </c>
      <c r="X323" s="176" t="str">
        <f t="shared" si="30"/>
        <v>1D</v>
      </c>
      <c r="Y323" s="164">
        <f>_xll.qlCalendarAdvance(Calendar,Y322,X323,"f",FALSE)</f>
        <v>42520</v>
      </c>
      <c r="Z323" s="188">
        <f>_xll.qlCalendarAdvance(Calendar,Y323,NDays&amp;"D")</f>
        <v>42522</v>
      </c>
      <c r="AA323" s="163">
        <v>8.697584828673237E-4</v>
      </c>
      <c r="AB323" s="172">
        <v>7.2415776998902004E-4</v>
      </c>
    </row>
    <row r="324" spans="13:28" x14ac:dyDescent="0.2">
      <c r="M324" s="293" t="str">
        <v>obj_00787#0001</v>
      </c>
      <c r="N324" s="176" t="str">
        <f>_xll.qlRateHelperQuoteName(M324)</f>
        <v>EUR14F13Y_Quote</v>
      </c>
      <c r="O324" s="164">
        <f>_xll.qlInterestRateIndexFixingDate(R324,_xll.qlRateHelperEarliestDate(M324,Trigger),)</f>
        <v>47199</v>
      </c>
      <c r="P324" s="191" t="e">
        <f>_xll.qlRateHelperQuoteValue(M324,_xll.ohTrigger(RecalcTrigger,YieldCurve))</f>
        <v>#NUM!</v>
      </c>
      <c r="Q324" s="194" t="str">
        <f t="shared" si="32"/>
        <v>13Y</v>
      </c>
      <c r="R324" s="194" t="str">
        <f>_xll.qlSwapIndex(,"Euribor",Q324,NDays,Currency,Calendar,"1Y","mf","30/360 (Bond Basis)",IborIndex,Discounting,,_xll.ohTrigger(Trigger,RecalcTrigger))</f>
        <v>obj_0092a#0001</v>
      </c>
      <c r="S324" s="194" t="str">
        <f>_xll.qlVanillaSwapFromSwapIndex(,R324,O324)</f>
        <v>obj_00b13#0001</v>
      </c>
      <c r="T324" s="181">
        <f>_xll.qlVanillaSwapFairRate(S324)</f>
        <v>1.0750417996904899E-2</v>
      </c>
      <c r="U324" s="290" t="e">
        <f t="shared" si="28"/>
        <v>#NUM!</v>
      </c>
      <c r="X324" s="176" t="str">
        <f t="shared" si="30"/>
        <v>1D</v>
      </c>
      <c r="Y324" s="164">
        <f>_xll.qlCalendarAdvance(Calendar,Y323,X324,"f",FALSE)</f>
        <v>42521</v>
      </c>
      <c r="Z324" s="188">
        <f>_xll.qlCalendarAdvance(Calendar,Y324,NDays&amp;"D")</f>
        <v>42523</v>
      </c>
      <c r="AA324" s="163">
        <v>8.7114407236969262E-4</v>
      </c>
      <c r="AB324" s="172">
        <v>7.2026210819586822E-4</v>
      </c>
    </row>
    <row r="325" spans="13:28" x14ac:dyDescent="0.2">
      <c r="M325" s="293" t="str">
        <v>obj_007bd#0001</v>
      </c>
      <c r="N325" s="176" t="str">
        <f>_xll.qlRateHelperQuoteName(M325)</f>
        <v>EUR14F14Y_Quote</v>
      </c>
      <c r="O325" s="164">
        <f>_xll.qlInterestRateIndexFixingDate(R325,_xll.qlRateHelperEarliestDate(M325,Trigger),)</f>
        <v>47199</v>
      </c>
      <c r="P325" s="191">
        <f>_xll.qlRateHelperQuoteValue(M325,_xll.ohTrigger(RecalcTrigger,YieldCurve))</f>
        <v>1.076E-2</v>
      </c>
      <c r="Q325" s="194" t="str">
        <f t="shared" si="32"/>
        <v>14Y</v>
      </c>
      <c r="R325" s="194" t="str">
        <f>_xll.qlSwapIndex(,"Euribor",Q325,NDays,Currency,Calendar,"1Y","mf","30/360 (Bond Basis)",IborIndex,Discounting,,_xll.ohTrigger(Trigger,RecalcTrigger))</f>
        <v>obj_0096b#0001</v>
      </c>
      <c r="S325" s="194" t="str">
        <f>_xll.qlVanillaSwapFromSwapIndex(,R325,O325)</f>
        <v>obj_00a46#0001</v>
      </c>
      <c r="T325" s="181">
        <f>_xll.qlVanillaSwapFairRate(S325)</f>
        <v>1.073856446895002E-2</v>
      </c>
      <c r="U325" s="290">
        <f t="shared" si="28"/>
        <v>-2.1435531049980236E-5</v>
      </c>
      <c r="X325" s="176" t="str">
        <f t="shared" si="30"/>
        <v>1D</v>
      </c>
      <c r="Y325" s="164">
        <f>_xll.qlCalendarAdvance(Calendar,Y324,X325,"f",FALSE)</f>
        <v>42522</v>
      </c>
      <c r="Z325" s="188">
        <f>_xll.qlCalendarAdvance(Calendar,Y325,NDays&amp;"D")</f>
        <v>42524</v>
      </c>
      <c r="AA325" s="163">
        <v>8.7362646881105884E-4</v>
      </c>
      <c r="AB325" s="172">
        <v>7.1270706864190458E-4</v>
      </c>
    </row>
    <row r="326" spans="13:28" x14ac:dyDescent="0.2">
      <c r="M326" s="293" t="str">
        <v>obj_007d0#0001</v>
      </c>
      <c r="N326" s="176" t="str">
        <f>_xll.qlRateHelperQuoteName(M326)</f>
        <v>EUR14F15Y_Quote</v>
      </c>
      <c r="O326" s="164">
        <f>_xll.qlInterestRateIndexFixingDate(R326,_xll.qlRateHelperEarliestDate(M326,Trigger),)</f>
        <v>47199</v>
      </c>
      <c r="P326" s="191">
        <f>_xll.qlRateHelperQuoteValue(M326,_xll.ohTrigger(RecalcTrigger,YieldCurve))</f>
        <v>1.0740000000000001E-2</v>
      </c>
      <c r="Q326" s="194" t="str">
        <f t="shared" si="32"/>
        <v>15Y</v>
      </c>
      <c r="R326" s="194" t="str">
        <f>_xll.qlSwapIndex(,"Euribor",Q326,NDays,Currency,Calendar,"1Y","mf","30/360 (Bond Basis)",IborIndex,Discounting,,_xll.ohTrigger(Trigger,RecalcTrigger))</f>
        <v>obj_009b9#0001</v>
      </c>
      <c r="S326" s="194" t="str">
        <f>_xll.qlVanillaSwapFromSwapIndex(,R326,O326)</f>
        <v>obj_00a93#0001</v>
      </c>
      <c r="T326" s="181">
        <f>_xll.qlVanillaSwapFairRate(S326)</f>
        <v>1.0728036983596119E-2</v>
      </c>
      <c r="U326" s="290">
        <f t="shared" si="28"/>
        <v>-1.1963016403881976E-5</v>
      </c>
      <c r="X326" s="176" t="str">
        <f t="shared" si="30"/>
        <v>1D</v>
      </c>
      <c r="Y326" s="164">
        <f>_xll.qlCalendarAdvance(Calendar,Y325,X326,"f",FALSE)</f>
        <v>42523</v>
      </c>
      <c r="Z326" s="188">
        <f>_xll.qlCalendarAdvance(Calendar,Y326,NDays&amp;"D")</f>
        <v>42527</v>
      </c>
      <c r="AA326" s="163">
        <v>8.7678044307231806E-4</v>
      </c>
      <c r="AB326" s="172">
        <v>7.0538408026621369E-4</v>
      </c>
    </row>
    <row r="327" spans="13:28" x14ac:dyDescent="0.2">
      <c r="M327" s="293" t="str">
        <v>obj_007f3#0001</v>
      </c>
      <c r="N327" s="176" t="str">
        <f>_xll.qlRateHelperQuoteName(M327)</f>
        <v>EUR14F20Y_Quote</v>
      </c>
      <c r="O327" s="164">
        <f>_xll.qlInterestRateIndexFixingDate(R327,_xll.qlRateHelperEarliestDate(M327,Trigger),)</f>
        <v>47199</v>
      </c>
      <c r="P327" s="191">
        <f>_xll.qlRateHelperQuoteValue(M327,_xll.ohTrigger(RecalcTrigger,YieldCurve))</f>
        <v>1.065E-2</v>
      </c>
      <c r="Q327" s="194" t="str">
        <f t="shared" si="32"/>
        <v>20Y</v>
      </c>
      <c r="R327" s="194" t="str">
        <f>_xll.qlSwapIndex(,"Euribor",Q327,NDays,Currency,Calendar,"1Y","mf","30/360 (Bond Basis)",IborIndex,Discounting,,_xll.ohTrigger(Trigger,RecalcTrigger))</f>
        <v>obj_008e2#0002</v>
      </c>
      <c r="S327" s="194" t="str">
        <f>_xll.qlVanillaSwapFromSwapIndex(,R327,O327)</f>
        <v>obj_00b3e#0001</v>
      </c>
      <c r="T327" s="181">
        <f>_xll.qlVanillaSwapFairRate(S327)</f>
        <v>1.0633808982389477E-2</v>
      </c>
      <c r="U327" s="290">
        <f t="shared" si="28"/>
        <v>-1.6191017610522884E-5</v>
      </c>
      <c r="X327" s="176" t="str">
        <f t="shared" si="30"/>
        <v>1D</v>
      </c>
      <c r="Y327" s="164">
        <f>_xll.qlCalendarAdvance(Calendar,Y326,X327,"f",FALSE)</f>
        <v>42524</v>
      </c>
      <c r="Z327" s="188">
        <f>_xll.qlCalendarAdvance(Calendar,Y327,NDays&amp;"D")</f>
        <v>42528</v>
      </c>
      <c r="AA327" s="163">
        <v>8.7820260399686177E-4</v>
      </c>
      <c r="AB327" s="172">
        <v>7.0184072809453824E-4</v>
      </c>
    </row>
    <row r="328" spans="13:28" x14ac:dyDescent="0.2">
      <c r="M328" s="293" t="str">
        <v>obj_00764#0001</v>
      </c>
      <c r="N328" s="176" t="str">
        <f>_xll.qlRateHelperQuoteName(M328)</f>
        <v>EUR14F25Y_Quote</v>
      </c>
      <c r="O328" s="164">
        <f>_xll.qlInterestRateIndexFixingDate(R328,_xll.qlRateHelperEarliestDate(M328,Trigger),)</f>
        <v>47199</v>
      </c>
      <c r="P328" s="191">
        <f>_xll.qlRateHelperQuoteValue(M328,_xll.ohTrigger(RecalcTrigger,YieldCurve))</f>
        <v>1.0509999999999999E-2</v>
      </c>
      <c r="Q328" s="194" t="str">
        <f t="shared" si="32"/>
        <v>25Y</v>
      </c>
      <c r="R328" s="194" t="str">
        <f>_xll.qlSwapIndex(,"Euribor",Q328,NDays,Currency,Calendar,"1Y","mf","30/360 (Bond Basis)",IborIndex,Discounting,,_xll.ohTrigger(Trigger,RecalcTrigger))</f>
        <v>obj_00907#0001</v>
      </c>
      <c r="S328" s="194" t="str">
        <f>_xll.qlVanillaSwapFromSwapIndex(,R328,O328)</f>
        <v>obj_00a76#0001</v>
      </c>
      <c r="T328" s="181">
        <f>_xll.qlVanillaSwapFairRate(S328)</f>
        <v>1.0493722573511144E-2</v>
      </c>
      <c r="U328" s="290">
        <f t="shared" si="28"/>
        <v>-1.6277426488854954E-5</v>
      </c>
      <c r="X328" s="176" t="str">
        <f t="shared" si="30"/>
        <v>1D</v>
      </c>
      <c r="Y328" s="164">
        <f>_xll.qlCalendarAdvance(Calendar,Y327,X328,"f",FALSE)</f>
        <v>42527</v>
      </c>
      <c r="Z328" s="188">
        <f>_xll.qlCalendarAdvance(Calendar,Y328,NDays&amp;"D")</f>
        <v>42529</v>
      </c>
      <c r="AA328" s="163">
        <v>8.7962581823010258E-4</v>
      </c>
      <c r="AB328" s="172">
        <v>6.9836783779919642E-4</v>
      </c>
    </row>
    <row r="329" spans="13:28" ht="12" thickBot="1" x14ac:dyDescent="0.25">
      <c r="M329" s="294" t="str">
        <v>obj_0087c#0001</v>
      </c>
      <c r="N329" s="177" t="str">
        <f>_xll.qlRateHelperQuoteName(M329)</f>
        <v>EUR14F30Y_Quote</v>
      </c>
      <c r="O329" s="174">
        <f>_xll.qlInterestRateIndexFixingDate(R329,_xll.qlRateHelperEarliestDate(M329,Trigger),)</f>
        <v>47199</v>
      </c>
      <c r="P329" s="192">
        <f>_xll.qlRateHelperQuoteValue(M329,_xll.ohTrigger(RecalcTrigger,YieldCurve))</f>
        <v>1.0109999999999999E-2</v>
      </c>
      <c r="Q329" s="195" t="str">
        <f t="shared" si="32"/>
        <v>30Y</v>
      </c>
      <c r="R329" s="195" t="str">
        <f>_xll.qlSwapIndex(,"Euribor",Q329,NDays,Currency,Calendar,"1Y","mf","30/360 (Bond Basis)",IborIndex,Discounting,,_xll.ohTrigger(Trigger,RecalcTrigger))</f>
        <v>obj_009e3#0001</v>
      </c>
      <c r="S329" s="195" t="str">
        <f>_xll.qlVanillaSwapFromSwapIndex(,R329,O329)</f>
        <v>obj_00a8d#0001</v>
      </c>
      <c r="T329" s="183">
        <f>_xll.qlVanillaSwapFairRate(S329)</f>
        <v>1.0117799976092733E-2</v>
      </c>
      <c r="U329" s="291">
        <f t="shared" si="28"/>
        <v>7.7999760927337236E-6</v>
      </c>
      <c r="X329" s="176" t="str">
        <f t="shared" si="30"/>
        <v>1D</v>
      </c>
      <c r="Y329" s="164">
        <f>_xll.qlCalendarAdvance(Calendar,Y328,X329,"f",FALSE)</f>
        <v>42528</v>
      </c>
      <c r="Z329" s="188">
        <f>_xll.qlCalendarAdvance(Calendar,Y329,NDays&amp;"D")</f>
        <v>42530</v>
      </c>
      <c r="AA329" s="163">
        <v>8.8104799876649945E-4</v>
      </c>
      <c r="AB329" s="172">
        <v>6.9496540946012431E-4</v>
      </c>
    </row>
    <row r="330" spans="13:28" x14ac:dyDescent="0.2">
      <c r="M330" s="295" t="str">
        <v>obj_007e0#0001</v>
      </c>
      <c r="N330" s="279" t="str">
        <f>_xll.qlRateHelperQuoteName(M330)</f>
        <v>EUR15F1Y_Quote</v>
      </c>
      <c r="O330" s="276">
        <f>_xll.qlInterestRateIndexFixingDate(R330,_xll.qlRateHelperEarliestDate(M330,Trigger),)</f>
        <v>47563</v>
      </c>
      <c r="P330" s="277">
        <f>_xll.qlRateHelperQuoteValue(M330,_xll.ohTrigger(RecalcTrigger,YieldCurve))</f>
        <v>1.106E-2</v>
      </c>
      <c r="Q330" s="275" t="str">
        <f t="shared" ref="Q330:Q347" si="33">SUBSTITUTE(SUBSTITUTE(N330,"_Quote",""),"EUR15F","")</f>
        <v>1Y</v>
      </c>
      <c r="R330" s="275" t="str">
        <f>_xll.qlSwapIndex(,"Euribor",Q330,NDays,Currency,Calendar,"1Y","mf","30/360 (Bond Basis)",IborIndex,Discounting,,_xll.ohTrigger(Trigger,RecalcTrigger))</f>
        <v>obj_009d4#0001</v>
      </c>
      <c r="S330" s="275" t="str">
        <f>_xll.qlVanillaSwapFromSwapIndex(,R330,O330)</f>
        <v>obj_00a70#0001</v>
      </c>
      <c r="T330" s="278">
        <f>_xll.qlVanillaSwapFairRate(S330)</f>
        <v>1.1145534860233971E-2</v>
      </c>
      <c r="U330" s="292">
        <f t="shared" si="28"/>
        <v>8.5534860233970819E-5</v>
      </c>
      <c r="X330" s="176" t="str">
        <f t="shared" si="30"/>
        <v>1D</v>
      </c>
      <c r="Y330" s="164">
        <f>_xll.qlCalendarAdvance(Calendar,Y329,X330,"f",FALSE)</f>
        <v>42529</v>
      </c>
      <c r="Z330" s="188">
        <f>_xll.qlCalendarAdvance(Calendar,Y330,NDays&amp;"D")</f>
        <v>42531</v>
      </c>
      <c r="AA330" s="163">
        <v>8.8317964534414129E-4</v>
      </c>
      <c r="AB330" s="172">
        <v>6.8839674214338231E-4</v>
      </c>
    </row>
    <row r="331" spans="13:28" x14ac:dyDescent="0.2">
      <c r="M331" s="293" t="str">
        <v>obj_0085c#0001</v>
      </c>
      <c r="N331" s="176" t="str">
        <f>_xll.qlRateHelperQuoteName(M331)</f>
        <v>EUR15F2Y_Quote</v>
      </c>
      <c r="O331" s="164">
        <f>_xll.qlInterestRateIndexFixingDate(R331,_xll.qlRateHelperEarliestDate(M331,Trigger),)</f>
        <v>47563</v>
      </c>
      <c r="P331" s="191">
        <f>_xll.qlRateHelperQuoteValue(M331,_xll.ohTrigger(RecalcTrigger,YieldCurve))</f>
        <v>1.1200000000000002E-2</v>
      </c>
      <c r="Q331" s="194" t="str">
        <f t="shared" si="33"/>
        <v>2Y</v>
      </c>
      <c r="R331" s="194" t="str">
        <f>_xll.qlSwapIndex(,"Euribor",Q331,NDays,Currency,Calendar,"1Y","mf","30/360 (Bond Basis)",IborIndex,Discounting,,_xll.ohTrigger(Trigger,RecalcTrigger))</f>
        <v>obj_008ec#0002</v>
      </c>
      <c r="S331" s="194" t="str">
        <f>_xll.qlVanillaSwapFromSwapIndex(,R331,O331)</f>
        <v>obj_00a61#0001</v>
      </c>
      <c r="T331" s="181">
        <f>_xll.qlVanillaSwapFairRate(S331)</f>
        <v>1.1116814857910532E-2</v>
      </c>
      <c r="U331" s="290">
        <f t="shared" si="28"/>
        <v>-8.3185142089469907E-5</v>
      </c>
      <c r="X331" s="176" t="str">
        <f t="shared" si="30"/>
        <v>1D</v>
      </c>
      <c r="Y331" s="164">
        <f>_xll.qlCalendarAdvance(Calendar,Y330,X331,"f",FALSE)</f>
        <v>42530</v>
      </c>
      <c r="Z331" s="188">
        <f>_xll.qlCalendarAdvance(Calendar,Y331,NDays&amp;"D")</f>
        <v>42534</v>
      </c>
      <c r="AA331" s="163">
        <v>8.8668464361660543E-4</v>
      </c>
      <c r="AB331" s="172">
        <v>6.820603151069804E-4</v>
      </c>
    </row>
    <row r="332" spans="13:28" x14ac:dyDescent="0.2">
      <c r="M332" s="293" t="str">
        <v>obj_00814#0001</v>
      </c>
      <c r="N332" s="176" t="str">
        <f>_xll.qlRateHelperQuoteName(M332)</f>
        <v>EUR15F3Y_Quote</v>
      </c>
      <c r="O332" s="164">
        <f>_xll.qlInterestRateIndexFixingDate(R332,_xll.qlRateHelperEarliestDate(M332,Trigger),)</f>
        <v>47563</v>
      </c>
      <c r="P332" s="191">
        <f>_xll.qlRateHelperQuoteValue(M332,_xll.ohTrigger(RecalcTrigger,YieldCurve))</f>
        <v>1.1080000000000001E-2</v>
      </c>
      <c r="Q332" s="194" t="str">
        <f t="shared" si="33"/>
        <v>3Y</v>
      </c>
      <c r="R332" s="194" t="str">
        <f>_xll.qlSwapIndex(,"Euribor",Q332,NDays,Currency,Calendar,"1Y","mf","30/360 (Bond Basis)",IborIndex,Discounting,,_xll.ohTrigger(Trigger,RecalcTrigger))</f>
        <v>obj_008ce#0002</v>
      </c>
      <c r="S332" s="194" t="str">
        <f>_xll.qlVanillaSwapFromSwapIndex(,R332,O332)</f>
        <v>obj_00a49#0001</v>
      </c>
      <c r="T332" s="181">
        <f>_xll.qlVanillaSwapFairRate(S332)</f>
        <v>1.1064433170378021E-2</v>
      </c>
      <c r="U332" s="290">
        <f t="shared" si="28"/>
        <v>-1.5566829621980333E-5</v>
      </c>
      <c r="X332" s="176" t="str">
        <f t="shared" si="30"/>
        <v>1D</v>
      </c>
      <c r="Y332" s="164">
        <f>_xll.qlCalendarAdvance(Calendar,Y331,X332,"f",FALSE)</f>
        <v>42531</v>
      </c>
      <c r="Z332" s="188">
        <f>_xll.qlCalendarAdvance(Calendar,Y332,NDays&amp;"D")</f>
        <v>42535</v>
      </c>
      <c r="AA332" s="163">
        <v>8.8807035037163017E-4</v>
      </c>
      <c r="AB332" s="172">
        <v>6.7901019630944859E-4</v>
      </c>
    </row>
    <row r="333" spans="13:28" x14ac:dyDescent="0.2">
      <c r="M333" s="293" t="str">
        <v>obj_007b5#0001</v>
      </c>
      <c r="N333" s="176" t="str">
        <f>_xll.qlRateHelperQuoteName(M333)</f>
        <v>EUR15F4Y_Quote</v>
      </c>
      <c r="O333" s="164">
        <f>_xll.qlInterestRateIndexFixingDate(R333,_xll.qlRateHelperEarliestDate(M333,Trigger),)</f>
        <v>47563</v>
      </c>
      <c r="P333" s="191">
        <f>_xll.qlRateHelperQuoteValue(M333,_xll.ohTrigger(RecalcTrigger,YieldCurve))</f>
        <v>1.106E-2</v>
      </c>
      <c r="Q333" s="194" t="str">
        <f t="shared" si="33"/>
        <v>4Y</v>
      </c>
      <c r="R333" s="194" t="str">
        <f>_xll.qlSwapIndex(,"Euribor",Q333,NDays,Currency,Calendar,"1Y","mf","30/360 (Bond Basis)",IborIndex,Discounting,,_xll.ohTrigger(Trigger,RecalcTrigger))</f>
        <v>obj_009ca#0001</v>
      </c>
      <c r="S333" s="194" t="str">
        <f>_xll.qlVanillaSwapFromSwapIndex(,R333,O333)</f>
        <v>obj_00a25#0001</v>
      </c>
      <c r="T333" s="181">
        <f>_xll.qlVanillaSwapFairRate(S333)</f>
        <v>1.1010679989485985E-2</v>
      </c>
      <c r="U333" s="290">
        <f t="shared" si="28"/>
        <v>-4.9320010514015272E-5</v>
      </c>
      <c r="X333" s="176" t="str">
        <f t="shared" si="30"/>
        <v>1D</v>
      </c>
      <c r="Y333" s="164">
        <f>_xll.qlCalendarAdvance(Calendar,Y332,X333,"f",FALSE)</f>
        <v>42534</v>
      </c>
      <c r="Z333" s="188">
        <f>_xll.qlCalendarAdvance(Calendar,Y333,NDays&amp;"D")</f>
        <v>42536</v>
      </c>
      <c r="AA333" s="163">
        <v>8.8944250126945297E-4</v>
      </c>
      <c r="AB333" s="172">
        <v>6.7603053938825042E-4</v>
      </c>
    </row>
    <row r="334" spans="13:28" x14ac:dyDescent="0.2">
      <c r="M334" s="293" t="str">
        <v>obj_007a5#0001</v>
      </c>
      <c r="N334" s="176" t="str">
        <f>_xll.qlRateHelperQuoteName(M334)</f>
        <v>EUR15F5Y_Quote</v>
      </c>
      <c r="O334" s="164">
        <f>_xll.qlInterestRateIndexFixingDate(R334,_xll.qlRateHelperEarliestDate(M334,Trigger),)</f>
        <v>47563</v>
      </c>
      <c r="P334" s="191">
        <f>_xll.qlRateHelperQuoteValue(M334,_xll.ohTrigger(RecalcTrigger,YieldCurve))</f>
        <v>1.098E-2</v>
      </c>
      <c r="Q334" s="194" t="str">
        <f t="shared" si="33"/>
        <v>5Y</v>
      </c>
      <c r="R334" s="194" t="str">
        <f>_xll.qlSwapIndex(,"Euribor",Q334,NDays,Currency,Calendar,"1Y","mf","30/360 (Bond Basis)",IborIndex,Discounting,,_xll.ohTrigger(Trigger,RecalcTrigger))</f>
        <v>obj_00974#0001</v>
      </c>
      <c r="S334" s="194" t="str">
        <f>_xll.qlVanillaSwapFromSwapIndex(,R334,O334)</f>
        <v>obj_00ab9#0001</v>
      </c>
      <c r="T334" s="181">
        <f>_xll.qlVanillaSwapFairRate(S334)</f>
        <v>1.0954930466971827E-2</v>
      </c>
      <c r="U334" s="290">
        <f t="shared" si="28"/>
        <v>-2.5069533028172775E-5</v>
      </c>
      <c r="X334" s="176" t="str">
        <f t="shared" si="30"/>
        <v>1D</v>
      </c>
      <c r="Y334" s="164">
        <f>_xll.qlCalendarAdvance(Calendar,Y333,X334,"f",FALSE)</f>
        <v>42535</v>
      </c>
      <c r="Z334" s="188">
        <f>_xll.qlCalendarAdvance(Calendar,Y334,NDays&amp;"D")</f>
        <v>42537</v>
      </c>
      <c r="AA334" s="163">
        <v>8.9079900926347297E-4</v>
      </c>
      <c r="AB334" s="172">
        <v>6.7312134434338589E-4</v>
      </c>
    </row>
    <row r="335" spans="13:28" x14ac:dyDescent="0.2">
      <c r="M335" s="293" t="str">
        <v>obj_00767#0001</v>
      </c>
      <c r="N335" s="176" t="str">
        <f>_xll.qlRateHelperQuoteName(M335)</f>
        <v>EUR15F6Y_Quote</v>
      </c>
      <c r="O335" s="164">
        <f>_xll.qlInterestRateIndexFixingDate(R335,_xll.qlRateHelperEarliestDate(M335,Trigger),)</f>
        <v>47563</v>
      </c>
      <c r="P335" s="191">
        <f>_xll.qlRateHelperQuoteValue(M335,_xll.ohTrigger(RecalcTrigger,YieldCurve))</f>
        <v>1.093E-2</v>
      </c>
      <c r="Q335" s="194" t="str">
        <f t="shared" si="33"/>
        <v>6Y</v>
      </c>
      <c r="R335" s="194" t="str">
        <f>_xll.qlSwapIndex(,"Euribor",Q335,NDays,Currency,Calendar,"1Y","mf","30/360 (Bond Basis)",IborIndex,Discounting,,_xll.ohTrigger(Trigger,RecalcTrigger))</f>
        <v>obj_00917#0001</v>
      </c>
      <c r="S335" s="194" t="str">
        <f>_xll.qlVanillaSwapFromSwapIndex(,R335,O335)</f>
        <v>obj_00b1b#0001</v>
      </c>
      <c r="T335" s="181">
        <f>_xll.qlVanillaSwapFairRate(S335)</f>
        <v>1.0902770082156722E-2</v>
      </c>
      <c r="U335" s="290">
        <f t="shared" ref="U335:U398" si="34">T335-P335</f>
        <v>-2.7229917843278953E-5</v>
      </c>
      <c r="X335" s="176" t="str">
        <f t="shared" si="30"/>
        <v>1D</v>
      </c>
      <c r="Y335" s="164">
        <f>_xll.qlCalendarAdvance(Calendar,Y334,X335,"f",FALSE)</f>
        <v>42536</v>
      </c>
      <c r="Z335" s="188">
        <f>_xll.qlCalendarAdvance(Calendar,Y335,NDays&amp;"D")</f>
        <v>42538</v>
      </c>
      <c r="AA335" s="163">
        <v>8.9231542180898506E-4</v>
      </c>
      <c r="AB335" s="172">
        <v>6.6753906509120498E-4</v>
      </c>
    </row>
    <row r="336" spans="13:28" x14ac:dyDescent="0.2">
      <c r="M336" s="293" t="str">
        <v>obj_0073e#0001</v>
      </c>
      <c r="N336" s="176" t="str">
        <f>_xll.qlRateHelperQuoteName(M336)</f>
        <v>EUR15F7Y_Quote</v>
      </c>
      <c r="O336" s="164">
        <f>_xll.qlInterestRateIndexFixingDate(R336,_xll.qlRateHelperEarliestDate(M336,Trigger),)</f>
        <v>47563</v>
      </c>
      <c r="P336" s="191">
        <f>_xll.qlRateHelperQuoteValue(M336,_xll.ohTrigger(RecalcTrigger,YieldCurve))</f>
        <v>1.0869999999999999E-2</v>
      </c>
      <c r="Q336" s="194" t="str">
        <f t="shared" si="33"/>
        <v>7Y</v>
      </c>
      <c r="R336" s="194" t="str">
        <f>_xll.qlSwapIndex(,"Euribor",Q336,NDays,Currency,Calendar,"1Y","mf","30/360 (Bond Basis)",IborIndex,Discounting,,_xll.ohTrigger(Trigger,RecalcTrigger))</f>
        <v>obj_0090c#0001</v>
      </c>
      <c r="S336" s="194" t="str">
        <f>_xll.qlVanillaSwapFromSwapIndex(,R336,O336)</f>
        <v>obj_00a29#0001</v>
      </c>
      <c r="T336" s="181">
        <f>_xll.qlVanillaSwapFairRate(S336)</f>
        <v>1.0848386129421798E-2</v>
      </c>
      <c r="U336" s="290">
        <f t="shared" si="34"/>
        <v>-2.161387057820173E-5</v>
      </c>
      <c r="X336" s="176" t="str">
        <f t="shared" si="30"/>
        <v>1D</v>
      </c>
      <c r="Y336" s="164">
        <f>_xll.qlCalendarAdvance(Calendar,Y335,X336,"f",FALSE)</f>
        <v>42537</v>
      </c>
      <c r="Z336" s="188">
        <f>_xll.qlCalendarAdvance(Calendar,Y336,NDays&amp;"D")</f>
        <v>42541</v>
      </c>
      <c r="AA336" s="163">
        <v>8.9602687108298414E-4</v>
      </c>
      <c r="AB336" s="172">
        <v>6.6218918324700837E-4</v>
      </c>
    </row>
    <row r="337" spans="13:28" x14ac:dyDescent="0.2">
      <c r="M337" s="293" t="str">
        <v>obj_007ed#0001</v>
      </c>
      <c r="N337" s="176" t="str">
        <f>_xll.qlRateHelperQuoteName(M337)</f>
        <v>EUR15F8Y_Quote</v>
      </c>
      <c r="O337" s="164">
        <f>_xll.qlInterestRateIndexFixingDate(R337,_xll.qlRateHelperEarliestDate(M337,Trigger),)</f>
        <v>47563</v>
      </c>
      <c r="P337" s="191">
        <f>_xll.qlRateHelperQuoteValue(M337,_xll.ohTrigger(RecalcTrigger,YieldCurve))</f>
        <v>1.081E-2</v>
      </c>
      <c r="Q337" s="194" t="str">
        <f t="shared" si="33"/>
        <v>8Y</v>
      </c>
      <c r="R337" s="194" t="str">
        <f>_xll.qlSwapIndex(,"Euribor",Q337,NDays,Currency,Calendar,"1Y","mf","30/360 (Bond Basis)",IborIndex,Discounting,,_xll.ohTrigger(Trigger,RecalcTrigger))</f>
        <v>obj_009de#0001</v>
      </c>
      <c r="S337" s="194" t="str">
        <f>_xll.qlVanillaSwapFromSwapIndex(,R337,O337)</f>
        <v>obj_00a2b#0001</v>
      </c>
      <c r="T337" s="181">
        <f>_xll.qlVanillaSwapFairRate(S337)</f>
        <v>1.0801371135943144E-2</v>
      </c>
      <c r="U337" s="290">
        <f t="shared" si="34"/>
        <v>-8.6288640568556868E-6</v>
      </c>
      <c r="X337" s="176" t="str">
        <f t="shared" si="30"/>
        <v>1D</v>
      </c>
      <c r="Y337" s="164">
        <f>_xll.qlCalendarAdvance(Calendar,Y336,X337,"f",FALSE)</f>
        <v>42538</v>
      </c>
      <c r="Z337" s="188">
        <f>_xll.qlCalendarAdvance(Calendar,Y337,NDays&amp;"D")</f>
        <v>42542</v>
      </c>
      <c r="AA337" s="163">
        <v>8.9727385867376596E-4</v>
      </c>
      <c r="AB337" s="172">
        <v>6.5963229758381203E-4</v>
      </c>
    </row>
    <row r="338" spans="13:28" x14ac:dyDescent="0.2">
      <c r="M338" s="293" t="str">
        <v>obj_007a9#0001</v>
      </c>
      <c r="N338" s="176" t="str">
        <f>_xll.qlRateHelperQuoteName(M338)</f>
        <v>EUR15F9Y_Quote</v>
      </c>
      <c r="O338" s="164">
        <f>_xll.qlInterestRateIndexFixingDate(R338,_xll.qlRateHelperEarliestDate(M338,Trigger),)</f>
        <v>47563</v>
      </c>
      <c r="P338" s="191">
        <f>_xll.qlRateHelperQuoteValue(M338,_xll.ohTrigger(RecalcTrigger,YieldCurve))</f>
        <v>1.0789999999999999E-2</v>
      </c>
      <c r="Q338" s="194" t="str">
        <f t="shared" si="33"/>
        <v>9Y</v>
      </c>
      <c r="R338" s="194" t="str">
        <f>_xll.qlSwapIndex(,"Euribor",Q338,NDays,Currency,Calendar,"1Y","mf","30/360 (Bond Basis)",IborIndex,Discounting,,_xll.ohTrigger(Trigger,RecalcTrigger))</f>
        <v>obj_009ac#0001</v>
      </c>
      <c r="S338" s="194" t="str">
        <f>_xll.qlVanillaSwapFromSwapIndex(,R338,O338)</f>
        <v>obj_00b4b#0001</v>
      </c>
      <c r="T338" s="181">
        <f>_xll.qlVanillaSwapFairRate(S338)</f>
        <v>1.0763613808324177E-2</v>
      </c>
      <c r="U338" s="290">
        <f t="shared" si="34"/>
        <v>-2.6386191675822554E-5</v>
      </c>
      <c r="X338" s="176" t="str">
        <f t="shared" si="30"/>
        <v>1D</v>
      </c>
      <c r="Y338" s="164">
        <f>_xll.qlCalendarAdvance(Calendar,Y337,X338,"f",FALSE)</f>
        <v>42541</v>
      </c>
      <c r="Z338" s="188">
        <f>_xll.qlCalendarAdvance(Calendar,Y338,NDays&amp;"D")</f>
        <v>42543</v>
      </c>
      <c r="AA338" s="163">
        <v>8.9849268097411984E-4</v>
      </c>
      <c r="AB338" s="172">
        <v>6.571458740367575E-4</v>
      </c>
    </row>
    <row r="339" spans="13:28" x14ac:dyDescent="0.2">
      <c r="M339" s="293" t="str">
        <v>obj_00788#0001</v>
      </c>
      <c r="N339" s="176" t="str">
        <f>_xll.qlRateHelperQuoteName(M339)</f>
        <v>EUR15F10Y_Quote</v>
      </c>
      <c r="O339" s="164">
        <f>_xll.qlInterestRateIndexFixingDate(R339,_xll.qlRateHelperEarliestDate(M339,Trigger),)</f>
        <v>47563</v>
      </c>
      <c r="P339" s="191">
        <f>_xll.qlRateHelperQuoteValue(M339,_xll.ohTrigger(RecalcTrigger,YieldCurve))</f>
        <v>1.076E-2</v>
      </c>
      <c r="Q339" s="194" t="str">
        <f t="shared" si="33"/>
        <v>10Y</v>
      </c>
      <c r="R339" s="194" t="str">
        <f>_xll.qlSwapIndex(,"Euribor",Q339,NDays,Currency,Calendar,"1Y","mf","30/360 (Bond Basis)",IborIndex,Discounting,,_xll.ohTrigger(Trigger,RecalcTrigger))</f>
        <v>obj_009ec#0001</v>
      </c>
      <c r="S339" s="194" t="str">
        <f>_xll.qlVanillaSwapFromSwapIndex(,R339,O339)</f>
        <v>obj_00ad4#0001</v>
      </c>
      <c r="T339" s="181">
        <f>_xll.qlVanillaSwapFairRate(S339)</f>
        <v>1.0738892673991833E-2</v>
      </c>
      <c r="U339" s="290">
        <f t="shared" si="34"/>
        <v>-2.1107326008167754E-5</v>
      </c>
      <c r="X339" s="176" t="str">
        <f t="shared" si="30"/>
        <v>1D</v>
      </c>
      <c r="Y339" s="164">
        <f>_xll.qlCalendarAdvance(Calendar,Y338,X339,"f",FALSE)</f>
        <v>42542</v>
      </c>
      <c r="Z339" s="188">
        <f>_xll.qlCalendarAdvance(Calendar,Y339,NDays&amp;"D")</f>
        <v>42544</v>
      </c>
      <c r="AA339" s="163">
        <v>8.9968125090250021E-4</v>
      </c>
      <c r="AB339" s="172">
        <v>6.547299122061645E-4</v>
      </c>
    </row>
    <row r="340" spans="13:28" x14ac:dyDescent="0.2">
      <c r="M340" s="293" t="str">
        <v>obj_00748#0001</v>
      </c>
      <c r="N340" s="176" t="str">
        <f>_xll.qlRateHelperQuoteName(M340)</f>
        <v>EUR15F11Y_Quote</v>
      </c>
      <c r="O340" s="164">
        <f>_xll.qlInterestRateIndexFixingDate(R340,_xll.qlRateHelperEarliestDate(M340,Trigger),)</f>
        <v>47563</v>
      </c>
      <c r="P340" s="191">
        <f>_xll.qlRateHelperQuoteValue(M340,_xll.ohTrigger(RecalcTrigger,YieldCurve))</f>
        <v>1.0749999999999999E-2</v>
      </c>
      <c r="Q340" s="194" t="str">
        <f t="shared" si="33"/>
        <v>11Y</v>
      </c>
      <c r="R340" s="194" t="str">
        <f>_xll.qlSwapIndex(,"Euribor",Q340,NDays,Currency,Calendar,"1Y","mf","30/360 (Bond Basis)",IborIndex,Discounting,,_xll.ohTrigger(Trigger,RecalcTrigger))</f>
        <v>obj_009b3#0001</v>
      </c>
      <c r="S340" s="194" t="str">
        <f>_xll.qlVanillaSwapFromSwapIndex(,R340,O340)</f>
        <v>obj_00afc#0001</v>
      </c>
      <c r="T340" s="181">
        <f>_xll.qlVanillaSwapFairRate(S340)</f>
        <v>1.0721311343873125E-2</v>
      </c>
      <c r="U340" s="290">
        <f t="shared" si="34"/>
        <v>-2.868865612687399E-5</v>
      </c>
      <c r="X340" s="176" t="str">
        <f t="shared" si="30"/>
        <v>1D</v>
      </c>
      <c r="Y340" s="164">
        <f>_xll.qlCalendarAdvance(Calendar,Y339,X340,"f",FALSE)</f>
        <v>42543</v>
      </c>
      <c r="Z340" s="188">
        <f>_xll.qlCalendarAdvance(Calendar,Y340,NDays&amp;"D")</f>
        <v>42545</v>
      </c>
      <c r="AA340" s="163">
        <v>8.999999999998793E-4</v>
      </c>
      <c r="AB340" s="172">
        <v>6.5035955551628888E-4</v>
      </c>
    </row>
    <row r="341" spans="13:28" x14ac:dyDescent="0.2">
      <c r="M341" s="293" t="str">
        <v>obj_00878#0001</v>
      </c>
      <c r="N341" s="176" t="str">
        <f>_xll.qlRateHelperQuoteName(M341)</f>
        <v>EUR15F12Y_Quote</v>
      </c>
      <c r="O341" s="164">
        <f>_xll.qlInterestRateIndexFixingDate(R341,_xll.qlRateHelperEarliestDate(M341,Trigger),)</f>
        <v>47563</v>
      </c>
      <c r="P341" s="191">
        <f>_xll.qlRateHelperQuoteValue(M341,_xll.ohTrigger(RecalcTrigger,YieldCurve))</f>
        <v>1.073E-2</v>
      </c>
      <c r="Q341" s="194" t="str">
        <f t="shared" si="33"/>
        <v>12Y</v>
      </c>
      <c r="R341" s="194" t="str">
        <f>_xll.qlSwapIndex(,"Euribor",Q341,NDays,Currency,Calendar,"1Y","mf","30/360 (Bond Basis)",IborIndex,Discounting,,_xll.ohTrigger(Trigger,RecalcTrigger))</f>
        <v>obj_0094c#0001</v>
      </c>
      <c r="S341" s="194" t="str">
        <f>_xll.qlVanillaSwapFromSwapIndex(,R341,O341)</f>
        <v>obj_00a38#0001</v>
      </c>
      <c r="T341" s="181">
        <f>_xll.qlVanillaSwapFairRate(S341)</f>
        <v>1.0709451782045737E-2</v>
      </c>
      <c r="U341" s="290">
        <f t="shared" si="34"/>
        <v>-2.0548217954262718E-5</v>
      </c>
      <c r="X341" s="176" t="str">
        <f t="shared" ref="X341:X404" si="35">X340</f>
        <v>1D</v>
      </c>
      <c r="Y341" s="164">
        <f>_xll.qlCalendarAdvance(Calendar,Y340,X341,"f",FALSE)</f>
        <v>42544</v>
      </c>
      <c r="Z341" s="188">
        <f>_xll.qlCalendarAdvance(Calendar,Y341,NDays&amp;"D")</f>
        <v>42548</v>
      </c>
      <c r="AA341" s="163">
        <v>9.0408756645274596E-4</v>
      </c>
      <c r="AB341" s="172">
        <v>6.4669781769666201E-4</v>
      </c>
    </row>
    <row r="342" spans="13:28" x14ac:dyDescent="0.2">
      <c r="M342" s="293" t="str">
        <v>obj_007da#0001</v>
      </c>
      <c r="N342" s="176" t="str">
        <f>_xll.qlRateHelperQuoteName(M342)</f>
        <v>EUR15F13Y_Quote</v>
      </c>
      <c r="O342" s="164">
        <f>_xll.qlInterestRateIndexFixingDate(R342,_xll.qlRateHelperEarliestDate(M342,Trigger),)</f>
        <v>47563</v>
      </c>
      <c r="P342" s="191">
        <f>_xll.qlRateHelperQuoteValue(M342,_xll.ohTrigger(RecalcTrigger,YieldCurve))</f>
        <v>1.073E-2</v>
      </c>
      <c r="Q342" s="194" t="str">
        <f t="shared" si="33"/>
        <v>13Y</v>
      </c>
      <c r="R342" s="194" t="str">
        <f>_xll.qlSwapIndex(,"Euribor",Q342,NDays,Currency,Calendar,"1Y","mf","30/360 (Bond Basis)",IborIndex,Discounting,,_xll.ohTrigger(Trigger,RecalcTrigger))</f>
        <v>obj_0094b#0001</v>
      </c>
      <c r="S342" s="194" t="str">
        <f>_xll.qlVanillaSwapFromSwapIndex(,R342,O342)</f>
        <v>obj_00b16#0001</v>
      </c>
      <c r="T342" s="181">
        <f>_xll.qlVanillaSwapFairRate(S342)</f>
        <v>1.0699596501073508E-2</v>
      </c>
      <c r="U342" s="290">
        <f t="shared" si="34"/>
        <v>-3.0403498926492162E-5</v>
      </c>
      <c r="X342" s="176" t="str">
        <f t="shared" si="35"/>
        <v>1D</v>
      </c>
      <c r="Y342" s="164">
        <f>_xll.qlCalendarAdvance(Calendar,Y341,X342,"f",FALSE)</f>
        <v>42545</v>
      </c>
      <c r="Z342" s="188">
        <f>_xll.qlCalendarAdvance(Calendar,Y342,NDays&amp;"D")</f>
        <v>42549</v>
      </c>
      <c r="AA342" s="163">
        <v>9.0508948519787383E-4</v>
      </c>
      <c r="AB342" s="172">
        <v>6.4523554939022176E-4</v>
      </c>
    </row>
    <row r="343" spans="13:28" x14ac:dyDescent="0.2">
      <c r="M343" s="293" t="str">
        <v>obj_00762#0001</v>
      </c>
      <c r="N343" s="176" t="str">
        <f>_xll.qlRateHelperQuoteName(M343)</f>
        <v>EUR15F14Y_Quote</v>
      </c>
      <c r="O343" s="164">
        <f>_xll.qlInterestRateIndexFixingDate(R343,_xll.qlRateHelperEarliestDate(M343,Trigger),)</f>
        <v>47563</v>
      </c>
      <c r="P343" s="191">
        <f>_xll.qlRateHelperQuoteValue(M343,_xll.ohTrigger(RecalcTrigger,YieldCurve))</f>
        <v>1.0709999999999999E-2</v>
      </c>
      <c r="Q343" s="194" t="str">
        <f t="shared" si="33"/>
        <v>14Y</v>
      </c>
      <c r="R343" s="194" t="str">
        <f>_xll.qlSwapIndex(,"Euribor",Q343,NDays,Currency,Calendar,"1Y","mf","30/360 (Bond Basis)",IborIndex,Discounting,,_xll.ohTrigger(Trigger,RecalcTrigger))</f>
        <v>obj_009af#0001</v>
      </c>
      <c r="S343" s="194" t="str">
        <f>_xll.qlVanillaSwapFromSwapIndex(,R343,O343)</f>
        <v>obj_00a3c#0001</v>
      </c>
      <c r="T343" s="181">
        <f>_xll.qlVanillaSwapFairRate(S343)</f>
        <v>1.0690992640519799E-2</v>
      </c>
      <c r="U343" s="290">
        <f t="shared" si="34"/>
        <v>-1.900735948020052E-5</v>
      </c>
      <c r="X343" s="176" t="str">
        <f t="shared" si="35"/>
        <v>1D</v>
      </c>
      <c r="Y343" s="164">
        <f>_xll.qlCalendarAdvance(Calendar,Y342,X343,"f",FALSE)</f>
        <v>42548</v>
      </c>
      <c r="Z343" s="188">
        <f>_xll.qlCalendarAdvance(Calendar,Y343,NDays&amp;"D")</f>
        <v>42550</v>
      </c>
      <c r="AA343" s="163">
        <v>9.0605125499129745E-4</v>
      </c>
      <c r="AB343" s="172">
        <v>6.4399408893578425E-4</v>
      </c>
    </row>
    <row r="344" spans="13:28" x14ac:dyDescent="0.2">
      <c r="M344" s="293" t="str">
        <v>obj_007e5#0001</v>
      </c>
      <c r="N344" s="176" t="str">
        <f>_xll.qlRateHelperQuoteName(M344)</f>
        <v>EUR15F15Y_Quote</v>
      </c>
      <c r="O344" s="164">
        <f>_xll.qlInterestRateIndexFixingDate(R344,_xll.qlRateHelperEarliestDate(M344,Trigger),)</f>
        <v>47563</v>
      </c>
      <c r="P344" s="191">
        <f>_xll.qlRateHelperQuoteValue(M344,_xll.ohTrigger(RecalcTrigger,YieldCurve))</f>
        <v>1.0700000000000001E-2</v>
      </c>
      <c r="Q344" s="194" t="str">
        <f t="shared" si="33"/>
        <v>15Y</v>
      </c>
      <c r="R344" s="194" t="str">
        <f>_xll.qlSwapIndex(,"Euribor",Q344,NDays,Currency,Calendar,"1Y","mf","30/360 (Bond Basis)",IborIndex,Discounting,,_xll.ohTrigger(Trigger,RecalcTrigger))</f>
        <v>obj_00918#0001</v>
      </c>
      <c r="S344" s="194" t="str">
        <f>_xll.qlVanillaSwapFromSwapIndex(,R344,O344)</f>
        <v>obj_00a32#0001</v>
      </c>
      <c r="T344" s="181">
        <f>_xll.qlVanillaSwapFairRate(S344)</f>
        <v>1.0677558115333829E-2</v>
      </c>
      <c r="U344" s="290">
        <f t="shared" si="34"/>
        <v>-2.2441884666171696E-5</v>
      </c>
      <c r="X344" s="176" t="str">
        <f t="shared" si="35"/>
        <v>1D</v>
      </c>
      <c r="Y344" s="164">
        <f>_xll.qlCalendarAdvance(Calendar,Y343,X344,"f",FALSE)</f>
        <v>42549</v>
      </c>
      <c r="Z344" s="188">
        <f>_xll.qlCalendarAdvance(Calendar,Y344,NDays&amp;"D")</f>
        <v>42551</v>
      </c>
      <c r="AA344" s="163">
        <v>9.0697588053245681E-4</v>
      </c>
      <c r="AB344" s="172">
        <v>6.4297343641328553E-4</v>
      </c>
    </row>
    <row r="345" spans="13:28" x14ac:dyDescent="0.2">
      <c r="M345" s="293" t="str">
        <v>obj_007fb#0001</v>
      </c>
      <c r="N345" s="176" t="str">
        <f>_xll.qlRateHelperQuoteName(M345)</f>
        <v>EUR15F20Y_Quote</v>
      </c>
      <c r="O345" s="164">
        <f>_xll.qlInterestRateIndexFixingDate(R345,_xll.qlRateHelperEarliestDate(M345,Trigger),)</f>
        <v>47563</v>
      </c>
      <c r="P345" s="191">
        <f>_xll.qlRateHelperQuoteValue(M345,_xll.ohTrigger(RecalcTrigger,YieldCurve))</f>
        <v>1.06E-2</v>
      </c>
      <c r="Q345" s="194" t="str">
        <f t="shared" si="33"/>
        <v>20Y</v>
      </c>
      <c r="R345" s="194" t="str">
        <f>_xll.qlSwapIndex(,"Euribor",Q345,NDays,Currency,Calendar,"1Y","mf","30/360 (Bond Basis)",IborIndex,Discounting,,_xll.ohTrigger(Trigger,RecalcTrigger))</f>
        <v>obj_009e2#0001</v>
      </c>
      <c r="S345" s="194" t="str">
        <f>_xll.qlVanillaSwapFromSwapIndex(,R345,O345)</f>
        <v>obj_00a71#0001</v>
      </c>
      <c r="T345" s="181">
        <f>_xll.qlVanillaSwapFairRate(S345)</f>
        <v>1.0579235228598943E-2</v>
      </c>
      <c r="U345" s="290">
        <f t="shared" si="34"/>
        <v>-2.0764771401057119E-5</v>
      </c>
      <c r="X345" s="176" t="str">
        <f t="shared" si="35"/>
        <v>1D</v>
      </c>
      <c r="Y345" s="164">
        <f>_xll.qlCalendarAdvance(Calendar,Y344,X345,"f",FALSE)</f>
        <v>42550</v>
      </c>
      <c r="Z345" s="188">
        <f>_xll.qlCalendarAdvance(Calendar,Y345,NDays&amp;"D")</f>
        <v>42552</v>
      </c>
      <c r="AA345" s="163">
        <v>9.3995814161545869E-4</v>
      </c>
      <c r="AB345" s="172">
        <v>6.4166930126674515E-4</v>
      </c>
    </row>
    <row r="346" spans="13:28" x14ac:dyDescent="0.2">
      <c r="M346" s="293" t="str">
        <v>obj_0079d#0001</v>
      </c>
      <c r="N346" s="176" t="str">
        <f>_xll.qlRateHelperQuoteName(M346)</f>
        <v>EUR15F25Y_Quote</v>
      </c>
      <c r="O346" s="164">
        <f>_xll.qlInterestRateIndexFixingDate(R346,_xll.qlRateHelperEarliestDate(M346,Trigger),)</f>
        <v>47563</v>
      </c>
      <c r="P346" s="191">
        <f>_xll.qlRateHelperQuoteValue(M346,_xll.ohTrigger(RecalcTrigger,YieldCurve))</f>
        <v>1.043E-2</v>
      </c>
      <c r="Q346" s="194" t="str">
        <f t="shared" si="33"/>
        <v>25Y</v>
      </c>
      <c r="R346" s="194" t="str">
        <f>_xll.qlSwapIndex(,"Euribor",Q346,NDays,Currency,Calendar,"1Y","mf","30/360 (Bond Basis)",IborIndex,Discounting,,_xll.ohTrigger(Trigger,RecalcTrigger))</f>
        <v>obj_009c4#0001</v>
      </c>
      <c r="S346" s="194" t="str">
        <f>_xll.qlVanillaSwapFromSwapIndex(,R346,O346)</f>
        <v>obj_00ac4#0001</v>
      </c>
      <c r="T346" s="181">
        <f>_xll.qlVanillaSwapFairRate(S346)</f>
        <v>1.0404862402424832E-2</v>
      </c>
      <c r="U346" s="290">
        <f t="shared" si="34"/>
        <v>-2.5137597575167897E-5</v>
      </c>
      <c r="X346" s="176" t="str">
        <f t="shared" si="35"/>
        <v>1D</v>
      </c>
      <c r="Y346" s="164">
        <f>_xll.qlCalendarAdvance(Calendar,Y345,X346,"f",FALSE)</f>
        <v>42551</v>
      </c>
      <c r="Z346" s="188">
        <f>_xll.qlCalendarAdvance(Calendar,Y346,NDays&amp;"D")</f>
        <v>42555</v>
      </c>
      <c r="AA346" s="163">
        <v>9.4315362011495067E-4</v>
      </c>
      <c r="AB346" s="172">
        <v>6.4109890500319011E-4</v>
      </c>
    </row>
    <row r="347" spans="13:28" ht="12" thickBot="1" x14ac:dyDescent="0.25">
      <c r="M347" s="294" t="str">
        <v>obj_00784#0001</v>
      </c>
      <c r="N347" s="177" t="str">
        <f>_xll.qlRateHelperQuoteName(M347)</f>
        <v>EUR15F30Y_Quote</v>
      </c>
      <c r="O347" s="174">
        <f>_xll.qlInterestRateIndexFixingDate(R347,_xll.qlRateHelperEarliestDate(M347,Trigger),)</f>
        <v>47563</v>
      </c>
      <c r="P347" s="192">
        <f>_xll.qlRateHelperQuoteValue(M347,_xll.ohTrigger(RecalcTrigger,YieldCurve))</f>
        <v>9.9799999999999993E-3</v>
      </c>
      <c r="Q347" s="195" t="str">
        <f t="shared" si="33"/>
        <v>30Y</v>
      </c>
      <c r="R347" s="195" t="str">
        <f>_xll.qlSwapIndex(,"Euribor",Q347,NDays,Currency,Calendar,"1Y","mf","30/360 (Bond Basis)",IborIndex,Discounting,,_xll.ohTrigger(Trigger,RecalcTrigger))</f>
        <v>obj_00955#0001</v>
      </c>
      <c r="S347" s="195" t="str">
        <f>_xll.qlVanillaSwapFromSwapIndex(,R347,O347)</f>
        <v>obj_00b47#0001</v>
      </c>
      <c r="T347" s="183">
        <f>_xll.qlVanillaSwapFairRate(S347)</f>
        <v>9.9800000000024001E-3</v>
      </c>
      <c r="U347" s="291">
        <f t="shared" si="34"/>
        <v>2.400857290751901E-15</v>
      </c>
      <c r="X347" s="176" t="str">
        <f t="shared" si="35"/>
        <v>1D</v>
      </c>
      <c r="Y347" s="164">
        <f>_xll.qlCalendarAdvance(Calendar,Y346,X347,"f",FALSE)</f>
        <v>42552</v>
      </c>
      <c r="Z347" s="188">
        <f>_xll.qlCalendarAdvance(Calendar,Y347,NDays&amp;"D")</f>
        <v>42556</v>
      </c>
      <c r="AA347" s="163">
        <v>9.439147901371802E-4</v>
      </c>
      <c r="AB347" s="172">
        <v>6.4118229190057718E-4</v>
      </c>
    </row>
    <row r="348" spans="13:28" x14ac:dyDescent="0.2">
      <c r="M348" s="295" t="str">
        <v>obj_00753#0001</v>
      </c>
      <c r="N348" s="279" t="str">
        <f>_xll.qlRateHelperQuoteName(M348)</f>
        <v>EUR20F1Y_Quote</v>
      </c>
      <c r="O348" s="276">
        <f>_xll.qlInterestRateIndexFixingDate(R348,_xll.qlRateHelperEarliestDate(M348,Trigger),)</f>
        <v>49389</v>
      </c>
      <c r="P348" s="277">
        <f>_xll.qlRateHelperQuoteValue(M348,_xll.ohTrigger(RecalcTrigger,YieldCurve))</f>
        <v>1.072E-2</v>
      </c>
      <c r="Q348" s="275" t="str">
        <f t="shared" ref="Q348:Q365" si="36">SUBSTITUTE(SUBSTITUTE(N348,"_Quote",""),"EUR20F","")</f>
        <v>1Y</v>
      </c>
      <c r="R348" s="275" t="str">
        <f>_xll.qlSwapIndex(,"Euribor",Q348,NDays,Currency,Calendar,"1Y","mf","30/360 (Bond Basis)",IborIndex,Discounting,,_xll.ohTrigger(Trigger,RecalcTrigger))</f>
        <v>obj_00925#0001</v>
      </c>
      <c r="S348" s="275" t="str">
        <f>_xll.qlVanillaSwapFromSwapIndex(,R348,O348)</f>
        <v>obj_00b63#0001</v>
      </c>
      <c r="T348" s="278">
        <f>_xll.qlVanillaSwapFairRate(S348)</f>
        <v>1.0631421684757936E-2</v>
      </c>
      <c r="U348" s="292">
        <f t="shared" si="34"/>
        <v>-8.8578315242063971E-5</v>
      </c>
      <c r="X348" s="176" t="str">
        <f t="shared" si="35"/>
        <v>1D</v>
      </c>
      <c r="Y348" s="164">
        <f>_xll.qlCalendarAdvance(Calendar,Y347,X348,"f",FALSE)</f>
        <v>42555</v>
      </c>
      <c r="Z348" s="188">
        <f>_xll.qlCalendarAdvance(Calendar,Y348,NDays&amp;"D")</f>
        <v>42557</v>
      </c>
      <c r="AA348" s="163">
        <v>9.4466113686638179E-4</v>
      </c>
      <c r="AB348" s="172">
        <v>6.4148648664996699E-4</v>
      </c>
    </row>
    <row r="349" spans="13:28" x14ac:dyDescent="0.2">
      <c r="M349" s="293" t="str">
        <v>obj_007c6#0001</v>
      </c>
      <c r="N349" s="176" t="str">
        <f>_xll.qlRateHelperQuoteName(M349)</f>
        <v>EUR20F2Y_Quote</v>
      </c>
      <c r="O349" s="164">
        <f>_xll.qlInterestRateIndexFixingDate(R349,_xll.qlRateHelperEarliestDate(M349,Trigger),)</f>
        <v>49389</v>
      </c>
      <c r="P349" s="191">
        <f>_xll.qlRateHelperQuoteValue(M349,_xll.ohTrigger(RecalcTrigger,YieldCurve))</f>
        <v>1.0589999999999999E-2</v>
      </c>
      <c r="Q349" s="194" t="str">
        <f t="shared" si="36"/>
        <v>2Y</v>
      </c>
      <c r="R349" s="194" t="str">
        <f>_xll.qlSwapIndex(,"Euribor",Q349,NDays,Currency,Calendar,"1Y","mf","30/360 (Bond Basis)",IborIndex,Discounting,,_xll.ohTrigger(Trigger,RecalcTrigger))</f>
        <v>obj_00950#0001</v>
      </c>
      <c r="S349" s="194" t="str">
        <f>_xll.qlVanillaSwapFromSwapIndex(,R349,O349)</f>
        <v>obj_00a28#0001</v>
      </c>
      <c r="T349" s="181">
        <f>_xll.qlVanillaSwapFairRate(S349)</f>
        <v>1.057116644504447E-2</v>
      </c>
      <c r="U349" s="290">
        <f t="shared" si="34"/>
        <v>-1.8833554955528797E-5</v>
      </c>
      <c r="X349" s="176" t="str">
        <f t="shared" si="35"/>
        <v>1D</v>
      </c>
      <c r="Y349" s="164">
        <f>_xll.qlCalendarAdvance(Calendar,Y348,X349,"f",FALSE)</f>
        <v>42556</v>
      </c>
      <c r="Z349" s="188">
        <f>_xll.qlCalendarAdvance(Calendar,Y349,NDays&amp;"D")</f>
        <v>42558</v>
      </c>
      <c r="AA349" s="163">
        <v>9.4357074274824748E-4</v>
      </c>
      <c r="AB349" s="172">
        <v>6.4201148925135954E-4</v>
      </c>
    </row>
    <row r="350" spans="13:28" x14ac:dyDescent="0.2">
      <c r="M350" s="293" t="str">
        <v>obj_00823#0001</v>
      </c>
      <c r="N350" s="176" t="str">
        <f>_xll.qlRateHelperQuoteName(M350)</f>
        <v>EUR20F3Y_Quote</v>
      </c>
      <c r="O350" s="164">
        <f>_xll.qlInterestRateIndexFixingDate(R350,_xll.qlRateHelperEarliestDate(M350,Trigger),)</f>
        <v>49389</v>
      </c>
      <c r="P350" s="191">
        <f>_xll.qlRateHelperQuoteValue(M350,_xll.ohTrigger(RecalcTrigger,YieldCurve))</f>
        <v>1.0529999999999999E-2</v>
      </c>
      <c r="Q350" s="194" t="str">
        <f t="shared" si="36"/>
        <v>3Y</v>
      </c>
      <c r="R350" s="194" t="str">
        <f>_xll.qlSwapIndex(,"Euribor",Q350,NDays,Currency,Calendar,"1Y","mf","30/360 (Bond Basis)",IborIndex,Discounting,,_xll.ohTrigger(Trigger,RecalcTrigger))</f>
        <v>obj_0094d#0001</v>
      </c>
      <c r="S350" s="194" t="str">
        <f>_xll.qlVanillaSwapFromSwapIndex(,R350,O350)</f>
        <v>obj_00ab3#0001</v>
      </c>
      <c r="T350" s="181">
        <f>_xll.qlVanillaSwapFairRate(S350)</f>
        <v>1.0533809413999217E-2</v>
      </c>
      <c r="U350" s="290">
        <f t="shared" si="34"/>
        <v>3.8094139992173037E-6</v>
      </c>
      <c r="X350" s="176" t="str">
        <f t="shared" si="35"/>
        <v>1D</v>
      </c>
      <c r="Y350" s="164">
        <f>_xll.qlCalendarAdvance(Calendar,Y349,X350,"f",FALSE)</f>
        <v>42557</v>
      </c>
      <c r="Z350" s="188">
        <f>_xll.qlCalendarAdvance(Calendar,Y350,NDays&amp;"D")</f>
        <v>42559</v>
      </c>
      <c r="AA350" s="163">
        <v>9.4519910713173466E-4</v>
      </c>
      <c r="AB350" s="172">
        <v>6.4379867205310859E-4</v>
      </c>
    </row>
    <row r="351" spans="13:28" x14ac:dyDescent="0.2">
      <c r="M351" s="293" t="str">
        <v>obj_007d2#0001</v>
      </c>
      <c r="N351" s="176" t="str">
        <f>_xll.qlRateHelperQuoteName(M351)</f>
        <v>EUR20F4Y_Quote</v>
      </c>
      <c r="O351" s="164">
        <f>_xll.qlInterestRateIndexFixingDate(R351,_xll.qlRateHelperEarliestDate(M351,Trigger),)</f>
        <v>49389</v>
      </c>
      <c r="P351" s="191" t="e">
        <f>_xll.qlRateHelperQuoteValue(M351,_xll.ohTrigger(RecalcTrigger,YieldCurve))</f>
        <v>#NUM!</v>
      </c>
      <c r="Q351" s="194" t="str">
        <f t="shared" si="36"/>
        <v>4Y</v>
      </c>
      <c r="R351" s="194" t="str">
        <f>_xll.qlSwapIndex(,"Euribor",Q351,NDays,Currency,Calendar,"1Y","mf","30/360 (Bond Basis)",IborIndex,Discounting,,_xll.ohTrigger(Trigger,RecalcTrigger))</f>
        <v>obj_009b8#0001</v>
      </c>
      <c r="S351" s="194" t="str">
        <f>_xll.qlVanillaSwapFromSwapIndex(,R351,O351)</f>
        <v>obj_00ab8#0001</v>
      </c>
      <c r="T351" s="181">
        <f>_xll.qlVanillaSwapFairRate(S351)</f>
        <v>1.0512823698411861E-2</v>
      </c>
      <c r="U351" s="290" t="e">
        <f t="shared" si="34"/>
        <v>#NUM!</v>
      </c>
      <c r="X351" s="176" t="str">
        <f t="shared" si="35"/>
        <v>1D</v>
      </c>
      <c r="Y351" s="164">
        <f>_xll.qlCalendarAdvance(Calendar,Y350,X351,"f",FALSE)</f>
        <v>42558</v>
      </c>
      <c r="Z351" s="188">
        <f>_xll.qlCalendarAdvance(Calendar,Y351,NDays&amp;"D")</f>
        <v>42562</v>
      </c>
      <c r="AA351" s="163">
        <v>9.4827511794860352E-4</v>
      </c>
      <c r="AB351" s="172">
        <v>6.463195784967013E-4</v>
      </c>
    </row>
    <row r="352" spans="13:28" x14ac:dyDescent="0.2">
      <c r="M352" s="293" t="str">
        <v>obj_00775#0001</v>
      </c>
      <c r="N352" s="176" t="str">
        <f>_xll.qlRateHelperQuoteName(M352)</f>
        <v>EUR20F5Y_Quote</v>
      </c>
      <c r="O352" s="164">
        <f>_xll.qlInterestRateIndexFixingDate(R352,_xll.qlRateHelperEarliestDate(M352,Trigger),)</f>
        <v>49389</v>
      </c>
      <c r="P352" s="191">
        <f>_xll.qlRateHelperQuoteValue(M352,_xll.ohTrigger(RecalcTrigger,YieldCurve))</f>
        <v>1.0529999999999999E-2</v>
      </c>
      <c r="Q352" s="194" t="str">
        <f t="shared" si="36"/>
        <v>5Y</v>
      </c>
      <c r="R352" s="194" t="str">
        <f>_xll.qlSwapIndex(,"Euribor",Q352,NDays,Currency,Calendar,"1Y","mf","30/360 (Bond Basis)",IborIndex,Discounting,,_xll.ohTrigger(Trigger,RecalcTrigger))</f>
        <v>obj_008fe#0001</v>
      </c>
      <c r="S352" s="194" t="str">
        <f>_xll.qlVanillaSwapFromSwapIndex(,R352,O352)</f>
        <v>obj_00a40#0001</v>
      </c>
      <c r="T352" s="181">
        <f>_xll.qlVanillaSwapFairRate(S352)</f>
        <v>1.0511654333938992E-2</v>
      </c>
      <c r="U352" s="290">
        <f t="shared" si="34"/>
        <v>-1.8345666061007904E-5</v>
      </c>
      <c r="X352" s="176" t="str">
        <f t="shared" si="35"/>
        <v>1D</v>
      </c>
      <c r="Y352" s="164">
        <f>_xll.qlCalendarAdvance(Calendar,Y351,X352,"f",FALSE)</f>
        <v>42559</v>
      </c>
      <c r="Z352" s="188">
        <f>_xll.qlCalendarAdvance(Calendar,Y352,NDays&amp;"D")</f>
        <v>42563</v>
      </c>
      <c r="AA352" s="163">
        <v>9.4899528308134906E-4</v>
      </c>
      <c r="AB352" s="172">
        <v>6.4794862059791569E-4</v>
      </c>
    </row>
    <row r="353" spans="13:28" x14ac:dyDescent="0.2">
      <c r="M353" s="293" t="str">
        <v>obj_007b7#0001</v>
      </c>
      <c r="N353" s="176" t="str">
        <f>_xll.qlRateHelperQuoteName(M353)</f>
        <v>EUR20F6Y_Quote</v>
      </c>
      <c r="O353" s="164">
        <f>_xll.qlInterestRateIndexFixingDate(R353,_xll.qlRateHelperEarliestDate(M353,Trigger),)</f>
        <v>49389</v>
      </c>
      <c r="P353" s="191">
        <f>_xll.qlRateHelperQuoteValue(M353,_xll.ohTrigger(RecalcTrigger,YieldCurve))</f>
        <v>1.0549999999999999E-2</v>
      </c>
      <c r="Q353" s="194" t="str">
        <f t="shared" si="36"/>
        <v>6Y</v>
      </c>
      <c r="R353" s="194" t="str">
        <f>_xll.qlSwapIndex(,"Euribor",Q353,NDays,Currency,Calendar,"1Y","mf","30/360 (Bond Basis)",IborIndex,Discounting,,_xll.ohTrigger(Trigger,RecalcTrigger))</f>
        <v>obj_009d5#0001</v>
      </c>
      <c r="S353" s="194" t="str">
        <f>_xll.qlVanillaSwapFromSwapIndex(,R353,O353)</f>
        <v>obj_00a30#0001</v>
      </c>
      <c r="T353" s="181">
        <f>_xll.qlVanillaSwapFairRate(S353)</f>
        <v>1.0515482301710977E-2</v>
      </c>
      <c r="U353" s="290">
        <f t="shared" si="34"/>
        <v>-3.4517698289021626E-5</v>
      </c>
      <c r="X353" s="176" t="str">
        <f t="shared" si="35"/>
        <v>1D</v>
      </c>
      <c r="Y353" s="164">
        <f>_xll.qlCalendarAdvance(Calendar,Y352,X353,"f",FALSE)</f>
        <v>42562</v>
      </c>
      <c r="Z353" s="188">
        <f>_xll.qlCalendarAdvance(Calendar,Y353,NDays&amp;"D")</f>
        <v>42564</v>
      </c>
      <c r="AA353" s="163">
        <v>9.4972154435073359E-4</v>
      </c>
      <c r="AB353" s="172">
        <v>6.4979847047119677E-4</v>
      </c>
    </row>
    <row r="354" spans="13:28" x14ac:dyDescent="0.2">
      <c r="M354" s="293" t="str">
        <v>obj_007d8#0001</v>
      </c>
      <c r="N354" s="176" t="str">
        <f>_xll.qlRateHelperQuoteName(M354)</f>
        <v>EUR20F7Y_Quote</v>
      </c>
      <c r="O354" s="164">
        <f>_xll.qlInterestRateIndexFixingDate(R354,_xll.qlRateHelperEarliestDate(M354,Trigger),)</f>
        <v>49389</v>
      </c>
      <c r="P354" s="191">
        <f>_xll.qlRateHelperQuoteValue(M354,_xll.ohTrigger(RecalcTrigger,YieldCurve))</f>
        <v>1.0549999999999999E-2</v>
      </c>
      <c r="Q354" s="194" t="str">
        <f t="shared" si="36"/>
        <v>7Y</v>
      </c>
      <c r="R354" s="194" t="str">
        <f>_xll.qlSwapIndex(,"Euribor",Q354,NDays,Currency,Calendar,"1Y","mf","30/360 (Bond Basis)",IborIndex,Discounting,,_xll.ohTrigger(Trigger,RecalcTrigger))</f>
        <v>obj_008cf#0002</v>
      </c>
      <c r="S354" s="194" t="str">
        <f>_xll.qlVanillaSwapFromSwapIndex(,R354,O354)</f>
        <v>obj_00ad9#0001</v>
      </c>
      <c r="T354" s="181">
        <f>_xll.qlVanillaSwapFairRate(S354)</f>
        <v>1.0523214639568141E-2</v>
      </c>
      <c r="U354" s="290">
        <f t="shared" si="34"/>
        <v>-2.6785360431857627E-5</v>
      </c>
      <c r="X354" s="176" t="str">
        <f t="shared" si="35"/>
        <v>1D</v>
      </c>
      <c r="Y354" s="164">
        <f>_xll.qlCalendarAdvance(Calendar,Y353,X354,"f",FALSE)</f>
        <v>42563</v>
      </c>
      <c r="Z354" s="188">
        <f>_xll.qlCalendarAdvance(Calendar,Y354,NDays&amp;"D")</f>
        <v>42565</v>
      </c>
      <c r="AA354" s="163">
        <v>9.4875567604343089E-4</v>
      </c>
      <c r="AB354" s="172">
        <v>6.5186912835635269E-4</v>
      </c>
    </row>
    <row r="355" spans="13:28" x14ac:dyDescent="0.2">
      <c r="M355" s="293" t="str">
        <v>obj_0083f#0001</v>
      </c>
      <c r="N355" s="176" t="str">
        <f>_xll.qlRateHelperQuoteName(M355)</f>
        <v>EUR20F8Y_Quote</v>
      </c>
      <c r="O355" s="164">
        <f>_xll.qlInterestRateIndexFixingDate(R355,_xll.qlRateHelperEarliestDate(M355,Trigger),)</f>
        <v>49389</v>
      </c>
      <c r="P355" s="191">
        <f>_xll.qlRateHelperQuoteValue(M355,_xll.ohTrigger(RecalcTrigger,YieldCurve))</f>
        <v>1.056E-2</v>
      </c>
      <c r="Q355" s="194" t="str">
        <f t="shared" si="36"/>
        <v>8Y</v>
      </c>
      <c r="R355" s="194" t="str">
        <f>_xll.qlSwapIndex(,"Euribor",Q355,NDays,Currency,Calendar,"1Y","mf","30/360 (Bond Basis)",IborIndex,Discounting,,_xll.ohTrigger(Trigger,RecalcTrigger))</f>
        <v>obj_009d2#0001</v>
      </c>
      <c r="S355" s="194" t="str">
        <f>_xll.qlVanillaSwapFromSwapIndex(,R355,O355)</f>
        <v>obj_00ab5#0001</v>
      </c>
      <c r="T355" s="181">
        <f>_xll.qlVanillaSwapFairRate(S355)</f>
        <v>1.0529207821790565E-2</v>
      </c>
      <c r="U355" s="290">
        <f t="shared" si="34"/>
        <v>-3.0792178209435028E-5</v>
      </c>
      <c r="X355" s="176" t="str">
        <f t="shared" si="35"/>
        <v>1D</v>
      </c>
      <c r="Y355" s="164">
        <f>_xll.qlCalendarAdvance(Calendar,Y354,X355,"f",FALSE)</f>
        <v>42564</v>
      </c>
      <c r="Z355" s="188">
        <f>_xll.qlCalendarAdvance(Calendar,Y355,NDays&amp;"D")</f>
        <v>42566</v>
      </c>
      <c r="AA355" s="163">
        <v>9.5035874733352796E-4</v>
      </c>
      <c r="AB355" s="172">
        <v>6.5674766840828624E-4</v>
      </c>
    </row>
    <row r="356" spans="13:28" x14ac:dyDescent="0.2">
      <c r="M356" s="293" t="str">
        <v>obj_0079a#0001</v>
      </c>
      <c r="N356" s="176" t="str">
        <f>_xll.qlRateHelperQuoteName(M356)</f>
        <v>EUR20F9Y_Quote</v>
      </c>
      <c r="O356" s="164">
        <f>_xll.qlInterestRateIndexFixingDate(R356,_xll.qlRateHelperEarliestDate(M356,Trigger),)</f>
        <v>49389</v>
      </c>
      <c r="P356" s="191">
        <f>_xll.qlRateHelperQuoteValue(M356,_xll.ohTrigger(RecalcTrigger,YieldCurve))</f>
        <v>1.0549999999999999E-2</v>
      </c>
      <c r="Q356" s="194" t="str">
        <f t="shared" si="36"/>
        <v>9Y</v>
      </c>
      <c r="R356" s="194" t="str">
        <f>_xll.qlSwapIndex(,"Euribor",Q356,NDays,Currency,Calendar,"1Y","mf","30/360 (Bond Basis)",IborIndex,Discounting,,_xll.ohTrigger(Trigger,RecalcTrigger))</f>
        <v>obj_008cb#0002</v>
      </c>
      <c r="S356" s="194" t="str">
        <f>_xll.qlVanillaSwapFromSwapIndex(,R356,O356)</f>
        <v>obj_00adf#0001</v>
      </c>
      <c r="T356" s="181">
        <f>_xll.qlVanillaSwapFairRate(S356)</f>
        <v>1.0530573686250082E-2</v>
      </c>
      <c r="U356" s="290">
        <f t="shared" si="34"/>
        <v>-1.9426313749916144E-5</v>
      </c>
      <c r="X356" s="176" t="str">
        <f t="shared" si="35"/>
        <v>1D</v>
      </c>
      <c r="Y356" s="164">
        <f>_xll.qlCalendarAdvance(Calendar,Y355,X356,"f",FALSE)</f>
        <v>42565</v>
      </c>
      <c r="Z356" s="188">
        <f>_xll.qlCalendarAdvance(Calendar,Y356,NDays&amp;"D")</f>
        <v>42569</v>
      </c>
      <c r="AA356" s="163">
        <v>9.5354889067060706E-4</v>
      </c>
      <c r="AB356" s="172">
        <v>6.6235983865681192E-4</v>
      </c>
    </row>
    <row r="357" spans="13:28" x14ac:dyDescent="0.2">
      <c r="M357" s="293" t="str">
        <v>obj_0088f#0001</v>
      </c>
      <c r="N357" s="176" t="str">
        <f>_xll.qlRateHelperQuoteName(M357)</f>
        <v>EUR20F10Y_Quote</v>
      </c>
      <c r="O357" s="164">
        <f>_xll.qlInterestRateIndexFixingDate(R357,_xll.qlRateHelperEarliestDate(M357,Trigger),)</f>
        <v>49389</v>
      </c>
      <c r="P357" s="191">
        <f>_xll.qlRateHelperQuoteValue(M357,_xll.ohTrigger(RecalcTrigger,YieldCurve))</f>
        <v>1.0549999999999999E-2</v>
      </c>
      <c r="Q357" s="194" t="str">
        <f t="shared" si="36"/>
        <v>10Y</v>
      </c>
      <c r="R357" s="194" t="str">
        <f>_xll.qlSwapIndex(,"Euribor",Q357,NDays,Currency,Calendar,"1Y","mf","30/360 (Bond Basis)",IborIndex,Discounting,,_xll.ohTrigger(Trigger,RecalcTrigger))</f>
        <v>obj_009cf#0001</v>
      </c>
      <c r="S357" s="194" t="str">
        <f>_xll.qlVanillaSwapFromSwapIndex(,R357,O357)</f>
        <v>obj_00abf#0001</v>
      </c>
      <c r="T357" s="181">
        <f>_xll.qlVanillaSwapFairRate(S357)</f>
        <v>1.0525423758605306E-2</v>
      </c>
      <c r="U357" s="290">
        <f t="shared" si="34"/>
        <v>-2.4576241394692541E-5</v>
      </c>
      <c r="X357" s="176" t="str">
        <f t="shared" si="35"/>
        <v>1D</v>
      </c>
      <c r="Y357" s="164">
        <f>_xll.qlCalendarAdvance(Calendar,Y356,X357,"f",FALSE)</f>
        <v>42566</v>
      </c>
      <c r="Z357" s="188">
        <f>_xll.qlCalendarAdvance(Calendar,Y357,NDays&amp;"D")</f>
        <v>42570</v>
      </c>
      <c r="AA357" s="163">
        <v>9.5437448758448431E-4</v>
      </c>
      <c r="AB357" s="172">
        <v>6.6553453604178969E-4</v>
      </c>
    </row>
    <row r="358" spans="13:28" x14ac:dyDescent="0.2">
      <c r="M358" s="293" t="str">
        <v>obj_0074e#0001</v>
      </c>
      <c r="N358" s="176" t="str">
        <f>_xll.qlRateHelperQuoteName(M358)</f>
        <v>EUR20F11Y_Quote</v>
      </c>
      <c r="O358" s="164">
        <f>_xll.qlInterestRateIndexFixingDate(R358,_xll.qlRateHelperEarliestDate(M358,Trigger),)</f>
        <v>49389</v>
      </c>
      <c r="P358" s="191">
        <f>_xll.qlRateHelperQuoteValue(M358,_xll.ohTrigger(RecalcTrigger,YieldCurve))</f>
        <v>1.0540000000000001E-2</v>
      </c>
      <c r="Q358" s="194" t="str">
        <f t="shared" si="36"/>
        <v>11Y</v>
      </c>
      <c r="R358" s="194" t="str">
        <f>_xll.qlSwapIndex(,"Euribor",Q358,NDays,Currency,Calendar,"1Y","mf","30/360 (Bond Basis)",IborIndex,Discounting,,_xll.ohTrigger(Trigger,RecalcTrigger))</f>
        <v>obj_008e0#0002</v>
      </c>
      <c r="S358" s="194" t="str">
        <f>_xll.qlVanillaSwapFromSwapIndex(,R358,O358)</f>
        <v>obj_00ae1#0001</v>
      </c>
      <c r="T358" s="181">
        <f>_xll.qlVanillaSwapFairRate(S358)</f>
        <v>1.0513319842998938E-2</v>
      </c>
      <c r="U358" s="290">
        <f t="shared" si="34"/>
        <v>-2.6680157001062604E-5</v>
      </c>
      <c r="X358" s="176" t="str">
        <f t="shared" si="35"/>
        <v>1D</v>
      </c>
      <c r="Y358" s="164">
        <f>_xll.qlCalendarAdvance(Calendar,Y357,X358,"f",FALSE)</f>
        <v>42569</v>
      </c>
      <c r="Z358" s="188">
        <f>_xll.qlCalendarAdvance(Calendar,Y358,NDays&amp;"D")</f>
        <v>42571</v>
      </c>
      <c r="AA358" s="163">
        <v>9.5522710029187681E-4</v>
      </c>
      <c r="AB358" s="172">
        <v>6.6893004135870626E-4</v>
      </c>
    </row>
    <row r="359" spans="13:28" x14ac:dyDescent="0.2">
      <c r="M359" s="293" t="str">
        <v>obj_00886#0001</v>
      </c>
      <c r="N359" s="176" t="str">
        <f>_xll.qlRateHelperQuoteName(M359)</f>
        <v>EUR20F12Y_Quote</v>
      </c>
      <c r="O359" s="164">
        <f>_xll.qlInterestRateIndexFixingDate(R359,_xll.qlRateHelperEarliestDate(M359,Trigger),)</f>
        <v>49389</v>
      </c>
      <c r="P359" s="191">
        <f>_xll.qlRateHelperQuoteValue(M359,_xll.ohTrigger(RecalcTrigger,YieldCurve))</f>
        <v>1.052E-2</v>
      </c>
      <c r="Q359" s="194" t="str">
        <f t="shared" si="36"/>
        <v>12Y</v>
      </c>
      <c r="R359" s="194" t="str">
        <f>_xll.qlSwapIndex(,"Euribor",Q359,NDays,Currency,Calendar,"1Y","mf","30/360 (Bond Basis)",IborIndex,Discounting,,_xll.ohTrigger(Trigger,RecalcTrigger))</f>
        <v>obj_009df#0001</v>
      </c>
      <c r="S359" s="194" t="str">
        <f>_xll.qlVanillaSwapFromSwapIndex(,R359,O359)</f>
        <v>obj_00a58#0001</v>
      </c>
      <c r="T359" s="181">
        <f>_xll.qlVanillaSwapFairRate(S359)</f>
        <v>1.0496588922570226E-2</v>
      </c>
      <c r="U359" s="290">
        <f t="shared" si="34"/>
        <v>-2.3411077429773622E-5</v>
      </c>
      <c r="X359" s="176" t="str">
        <f t="shared" si="35"/>
        <v>1D</v>
      </c>
      <c r="Y359" s="164">
        <f>_xll.qlCalendarAdvance(Calendar,Y358,X359,"f",FALSE)</f>
        <v>42570</v>
      </c>
      <c r="Z359" s="188">
        <f>_xll.qlCalendarAdvance(Calendar,Y359,NDays&amp;"D")</f>
        <v>42572</v>
      </c>
      <c r="AA359" s="163">
        <v>9.5493196025309135E-4</v>
      </c>
      <c r="AB359" s="172">
        <v>6.7254635452762557E-4</v>
      </c>
    </row>
    <row r="360" spans="13:28" x14ac:dyDescent="0.2">
      <c r="M360" s="293" t="str">
        <v>obj_0076c#0001</v>
      </c>
      <c r="N360" s="176" t="str">
        <f>_xll.qlRateHelperQuoteName(M360)</f>
        <v>EUR20F13Y_Quote</v>
      </c>
      <c r="O360" s="164">
        <f>_xll.qlInterestRateIndexFixingDate(R360,_xll.qlRateHelperEarliestDate(M360,Trigger),)</f>
        <v>49389</v>
      </c>
      <c r="P360" s="191">
        <f>_xll.qlRateHelperQuoteValue(M360,_xll.ohTrigger(RecalcTrigger,YieldCurve))</f>
        <v>1.0500000000000001E-2</v>
      </c>
      <c r="Q360" s="194" t="str">
        <f t="shared" si="36"/>
        <v>13Y</v>
      </c>
      <c r="R360" s="194" t="str">
        <f>_xll.qlSwapIndex(,"Euribor",Q360,NDays,Currency,Calendar,"1Y","mf","30/360 (Bond Basis)",IborIndex,Discounting,,_xll.ohTrigger(Trigger,RecalcTrigger))</f>
        <v>obj_0090b#0001</v>
      </c>
      <c r="S360" s="194" t="str">
        <f>_xll.qlVanillaSwapFromSwapIndex(,R360,O360)</f>
        <v>obj_00b5f#0001</v>
      </c>
      <c r="T360" s="181">
        <f>_xll.qlVanillaSwapFairRate(S360)</f>
        <v>1.0479421067072713E-2</v>
      </c>
      <c r="U360" s="290">
        <f t="shared" si="34"/>
        <v>-2.0578932927287769E-5</v>
      </c>
      <c r="X360" s="176" t="str">
        <f t="shared" si="35"/>
        <v>1D</v>
      </c>
      <c r="Y360" s="164">
        <f>_xll.qlCalendarAdvance(Calendar,Y359,X360,"f",FALSE)</f>
        <v>42571</v>
      </c>
      <c r="Z360" s="188">
        <f>_xll.qlCalendarAdvance(Calendar,Y360,NDays&amp;"D")</f>
        <v>42573</v>
      </c>
      <c r="AA360" s="163">
        <v>9.5645658209563196E-4</v>
      </c>
      <c r="AB360" s="172">
        <v>6.8051629382281931E-4</v>
      </c>
    </row>
    <row r="361" spans="13:28" x14ac:dyDescent="0.2">
      <c r="M361" s="293" t="str">
        <v>obj_0086b#0001</v>
      </c>
      <c r="N361" s="176" t="str">
        <f>_xll.qlRateHelperQuoteName(M361)</f>
        <v>EUR20F14Y_Quote</v>
      </c>
      <c r="O361" s="164">
        <f>_xll.qlInterestRateIndexFixingDate(R361,_xll.qlRateHelperEarliestDate(M361,Trigger),)</f>
        <v>49389</v>
      </c>
      <c r="P361" s="191">
        <f>_xll.qlRateHelperQuoteValue(M361,_xll.ohTrigger(RecalcTrigger,YieldCurve))</f>
        <v>1.048E-2</v>
      </c>
      <c r="Q361" s="194" t="str">
        <f t="shared" si="36"/>
        <v>14Y</v>
      </c>
      <c r="R361" s="194" t="str">
        <f>_xll.qlSwapIndex(,"Euribor",Q361,NDays,Currency,Calendar,"1Y","mf","30/360 (Bond Basis)",IborIndex,Discounting,,_xll.ohTrigger(Trigger,RecalcTrigger))</f>
        <v>obj_0095b#0001</v>
      </c>
      <c r="S361" s="194" t="str">
        <f>_xll.qlVanillaSwapFromSwapIndex(,R361,O361)</f>
        <v>obj_00b0e#0001</v>
      </c>
      <c r="T361" s="181">
        <f>_xll.qlVanillaSwapFairRate(S361)</f>
        <v>1.0458982822449728E-2</v>
      </c>
      <c r="U361" s="290">
        <f t="shared" si="34"/>
        <v>-2.1017177550271271E-5</v>
      </c>
      <c r="X361" s="176" t="str">
        <f t="shared" si="35"/>
        <v>1D</v>
      </c>
      <c r="Y361" s="164">
        <f>_xll.qlCalendarAdvance(Calendar,Y360,X361,"f",FALSE)</f>
        <v>42572</v>
      </c>
      <c r="Z361" s="188">
        <f>_xll.qlCalendarAdvance(Calendar,Y361,NDays&amp;"D")</f>
        <v>42576</v>
      </c>
      <c r="AA361" s="163">
        <v>9.6000000004034893E-4</v>
      </c>
      <c r="AB361" s="172">
        <v>6.8916934039542355E-4</v>
      </c>
    </row>
    <row r="362" spans="13:28" x14ac:dyDescent="0.2">
      <c r="M362" s="293" t="str">
        <v>obj_007aa#0001</v>
      </c>
      <c r="N362" s="176" t="str">
        <f>_xll.qlRateHelperQuoteName(M362)</f>
        <v>EUR20F15Y_Quote</v>
      </c>
      <c r="O362" s="164">
        <f>_xll.qlInterestRateIndexFixingDate(R362,_xll.qlRateHelperEarliestDate(M362,Trigger),)</f>
        <v>49389</v>
      </c>
      <c r="P362" s="191">
        <f>_xll.qlRateHelperQuoteValue(M362,_xll.ohTrigger(RecalcTrigger,YieldCurve))</f>
        <v>1.0460000000000001E-2</v>
      </c>
      <c r="Q362" s="194" t="str">
        <f t="shared" si="36"/>
        <v>15Y</v>
      </c>
      <c r="R362" s="194" t="str">
        <f>_xll.qlSwapIndex(,"Euribor",Q362,NDays,Currency,Calendar,"1Y","mf","30/360 (Bond Basis)",IborIndex,Discounting,,_xll.ohTrigger(Trigger,RecalcTrigger))</f>
        <v>obj_00957#0001</v>
      </c>
      <c r="S362" s="194" t="str">
        <f>_xll.qlVanillaSwapFromSwapIndex(,R362,O362)</f>
        <v>obj_00b52#0001</v>
      </c>
      <c r="T362" s="181">
        <f>_xll.qlVanillaSwapFairRate(S362)</f>
        <v>1.0438952211416058E-2</v>
      </c>
      <c r="U362" s="290">
        <f t="shared" si="34"/>
        <v>-2.104778858394267E-5</v>
      </c>
      <c r="X362" s="176" t="str">
        <f t="shared" si="35"/>
        <v>1D</v>
      </c>
      <c r="Y362" s="164">
        <f>_xll.qlCalendarAdvance(Calendar,Y361,X362,"f",FALSE)</f>
        <v>42573</v>
      </c>
      <c r="Z362" s="188">
        <f>_xll.qlCalendarAdvance(Calendar,Y362,NDays&amp;"D")</f>
        <v>42577</v>
      </c>
      <c r="AA362" s="163">
        <v>9.6107690017072339E-4</v>
      </c>
      <c r="AB362" s="172">
        <v>6.9358761462190444E-4</v>
      </c>
    </row>
    <row r="363" spans="13:28" x14ac:dyDescent="0.2">
      <c r="M363" s="293" t="str">
        <v>obj_00797#0001</v>
      </c>
      <c r="N363" s="176" t="str">
        <f>_xll.qlRateHelperQuoteName(M363)</f>
        <v>EUR20F20Y_Quote</v>
      </c>
      <c r="O363" s="164">
        <f>_xll.qlInterestRateIndexFixingDate(R363,_xll.qlRateHelperEarliestDate(M363,Trigger),)</f>
        <v>49389</v>
      </c>
      <c r="P363" s="191">
        <f>_xll.qlRateHelperQuoteValue(M363,_xll.ohTrigger(RecalcTrigger,YieldCurve))</f>
        <v>1.027E-2</v>
      </c>
      <c r="Q363" s="194" t="str">
        <f t="shared" si="36"/>
        <v>20Y</v>
      </c>
      <c r="R363" s="194" t="str">
        <f>_xll.qlSwapIndex(,"Euribor",Q363,NDays,Currency,Calendar,"1Y","mf","30/360 (Bond Basis)",IborIndex,Discounting,,_xll.ohTrigger(Trigger,RecalcTrigger))</f>
        <v>obj_0096f#0001</v>
      </c>
      <c r="S363" s="194" t="str">
        <f>_xll.qlVanillaSwapFromSwapIndex(,R363,O363)</f>
        <v>obj_00a64#0001</v>
      </c>
      <c r="T363" s="181">
        <f>_xll.qlVanillaSwapFairRate(S363)</f>
        <v>1.0245997994195089E-2</v>
      </c>
      <c r="U363" s="290">
        <f t="shared" si="34"/>
        <v>-2.400200580491077E-5</v>
      </c>
      <c r="X363" s="176" t="str">
        <f t="shared" si="35"/>
        <v>1D</v>
      </c>
      <c r="Y363" s="164">
        <f>_xll.qlCalendarAdvance(Calendar,Y362,X363,"f",FALSE)</f>
        <v>42576</v>
      </c>
      <c r="Z363" s="188">
        <f>_xll.qlCalendarAdvance(Calendar,Y363,NDays&amp;"D")</f>
        <v>42578</v>
      </c>
      <c r="AA363" s="163">
        <v>9.6219833388530942E-4</v>
      </c>
      <c r="AB363" s="172">
        <v>6.979246178584475E-4</v>
      </c>
    </row>
    <row r="364" spans="13:28" x14ac:dyDescent="0.2">
      <c r="M364" s="293" t="str">
        <v>obj_007ec#0001</v>
      </c>
      <c r="N364" s="176" t="str">
        <f>_xll.qlRateHelperQuoteName(M364)</f>
        <v>EUR20F25Y_Quote</v>
      </c>
      <c r="O364" s="164">
        <f>_xll.qlInterestRateIndexFixingDate(R364,_xll.qlRateHelperEarliestDate(M364,Trigger),)</f>
        <v>49389</v>
      </c>
      <c r="P364" s="191">
        <f>_xll.qlRateHelperQuoteValue(M364,_xll.ohTrigger(RecalcTrigger,YieldCurve))</f>
        <v>9.7400000000000004E-3</v>
      </c>
      <c r="Q364" s="194" t="str">
        <f t="shared" si="36"/>
        <v>25Y</v>
      </c>
      <c r="R364" s="194" t="str">
        <f>_xll.qlSwapIndex(,"Euribor",Q364,NDays,Currency,Calendar,"1Y","mf","30/360 (Bond Basis)",IborIndex,Discounting,,_xll.ohTrigger(Trigger,RecalcTrigger))</f>
        <v>obj_008fa#0001</v>
      </c>
      <c r="S364" s="194" t="str">
        <f>_xll.qlVanillaSwapFromSwapIndex(,R364,O364)</f>
        <v>obj_00b68#0001</v>
      </c>
      <c r="T364" s="181">
        <f>_xll.qlVanillaSwapFairRate(S364)</f>
        <v>9.7517311802596991E-3</v>
      </c>
      <c r="U364" s="290">
        <f t="shared" si="34"/>
        <v>1.1731180259698729E-5</v>
      </c>
      <c r="X364" s="176" t="str">
        <f t="shared" si="35"/>
        <v>1D</v>
      </c>
      <c r="Y364" s="164">
        <f>_xll.qlCalendarAdvance(Calendar,Y363,X364,"f",FALSE)</f>
        <v>42577</v>
      </c>
      <c r="Z364" s="188">
        <f>_xll.qlCalendarAdvance(Calendar,Y364,NDays&amp;"D")</f>
        <v>42579</v>
      </c>
      <c r="AA364" s="163">
        <v>9.6301699346504777E-4</v>
      </c>
      <c r="AB364" s="172">
        <v>7.0218035034486093E-4</v>
      </c>
    </row>
    <row r="365" spans="13:28" ht="12" thickBot="1" x14ac:dyDescent="0.25">
      <c r="M365" s="294" t="str">
        <v>obj_00826#0001</v>
      </c>
      <c r="N365" s="177" t="str">
        <f>_xll.qlRateHelperQuoteName(M365)</f>
        <v>EUR20F30Y_Quote</v>
      </c>
      <c r="O365" s="174">
        <f>_xll.qlInterestRateIndexFixingDate(R365,_xll.qlRateHelperEarliestDate(M365,Trigger),)</f>
        <v>49389</v>
      </c>
      <c r="P365" s="192">
        <f>_xll.qlRateHelperQuoteValue(M365,_xll.ohTrigger(RecalcTrigger,YieldCurve))</f>
        <v>9.300000000000001E-3</v>
      </c>
      <c r="Q365" s="195" t="str">
        <f t="shared" si="36"/>
        <v>30Y</v>
      </c>
      <c r="R365" s="195" t="str">
        <f>_xll.qlSwapIndex(,"Euribor",Q365,NDays,Currency,Calendar,"1Y","mf","30/360 (Bond Basis)",IborIndex,Discounting,,_xll.ohTrigger(Trigger,RecalcTrigger))</f>
        <v>obj_008da#0002</v>
      </c>
      <c r="S365" s="195" t="str">
        <f>_xll.qlVanillaSwapFromSwapIndex(,R365,O365)</f>
        <v>obj_00b0a#0001</v>
      </c>
      <c r="T365" s="183">
        <f>_xll.qlVanillaSwapFairRate(S365)</f>
        <v>9.2749570229269159E-3</v>
      </c>
      <c r="U365" s="291">
        <f t="shared" si="34"/>
        <v>-2.504297707308506E-5</v>
      </c>
      <c r="X365" s="176" t="str">
        <f t="shared" si="35"/>
        <v>1D</v>
      </c>
      <c r="Y365" s="164">
        <f>_xll.qlCalendarAdvance(Calendar,Y364,X365,"f",FALSE)</f>
        <v>42578</v>
      </c>
      <c r="Z365" s="188">
        <f>_xll.qlCalendarAdvance(Calendar,Y365,NDays&amp;"D")</f>
        <v>42580</v>
      </c>
      <c r="AA365" s="163">
        <v>9.6434297312574272E-4</v>
      </c>
      <c r="AB365" s="172">
        <v>7.1042231452267401E-4</v>
      </c>
    </row>
    <row r="366" spans="13:28" x14ac:dyDescent="0.2">
      <c r="M366" s="295" t="str">
        <v>obj_00779#0001</v>
      </c>
      <c r="N366" s="279" t="str">
        <f>_xll.qlRateHelperQuoteName(M366)</f>
        <v>EUR25F1Y_Quote</v>
      </c>
      <c r="O366" s="276">
        <f>_xll.qlInterestRateIndexFixingDate(R366,_xll.qlRateHelperEarliestDate(M366,Trigger),)</f>
        <v>51217</v>
      </c>
      <c r="P366" s="277">
        <f>_xll.qlRateHelperQuoteValue(M366,_xll.ohTrigger(RecalcTrigger,YieldCurve))</f>
        <v>1.0660000000000001E-2</v>
      </c>
      <c r="Q366" s="275" t="str">
        <f t="shared" ref="Q366:Q383" si="37">SUBSTITUTE(SUBSTITUTE(N366,"_Quote",""),"EUR25F","")</f>
        <v>1Y</v>
      </c>
      <c r="R366" s="275" t="str">
        <f>_xll.qlSwapIndex(,"Euribor",Q366,NDays,Currency,Calendar,"1Y","mf","30/360 (Bond Basis)",IborIndex,Discounting,,_xll.ohTrigger(Trigger,RecalcTrigger))</f>
        <v>obj_008df#0002</v>
      </c>
      <c r="S366" s="275" t="str">
        <f>_xll.qlVanillaSwapFromSwapIndex(,R366,O366)</f>
        <v>obj_00b27#0001</v>
      </c>
      <c r="T366" s="278">
        <f>_xll.qlVanillaSwapFairRate(S366)</f>
        <v>1.0535042120071147E-2</v>
      </c>
      <c r="U366" s="292">
        <f t="shared" si="34"/>
        <v>-1.2495787992885393E-4</v>
      </c>
      <c r="X366" s="176" t="str">
        <f t="shared" si="35"/>
        <v>1D</v>
      </c>
      <c r="Y366" s="164">
        <f>_xll.qlCalendarAdvance(Calendar,Y365,X366,"f",FALSE)</f>
        <v>42579</v>
      </c>
      <c r="Z366" s="188">
        <f>_xll.qlCalendarAdvance(Calendar,Y366,NDays&amp;"D")</f>
        <v>42583</v>
      </c>
      <c r="AA366" s="163">
        <v>9.6845903081966699E-4</v>
      </c>
      <c r="AB366" s="172">
        <v>7.1839057198985756E-4</v>
      </c>
    </row>
    <row r="367" spans="13:28" x14ac:dyDescent="0.2">
      <c r="M367" s="293" t="str">
        <v>obj_007cc#0001</v>
      </c>
      <c r="N367" s="176" t="str">
        <f>_xll.qlRateHelperQuoteName(M367)</f>
        <v>EUR25F2Y_Quote</v>
      </c>
      <c r="O367" s="164">
        <f>_xll.qlInterestRateIndexFixingDate(R367,_xll.qlRateHelperEarliestDate(M367,Trigger),)</f>
        <v>51217</v>
      </c>
      <c r="P367" s="191">
        <f>_xll.qlRateHelperQuoteValue(M367,_xll.ohTrigger(RecalcTrigger,YieldCurve))</f>
        <v>1.0580000000000001E-2</v>
      </c>
      <c r="Q367" s="194" t="str">
        <f t="shared" si="37"/>
        <v>2Y</v>
      </c>
      <c r="R367" s="194" t="str">
        <f>_xll.qlSwapIndex(,"Euribor",Q367,NDays,Currency,Calendar,"1Y","mf","30/360 (Bond Basis)",IborIndex,Discounting,,_xll.ohTrigger(Trigger,RecalcTrigger))</f>
        <v>obj_009d1#0001</v>
      </c>
      <c r="S367" s="194" t="str">
        <f>_xll.qlVanillaSwapFromSwapIndex(,R367,O367)</f>
        <v>obj_00aa6#0001</v>
      </c>
      <c r="T367" s="181">
        <f>_xll.qlVanillaSwapFairRate(S367)</f>
        <v>1.0553014759452396E-2</v>
      </c>
      <c r="U367" s="290">
        <f t="shared" si="34"/>
        <v>-2.6985240547604608E-5</v>
      </c>
      <c r="X367" s="176" t="str">
        <f t="shared" si="35"/>
        <v>1D</v>
      </c>
      <c r="Y367" s="164">
        <f>_xll.qlCalendarAdvance(Calendar,Y366,X367,"f",FALSE)</f>
        <v>42580</v>
      </c>
      <c r="Z367" s="188">
        <f>_xll.qlCalendarAdvance(Calendar,Y367,NDays&amp;"D")</f>
        <v>42584</v>
      </c>
      <c r="AA367" s="163">
        <v>9.6983898082132584E-4</v>
      </c>
      <c r="AB367" s="172">
        <v>7.2223995016607034E-4</v>
      </c>
    </row>
    <row r="368" spans="13:28" x14ac:dyDescent="0.2">
      <c r="M368" s="293" t="str">
        <v>obj_0079f#0001</v>
      </c>
      <c r="N368" s="176" t="str">
        <f>_xll.qlRateHelperQuoteName(M368)</f>
        <v>EUR25F3Y_Quote</v>
      </c>
      <c r="O368" s="164">
        <f>_xll.qlInterestRateIndexFixingDate(R368,_xll.qlRateHelperEarliestDate(M368,Trigger),)</f>
        <v>51217</v>
      </c>
      <c r="P368" s="191">
        <f>_xll.qlRateHelperQuoteValue(M368,_xll.ohTrigger(RecalcTrigger,YieldCurve))</f>
        <v>1.06E-2</v>
      </c>
      <c r="Q368" s="194" t="str">
        <f t="shared" si="37"/>
        <v>3Y</v>
      </c>
      <c r="R368" s="194" t="str">
        <f>_xll.qlSwapIndex(,"Euribor",Q368,NDays,Currency,Calendar,"1Y","mf","30/360 (Bond Basis)",IborIndex,Discounting,,_xll.ohTrigger(Trigger,RecalcTrigger))</f>
        <v>obj_00991#0001</v>
      </c>
      <c r="S368" s="194" t="str">
        <f>_xll.qlVanillaSwapFromSwapIndex(,R368,O368)</f>
        <v>obj_00a91#0001</v>
      </c>
      <c r="T368" s="181">
        <f>_xll.qlVanillaSwapFairRate(S368)</f>
        <v>1.0559779619987922E-2</v>
      </c>
      <c r="U368" s="290">
        <f t="shared" si="34"/>
        <v>-4.0220380012077894E-5</v>
      </c>
      <c r="X368" s="176" t="str">
        <f t="shared" si="35"/>
        <v>1D</v>
      </c>
      <c r="Y368" s="164">
        <f>_xll.qlCalendarAdvance(Calendar,Y367,X368,"f",FALSE)</f>
        <v>42583</v>
      </c>
      <c r="Z368" s="188">
        <f>_xll.qlCalendarAdvance(Calendar,Y368,NDays&amp;"D")</f>
        <v>42585</v>
      </c>
      <c r="AA368" s="163">
        <v>9.7126056935082782E-4</v>
      </c>
      <c r="AB368" s="172">
        <v>7.2600805759215348E-4</v>
      </c>
    </row>
    <row r="369" spans="13:28" x14ac:dyDescent="0.2">
      <c r="M369" s="293" t="str">
        <v>obj_00890#0001</v>
      </c>
      <c r="N369" s="176" t="str">
        <f>_xll.qlRateHelperQuoteName(M369)</f>
        <v>EUR25F4Y_Quote</v>
      </c>
      <c r="O369" s="164">
        <f>_xll.qlInterestRateIndexFixingDate(R369,_xll.qlRateHelperEarliestDate(M369,Trigger),)</f>
        <v>51217</v>
      </c>
      <c r="P369" s="191">
        <f>_xll.qlRateHelperQuoteValue(M369,_xll.ohTrigger(RecalcTrigger,YieldCurve))</f>
        <v>1.057E-2</v>
      </c>
      <c r="Q369" s="194" t="str">
        <f t="shared" si="37"/>
        <v>4Y</v>
      </c>
      <c r="R369" s="194" t="str">
        <f>_xll.qlSwapIndex(,"Euribor",Q369,NDays,Currency,Calendar,"1Y","mf","30/360 (Bond Basis)",IborIndex,Discounting,,_xll.ohTrigger(Trigger,RecalcTrigger))</f>
        <v>obj_009eb#0001</v>
      </c>
      <c r="S369" s="194" t="str">
        <f>_xll.qlVanillaSwapFromSwapIndex(,R369,O369)</f>
        <v>obj_00ac8#0001</v>
      </c>
      <c r="T369" s="181">
        <f>_xll.qlVanillaSwapFairRate(S369)</f>
        <v>1.0562363297468102E-2</v>
      </c>
      <c r="U369" s="290">
        <f t="shared" si="34"/>
        <v>-7.6367025318973408E-6</v>
      </c>
      <c r="X369" s="176" t="str">
        <f t="shared" si="35"/>
        <v>1D</v>
      </c>
      <c r="Y369" s="164">
        <f>_xll.qlCalendarAdvance(Calendar,Y368,X369,"f",FALSE)</f>
        <v>42584</v>
      </c>
      <c r="Z369" s="188">
        <f>_xll.qlCalendarAdvance(Calendar,Y369,NDays&amp;"D")</f>
        <v>42586</v>
      </c>
      <c r="AA369" s="163">
        <v>9.7314836595180896E-4</v>
      </c>
      <c r="AB369" s="172">
        <v>7.2969489410823485E-4</v>
      </c>
    </row>
    <row r="370" spans="13:28" x14ac:dyDescent="0.2">
      <c r="M370" s="293" t="str">
        <v>obj_00859#0001</v>
      </c>
      <c r="N370" s="176" t="str">
        <f>_xll.qlRateHelperQuoteName(M370)</f>
        <v>EUR25F5Y_Quote</v>
      </c>
      <c r="O370" s="164">
        <f>_xll.qlInterestRateIndexFixingDate(R370,_xll.qlRateHelperEarliestDate(M370,Trigger),)</f>
        <v>51217</v>
      </c>
      <c r="P370" s="191">
        <f>_xll.qlRateHelperQuoteValue(M370,_xll.ohTrigger(RecalcTrigger,YieldCurve))</f>
        <v>1.057E-2</v>
      </c>
      <c r="Q370" s="194" t="str">
        <f t="shared" si="37"/>
        <v>5Y</v>
      </c>
      <c r="R370" s="194" t="str">
        <f>_xll.qlSwapIndex(,"Euribor",Q370,NDays,Currency,Calendar,"1Y","mf","30/360 (Bond Basis)",IborIndex,Discounting,,_xll.ohTrigger(Trigger,RecalcTrigger))</f>
        <v>obj_008f7#0001</v>
      </c>
      <c r="S370" s="194" t="str">
        <f>_xll.qlVanillaSwapFromSwapIndex(,R370,O370)</f>
        <v>obj_00af9#0001</v>
      </c>
      <c r="T370" s="181">
        <f>_xll.qlVanillaSwapFairRate(S370)</f>
        <v>1.0545597659959889E-2</v>
      </c>
      <c r="U370" s="290">
        <f t="shared" si="34"/>
        <v>-2.440234004011041E-5</v>
      </c>
      <c r="X370" s="176" t="str">
        <f t="shared" si="35"/>
        <v>1D</v>
      </c>
      <c r="Y370" s="164">
        <f>_xll.qlCalendarAdvance(Calendar,Y369,X370,"f",FALSE)</f>
        <v>42585</v>
      </c>
      <c r="Z370" s="188">
        <f>_xll.qlCalendarAdvance(Calendar,Y370,NDays&amp;"D")</f>
        <v>42587</v>
      </c>
      <c r="AA370" s="163">
        <v>9.744623554972041E-4</v>
      </c>
      <c r="AB370" s="172">
        <v>7.3679917223401503E-4</v>
      </c>
    </row>
    <row r="371" spans="13:28" x14ac:dyDescent="0.2">
      <c r="M371" s="293" t="str">
        <v>obj_00770#0001</v>
      </c>
      <c r="N371" s="176" t="str">
        <f>_xll.qlRateHelperQuoteName(M371)</f>
        <v>EUR25F6Y_Quote</v>
      </c>
      <c r="O371" s="164">
        <f>_xll.qlInterestRateIndexFixingDate(R371,_xll.qlRateHelperEarliestDate(M371,Trigger),)</f>
        <v>51217</v>
      </c>
      <c r="P371" s="191">
        <f>_xll.qlRateHelperQuoteValue(M371,_xll.ohTrigger(RecalcTrigger,YieldCurve))</f>
        <v>1.0540000000000001E-2</v>
      </c>
      <c r="Q371" s="194" t="str">
        <f t="shared" si="37"/>
        <v>6Y</v>
      </c>
      <c r="R371" s="194" t="str">
        <f>_xll.qlSwapIndex(,"Euribor",Q371,NDays,Currency,Calendar,"1Y","mf","30/360 (Bond Basis)",IborIndex,Discounting,,_xll.ohTrigger(Trigger,RecalcTrigger))</f>
        <v>obj_009a5#0001</v>
      </c>
      <c r="S371" s="194" t="str">
        <f>_xll.qlVanillaSwapFromSwapIndex(,R371,O371)</f>
        <v>obj_00b28#0001</v>
      </c>
      <c r="T371" s="181">
        <f>_xll.qlVanillaSwapFairRate(S371)</f>
        <v>1.0519579463367918E-2</v>
      </c>
      <c r="U371" s="290">
        <f t="shared" si="34"/>
        <v>-2.0420536632082681E-5</v>
      </c>
      <c r="X371" s="176" t="str">
        <f t="shared" si="35"/>
        <v>1D</v>
      </c>
      <c r="Y371" s="164">
        <f>_xll.qlCalendarAdvance(Calendar,Y370,X371,"f",FALSE)</f>
        <v>42586</v>
      </c>
      <c r="Z371" s="188">
        <f>_xll.qlCalendarAdvance(Calendar,Y371,NDays&amp;"D")</f>
        <v>42590</v>
      </c>
      <c r="AA371" s="163">
        <v>9.7897861490392479E-4</v>
      </c>
      <c r="AB371" s="172">
        <v>7.4362953155215905E-4</v>
      </c>
    </row>
    <row r="372" spans="13:28" x14ac:dyDescent="0.2">
      <c r="M372" s="293" t="str">
        <v>obj_00816#0001</v>
      </c>
      <c r="N372" s="176" t="str">
        <f>_xll.qlRateHelperQuoteName(M372)</f>
        <v>EUR25F7Y_Quote</v>
      </c>
      <c r="O372" s="164">
        <f>_xll.qlInterestRateIndexFixingDate(R372,_xll.qlRateHelperEarliestDate(M372,Trigger),)</f>
        <v>51217</v>
      </c>
      <c r="P372" s="191">
        <f>_xll.qlRateHelperQuoteValue(M372,_xll.ohTrigger(RecalcTrigger,YieldCurve))</f>
        <v>1.0509999999999999E-2</v>
      </c>
      <c r="Q372" s="194" t="str">
        <f t="shared" si="37"/>
        <v>7Y</v>
      </c>
      <c r="R372" s="194" t="str">
        <f>_xll.qlSwapIndex(,"Euribor",Q372,NDays,Currency,Calendar,"1Y","mf","30/360 (Bond Basis)",IborIndex,Discounting,,_xll.ohTrigger(Trigger,RecalcTrigger))</f>
        <v>obj_00938#0001</v>
      </c>
      <c r="S372" s="194" t="str">
        <f>_xll.qlVanillaSwapFromSwapIndex(,R372,O372)</f>
        <v>obj_00a80#0001</v>
      </c>
      <c r="T372" s="181">
        <f>_xll.qlVanillaSwapFairRate(S372)</f>
        <v>1.048943689505265E-2</v>
      </c>
      <c r="U372" s="290">
        <f t="shared" si="34"/>
        <v>-2.0563104947348906E-5</v>
      </c>
      <c r="X372" s="176" t="str">
        <f t="shared" si="35"/>
        <v>1D</v>
      </c>
      <c r="Y372" s="164">
        <f>_xll.qlCalendarAdvance(Calendar,Y371,X372,"f",FALSE)</f>
        <v>42587</v>
      </c>
      <c r="Z372" s="188">
        <f>_xll.qlCalendarAdvance(Calendar,Y372,NDays&amp;"D")</f>
        <v>42591</v>
      </c>
      <c r="AA372" s="163">
        <v>9.8064134961123556E-4</v>
      </c>
      <c r="AB372" s="172">
        <v>7.4691001367810372E-4</v>
      </c>
    </row>
    <row r="373" spans="13:28" x14ac:dyDescent="0.2">
      <c r="M373" s="293" t="str">
        <v>obj_00786#0001</v>
      </c>
      <c r="N373" s="176" t="str">
        <f>_xll.qlRateHelperQuoteName(M373)</f>
        <v>EUR25F8Y_Quote</v>
      </c>
      <c r="O373" s="164">
        <f>_xll.qlInterestRateIndexFixingDate(R373,_xll.qlRateHelperEarliestDate(M373,Trigger),)</f>
        <v>51217</v>
      </c>
      <c r="P373" s="191">
        <f>_xll.qlRateHelperQuoteValue(M373,_xll.ohTrigger(RecalcTrigger,YieldCurve))</f>
        <v>1.048E-2</v>
      </c>
      <c r="Q373" s="194" t="str">
        <f t="shared" si="37"/>
        <v>8Y</v>
      </c>
      <c r="R373" s="194" t="str">
        <f>_xll.qlSwapIndex(,"Euribor",Q373,NDays,Currency,Calendar,"1Y","mf","30/360 (Bond Basis)",IborIndex,Discounting,,_xll.ohTrigger(Trigger,RecalcTrigger))</f>
        <v>obj_0093e#0001</v>
      </c>
      <c r="S373" s="194" t="str">
        <f>_xll.qlVanillaSwapFromSwapIndex(,R373,O373)</f>
        <v>obj_00a19#0001</v>
      </c>
      <c r="T373" s="181">
        <f>_xll.qlVanillaSwapFairRate(S373)</f>
        <v>1.0461715402013926E-2</v>
      </c>
      <c r="U373" s="290">
        <f t="shared" si="34"/>
        <v>-1.8284597986074208E-5</v>
      </c>
      <c r="X373" s="176" t="str">
        <f t="shared" si="35"/>
        <v>1D</v>
      </c>
      <c r="Y373" s="164">
        <f>_xll.qlCalendarAdvance(Calendar,Y372,X373,"f",FALSE)</f>
        <v>42590</v>
      </c>
      <c r="Z373" s="188">
        <f>_xll.qlCalendarAdvance(Calendar,Y373,NDays&amp;"D")</f>
        <v>42592</v>
      </c>
      <c r="AA373" s="163">
        <v>9.8234282786126823E-4</v>
      </c>
      <c r="AB373" s="172">
        <v>7.5010922505391875E-4</v>
      </c>
    </row>
    <row r="374" spans="13:28" x14ac:dyDescent="0.2">
      <c r="M374" s="293" t="str">
        <v>obj_00883#0001</v>
      </c>
      <c r="N374" s="176" t="str">
        <f>_xll.qlRateHelperQuoteName(M374)</f>
        <v>EUR25F9Y_Quote</v>
      </c>
      <c r="O374" s="164">
        <f>_xll.qlInterestRateIndexFixingDate(R374,_xll.qlRateHelperEarliestDate(M374,Trigger),)</f>
        <v>51217</v>
      </c>
      <c r="P374" s="191">
        <f>_xll.qlRateHelperQuoteValue(M374,_xll.ohTrigger(RecalcTrigger,YieldCurve))</f>
        <v>1.0449999999999999E-2</v>
      </c>
      <c r="Q374" s="194" t="str">
        <f t="shared" si="37"/>
        <v>9Y</v>
      </c>
      <c r="R374" s="194" t="str">
        <f>_xll.qlSwapIndex(,"Euribor",Q374,NDays,Currency,Calendar,"1Y","mf","30/360 (Bond Basis)",IborIndex,Discounting,,_xll.ohTrigger(Trigger,RecalcTrigger))</f>
        <v>obj_00a03#0001</v>
      </c>
      <c r="S374" s="194" t="str">
        <f>_xll.qlVanillaSwapFromSwapIndex(,R374,O374)</f>
        <v>obj_00b4e#0001</v>
      </c>
      <c r="T374" s="181">
        <f>_xll.qlVanillaSwapFairRate(S374)</f>
        <v>1.0431251063802322E-2</v>
      </c>
      <c r="U374" s="290">
        <f t="shared" si="34"/>
        <v>-1.8748936197677396E-5</v>
      </c>
      <c r="X374" s="176" t="str">
        <f t="shared" si="35"/>
        <v>1D</v>
      </c>
      <c r="Y374" s="164">
        <f>_xll.qlCalendarAdvance(Calendar,Y373,X374,"f",FALSE)</f>
        <v>42591</v>
      </c>
      <c r="Z374" s="188">
        <f>_xll.qlCalendarAdvance(Calendar,Y374,NDays&amp;"D")</f>
        <v>42593</v>
      </c>
      <c r="AA374" s="163">
        <v>9.8517506895346948E-4</v>
      </c>
      <c r="AB374" s="172">
        <v>7.5322716543979595E-4</v>
      </c>
    </row>
    <row r="375" spans="13:28" x14ac:dyDescent="0.2">
      <c r="M375" s="293" t="str">
        <v>obj_0083a#0001</v>
      </c>
      <c r="N375" s="176" t="str">
        <f>_xll.qlRateHelperQuoteName(M375)</f>
        <v>EUR25F10Y_Quote</v>
      </c>
      <c r="O375" s="164">
        <f>_xll.qlInterestRateIndexFixingDate(R375,_xll.qlRateHelperEarliestDate(M375,Trigger),)</f>
        <v>51217</v>
      </c>
      <c r="P375" s="191">
        <f>_xll.qlRateHelperQuoteValue(M375,_xll.ohTrigger(RecalcTrigger,YieldCurve))</f>
        <v>1.042E-2</v>
      </c>
      <c r="Q375" s="194" t="str">
        <f t="shared" si="37"/>
        <v>10Y</v>
      </c>
      <c r="R375" s="194" t="str">
        <f>_xll.qlSwapIndex(,"Euribor",Q375,NDays,Currency,Calendar,"1Y","mf","30/360 (Bond Basis)",IborIndex,Discounting,,_xll.ohTrigger(Trigger,RecalcTrigger))</f>
        <v>obj_00929#0001</v>
      </c>
      <c r="S375" s="194" t="str">
        <f>_xll.qlVanillaSwapFromSwapIndex(,R375,O375)</f>
        <v>obj_00b62#0001</v>
      </c>
      <c r="T375" s="181">
        <f>_xll.qlVanillaSwapFairRate(S375)</f>
        <v>1.0402802249751097E-2</v>
      </c>
      <c r="U375" s="290">
        <f t="shared" si="34"/>
        <v>-1.7197750248902979E-5</v>
      </c>
      <c r="X375" s="176" t="str">
        <f t="shared" si="35"/>
        <v>1D</v>
      </c>
      <c r="Y375" s="164">
        <f>_xll.qlCalendarAdvance(Calendar,Y374,X375,"f",FALSE)</f>
        <v>42592</v>
      </c>
      <c r="Z375" s="188">
        <f>_xll.qlCalendarAdvance(Calendar,Y375,NDays&amp;"D")</f>
        <v>42594</v>
      </c>
      <c r="AA375" s="163">
        <v>9.8642677750643737E-4</v>
      </c>
      <c r="AB375" s="172">
        <v>7.5919374445732046E-4</v>
      </c>
    </row>
    <row r="376" spans="13:28" x14ac:dyDescent="0.2">
      <c r="M376" s="293" t="str">
        <v>obj_00840#0001</v>
      </c>
      <c r="N376" s="176" t="str">
        <f>_xll.qlRateHelperQuoteName(M376)</f>
        <v>EUR25F11Y_Quote</v>
      </c>
      <c r="O376" s="164">
        <f>_xll.qlInterestRateIndexFixingDate(R376,_xll.qlRateHelperEarliestDate(M376,Trigger),)</f>
        <v>51217</v>
      </c>
      <c r="P376" s="191">
        <f>_xll.qlRateHelperQuoteValue(M376,_xll.ohTrigger(RecalcTrigger,YieldCurve))</f>
        <v>1.04E-2</v>
      </c>
      <c r="Q376" s="194" t="str">
        <f t="shared" si="37"/>
        <v>11Y</v>
      </c>
      <c r="R376" s="194" t="str">
        <f>_xll.qlSwapIndex(,"Euribor",Q376,NDays,Currency,Calendar,"1Y","mf","30/360 (Bond Basis)",IborIndex,Discounting,,_xll.ohTrigger(Trigger,RecalcTrigger))</f>
        <v>obj_00927#0001</v>
      </c>
      <c r="S376" s="194" t="str">
        <f>_xll.qlVanillaSwapFromSwapIndex(,R376,O376)</f>
        <v>obj_00aab#0001</v>
      </c>
      <c r="T376" s="181">
        <f>_xll.qlVanillaSwapFairRate(S376)</f>
        <v>1.0375740611560843E-2</v>
      </c>
      <c r="U376" s="290">
        <f t="shared" si="34"/>
        <v>-2.4259388439156274E-5</v>
      </c>
      <c r="X376" s="176" t="str">
        <f t="shared" si="35"/>
        <v>1D</v>
      </c>
      <c r="Y376" s="164">
        <f>_xll.qlCalendarAdvance(Calendar,Y375,X376,"f",FALSE)</f>
        <v>42593</v>
      </c>
      <c r="Z376" s="188">
        <f>_xll.qlCalendarAdvance(Calendar,Y376,NDays&amp;"D")</f>
        <v>42597</v>
      </c>
      <c r="AA376" s="163">
        <v>9.9141689749999333E-4</v>
      </c>
      <c r="AB376" s="172">
        <v>7.6488621836290349E-4</v>
      </c>
    </row>
    <row r="377" spans="13:28" x14ac:dyDescent="0.2">
      <c r="M377" s="293" t="str">
        <v>obj_007ab#0001</v>
      </c>
      <c r="N377" s="176" t="str">
        <f>_xll.qlRateHelperQuoteName(M377)</f>
        <v>EUR25F12Y_Quote</v>
      </c>
      <c r="O377" s="164">
        <f>_xll.qlInterestRateIndexFixingDate(R377,_xll.qlRateHelperEarliestDate(M377,Trigger),)</f>
        <v>51217</v>
      </c>
      <c r="P377" s="191">
        <f>_xll.qlRateHelperQuoteValue(M377,_xll.ohTrigger(RecalcTrigger,YieldCurve))</f>
        <v>1.0369999999999999E-2</v>
      </c>
      <c r="Q377" s="194" t="str">
        <f t="shared" si="37"/>
        <v>12Y</v>
      </c>
      <c r="R377" s="194" t="str">
        <f>_xll.qlSwapIndex(,"Euribor",Q377,NDays,Currency,Calendar,"1Y","mf","30/360 (Bond Basis)",IborIndex,Discounting,,_xll.ohTrigger(Trigger,RecalcTrigger))</f>
        <v>obj_00910#0001</v>
      </c>
      <c r="S377" s="194" t="str">
        <f>_xll.qlVanillaSwapFromSwapIndex(,R377,O377)</f>
        <v>obj_00b50#0001</v>
      </c>
      <c r="T377" s="181">
        <f>_xll.qlVanillaSwapFairRate(S377)</f>
        <v>1.0344760631005491E-2</v>
      </c>
      <c r="U377" s="290">
        <f t="shared" si="34"/>
        <v>-2.5239368994508377E-5</v>
      </c>
      <c r="X377" s="176" t="str">
        <f t="shared" si="35"/>
        <v>1D</v>
      </c>
      <c r="Y377" s="164">
        <f>_xll.qlCalendarAdvance(Calendar,Y376,X377,"f",FALSE)</f>
        <v>42594</v>
      </c>
      <c r="Z377" s="188">
        <f>_xll.qlCalendarAdvance(Calendar,Y377,NDays&amp;"D")</f>
        <v>42598</v>
      </c>
      <c r="AA377" s="163">
        <v>9.9334215216438106E-4</v>
      </c>
      <c r="AB377" s="172">
        <v>7.6759780443858006E-4</v>
      </c>
    </row>
    <row r="378" spans="13:28" x14ac:dyDescent="0.2">
      <c r="M378" s="293" t="str">
        <v>obj_0076d#0001</v>
      </c>
      <c r="N378" s="176" t="str">
        <f>_xll.qlRateHelperQuoteName(M378)</f>
        <v>EUR25F13Y_Quote</v>
      </c>
      <c r="O378" s="164">
        <f>_xll.qlInterestRateIndexFixingDate(R378,_xll.qlRateHelperEarliestDate(M378,Trigger),)</f>
        <v>51217</v>
      </c>
      <c r="P378" s="191">
        <f>_xll.qlRateHelperQuoteValue(M378,_xll.ohTrigger(RecalcTrigger,YieldCurve))</f>
        <v>1.0320000000000001E-2</v>
      </c>
      <c r="Q378" s="194" t="str">
        <f t="shared" si="37"/>
        <v>13Y</v>
      </c>
      <c r="R378" s="194" t="str">
        <f>_xll.qlSwapIndex(,"Euribor",Q378,NDays,Currency,Calendar,"1Y","mf","30/360 (Bond Basis)",IborIndex,Discounting,,_xll.ohTrigger(Trigger,RecalcTrigger))</f>
        <v>obj_0094f#0001</v>
      </c>
      <c r="S378" s="194" t="str">
        <f>_xll.qlVanillaSwapFromSwapIndex(,R378,O378)</f>
        <v>obj_00ae2#0001</v>
      </c>
      <c r="T378" s="181">
        <f>_xll.qlVanillaSwapFairRate(S378)</f>
        <v>1.0298891594563622E-2</v>
      </c>
      <c r="U378" s="290">
        <f t="shared" si="34"/>
        <v>-2.1108405436379499E-5</v>
      </c>
      <c r="X378" s="176" t="str">
        <f t="shared" si="35"/>
        <v>1D</v>
      </c>
      <c r="Y378" s="164">
        <f>_xll.qlCalendarAdvance(Calendar,Y377,X378,"f",FALSE)</f>
        <v>42597</v>
      </c>
      <c r="Z378" s="188">
        <f>_xll.qlCalendarAdvance(Calendar,Y378,NDays&amp;"D")</f>
        <v>42599</v>
      </c>
      <c r="AA378" s="163">
        <v>9.9530325542981327E-4</v>
      </c>
      <c r="AB378" s="172">
        <v>7.702281195243188E-4</v>
      </c>
    </row>
    <row r="379" spans="13:28" x14ac:dyDescent="0.2">
      <c r="M379" s="293" t="str">
        <v>obj_00760#0001</v>
      </c>
      <c r="N379" s="176" t="str">
        <f>_xll.qlRateHelperQuoteName(M379)</f>
        <v>EUR25F14Y_Quote</v>
      </c>
      <c r="O379" s="164">
        <f>_xll.qlInterestRateIndexFixingDate(R379,_xll.qlRateHelperEarliestDate(M379,Trigger),)</f>
        <v>51217</v>
      </c>
      <c r="P379" s="191">
        <f>_xll.qlRateHelperQuoteValue(M379,_xll.ohTrigger(RecalcTrigger,YieldCurve))</f>
        <v>1.026E-2</v>
      </c>
      <c r="Q379" s="194" t="str">
        <f t="shared" si="37"/>
        <v>14Y</v>
      </c>
      <c r="R379" s="194" t="str">
        <f>_xll.qlSwapIndex(,"Euribor",Q379,NDays,Currency,Calendar,"1Y","mf","30/360 (Bond Basis)",IborIndex,Discounting,,_xll.ohTrigger(Trigger,RecalcTrigger))</f>
        <v>obj_0098a#0001</v>
      </c>
      <c r="S379" s="194" t="str">
        <f>_xll.qlVanillaSwapFromSwapIndex(,R379,O379)</f>
        <v>obj_00a95#0001</v>
      </c>
      <c r="T379" s="181">
        <f>_xll.qlVanillaSwapFairRate(S379)</f>
        <v>1.023610559771094E-2</v>
      </c>
      <c r="U379" s="290">
        <f t="shared" si="34"/>
        <v>-2.3894402289059702E-5</v>
      </c>
      <c r="X379" s="176" t="str">
        <f t="shared" si="35"/>
        <v>1D</v>
      </c>
      <c r="Y379" s="164">
        <f>_xll.qlCalendarAdvance(Calendar,Y378,X379,"f",FALSE)</f>
        <v>42598</v>
      </c>
      <c r="Z379" s="188">
        <f>_xll.qlCalendarAdvance(Calendar,Y379,NDays&amp;"D")</f>
        <v>42600</v>
      </c>
      <c r="AA379" s="163">
        <v>9.989567741279647E-4</v>
      </c>
      <c r="AB379" s="172">
        <v>7.727771638599279E-4</v>
      </c>
    </row>
    <row r="380" spans="13:28" x14ac:dyDescent="0.2">
      <c r="M380" s="293" t="str">
        <v>obj_00789#0001</v>
      </c>
      <c r="N380" s="176" t="str">
        <f>_xll.qlRateHelperQuoteName(M380)</f>
        <v>EUR25F15Y_Quote</v>
      </c>
      <c r="O380" s="164">
        <f>_xll.qlInterestRateIndexFixingDate(R380,_xll.qlRateHelperEarliestDate(M380,Trigger),)</f>
        <v>51217</v>
      </c>
      <c r="P380" s="191">
        <f>_xll.qlRateHelperQuoteValue(M380,_xll.ohTrigger(RecalcTrigger,YieldCurve))</f>
        <v>1.0169999999999998E-2</v>
      </c>
      <c r="Q380" s="194" t="str">
        <f t="shared" si="37"/>
        <v>15Y</v>
      </c>
      <c r="R380" s="194" t="str">
        <f>_xll.qlSwapIndex(,"Euribor",Q380,NDays,Currency,Calendar,"1Y","mf","30/360 (Bond Basis)",IborIndex,Discounting,,_xll.ohTrigger(Trigger,RecalcTrigger))</f>
        <v>obj_009a4#0001</v>
      </c>
      <c r="S380" s="194" t="str">
        <f>_xll.qlVanillaSwapFromSwapIndex(,R380,O380)</f>
        <v>obj_00b69#0001</v>
      </c>
      <c r="T380" s="181">
        <f>_xll.qlVanillaSwapFairRate(S380)</f>
        <v>1.0153138713073171E-2</v>
      </c>
      <c r="U380" s="290">
        <f t="shared" si="34"/>
        <v>-1.6861286926827743E-5</v>
      </c>
      <c r="X380" s="176" t="str">
        <f t="shared" si="35"/>
        <v>1D</v>
      </c>
      <c r="Y380" s="164">
        <f>_xll.qlCalendarAdvance(Calendar,Y379,X380,"f",FALSE)</f>
        <v>42599</v>
      </c>
      <c r="Z380" s="188">
        <f>_xll.qlCalendarAdvance(Calendar,Y380,NDays&amp;"D")</f>
        <v>42601</v>
      </c>
      <c r="AA380" s="163">
        <v>1.0001772196323365E-3</v>
      </c>
      <c r="AB380" s="172">
        <v>7.7760602895438069E-4</v>
      </c>
    </row>
    <row r="381" spans="13:28" x14ac:dyDescent="0.2">
      <c r="M381" s="293" t="str">
        <v>obj_0077a#0001</v>
      </c>
      <c r="N381" s="176" t="str">
        <f>_xll.qlRateHelperQuoteName(M381)</f>
        <v>EUR25F20Y_Quote</v>
      </c>
      <c r="O381" s="164">
        <f>_xll.qlInterestRateIndexFixingDate(R381,_xll.qlRateHelperEarliestDate(M381,Trigger),)</f>
        <v>51217</v>
      </c>
      <c r="P381" s="191">
        <f>_xll.qlRateHelperQuoteValue(M381,_xll.ohTrigger(RecalcTrigger,YieldCurve))</f>
        <v>9.5199999999999989E-3</v>
      </c>
      <c r="Q381" s="194" t="str">
        <f t="shared" si="37"/>
        <v>20Y</v>
      </c>
      <c r="R381" s="194" t="str">
        <f>_xll.qlSwapIndex(,"Euribor",Q381,NDays,Currency,Calendar,"1Y","mf","30/360 (Bond Basis)",IborIndex,Discounting,,_xll.ohTrigger(Trigger,RecalcTrigger))</f>
        <v>obj_009f4#0001</v>
      </c>
      <c r="S381" s="194" t="str">
        <f>_xll.qlVanillaSwapFromSwapIndex(,R381,O381)</f>
        <v>obj_00a85#0001</v>
      </c>
      <c r="T381" s="181">
        <f>_xll.qlVanillaSwapFairRate(S381)</f>
        <v>9.5421215240046407E-3</v>
      </c>
      <c r="U381" s="290">
        <f t="shared" si="34"/>
        <v>2.2121524004641707E-5</v>
      </c>
      <c r="X381" s="176" t="str">
        <f t="shared" si="35"/>
        <v>1D</v>
      </c>
      <c r="Y381" s="164">
        <f>_xll.qlCalendarAdvance(Calendar,Y380,X381,"f",FALSE)</f>
        <v>42600</v>
      </c>
      <c r="Z381" s="188">
        <f>_xll.qlCalendarAdvance(Calendar,Y381,NDays&amp;"D")</f>
        <v>42604</v>
      </c>
      <c r="AA381" s="163">
        <v>1.0056320261381017E-3</v>
      </c>
      <c r="AB381" s="172">
        <v>7.8216063186253848E-4</v>
      </c>
    </row>
    <row r="382" spans="13:28" x14ac:dyDescent="0.2">
      <c r="M382" s="293" t="str">
        <v>obj_0088e#0001</v>
      </c>
      <c r="N382" s="176" t="str">
        <f>_xll.qlRateHelperQuoteName(M382)</f>
        <v>EUR25F25Y_Quote</v>
      </c>
      <c r="O382" s="164">
        <f>_xll.qlInterestRateIndexFixingDate(R382,_xll.qlRateHelperEarliestDate(M382,Trigger),)</f>
        <v>51217</v>
      </c>
      <c r="P382" s="191">
        <f>_xll.qlRateHelperQuoteValue(M382,_xll.ohTrigger(RecalcTrigger,YieldCurve))</f>
        <v>9.0199999999999985E-3</v>
      </c>
      <c r="Q382" s="194" t="str">
        <f t="shared" si="37"/>
        <v>25Y</v>
      </c>
      <c r="R382" s="194" t="str">
        <f>_xll.qlSwapIndex(,"Euribor",Q382,NDays,Currency,Calendar,"1Y","mf","30/360 (Bond Basis)",IborIndex,Discounting,,_xll.ohTrigger(Trigger,RecalcTrigger))</f>
        <v>obj_00934#0001</v>
      </c>
      <c r="S382" s="194" t="str">
        <f>_xll.qlVanillaSwapFromSwapIndex(,R382,O382)</f>
        <v>obj_00b64#0001</v>
      </c>
      <c r="T382" s="181">
        <f>_xll.qlVanillaSwapFairRate(S382)</f>
        <v>8.9950703116899768E-3</v>
      </c>
      <c r="U382" s="290">
        <f t="shared" si="34"/>
        <v>-2.492968831002175E-5</v>
      </c>
      <c r="X382" s="176" t="str">
        <f t="shared" si="35"/>
        <v>1D</v>
      </c>
      <c r="Y382" s="164">
        <f>_xll.qlCalendarAdvance(Calendar,Y381,X382,"f",FALSE)</f>
        <v>42601</v>
      </c>
      <c r="Z382" s="188">
        <f>_xll.qlCalendarAdvance(Calendar,Y382,NDays&amp;"D")</f>
        <v>42605</v>
      </c>
      <c r="AA382" s="163">
        <v>1.0077995362312504E-3</v>
      </c>
      <c r="AB382" s="172">
        <v>7.8430332164813876E-4</v>
      </c>
    </row>
    <row r="383" spans="13:28" ht="12" thickBot="1" x14ac:dyDescent="0.25">
      <c r="M383" s="294" t="str">
        <v>obj_007b3#0001</v>
      </c>
      <c r="N383" s="177" t="str">
        <f>_xll.qlRateHelperQuoteName(M383)</f>
        <v>EUR25F30Y_Quote</v>
      </c>
      <c r="O383" s="174">
        <f>_xll.qlInterestRateIndexFixingDate(R383,_xll.qlRateHelperEarliestDate(M383,Trigger),)</f>
        <v>51217</v>
      </c>
      <c r="P383" s="192">
        <f>_xll.qlRateHelperQuoteValue(M383,_xll.ohTrigger(RecalcTrigger,YieldCurve))</f>
        <v>8.7500000000000008E-3</v>
      </c>
      <c r="Q383" s="195" t="str">
        <f t="shared" si="37"/>
        <v>30Y</v>
      </c>
      <c r="R383" s="195" t="str">
        <f>_xll.qlSwapIndex(,"Euribor",Q383,NDays,Currency,Calendar,"1Y","mf","30/360 (Bond Basis)",IborIndex,Discounting,,_xll.ohTrigger(Trigger,RecalcTrigger))</f>
        <v>obj_008cc#0002</v>
      </c>
      <c r="S383" s="195" t="str">
        <f>_xll.qlVanillaSwapFromSwapIndex(,R383,O383)</f>
        <v>obj_00b66#0001</v>
      </c>
      <c r="T383" s="183">
        <f>_xll.qlVanillaSwapFairRate(S383)</f>
        <v>8.7499999999999106E-3</v>
      </c>
      <c r="U383" s="291">
        <f t="shared" si="34"/>
        <v>-9.0205620750793969E-17</v>
      </c>
      <c r="X383" s="176" t="str">
        <f t="shared" si="35"/>
        <v>1D</v>
      </c>
      <c r="Y383" s="164">
        <f>_xll.qlCalendarAdvance(Calendar,Y382,X383,"f",FALSE)</f>
        <v>42604</v>
      </c>
      <c r="Z383" s="188">
        <f>_xll.qlCalendarAdvance(Calendar,Y383,NDays&amp;"D")</f>
        <v>42606</v>
      </c>
      <c r="AA383" s="163">
        <v>1.0099999999998396E-3</v>
      </c>
      <c r="AB383" s="172">
        <v>7.8644421950713195E-4</v>
      </c>
    </row>
    <row r="384" spans="13:28" x14ac:dyDescent="0.2">
      <c r="M384" s="295" t="str">
        <v>obj_00822#0001</v>
      </c>
      <c r="N384" s="279" t="str">
        <f>_xll.qlRateHelperQuoteName(M384)</f>
        <v>EUR30F1Y_Quote</v>
      </c>
      <c r="O384" s="276">
        <f>_xll.qlInterestRateIndexFixingDate(R384,_xll.qlRateHelperEarliestDate(M384,Trigger),)</f>
        <v>53043</v>
      </c>
      <c r="P384" s="277">
        <f>_xll.qlRateHelperQuoteValue(M384,_xll.ohTrigger(RecalcTrigger,YieldCurve))</f>
        <v>1.042E-2</v>
      </c>
      <c r="Q384" s="275" t="str">
        <f t="shared" ref="Q384:Q401" si="38">SUBSTITUTE(SUBSTITUTE(N384,"_Quote",""),"EUR30F","")</f>
        <v>1Y</v>
      </c>
      <c r="R384" s="275" t="str">
        <f>_xll.qlSwapIndex(,"Euribor",Q384,NDays,Currency,Calendar,"1Y","mf","30/360 (Bond Basis)",IborIndex,Discounting,,_xll.ohTrigger(Trigger,RecalcTrigger))</f>
        <v>obj_00905#0001</v>
      </c>
      <c r="S384" s="275" t="str">
        <f>_xll.qlVanillaSwapFromSwapIndex(,R384,O384)</f>
        <v>obj_00a52#0001</v>
      </c>
      <c r="T384" s="278">
        <f>_xll.qlVanillaSwapFairRate(S384)</f>
        <v>1.0385122352849031E-2</v>
      </c>
      <c r="U384" s="292">
        <f t="shared" si="34"/>
        <v>-3.4877647150969096E-5</v>
      </c>
      <c r="X384" s="176" t="str">
        <f t="shared" si="35"/>
        <v>1D</v>
      </c>
      <c r="Y384" s="164">
        <f>_xll.qlCalendarAdvance(Calendar,Y383,X384,"f",FALSE)</f>
        <v>42605</v>
      </c>
      <c r="Z384" s="188">
        <f>_xll.qlCalendarAdvance(Calendar,Y384,NDays&amp;"D")</f>
        <v>42607</v>
      </c>
      <c r="AA384" s="163">
        <v>1.0143529913632778E-3</v>
      </c>
      <c r="AB384" s="172">
        <v>7.8890124169284093E-4</v>
      </c>
    </row>
    <row r="385" spans="13:28" x14ac:dyDescent="0.2">
      <c r="M385" s="293" t="str">
        <v>obj_007b2#0001</v>
      </c>
      <c r="N385" s="176" t="str">
        <f>_xll.qlRateHelperQuoteName(M385)</f>
        <v>EUR30F2Y_Quote</v>
      </c>
      <c r="O385" s="164">
        <f>_xll.qlInterestRateIndexFixingDate(R385,_xll.qlRateHelperEarliestDate(M385,Trigger),)</f>
        <v>53043</v>
      </c>
      <c r="P385" s="191">
        <f>_xll.qlRateHelperQuoteValue(M385,_xll.ohTrigger(RecalcTrigger,YieldCurve))</f>
        <v>1.0369999999999999E-2</v>
      </c>
      <c r="Q385" s="194" t="str">
        <f t="shared" si="38"/>
        <v>2Y</v>
      </c>
      <c r="R385" s="194" t="str">
        <f>_xll.qlSwapIndex(,"Euribor",Q385,NDays,Currency,Calendar,"1Y","mf","30/360 (Bond Basis)",IborIndex,Discounting,,_xll.ohTrigger(Trigger,RecalcTrigger))</f>
        <v>obj_009ce#0001</v>
      </c>
      <c r="S385" s="194" t="str">
        <f>_xll.qlVanillaSwapFromSwapIndex(,R385,O385)</f>
        <v>obj_00b2e#0001</v>
      </c>
      <c r="T385" s="181">
        <f>_xll.qlVanillaSwapFairRate(S385)</f>
        <v>1.0344012494381471E-2</v>
      </c>
      <c r="U385" s="290">
        <f t="shared" si="34"/>
        <v>-2.5987505618527834E-5</v>
      </c>
      <c r="X385" s="176" t="str">
        <f t="shared" si="35"/>
        <v>1D</v>
      </c>
      <c r="Y385" s="164">
        <f>_xll.qlCalendarAdvance(Calendar,Y384,X385,"f",FALSE)</f>
        <v>42606</v>
      </c>
      <c r="Z385" s="188">
        <f>_xll.qlCalendarAdvance(Calendar,Y385,NDays&amp;"D")</f>
        <v>42608</v>
      </c>
      <c r="AA385" s="163">
        <v>1.0155694239585859E-3</v>
      </c>
      <c r="AB385" s="172">
        <v>7.9513572014633382E-4</v>
      </c>
    </row>
    <row r="386" spans="13:28" x14ac:dyDescent="0.2">
      <c r="M386" s="293" t="str">
        <v>obj_0084f#0001</v>
      </c>
      <c r="N386" s="176" t="str">
        <f>_xll.qlRateHelperQuoteName(M386)</f>
        <v>EUR30F3Y_Quote</v>
      </c>
      <c r="O386" s="164">
        <f>_xll.qlInterestRateIndexFixingDate(R386,_xll.qlRateHelperEarliestDate(M386,Trigger),)</f>
        <v>53043</v>
      </c>
      <c r="P386" s="191">
        <f>_xll.qlRateHelperQuoteValue(M386,_xll.ohTrigger(RecalcTrigger,YieldCurve))</f>
        <v>1.034E-2</v>
      </c>
      <c r="Q386" s="194" t="str">
        <f t="shared" si="38"/>
        <v>3Y</v>
      </c>
      <c r="R386" s="194" t="str">
        <f>_xll.qlSwapIndex(,"Euribor",Q386,NDays,Currency,Calendar,"1Y","mf","30/360 (Bond Basis)",IborIndex,Discounting,,_xll.ohTrigger(Trigger,RecalcTrigger))</f>
        <v>obj_00932#0001</v>
      </c>
      <c r="S386" s="194" t="str">
        <f>_xll.qlVanillaSwapFromSwapIndex(,R386,O386)</f>
        <v>obj_00aaf#0001</v>
      </c>
      <c r="T386" s="181">
        <f>_xll.qlVanillaSwapFairRate(S386)</f>
        <v>1.0316477978048034E-2</v>
      </c>
      <c r="U386" s="290">
        <f t="shared" si="34"/>
        <v>-2.3522021951966066E-5</v>
      </c>
      <c r="X386" s="176" t="str">
        <f t="shared" si="35"/>
        <v>1D</v>
      </c>
      <c r="Y386" s="164">
        <f>_xll.qlCalendarAdvance(Calendar,Y385,X386,"f",FALSE)</f>
        <v>42607</v>
      </c>
      <c r="Z386" s="188">
        <f>_xll.qlCalendarAdvance(Calendar,Y386,NDays&amp;"D")</f>
        <v>42611</v>
      </c>
      <c r="AA386" s="163">
        <v>1.0202984779205861E-3</v>
      </c>
      <c r="AB386" s="172">
        <v>8.0268536401639778E-4</v>
      </c>
    </row>
    <row r="387" spans="13:28" x14ac:dyDescent="0.2">
      <c r="M387" s="293" t="str">
        <v>obj_007e8#0001</v>
      </c>
      <c r="N387" s="176" t="str">
        <f>_xll.qlRateHelperQuoteName(M387)</f>
        <v>EUR30F4Y_Quote</v>
      </c>
      <c r="O387" s="164">
        <f>_xll.qlInterestRateIndexFixingDate(R387,_xll.qlRateHelperEarliestDate(M387,Trigger),)</f>
        <v>53043</v>
      </c>
      <c r="P387" s="191">
        <f>_xll.qlRateHelperQuoteValue(M387,_xll.ohTrigger(RecalcTrigger,YieldCurve))</f>
        <v>1.03E-2</v>
      </c>
      <c r="Q387" s="194" t="str">
        <f t="shared" si="38"/>
        <v>4Y</v>
      </c>
      <c r="R387" s="194" t="str">
        <f>_xll.qlSwapIndex(,"Euribor",Q387,NDays,Currency,Calendar,"1Y","mf","30/360 (Bond Basis)",IborIndex,Discounting,,_xll.ohTrigger(Trigger,RecalcTrigger))</f>
        <v>obj_0098b#0001</v>
      </c>
      <c r="S387" s="194" t="str">
        <f>_xll.qlVanillaSwapFromSwapIndex(,R387,O387)</f>
        <v>obj_00b5e#0001</v>
      </c>
      <c r="T387" s="181">
        <f>_xll.qlVanillaSwapFairRate(S387)</f>
        <v>1.0282032952446035E-2</v>
      </c>
      <c r="U387" s="290">
        <f t="shared" si="34"/>
        <v>-1.7967047553964915E-5</v>
      </c>
      <c r="X387" s="176" t="str">
        <f t="shared" si="35"/>
        <v>1D</v>
      </c>
      <c r="Y387" s="164">
        <f>_xll.qlCalendarAdvance(Calendar,Y386,X387,"f",FALSE)</f>
        <v>42608</v>
      </c>
      <c r="Z387" s="188">
        <f>_xll.qlCalendarAdvance(Calendar,Y387,NDays&amp;"D")</f>
        <v>42612</v>
      </c>
      <c r="AA387" s="163">
        <v>1.0214918767687659E-3</v>
      </c>
      <c r="AB387" s="172">
        <v>8.0712040307240329E-4</v>
      </c>
    </row>
    <row r="388" spans="13:28" x14ac:dyDescent="0.2">
      <c r="M388" s="293" t="str">
        <v>obj_00887#0001</v>
      </c>
      <c r="N388" s="176" t="str">
        <f>_xll.qlRateHelperQuoteName(M388)</f>
        <v>EUR30F5Y_Quote</v>
      </c>
      <c r="O388" s="164">
        <f>_xll.qlInterestRateIndexFixingDate(R388,_xll.qlRateHelperEarliestDate(M388,Trigger),)</f>
        <v>53043</v>
      </c>
      <c r="P388" s="191">
        <f>_xll.qlRateHelperQuoteValue(M388,_xll.ohTrigger(RecalcTrigger,YieldCurve))</f>
        <v>1.027E-2</v>
      </c>
      <c r="Q388" s="194" t="str">
        <f t="shared" si="38"/>
        <v>5Y</v>
      </c>
      <c r="R388" s="194" t="str">
        <f>_xll.qlSwapIndex(,"Euribor",Q388,NDays,Currency,Calendar,"1Y","mf","30/360 (Bond Basis)",IborIndex,Discounting,,_xll.ohTrigger(Trigger,RecalcTrigger))</f>
        <v>obj_00958#0001</v>
      </c>
      <c r="S388" s="194" t="str">
        <f>_xll.qlVanillaSwapFromSwapIndex(,R388,O388)</f>
        <v>obj_00a9b#0001</v>
      </c>
      <c r="T388" s="181">
        <f>_xll.qlVanillaSwapFairRate(S388)</f>
        <v>1.0253392549990316E-2</v>
      </c>
      <c r="U388" s="290">
        <f t="shared" si="34"/>
        <v>-1.660745000968411E-5</v>
      </c>
      <c r="X388" s="176" t="str">
        <f t="shared" si="35"/>
        <v>1D</v>
      </c>
      <c r="Y388" s="164">
        <f>_xll.qlCalendarAdvance(Calendar,Y387,X388,"f",FALSE)</f>
        <v>42611</v>
      </c>
      <c r="Z388" s="188">
        <f>_xll.qlCalendarAdvance(Calendar,Y388,NDays&amp;"D")</f>
        <v>42613</v>
      </c>
      <c r="AA388" s="163">
        <v>1.0226739567156422E-3</v>
      </c>
      <c r="AB388" s="172">
        <v>8.1195104551845532E-4</v>
      </c>
    </row>
    <row r="389" spans="13:28" x14ac:dyDescent="0.2">
      <c r="M389" s="293" t="str">
        <v>obj_0080f#0001</v>
      </c>
      <c r="N389" s="176" t="str">
        <f>_xll.qlRateHelperQuoteName(M389)</f>
        <v>EUR30F6Y_Quote</v>
      </c>
      <c r="O389" s="164">
        <f>_xll.qlInterestRateIndexFixingDate(R389,_xll.qlRateHelperEarliestDate(M389,Trigger),)</f>
        <v>53043</v>
      </c>
      <c r="P389" s="191">
        <f>_xll.qlRateHelperQuoteValue(M389,_xll.ohTrigger(RecalcTrigger,YieldCurve))</f>
        <v>1.0249999999999999E-2</v>
      </c>
      <c r="Q389" s="194" t="str">
        <f t="shared" si="38"/>
        <v>6Y</v>
      </c>
      <c r="R389" s="194" t="str">
        <f>_xll.qlSwapIndex(,"Euribor",Q389,NDays,Currency,Calendar,"1Y","mf","30/360 (Bond Basis)",IborIndex,Discounting,,_xll.ohTrigger(Trigger,RecalcTrigger))</f>
        <v>obj_00981#0001</v>
      </c>
      <c r="S389" s="194" t="str">
        <f>_xll.qlVanillaSwapFromSwapIndex(,R389,O389)</f>
        <v>obj_00a5c#0001</v>
      </c>
      <c r="T389" s="181">
        <f>_xll.qlVanillaSwapFairRate(S389)</f>
        <v>1.022675055105445E-2</v>
      </c>
      <c r="U389" s="290">
        <f t="shared" si="34"/>
        <v>-2.3249448945548631E-5</v>
      </c>
      <c r="X389" s="176" t="str">
        <f t="shared" si="35"/>
        <v>1D</v>
      </c>
      <c r="Y389" s="164">
        <f>_xll.qlCalendarAdvance(Calendar,Y388,X389,"f",FALSE)</f>
        <v>42612</v>
      </c>
      <c r="Z389" s="188">
        <f>_xll.qlCalendarAdvance(Calendar,Y389,NDays&amp;"D")</f>
        <v>42614</v>
      </c>
      <c r="AA389" s="163">
        <v>1.0249723377255752E-3</v>
      </c>
      <c r="AB389" s="172">
        <v>8.171772912746178E-4</v>
      </c>
    </row>
    <row r="390" spans="13:28" x14ac:dyDescent="0.2">
      <c r="M390" s="293" t="str">
        <v>obj_007e7#0001</v>
      </c>
      <c r="N390" s="176" t="str">
        <f>_xll.qlRateHelperQuoteName(M390)</f>
        <v>EUR30F7Y_Quote</v>
      </c>
      <c r="O390" s="164">
        <f>_xll.qlInterestRateIndexFixingDate(R390,_xll.qlRateHelperEarliestDate(M390,Trigger),)</f>
        <v>53043</v>
      </c>
      <c r="P390" s="191">
        <f>_xll.qlRateHelperQuoteValue(M390,_xll.ohTrigger(RecalcTrigger,YieldCurve))</f>
        <v>1.0209999999999999E-2</v>
      </c>
      <c r="Q390" s="194" t="str">
        <f t="shared" si="38"/>
        <v>7Y</v>
      </c>
      <c r="R390" s="194" t="str">
        <f>_xll.qlSwapIndex(,"Euribor",Q390,NDays,Currency,Calendar,"1Y","mf","30/360 (Bond Basis)",IborIndex,Discounting,,_xll.ohTrigger(Trigger,RecalcTrigger))</f>
        <v>obj_00980#0001</v>
      </c>
      <c r="S390" s="194" t="str">
        <f>_xll.qlVanillaSwapFromSwapIndex(,R390,O390)</f>
        <v>obj_00b31#0001</v>
      </c>
      <c r="T390" s="181">
        <f>_xll.qlVanillaSwapFairRate(S390)</f>
        <v>1.0192792358680525E-2</v>
      </c>
      <c r="U390" s="290">
        <f t="shared" si="34"/>
        <v>-1.7207641319473208E-5</v>
      </c>
      <c r="X390" s="176" t="str">
        <f t="shared" si="35"/>
        <v>1D</v>
      </c>
      <c r="Y390" s="164">
        <f>_xll.qlCalendarAdvance(Calendar,Y389,X390,"f",FALSE)</f>
        <v>42613</v>
      </c>
      <c r="Z390" s="188">
        <f>_xll.qlCalendarAdvance(Calendar,Y390,NDays&amp;"D")</f>
        <v>42615</v>
      </c>
      <c r="AA390" s="163">
        <v>1.0272822574877824E-3</v>
      </c>
      <c r="AB390" s="172">
        <v>8.2895036991992299E-4</v>
      </c>
    </row>
    <row r="391" spans="13:28" x14ac:dyDescent="0.2">
      <c r="M391" s="293" t="str">
        <v>obj_007eb#0001</v>
      </c>
      <c r="N391" s="176" t="str">
        <f>_xll.qlRateHelperQuoteName(M391)</f>
        <v>EUR30F8Y_Quote</v>
      </c>
      <c r="O391" s="164">
        <f>_xll.qlInterestRateIndexFixingDate(R391,_xll.qlRateHelperEarliestDate(M391,Trigger),)</f>
        <v>53043</v>
      </c>
      <c r="P391" s="191" t="e">
        <f>_xll.qlRateHelperQuoteValue(M391,_xll.ohTrigger(RecalcTrigger,YieldCurve))</f>
        <v>#NUM!</v>
      </c>
      <c r="Q391" s="194" t="str">
        <f t="shared" si="38"/>
        <v>8Y</v>
      </c>
      <c r="R391" s="194" t="str">
        <f>_xll.qlSwapIndex(,"Euribor",Q391,NDays,Currency,Calendar,"1Y","mf","30/360 (Bond Basis)",IborIndex,Discounting,,_xll.ohTrigger(Trigger,RecalcTrigger))</f>
        <v>obj_00914#0001</v>
      </c>
      <c r="S391" s="194" t="str">
        <f>_xll.qlVanillaSwapFromSwapIndex(,R391,O391)</f>
        <v>obj_00a9e#0001</v>
      </c>
      <c r="T391" s="181">
        <f>_xll.qlVanillaSwapFairRate(S391)</f>
        <v>1.0135092410031254E-2</v>
      </c>
      <c r="U391" s="290" t="e">
        <f t="shared" si="34"/>
        <v>#NUM!</v>
      </c>
      <c r="X391" s="176" t="str">
        <f t="shared" si="35"/>
        <v>1D</v>
      </c>
      <c r="Y391" s="164">
        <f>_xll.qlCalendarAdvance(Calendar,Y390,X391,"f",FALSE)</f>
        <v>42614</v>
      </c>
      <c r="Z391" s="188">
        <f>_xll.qlCalendarAdvance(Calendar,Y391,NDays&amp;"D")</f>
        <v>42618</v>
      </c>
      <c r="AA391" s="163">
        <v>1.035510917770679E-3</v>
      </c>
      <c r="AB391" s="172">
        <v>8.4203830931883772E-4</v>
      </c>
    </row>
    <row r="392" spans="13:28" x14ac:dyDescent="0.2">
      <c r="M392" s="293" t="str">
        <v>obj_00889#0001</v>
      </c>
      <c r="N392" s="176" t="str">
        <f>_xll.qlRateHelperQuoteName(M392)</f>
        <v>EUR30F9Y_Quote</v>
      </c>
      <c r="O392" s="164">
        <f>_xll.qlInterestRateIndexFixingDate(R392,_xll.qlRateHelperEarliestDate(M392,Trigger),)</f>
        <v>53043</v>
      </c>
      <c r="P392" s="191">
        <f>_xll.qlRateHelperQuoteValue(M392,_xll.ohTrigger(RecalcTrigger,YieldCurve))</f>
        <v>1.008E-2</v>
      </c>
      <c r="Q392" s="194" t="str">
        <f t="shared" si="38"/>
        <v>9Y</v>
      </c>
      <c r="R392" s="194" t="str">
        <f>_xll.qlSwapIndex(,"Euribor",Q392,NDays,Currency,Calendar,"1Y","mf","30/360 (Bond Basis)",IborIndex,Discounting,,_xll.ohTrigger(Trigger,RecalcTrigger))</f>
        <v>obj_00971#0001</v>
      </c>
      <c r="S392" s="194" t="str">
        <f>_xll.qlVanillaSwapFromSwapIndex(,R392,O392)</f>
        <v>obj_00a33#0001</v>
      </c>
      <c r="T392" s="181">
        <f>_xll.qlVanillaSwapFairRate(S392)</f>
        <v>1.0052742444243081E-2</v>
      </c>
      <c r="U392" s="290">
        <f t="shared" si="34"/>
        <v>-2.7257555756918933E-5</v>
      </c>
      <c r="X392" s="176" t="str">
        <f t="shared" si="35"/>
        <v>1D</v>
      </c>
      <c r="Y392" s="164">
        <f>_xll.qlCalendarAdvance(Calendar,Y391,X392,"f",FALSE)</f>
        <v>42615</v>
      </c>
      <c r="Z392" s="188">
        <f>_xll.qlCalendarAdvance(Calendar,Y392,NDays&amp;"D")</f>
        <v>42619</v>
      </c>
      <c r="AA392" s="163">
        <v>1.0365774026602384E-3</v>
      </c>
      <c r="AB392" s="172">
        <v>8.4924257250484914E-4</v>
      </c>
    </row>
    <row r="393" spans="13:28" x14ac:dyDescent="0.2">
      <c r="M393" s="293" t="str">
        <v>obj_007e9#0001</v>
      </c>
      <c r="N393" s="176" t="str">
        <f>_xll.qlRateHelperQuoteName(M393)</f>
        <v>EUR30F10Y_Quote</v>
      </c>
      <c r="O393" s="164">
        <f>_xll.qlInterestRateIndexFixingDate(R393,_xll.qlRateHelperEarliestDate(M393,Trigger),)</f>
        <v>53043</v>
      </c>
      <c r="P393" s="191">
        <f>_xll.qlRateHelperQuoteValue(M393,_xll.ohTrigger(RecalcTrigger,YieldCurve))</f>
        <v>9.9600000000000018E-3</v>
      </c>
      <c r="Q393" s="194" t="str">
        <f t="shared" si="38"/>
        <v>10Y</v>
      </c>
      <c r="R393" s="194" t="str">
        <f>_xll.qlSwapIndex(,"Euribor",Q393,NDays,Currency,Calendar,"1Y","mf","30/360 (Bond Basis)",IborIndex,Discounting,,_xll.ohTrigger(Trigger,RecalcTrigger))</f>
        <v>obj_008ca#0002</v>
      </c>
      <c r="S393" s="194" t="str">
        <f>_xll.qlVanillaSwapFromSwapIndex(,R393,O393)</f>
        <v>obj_00b1a#0001</v>
      </c>
      <c r="T393" s="181">
        <f>_xll.qlVanillaSwapFairRate(S393)</f>
        <v>9.9430473444000744E-3</v>
      </c>
      <c r="U393" s="290">
        <f t="shared" si="34"/>
        <v>-1.695265559992741E-5</v>
      </c>
      <c r="X393" s="176" t="str">
        <f t="shared" si="35"/>
        <v>1D</v>
      </c>
      <c r="Y393" s="164">
        <f>_xll.qlCalendarAdvance(Calendar,Y392,X393,"f",FALSE)</f>
        <v>42618</v>
      </c>
      <c r="Z393" s="188">
        <f>_xll.qlCalendarAdvance(Calendar,Y393,NDays&amp;"D")</f>
        <v>42620</v>
      </c>
      <c r="AA393" s="163">
        <v>1.0389000750147977E-3</v>
      </c>
      <c r="AB393" s="172">
        <v>8.5684243932071524E-4</v>
      </c>
    </row>
    <row r="394" spans="13:28" x14ac:dyDescent="0.2">
      <c r="M394" s="293" t="str">
        <v>obj_007d9#0001</v>
      </c>
      <c r="N394" s="176" t="str">
        <f>_xll.qlRateHelperQuoteName(M394)</f>
        <v>EUR30F11Y_Quote</v>
      </c>
      <c r="O394" s="164">
        <f>_xll.qlInterestRateIndexFixingDate(R394,_xll.qlRateHelperEarliestDate(M394,Trigger),)</f>
        <v>53043</v>
      </c>
      <c r="P394" s="191">
        <f>_xll.qlRateHelperQuoteValue(M394,_xll.ohTrigger(RecalcTrigger,YieldCurve))</f>
        <v>9.8200000000000006E-3</v>
      </c>
      <c r="Q394" s="194" t="str">
        <f t="shared" si="38"/>
        <v>11Y</v>
      </c>
      <c r="R394" s="194" t="str">
        <f>_xll.qlSwapIndex(,"Euribor",Q394,NDays,Currency,Calendar,"1Y","mf","30/360 (Bond Basis)",IborIndex,Discounting,,_xll.ohTrigger(Trigger,RecalcTrigger))</f>
        <v>obj_00962#0001</v>
      </c>
      <c r="S394" s="194" t="str">
        <f>_xll.qlVanillaSwapFromSwapIndex(,R394,O394)</f>
        <v>obj_00b4d#0001</v>
      </c>
      <c r="T394" s="181">
        <f>_xll.qlVanillaSwapFairRate(S394)</f>
        <v>9.808748510609205E-3</v>
      </c>
      <c r="U394" s="290">
        <f t="shared" si="34"/>
        <v>-1.1251489390795566E-5</v>
      </c>
      <c r="X394" s="176" t="str">
        <f t="shared" si="35"/>
        <v>1D</v>
      </c>
      <c r="Y394" s="164">
        <f>_xll.qlCalendarAdvance(Calendar,Y393,X394,"f",FALSE)</f>
        <v>42619</v>
      </c>
      <c r="Z394" s="188">
        <f>_xll.qlCalendarAdvance(Calendar,Y394,NDays&amp;"D")</f>
        <v>42621</v>
      </c>
      <c r="AA394" s="163">
        <v>1.0412163095564224E-3</v>
      </c>
      <c r="AB394" s="172">
        <v>8.6483790952662787E-4</v>
      </c>
    </row>
    <row r="395" spans="13:28" x14ac:dyDescent="0.2">
      <c r="M395" s="293" t="str">
        <v>obj_007bb#0001</v>
      </c>
      <c r="N395" s="176" t="str">
        <f>_xll.qlRateHelperQuoteName(M395)</f>
        <v>EUR30F12Y_Quote</v>
      </c>
      <c r="O395" s="164">
        <f>_xll.qlInterestRateIndexFixingDate(R395,_xll.qlRateHelperEarliestDate(M395,Trigger),)</f>
        <v>53043</v>
      </c>
      <c r="P395" s="191">
        <f>_xll.qlRateHelperQuoteValue(M395,_xll.ohTrigger(RecalcTrigger,YieldCurve))</f>
        <v>9.6500000000000006E-3</v>
      </c>
      <c r="Q395" s="194" t="str">
        <f t="shared" si="38"/>
        <v>12Y</v>
      </c>
      <c r="R395" s="194" t="str">
        <f>_xll.qlSwapIndex(,"Euribor",Q395,NDays,Currency,Calendar,"1Y","mf","30/360 (Bond Basis)",IborIndex,Discounting,,_xll.ohTrigger(Trigger,RecalcTrigger))</f>
        <v>obj_009e1#0001</v>
      </c>
      <c r="S395" s="194" t="str">
        <f>_xll.qlVanillaSwapFromSwapIndex(,R395,O395)</f>
        <v>obj_00b2d#0001</v>
      </c>
      <c r="T395" s="181">
        <f>_xll.qlVanillaSwapFairRate(S395)</f>
        <v>9.654748600956763E-3</v>
      </c>
      <c r="U395" s="290">
        <f t="shared" si="34"/>
        <v>4.7486009567623833E-6</v>
      </c>
      <c r="X395" s="176" t="str">
        <f t="shared" si="35"/>
        <v>1D</v>
      </c>
      <c r="Y395" s="164">
        <f>_xll.qlCalendarAdvance(Calendar,Y394,X395,"f",FALSE)</f>
        <v>42620</v>
      </c>
      <c r="Z395" s="188">
        <f>_xll.qlCalendarAdvance(Calendar,Y395,NDays&amp;"D")</f>
        <v>42622</v>
      </c>
      <c r="AA395" s="163">
        <v>1.0435231101425517E-3</v>
      </c>
      <c r="AB395" s="172">
        <v>8.8214969052202719E-4</v>
      </c>
    </row>
    <row r="396" spans="13:28" x14ac:dyDescent="0.2">
      <c r="M396" s="293" t="str">
        <v>obj_0084e#0001</v>
      </c>
      <c r="N396" s="176" t="str">
        <f>_xll.qlRateHelperQuoteName(M396)</f>
        <v>EUR30F13Y_Quote</v>
      </c>
      <c r="O396" s="164">
        <f>_xll.qlInterestRateIndexFixingDate(R396,_xll.qlRateHelperEarliestDate(M396,Trigger),)</f>
        <v>53043</v>
      </c>
      <c r="P396" s="191">
        <f>_xll.qlRateHelperQuoteValue(M396,_xll.ohTrigger(RecalcTrigger,YieldCurve))</f>
        <v>9.470000000000001E-3</v>
      </c>
      <c r="Q396" s="194" t="str">
        <f t="shared" si="38"/>
        <v>13Y</v>
      </c>
      <c r="R396" s="194" t="str">
        <f>_xll.qlSwapIndex(,"Euribor",Q396,NDays,Currency,Calendar,"1Y","mf","30/360 (Bond Basis)",IborIndex,Discounting,,_xll.ohTrigger(Trigger,RecalcTrigger))</f>
        <v>obj_00903#0001</v>
      </c>
      <c r="S396" s="194" t="str">
        <f>_xll.qlVanillaSwapFromSwapIndex(,R396,O396)</f>
        <v>obj_00a7f#0001</v>
      </c>
      <c r="T396" s="181">
        <f>_xll.qlVanillaSwapFairRate(S396)</f>
        <v>9.4945941749185903E-3</v>
      </c>
      <c r="U396" s="290">
        <f t="shared" si="34"/>
        <v>2.459417491858934E-5</v>
      </c>
      <c r="X396" s="176" t="str">
        <f t="shared" si="35"/>
        <v>1D</v>
      </c>
      <c r="Y396" s="164">
        <f>_xll.qlCalendarAdvance(Calendar,Y395,X396,"f",FALSE)</f>
        <v>42621</v>
      </c>
      <c r="Z396" s="188">
        <f>_xll.qlCalendarAdvance(Calendar,Y396,NDays&amp;"D")</f>
        <v>42625</v>
      </c>
      <c r="AA396" s="163">
        <v>1.0517644918362301E-3</v>
      </c>
      <c r="AB396" s="172">
        <v>9.0077582712844162E-4</v>
      </c>
    </row>
    <row r="397" spans="13:28" x14ac:dyDescent="0.2">
      <c r="M397" s="293" t="str">
        <v>obj_00792#0001</v>
      </c>
      <c r="N397" s="176" t="str">
        <f>_xll.qlRateHelperQuoteName(M397)</f>
        <v>EUR30F14Y_Quote</v>
      </c>
      <c r="O397" s="164">
        <f>_xll.qlInterestRateIndexFixingDate(R397,_xll.qlRateHelperEarliestDate(M397,Trigger),)</f>
        <v>53043</v>
      </c>
      <c r="P397" s="191">
        <f>_xll.qlRateHelperQuoteValue(M397,_xll.ohTrigger(RecalcTrigger,YieldCurve))</f>
        <v>9.300000000000001E-3</v>
      </c>
      <c r="Q397" s="194" t="str">
        <f t="shared" si="38"/>
        <v>14Y</v>
      </c>
      <c r="R397" s="194" t="str">
        <f>_xll.qlSwapIndex(,"Euribor",Q397,NDays,Currency,Calendar,"1Y","mf","30/360 (Bond Basis)",IborIndex,Discounting,,_xll.ohTrigger(Trigger,RecalcTrigger))</f>
        <v>obj_009fd#0001</v>
      </c>
      <c r="S397" s="194" t="str">
        <f>_xll.qlVanillaSwapFromSwapIndex(,R397,O397)</f>
        <v>obj_00b1f#0001</v>
      </c>
      <c r="T397" s="181">
        <f>_xll.qlVanillaSwapFairRate(S397)</f>
        <v>9.3333637153460505E-3</v>
      </c>
      <c r="U397" s="290">
        <f t="shared" si="34"/>
        <v>3.3363715346049552E-5</v>
      </c>
      <c r="X397" s="176" t="str">
        <f t="shared" si="35"/>
        <v>1D</v>
      </c>
      <c r="Y397" s="164">
        <f>_xll.qlCalendarAdvance(Calendar,Y396,X397,"f",FALSE)</f>
        <v>42622</v>
      </c>
      <c r="Z397" s="188">
        <f>_xll.qlCalendarAdvance(Calendar,Y397,NDays&amp;"D")</f>
        <v>42626</v>
      </c>
      <c r="AA397" s="163">
        <v>1.052596049595548E-3</v>
      </c>
      <c r="AB397" s="172">
        <v>9.1074931572343587E-4</v>
      </c>
    </row>
    <row r="398" spans="13:28" x14ac:dyDescent="0.2">
      <c r="M398" s="293" t="str">
        <v>obj_0074d#0001</v>
      </c>
      <c r="N398" s="176" t="str">
        <f>_xll.qlRateHelperQuoteName(M398)</f>
        <v>EUR30F15Y_Quote</v>
      </c>
      <c r="O398" s="164">
        <f>_xll.qlInterestRateIndexFixingDate(R398,_xll.qlRateHelperEarliestDate(M398,Trigger),)</f>
        <v>53043</v>
      </c>
      <c r="P398" s="191">
        <f>_xll.qlRateHelperQuoteValue(M398,_xll.ohTrigger(RecalcTrigger,YieldCurve))</f>
        <v>9.1400000000000006E-3</v>
      </c>
      <c r="Q398" s="194" t="str">
        <f t="shared" si="38"/>
        <v>15Y</v>
      </c>
      <c r="R398" s="194" t="str">
        <f>_xll.qlSwapIndex(,"Euribor",Q398,NDays,Currency,Calendar,"1Y","mf","30/360 (Bond Basis)",IborIndex,Discounting,,_xll.ohTrigger(Trigger,RecalcTrigger))</f>
        <v>obj_00964#0001</v>
      </c>
      <c r="S398" s="194" t="str">
        <f>_xll.qlVanillaSwapFromSwapIndex(,R398,O398)</f>
        <v>obj_00ab2#0001</v>
      </c>
      <c r="T398" s="181">
        <f>_xll.qlVanillaSwapFairRate(S398)</f>
        <v>9.1764306499991528E-3</v>
      </c>
      <c r="U398" s="290">
        <f t="shared" si="34"/>
        <v>3.6430649999152215E-5</v>
      </c>
      <c r="X398" s="176" t="str">
        <f t="shared" si="35"/>
        <v>1D</v>
      </c>
      <c r="Y398" s="164">
        <f>_xll.qlCalendarAdvance(Calendar,Y397,X398,"f",FALSE)</f>
        <v>42625</v>
      </c>
      <c r="Z398" s="188">
        <f>_xll.qlCalendarAdvance(Calendar,Y398,NDays&amp;"D")</f>
        <v>42627</v>
      </c>
      <c r="AA398" s="163">
        <v>1.0548107377844097E-3</v>
      </c>
      <c r="AB398" s="172">
        <v>9.2111840810815693E-4</v>
      </c>
    </row>
    <row r="399" spans="13:28" x14ac:dyDescent="0.2">
      <c r="M399" s="293" t="str">
        <v>obj_00825#0001</v>
      </c>
      <c r="N399" s="176" t="str">
        <f>_xll.qlRateHelperQuoteName(M399)</f>
        <v>EUR30F20Y_Quote</v>
      </c>
      <c r="O399" s="164">
        <f>_xll.qlInterestRateIndexFixingDate(R399,_xll.qlRateHelperEarliestDate(M399,Trigger),)</f>
        <v>53043</v>
      </c>
      <c r="P399" s="191">
        <f>_xll.qlRateHelperQuoteValue(M399,_xll.ohTrigger(RecalcTrigger,YieldCurve))</f>
        <v>8.5799999999999991E-3</v>
      </c>
      <c r="Q399" s="194" t="str">
        <f t="shared" si="38"/>
        <v>20Y</v>
      </c>
      <c r="R399" s="194" t="str">
        <f>_xll.qlSwapIndex(,"Euribor",Q399,NDays,Currency,Calendar,"1Y","mf","30/360 (Bond Basis)",IborIndex,Discounting,,_xll.ohTrigger(Trigger,RecalcTrigger))</f>
        <v>obj_0090a#0001</v>
      </c>
      <c r="S399" s="194" t="str">
        <f>_xll.qlVanillaSwapFromSwapIndex(,R399,O399)</f>
        <v>obj_00af7#0001</v>
      </c>
      <c r="T399" s="181">
        <f>_xll.qlVanillaSwapFairRate(S399)</f>
        <v>8.5630596678739537E-3</v>
      </c>
      <c r="U399" s="290">
        <f t="shared" ref="U399:U400" si="39">T399-P399</f>
        <v>-1.6940332126045426E-5</v>
      </c>
      <c r="X399" s="176" t="str">
        <f t="shared" si="35"/>
        <v>1D</v>
      </c>
      <c r="Y399" s="164">
        <f>_xll.qlCalendarAdvance(Calendar,Y398,X399,"f",FALSE)</f>
        <v>42626</v>
      </c>
      <c r="Z399" s="188">
        <f>_xll.qlCalendarAdvance(Calendar,Y399,NDays&amp;"D")</f>
        <v>42628</v>
      </c>
      <c r="AA399" s="163">
        <v>1.0569980148788826E-3</v>
      </c>
      <c r="AB399" s="172">
        <v>9.3188310420266873E-4</v>
      </c>
    </row>
    <row r="400" spans="13:28" x14ac:dyDescent="0.2">
      <c r="M400" s="293" t="str">
        <v>obj_007f9#0001</v>
      </c>
      <c r="N400" s="176" t="str">
        <f>_xll.qlRateHelperQuoteName(M400)</f>
        <v>EUR30F25Y_Quote</v>
      </c>
      <c r="O400" s="164">
        <f>_xll.qlInterestRateIndexFixingDate(R400,_xll.qlRateHelperEarliestDate(M400,Trigger),)</f>
        <v>53043</v>
      </c>
      <c r="P400" s="191">
        <f>_xll.qlRateHelperQuoteValue(M400,_xll.ohTrigger(RecalcTrigger,YieldCurve))</f>
        <v>8.3400000000000002E-3</v>
      </c>
      <c r="Q400" s="194" t="str">
        <f t="shared" si="38"/>
        <v>25Y</v>
      </c>
      <c r="R400" s="194" t="str">
        <f>_xll.qlSwapIndex(,"Euribor",Q400,NDays,Currency,Calendar,"1Y","mf","30/360 (Bond Basis)",IborIndex,Discounting,,_xll.ohTrigger(Trigger,RecalcTrigger))</f>
        <v>obj_0091f#0001</v>
      </c>
      <c r="S400" s="194" t="str">
        <f>_xll.qlVanillaSwapFromSwapIndex(,R400,O400)</f>
        <v>obj_00aee#0001</v>
      </c>
      <c r="T400" s="181">
        <f>_xll.qlVanillaSwapFairRate(S400)</f>
        <v>8.3424955428588101E-3</v>
      </c>
      <c r="U400" s="290">
        <f t="shared" si="39"/>
        <v>2.4955428588099154E-6</v>
      </c>
      <c r="X400" s="176" t="str">
        <f t="shared" si="35"/>
        <v>1D</v>
      </c>
      <c r="Y400" s="164">
        <f>_xll.qlCalendarAdvance(Calendar,Y399,X400,"f",FALSE)</f>
        <v>42627</v>
      </c>
      <c r="Z400" s="188">
        <f>_xll.qlCalendarAdvance(Calendar,Y400,NDays&amp;"D")</f>
        <v>42629</v>
      </c>
      <c r="AA400" s="163">
        <v>1.0591548846441044E-3</v>
      </c>
      <c r="AB400" s="172">
        <v>9.5473370771870236E-4</v>
      </c>
    </row>
    <row r="401" spans="13:28" ht="12" thickBot="1" x14ac:dyDescent="0.25">
      <c r="M401" s="294" t="str">
        <v>obj_00815#0001</v>
      </c>
      <c r="N401" s="177" t="str">
        <f>_xll.qlRateHelperQuoteName(M401)</f>
        <v>EUR30F30Y_Quote</v>
      </c>
      <c r="O401" s="174">
        <f>_xll.qlInterestRateIndexFixingDate(R401,_xll.qlRateHelperEarliestDate(M401,Trigger),)</f>
        <v>53043</v>
      </c>
      <c r="P401" s="192">
        <f>_xll.qlRateHelperQuoteValue(M401,_xll.ohTrigger(RecalcTrigger,YieldCurve))</f>
        <v>8.3000000000000001E-3</v>
      </c>
      <c r="Q401" s="195" t="str">
        <f t="shared" si="38"/>
        <v>30Y</v>
      </c>
      <c r="R401" s="195" t="str">
        <f>_xll.qlSwapIndex(,"Euribor",Q401,NDays,Currency,Calendar,"1Y","mf","30/360 (Bond Basis)",IborIndex,Discounting,,_xll.ohTrigger(Trigger,RecalcTrigger))</f>
        <v>obj_009ef#0001</v>
      </c>
      <c r="S401" s="195" t="str">
        <f>_xll.qlVanillaSwapFromSwapIndex(,R401,O401)</f>
        <v>obj_00b0f#0001</v>
      </c>
      <c r="T401" s="183">
        <f>_xll.qlVanillaSwapFairRate(S401)</f>
        <v>8.2824314672642861E-3</v>
      </c>
      <c r="U401" s="291">
        <f>T401-P401</f>
        <v>-1.7568532735713974E-5</v>
      </c>
      <c r="X401" s="176" t="str">
        <f t="shared" si="35"/>
        <v>1D</v>
      </c>
      <c r="Y401" s="164">
        <f>_xll.qlCalendarAdvance(Calendar,Y400,X401,"f",FALSE)</f>
        <v>42628</v>
      </c>
      <c r="Z401" s="188">
        <f>_xll.qlCalendarAdvance(Calendar,Y401,NDays&amp;"D")</f>
        <v>42632</v>
      </c>
      <c r="AA401" s="163">
        <v>1.0669348758261246E-3</v>
      </c>
      <c r="AB401" s="172">
        <v>9.7889792719740853E-4</v>
      </c>
    </row>
    <row r="402" spans="13:28" x14ac:dyDescent="0.2">
      <c r="X402" s="176" t="str">
        <f t="shared" si="35"/>
        <v>1D</v>
      </c>
      <c r="Y402" s="164">
        <f>_xll.qlCalendarAdvance(Calendar,Y401,X402,"f",FALSE)</f>
        <v>42629</v>
      </c>
      <c r="Z402" s="188">
        <f>_xll.qlCalendarAdvance(Calendar,Y402,NDays&amp;"D")</f>
        <v>42633</v>
      </c>
      <c r="AA402" s="163">
        <v>1.0674183653252662E-3</v>
      </c>
      <c r="AB402" s="172">
        <v>9.9164064280010678E-4</v>
      </c>
    </row>
    <row r="403" spans="13:28" x14ac:dyDescent="0.2">
      <c r="X403" s="176" t="str">
        <f t="shared" si="35"/>
        <v>1D</v>
      </c>
      <c r="Y403" s="164">
        <f>_xll.qlCalendarAdvance(Calendar,Y402,X403,"f",FALSE)</f>
        <v>42632</v>
      </c>
      <c r="Z403" s="188">
        <f>_xll.qlCalendarAdvance(Calendar,Y403,NDays&amp;"D")</f>
        <v>42634</v>
      </c>
      <c r="AA403" s="163">
        <v>1.0693782545370724E-3</v>
      </c>
      <c r="AB403" s="172">
        <v>1.0047789623524039E-3</v>
      </c>
    </row>
    <row r="404" spans="13:28" x14ac:dyDescent="0.2">
      <c r="X404" s="176" t="str">
        <f t="shared" si="35"/>
        <v>1D</v>
      </c>
      <c r="Y404" s="164">
        <f>_xll.qlCalendarAdvance(Calendar,Y403,X404,"f",FALSE)</f>
        <v>42633</v>
      </c>
      <c r="Z404" s="188">
        <f>_xll.qlCalendarAdvance(Calendar,Y404,NDays&amp;"D")</f>
        <v>42635</v>
      </c>
      <c r="AA404" s="163">
        <v>1.0712897587865436E-3</v>
      </c>
      <c r="AB404" s="172">
        <v>1.0183128859342361E-3</v>
      </c>
    </row>
    <row r="405" spans="13:28" x14ac:dyDescent="0.2">
      <c r="X405" s="176" t="str">
        <f t="shared" ref="X405:X468" si="40">X404</f>
        <v>1D</v>
      </c>
      <c r="Y405" s="164">
        <f>_xll.qlCalendarAdvance(Calendar,Y404,X405,"f",FALSE)</f>
        <v>42634</v>
      </c>
      <c r="Z405" s="188">
        <f>_xll.qlCalendarAdvance(Calendar,Y405,NDays&amp;"D")</f>
        <v>42636</v>
      </c>
      <c r="AA405" s="163">
        <v>1.0731498817699221E-3</v>
      </c>
      <c r="AB405" s="172">
        <v>1.0467024567351046E-3</v>
      </c>
    </row>
    <row r="406" spans="13:28" x14ac:dyDescent="0.2">
      <c r="X406" s="176" t="str">
        <f t="shared" si="40"/>
        <v>1D</v>
      </c>
      <c r="Y406" s="164">
        <f>_xll.qlCalendarAdvance(Calendar,Y405,X406,"f",FALSE)</f>
        <v>42635</v>
      </c>
      <c r="Z406" s="188">
        <f>_xll.qlCalendarAdvance(Calendar,Y406,NDays&amp;"D")</f>
        <v>42639</v>
      </c>
      <c r="AA406" s="163">
        <v>1.0799999999998723E-3</v>
      </c>
      <c r="AB406" s="172">
        <v>1.0761900069500285E-3</v>
      </c>
    </row>
    <row r="407" spans="13:28" x14ac:dyDescent="0.2">
      <c r="X407" s="176" t="str">
        <f t="shared" si="40"/>
        <v>1D</v>
      </c>
      <c r="Y407" s="164">
        <f>_xll.qlCalendarAdvance(Calendar,Y406,X407,"f",FALSE)</f>
        <v>42636</v>
      </c>
      <c r="Z407" s="188">
        <f>_xll.qlCalendarAdvance(Calendar,Y407,NDays&amp;"D")</f>
        <v>42640</v>
      </c>
      <c r="AA407" s="163">
        <v>1.0800178210621158E-3</v>
      </c>
      <c r="AB407" s="172">
        <v>1.0904142610446144E-3</v>
      </c>
    </row>
    <row r="408" spans="13:28" x14ac:dyDescent="0.2">
      <c r="X408" s="176" t="str">
        <f t="shared" si="40"/>
        <v>1D</v>
      </c>
      <c r="Y408" s="164">
        <f>_xll.qlCalendarAdvance(Calendar,Y407,X408,"f",FALSE)</f>
        <v>42639</v>
      </c>
      <c r="Z408" s="188">
        <f>_xll.qlCalendarAdvance(Calendar,Y408,NDays&amp;"D")</f>
        <v>42641</v>
      </c>
      <c r="AA408" s="163">
        <v>1.0815845349871189E-3</v>
      </c>
      <c r="AB408" s="172">
        <v>1.1037464288143894E-3</v>
      </c>
    </row>
    <row r="409" spans="13:28" x14ac:dyDescent="0.2">
      <c r="X409" s="176" t="str">
        <f t="shared" si="40"/>
        <v>1D</v>
      </c>
      <c r="Y409" s="164">
        <f>_xll.qlCalendarAdvance(Calendar,Y408,X409,"f",FALSE)</f>
        <v>42640</v>
      </c>
      <c r="Z409" s="188">
        <f>_xll.qlCalendarAdvance(Calendar,Y409,NDays&amp;"D")</f>
        <v>42642</v>
      </c>
      <c r="AA409" s="163">
        <v>1.0830969513511992E-3</v>
      </c>
      <c r="AB409" s="172">
        <v>1.1161865101794177E-3</v>
      </c>
    </row>
    <row r="410" spans="13:28" x14ac:dyDescent="0.2">
      <c r="X410" s="176" t="str">
        <f t="shared" si="40"/>
        <v>1D</v>
      </c>
      <c r="Y410" s="164">
        <f>_xll.qlCalendarAdvance(Calendar,Y409,X410,"f",FALSE)</f>
        <v>42641</v>
      </c>
      <c r="Z410" s="188">
        <f>_xll.qlCalendarAdvance(Calendar,Y410,NDays&amp;"D")</f>
        <v>42643</v>
      </c>
      <c r="AA410" s="163">
        <v>1.0862114909812196E-3</v>
      </c>
      <c r="AB410" s="172">
        <v>1.1380966489227262E-3</v>
      </c>
    </row>
    <row r="411" spans="13:28" x14ac:dyDescent="0.2">
      <c r="X411" s="176" t="str">
        <f t="shared" si="40"/>
        <v>1D</v>
      </c>
      <c r="Y411" s="164">
        <f>_xll.qlCalendarAdvance(Calendar,Y410,X411,"f",FALSE)</f>
        <v>42642</v>
      </c>
      <c r="Z411" s="188">
        <f>_xll.qlCalendarAdvance(Calendar,Y411,NDays&amp;"D")</f>
        <v>42646</v>
      </c>
      <c r="AA411" s="163">
        <v>1.0903893828756389E-3</v>
      </c>
      <c r="AB411" s="172">
        <v>1.1570259697535334E-3</v>
      </c>
    </row>
    <row r="412" spans="13:28" x14ac:dyDescent="0.2">
      <c r="X412" s="176" t="str">
        <f t="shared" si="40"/>
        <v>1D</v>
      </c>
      <c r="Y412" s="164">
        <f>_xll.qlCalendarAdvance(Calendar,Y411,X412,"f",FALSE)</f>
        <v>42643</v>
      </c>
      <c r="Z412" s="188">
        <f>_xll.qlCalendarAdvance(Calendar,Y412,NDays&amp;"D")</f>
        <v>42647</v>
      </c>
      <c r="AA412" s="163">
        <v>1.0917166868737785E-3</v>
      </c>
      <c r="AB412" s="172">
        <v>1.1650056178158508E-3</v>
      </c>
    </row>
    <row r="413" spans="13:28" x14ac:dyDescent="0.2">
      <c r="X413" s="176" t="str">
        <f t="shared" si="40"/>
        <v>1D</v>
      </c>
      <c r="Y413" s="164">
        <f>_xll.qlCalendarAdvance(Calendar,Y412,X413,"f",FALSE)</f>
        <v>42646</v>
      </c>
      <c r="Z413" s="188">
        <f>_xll.qlCalendarAdvance(Calendar,Y413,NDays&amp;"D")</f>
        <v>42648</v>
      </c>
      <c r="AA413" s="163">
        <v>1.0930195277054804E-3</v>
      </c>
      <c r="AB413" s="172">
        <v>1.1720931789938049E-3</v>
      </c>
    </row>
    <row r="414" spans="13:28" x14ac:dyDescent="0.2">
      <c r="X414" s="176" t="str">
        <f t="shared" si="40"/>
        <v>1D</v>
      </c>
      <c r="Y414" s="164">
        <f>_xll.qlCalendarAdvance(Calendar,Y413,X414,"f",FALSE)</f>
        <v>42647</v>
      </c>
      <c r="Z414" s="188">
        <f>_xll.qlCalendarAdvance(Calendar,Y414,NDays&amp;"D")</f>
        <v>42649</v>
      </c>
      <c r="AA414" s="163">
        <v>1.0943028254816569E-3</v>
      </c>
      <c r="AB414" s="172">
        <v>1.178288653287396E-3</v>
      </c>
    </row>
    <row r="415" spans="13:28" x14ac:dyDescent="0.2">
      <c r="X415" s="176" t="str">
        <f t="shared" si="40"/>
        <v>1D</v>
      </c>
      <c r="Y415" s="164">
        <f>_xll.qlCalendarAdvance(Calendar,Y414,X415,"f",FALSE)</f>
        <v>42648</v>
      </c>
      <c r="Z415" s="188">
        <f>_xll.qlCalendarAdvance(Calendar,Y415,NDays&amp;"D")</f>
        <v>42650</v>
      </c>
      <c r="AA415" s="163">
        <v>1.0955715003272744E-3</v>
      </c>
      <c r="AB415" s="172">
        <v>1.1877098969659272E-3</v>
      </c>
    </row>
    <row r="416" spans="13:28" x14ac:dyDescent="0.2">
      <c r="X416" s="176" t="str">
        <f t="shared" si="40"/>
        <v>1D</v>
      </c>
      <c r="Y416" s="164">
        <f>_xll.qlCalendarAdvance(Calendar,Y415,X416,"f",FALSE)</f>
        <v>42649</v>
      </c>
      <c r="Z416" s="188">
        <f>_xll.qlCalendarAdvance(Calendar,Y416,NDays&amp;"D")</f>
        <v>42653</v>
      </c>
      <c r="AA416" s="163">
        <v>1.0993389887223772E-3</v>
      </c>
      <c r="AB416" s="172">
        <v>1.1941496802592155E-3</v>
      </c>
    </row>
    <row r="417" spans="24:28" x14ac:dyDescent="0.2">
      <c r="X417" s="176" t="str">
        <f t="shared" si="40"/>
        <v>1D</v>
      </c>
      <c r="Y417" s="164">
        <f>_xll.qlCalendarAdvance(Calendar,Y416,X417,"f",FALSE)</f>
        <v>42650</v>
      </c>
      <c r="Z417" s="188">
        <f>_xll.qlCalendarAdvance(Calendar,Y417,NDays&amp;"D")</f>
        <v>42654</v>
      </c>
      <c r="AA417" s="163">
        <v>1.1005983733506084E-3</v>
      </c>
      <c r="AB417" s="172">
        <v>1.1958847194115663E-3</v>
      </c>
    </row>
    <row r="418" spans="24:28" x14ac:dyDescent="0.2">
      <c r="X418" s="176" t="str">
        <f t="shared" si="40"/>
        <v>1D</v>
      </c>
      <c r="Y418" s="164">
        <f>_xll.qlCalendarAdvance(Calendar,Y417,X418,"f",FALSE)</f>
        <v>42653</v>
      </c>
      <c r="Z418" s="188">
        <f>_xll.qlCalendarAdvance(Calendar,Y418,NDays&amp;"D")</f>
        <v>42655</v>
      </c>
      <c r="AA418" s="163">
        <v>1.1018677358641707E-3</v>
      </c>
      <c r="AB418" s="172">
        <v>1.1967276714397457E-3</v>
      </c>
    </row>
    <row r="419" spans="24:28" x14ac:dyDescent="0.2">
      <c r="X419" s="176" t="str">
        <f t="shared" si="40"/>
        <v>1D</v>
      </c>
      <c r="Y419" s="164">
        <f>_xll.qlCalendarAdvance(Calendar,Y418,X419,"f",FALSE)</f>
        <v>42654</v>
      </c>
      <c r="Z419" s="188">
        <f>_xll.qlCalendarAdvance(Calendar,Y419,NDays&amp;"D")</f>
        <v>42656</v>
      </c>
      <c r="AA419" s="163">
        <v>1.103151996462257E-3</v>
      </c>
      <c r="AB419" s="172">
        <v>1.1966785362638177E-3</v>
      </c>
    </row>
    <row r="420" spans="24:28" x14ac:dyDescent="0.2">
      <c r="X420" s="176" t="str">
        <f t="shared" si="40"/>
        <v>1D</v>
      </c>
      <c r="Y420" s="164">
        <f>_xll.qlCalendarAdvance(Calendar,Y419,X420,"f",FALSE)</f>
        <v>42655</v>
      </c>
      <c r="Z420" s="188">
        <f>_xll.qlCalendarAdvance(Calendar,Y420,NDays&amp;"D")</f>
        <v>42657</v>
      </c>
      <c r="AA420" s="163">
        <v>1.1117496486947524E-3</v>
      </c>
      <c r="AB420" s="172">
        <v>1.1936105999321711E-3</v>
      </c>
    </row>
    <row r="421" spans="24:28" x14ac:dyDescent="0.2">
      <c r="X421" s="176" t="str">
        <f t="shared" si="40"/>
        <v>1D</v>
      </c>
      <c r="Y421" s="164">
        <f>_xll.qlCalendarAdvance(Calendar,Y420,X421,"f",FALSE)</f>
        <v>42656</v>
      </c>
      <c r="Z421" s="188">
        <f>_xll.qlCalendarAdvance(Calendar,Y421,NDays&amp;"D")</f>
        <v>42660</v>
      </c>
      <c r="AA421" s="163">
        <v>1.1103966210442905E-3</v>
      </c>
      <c r="AB421" s="172">
        <v>1.187561124957881E-3</v>
      </c>
    </row>
    <row r="422" spans="24:28" x14ac:dyDescent="0.2">
      <c r="X422" s="176" t="str">
        <f t="shared" si="40"/>
        <v>1D</v>
      </c>
      <c r="Y422" s="164">
        <f>_xll.qlCalendarAdvance(Calendar,Y421,X422,"f",FALSE)</f>
        <v>42657</v>
      </c>
      <c r="Z422" s="188">
        <f>_xll.qlCalendarAdvance(Calendar,Y422,NDays&amp;"D")</f>
        <v>42661</v>
      </c>
      <c r="AA422" s="163">
        <v>1.1099689787090823E-3</v>
      </c>
      <c r="AB422" s="172">
        <v>1.1830515544808407E-3</v>
      </c>
    </row>
    <row r="423" spans="24:28" x14ac:dyDescent="0.2">
      <c r="X423" s="176" t="str">
        <f t="shared" si="40"/>
        <v>1D</v>
      </c>
      <c r="Y423" s="164">
        <f>_xll.qlCalendarAdvance(Calendar,Y422,X423,"f",FALSE)</f>
        <v>42660</v>
      </c>
      <c r="Z423" s="188">
        <f>_xll.qlCalendarAdvance(Calendar,Y423,NDays&amp;"D")</f>
        <v>42662</v>
      </c>
      <c r="AA423" s="163">
        <v>1.1114459528068325E-3</v>
      </c>
      <c r="AB423" s="172">
        <v>1.1776498970395011E-3</v>
      </c>
    </row>
    <row r="424" spans="24:28" x14ac:dyDescent="0.2">
      <c r="X424" s="176" t="str">
        <f t="shared" si="40"/>
        <v>1D</v>
      </c>
      <c r="Y424" s="164">
        <f>_xll.qlCalendarAdvance(Calendar,Y423,X424,"f",FALSE)</f>
        <v>42661</v>
      </c>
      <c r="Z424" s="188">
        <f>_xll.qlCalendarAdvance(Calendar,Y424,NDays&amp;"D")</f>
        <v>42663</v>
      </c>
      <c r="AA424" s="163">
        <v>1.1129722667936803E-3</v>
      </c>
      <c r="AB424" s="172">
        <v>1.1713561525539262E-3</v>
      </c>
    </row>
    <row r="425" spans="24:28" x14ac:dyDescent="0.2">
      <c r="X425" s="176" t="str">
        <f t="shared" si="40"/>
        <v>1D</v>
      </c>
      <c r="Y425" s="164">
        <f>_xll.qlCalendarAdvance(Calendar,Y424,X425,"f",FALSE)</f>
        <v>42662</v>
      </c>
      <c r="Z425" s="188">
        <f>_xll.qlCalendarAdvance(Calendar,Y425,NDays&amp;"D")</f>
        <v>42664</v>
      </c>
      <c r="AA425" s="163">
        <v>1.1145528409948716E-3</v>
      </c>
      <c r="AB425" s="172">
        <v>1.1557987513732826E-3</v>
      </c>
    </row>
    <row r="426" spans="24:28" x14ac:dyDescent="0.2">
      <c r="X426" s="176" t="str">
        <f t="shared" si="40"/>
        <v>1D</v>
      </c>
      <c r="Y426" s="164">
        <f>_xll.qlCalendarAdvance(Calendar,Y425,X426,"f",FALSE)</f>
        <v>42663</v>
      </c>
      <c r="Z426" s="188">
        <f>_xll.qlCalendarAdvance(Calendar,Y426,NDays&amp;"D")</f>
        <v>42667</v>
      </c>
      <c r="AA426" s="163">
        <v>1.1196693284294815E-3</v>
      </c>
      <c r="AB426" s="172">
        <v>1.1372603061676756E-3</v>
      </c>
    </row>
    <row r="427" spans="24:28" x14ac:dyDescent="0.2">
      <c r="X427" s="176" t="str">
        <f t="shared" si="40"/>
        <v>1D</v>
      </c>
      <c r="Y427" s="164">
        <f>_xll.qlCalendarAdvance(Calendar,Y426,X427,"f",FALSE)</f>
        <v>42664</v>
      </c>
      <c r="Z427" s="188">
        <f>_xll.qlCalendarAdvance(Calendar,Y427,NDays&amp;"D")</f>
        <v>42668</v>
      </c>
      <c r="AA427" s="163">
        <v>1.1215161471476555E-3</v>
      </c>
      <c r="AB427" s="172">
        <v>1.1267184204832859E-3</v>
      </c>
    </row>
    <row r="428" spans="24:28" x14ac:dyDescent="0.2">
      <c r="X428" s="176" t="str">
        <f t="shared" si="40"/>
        <v>1D</v>
      </c>
      <c r="Y428" s="164">
        <f>_xll.qlCalendarAdvance(Calendar,Y427,X428,"f",FALSE)</f>
        <v>42667</v>
      </c>
      <c r="Z428" s="188">
        <f>_xll.qlCalendarAdvance(Calendar,Y428,NDays&amp;"D")</f>
        <v>42669</v>
      </c>
      <c r="AA428" s="163">
        <v>1.123440660927203E-3</v>
      </c>
      <c r="AB428" s="172">
        <v>1.1163459117913277E-3</v>
      </c>
    </row>
    <row r="429" spans="24:28" x14ac:dyDescent="0.2">
      <c r="X429" s="176" t="str">
        <f t="shared" si="40"/>
        <v>1D</v>
      </c>
      <c r="Y429" s="164">
        <f>_xll.qlCalendarAdvance(Calendar,Y428,X429,"f",FALSE)</f>
        <v>42668</v>
      </c>
      <c r="Z429" s="188">
        <f>_xll.qlCalendarAdvance(Calendar,Y429,NDays&amp;"D")</f>
        <v>42670</v>
      </c>
      <c r="AA429" s="163">
        <v>1.1254419547132792E-3</v>
      </c>
      <c r="AB429" s="172">
        <v>1.1063550729151217E-3</v>
      </c>
    </row>
    <row r="430" spans="24:28" x14ac:dyDescent="0.2">
      <c r="X430" s="176" t="str">
        <f t="shared" si="40"/>
        <v>1D</v>
      </c>
      <c r="Y430" s="164">
        <f>_xll.qlCalendarAdvance(Calendar,Y429,X430,"f",FALSE)</f>
        <v>42669</v>
      </c>
      <c r="Z430" s="188">
        <f>_xll.qlCalendarAdvance(Calendar,Y430,NDays&amp;"D")</f>
        <v>42671</v>
      </c>
      <c r="AA430" s="163">
        <v>1.1275179463520934E-3</v>
      </c>
      <c r="AB430" s="172">
        <v>1.0876489132272127E-3</v>
      </c>
    </row>
    <row r="431" spans="24:28" x14ac:dyDescent="0.2">
      <c r="X431" s="176" t="str">
        <f t="shared" si="40"/>
        <v>1D</v>
      </c>
      <c r="Y431" s="164">
        <f>_xll.qlCalendarAdvance(Calendar,Y430,X431,"f",FALSE)</f>
        <v>42670</v>
      </c>
      <c r="Z431" s="188">
        <f>_xll.qlCalendarAdvance(Calendar,Y431,NDays&amp;"D")</f>
        <v>42674</v>
      </c>
      <c r="AA431" s="163">
        <v>1.128175916943791E-3</v>
      </c>
      <c r="AB431" s="172">
        <v>1.070208413809226E-3</v>
      </c>
    </row>
    <row r="432" spans="24:28" x14ac:dyDescent="0.2">
      <c r="X432" s="176" t="str">
        <f t="shared" si="40"/>
        <v>1D</v>
      </c>
      <c r="Y432" s="164">
        <f>_xll.qlCalendarAdvance(Calendar,Y431,X432,"f",FALSE)</f>
        <v>42671</v>
      </c>
      <c r="Z432" s="188">
        <f>_xll.qlCalendarAdvance(Calendar,Y432,NDays&amp;"D")</f>
        <v>42675</v>
      </c>
      <c r="AA432" s="163">
        <v>1.136527248344441E-3</v>
      </c>
      <c r="AB432" s="172">
        <v>1.0621259230525482E-3</v>
      </c>
    </row>
    <row r="433" spans="24:28" x14ac:dyDescent="0.2">
      <c r="X433" s="176" t="str">
        <f t="shared" si="40"/>
        <v>1D</v>
      </c>
      <c r="Y433" s="164">
        <f>_xll.qlCalendarAdvance(Calendar,Y432,X433,"f",FALSE)</f>
        <v>42674</v>
      </c>
      <c r="Z433" s="188">
        <f>_xll.qlCalendarAdvance(Calendar,Y433,NDays&amp;"D")</f>
        <v>42676</v>
      </c>
      <c r="AA433" s="163">
        <v>1.1369349510343435E-3</v>
      </c>
      <c r="AB433" s="172">
        <v>1.0544251018718143E-3</v>
      </c>
    </row>
    <row r="434" spans="24:28" x14ac:dyDescent="0.2">
      <c r="X434" s="176" t="str">
        <f t="shared" si="40"/>
        <v>1D</v>
      </c>
      <c r="Y434" s="164">
        <f>_xll.qlCalendarAdvance(Calendar,Y433,X434,"f",FALSE)</f>
        <v>42675</v>
      </c>
      <c r="Z434" s="188">
        <f>_xll.qlCalendarAdvance(Calendar,Y434,NDays&amp;"D")</f>
        <v>42677</v>
      </c>
      <c r="AA434" s="163">
        <v>1.1394091231377815E-3</v>
      </c>
      <c r="AB434" s="172">
        <v>1.0471059501870883E-3</v>
      </c>
    </row>
    <row r="435" spans="24:28" x14ac:dyDescent="0.2">
      <c r="X435" s="176" t="str">
        <f t="shared" si="40"/>
        <v>1D</v>
      </c>
      <c r="Y435" s="164">
        <f>_xll.qlCalendarAdvance(Calendar,Y434,X435,"f",FALSE)</f>
        <v>42676</v>
      </c>
      <c r="Z435" s="188">
        <f>_xll.qlCalendarAdvance(Calendar,Y435,NDays&amp;"D")</f>
        <v>42678</v>
      </c>
      <c r="AA435" s="163">
        <v>1.1419437338650489E-3</v>
      </c>
      <c r="AB435" s="172">
        <v>1.0337428468965015E-3</v>
      </c>
    </row>
    <row r="436" spans="24:28" x14ac:dyDescent="0.2">
      <c r="X436" s="176" t="str">
        <f t="shared" si="40"/>
        <v>1D</v>
      </c>
      <c r="Y436" s="164">
        <f>_xll.qlCalendarAdvance(Calendar,Y435,X436,"f",FALSE)</f>
        <v>42677</v>
      </c>
      <c r="Z436" s="188">
        <f>_xll.qlCalendarAdvance(Calendar,Y436,NDays&amp;"D")</f>
        <v>42681</v>
      </c>
      <c r="AA436" s="163">
        <v>1.1519281697907132E-3</v>
      </c>
      <c r="AB436" s="172">
        <v>1.0216460384082637E-3</v>
      </c>
    </row>
    <row r="437" spans="24:28" x14ac:dyDescent="0.2">
      <c r="X437" s="176" t="str">
        <f t="shared" si="40"/>
        <v>1D</v>
      </c>
      <c r="Y437" s="164">
        <f>_xll.qlCalendarAdvance(Calendar,Y436,X437,"f",FALSE)</f>
        <v>42678</v>
      </c>
      <c r="Z437" s="188">
        <f>_xll.qlCalendarAdvance(Calendar,Y437,NDays&amp;"D")</f>
        <v>42682</v>
      </c>
      <c r="AA437" s="163">
        <v>1.1526446894748472E-3</v>
      </c>
      <c r="AB437" s="172">
        <v>1.0162352341236414E-3</v>
      </c>
    </row>
    <row r="438" spans="24:28" x14ac:dyDescent="0.2">
      <c r="X438" s="176" t="str">
        <f t="shared" si="40"/>
        <v>1D</v>
      </c>
      <c r="Y438" s="164">
        <f>_xll.qlCalendarAdvance(Calendar,Y437,X438,"f",FALSE)</f>
        <v>42681</v>
      </c>
      <c r="Z438" s="188">
        <f>_xll.qlCalendarAdvance(Calendar,Y438,NDays&amp;"D")</f>
        <v>42683</v>
      </c>
      <c r="AA438" s="163">
        <v>1.1554500881153121E-3</v>
      </c>
      <c r="AB438" s="172">
        <v>1.0112060991751548E-3</v>
      </c>
    </row>
    <row r="439" spans="24:28" x14ac:dyDescent="0.2">
      <c r="X439" s="176" t="str">
        <f t="shared" si="40"/>
        <v>1D</v>
      </c>
      <c r="Y439" s="164">
        <f>_xll.qlCalendarAdvance(Calendar,Y438,X439,"f",FALSE)</f>
        <v>42682</v>
      </c>
      <c r="Z439" s="188">
        <f>_xll.qlCalendarAdvance(Calendar,Y439,NDays&amp;"D")</f>
        <v>42684</v>
      </c>
      <c r="AA439" s="163">
        <v>1.1583033632497064E-3</v>
      </c>
      <c r="AB439" s="172">
        <v>1.0065586336427401E-3</v>
      </c>
    </row>
    <row r="440" spans="24:28" x14ac:dyDescent="0.2">
      <c r="X440" s="176" t="str">
        <f t="shared" si="40"/>
        <v>1D</v>
      </c>
      <c r="Y440" s="164">
        <f>_xll.qlCalendarAdvance(Calendar,Y439,X440,"f",FALSE)</f>
        <v>42683</v>
      </c>
      <c r="Z440" s="188">
        <f>_xll.qlCalendarAdvance(Calendar,Y440,NDays&amp;"D")</f>
        <v>42685</v>
      </c>
      <c r="AA440" s="163">
        <v>1.1612024211645406E-3</v>
      </c>
      <c r="AB440" s="172">
        <v>9.9853870350941065E-4</v>
      </c>
    </row>
    <row r="441" spans="24:28" x14ac:dyDescent="0.2">
      <c r="X441" s="176" t="str">
        <f t="shared" si="40"/>
        <v>1D</v>
      </c>
      <c r="Y441" s="164">
        <f>_xll.qlCalendarAdvance(Calendar,Y440,X441,"f",FALSE)</f>
        <v>42684</v>
      </c>
      <c r="Z441" s="188">
        <f>_xll.qlCalendarAdvance(Calendar,Y441,NDays&amp;"D")</f>
        <v>42688</v>
      </c>
      <c r="AA441" s="163">
        <v>1.1722209569982461E-3</v>
      </c>
      <c r="AB441" s="172">
        <v>9.9178546527411982E-4</v>
      </c>
    </row>
    <row r="442" spans="24:28" x14ac:dyDescent="0.2">
      <c r="X442" s="176" t="str">
        <f t="shared" si="40"/>
        <v>1D</v>
      </c>
      <c r="Y442" s="164">
        <f>_xll.qlCalendarAdvance(Calendar,Y441,X442,"f",FALSE)</f>
        <v>42685</v>
      </c>
      <c r="Z442" s="188">
        <f>_xll.qlCalendarAdvance(Calendar,Y442,NDays&amp;"D")</f>
        <v>42689</v>
      </c>
      <c r="AA442" s="163">
        <v>1.1732146060095842E-3</v>
      </c>
      <c r="AB442" s="172">
        <v>9.8904634650232026E-4</v>
      </c>
    </row>
    <row r="443" spans="24:28" x14ac:dyDescent="0.2">
      <c r="X443" s="176" t="str">
        <f t="shared" si="40"/>
        <v>1D</v>
      </c>
      <c r="Y443" s="164">
        <f>_xll.qlCalendarAdvance(Calendar,Y442,X443,"f",FALSE)</f>
        <v>42688</v>
      </c>
      <c r="Z443" s="188">
        <f>_xll.qlCalendarAdvance(Calendar,Y443,NDays&amp;"D")</f>
        <v>42690</v>
      </c>
      <c r="AA443" s="163">
        <v>1.1763111717762599E-3</v>
      </c>
      <c r="AB443" s="172">
        <v>9.8668889706665652E-4</v>
      </c>
    </row>
    <row r="444" spans="24:28" x14ac:dyDescent="0.2">
      <c r="X444" s="176" t="str">
        <f t="shared" si="40"/>
        <v>1D</v>
      </c>
      <c r="Y444" s="164">
        <f>_xll.qlCalendarAdvance(Calendar,Y443,X444,"f",FALSE)</f>
        <v>42689</v>
      </c>
      <c r="Z444" s="188">
        <f>_xll.qlCalendarAdvance(Calendar,Y444,NDays&amp;"D")</f>
        <v>42691</v>
      </c>
      <c r="AA444" s="163">
        <v>1.1794409578331005E-3</v>
      </c>
      <c r="AB444" s="172">
        <v>9.847131169671286E-4</v>
      </c>
    </row>
    <row r="445" spans="24:28" x14ac:dyDescent="0.2">
      <c r="X445" s="176" t="str">
        <f t="shared" si="40"/>
        <v>1D</v>
      </c>
      <c r="Y445" s="164">
        <f>_xll.qlCalendarAdvance(Calendar,Y444,X445,"f",FALSE)</f>
        <v>42690</v>
      </c>
      <c r="Z445" s="188">
        <f>_xll.qlCalendarAdvance(Calendar,Y445,NDays&amp;"D")</f>
        <v>42692</v>
      </c>
      <c r="AA445" s="163">
        <v>1.1826018703924217E-3</v>
      </c>
      <c r="AB445" s="172">
        <v>9.8203646665240285E-4</v>
      </c>
    </row>
    <row r="446" spans="24:28" x14ac:dyDescent="0.2">
      <c r="X446" s="176" t="str">
        <f t="shared" si="40"/>
        <v>1D</v>
      </c>
      <c r="Y446" s="164">
        <f>_xll.qlCalendarAdvance(Calendar,Y445,X446,"f",FALSE)</f>
        <v>42691</v>
      </c>
      <c r="Z446" s="188">
        <f>_xll.qlCalendarAdvance(Calendar,Y446,NDays&amp;"D")</f>
        <v>42695</v>
      </c>
      <c r="AA446" s="163">
        <v>1.1943374436552555E-3</v>
      </c>
      <c r="AB446" s="172">
        <v>9.8062668961063082E-4</v>
      </c>
    </row>
    <row r="447" spans="24:28" x14ac:dyDescent="0.2">
      <c r="X447" s="176" t="str">
        <f t="shared" si="40"/>
        <v>1D</v>
      </c>
      <c r="Y447" s="164">
        <f>_xll.qlCalendarAdvance(Calendar,Y446,X447,"f",FALSE)</f>
        <v>42692</v>
      </c>
      <c r="Z447" s="188">
        <f>_xll.qlCalendarAdvance(Calendar,Y447,NDays&amp;"D")</f>
        <v>42696</v>
      </c>
      <c r="AA447" s="163">
        <v>1.1955149095152695E-3</v>
      </c>
      <c r="AB447" s="172">
        <v>9.8055925603190985E-4</v>
      </c>
    </row>
    <row r="448" spans="24:28" x14ac:dyDescent="0.2">
      <c r="X448" s="176" t="str">
        <f t="shared" si="40"/>
        <v>1D</v>
      </c>
      <c r="Y448" s="164">
        <f>_xll.qlCalendarAdvance(Calendar,Y447,X448,"f",FALSE)</f>
        <v>42695</v>
      </c>
      <c r="Z448" s="188">
        <f>_xll.qlCalendarAdvance(Calendar,Y448,NDays&amp;"D")</f>
        <v>42697</v>
      </c>
      <c r="AA448" s="163">
        <v>1.1988000473724843E-3</v>
      </c>
      <c r="AB448" s="172">
        <v>9.8087349170938865E-4</v>
      </c>
    </row>
    <row r="449" spans="24:28" x14ac:dyDescent="0.2">
      <c r="X449" s="176" t="str">
        <f t="shared" si="40"/>
        <v>1D</v>
      </c>
      <c r="Y449" s="164">
        <f>_xll.qlCalendarAdvance(Calendar,Y448,X449,"f",FALSE)</f>
        <v>42696</v>
      </c>
      <c r="Z449" s="188">
        <f>_xll.qlCalendarAdvance(Calendar,Y449,NDays&amp;"D")</f>
        <v>42698</v>
      </c>
      <c r="AA449" s="163">
        <v>1.2021037487574306E-3</v>
      </c>
      <c r="AB449" s="172">
        <v>9.8145390342807559E-4</v>
      </c>
    </row>
    <row r="450" spans="24:28" x14ac:dyDescent="0.2">
      <c r="X450" s="176" t="str">
        <f t="shared" si="40"/>
        <v>1D</v>
      </c>
      <c r="Y450" s="164">
        <f>_xll.qlCalendarAdvance(Calendar,Y449,X450,"f",FALSE)</f>
        <v>42697</v>
      </c>
      <c r="Z450" s="188">
        <f>_xll.qlCalendarAdvance(Calendar,Y450,NDays&amp;"D")</f>
        <v>42699</v>
      </c>
      <c r="AA450" s="163">
        <v>1.2054245582650304E-3</v>
      </c>
      <c r="AB450" s="172">
        <v>9.8181075565584308E-4</v>
      </c>
    </row>
    <row r="451" spans="24:28" x14ac:dyDescent="0.2">
      <c r="X451" s="176" t="str">
        <f t="shared" si="40"/>
        <v>1D</v>
      </c>
      <c r="Y451" s="164">
        <f>_xll.qlCalendarAdvance(Calendar,Y450,X451,"f",FALSE)</f>
        <v>42698</v>
      </c>
      <c r="Z451" s="188">
        <f>_xll.qlCalendarAdvance(Calendar,Y451,NDays&amp;"D")</f>
        <v>42702</v>
      </c>
      <c r="AA451" s="163">
        <v>1.2176040375634588E-3</v>
      </c>
      <c r="AB451" s="172">
        <v>9.8112461722976718E-4</v>
      </c>
    </row>
    <row r="452" spans="24:28" x14ac:dyDescent="0.2">
      <c r="X452" s="176" t="str">
        <f t="shared" si="40"/>
        <v>1D</v>
      </c>
      <c r="Y452" s="164">
        <f>_xll.qlCalendarAdvance(Calendar,Y451,X452,"f",FALSE)</f>
        <v>42699</v>
      </c>
      <c r="Z452" s="188">
        <f>_xll.qlCalendarAdvance(Calendar,Y452,NDays&amp;"D")</f>
        <v>42703</v>
      </c>
      <c r="AA452" s="163">
        <v>1.2189072317536325E-3</v>
      </c>
      <c r="AB452" s="172">
        <v>9.8026406919693443E-4</v>
      </c>
    </row>
    <row r="453" spans="24:28" x14ac:dyDescent="0.2">
      <c r="X453" s="176" t="str">
        <f t="shared" si="40"/>
        <v>1D</v>
      </c>
      <c r="Y453" s="164">
        <f>_xll.qlCalendarAdvance(Calendar,Y452,X453,"f",FALSE)</f>
        <v>42702</v>
      </c>
      <c r="Z453" s="188">
        <f>_xll.qlCalendarAdvance(Calendar,Y453,NDays&amp;"D")</f>
        <v>42704</v>
      </c>
      <c r="AA453" s="163">
        <v>1.2244403665749139E-3</v>
      </c>
      <c r="AB453" s="172">
        <v>9.7909223049086336E-4</v>
      </c>
    </row>
    <row r="454" spans="24:28" x14ac:dyDescent="0.2">
      <c r="X454" s="176" t="str">
        <f t="shared" si="40"/>
        <v>1D</v>
      </c>
      <c r="Y454" s="164">
        <f>_xll.qlCalendarAdvance(Calendar,Y453,X454,"f",FALSE)</f>
        <v>42703</v>
      </c>
      <c r="Z454" s="188">
        <f>_xll.qlCalendarAdvance(Calendar,Y454,NDays&amp;"D")</f>
        <v>42705</v>
      </c>
      <c r="AA454" s="163">
        <v>1.2278978070183084E-3</v>
      </c>
      <c r="AB454" s="172">
        <v>9.7760910127142608E-4</v>
      </c>
    </row>
    <row r="455" spans="24:28" x14ac:dyDescent="0.2">
      <c r="X455" s="176" t="str">
        <f t="shared" si="40"/>
        <v>1D</v>
      </c>
      <c r="Y455" s="164">
        <f>_xll.qlCalendarAdvance(Calendar,Y454,X455,"f",FALSE)</f>
        <v>42704</v>
      </c>
      <c r="Z455" s="188">
        <f>_xll.qlCalendarAdvance(Calendar,Y455,NDays&amp;"D")</f>
        <v>42706</v>
      </c>
      <c r="AA455" s="163">
        <v>1.2313837347160169E-3</v>
      </c>
      <c r="AB455" s="172">
        <v>9.7360784037547887E-4</v>
      </c>
    </row>
    <row r="456" spans="24:28" x14ac:dyDescent="0.2">
      <c r="X456" s="176" t="str">
        <f t="shared" si="40"/>
        <v>1D</v>
      </c>
      <c r="Y456" s="164">
        <f>_xll.qlCalendarAdvance(Calendar,Y455,X456,"f",FALSE)</f>
        <v>42705</v>
      </c>
      <c r="Z456" s="188">
        <f>_xll.qlCalendarAdvance(Calendar,Y456,NDays&amp;"D")</f>
        <v>42709</v>
      </c>
      <c r="AA456" s="163">
        <v>1.2420297163059284E-3</v>
      </c>
      <c r="AB456" s="172">
        <v>9.685636780609741E-4</v>
      </c>
    </row>
    <row r="457" spans="24:28" x14ac:dyDescent="0.2">
      <c r="X457" s="176" t="str">
        <f t="shared" si="40"/>
        <v>1D</v>
      </c>
      <c r="Y457" s="164">
        <f>_xll.qlCalendarAdvance(Calendar,Y456,X457,"f",FALSE)</f>
        <v>42706</v>
      </c>
      <c r="Z457" s="188">
        <f>_xll.qlCalendarAdvance(Calendar,Y457,NDays&amp;"D")</f>
        <v>42710</v>
      </c>
      <c r="AA457" s="163">
        <v>1.2456468680581165E-3</v>
      </c>
      <c r="AB457" s="172">
        <v>9.6552409579508947E-4</v>
      </c>
    </row>
    <row r="458" spans="24:28" x14ac:dyDescent="0.2">
      <c r="X458" s="176" t="str">
        <f t="shared" si="40"/>
        <v>1D</v>
      </c>
      <c r="Y458" s="164">
        <f>_xll.qlCalendarAdvance(Calendar,Y457,X458,"f",FALSE)</f>
        <v>42709</v>
      </c>
      <c r="Z458" s="188">
        <f>_xll.qlCalendarAdvance(Calendar,Y458,NDays&amp;"D")</f>
        <v>42711</v>
      </c>
      <c r="AA458" s="163">
        <v>1.2493011446519668E-3</v>
      </c>
      <c r="AB458" s="172">
        <v>9.6217322301583863E-4</v>
      </c>
    </row>
    <row r="459" spans="24:28" x14ac:dyDescent="0.2">
      <c r="X459" s="176" t="str">
        <f t="shared" si="40"/>
        <v>1D</v>
      </c>
      <c r="Y459" s="164">
        <f>_xll.qlCalendarAdvance(Calendar,Y458,X459,"f",FALSE)</f>
        <v>42710</v>
      </c>
      <c r="Z459" s="188">
        <f>_xll.qlCalendarAdvance(Calendar,Y459,NDays&amp;"D")</f>
        <v>42712</v>
      </c>
      <c r="AA459" s="163">
        <v>1.2529942736484311E-3</v>
      </c>
      <c r="AB459" s="172">
        <v>9.5851105964328553E-4</v>
      </c>
    </row>
    <row r="460" spans="24:28" x14ac:dyDescent="0.2">
      <c r="X460" s="176" t="str">
        <f t="shared" si="40"/>
        <v>1D</v>
      </c>
      <c r="Y460" s="164">
        <f>_xll.qlCalendarAdvance(Calendar,Y459,X460,"f",FALSE)</f>
        <v>42711</v>
      </c>
      <c r="Z460" s="188">
        <f>_xll.qlCalendarAdvance(Calendar,Y460,NDays&amp;"D")</f>
        <v>42713</v>
      </c>
      <c r="AA460" s="163">
        <v>1.2567279826220762E-3</v>
      </c>
      <c r="AB460" s="172">
        <v>9.5015160539446697E-4</v>
      </c>
    </row>
    <row r="461" spans="24:28" x14ac:dyDescent="0.2">
      <c r="X461" s="176" t="str">
        <f t="shared" si="40"/>
        <v>1D</v>
      </c>
      <c r="Y461" s="164">
        <f>_xll.qlCalendarAdvance(Calendar,Y460,X461,"f",FALSE)</f>
        <v>42712</v>
      </c>
      <c r="Z461" s="188">
        <f>_xll.qlCalendarAdvance(Calendar,Y461,NDays&amp;"D")</f>
        <v>42716</v>
      </c>
      <c r="AA461" s="163">
        <v>1.2681898654007965E-3</v>
      </c>
      <c r="AB461" s="172">
        <v>9.4074950061973084E-4</v>
      </c>
    </row>
    <row r="462" spans="24:28" x14ac:dyDescent="0.2">
      <c r="X462" s="176" t="str">
        <f t="shared" si="40"/>
        <v>1D</v>
      </c>
      <c r="Y462" s="164">
        <f>_xll.qlCalendarAdvance(Calendar,Y461,X462,"f",FALSE)</f>
        <v>42713</v>
      </c>
      <c r="Z462" s="188">
        <f>_xll.qlCalendarAdvance(Calendar,Y462,NDays&amp;"D")</f>
        <v>42717</v>
      </c>
      <c r="AA462" s="163">
        <v>1.2721031703564836E-3</v>
      </c>
      <c r="AB462" s="172">
        <v>9.3553088452047461E-4</v>
      </c>
    </row>
    <row r="463" spans="24:28" x14ac:dyDescent="0.2">
      <c r="X463" s="176" t="str">
        <f t="shared" si="40"/>
        <v>1D</v>
      </c>
      <c r="Y463" s="164">
        <f>_xll.qlCalendarAdvance(Calendar,Y462,X463,"f",FALSE)</f>
        <v>42716</v>
      </c>
      <c r="Z463" s="188">
        <f>_xll.qlCalendarAdvance(Calendar,Y463,NDays&amp;"D")</f>
        <v>42718</v>
      </c>
      <c r="AA463" s="163">
        <v>1.2760656934068255E-3</v>
      </c>
      <c r="AB463" s="172">
        <v>9.300009780677243E-4</v>
      </c>
    </row>
    <row r="464" spans="24:28" x14ac:dyDescent="0.2">
      <c r="X464" s="176" t="str">
        <f t="shared" si="40"/>
        <v>1D</v>
      </c>
      <c r="Y464" s="164">
        <f>_xll.qlCalendarAdvance(Calendar,Y463,X464,"f",FALSE)</f>
        <v>42717</v>
      </c>
      <c r="Z464" s="188">
        <f>_xll.qlCalendarAdvance(Calendar,Y464,NDays&amp;"D")</f>
        <v>42719</v>
      </c>
      <c r="AA464" s="163">
        <v>1.2800791622265288E-3</v>
      </c>
      <c r="AB464" s="172">
        <v>9.2415978102167173E-4</v>
      </c>
    </row>
    <row r="465" spans="24:28" x14ac:dyDescent="0.2">
      <c r="X465" s="176" t="str">
        <f t="shared" si="40"/>
        <v>1D</v>
      </c>
      <c r="Y465" s="164">
        <f>_xll.qlCalendarAdvance(Calendar,Y464,X465,"f",FALSE)</f>
        <v>42718</v>
      </c>
      <c r="Z465" s="188">
        <f>_xll.qlCalendarAdvance(Calendar,Y465,NDays&amp;"D")</f>
        <v>42720</v>
      </c>
      <c r="AA465" s="163">
        <v>1.2841453045074295E-3</v>
      </c>
      <c r="AB465" s="172">
        <v>9.1144205963900049E-4</v>
      </c>
    </row>
    <row r="466" spans="24:28" x14ac:dyDescent="0.2">
      <c r="X466" s="176" t="str">
        <f t="shared" si="40"/>
        <v>1D</v>
      </c>
      <c r="Y466" s="164">
        <f>_xll.qlCalendarAdvance(Calendar,Y465,X466,"f",FALSE)</f>
        <v>42719</v>
      </c>
      <c r="Z466" s="188">
        <f>_xll.qlCalendarAdvance(Calendar,Y466,NDays&amp;"D")</f>
        <v>42723</v>
      </c>
      <c r="AA466" s="163">
        <v>1.296677049310177E-3</v>
      </c>
      <c r="AB466" s="172">
        <v>8.9768208850316E-4</v>
      </c>
    </row>
    <row r="467" spans="24:28" x14ac:dyDescent="0.2">
      <c r="X467" s="176" t="str">
        <f t="shared" si="40"/>
        <v>1D</v>
      </c>
      <c r="Y467" s="164">
        <f>_xll.qlCalendarAdvance(Calendar,Y466,X467,"f",FALSE)</f>
        <v>42720</v>
      </c>
      <c r="Z467" s="188">
        <f>_xll.qlCalendarAdvance(Calendar,Y467,NDays&amp;"D")</f>
        <v>42724</v>
      </c>
      <c r="AA467" s="163">
        <v>1.3009711627266728E-3</v>
      </c>
      <c r="AB467" s="172">
        <v>8.9028443921002065E-4</v>
      </c>
    </row>
    <row r="468" spans="24:28" x14ac:dyDescent="0.2">
      <c r="X468" s="176" t="str">
        <f t="shared" si="40"/>
        <v>1D</v>
      </c>
      <c r="Y468" s="164">
        <f>_xll.qlCalendarAdvance(Calendar,Y467,X468,"f",FALSE)</f>
        <v>42723</v>
      </c>
      <c r="Z468" s="188">
        <f>_xll.qlCalendarAdvance(Calendar,Y468,NDays&amp;"D")</f>
        <v>42725</v>
      </c>
      <c r="AA468" s="163">
        <v>1.3053265883477129E-3</v>
      </c>
      <c r="AB468" s="172">
        <v>8.8257549972325933E-4</v>
      </c>
    </row>
    <row r="469" spans="24:28" x14ac:dyDescent="0.2">
      <c r="X469" s="176" t="str">
        <f t="shared" ref="X469:X532" si="41">X468</f>
        <v>1D</v>
      </c>
      <c r="Y469" s="164">
        <f>_xll.qlCalendarAdvance(Calendar,Y468,X469,"f",FALSE)</f>
        <v>42724</v>
      </c>
      <c r="Z469" s="188">
        <f>_xll.qlCalendarAdvance(Calendar,Y469,NDays&amp;"D")</f>
        <v>42726</v>
      </c>
      <c r="AA469" s="163">
        <v>1.3097450539824018E-3</v>
      </c>
      <c r="AB469" s="172">
        <v>8.7455526980306786E-4</v>
      </c>
    </row>
    <row r="470" spans="24:28" x14ac:dyDescent="0.2">
      <c r="X470" s="176" t="str">
        <f t="shared" si="41"/>
        <v>1D</v>
      </c>
      <c r="Y470" s="164">
        <f>_xll.qlCalendarAdvance(Calendar,Y469,X470,"f",FALSE)</f>
        <v>42725</v>
      </c>
      <c r="Z470" s="188">
        <f>_xll.qlCalendarAdvance(Calendar,Y470,NDays&amp;"D")</f>
        <v>42727</v>
      </c>
      <c r="AA470" s="163">
        <v>1.3142282874618043E-3</v>
      </c>
      <c r="AB470" s="172">
        <v>8.5295127461026965E-4</v>
      </c>
    </row>
    <row r="471" spans="24:28" x14ac:dyDescent="0.2">
      <c r="X471" s="176" t="str">
        <f t="shared" si="41"/>
        <v>1D</v>
      </c>
      <c r="Y471" s="164">
        <f>_xll.qlCalendarAdvance(Calendar,Y470,X471,"f",FALSE)</f>
        <v>42726</v>
      </c>
      <c r="Z471" s="188">
        <f>_xll.qlCalendarAdvance(Calendar,Y471,NDays&amp;"D")</f>
        <v>42731</v>
      </c>
      <c r="AA471" s="163">
        <v>1.3328434572050503E-3</v>
      </c>
      <c r="AB471" s="172">
        <v>8.2996505180510383E-4</v>
      </c>
    </row>
    <row r="472" spans="24:28" x14ac:dyDescent="0.2">
      <c r="X472" s="176" t="str">
        <f t="shared" si="41"/>
        <v>1D</v>
      </c>
      <c r="Y472" s="164">
        <f>_xll.qlCalendarAdvance(Calendar,Y471,X472,"f",FALSE)</f>
        <v>42727</v>
      </c>
      <c r="Z472" s="188">
        <f>_xll.qlCalendarAdvance(Calendar,Y472,NDays&amp;"D")</f>
        <v>42732</v>
      </c>
      <c r="AA472" s="163">
        <v>1.3376754568959683E-3</v>
      </c>
      <c r="AB472" s="172">
        <v>8.2115879703970052E-4</v>
      </c>
    </row>
    <row r="473" spans="24:28" x14ac:dyDescent="0.2">
      <c r="X473" s="176" t="str">
        <f t="shared" si="41"/>
        <v>1D</v>
      </c>
      <c r="Y473" s="164">
        <f>_xll.qlCalendarAdvance(Calendar,Y472,X473,"f",FALSE)</f>
        <v>42731</v>
      </c>
      <c r="Z473" s="188">
        <f>_xll.qlCalendarAdvance(Calendar,Y473,NDays&amp;"D")</f>
        <v>42733</v>
      </c>
      <c r="AA473" s="163">
        <v>1.3425766443698616E-3</v>
      </c>
      <c r="AB473" s="172">
        <v>8.1312296887681157E-4</v>
      </c>
    </row>
    <row r="474" spans="24:28" x14ac:dyDescent="0.2">
      <c r="X474" s="176" t="str">
        <f t="shared" si="41"/>
        <v>1D</v>
      </c>
      <c r="Y474" s="164">
        <f>_xll.qlCalendarAdvance(Calendar,Y473,X474,"f",FALSE)</f>
        <v>42732</v>
      </c>
      <c r="Z474" s="188">
        <f>_xll.qlCalendarAdvance(Calendar,Y474,NDays&amp;"D")</f>
        <v>42734</v>
      </c>
      <c r="AA474" s="163">
        <v>1.3475428000420486E-3</v>
      </c>
      <c r="AB474" s="172">
        <v>2.8516699407443724E-3</v>
      </c>
    </row>
    <row r="475" spans="24:28" x14ac:dyDescent="0.2">
      <c r="X475" s="176" t="str">
        <f t="shared" si="41"/>
        <v>1D</v>
      </c>
      <c r="Y475" s="164">
        <f>_xll.qlCalendarAdvance(Calendar,Y474,X475,"f",FALSE)</f>
        <v>42733</v>
      </c>
      <c r="Z475" s="188">
        <f>_xll.qlCalendarAdvance(Calendar,Y475,NDays&amp;"D")</f>
        <v>42737</v>
      </c>
      <c r="AA475" s="163">
        <v>1.3289414003564244E-3</v>
      </c>
      <c r="AB475" s="172">
        <v>7.8868392161091094E-4</v>
      </c>
    </row>
    <row r="476" spans="24:28" x14ac:dyDescent="0.2">
      <c r="X476" s="176" t="str">
        <f t="shared" si="41"/>
        <v>1D</v>
      </c>
      <c r="Y476" s="164">
        <f>_xll.qlCalendarAdvance(Calendar,Y475,X476,"f",FALSE)</f>
        <v>42734</v>
      </c>
      <c r="Z476" s="188">
        <f>_xll.qlCalendarAdvance(Calendar,Y476,NDays&amp;"D")</f>
        <v>42738</v>
      </c>
      <c r="AA476" s="163">
        <v>1.3319233303428484E-3</v>
      </c>
      <c r="AB476" s="172">
        <v>7.8450022574116929E-4</v>
      </c>
    </row>
    <row r="477" spans="24:28" x14ac:dyDescent="0.2">
      <c r="X477" s="176" t="str">
        <f t="shared" si="41"/>
        <v>1D</v>
      </c>
      <c r="Y477" s="164">
        <f>_xll.qlCalendarAdvance(Calendar,Y476,X477,"f",FALSE)</f>
        <v>42737</v>
      </c>
      <c r="Z477" s="188">
        <f>_xll.qlCalendarAdvance(Calendar,Y477,NDays&amp;"D")</f>
        <v>42739</v>
      </c>
      <c r="AA477" s="163">
        <v>1.3371588314733782E-3</v>
      </c>
      <c r="AB477" s="172">
        <v>7.8108695639400594E-4</v>
      </c>
    </row>
    <row r="478" spans="24:28" x14ac:dyDescent="0.2">
      <c r="X478" s="176" t="str">
        <f t="shared" si="41"/>
        <v>1D</v>
      </c>
      <c r="Y478" s="164">
        <f>_xll.qlCalendarAdvance(Calendar,Y477,X478,"f",FALSE)</f>
        <v>42738</v>
      </c>
      <c r="Z478" s="188">
        <f>_xll.qlCalendarAdvance(Calendar,Y478,NDays&amp;"D")</f>
        <v>42740</v>
      </c>
      <c r="AA478" s="163">
        <v>1.342434184606711E-3</v>
      </c>
      <c r="AB478" s="172">
        <v>7.7844411332961272E-4</v>
      </c>
    </row>
    <row r="479" spans="24:28" x14ac:dyDescent="0.2">
      <c r="X479" s="176" t="str">
        <f t="shared" si="41"/>
        <v>1D</v>
      </c>
      <c r="Y479" s="164">
        <f>_xll.qlCalendarAdvance(Calendar,Y478,X479,"f",FALSE)</f>
        <v>42739</v>
      </c>
      <c r="Z479" s="188">
        <f>_xll.qlCalendarAdvance(Calendar,Y479,NDays&amp;"D")</f>
        <v>42741</v>
      </c>
      <c r="AA479" s="163">
        <v>1.3477451466622633E-3</v>
      </c>
      <c r="AB479" s="172">
        <v>7.7572818645954555E-4</v>
      </c>
    </row>
    <row r="480" spans="24:28" x14ac:dyDescent="0.2">
      <c r="X480" s="176" t="str">
        <f t="shared" si="41"/>
        <v>1D</v>
      </c>
      <c r="Y480" s="164">
        <f>_xll.qlCalendarAdvance(Calendar,Y479,X480,"f",FALSE)</f>
        <v>42740</v>
      </c>
      <c r="Z480" s="188">
        <f>_xll.qlCalendarAdvance(Calendar,Y480,NDays&amp;"D")</f>
        <v>42744</v>
      </c>
      <c r="AA480" s="163">
        <v>1.3660011589712905E-3</v>
      </c>
      <c r="AB480" s="172">
        <v>7.7557700429942145E-4</v>
      </c>
    </row>
    <row r="481" spans="24:28" x14ac:dyDescent="0.2">
      <c r="X481" s="176" t="str">
        <f t="shared" si="41"/>
        <v>1D</v>
      </c>
      <c r="Y481" s="164">
        <f>_xll.qlCalendarAdvance(Calendar,Y480,X481,"f",FALSE)</f>
        <v>42741</v>
      </c>
      <c r="Z481" s="188">
        <f>_xll.qlCalendarAdvance(Calendar,Y481,NDays&amp;"D")</f>
        <v>42745</v>
      </c>
      <c r="AA481" s="163">
        <v>1.3692602209682751E-3</v>
      </c>
      <c r="AB481" s="172">
        <v>7.76786292808751E-4</v>
      </c>
    </row>
    <row r="482" spans="24:28" x14ac:dyDescent="0.2">
      <c r="X482" s="176" t="str">
        <f t="shared" si="41"/>
        <v>1D</v>
      </c>
      <c r="Y482" s="164">
        <f>_xll.qlCalendarAdvance(Calendar,Y481,X482,"f",FALSE)</f>
        <v>42744</v>
      </c>
      <c r="Z482" s="188">
        <f>_xll.qlCalendarAdvance(Calendar,Y482,NDays&amp;"D")</f>
        <v>42746</v>
      </c>
      <c r="AA482" s="163">
        <v>1.3746855798892886E-3</v>
      </c>
      <c r="AB482" s="172">
        <v>7.7876600760085068E-4</v>
      </c>
    </row>
    <row r="483" spans="24:28" x14ac:dyDescent="0.2">
      <c r="X483" s="176" t="str">
        <f t="shared" si="41"/>
        <v>1D</v>
      </c>
      <c r="Y483" s="164">
        <f>_xll.qlCalendarAdvance(Calendar,Y482,X483,"f",FALSE)</f>
        <v>42745</v>
      </c>
      <c r="Z483" s="188">
        <f>_xll.qlCalendarAdvance(Calendar,Y483,NDays&amp;"D")</f>
        <v>42747</v>
      </c>
      <c r="AA483" s="163">
        <v>1.3801210883193807E-3</v>
      </c>
      <c r="AB483" s="172">
        <v>7.8151614875565656E-4</v>
      </c>
    </row>
    <row r="484" spans="24:28" x14ac:dyDescent="0.2">
      <c r="X484" s="176" t="str">
        <f t="shared" si="41"/>
        <v>1D</v>
      </c>
      <c r="Y484" s="164">
        <f>_xll.qlCalendarAdvance(Calendar,Y483,X484,"f",FALSE)</f>
        <v>42746</v>
      </c>
      <c r="Z484" s="188">
        <f>_xll.qlCalendarAdvance(Calendar,Y484,NDays&amp;"D")</f>
        <v>42748</v>
      </c>
      <c r="AA484" s="163">
        <v>1.3855625028635235E-3</v>
      </c>
      <c r="AB484" s="172">
        <v>7.895862507290019E-4</v>
      </c>
    </row>
    <row r="485" spans="24:28" x14ac:dyDescent="0.2">
      <c r="X485" s="176" t="str">
        <f t="shared" si="41"/>
        <v>1D</v>
      </c>
      <c r="Y485" s="164">
        <f>_xll.qlCalendarAdvance(Calendar,Y484,X485,"f",FALSE)</f>
        <v>42747</v>
      </c>
      <c r="Z485" s="188">
        <f>_xll.qlCalendarAdvance(Calendar,Y485,NDays&amp;"D")</f>
        <v>42751</v>
      </c>
      <c r="AA485" s="163">
        <v>1.4039698517136808E-3</v>
      </c>
      <c r="AB485" s="172">
        <v>8.0022097716181406E-4</v>
      </c>
    </row>
    <row r="486" spans="24:28" x14ac:dyDescent="0.2">
      <c r="X486" s="176" t="str">
        <f t="shared" si="41"/>
        <v>1D</v>
      </c>
      <c r="Y486" s="164">
        <f>_xll.qlCalendarAdvance(Calendar,Y485,X486,"f",FALSE)</f>
        <v>42748</v>
      </c>
      <c r="Z486" s="188">
        <f>_xll.qlCalendarAdvance(Calendar,Y486,NDays&amp;"D")</f>
        <v>42752</v>
      </c>
      <c r="AA486" s="163">
        <v>1.4073023526526235E-3</v>
      </c>
      <c r="AB486" s="172">
        <v>8.06823250290023E-4</v>
      </c>
    </row>
    <row r="487" spans="24:28" x14ac:dyDescent="0.2">
      <c r="X487" s="176" t="str">
        <f t="shared" si="41"/>
        <v>1D</v>
      </c>
      <c r="Y487" s="164">
        <f>_xll.qlCalendarAdvance(Calendar,Y486,X487,"f",FALSE)</f>
        <v>42751</v>
      </c>
      <c r="Z487" s="188">
        <f>_xll.qlCalendarAdvance(Calendar,Y487,NDays&amp;"D")</f>
        <v>42753</v>
      </c>
      <c r="AA487" s="163">
        <v>1.4127096452168288E-3</v>
      </c>
      <c r="AB487" s="172">
        <v>8.141959500207463E-4</v>
      </c>
    </row>
    <row r="488" spans="24:28" x14ac:dyDescent="0.2">
      <c r="X488" s="176" t="str">
        <f t="shared" si="41"/>
        <v>1D</v>
      </c>
      <c r="Y488" s="164">
        <f>_xll.qlCalendarAdvance(Calendar,Y487,X488,"f",FALSE)</f>
        <v>42752</v>
      </c>
      <c r="Z488" s="188">
        <f>_xll.qlCalendarAdvance(Calendar,Y488,NDays&amp;"D")</f>
        <v>42754</v>
      </c>
      <c r="AA488" s="163">
        <v>1.4180973825519956E-3</v>
      </c>
      <c r="AB488" s="172">
        <v>8.223390762740479E-4</v>
      </c>
    </row>
    <row r="489" spans="24:28" x14ac:dyDescent="0.2">
      <c r="X489" s="176" t="str">
        <f t="shared" si="41"/>
        <v>1D</v>
      </c>
      <c r="Y489" s="164">
        <f>_xll.qlCalendarAdvance(Calendar,Y488,X489,"f",FALSE)</f>
        <v>42753</v>
      </c>
      <c r="Z489" s="188">
        <f>_xll.qlCalendarAdvance(Calendar,Y489,NDays&amp;"D")</f>
        <v>42755</v>
      </c>
      <c r="AA489" s="163">
        <v>1.4234613209402609E-3</v>
      </c>
      <c r="AB489" s="172">
        <v>8.4119538303006891E-4</v>
      </c>
    </row>
    <row r="490" spans="24:28" x14ac:dyDescent="0.2">
      <c r="X490" s="176" t="str">
        <f t="shared" si="41"/>
        <v>1D</v>
      </c>
      <c r="Y490" s="164">
        <f>_xll.qlCalendarAdvance(Calendar,Y489,X490,"f",FALSE)</f>
        <v>42754</v>
      </c>
      <c r="Z490" s="188">
        <f>_xll.qlCalendarAdvance(Calendar,Y490,NDays&amp;"D")</f>
        <v>42758</v>
      </c>
      <c r="AA490" s="163">
        <v>1.4413999682574871E-3</v>
      </c>
      <c r="AB490" s="172">
        <v>8.6261584795188639E-4</v>
      </c>
    </row>
    <row r="491" spans="24:28" x14ac:dyDescent="0.2">
      <c r="X491" s="176" t="str">
        <f t="shared" si="41"/>
        <v>1D</v>
      </c>
      <c r="Y491" s="164">
        <f>_xll.qlCalendarAdvance(Calendar,Y490,X491,"f",FALSE)</f>
        <v>42755</v>
      </c>
      <c r="Z491" s="188">
        <f>_xll.qlCalendarAdvance(Calendar,Y491,NDays&amp;"D")</f>
        <v>42759</v>
      </c>
      <c r="AA491" s="163">
        <v>1.4445942091076244E-3</v>
      </c>
      <c r="AB491" s="172">
        <v>8.7461110785724827E-4</v>
      </c>
    </row>
    <row r="492" spans="24:28" x14ac:dyDescent="0.2">
      <c r="X492" s="176" t="str">
        <f t="shared" si="41"/>
        <v>1D</v>
      </c>
      <c r="Y492" s="164">
        <f>_xll.qlCalendarAdvance(Calendar,Y491,X492,"f",FALSE)</f>
        <v>42758</v>
      </c>
      <c r="Z492" s="188">
        <f>_xll.qlCalendarAdvance(Calendar,Y492,NDays&amp;"D")</f>
        <v>42760</v>
      </c>
      <c r="AA492" s="163">
        <v>1.4497754954419663E-3</v>
      </c>
      <c r="AB492" s="172">
        <v>8.8722216581516022E-4</v>
      </c>
    </row>
    <row r="493" spans="24:28" x14ac:dyDescent="0.2">
      <c r="X493" s="176" t="str">
        <f t="shared" si="41"/>
        <v>1D</v>
      </c>
      <c r="Y493" s="164">
        <f>_xll.qlCalendarAdvance(Calendar,Y492,X493,"f",FALSE)</f>
        <v>42759</v>
      </c>
      <c r="Z493" s="188">
        <f>_xll.qlCalendarAdvance(Calendar,Y493,NDays&amp;"D")</f>
        <v>42761</v>
      </c>
      <c r="AA493" s="163">
        <v>1.4549083745268282E-3</v>
      </c>
      <c r="AB493" s="172">
        <v>8.9983050562736366E-4</v>
      </c>
    </row>
    <row r="494" spans="24:28" x14ac:dyDescent="0.2">
      <c r="X494" s="176" t="str">
        <f t="shared" si="41"/>
        <v>1D</v>
      </c>
      <c r="Y494" s="164">
        <f>_xll.qlCalendarAdvance(Calendar,Y493,X494,"f",FALSE)</f>
        <v>42760</v>
      </c>
      <c r="Z494" s="188">
        <f>_xll.qlCalendarAdvance(Calendar,Y494,NDays&amp;"D")</f>
        <v>42762</v>
      </c>
      <c r="AA494" s="163">
        <v>1.4599928769953863E-3</v>
      </c>
      <c r="AB494" s="172">
        <v>9.2452506959439518E-4</v>
      </c>
    </row>
    <row r="495" spans="24:28" x14ac:dyDescent="0.2">
      <c r="X495" s="176" t="str">
        <f t="shared" si="41"/>
        <v>1D</v>
      </c>
      <c r="Y495" s="164">
        <f>_xll.qlCalendarAdvance(Calendar,Y494,X495,"f",FALSE)</f>
        <v>42761</v>
      </c>
      <c r="Z495" s="188">
        <f>_xll.qlCalendarAdvance(Calendar,Y495,NDays&amp;"D")</f>
        <v>42765</v>
      </c>
      <c r="AA495" s="163">
        <v>1.4769501697662237E-3</v>
      </c>
      <c r="AB495" s="172">
        <v>9.4869039504175134E-4</v>
      </c>
    </row>
    <row r="496" spans="24:28" x14ac:dyDescent="0.2">
      <c r="X496" s="176" t="str">
        <f t="shared" si="41"/>
        <v>1D</v>
      </c>
      <c r="Y496" s="164">
        <f>_xll.qlCalendarAdvance(Calendar,Y495,X496,"f",FALSE)</f>
        <v>42762</v>
      </c>
      <c r="Z496" s="188">
        <f>_xll.qlCalendarAdvance(Calendar,Y496,NDays&amp;"D")</f>
        <v>42766</v>
      </c>
      <c r="AA496" s="163">
        <v>1.4798648322422419E-3</v>
      </c>
      <c r="AB496" s="172">
        <v>9.6051199985680569E-4</v>
      </c>
    </row>
    <row r="497" spans="24:28" x14ac:dyDescent="0.2">
      <c r="X497" s="176" t="str">
        <f t="shared" si="41"/>
        <v>1D</v>
      </c>
      <c r="Y497" s="164">
        <f>_xll.qlCalendarAdvance(Calendar,Y496,X497,"f",FALSE)</f>
        <v>42765</v>
      </c>
      <c r="Z497" s="188">
        <f>_xll.qlCalendarAdvance(Calendar,Y497,NDays&amp;"D")</f>
        <v>42767</v>
      </c>
      <c r="AA497" s="163">
        <v>1.4847207353879033E-3</v>
      </c>
      <c r="AB497" s="172">
        <v>9.7217625757650694E-4</v>
      </c>
    </row>
    <row r="498" spans="24:28" x14ac:dyDescent="0.2">
      <c r="X498" s="176" t="str">
        <f t="shared" si="41"/>
        <v>1D</v>
      </c>
      <c r="Y498" s="164">
        <f>_xll.qlCalendarAdvance(Calendar,Y497,X498,"f",FALSE)</f>
        <v>42766</v>
      </c>
      <c r="Z498" s="188">
        <f>_xll.qlCalendarAdvance(Calendar,Y498,NDays&amp;"D")</f>
        <v>42768</v>
      </c>
      <c r="AA498" s="163">
        <v>1.4895335755055041E-3</v>
      </c>
      <c r="AB498" s="172">
        <v>9.8368316820085511E-4</v>
      </c>
    </row>
    <row r="499" spans="24:28" x14ac:dyDescent="0.2">
      <c r="X499" s="176" t="str">
        <f t="shared" si="41"/>
        <v>1D</v>
      </c>
      <c r="Y499" s="164">
        <f>_xll.qlCalendarAdvance(Calendar,Y498,X499,"f",FALSE)</f>
        <v>42767</v>
      </c>
      <c r="Z499" s="188">
        <f>_xll.qlCalendarAdvance(Calendar,Y499,NDays&amp;"D")</f>
        <v>42769</v>
      </c>
      <c r="AA499" s="163">
        <v>1.4943042382335682E-3</v>
      </c>
      <c r="AB499" s="172">
        <v>1.0061753110424121E-3</v>
      </c>
    </row>
    <row r="500" spans="24:28" x14ac:dyDescent="0.2">
      <c r="X500" s="176" t="str">
        <f t="shared" si="41"/>
        <v>1D</v>
      </c>
      <c r="Y500" s="164">
        <f>_xll.qlCalendarAdvance(Calendar,Y499,X500,"f",FALSE)</f>
        <v>42768</v>
      </c>
      <c r="Z500" s="188">
        <f>_xll.qlCalendarAdvance(Calendar,Y500,NDays&amp;"D")</f>
        <v>42772</v>
      </c>
      <c r="AA500" s="163">
        <v>1.510323139458586E-3</v>
      </c>
      <c r="AB500" s="172">
        <v>1.0281373394249727E-3</v>
      </c>
    </row>
    <row r="501" spans="24:28" x14ac:dyDescent="0.2">
      <c r="X501" s="176" t="str">
        <f t="shared" si="41"/>
        <v>1D</v>
      </c>
      <c r="Y501" s="164">
        <f>_xll.qlCalendarAdvance(Calendar,Y500,X501,"f",FALSE)</f>
        <v>42769</v>
      </c>
      <c r="Z501" s="188">
        <f>_xll.qlCalendarAdvance(Calendar,Y501,NDays&amp;"D")</f>
        <v>42773</v>
      </c>
      <c r="AA501" s="163">
        <v>1.5129828284197312E-3</v>
      </c>
      <c r="AB501" s="172">
        <v>1.0388575143327472E-3</v>
      </c>
    </row>
    <row r="502" spans="24:28" x14ac:dyDescent="0.2">
      <c r="X502" s="176" t="str">
        <f t="shared" si="41"/>
        <v>1D</v>
      </c>
      <c r="Y502" s="164">
        <f>_xll.qlCalendarAdvance(Calendar,Y501,X502,"f",FALSE)</f>
        <v>42772</v>
      </c>
      <c r="Z502" s="188">
        <f>_xll.qlCalendarAdvance(Calendar,Y502,NDays&amp;"D")</f>
        <v>42774</v>
      </c>
      <c r="AA502" s="163">
        <v>1.5175558891719085E-3</v>
      </c>
      <c r="AB502" s="172">
        <v>1.0494203420652326E-3</v>
      </c>
    </row>
    <row r="503" spans="24:28" x14ac:dyDescent="0.2">
      <c r="X503" s="176" t="str">
        <f t="shared" si="41"/>
        <v>1D</v>
      </c>
      <c r="Y503" s="164">
        <f>_xll.qlCalendarAdvance(Calendar,Y502,X503,"f",FALSE)</f>
        <v>42773</v>
      </c>
      <c r="Z503" s="188">
        <f>_xll.qlCalendarAdvance(Calendar,Y503,NDays&amp;"D")</f>
        <v>42775</v>
      </c>
      <c r="AA503" s="163">
        <v>1.5220920865975506E-3</v>
      </c>
      <c r="AB503" s="172">
        <v>1.0598258226224289E-3</v>
      </c>
    </row>
    <row r="504" spans="24:28" x14ac:dyDescent="0.2">
      <c r="X504" s="176" t="str">
        <f t="shared" si="41"/>
        <v>1D</v>
      </c>
      <c r="Y504" s="164">
        <f>_xll.qlCalendarAdvance(Calendar,Y503,X504,"f",FALSE)</f>
        <v>42774</v>
      </c>
      <c r="Z504" s="188">
        <f>_xll.qlCalendarAdvance(Calendar,Y504,NDays&amp;"D")</f>
        <v>42776</v>
      </c>
      <c r="AA504" s="163">
        <v>1.5265923064115847E-3</v>
      </c>
      <c r="AB504" s="172">
        <v>1.0801155337070156E-3</v>
      </c>
    </row>
    <row r="505" spans="24:28" x14ac:dyDescent="0.2">
      <c r="X505" s="176" t="str">
        <f t="shared" si="41"/>
        <v>1D</v>
      </c>
      <c r="Y505" s="164">
        <f>_xll.qlCalendarAdvance(Calendar,Y504,X505,"f",FALSE)</f>
        <v>42775</v>
      </c>
      <c r="Z505" s="188">
        <f>_xll.qlCalendarAdvance(Calendar,Y505,NDays&amp;"D")</f>
        <v>42779</v>
      </c>
      <c r="AA505" s="163">
        <v>1.5418141851953758E-3</v>
      </c>
      <c r="AB505" s="172">
        <v>1.0998742727785782E-3</v>
      </c>
    </row>
    <row r="506" spans="24:28" x14ac:dyDescent="0.2">
      <c r="X506" s="176" t="str">
        <f t="shared" si="41"/>
        <v>1D</v>
      </c>
      <c r="Y506" s="164">
        <f>_xll.qlCalendarAdvance(Calendar,Y505,X506,"f",FALSE)</f>
        <v>42776</v>
      </c>
      <c r="Z506" s="188">
        <f>_xll.qlCalendarAdvance(Calendar,Y506,NDays&amp;"D")</f>
        <v>42780</v>
      </c>
      <c r="AA506" s="163">
        <v>1.5442511241641789E-3</v>
      </c>
      <c r="AB506" s="172">
        <v>1.1094930172195205E-3</v>
      </c>
    </row>
    <row r="507" spans="24:28" x14ac:dyDescent="0.2">
      <c r="X507" s="176" t="str">
        <f t="shared" si="41"/>
        <v>1D</v>
      </c>
      <c r="Y507" s="164">
        <f>_xll.qlCalendarAdvance(Calendar,Y506,X507,"f",FALSE)</f>
        <v>42779</v>
      </c>
      <c r="Z507" s="188">
        <f>_xll.qlCalendarAdvance(Calendar,Y507,NDays&amp;"D")</f>
        <v>42781</v>
      </c>
      <c r="AA507" s="163">
        <v>1.5485847419669102E-3</v>
      </c>
      <c r="AB507" s="172">
        <v>1.1189544144052377E-3</v>
      </c>
    </row>
    <row r="508" spans="24:28" x14ac:dyDescent="0.2">
      <c r="X508" s="176" t="str">
        <f t="shared" si="41"/>
        <v>1D</v>
      </c>
      <c r="Y508" s="164">
        <f>_xll.qlCalendarAdvance(Calendar,Y507,X508,"f",FALSE)</f>
        <v>42780</v>
      </c>
      <c r="Z508" s="188">
        <f>_xll.qlCalendarAdvance(Calendar,Y508,NDays&amp;"D")</f>
        <v>42782</v>
      </c>
      <c r="AA508" s="163">
        <v>1.5528876966436804E-3</v>
      </c>
      <c r="AB508" s="172">
        <v>1.1282584642557936E-3</v>
      </c>
    </row>
    <row r="509" spans="24:28" x14ac:dyDescent="0.2">
      <c r="X509" s="176" t="str">
        <f t="shared" si="41"/>
        <v>1D</v>
      </c>
      <c r="Y509" s="164">
        <f>_xll.qlCalendarAdvance(Calendar,Y508,X509,"f",FALSE)</f>
        <v>42781</v>
      </c>
      <c r="Z509" s="188">
        <f>_xll.qlCalendarAdvance(Calendar,Y509,NDays&amp;"D")</f>
        <v>42783</v>
      </c>
      <c r="AA509" s="163">
        <v>1.5571608739765454E-3</v>
      </c>
      <c r="AB509" s="172">
        <v>1.1463457232530061E-3</v>
      </c>
    </row>
    <row r="510" spans="24:28" x14ac:dyDescent="0.2">
      <c r="X510" s="176" t="str">
        <f t="shared" si="41"/>
        <v>1D</v>
      </c>
      <c r="Y510" s="164">
        <f>_xll.qlCalendarAdvance(Calendar,Y509,X510,"f",FALSE)</f>
        <v>42782</v>
      </c>
      <c r="Z510" s="188">
        <f>_xll.qlCalendarAdvance(Calendar,Y510,NDays&amp;"D")</f>
        <v>42786</v>
      </c>
      <c r="AA510" s="163">
        <v>1.571725441873475E-3</v>
      </c>
      <c r="AB510" s="172">
        <v>1.1639011907060848E-3</v>
      </c>
    </row>
    <row r="511" spans="24:28" x14ac:dyDescent="0.2">
      <c r="X511" s="176" t="str">
        <f t="shared" si="41"/>
        <v>1D</v>
      </c>
      <c r="Y511" s="164">
        <f>_xll.qlCalendarAdvance(Calendar,Y510,X511,"f",FALSE)</f>
        <v>42783</v>
      </c>
      <c r="Z511" s="188">
        <f>_xll.qlCalendarAdvance(Calendar,Y511,NDays&amp;"D")</f>
        <v>42787</v>
      </c>
      <c r="AA511" s="163">
        <v>1.5739735257825468E-3</v>
      </c>
      <c r="AB511" s="172">
        <v>1.1724185040407065E-3</v>
      </c>
    </row>
    <row r="512" spans="24:28" x14ac:dyDescent="0.2">
      <c r="X512" s="176" t="str">
        <f t="shared" si="41"/>
        <v>1D</v>
      </c>
      <c r="Y512" s="164">
        <f>_xll.qlCalendarAdvance(Calendar,Y511,X512,"f",FALSE)</f>
        <v>42786</v>
      </c>
      <c r="Z512" s="188">
        <f>_xll.qlCalendarAdvance(Calendar,Y512,NDays&amp;"D")</f>
        <v>42788</v>
      </c>
      <c r="AA512" s="163">
        <v>1.578111103409804E-3</v>
      </c>
      <c r="AB512" s="172">
        <v>1.1807784700401669E-3</v>
      </c>
    </row>
    <row r="513" spans="24:28" x14ac:dyDescent="0.2">
      <c r="X513" s="176" t="str">
        <f t="shared" si="41"/>
        <v>1D</v>
      </c>
      <c r="Y513" s="164">
        <f>_xll.qlCalendarAdvance(Calendar,Y512,X513,"f",FALSE)</f>
        <v>42787</v>
      </c>
      <c r="Z513" s="188">
        <f>_xll.qlCalendarAdvance(Calendar,Y513,NDays&amp;"D")</f>
        <v>42789</v>
      </c>
      <c r="AA513" s="163">
        <v>1.582224218559051E-3</v>
      </c>
      <c r="AB513" s="172">
        <v>1.18898108862453E-3</v>
      </c>
    </row>
    <row r="514" spans="24:28" x14ac:dyDescent="0.2">
      <c r="X514" s="176" t="str">
        <f t="shared" si="41"/>
        <v>1D</v>
      </c>
      <c r="Y514" s="164">
        <f>_xll.qlCalendarAdvance(Calendar,Y513,X514,"f",FALSE)</f>
        <v>42788</v>
      </c>
      <c r="Z514" s="188">
        <f>_xll.qlCalendarAdvance(Calendar,Y514,NDays&amp;"D")</f>
        <v>42790</v>
      </c>
      <c r="AA514" s="163">
        <v>1.5863137570719641E-3</v>
      </c>
      <c r="AB514" s="172">
        <v>1.2048822712085183E-3</v>
      </c>
    </row>
    <row r="515" spans="24:28" x14ac:dyDescent="0.2">
      <c r="X515" s="176" t="str">
        <f t="shared" si="41"/>
        <v>1D</v>
      </c>
      <c r="Y515" s="164">
        <f>_xll.qlCalendarAdvance(Calendar,Y514,X515,"f",FALSE)</f>
        <v>42789</v>
      </c>
      <c r="Z515" s="188">
        <f>_xll.qlCalendarAdvance(Calendar,Y515,NDays&amp;"D")</f>
        <v>42793</v>
      </c>
      <c r="AA515" s="163">
        <v>1.6003587963508126E-3</v>
      </c>
      <c r="AB515" s="172">
        <v>1.2202855284648706E-3</v>
      </c>
    </row>
    <row r="516" spans="24:28" x14ac:dyDescent="0.2">
      <c r="X516" s="176" t="str">
        <f t="shared" si="41"/>
        <v>1D</v>
      </c>
      <c r="Y516" s="164">
        <f>_xll.qlCalendarAdvance(Calendar,Y515,X516,"f",FALSE)</f>
        <v>42790</v>
      </c>
      <c r="Z516" s="188">
        <f>_xll.qlCalendarAdvance(Calendar,Y516,NDays&amp;"D")</f>
        <v>42794</v>
      </c>
      <c r="AA516" s="163">
        <v>1.60818282887672E-3</v>
      </c>
      <c r="AB516" s="172">
        <v>1.227745154501747E-3</v>
      </c>
    </row>
    <row r="517" spans="24:28" x14ac:dyDescent="0.2">
      <c r="X517" s="176" t="str">
        <f t="shared" si="41"/>
        <v>1D</v>
      </c>
      <c r="Y517" s="164">
        <f>_xll.qlCalendarAdvance(Calendar,Y516,X517,"f",FALSE)</f>
        <v>42793</v>
      </c>
      <c r="Z517" s="188">
        <f>_xll.qlCalendarAdvance(Calendar,Y517,NDays&amp;"D")</f>
        <v>42795</v>
      </c>
      <c r="AA517" s="163">
        <v>1.6121668337822626E-3</v>
      </c>
      <c r="AB517" s="172">
        <v>1.2350583692555261E-3</v>
      </c>
    </row>
    <row r="518" spans="24:28" x14ac:dyDescent="0.2">
      <c r="X518" s="176" t="str">
        <f t="shared" si="41"/>
        <v>1D</v>
      </c>
      <c r="Y518" s="164">
        <f>_xll.qlCalendarAdvance(Calendar,Y517,X518,"f",FALSE)</f>
        <v>42794</v>
      </c>
      <c r="Z518" s="188">
        <f>_xll.qlCalendarAdvance(Calendar,Y518,NDays&amp;"D")</f>
        <v>42796</v>
      </c>
      <c r="AA518" s="163">
        <v>1.6199564548427972E-3</v>
      </c>
      <c r="AB518" s="172">
        <v>1.2422251727262079E-3</v>
      </c>
    </row>
    <row r="519" spans="24:28" x14ac:dyDescent="0.2">
      <c r="X519" s="176" t="str">
        <f t="shared" si="41"/>
        <v>1D</v>
      </c>
      <c r="Y519" s="164">
        <f>_xll.qlCalendarAdvance(Calendar,Y518,X519,"f",FALSE)</f>
        <v>42795</v>
      </c>
      <c r="Z519" s="188">
        <f>_xll.qlCalendarAdvance(Calendar,Y519,NDays&amp;"D")</f>
        <v>42797</v>
      </c>
      <c r="AA519" s="163">
        <v>1.621992648667935E-3</v>
      </c>
      <c r="AB519" s="172">
        <v>1.2560751242318702E-3</v>
      </c>
    </row>
    <row r="520" spans="24:28" x14ac:dyDescent="0.2">
      <c r="X520" s="176" t="str">
        <f t="shared" si="41"/>
        <v>1D</v>
      </c>
      <c r="Y520" s="164">
        <f>_xll.qlCalendarAdvance(Calendar,Y519,X520,"f",FALSE)</f>
        <v>42796</v>
      </c>
      <c r="Z520" s="188">
        <f>_xll.qlCalendarAdvance(Calendar,Y520,NDays&amp;"D")</f>
        <v>42800</v>
      </c>
      <c r="AA520" s="163">
        <v>1.6318298882008705E-3</v>
      </c>
      <c r="AB520" s="172">
        <v>1.2694282729786011E-3</v>
      </c>
    </row>
    <row r="521" spans="24:28" x14ac:dyDescent="0.2">
      <c r="X521" s="176" t="str">
        <f t="shared" si="41"/>
        <v>1D</v>
      </c>
      <c r="Y521" s="164">
        <f>_xll.qlCalendarAdvance(Calendar,Y520,X521,"f",FALSE)</f>
        <v>42797</v>
      </c>
      <c r="Z521" s="188">
        <f>_xll.qlCalendarAdvance(Calendar,Y521,NDays&amp;"D")</f>
        <v>42801</v>
      </c>
      <c r="AA521" s="163">
        <v>1.6357167890086069E-3</v>
      </c>
      <c r="AB521" s="172">
        <v>1.2758630197140519E-3</v>
      </c>
    </row>
    <row r="522" spans="24:28" x14ac:dyDescent="0.2">
      <c r="X522" s="176" t="str">
        <f t="shared" si="41"/>
        <v>1D</v>
      </c>
      <c r="Y522" s="164">
        <f>_xll.qlCalendarAdvance(Calendar,Y521,X522,"f",FALSE)</f>
        <v>42800</v>
      </c>
      <c r="Z522" s="188">
        <f>_xll.qlCalendarAdvance(Calendar,Y522,NDays&amp;"D")</f>
        <v>42802</v>
      </c>
      <c r="AA522" s="163">
        <v>1.6395903478053692E-3</v>
      </c>
      <c r="AB522" s="172">
        <v>1.2821513549265973E-3</v>
      </c>
    </row>
    <row r="523" spans="24:28" x14ac:dyDescent="0.2">
      <c r="X523" s="176" t="str">
        <f t="shared" si="41"/>
        <v>1D</v>
      </c>
      <c r="Y523" s="164">
        <f>_xll.qlCalendarAdvance(Calendar,Y522,X523,"f",FALSE)</f>
        <v>42801</v>
      </c>
      <c r="Z523" s="188">
        <f>_xll.qlCalendarAdvance(Calendar,Y523,NDays&amp;"D")</f>
        <v>42803</v>
      </c>
      <c r="AA523" s="163">
        <v>1.6472815009722424E-3</v>
      </c>
      <c r="AB523" s="172">
        <v>1.2882932789359813E-3</v>
      </c>
    </row>
    <row r="524" spans="24:28" x14ac:dyDescent="0.2">
      <c r="X524" s="176" t="str">
        <f t="shared" si="41"/>
        <v>1D</v>
      </c>
      <c r="Y524" s="164">
        <f>_xll.qlCalendarAdvance(Calendar,Y523,X524,"f",FALSE)</f>
        <v>42802</v>
      </c>
      <c r="Z524" s="188">
        <f>_xll.qlCalendarAdvance(Calendar,Y524,NDays&amp;"D")</f>
        <v>42804</v>
      </c>
      <c r="AA524" s="163">
        <v>1.6492160759758263E-3</v>
      </c>
      <c r="AB524" s="172">
        <v>1.3000937838558713E-3</v>
      </c>
    </row>
    <row r="525" spans="24:28" x14ac:dyDescent="0.2">
      <c r="X525" s="176" t="str">
        <f t="shared" si="41"/>
        <v>1D</v>
      </c>
      <c r="Y525" s="164">
        <f>_xll.qlCalendarAdvance(Calendar,Y524,X525,"f",FALSE)</f>
        <v>42803</v>
      </c>
      <c r="Z525" s="188">
        <f>_xll.qlCalendarAdvance(Calendar,Y525,NDays&amp;"D")</f>
        <v>42807</v>
      </c>
      <c r="AA525" s="163">
        <v>1.6587864325371454E-3</v>
      </c>
      <c r="AB525" s="172">
        <v>1.3113968607036952E-3</v>
      </c>
    </row>
    <row r="526" spans="24:28" x14ac:dyDescent="0.2">
      <c r="X526" s="176" t="str">
        <f t="shared" si="41"/>
        <v>1D</v>
      </c>
      <c r="Y526" s="164">
        <f>_xll.qlCalendarAdvance(Calendar,Y525,X526,"f",FALSE)</f>
        <v>42804</v>
      </c>
      <c r="Z526" s="188">
        <f>_xll.qlCalendarAdvance(Calendar,Y526,NDays&amp;"D")</f>
        <v>42808</v>
      </c>
      <c r="AA526" s="163">
        <v>1.6625969919086658E-3</v>
      </c>
      <c r="AB526" s="172">
        <v>1.3168067275781681E-3</v>
      </c>
    </row>
    <row r="527" spans="24:28" x14ac:dyDescent="0.2">
      <c r="X527" s="176" t="str">
        <f t="shared" si="41"/>
        <v>1D</v>
      </c>
      <c r="Y527" s="164">
        <f>_xll.qlCalendarAdvance(Calendar,Y526,X527,"f",FALSE)</f>
        <v>42807</v>
      </c>
      <c r="Z527" s="188">
        <f>_xll.qlCalendarAdvance(Calendar,Y527,NDays&amp;"D")</f>
        <v>42809</v>
      </c>
      <c r="AA527" s="163">
        <v>1.6663998935440019E-3</v>
      </c>
      <c r="AB527" s="172">
        <v>1.3220701831695436E-3</v>
      </c>
    </row>
    <row r="528" spans="24:28" x14ac:dyDescent="0.2">
      <c r="X528" s="176" t="str">
        <f t="shared" si="41"/>
        <v>1D</v>
      </c>
      <c r="Y528" s="164">
        <f>_xll.qlCalendarAdvance(Calendar,Y527,X528,"f",FALSE)</f>
        <v>42808</v>
      </c>
      <c r="Z528" s="188">
        <f>_xll.qlCalendarAdvance(Calendar,Y528,NDays&amp;"D")</f>
        <v>42810</v>
      </c>
      <c r="AA528" s="163">
        <v>1.6740400679739957E-3</v>
      </c>
      <c r="AB528" s="172">
        <v>1.3271872271580776E-3</v>
      </c>
    </row>
    <row r="529" spans="24:28" x14ac:dyDescent="0.2">
      <c r="X529" s="176" t="str">
        <f t="shared" si="41"/>
        <v>1D</v>
      </c>
      <c r="Y529" s="164">
        <f>_xll.qlCalendarAdvance(Calendar,Y528,X529,"f",FALSE)</f>
        <v>42809</v>
      </c>
      <c r="Z529" s="188">
        <f>_xll.qlCalendarAdvance(Calendar,Y529,NDays&amp;"D")</f>
        <v>42811</v>
      </c>
      <c r="AA529" s="163">
        <v>1.6759087697366612E-3</v>
      </c>
      <c r="AB529" s="172">
        <v>1.3369382421668519E-3</v>
      </c>
    </row>
    <row r="530" spans="24:28" x14ac:dyDescent="0.2">
      <c r="X530" s="176" t="str">
        <f t="shared" si="41"/>
        <v>1D</v>
      </c>
      <c r="Y530" s="164">
        <f>_xll.qlCalendarAdvance(Calendar,Y529,X530,"f",FALSE)</f>
        <v>42810</v>
      </c>
      <c r="Z530" s="188">
        <f>_xll.qlCalendarAdvance(Calendar,Y530,NDays&amp;"D")</f>
        <v>42814</v>
      </c>
      <c r="AA530" s="163">
        <v>1.6853279581813989E-3</v>
      </c>
      <c r="AB530" s="172">
        <v>1.3461912891621353E-3</v>
      </c>
    </row>
    <row r="531" spans="24:28" x14ac:dyDescent="0.2">
      <c r="X531" s="176" t="str">
        <f t="shared" si="41"/>
        <v>1D</v>
      </c>
      <c r="Y531" s="164">
        <f>_xll.qlCalendarAdvance(Calendar,Y530,X531,"f",FALSE)</f>
        <v>42811</v>
      </c>
      <c r="Z531" s="188">
        <f>_xll.qlCalendarAdvance(Calendar,Y531,NDays&amp;"D")</f>
        <v>42815</v>
      </c>
      <c r="AA531" s="163">
        <v>1.6891019669903425E-3</v>
      </c>
      <c r="AB531" s="172">
        <v>1.3505762758558859E-3</v>
      </c>
    </row>
    <row r="532" spans="24:28" x14ac:dyDescent="0.2">
      <c r="X532" s="176" t="str">
        <f t="shared" si="41"/>
        <v>1D</v>
      </c>
      <c r="Y532" s="164">
        <f>_xll.qlCalendarAdvance(Calendar,Y531,X532,"f",FALSE)</f>
        <v>42814</v>
      </c>
      <c r="Z532" s="188">
        <f>_xll.qlCalendarAdvance(Calendar,Y532,NDays&amp;"D")</f>
        <v>42816</v>
      </c>
      <c r="AA532" s="163">
        <v>1.6928740026532919E-3</v>
      </c>
      <c r="AB532" s="172">
        <v>1.3548148513464753E-3</v>
      </c>
    </row>
    <row r="533" spans="24:28" x14ac:dyDescent="0.2">
      <c r="X533" s="176" t="str">
        <f t="shared" ref="X533:X596" si="42">X532</f>
        <v>1D</v>
      </c>
      <c r="Y533" s="164">
        <f>_xll.qlCalendarAdvance(Calendar,Y532,X533,"f",FALSE)</f>
        <v>42815</v>
      </c>
      <c r="Z533" s="188">
        <f>_xll.qlCalendarAdvance(Calendar,Y533,NDays&amp;"D")</f>
        <v>42817</v>
      </c>
      <c r="AA533" s="163">
        <v>1.700507697685146E-3</v>
      </c>
      <c r="AB533" s="172">
        <v>1.3589070152342231E-3</v>
      </c>
    </row>
    <row r="534" spans="24:28" x14ac:dyDescent="0.2">
      <c r="X534" s="176" t="str">
        <f t="shared" si="42"/>
        <v>1D</v>
      </c>
      <c r="Y534" s="164">
        <f>_xll.qlCalendarAdvance(Calendar,Y533,X534,"f",FALSE)</f>
        <v>42816</v>
      </c>
      <c r="Z534" s="188">
        <f>_xll.qlCalendarAdvance(Calendar,Y534,NDays&amp;"D")</f>
        <v>42818</v>
      </c>
      <c r="AA534" s="163">
        <v>1.7023477619374117E-3</v>
      </c>
      <c r="AB534" s="172">
        <v>1.3666084925834099E-3</v>
      </c>
    </row>
    <row r="535" spans="24:28" x14ac:dyDescent="0.2">
      <c r="X535" s="176" t="str">
        <f t="shared" si="42"/>
        <v>1D</v>
      </c>
      <c r="Y535" s="164">
        <f>_xll.qlCalendarAdvance(Calendar,Y534,X535,"f",FALSE)</f>
        <v>42817</v>
      </c>
      <c r="Z535" s="188">
        <f>_xll.qlCalendarAdvance(Calendar,Y535,NDays&amp;"D")</f>
        <v>42821</v>
      </c>
      <c r="AA535" s="163">
        <v>1.7117330078125529E-3</v>
      </c>
      <c r="AB535" s="172">
        <v>1.3738364396509439E-3</v>
      </c>
    </row>
    <row r="536" spans="24:28" x14ac:dyDescent="0.2">
      <c r="X536" s="176" t="str">
        <f t="shared" si="42"/>
        <v>1D</v>
      </c>
      <c r="Y536" s="164">
        <f>_xll.qlCalendarAdvance(Calendar,Y535,X536,"f",FALSE)</f>
        <v>42818</v>
      </c>
      <c r="Z536" s="188">
        <f>_xll.qlCalendarAdvance(Calendar,Y536,NDays&amp;"D")</f>
        <v>42822</v>
      </c>
      <c r="AA536" s="163">
        <v>1.7155101237564809E-3</v>
      </c>
      <c r="AB536" s="172">
        <v>1.3773458474553024E-3</v>
      </c>
    </row>
    <row r="537" spans="24:28" x14ac:dyDescent="0.2">
      <c r="X537" s="176" t="s">
        <v>143</v>
      </c>
      <c r="Y537" s="164">
        <f>_xll.qlCalendarAdvance(Calendar,Y536,X537,"f",FALSE)</f>
        <v>42825</v>
      </c>
      <c r="Z537" s="188">
        <f>_xll.qlCalendarAdvance(Calendar,Y537,NDays&amp;"D")</f>
        <v>42829</v>
      </c>
      <c r="AA537" s="163">
        <v>1.7400836231157746E-3</v>
      </c>
      <c r="AB537" s="172">
        <v>1.4019926178399089E-3</v>
      </c>
    </row>
    <row r="538" spans="24:28" x14ac:dyDescent="0.2">
      <c r="X538" s="176" t="str">
        <f t="shared" si="42"/>
        <v>1w</v>
      </c>
      <c r="Y538" s="164">
        <f>_xll.qlCalendarAdvance(Calendar,Y537,X538,"f",FALSE)</f>
        <v>42832</v>
      </c>
      <c r="Z538" s="188">
        <f>_xll.qlCalendarAdvance(Calendar,Y538,NDays&amp;"D")</f>
        <v>42836</v>
      </c>
      <c r="AA538" s="163">
        <v>1.7667364325087303E-3</v>
      </c>
      <c r="AB538" s="172">
        <v>1.426780990394505E-3</v>
      </c>
    </row>
    <row r="539" spans="24:28" x14ac:dyDescent="0.2">
      <c r="X539" s="176" t="str">
        <f t="shared" si="42"/>
        <v>1w</v>
      </c>
      <c r="Y539" s="164">
        <f>_xll.qlCalendarAdvance(Calendar,Y538,X539,"f",FALSE)</f>
        <v>42843</v>
      </c>
      <c r="Z539" s="188">
        <f>_xll.qlCalendarAdvance(Calendar,Y539,NDays&amp;"D")</f>
        <v>42845</v>
      </c>
      <c r="AA539" s="163">
        <v>1.8012131161600927E-3</v>
      </c>
      <c r="AB539" s="172">
        <v>1.458859823664227E-3</v>
      </c>
    </row>
    <row r="540" spans="24:28" x14ac:dyDescent="0.2">
      <c r="X540" s="176" t="str">
        <f t="shared" si="42"/>
        <v>1w</v>
      </c>
      <c r="Y540" s="164">
        <f>_xll.qlCalendarAdvance(Calendar,Y539,X540,"f",FALSE)</f>
        <v>42850</v>
      </c>
      <c r="Z540" s="188">
        <f>_xll.qlCalendarAdvance(Calendar,Y540,NDays&amp;"D")</f>
        <v>42852</v>
      </c>
      <c r="AA540" s="163">
        <v>1.8281907108114082E-3</v>
      </c>
      <c r="AB540" s="172">
        <v>1.4839718584358508E-3</v>
      </c>
    </row>
    <row r="541" spans="24:28" x14ac:dyDescent="0.2">
      <c r="X541" s="176" t="str">
        <f t="shared" si="42"/>
        <v>1w</v>
      </c>
      <c r="Y541" s="164">
        <f>_xll.qlCalendarAdvance(Calendar,Y540,X541,"f",FALSE)</f>
        <v>42857</v>
      </c>
      <c r="Z541" s="188">
        <f>_xll.qlCalendarAdvance(Calendar,Y541,NDays&amp;"D")</f>
        <v>42859</v>
      </c>
      <c r="AA541" s="163">
        <v>1.861288109012122E-3</v>
      </c>
      <c r="AB541" s="172">
        <v>1.5092254955373363E-3</v>
      </c>
    </row>
    <row r="542" spans="24:28" x14ac:dyDescent="0.2">
      <c r="X542" s="176" t="str">
        <f t="shared" si="42"/>
        <v>1w</v>
      </c>
      <c r="Y542" s="164">
        <f>_xll.qlCalendarAdvance(Calendar,Y541,X542,"f",FALSE)</f>
        <v>42864</v>
      </c>
      <c r="Z542" s="188">
        <f>_xll.qlCalendarAdvance(Calendar,Y542,NDays&amp;"D")</f>
        <v>42866</v>
      </c>
      <c r="AA542" s="163">
        <v>1.8885807965023584E-3</v>
      </c>
      <c r="AB542" s="172">
        <v>1.5346207349686836E-3</v>
      </c>
    </row>
    <row r="543" spans="24:28" x14ac:dyDescent="0.2">
      <c r="X543" s="176" t="str">
        <f t="shared" si="42"/>
        <v>1w</v>
      </c>
      <c r="Y543" s="164">
        <f>_xll.qlCalendarAdvance(Calendar,Y542,X543,"f",FALSE)</f>
        <v>42871</v>
      </c>
      <c r="Z543" s="188">
        <f>_xll.qlCalendarAdvance(Calendar,Y543,NDays&amp;"D")</f>
        <v>42873</v>
      </c>
      <c r="AA543" s="163">
        <v>1.9160156085988721E-3</v>
      </c>
      <c r="AB543" s="172">
        <v>1.5601575767298925E-3</v>
      </c>
    </row>
    <row r="544" spans="24:28" x14ac:dyDescent="0.2">
      <c r="X544" s="176" t="str">
        <f t="shared" si="42"/>
        <v>1w</v>
      </c>
      <c r="Y544" s="164">
        <f>_xll.qlCalendarAdvance(Calendar,Y543,X544,"f",FALSE)</f>
        <v>42878</v>
      </c>
      <c r="Z544" s="188">
        <f>_xll.qlCalendarAdvance(Calendar,Y544,NDays&amp;"D")</f>
        <v>42880</v>
      </c>
      <c r="AA544" s="163">
        <v>1.9435925513303892E-3</v>
      </c>
      <c r="AB544" s="172">
        <v>1.5858360209808353E-3</v>
      </c>
    </row>
    <row r="545" spans="24:28" x14ac:dyDescent="0.2">
      <c r="X545" s="176" t="str">
        <f t="shared" si="42"/>
        <v>1w</v>
      </c>
      <c r="Y545" s="164">
        <f>_xll.qlCalendarAdvance(Calendar,Y544,X545,"f",FALSE)</f>
        <v>42885</v>
      </c>
      <c r="Z545" s="188">
        <f>_xll.qlCalendarAdvance(Calendar,Y545,NDays&amp;"D")</f>
        <v>42887</v>
      </c>
      <c r="AA545" s="163">
        <v>1.9652103483814654E-3</v>
      </c>
      <c r="AB545" s="172">
        <v>1.6116560674817038E-3</v>
      </c>
    </row>
    <row r="546" spans="24:28" x14ac:dyDescent="0.2">
      <c r="X546" s="176" t="str">
        <f t="shared" si="42"/>
        <v>1w</v>
      </c>
      <c r="Y546" s="164">
        <f>_xll.qlCalendarAdvance(Calendar,Y545,X546,"f",FALSE)</f>
        <v>42892</v>
      </c>
      <c r="Z546" s="188">
        <f>_xll.qlCalendarAdvance(Calendar,Y546,NDays&amp;"D")</f>
        <v>42894</v>
      </c>
      <c r="AA546" s="163">
        <v>1.9930406502176425E-3</v>
      </c>
      <c r="AB546" s="172">
        <v>1.637617716472306E-3</v>
      </c>
    </row>
    <row r="547" spans="24:28" x14ac:dyDescent="0.2">
      <c r="X547" s="176" t="str">
        <f t="shared" si="42"/>
        <v>1w</v>
      </c>
      <c r="Y547" s="164">
        <f>_xll.qlCalendarAdvance(Calendar,Y546,X547,"f",FALSE)</f>
        <v>42899</v>
      </c>
      <c r="Z547" s="188">
        <f>_xll.qlCalendarAdvance(Calendar,Y547,NDays&amp;"D")</f>
        <v>42901</v>
      </c>
      <c r="AA547" s="163">
        <v>2.0210130907921948E-3</v>
      </c>
      <c r="AB547" s="172">
        <v>1.6637209680325782E-3</v>
      </c>
    </row>
    <row r="548" spans="24:28" x14ac:dyDescent="0.2">
      <c r="X548" s="176" t="str">
        <f t="shared" si="42"/>
        <v>1w</v>
      </c>
      <c r="Y548" s="164">
        <f>_xll.qlCalendarAdvance(Calendar,Y547,X548,"f",FALSE)</f>
        <v>42906</v>
      </c>
      <c r="Z548" s="188">
        <f>_xll.qlCalendarAdvance(Calendar,Y548,NDays&amp;"D")</f>
        <v>42908</v>
      </c>
      <c r="AA548" s="163">
        <v>2.0491276761496857E-3</v>
      </c>
      <c r="AB548" s="172">
        <v>1.6899658220026481E-3</v>
      </c>
    </row>
    <row r="549" spans="24:28" x14ac:dyDescent="0.2">
      <c r="X549" s="176" t="str">
        <f t="shared" si="42"/>
        <v>1w</v>
      </c>
      <c r="Y549" s="164">
        <f>_xll.qlCalendarAdvance(Calendar,Y548,X549,"f",FALSE)</f>
        <v>42913</v>
      </c>
      <c r="Z549" s="188">
        <f>_xll.qlCalendarAdvance(Calendar,Y549,NDays&amp;"D")</f>
        <v>42915</v>
      </c>
      <c r="AA549" s="163">
        <v>2.0773844123687505E-3</v>
      </c>
      <c r="AB549" s="172">
        <v>1.7163522784624519E-3</v>
      </c>
    </row>
    <row r="550" spans="24:28" x14ac:dyDescent="0.2">
      <c r="X550" s="176" t="str">
        <f t="shared" si="42"/>
        <v>1w</v>
      </c>
      <c r="Y550" s="164">
        <f>_xll.qlCalendarAdvance(Calendar,Y549,X550,"f",FALSE)</f>
        <v>42920</v>
      </c>
      <c r="Z550" s="188">
        <f>_xll.qlCalendarAdvance(Calendar,Y550,NDays&amp;"D")</f>
        <v>42922</v>
      </c>
      <c r="AA550" s="163">
        <v>2.1120392924786533E-3</v>
      </c>
      <c r="AB550" s="172">
        <v>1.7428803375718616E-3</v>
      </c>
    </row>
    <row r="551" spans="24:28" x14ac:dyDescent="0.2">
      <c r="X551" s="176" t="str">
        <f t="shared" si="42"/>
        <v>1w</v>
      </c>
      <c r="Y551" s="164">
        <f>_xll.qlCalendarAdvance(Calendar,Y550,X551,"f",FALSE)</f>
        <v>42927</v>
      </c>
      <c r="Z551" s="188">
        <f>_xll.qlCalendarAdvance(Calendar,Y551,NDays&amp;"D")</f>
        <v>42929</v>
      </c>
      <c r="AA551" s="163">
        <v>2.1406113210286461E-3</v>
      </c>
      <c r="AB551" s="172">
        <v>1.7695499992509411E-3</v>
      </c>
    </row>
    <row r="552" spans="24:28" x14ac:dyDescent="0.2">
      <c r="X552" s="176" t="str">
        <f t="shared" si="42"/>
        <v>1w</v>
      </c>
      <c r="Y552" s="164">
        <f>_xll.qlCalendarAdvance(Calendar,Y551,X552,"f",FALSE)</f>
        <v>42934</v>
      </c>
      <c r="Z552" s="188">
        <f>_xll.qlCalendarAdvance(Calendar,Y552,NDays&amp;"D")</f>
        <v>42936</v>
      </c>
      <c r="AA552" s="163">
        <v>2.1693255295543892E-3</v>
      </c>
      <c r="AB552" s="172">
        <v>1.7963612635796267E-3</v>
      </c>
    </row>
    <row r="553" spans="24:28" x14ac:dyDescent="0.2">
      <c r="X553" s="176" t="str">
        <f t="shared" si="42"/>
        <v>1w</v>
      </c>
      <c r="Y553" s="164">
        <f>_xll.qlCalendarAdvance(Calendar,Y552,X553,"f",FALSE)</f>
        <v>42941</v>
      </c>
      <c r="Z553" s="188">
        <f>_xll.qlCalendarAdvance(Calendar,Y553,NDays&amp;"D")</f>
        <v>42943</v>
      </c>
      <c r="AA553" s="163">
        <v>2.1981819243635245E-3</v>
      </c>
      <c r="AB553" s="172">
        <v>1.8233141305579181E-3</v>
      </c>
    </row>
    <row r="554" spans="24:28" x14ac:dyDescent="0.2">
      <c r="X554" s="176" t="str">
        <f t="shared" si="42"/>
        <v>1w</v>
      </c>
      <c r="Y554" s="164">
        <f>_xll.qlCalendarAdvance(Calendar,Y553,X554,"f",FALSE)</f>
        <v>42948</v>
      </c>
      <c r="Z554" s="188">
        <f>_xll.qlCalendarAdvance(Calendar,Y554,NDays&amp;"D")</f>
        <v>42950</v>
      </c>
      <c r="AA554" s="163">
        <v>2.2271805117967864E-3</v>
      </c>
      <c r="AB554" s="172">
        <v>1.8504086001858155E-3</v>
      </c>
    </row>
    <row r="555" spans="24:28" x14ac:dyDescent="0.2">
      <c r="X555" s="176" t="str">
        <f t="shared" si="42"/>
        <v>1w</v>
      </c>
      <c r="Y555" s="164">
        <f>_xll.qlCalendarAdvance(Calendar,Y554,X555,"f",FALSE)</f>
        <v>42955</v>
      </c>
      <c r="Z555" s="188">
        <f>_xll.qlCalendarAdvance(Calendar,Y555,NDays&amp;"D")</f>
        <v>42957</v>
      </c>
      <c r="AA555" s="163">
        <v>2.2563212982249932E-3</v>
      </c>
      <c r="AB555" s="172">
        <v>1.877644672543255E-3</v>
      </c>
    </row>
    <row r="556" spans="24:28" x14ac:dyDescent="0.2">
      <c r="X556" s="176" t="str">
        <f t="shared" si="42"/>
        <v>1w</v>
      </c>
      <c r="Y556" s="164">
        <f>_xll.qlCalendarAdvance(Calendar,Y555,X556,"f",FALSE)</f>
        <v>42962</v>
      </c>
      <c r="Z556" s="188">
        <f>_xll.qlCalendarAdvance(Calendar,Y556,NDays&amp;"D")</f>
        <v>42964</v>
      </c>
      <c r="AA556" s="163">
        <v>2.285604290050335E-3</v>
      </c>
      <c r="AB556" s="172">
        <v>1.9050223477101724E-3</v>
      </c>
    </row>
    <row r="557" spans="24:28" x14ac:dyDescent="0.2">
      <c r="X557" s="176" t="str">
        <f t="shared" si="42"/>
        <v>1w</v>
      </c>
      <c r="Y557" s="164">
        <f>_xll.qlCalendarAdvance(Calendar,Y556,X557,"f",FALSE)</f>
        <v>42969</v>
      </c>
      <c r="Z557" s="188">
        <f>_xll.qlCalendarAdvance(Calendar,Y557,NDays&amp;"D")</f>
        <v>42971</v>
      </c>
      <c r="AA557" s="163">
        <v>2.3150294937068052E-3</v>
      </c>
      <c r="AB557" s="172">
        <v>1.932541625686568E-3</v>
      </c>
    </row>
    <row r="558" spans="24:28" x14ac:dyDescent="0.2">
      <c r="X558" s="176" t="str">
        <f t="shared" si="42"/>
        <v>1w</v>
      </c>
      <c r="Y558" s="164">
        <f>_xll.qlCalendarAdvance(Calendar,Y557,X558,"f",FALSE)</f>
        <v>42976</v>
      </c>
      <c r="Z558" s="188">
        <f>_xll.qlCalendarAdvance(Calendar,Y558,NDays&amp;"D")</f>
        <v>42978</v>
      </c>
      <c r="AA558" s="163">
        <v>2.3337617721380377E-3</v>
      </c>
      <c r="AB558" s="172">
        <v>1.9602025063925055E-3</v>
      </c>
    </row>
    <row r="559" spans="24:28" x14ac:dyDescent="0.2">
      <c r="X559" s="176" t="str">
        <f t="shared" si="42"/>
        <v>1w</v>
      </c>
      <c r="Y559" s="164">
        <f>_xll.qlCalendarAdvance(Calendar,Y558,X559,"f",FALSE)</f>
        <v>42983</v>
      </c>
      <c r="Z559" s="188">
        <f>_xll.qlCalendarAdvance(Calendar,Y559,NDays&amp;"D")</f>
        <v>42985</v>
      </c>
      <c r="AA559" s="163">
        <v>2.363419653315703E-3</v>
      </c>
      <c r="AB559" s="172">
        <v>1.9880049900677932E-3</v>
      </c>
    </row>
    <row r="560" spans="24:28" x14ac:dyDescent="0.2">
      <c r="X560" s="176" t="str">
        <f t="shared" si="42"/>
        <v>1w</v>
      </c>
      <c r="Y560" s="164">
        <f>_xll.qlCalendarAdvance(Calendar,Y559,X560,"f",FALSE)</f>
        <v>42990</v>
      </c>
      <c r="Z560" s="188">
        <f>_xll.qlCalendarAdvance(Calendar,Y560,NDays&amp;"D")</f>
        <v>42992</v>
      </c>
      <c r="AA560" s="163">
        <v>2.3932197465357315E-3</v>
      </c>
      <c r="AB560" s="172">
        <v>2.0159490765525589E-3</v>
      </c>
    </row>
    <row r="561" spans="24:28" x14ac:dyDescent="0.2">
      <c r="X561" s="176" t="str">
        <f t="shared" si="42"/>
        <v>1w</v>
      </c>
      <c r="Y561" s="164">
        <f>_xll.qlCalendarAdvance(Calendar,Y560,X561,"f",FALSE)</f>
        <v>42997</v>
      </c>
      <c r="Z561" s="188">
        <f>_xll.qlCalendarAdvance(Calendar,Y561,NDays&amp;"D")</f>
        <v>42999</v>
      </c>
      <c r="AA561" s="163">
        <v>2.4231620581696011E-3</v>
      </c>
      <c r="AB561" s="172">
        <v>2.0440347659267388E-3</v>
      </c>
    </row>
    <row r="562" spans="24:28" x14ac:dyDescent="0.2">
      <c r="X562" s="176" t="str">
        <f t="shared" si="42"/>
        <v>1w</v>
      </c>
      <c r="Y562" s="164">
        <f>_xll.qlCalendarAdvance(Calendar,Y561,X562,"f",FALSE)</f>
        <v>43004</v>
      </c>
      <c r="Z562" s="188">
        <f>_xll.qlCalendarAdvance(Calendar,Y562,NDays&amp;"D")</f>
        <v>43006</v>
      </c>
      <c r="AA562" s="163">
        <v>2.4532465545845468E-3</v>
      </c>
      <c r="AB562" s="172">
        <v>2.0722620583502049E-3</v>
      </c>
    </row>
    <row r="563" spans="24:28" x14ac:dyDescent="0.2">
      <c r="X563" s="176" t="str">
        <f t="shared" si="42"/>
        <v>1w</v>
      </c>
      <c r="Y563" s="164">
        <f>_xll.qlCalendarAdvance(Calendar,Y562,X563,"f",FALSE)</f>
        <v>43011</v>
      </c>
      <c r="Z563" s="188">
        <f>_xll.qlCalendarAdvance(Calendar,Y563,NDays&amp;"D")</f>
        <v>43013</v>
      </c>
      <c r="AA563" s="163">
        <v>2.4856852235348435E-3</v>
      </c>
      <c r="AB563" s="172">
        <v>2.1006309536630852E-3</v>
      </c>
    </row>
    <row r="564" spans="24:28" x14ac:dyDescent="0.2">
      <c r="X564" s="176" t="str">
        <f t="shared" si="42"/>
        <v>1w</v>
      </c>
      <c r="Y564" s="164">
        <f>_xll.qlCalendarAdvance(Calendar,Y563,X564,"f",FALSE)</f>
        <v>43018</v>
      </c>
      <c r="Z564" s="188">
        <f>_xll.qlCalendarAdvance(Calendar,Y564,NDays&amp;"D")</f>
        <v>43020</v>
      </c>
      <c r="AA564" s="163">
        <v>2.5160451254833275E-3</v>
      </c>
      <c r="AB564" s="172">
        <v>2.1291414520252516E-3</v>
      </c>
    </row>
    <row r="565" spans="24:28" x14ac:dyDescent="0.2">
      <c r="X565" s="176" t="str">
        <f t="shared" si="42"/>
        <v>1w</v>
      </c>
      <c r="Y565" s="164">
        <f>_xll.qlCalendarAdvance(Calendar,Y564,X565,"f",FALSE)</f>
        <v>43025</v>
      </c>
      <c r="Z565" s="188">
        <f>_xll.qlCalendarAdvance(Calendar,Y565,NDays&amp;"D")</f>
        <v>43027</v>
      </c>
      <c r="AA565" s="163">
        <v>2.546522399587762E-3</v>
      </c>
      <c r="AB565" s="172">
        <v>2.1577935534367043E-3</v>
      </c>
    </row>
    <row r="566" spans="24:28" x14ac:dyDescent="0.2">
      <c r="X566" s="176" t="str">
        <f t="shared" si="42"/>
        <v>1w</v>
      </c>
      <c r="Y566" s="164">
        <f>_xll.qlCalendarAdvance(Calendar,Y565,X566,"f",FALSE)</f>
        <v>43032</v>
      </c>
      <c r="Z566" s="188">
        <f>_xll.qlCalendarAdvance(Calendar,Y566,NDays&amp;"D")</f>
        <v>43034</v>
      </c>
      <c r="AA566" s="163">
        <v>2.5771068082474898E-3</v>
      </c>
      <c r="AB566" s="172">
        <v>2.1865872579773793E-3</v>
      </c>
    </row>
    <row r="567" spans="24:28" x14ac:dyDescent="0.2">
      <c r="X567" s="176" t="str">
        <f t="shared" si="42"/>
        <v>1w</v>
      </c>
      <c r="Y567" s="164">
        <f>_xll.qlCalendarAdvance(Calendar,Y566,X567,"f",FALSE)</f>
        <v>43039</v>
      </c>
      <c r="Z567" s="188">
        <f>_xll.qlCalendarAdvance(Calendar,Y567,NDays&amp;"D")</f>
        <v>43041</v>
      </c>
      <c r="AA567" s="163">
        <v>2.6055493723144102E-3</v>
      </c>
      <c r="AB567" s="172">
        <v>2.2155225655673405E-3</v>
      </c>
    </row>
    <row r="568" spans="24:28" x14ac:dyDescent="0.2">
      <c r="X568" s="176" t="str">
        <f t="shared" si="42"/>
        <v>1w</v>
      </c>
      <c r="Y568" s="164">
        <f>_xll.qlCalendarAdvance(Calendar,Y567,X568,"f",FALSE)</f>
        <v>43046</v>
      </c>
      <c r="Z568" s="188">
        <f>_xll.qlCalendarAdvance(Calendar,Y568,NDays&amp;"D")</f>
        <v>43048</v>
      </c>
      <c r="AA568" s="163">
        <v>2.6363145699613115E-3</v>
      </c>
      <c r="AB568" s="172">
        <v>2.2445994763664601E-3</v>
      </c>
    </row>
    <row r="569" spans="24:28" x14ac:dyDescent="0.2">
      <c r="X569" s="176" t="str">
        <f t="shared" si="42"/>
        <v>1w</v>
      </c>
      <c r="Y569" s="164">
        <f>_xll.qlCalendarAdvance(Calendar,Y568,X569,"f",FALSE)</f>
        <v>43053</v>
      </c>
      <c r="Z569" s="188">
        <f>_xll.qlCalendarAdvance(Calendar,Y569,NDays&amp;"D")</f>
        <v>43055</v>
      </c>
      <c r="AA569" s="163">
        <v>2.6671572899163434E-3</v>
      </c>
      <c r="AB569" s="172">
        <v>2.273817990374738E-3</v>
      </c>
    </row>
    <row r="570" spans="24:28" x14ac:dyDescent="0.2">
      <c r="X570" s="176" t="str">
        <f t="shared" si="42"/>
        <v>1w</v>
      </c>
      <c r="Y570" s="164">
        <f>_xll.qlCalendarAdvance(Calendar,Y569,X570,"f",FALSE)</f>
        <v>43060</v>
      </c>
      <c r="Z570" s="188">
        <f>_xll.qlCalendarAdvance(Calendar,Y570,NDays&amp;"D")</f>
        <v>43062</v>
      </c>
      <c r="AA570" s="163">
        <v>2.6980672356189958E-3</v>
      </c>
      <c r="AB570" s="172">
        <v>2.3031781075122382E-3</v>
      </c>
    </row>
    <row r="571" spans="24:28" x14ac:dyDescent="0.2">
      <c r="X571" s="176" t="str">
        <f t="shared" si="42"/>
        <v>1w</v>
      </c>
      <c r="Y571" s="164">
        <f>_xll.qlCalendarAdvance(Calendar,Y570,X571,"f",FALSE)</f>
        <v>43067</v>
      </c>
      <c r="Z571" s="188">
        <f>_xll.qlCalendarAdvance(Calendar,Y571,NDays&amp;"D")</f>
        <v>43069</v>
      </c>
      <c r="AA571" s="163">
        <v>2.7312775106180919E-3</v>
      </c>
      <c r="AB571" s="172">
        <v>2.3326798280187688E-3</v>
      </c>
    </row>
    <row r="572" spans="24:28" x14ac:dyDescent="0.2">
      <c r="X572" s="176" t="str">
        <f t="shared" si="42"/>
        <v>1w</v>
      </c>
      <c r="Y572" s="164">
        <f>_xll.qlCalendarAdvance(Calendar,Y571,X572,"f",FALSE)</f>
        <v>43074</v>
      </c>
      <c r="Z572" s="188">
        <f>_xll.qlCalendarAdvance(Calendar,Y572,NDays&amp;"D")</f>
        <v>43076</v>
      </c>
      <c r="AA572" s="163">
        <v>2.7622897022855182E-3</v>
      </c>
      <c r="AB572" s="172">
        <v>2.3623231517344578E-3</v>
      </c>
    </row>
    <row r="573" spans="24:28" x14ac:dyDescent="0.2">
      <c r="X573" s="176" t="str">
        <f t="shared" si="42"/>
        <v>1w</v>
      </c>
      <c r="Y573" s="164">
        <f>_xll.qlCalendarAdvance(Calendar,Y572,X573,"f",FALSE)</f>
        <v>43081</v>
      </c>
      <c r="Z573" s="188">
        <f>_xll.qlCalendarAdvance(Calendar,Y573,NDays&amp;"D")</f>
        <v>43083</v>
      </c>
      <c r="AA573" s="163">
        <v>2.7933373478569328E-3</v>
      </c>
      <c r="AB573" s="172">
        <v>2.3921080788191773E-3</v>
      </c>
    </row>
    <row r="574" spans="24:28" x14ac:dyDescent="0.2">
      <c r="X574" s="176" t="str">
        <f t="shared" si="42"/>
        <v>1w</v>
      </c>
      <c r="Y574" s="164">
        <f>_xll.qlCalendarAdvance(Calendar,Y573,X574,"f",FALSE)</f>
        <v>43088</v>
      </c>
      <c r="Z574" s="188">
        <f>_xll.qlCalendarAdvance(Calendar,Y574,NDays&amp;"D")</f>
        <v>43090</v>
      </c>
      <c r="AA574" s="163">
        <v>2.8244102047000987E-3</v>
      </c>
      <c r="AB574" s="172">
        <v>2.4220346092729272E-3</v>
      </c>
    </row>
    <row r="575" spans="24:28" x14ac:dyDescent="0.2">
      <c r="X575" s="176" t="str">
        <f t="shared" si="42"/>
        <v>1w</v>
      </c>
      <c r="Y575" s="164">
        <f>_xll.qlCalendarAdvance(Calendar,Y574,X575,"f",FALSE)</f>
        <v>43096</v>
      </c>
      <c r="Z575" s="188">
        <f>_xll.qlCalendarAdvance(Calendar,Y575,NDays&amp;"D")</f>
        <v>43098</v>
      </c>
      <c r="AA575" s="163">
        <v>2.8599397719518949E-3</v>
      </c>
      <c r="AB575" s="172">
        <v>2.462902759756691E-3</v>
      </c>
    </row>
    <row r="576" spans="24:28" x14ac:dyDescent="0.2">
      <c r="X576" s="176" t="str">
        <f t="shared" si="42"/>
        <v>1w</v>
      </c>
      <c r="Y576" s="164">
        <f>_xll.qlCalendarAdvance(Calendar,Y575,X576,"f",FALSE)</f>
        <v>43103</v>
      </c>
      <c r="Z576" s="188">
        <f>_xll.qlCalendarAdvance(Calendar,Y576,NDays&amp;"D")</f>
        <v>43105</v>
      </c>
      <c r="AA576" s="163">
        <v>2.8888042399176769E-3</v>
      </c>
      <c r="AB576" s="172">
        <v>2.4909880419166086E-3</v>
      </c>
    </row>
    <row r="577" spans="24:28" x14ac:dyDescent="0.2">
      <c r="X577" s="176" t="str">
        <f t="shared" si="42"/>
        <v>1w</v>
      </c>
      <c r="Y577" s="164">
        <f>_xll.qlCalendarAdvance(Calendar,Y576,X577,"f",FALSE)</f>
        <v>43110</v>
      </c>
      <c r="Z577" s="188">
        <f>_xll.qlCalendarAdvance(Calendar,Y577,NDays&amp;"D")</f>
        <v>43112</v>
      </c>
      <c r="AA577" s="163">
        <v>2.9198948723932762E-3</v>
      </c>
      <c r="AB577" s="172">
        <v>2.521380263962314E-3</v>
      </c>
    </row>
    <row r="578" spans="24:28" x14ac:dyDescent="0.2">
      <c r="X578" s="176" t="str">
        <f t="shared" si="42"/>
        <v>1w</v>
      </c>
      <c r="Y578" s="164">
        <f>_xll.qlCalendarAdvance(Calendar,Y577,X578,"f",FALSE)</f>
        <v>43117</v>
      </c>
      <c r="Z578" s="188">
        <f>_xll.qlCalendarAdvance(Calendar,Y578,NDays&amp;"D")</f>
        <v>43119</v>
      </c>
      <c r="AA578" s="163">
        <v>2.9509688634659242E-3</v>
      </c>
      <c r="AB578" s="172">
        <v>2.5519140966245857E-3</v>
      </c>
    </row>
    <row r="579" spans="24:28" x14ac:dyDescent="0.2">
      <c r="X579" s="176" t="str">
        <f t="shared" si="42"/>
        <v>1w</v>
      </c>
      <c r="Y579" s="164">
        <f>_xll.qlCalendarAdvance(Calendar,Y578,X579,"f",FALSE)</f>
        <v>43124</v>
      </c>
      <c r="Z579" s="188">
        <f>_xll.qlCalendarAdvance(Calendar,Y579,NDays&amp;"D")</f>
        <v>43126</v>
      </c>
      <c r="AA579" s="163">
        <v>2.9820159107269702E-3</v>
      </c>
      <c r="AB579" s="172">
        <v>2.5825895400899412E-3</v>
      </c>
    </row>
    <row r="580" spans="24:28" x14ac:dyDescent="0.2">
      <c r="X580" s="176" t="str">
        <f t="shared" si="42"/>
        <v>1w</v>
      </c>
      <c r="Y580" s="164">
        <f>_xll.qlCalendarAdvance(Calendar,Y579,X580,"f",FALSE)</f>
        <v>43131</v>
      </c>
      <c r="Z580" s="188">
        <f>_xll.qlCalendarAdvance(Calendar,Y580,NDays&amp;"D")</f>
        <v>43133</v>
      </c>
      <c r="AA580" s="163">
        <v>3.0130257111251847E-3</v>
      </c>
      <c r="AB580" s="172">
        <v>2.6134065944116713E-3</v>
      </c>
    </row>
    <row r="581" spans="24:28" x14ac:dyDescent="0.2">
      <c r="X581" s="176" t="str">
        <f t="shared" si="42"/>
        <v>1w</v>
      </c>
      <c r="Y581" s="164">
        <f>_xll.qlCalendarAdvance(Calendar,Y580,X581,"f",FALSE)</f>
        <v>43138</v>
      </c>
      <c r="Z581" s="188">
        <f>_xll.qlCalendarAdvance(Calendar,Y581,NDays&amp;"D")</f>
        <v>43140</v>
      </c>
      <c r="AA581" s="163">
        <v>3.0439879609702909E-3</v>
      </c>
      <c r="AB581" s="172">
        <v>2.6443652597230027E-3</v>
      </c>
    </row>
    <row r="582" spans="24:28" x14ac:dyDescent="0.2">
      <c r="X582" s="176" t="str">
        <f t="shared" si="42"/>
        <v>1w</v>
      </c>
      <c r="Y582" s="164">
        <f>_xll.qlCalendarAdvance(Calendar,Y581,X582,"f",FALSE)</f>
        <v>43145</v>
      </c>
      <c r="Z582" s="188">
        <f>_xll.qlCalendarAdvance(Calendar,Y582,NDays&amp;"D")</f>
        <v>43147</v>
      </c>
      <c r="AA582" s="163">
        <v>3.0748923559338484E-3</v>
      </c>
      <c r="AB582" s="172">
        <v>2.6754655361038715E-3</v>
      </c>
    </row>
    <row r="583" spans="24:28" x14ac:dyDescent="0.2">
      <c r="X583" s="176" t="str">
        <f t="shared" si="42"/>
        <v>1w</v>
      </c>
      <c r="Y583" s="164">
        <f>_xll.qlCalendarAdvance(Calendar,Y582,X583,"f",FALSE)</f>
        <v>43152</v>
      </c>
      <c r="Z583" s="188">
        <f>_xll.qlCalendarAdvance(Calendar,Y583,NDays&amp;"D")</f>
        <v>43154</v>
      </c>
      <c r="AA583" s="163">
        <v>3.1057285910536703E-3</v>
      </c>
      <c r="AB583" s="172">
        <v>2.7067074236875044E-3</v>
      </c>
    </row>
    <row r="584" spans="24:28" x14ac:dyDescent="0.2">
      <c r="X584" s="176" t="str">
        <f t="shared" si="42"/>
        <v>1w</v>
      </c>
      <c r="Y584" s="164">
        <f>_xll.qlCalendarAdvance(Calendar,Y583,X584,"f",FALSE)</f>
        <v>43159</v>
      </c>
      <c r="Z584" s="188">
        <f>_xll.qlCalendarAdvance(Calendar,Y584,NDays&amp;"D")</f>
        <v>43161</v>
      </c>
      <c r="AA584" s="163">
        <v>3.1451726947162827E-3</v>
      </c>
      <c r="AB584" s="172">
        <v>2.7380909225804828E-3</v>
      </c>
    </row>
    <row r="585" spans="24:28" x14ac:dyDescent="0.2">
      <c r="X585" s="176" t="str">
        <f t="shared" si="42"/>
        <v>1w</v>
      </c>
      <c r="Y585" s="164">
        <f>_xll.qlCalendarAdvance(Calendar,Y584,X585,"f",FALSE)</f>
        <v>43166</v>
      </c>
      <c r="Z585" s="188">
        <f>_xll.qlCalendarAdvance(Calendar,Y585,NDays&amp;"D")</f>
        <v>43168</v>
      </c>
      <c r="AA585" s="163">
        <v>3.1758082735887142E-3</v>
      </c>
      <c r="AB585" s="172">
        <v>2.7696160329160335E-3</v>
      </c>
    </row>
    <row r="586" spans="24:28" x14ac:dyDescent="0.2">
      <c r="X586" s="176" t="str">
        <f t="shared" si="42"/>
        <v>1w</v>
      </c>
      <c r="Y586" s="164">
        <f>_xll.qlCalendarAdvance(Calendar,Y585,X586,"f",FALSE)</f>
        <v>43173</v>
      </c>
      <c r="Z586" s="188">
        <f>_xll.qlCalendarAdvance(Calendar,Y586,NDays&amp;"D")</f>
        <v>43175</v>
      </c>
      <c r="AA586" s="163">
        <v>3.2063442383336044E-3</v>
      </c>
      <c r="AB586" s="172">
        <v>2.8012827547740926E-3</v>
      </c>
    </row>
    <row r="587" spans="24:28" x14ac:dyDescent="0.2">
      <c r="X587" s="176" t="str">
        <f t="shared" si="42"/>
        <v>1w</v>
      </c>
      <c r="Y587" s="164">
        <f>_xll.qlCalendarAdvance(Calendar,Y586,X587,"f",FALSE)</f>
        <v>43180</v>
      </c>
      <c r="Z587" s="188">
        <f>_xll.qlCalendarAdvance(Calendar,Y587,NDays&amp;"D")</f>
        <v>43182</v>
      </c>
      <c r="AA587" s="163">
        <v>3.2367705037240299E-3</v>
      </c>
      <c r="AB587" s="172">
        <v>2.8330910882612415E-3</v>
      </c>
    </row>
    <row r="588" spans="24:28" x14ac:dyDescent="0.2">
      <c r="X588" s="176" t="str">
        <f t="shared" si="42"/>
        <v>1w</v>
      </c>
      <c r="Y588" s="164">
        <f>_xll.qlCalendarAdvance(Calendar,Y587,X588,"f",FALSE)</f>
        <v>43187</v>
      </c>
      <c r="Z588" s="188">
        <f>_xll.qlCalendarAdvance(Calendar,Y588,NDays&amp;"D")</f>
        <v>43193</v>
      </c>
      <c r="AA588" s="163">
        <v>3.2800760869040311E-3</v>
      </c>
      <c r="AB588" s="172">
        <v>2.8785569205069805E-3</v>
      </c>
    </row>
    <row r="589" spans="24:28" x14ac:dyDescent="0.2">
      <c r="X589" s="176" t="str">
        <f t="shared" si="42"/>
        <v>1w</v>
      </c>
      <c r="Y589" s="164">
        <f>_xll.qlCalendarAdvance(Calendar,Y588,X589,"f",FALSE)</f>
        <v>43194</v>
      </c>
      <c r="Z589" s="188">
        <f>_xll.qlCalendarAdvance(Calendar,Y589,NDays&amp;"D")</f>
        <v>43196</v>
      </c>
      <c r="AA589" s="163">
        <v>3.2972601122159021E-3</v>
      </c>
      <c r="AB589" s="172">
        <v>2.896706483079825E-3</v>
      </c>
    </row>
    <row r="590" spans="24:28" x14ac:dyDescent="0.2">
      <c r="X590" s="176" t="str">
        <f t="shared" si="42"/>
        <v>1w</v>
      </c>
      <c r="Y590" s="164">
        <f>_xll.qlCalendarAdvance(Calendar,Y589,X590,"f",FALSE)</f>
        <v>43201</v>
      </c>
      <c r="Z590" s="188">
        <f>_xll.qlCalendarAdvance(Calendar,Y590,NDays&amp;"D")</f>
        <v>43203</v>
      </c>
      <c r="AA590" s="163">
        <v>3.3273188100973569E-3</v>
      </c>
      <c r="AB590" s="172">
        <v>2.9283317022166244E-3</v>
      </c>
    </row>
    <row r="591" spans="24:28" x14ac:dyDescent="0.2">
      <c r="X591" s="176" t="str">
        <f t="shared" si="42"/>
        <v>1w</v>
      </c>
      <c r="Y591" s="164">
        <f>_xll.qlCalendarAdvance(Calendar,Y590,X591,"f",FALSE)</f>
        <v>43208</v>
      </c>
      <c r="Z591" s="188">
        <f>_xll.qlCalendarAdvance(Calendar,Y591,NDays&amp;"D")</f>
        <v>43210</v>
      </c>
      <c r="AA591" s="163">
        <v>3.3572533853021345E-3</v>
      </c>
      <c r="AB591" s="172">
        <v>2.9598325549962112E-3</v>
      </c>
    </row>
    <row r="592" spans="24:28" x14ac:dyDescent="0.2">
      <c r="X592" s="176" t="str">
        <f t="shared" si="42"/>
        <v>1w</v>
      </c>
      <c r="Y592" s="164">
        <f>_xll.qlCalendarAdvance(Calendar,Y591,X592,"f",FALSE)</f>
        <v>43215</v>
      </c>
      <c r="Z592" s="188">
        <f>_xll.qlCalendarAdvance(Calendar,Y592,NDays&amp;"D")</f>
        <v>43217</v>
      </c>
      <c r="AA592" s="163">
        <v>3.3870638320977389E-3</v>
      </c>
      <c r="AB592" s="172">
        <v>2.9912090413386494E-3</v>
      </c>
    </row>
    <row r="593" spans="24:28" x14ac:dyDescent="0.2">
      <c r="X593" s="176" t="str">
        <f t="shared" si="42"/>
        <v>1w</v>
      </c>
      <c r="Y593" s="164">
        <f>_xll.qlCalendarAdvance(Calendar,Y592,X593,"f",FALSE)</f>
        <v>43222</v>
      </c>
      <c r="Z593" s="188">
        <f>_xll.qlCalendarAdvance(Calendar,Y593,NDays&amp;"D")</f>
        <v>43224</v>
      </c>
      <c r="AA593" s="163">
        <v>3.4167501447754395E-3</v>
      </c>
      <c r="AB593" s="172">
        <v>3.0224611610840668E-3</v>
      </c>
    </row>
    <row r="594" spans="24:28" x14ac:dyDescent="0.2">
      <c r="X594" s="176" t="str">
        <f t="shared" si="42"/>
        <v>1w</v>
      </c>
      <c r="Y594" s="164">
        <f>_xll.qlCalendarAdvance(Calendar,Y593,X594,"f",FALSE)</f>
        <v>43229</v>
      </c>
      <c r="Z594" s="188">
        <f>_xll.qlCalendarAdvance(Calendar,Y594,NDays&amp;"D")</f>
        <v>43231</v>
      </c>
      <c r="AA594" s="163">
        <v>3.4463123176494063E-3</v>
      </c>
      <c r="AB594" s="172">
        <v>3.0535889142058181E-3</v>
      </c>
    </row>
    <row r="595" spans="24:28" x14ac:dyDescent="0.2">
      <c r="X595" s="176" t="str">
        <f t="shared" si="42"/>
        <v>1w</v>
      </c>
      <c r="Y595" s="164">
        <f>_xll.qlCalendarAdvance(Calendar,Y594,X595,"f",FALSE)</f>
        <v>43236</v>
      </c>
      <c r="Z595" s="188">
        <f>_xll.qlCalendarAdvance(Calendar,Y595,NDays&amp;"D")</f>
        <v>43238</v>
      </c>
      <c r="AA595" s="163">
        <v>3.4757503450588705E-3</v>
      </c>
      <c r="AB595" s="172">
        <v>3.0845923005973219E-3</v>
      </c>
    </row>
    <row r="596" spans="24:28" x14ac:dyDescent="0.2">
      <c r="X596" s="176" t="str">
        <f t="shared" si="42"/>
        <v>1w</v>
      </c>
      <c r="Y596" s="164">
        <f>_xll.qlCalendarAdvance(Calendar,Y595,X596,"f",FALSE)</f>
        <v>43243</v>
      </c>
      <c r="Z596" s="188">
        <f>_xll.qlCalendarAdvance(Calendar,Y596,NDays&amp;"D")</f>
        <v>43245</v>
      </c>
      <c r="AA596" s="163">
        <v>3.5050642213663948E-3</v>
      </c>
      <c r="AB596" s="172">
        <v>3.1154713201253514E-3</v>
      </c>
    </row>
    <row r="597" spans="24:28" x14ac:dyDescent="0.2">
      <c r="X597" s="176" t="str">
        <f t="shared" ref="X597:X660" si="43">X596</f>
        <v>1w</v>
      </c>
      <c r="Y597" s="164">
        <f>_xll.qlCalendarAdvance(Calendar,Y596,X597,"f",FALSE)</f>
        <v>43250</v>
      </c>
      <c r="Z597" s="188">
        <f>_xll.qlCalendarAdvance(Calendar,Y597,NDays&amp;"D")</f>
        <v>43252</v>
      </c>
      <c r="AA597" s="163">
        <v>3.5342539409570117E-3</v>
      </c>
      <c r="AB597" s="172">
        <v>3.1462259726833253E-3</v>
      </c>
    </row>
    <row r="598" spans="24:28" x14ac:dyDescent="0.2">
      <c r="X598" s="176" t="str">
        <f t="shared" si="43"/>
        <v>1w</v>
      </c>
      <c r="Y598" s="164">
        <f>_xll.qlCalendarAdvance(Calendar,Y597,X598,"f",FALSE)</f>
        <v>43257</v>
      </c>
      <c r="Z598" s="188">
        <f>_xll.qlCalendarAdvance(Calendar,Y598,NDays&amp;"D")</f>
        <v>43259</v>
      </c>
      <c r="AA598" s="163">
        <v>3.5633194982412461E-3</v>
      </c>
      <c r="AB598" s="172">
        <v>3.1768562582445981E-3</v>
      </c>
    </row>
    <row r="599" spans="24:28" x14ac:dyDescent="0.2">
      <c r="X599" s="176" t="str">
        <f t="shared" si="43"/>
        <v>1w</v>
      </c>
      <c r="Y599" s="164">
        <f>_xll.qlCalendarAdvance(Calendar,Y598,X599,"f",FALSE)</f>
        <v>43264</v>
      </c>
      <c r="Z599" s="188">
        <f>_xll.qlCalendarAdvance(Calendar,Y599,NDays&amp;"D")</f>
        <v>43266</v>
      </c>
      <c r="AA599" s="163">
        <v>3.5922608876520919E-3</v>
      </c>
      <c r="AB599" s="172">
        <v>3.2073621766492977E-3</v>
      </c>
    </row>
    <row r="600" spans="24:28" x14ac:dyDescent="0.2">
      <c r="X600" s="176" t="str">
        <f t="shared" si="43"/>
        <v>1w</v>
      </c>
      <c r="Y600" s="164">
        <f>_xll.qlCalendarAdvance(Calendar,Y599,X600,"f",FALSE)</f>
        <v>43271</v>
      </c>
      <c r="Z600" s="188">
        <f>_xll.qlCalendarAdvance(Calendar,Y600,NDays&amp;"D")</f>
        <v>43273</v>
      </c>
      <c r="AA600" s="163">
        <v>3.6210781036471722E-3</v>
      </c>
      <c r="AB600" s="172">
        <v>3.2377437278441334E-3</v>
      </c>
    </row>
    <row r="601" spans="24:28" x14ac:dyDescent="0.2">
      <c r="X601" s="176" t="str">
        <f t="shared" si="43"/>
        <v>1w</v>
      </c>
      <c r="Y601" s="164">
        <f>_xll.qlCalendarAdvance(Calendar,Y600,X601,"f",FALSE)</f>
        <v>43278</v>
      </c>
      <c r="Z601" s="188">
        <f>_xll.qlCalendarAdvance(Calendar,Y601,NDays&amp;"D")</f>
        <v>43280</v>
      </c>
      <c r="AA601" s="163">
        <v>3.649771140706577E-3</v>
      </c>
      <c r="AB601" s="172">
        <v>3.2680009117225239E-3</v>
      </c>
    </row>
    <row r="602" spans="24:28" x14ac:dyDescent="0.2">
      <c r="X602" s="176" t="str">
        <f t="shared" si="43"/>
        <v>1w</v>
      </c>
      <c r="Y602" s="164">
        <f>_xll.qlCalendarAdvance(Calendar,Y601,X602,"f",FALSE)</f>
        <v>43285</v>
      </c>
      <c r="Z602" s="188">
        <f>_xll.qlCalendarAdvance(Calendar,Y602,NDays&amp;"D")</f>
        <v>43287</v>
      </c>
      <c r="AA602" s="163">
        <v>3.6783399933358919E-3</v>
      </c>
      <c r="AB602" s="172">
        <v>3.2981337281778877E-3</v>
      </c>
    </row>
    <row r="603" spans="24:28" x14ac:dyDescent="0.2">
      <c r="X603" s="176" t="str">
        <f t="shared" si="43"/>
        <v>1w</v>
      </c>
      <c r="Y603" s="164">
        <f>_xll.qlCalendarAdvance(Calendar,Y602,X603,"f",FALSE)</f>
        <v>43292</v>
      </c>
      <c r="Z603" s="188">
        <f>_xll.qlCalendarAdvance(Calendar,Y603,NDays&amp;"D")</f>
        <v>43294</v>
      </c>
      <c r="AA603" s="163">
        <v>3.7067846560627365E-3</v>
      </c>
      <c r="AB603" s="172">
        <v>3.3281421771302888E-3</v>
      </c>
    </row>
    <row r="604" spans="24:28" x14ac:dyDescent="0.2">
      <c r="X604" s="176" t="str">
        <f t="shared" si="43"/>
        <v>1w</v>
      </c>
      <c r="Y604" s="164">
        <f>_xll.qlCalendarAdvance(Calendar,Y603,X604,"f",FALSE)</f>
        <v>43299</v>
      </c>
      <c r="Z604" s="188">
        <f>_xll.qlCalendarAdvance(Calendar,Y604,NDays&amp;"D")</f>
        <v>43301</v>
      </c>
      <c r="AA604" s="163">
        <v>3.735105123439793E-3</v>
      </c>
      <c r="AB604" s="172">
        <v>3.3580262584465004E-3</v>
      </c>
    </row>
    <row r="605" spans="24:28" x14ac:dyDescent="0.2">
      <c r="X605" s="176" t="str">
        <f t="shared" si="43"/>
        <v>1w</v>
      </c>
      <c r="Y605" s="164">
        <f>_xll.qlCalendarAdvance(Calendar,Y604,X605,"f",FALSE)</f>
        <v>43306</v>
      </c>
      <c r="Z605" s="188">
        <f>_xll.qlCalendarAdvance(Calendar,Y605,NDays&amp;"D")</f>
        <v>43308</v>
      </c>
      <c r="AA605" s="163">
        <v>3.7633013900422118E-3</v>
      </c>
      <c r="AB605" s="172">
        <v>3.3877859720998771E-3</v>
      </c>
    </row>
    <row r="606" spans="24:28" x14ac:dyDescent="0.2">
      <c r="X606" s="176" t="str">
        <f t="shared" si="43"/>
        <v>1w</v>
      </c>
      <c r="Y606" s="164">
        <f>_xll.qlCalendarAdvance(Calendar,Y605,X606,"f",FALSE)</f>
        <v>43313</v>
      </c>
      <c r="Z606" s="188">
        <f>_xll.qlCalendarAdvance(Calendar,Y606,NDays&amp;"D")</f>
        <v>43315</v>
      </c>
      <c r="AA606" s="163">
        <v>3.7913734504702039E-3</v>
      </c>
      <c r="AB606" s="172">
        <v>3.4174213179571922E-3</v>
      </c>
    </row>
    <row r="607" spans="24:28" x14ac:dyDescent="0.2">
      <c r="X607" s="176" t="str">
        <f t="shared" si="43"/>
        <v>1w</v>
      </c>
      <c r="Y607" s="164">
        <f>_xll.qlCalendarAdvance(Calendar,Y606,X607,"f",FALSE)</f>
        <v>43320</v>
      </c>
      <c r="Z607" s="188">
        <f>_xll.qlCalendarAdvance(Calendar,Y607,NDays&amp;"D")</f>
        <v>43322</v>
      </c>
      <c r="AA607" s="163">
        <v>3.8193212993468811E-3</v>
      </c>
      <c r="AB607" s="172">
        <v>3.4469322959385096E-3</v>
      </c>
    </row>
    <row r="608" spans="24:28" x14ac:dyDescent="0.2">
      <c r="X608" s="176" t="str">
        <f t="shared" si="43"/>
        <v>1w</v>
      </c>
      <c r="Y608" s="164">
        <f>_xll.qlCalendarAdvance(Calendar,Y607,X608,"f",FALSE)</f>
        <v>43327</v>
      </c>
      <c r="Z608" s="188">
        <f>_xll.qlCalendarAdvance(Calendar,Y608,NDays&amp;"D")</f>
        <v>43329</v>
      </c>
      <c r="AA608" s="163">
        <v>3.8471449313186882E-3</v>
      </c>
      <c r="AB608" s="172">
        <v>3.4763189059372479E-3</v>
      </c>
    </row>
    <row r="609" spans="24:28" x14ac:dyDescent="0.2">
      <c r="X609" s="176" t="str">
        <f t="shared" si="43"/>
        <v>1w</v>
      </c>
      <c r="Y609" s="164">
        <f>_xll.qlCalendarAdvance(Calendar,Y608,X609,"f",FALSE)</f>
        <v>43334</v>
      </c>
      <c r="Z609" s="188">
        <f>_xll.qlCalendarAdvance(Calendar,Y609,NDays&amp;"D")</f>
        <v>43336</v>
      </c>
      <c r="AA609" s="163">
        <v>3.8748443410571306E-3</v>
      </c>
      <c r="AB609" s="172">
        <v>3.5055811478734711E-3</v>
      </c>
    </row>
    <row r="610" spans="24:28" x14ac:dyDescent="0.2">
      <c r="X610" s="176" t="str">
        <f t="shared" si="43"/>
        <v>1w</v>
      </c>
      <c r="Y610" s="164">
        <f>_xll.qlCalendarAdvance(Calendar,Y609,X610,"f",FALSE)</f>
        <v>43341</v>
      </c>
      <c r="Z610" s="188">
        <f>_xll.qlCalendarAdvance(Calendar,Y610,NDays&amp;"D")</f>
        <v>43343</v>
      </c>
      <c r="AA610" s="163">
        <v>3.894624502732512E-3</v>
      </c>
      <c r="AB610" s="172">
        <v>3.5347190216672431E-3</v>
      </c>
    </row>
    <row r="611" spans="24:28" x14ac:dyDescent="0.2">
      <c r="X611" s="176" t="str">
        <f t="shared" si="43"/>
        <v>1w</v>
      </c>
      <c r="Y611" s="164">
        <f>_xll.qlCalendarAdvance(Calendar,Y610,X611,"f",FALSE)</f>
        <v>43348</v>
      </c>
      <c r="Z611" s="188">
        <f>_xll.qlCalendarAdvance(Calendar,Y611,NDays&amp;"D")</f>
        <v>43350</v>
      </c>
      <c r="AA611" s="163">
        <v>3.922109757489748E-3</v>
      </c>
      <c r="AB611" s="172">
        <v>3.5637325272119824E-3</v>
      </c>
    </row>
    <row r="612" spans="24:28" x14ac:dyDescent="0.2">
      <c r="X612" s="176" t="str">
        <f t="shared" si="43"/>
        <v>1w</v>
      </c>
      <c r="Y612" s="164">
        <f>_xll.qlCalendarAdvance(Calendar,Y611,X612,"f",FALSE)</f>
        <v>43355</v>
      </c>
      <c r="Z612" s="188">
        <f>_xll.qlCalendarAdvance(Calendar,Y612,NDays&amp;"D")</f>
        <v>43357</v>
      </c>
      <c r="AA612" s="163">
        <v>3.9494707727270977E-3</v>
      </c>
      <c r="AB612" s="172">
        <v>3.5926216644277531E-3</v>
      </c>
    </row>
    <row r="613" spans="24:28" x14ac:dyDescent="0.2">
      <c r="X613" s="176" t="str">
        <f t="shared" si="43"/>
        <v>1w</v>
      </c>
      <c r="Y613" s="164">
        <f>_xll.qlCalendarAdvance(Calendar,Y612,X613,"f",FALSE)</f>
        <v>43362</v>
      </c>
      <c r="Z613" s="188">
        <f>_xll.qlCalendarAdvance(Calendar,Y613,NDays&amp;"D")</f>
        <v>43364</v>
      </c>
      <c r="AA613" s="163">
        <v>3.9767075433171685E-3</v>
      </c>
      <c r="AB613" s="172">
        <v>3.6213864332079737E-3</v>
      </c>
    </row>
    <row r="614" spans="24:28" x14ac:dyDescent="0.2">
      <c r="X614" s="176" t="str">
        <f t="shared" si="43"/>
        <v>1w</v>
      </c>
      <c r="Y614" s="164">
        <f>_xll.qlCalendarAdvance(Calendar,Y613,X614,"f",FALSE)</f>
        <v>43369</v>
      </c>
      <c r="Z614" s="188">
        <f>_xll.qlCalendarAdvance(Calendar,Y614,NDays&amp;"D")</f>
        <v>43371</v>
      </c>
      <c r="AA614" s="163">
        <v>4.0057359147904637E-3</v>
      </c>
      <c r="AB614" s="172">
        <v>3.6500268334993535E-3</v>
      </c>
    </row>
    <row r="615" spans="24:28" x14ac:dyDescent="0.2">
      <c r="X615" s="176" t="str">
        <f t="shared" si="43"/>
        <v>1w</v>
      </c>
      <c r="Y615" s="164">
        <f>_xll.qlCalendarAdvance(Calendar,Y614,X615,"f",FALSE)</f>
        <v>43376</v>
      </c>
      <c r="Z615" s="188">
        <f>_xll.qlCalendarAdvance(Calendar,Y615,NDays&amp;"D")</f>
        <v>43378</v>
      </c>
      <c r="AA615" s="163">
        <v>4.0327194313347177E-3</v>
      </c>
      <c r="AB615" s="172">
        <v>3.6785428651153751E-3</v>
      </c>
    </row>
    <row r="616" spans="24:28" x14ac:dyDescent="0.2">
      <c r="X616" s="176" t="str">
        <f t="shared" si="43"/>
        <v>1w</v>
      </c>
      <c r="Y616" s="164">
        <f>_xll.qlCalendarAdvance(Calendar,Y615,X616,"f",FALSE)</f>
        <v>43383</v>
      </c>
      <c r="Z616" s="188">
        <f>_xll.qlCalendarAdvance(Calendar,Y616,NDays&amp;"D")</f>
        <v>43385</v>
      </c>
      <c r="AA616" s="163">
        <v>4.0595884535010365E-3</v>
      </c>
      <c r="AB616" s="172">
        <v>3.7069345281093291E-3</v>
      </c>
    </row>
    <row r="617" spans="24:28" x14ac:dyDescent="0.2">
      <c r="X617" s="176" t="str">
        <f t="shared" si="43"/>
        <v>1w</v>
      </c>
      <c r="Y617" s="164">
        <f>_xll.qlCalendarAdvance(Calendar,Y616,X617,"f",FALSE)</f>
        <v>43390</v>
      </c>
      <c r="Z617" s="188">
        <f>_xll.qlCalendarAdvance(Calendar,Y617,NDays&amp;"D")</f>
        <v>43392</v>
      </c>
      <c r="AA617" s="163">
        <v>4.0939257693660362E-3</v>
      </c>
      <c r="AB617" s="172">
        <v>3.7352018223213435E-3</v>
      </c>
    </row>
    <row r="618" spans="24:28" x14ac:dyDescent="0.2">
      <c r="X618" s="176" t="str">
        <f t="shared" si="43"/>
        <v>1w</v>
      </c>
      <c r="Y618" s="164">
        <f>_xll.qlCalendarAdvance(Calendar,Y617,X618,"f",FALSE)</f>
        <v>43397</v>
      </c>
      <c r="Z618" s="188">
        <f>_xll.qlCalendarAdvance(Calendar,Y618,NDays&amp;"D")</f>
        <v>43399</v>
      </c>
      <c r="AA618" s="163">
        <v>4.1130078534652014E-3</v>
      </c>
      <c r="AB618" s="172">
        <v>3.7633447476181914E-3</v>
      </c>
    </row>
    <row r="619" spans="24:28" x14ac:dyDescent="0.2">
      <c r="X619" s="176" t="str">
        <f t="shared" si="43"/>
        <v>1w</v>
      </c>
      <c r="Y619" s="164">
        <f>_xll.qlCalendarAdvance(Calendar,Y618,X619,"f",FALSE)</f>
        <v>43404</v>
      </c>
      <c r="Z619" s="188">
        <f>_xll.qlCalendarAdvance(Calendar,Y619,NDays&amp;"D")</f>
        <v>43406</v>
      </c>
      <c r="AA619" s="163">
        <v>4.1376853525509601E-3</v>
      </c>
      <c r="AB619" s="172">
        <v>3.7913633040265182E-3</v>
      </c>
    </row>
    <row r="620" spans="24:28" x14ac:dyDescent="0.2">
      <c r="X620" s="176" t="str">
        <f t="shared" si="43"/>
        <v>1w</v>
      </c>
      <c r="Y620" s="164">
        <f>_xll.qlCalendarAdvance(Calendar,Y619,X620,"f",FALSE)</f>
        <v>43411</v>
      </c>
      <c r="Z620" s="188">
        <f>_xll.qlCalendarAdvance(Calendar,Y620,NDays&amp;"D")</f>
        <v>43413</v>
      </c>
      <c r="AA620" s="163">
        <v>4.1641623474096409E-3</v>
      </c>
      <c r="AB620" s="172">
        <v>3.8192574913331612E-3</v>
      </c>
    </row>
    <row r="621" spans="24:28" x14ac:dyDescent="0.2">
      <c r="X621" s="176" t="str">
        <f t="shared" si="43"/>
        <v>1w</v>
      </c>
      <c r="Y621" s="164">
        <f>_xll.qlCalendarAdvance(Calendar,Y620,X621,"f",FALSE)</f>
        <v>43418</v>
      </c>
      <c r="Z621" s="188">
        <f>_xll.qlCalendarAdvance(Calendar,Y621,NDays&amp;"D")</f>
        <v>43420</v>
      </c>
      <c r="AA621" s="163">
        <v>4.1905552315627398E-3</v>
      </c>
      <c r="AB621" s="172">
        <v>3.8470273095381202E-3</v>
      </c>
    </row>
    <row r="622" spans="24:28" x14ac:dyDescent="0.2">
      <c r="X622" s="176" t="str">
        <f t="shared" si="43"/>
        <v>1w</v>
      </c>
      <c r="Y622" s="164">
        <f>_xll.qlCalendarAdvance(Calendar,Y621,X622,"f",FALSE)</f>
        <v>43425</v>
      </c>
      <c r="Z622" s="188">
        <f>_xll.qlCalendarAdvance(Calendar,Y622,NDays&amp;"D")</f>
        <v>43427</v>
      </c>
      <c r="AA622" s="163">
        <v>4.2168702506003774E-3</v>
      </c>
      <c r="AB622" s="172">
        <v>3.874672758534814E-3</v>
      </c>
    </row>
    <row r="623" spans="24:28" x14ac:dyDescent="0.2">
      <c r="X623" s="176" t="str">
        <f t="shared" si="43"/>
        <v>1w</v>
      </c>
      <c r="Y623" s="164">
        <f>_xll.qlCalendarAdvance(Calendar,Y622,X623,"f",FALSE)</f>
        <v>43432</v>
      </c>
      <c r="Z623" s="188">
        <f>_xll.qlCalendarAdvance(Calendar,Y623,NDays&amp;"D")</f>
        <v>43434</v>
      </c>
      <c r="AA623" s="163">
        <v>4.2449874169423136E-3</v>
      </c>
      <c r="AB623" s="172">
        <v>3.9021938381900156E-3</v>
      </c>
    </row>
    <row r="624" spans="24:28" x14ac:dyDescent="0.2">
      <c r="X624" s="176" t="str">
        <f t="shared" si="43"/>
        <v>1w</v>
      </c>
      <c r="Y624" s="164">
        <f>_xll.qlCalendarAdvance(Calendar,Y623,X624,"f",FALSE)</f>
        <v>43439</v>
      </c>
      <c r="Z624" s="188">
        <f>_xll.qlCalendarAdvance(Calendar,Y624,NDays&amp;"D")</f>
        <v>43441</v>
      </c>
      <c r="AA624" s="163">
        <v>4.2711640591425242E-3</v>
      </c>
      <c r="AB624" s="172">
        <v>3.9295905484770799E-3</v>
      </c>
    </row>
    <row r="625" spans="24:28" x14ac:dyDescent="0.2">
      <c r="X625" s="176" t="str">
        <f t="shared" si="43"/>
        <v>1w</v>
      </c>
      <c r="Y625" s="164">
        <f>_xll.qlCalendarAdvance(Calendar,Y624,X625,"f",FALSE)</f>
        <v>43446</v>
      </c>
      <c r="Z625" s="188">
        <f>_xll.qlCalendarAdvance(Calendar,Y625,NDays&amp;"D")</f>
        <v>43448</v>
      </c>
      <c r="AA625" s="163">
        <v>4.2972821058858976E-3</v>
      </c>
      <c r="AB625" s="172">
        <v>3.956862889342716E-3</v>
      </c>
    </row>
    <row r="626" spans="24:28" x14ac:dyDescent="0.2">
      <c r="X626" s="176" t="str">
        <f t="shared" si="43"/>
        <v>1w</v>
      </c>
      <c r="Y626" s="164">
        <f>_xll.qlCalendarAdvance(Calendar,Y625,X626,"f",FALSE)</f>
        <v>43453</v>
      </c>
      <c r="Z626" s="188">
        <f>_xll.qlCalendarAdvance(Calendar,Y626,NDays&amp;"D")</f>
        <v>43455</v>
      </c>
      <c r="AA626" s="163">
        <v>4.3233477698586213E-3</v>
      </c>
      <c r="AB626" s="172">
        <v>3.9840108606004065E-3</v>
      </c>
    </row>
    <row r="627" spans="24:28" x14ac:dyDescent="0.2">
      <c r="X627" s="176" t="str">
        <f t="shared" si="43"/>
        <v>1w</v>
      </c>
      <c r="Y627" s="164">
        <f>_xll.qlCalendarAdvance(Calendar,Y626,X627,"f",FALSE)</f>
        <v>43461</v>
      </c>
      <c r="Z627" s="188">
        <f>_xll.qlCalendarAdvance(Calendar,Y627,NDays&amp;"D")</f>
        <v>43465</v>
      </c>
      <c r="AA627" s="163">
        <v>4.3548920827159356E-3</v>
      </c>
      <c r="AB627" s="172">
        <v>4.0206336847070645E-3</v>
      </c>
    </row>
    <row r="628" spans="24:28" x14ac:dyDescent="0.2">
      <c r="X628" s="176" t="str">
        <f t="shared" si="43"/>
        <v>1w</v>
      </c>
      <c r="Y628" s="164">
        <f>_xll.qlCalendarAdvance(Calendar,Y627,X628,"f",FALSE)</f>
        <v>43468</v>
      </c>
      <c r="Z628" s="188">
        <f>_xll.qlCalendarAdvance(Calendar,Y628,NDays&amp;"D")</f>
        <v>43472</v>
      </c>
      <c r="AA628" s="163">
        <v>4.3864701978038757E-3</v>
      </c>
      <c r="AB628" s="172">
        <v>4.0455517289750276E-3</v>
      </c>
    </row>
    <row r="629" spans="24:28" x14ac:dyDescent="0.2">
      <c r="X629" s="176" t="str">
        <f t="shared" si="43"/>
        <v>1w</v>
      </c>
      <c r="Y629" s="164">
        <f>_xll.qlCalendarAdvance(Calendar,Y628,X629,"f",FALSE)</f>
        <v>43475</v>
      </c>
      <c r="Z629" s="188">
        <f>_xll.qlCalendarAdvance(Calendar,Y629,NDays&amp;"D")</f>
        <v>43479</v>
      </c>
      <c r="AA629" s="163">
        <v>4.4124034339553635E-3</v>
      </c>
      <c r="AB629" s="172">
        <v>4.0722904538892379E-3</v>
      </c>
    </row>
    <row r="630" spans="24:28" x14ac:dyDescent="0.2">
      <c r="X630" s="176" t="str">
        <f t="shared" si="43"/>
        <v>1w</v>
      </c>
      <c r="Y630" s="164">
        <f>_xll.qlCalendarAdvance(Calendar,Y629,X630,"f",FALSE)</f>
        <v>43482</v>
      </c>
      <c r="Z630" s="188">
        <f>_xll.qlCalendarAdvance(Calendar,Y630,NDays&amp;"D")</f>
        <v>43486</v>
      </c>
      <c r="AA630" s="163">
        <v>4.438311804629262E-3</v>
      </c>
      <c r="AB630" s="172">
        <v>4.0989048076500723E-3</v>
      </c>
    </row>
    <row r="631" spans="24:28" x14ac:dyDescent="0.2">
      <c r="X631" s="176" t="str">
        <f t="shared" si="43"/>
        <v>1w</v>
      </c>
      <c r="Y631" s="164">
        <f>_xll.qlCalendarAdvance(Calendar,Y630,X631,"f",FALSE)</f>
        <v>43489</v>
      </c>
      <c r="Z631" s="188">
        <f>_xll.qlCalendarAdvance(Calendar,Y631,NDays&amp;"D")</f>
        <v>43493</v>
      </c>
      <c r="AA631" s="163">
        <v>4.464201524296268E-3</v>
      </c>
      <c r="AB631" s="172">
        <v>4.1253947904174026E-3</v>
      </c>
    </row>
    <row r="632" spans="24:28" x14ac:dyDescent="0.2">
      <c r="X632" s="176" t="str">
        <f t="shared" si="43"/>
        <v>1w</v>
      </c>
      <c r="Y632" s="164">
        <f>_xll.qlCalendarAdvance(Calendar,Y631,X632,"f",FALSE)</f>
        <v>43496</v>
      </c>
      <c r="Z632" s="188">
        <f>_xll.qlCalendarAdvance(Calendar,Y632,NDays&amp;"D")</f>
        <v>43500</v>
      </c>
      <c r="AA632" s="163">
        <v>4.4900788077516535E-3</v>
      </c>
      <c r="AB632" s="172">
        <v>4.151760402031357E-3</v>
      </c>
    </row>
    <row r="633" spans="24:28" x14ac:dyDescent="0.2">
      <c r="X633" s="176" t="str">
        <f t="shared" si="43"/>
        <v>1w</v>
      </c>
      <c r="Y633" s="164">
        <f>_xll.qlCalendarAdvance(Calendar,Y632,X633,"f",FALSE)</f>
        <v>43503</v>
      </c>
      <c r="Z633" s="188">
        <f>_xll.qlCalendarAdvance(Calendar,Y633,NDays&amp;"D")</f>
        <v>43507</v>
      </c>
      <c r="AA633" s="163">
        <v>4.5159498701161432E-3</v>
      </c>
      <c r="AB633" s="172">
        <v>4.1780016425718713E-3</v>
      </c>
    </row>
    <row r="634" spans="24:28" x14ac:dyDescent="0.2">
      <c r="X634" s="176" t="str">
        <f t="shared" si="43"/>
        <v>1w</v>
      </c>
      <c r="Y634" s="164">
        <f>_xll.qlCalendarAdvance(Calendar,Y633,X634,"f",FALSE)</f>
        <v>43510</v>
      </c>
      <c r="Z634" s="188">
        <f>_xll.qlCalendarAdvance(Calendar,Y634,NDays&amp;"D")</f>
        <v>43514</v>
      </c>
      <c r="AA634" s="163">
        <v>4.5418209268345998E-3</v>
      </c>
      <c r="AB634" s="172">
        <v>4.2041185118790736E-3</v>
      </c>
    </row>
    <row r="635" spans="24:28" x14ac:dyDescent="0.2">
      <c r="X635" s="176" t="str">
        <f t="shared" si="43"/>
        <v>1w</v>
      </c>
      <c r="Y635" s="164">
        <f>_xll.qlCalendarAdvance(Calendar,Y634,X635,"f",FALSE)</f>
        <v>43517</v>
      </c>
      <c r="Z635" s="188">
        <f>_xll.qlCalendarAdvance(Calendar,Y635,NDays&amp;"D")</f>
        <v>43521</v>
      </c>
      <c r="AA635" s="163">
        <v>4.5676981936769003E-3</v>
      </c>
      <c r="AB635" s="172">
        <v>4.2301110100328998E-3</v>
      </c>
    </row>
    <row r="636" spans="24:28" x14ac:dyDescent="0.2">
      <c r="X636" s="176" t="str">
        <f t="shared" si="43"/>
        <v>1w</v>
      </c>
      <c r="Y636" s="164">
        <f>_xll.qlCalendarAdvance(Calendar,Y635,X636,"f",FALSE)</f>
        <v>43524</v>
      </c>
      <c r="Z636" s="188">
        <f>_xll.qlCalendarAdvance(Calendar,Y636,NDays&amp;"D")</f>
        <v>43528</v>
      </c>
      <c r="AA636" s="163">
        <v>4.5973659513157735E-3</v>
      </c>
      <c r="AB636" s="172">
        <v>4.2559791369534139E-3</v>
      </c>
    </row>
    <row r="637" spans="24:28" x14ac:dyDescent="0.2">
      <c r="X637" s="176" t="str">
        <f t="shared" si="43"/>
        <v>1w</v>
      </c>
      <c r="Y637" s="164">
        <f>_xll.qlCalendarAdvance(Calendar,Y636,X637,"f",FALSE)</f>
        <v>43531</v>
      </c>
      <c r="Z637" s="188">
        <f>_xll.qlCalendarAdvance(Calendar,Y637,NDays&amp;"D")</f>
        <v>43535</v>
      </c>
      <c r="AA637" s="163">
        <v>4.6232800635283835E-3</v>
      </c>
      <c r="AB637" s="172">
        <v>4.2817228926406159E-3</v>
      </c>
    </row>
    <row r="638" spans="24:28" x14ac:dyDescent="0.2">
      <c r="X638" s="176" t="str">
        <f t="shared" si="43"/>
        <v>1w</v>
      </c>
      <c r="Y638" s="164">
        <f>_xll.qlCalendarAdvance(Calendar,Y637,X638,"f",FALSE)</f>
        <v>43538</v>
      </c>
      <c r="Z638" s="188">
        <f>_xll.qlCalendarAdvance(Calendar,Y638,NDays&amp;"D")</f>
        <v>43542</v>
      </c>
      <c r="AA638" s="163">
        <v>4.649219174798166E-3</v>
      </c>
      <c r="AB638" s="172">
        <v>4.3073422770145697E-3</v>
      </c>
    </row>
    <row r="639" spans="24:28" x14ac:dyDescent="0.2">
      <c r="X639" s="176" t="str">
        <f t="shared" si="43"/>
        <v>1w</v>
      </c>
      <c r="Y639" s="164">
        <f>_xll.qlCalendarAdvance(Calendar,Y638,X639,"f",FALSE)</f>
        <v>43545</v>
      </c>
      <c r="Z639" s="188">
        <f>_xll.qlCalendarAdvance(Calendar,Y639,NDays&amp;"D")</f>
        <v>43549</v>
      </c>
      <c r="AA639" s="163">
        <v>4.6751894348167457E-3</v>
      </c>
      <c r="AB639" s="172">
        <v>4.3328378385965038E-3</v>
      </c>
    </row>
    <row r="640" spans="24:28" x14ac:dyDescent="0.2">
      <c r="X640" s="176" t="str">
        <f t="shared" si="43"/>
        <v>1w</v>
      </c>
      <c r="Y640" s="164">
        <f>_xll.qlCalendarAdvance(Calendar,Y639,X640,"f",FALSE)</f>
        <v>43552</v>
      </c>
      <c r="Z640" s="188">
        <f>_xll.qlCalendarAdvance(Calendar,Y640,NDays&amp;"D")</f>
        <v>43556</v>
      </c>
      <c r="AA640" s="163">
        <v>4.6992949424907891E-3</v>
      </c>
      <c r="AB640" s="172">
        <v>4.3583006173619765E-3</v>
      </c>
    </row>
    <row r="641" spans="24:28" x14ac:dyDescent="0.2">
      <c r="X641" s="176" t="str">
        <f t="shared" si="43"/>
        <v>1w</v>
      </c>
      <c r="Y641" s="164">
        <f>_xll.qlCalendarAdvance(Calendar,Y640,X641,"f",FALSE)</f>
        <v>43559</v>
      </c>
      <c r="Z641" s="188">
        <f>_xll.qlCalendarAdvance(Calendar,Y641,NDays&amp;"D")</f>
        <v>43563</v>
      </c>
      <c r="AA641" s="163">
        <v>4.7253357717271394E-3</v>
      </c>
      <c r="AB641" s="172">
        <v>4.3838002647955676E-3</v>
      </c>
    </row>
    <row r="642" spans="24:28" x14ac:dyDescent="0.2">
      <c r="X642" s="176" t="str">
        <f t="shared" si="43"/>
        <v>1w</v>
      </c>
      <c r="Y642" s="164">
        <f>_xll.qlCalendarAdvance(Calendar,Y641,X642,"f",FALSE)</f>
        <v>43566</v>
      </c>
      <c r="Z642" s="188">
        <f>_xll.qlCalendarAdvance(Calendar,Y642,NDays&amp;"D")</f>
        <v>43570</v>
      </c>
      <c r="AA642" s="163">
        <v>4.7514139001772621E-3</v>
      </c>
      <c r="AB642" s="172">
        <v>4.4093367807374051E-3</v>
      </c>
    </row>
    <row r="643" spans="24:28" x14ac:dyDescent="0.2">
      <c r="X643" s="176" t="str">
        <f t="shared" si="43"/>
        <v>1w</v>
      </c>
      <c r="Y643" s="164">
        <f>_xll.qlCalendarAdvance(Calendar,Y642,X643,"f",FALSE)</f>
        <v>43573</v>
      </c>
      <c r="Z643" s="188">
        <f>_xll.qlCalendarAdvance(Calendar,Y643,NDays&amp;"D")</f>
        <v>43579</v>
      </c>
      <c r="AA643" s="163">
        <v>4.7849977318469858E-3</v>
      </c>
      <c r="AB643" s="172">
        <v>4.4422236181507202E-3</v>
      </c>
    </row>
    <row r="644" spans="24:28" x14ac:dyDescent="0.2">
      <c r="X644" s="176" t="str">
        <f t="shared" si="43"/>
        <v>1w</v>
      </c>
      <c r="Y644" s="164">
        <f>_xll.qlCalendarAdvance(Calendar,Y643,X644,"f",FALSE)</f>
        <v>43580</v>
      </c>
      <c r="Z644" s="188">
        <f>_xll.qlCalendarAdvance(Calendar,Y644,NDays&amp;"D")</f>
        <v>43584</v>
      </c>
      <c r="AA644" s="163">
        <v>4.8036820606065737E-3</v>
      </c>
      <c r="AB644" s="172">
        <v>4.4605204181458191E-3</v>
      </c>
    </row>
    <row r="645" spans="24:28" x14ac:dyDescent="0.2">
      <c r="X645" s="176" t="str">
        <f t="shared" si="43"/>
        <v>1w</v>
      </c>
      <c r="Y645" s="164">
        <f>_xll.qlCalendarAdvance(Calendar,Y644,X645,"f",FALSE)</f>
        <v>43587</v>
      </c>
      <c r="Z645" s="188">
        <f>_xll.qlCalendarAdvance(Calendar,Y645,NDays&amp;"D")</f>
        <v>43591</v>
      </c>
      <c r="AA645" s="163">
        <v>4.8317881715260851E-3</v>
      </c>
      <c r="AB645" s="172">
        <v>4.4861675396923317E-3</v>
      </c>
    </row>
    <row r="646" spans="24:28" x14ac:dyDescent="0.2">
      <c r="X646" s="176" t="str">
        <f t="shared" si="43"/>
        <v>1w</v>
      </c>
      <c r="Y646" s="164">
        <f>_xll.qlCalendarAdvance(Calendar,Y645,X646,"f",FALSE)</f>
        <v>43594</v>
      </c>
      <c r="Z646" s="188">
        <f>_xll.qlCalendarAdvance(Calendar,Y646,NDays&amp;"D")</f>
        <v>43598</v>
      </c>
      <c r="AA646" s="163">
        <v>4.8580185289943296E-3</v>
      </c>
      <c r="AB646" s="172">
        <v>4.5118515298270268E-3</v>
      </c>
    </row>
    <row r="647" spans="24:28" x14ac:dyDescent="0.2">
      <c r="X647" s="176" t="str">
        <f t="shared" si="43"/>
        <v>1w</v>
      </c>
      <c r="Y647" s="164">
        <f>_xll.qlCalendarAdvance(Calendar,Y646,X647,"f",FALSE)</f>
        <v>43601</v>
      </c>
      <c r="Z647" s="188">
        <f>_xll.qlCalendarAdvance(Calendar,Y647,NDays&amp;"D")</f>
        <v>43605</v>
      </c>
      <c r="AA647" s="163">
        <v>4.8842861955705518E-3</v>
      </c>
      <c r="AB647" s="172">
        <v>4.5375723885499042E-3</v>
      </c>
    </row>
    <row r="648" spans="24:28" x14ac:dyDescent="0.2">
      <c r="X648" s="176" t="str">
        <f t="shared" si="43"/>
        <v>1w</v>
      </c>
      <c r="Y648" s="164">
        <f>_xll.qlCalendarAdvance(Calendar,Y647,X648,"f",FALSE)</f>
        <v>43608</v>
      </c>
      <c r="Z648" s="188">
        <f>_xll.qlCalendarAdvance(Calendar,Y648,NDays&amp;"D")</f>
        <v>43612</v>
      </c>
      <c r="AA648" s="163">
        <v>4.9105911727435596E-3</v>
      </c>
      <c r="AB648" s="172">
        <v>4.563330115860964E-3</v>
      </c>
    </row>
    <row r="649" spans="24:28" x14ac:dyDescent="0.2">
      <c r="X649" s="176" t="str">
        <f t="shared" si="43"/>
        <v>1w</v>
      </c>
      <c r="Y649" s="164">
        <f>_xll.qlCalendarAdvance(Calendar,Y648,X649,"f",FALSE)</f>
        <v>43615</v>
      </c>
      <c r="Z649" s="188">
        <f>_xll.qlCalendarAdvance(Calendar,Y649,NDays&amp;"D")</f>
        <v>43619</v>
      </c>
      <c r="AA649" s="163">
        <v>4.9350053011451801E-3</v>
      </c>
      <c r="AB649" s="172">
        <v>4.5891247117602063E-3</v>
      </c>
    </row>
    <row r="650" spans="24:28" x14ac:dyDescent="0.2">
      <c r="X650" s="176" t="str">
        <f t="shared" si="43"/>
        <v>1w</v>
      </c>
      <c r="Y650" s="164">
        <f>_xll.qlCalendarAdvance(Calendar,Y649,X650,"f",FALSE)</f>
        <v>43622</v>
      </c>
      <c r="Z650" s="188">
        <f>_xll.qlCalendarAdvance(Calendar,Y650,NDays&amp;"D")</f>
        <v>43626</v>
      </c>
      <c r="AA650" s="163">
        <v>4.9613818764358761E-3</v>
      </c>
      <c r="AB650" s="172">
        <v>4.614956176247631E-3</v>
      </c>
    </row>
    <row r="651" spans="24:28" x14ac:dyDescent="0.2">
      <c r="X651" s="176" t="str">
        <f t="shared" si="43"/>
        <v>1w</v>
      </c>
      <c r="Y651" s="164">
        <f>_xll.qlCalendarAdvance(Calendar,Y650,X651,"f",FALSE)</f>
        <v>43629</v>
      </c>
      <c r="Z651" s="188">
        <f>_xll.qlCalendarAdvance(Calendar,Y651,NDays&amp;"D")</f>
        <v>43633</v>
      </c>
      <c r="AA651" s="163">
        <v>4.987795764253412E-3</v>
      </c>
      <c r="AB651" s="172">
        <v>4.6408245093232381E-3</v>
      </c>
    </row>
    <row r="652" spans="24:28" x14ac:dyDescent="0.2">
      <c r="X652" s="176" t="str">
        <f t="shared" si="43"/>
        <v>1w</v>
      </c>
      <c r="Y652" s="164">
        <f>_xll.qlCalendarAdvance(Calendar,Y651,X652,"f",FALSE)</f>
        <v>43636</v>
      </c>
      <c r="Z652" s="188">
        <f>_xll.qlCalendarAdvance(Calendar,Y652,NDays&amp;"D")</f>
        <v>43640</v>
      </c>
      <c r="AA652" s="163">
        <v>5.0142469660877419E-3</v>
      </c>
      <c r="AB652" s="172">
        <v>4.6667297109870276E-3</v>
      </c>
    </row>
    <row r="653" spans="24:28" x14ac:dyDescent="0.2">
      <c r="X653" s="176" t="str">
        <f t="shared" si="43"/>
        <v>1w</v>
      </c>
      <c r="Y653" s="164">
        <f>_xll.qlCalendarAdvance(Calendar,Y652,X653,"f",FALSE)</f>
        <v>43643</v>
      </c>
      <c r="Z653" s="188">
        <f>_xll.qlCalendarAdvance(Calendar,Y653,NDays&amp;"D")</f>
        <v>43647</v>
      </c>
      <c r="AA653" s="163">
        <v>5.0446163631811978E-3</v>
      </c>
      <c r="AB653" s="172">
        <v>4.6926717813988716E-3</v>
      </c>
    </row>
    <row r="654" spans="24:28" x14ac:dyDescent="0.2">
      <c r="X654" s="176" t="str">
        <f t="shared" si="43"/>
        <v>1w</v>
      </c>
      <c r="Y654" s="164">
        <f>_xll.qlCalendarAdvance(Calendar,Y653,X654,"f",FALSE)</f>
        <v>43650</v>
      </c>
      <c r="Z654" s="188">
        <f>_xll.qlCalendarAdvance(Calendar,Y654,NDays&amp;"D")</f>
        <v>43654</v>
      </c>
      <c r="AA654" s="163">
        <v>5.069204642000215E-3</v>
      </c>
      <c r="AB654" s="172">
        <v>4.718650720318962E-3</v>
      </c>
    </row>
    <row r="655" spans="24:28" x14ac:dyDescent="0.2">
      <c r="X655" s="176" t="str">
        <f t="shared" si="43"/>
        <v>1w</v>
      </c>
      <c r="Y655" s="164">
        <f>_xll.qlCalendarAdvance(Calendar,Y654,X655,"f",FALSE)</f>
        <v>43657</v>
      </c>
      <c r="Z655" s="188">
        <f>_xll.qlCalendarAdvance(Calendar,Y655,NDays&amp;"D")</f>
        <v>43661</v>
      </c>
      <c r="AA655" s="163">
        <v>5.0957708352380891E-3</v>
      </c>
      <c r="AB655" s="172">
        <v>4.744666527987107E-3</v>
      </c>
    </row>
    <row r="656" spans="24:28" x14ac:dyDescent="0.2">
      <c r="X656" s="176" t="str">
        <f t="shared" si="43"/>
        <v>1w</v>
      </c>
      <c r="Y656" s="164">
        <f>_xll.qlCalendarAdvance(Calendar,Y655,X656,"f",FALSE)</f>
        <v>43664</v>
      </c>
      <c r="Z656" s="188">
        <f>_xll.qlCalendarAdvance(Calendar,Y656,NDays&amp;"D")</f>
        <v>43668</v>
      </c>
      <c r="AA656" s="163">
        <v>5.1223743510661977E-3</v>
      </c>
      <c r="AB656" s="172">
        <v>4.7707192042434343E-3</v>
      </c>
    </row>
    <row r="657" spans="24:28" x14ac:dyDescent="0.2">
      <c r="X657" s="176" t="str">
        <f t="shared" si="43"/>
        <v>1w</v>
      </c>
      <c r="Y657" s="164">
        <f>_xll.qlCalendarAdvance(Calendar,Y656,X657,"f",FALSE)</f>
        <v>43671</v>
      </c>
      <c r="Z657" s="188">
        <f>_xll.qlCalendarAdvance(Calendar,Y657,NDays&amp;"D")</f>
        <v>43675</v>
      </c>
      <c r="AA657" s="163">
        <v>5.1490151909933356E-3</v>
      </c>
      <c r="AB657" s="172">
        <v>4.7968087491678801E-3</v>
      </c>
    </row>
    <row r="658" spans="24:28" x14ac:dyDescent="0.2">
      <c r="X658" s="176" t="str">
        <f t="shared" si="43"/>
        <v>1w</v>
      </c>
      <c r="Y658" s="164">
        <f>_xll.qlCalendarAdvance(Calendar,Y657,X658,"f",FALSE)</f>
        <v>43678</v>
      </c>
      <c r="Z658" s="188">
        <f>_xll.qlCalendarAdvance(Calendar,Y658,NDays&amp;"D")</f>
        <v>43682</v>
      </c>
      <c r="AA658" s="163">
        <v>5.1756933565300332E-3</v>
      </c>
      <c r="AB658" s="172">
        <v>4.8229351627604444E-3</v>
      </c>
    </row>
    <row r="659" spans="24:28" x14ac:dyDescent="0.2">
      <c r="X659" s="176" t="str">
        <f t="shared" si="43"/>
        <v>1w</v>
      </c>
      <c r="Y659" s="164">
        <f>_xll.qlCalendarAdvance(Calendar,Y658,X659,"f",FALSE)</f>
        <v>43685</v>
      </c>
      <c r="Z659" s="188">
        <f>_xll.qlCalendarAdvance(Calendar,Y659,NDays&amp;"D")</f>
        <v>43689</v>
      </c>
      <c r="AA659" s="163">
        <v>5.2024088491889938E-3</v>
      </c>
      <c r="AB659" s="172">
        <v>4.8490984450211272E-3</v>
      </c>
    </row>
    <row r="660" spans="24:28" x14ac:dyDescent="0.2">
      <c r="X660" s="176" t="str">
        <f t="shared" si="43"/>
        <v>1w</v>
      </c>
      <c r="Y660" s="164">
        <f>_xll.qlCalendarAdvance(Calendar,Y659,X660,"f",FALSE)</f>
        <v>43692</v>
      </c>
      <c r="Z660" s="188">
        <f>_xll.qlCalendarAdvance(Calendar,Y660,NDays&amp;"D")</f>
        <v>43696</v>
      </c>
      <c r="AA660" s="163">
        <v>5.2291616704863951E-3</v>
      </c>
      <c r="AB660" s="172">
        <v>4.8752985959499284E-3</v>
      </c>
    </row>
    <row r="661" spans="24:28" x14ac:dyDescent="0.2">
      <c r="X661" s="176" t="str">
        <f t="shared" ref="X661:X724" si="44">X660</f>
        <v>1w</v>
      </c>
      <c r="Y661" s="164">
        <f>_xll.qlCalendarAdvance(Calendar,Y660,X661,"f",FALSE)</f>
        <v>43699</v>
      </c>
      <c r="Z661" s="188">
        <f>_xll.qlCalendarAdvance(Calendar,Y661,NDays&amp;"D")</f>
        <v>43703</v>
      </c>
      <c r="AA661" s="163">
        <v>5.2559518219388512E-3</v>
      </c>
      <c r="AB661" s="172">
        <v>4.9015356155468481E-3</v>
      </c>
    </row>
    <row r="662" spans="24:28" x14ac:dyDescent="0.2">
      <c r="X662" s="176" t="str">
        <f t="shared" si="44"/>
        <v>1w</v>
      </c>
      <c r="Y662" s="164">
        <f>_xll.qlCalendarAdvance(Calendar,Y661,X662,"f",FALSE)</f>
        <v>43706</v>
      </c>
      <c r="Z662" s="188">
        <f>_xll.qlCalendarAdvance(Calendar,Y662,NDays&amp;"D")</f>
        <v>43710</v>
      </c>
      <c r="AA662" s="163">
        <v>5.2788441744260044E-3</v>
      </c>
      <c r="AB662" s="172">
        <v>4.9278095038918224E-3</v>
      </c>
    </row>
    <row r="663" spans="24:28" x14ac:dyDescent="0.2">
      <c r="X663" s="176" t="str">
        <f t="shared" si="44"/>
        <v>1w</v>
      </c>
      <c r="Y663" s="164">
        <f>_xll.qlCalendarAdvance(Calendar,Y662,X663,"f",FALSE)</f>
        <v>43713</v>
      </c>
      <c r="Z663" s="188">
        <f>_xll.qlCalendarAdvance(Calendar,Y663,NDays&amp;"D")</f>
        <v>43717</v>
      </c>
      <c r="AA663" s="163">
        <v>5.305702868383267E-3</v>
      </c>
      <c r="AB663" s="172">
        <v>4.954120260824979E-3</v>
      </c>
    </row>
    <row r="664" spans="24:28" x14ac:dyDescent="0.2">
      <c r="X664" s="176" t="str">
        <f t="shared" si="44"/>
        <v>1w</v>
      </c>
      <c r="Y664" s="164">
        <f>_xll.qlCalendarAdvance(Calendar,Y663,X664,"f",FALSE)</f>
        <v>43720</v>
      </c>
      <c r="Z664" s="188">
        <f>_xll.qlCalendarAdvance(Calendar,Y664,NDays&amp;"D")</f>
        <v>43724</v>
      </c>
      <c r="AA664" s="163">
        <v>5.3325988917407585E-3</v>
      </c>
      <c r="AB664" s="172">
        <v>4.9804678865861263E-3</v>
      </c>
    </row>
    <row r="665" spans="24:28" x14ac:dyDescent="0.2">
      <c r="X665" s="176" t="str">
        <f t="shared" si="44"/>
        <v>1w</v>
      </c>
      <c r="Y665" s="164">
        <f>_xll.qlCalendarAdvance(Calendar,Y664,X665,"f",FALSE)</f>
        <v>43727</v>
      </c>
      <c r="Z665" s="188">
        <f>_xll.qlCalendarAdvance(Calendar,Y665,NDays&amp;"D")</f>
        <v>43731</v>
      </c>
      <c r="AA665" s="163">
        <v>5.3595322460071645E-3</v>
      </c>
      <c r="AB665" s="172">
        <v>5.006852381095328E-3</v>
      </c>
    </row>
    <row r="666" spans="24:28" x14ac:dyDescent="0.2">
      <c r="X666" s="176" t="str">
        <f t="shared" si="44"/>
        <v>1w</v>
      </c>
      <c r="Y666" s="164">
        <f>_xll.qlCalendarAdvance(Calendar,Y665,X666,"f",FALSE)</f>
        <v>43734</v>
      </c>
      <c r="Z666" s="188">
        <f>_xll.qlCalendarAdvance(Calendar,Y666,NDays&amp;"D")</f>
        <v>43738</v>
      </c>
      <c r="AA666" s="163">
        <v>5.38848125917675E-3</v>
      </c>
      <c r="AB666" s="172">
        <v>5.0332737442726483E-3</v>
      </c>
    </row>
    <row r="667" spans="24:28" x14ac:dyDescent="0.2">
      <c r="X667" s="176" t="str">
        <f t="shared" si="44"/>
        <v>1w</v>
      </c>
      <c r="Y667" s="164">
        <f>_xll.qlCalendarAdvance(Calendar,Y666,X667,"f",FALSE)</f>
        <v>43741</v>
      </c>
      <c r="Z667" s="188">
        <f>_xll.qlCalendarAdvance(Calendar,Y667,NDays&amp;"D")</f>
        <v>43745</v>
      </c>
      <c r="AA667" s="163">
        <v>5.4154829455948985E-3</v>
      </c>
      <c r="AB667" s="172">
        <v>5.0597319761980231E-3</v>
      </c>
    </row>
    <row r="668" spans="24:28" x14ac:dyDescent="0.2">
      <c r="X668" s="176" t="str">
        <f t="shared" si="44"/>
        <v>1w</v>
      </c>
      <c r="Y668" s="164">
        <f>_xll.qlCalendarAdvance(Calendar,Y667,X668,"f",FALSE)</f>
        <v>43748</v>
      </c>
      <c r="Z668" s="188">
        <f>_xll.qlCalendarAdvance(Calendar,Y668,NDays&amp;"D")</f>
        <v>43752</v>
      </c>
      <c r="AA668" s="163">
        <v>5.4425058453374774E-3</v>
      </c>
      <c r="AB668" s="172">
        <v>5.0862270768714524E-3</v>
      </c>
    </row>
    <row r="669" spans="24:28" x14ac:dyDescent="0.2">
      <c r="X669" s="176" t="str">
        <f t="shared" si="44"/>
        <v>1w</v>
      </c>
      <c r="Y669" s="164">
        <f>_xll.qlCalendarAdvance(Calendar,Y668,X669,"f",FALSE)</f>
        <v>43755</v>
      </c>
      <c r="Z669" s="188">
        <f>_xll.qlCalendarAdvance(Calendar,Y669,NDays&amp;"D")</f>
        <v>43759</v>
      </c>
      <c r="AA669" s="163">
        <v>5.4695418968779578E-3</v>
      </c>
      <c r="AB669" s="172">
        <v>5.1127590462929362E-3</v>
      </c>
    </row>
    <row r="670" spans="24:28" x14ac:dyDescent="0.2">
      <c r="X670" s="176" t="str">
        <f t="shared" si="44"/>
        <v>1w</v>
      </c>
      <c r="Y670" s="164">
        <f>_xll.qlCalendarAdvance(Calendar,Y669,X670,"f",FALSE)</f>
        <v>43762</v>
      </c>
      <c r="Z670" s="188">
        <f>_xll.qlCalendarAdvance(Calendar,Y670,NDays&amp;"D")</f>
        <v>43766</v>
      </c>
      <c r="AA670" s="163">
        <v>5.4965830382473248E-3</v>
      </c>
      <c r="AB670" s="172">
        <v>5.1393278844624746E-3</v>
      </c>
    </row>
    <row r="671" spans="24:28" x14ac:dyDescent="0.2">
      <c r="X671" s="176" t="str">
        <f t="shared" si="44"/>
        <v>1w</v>
      </c>
      <c r="Y671" s="164">
        <f>_xll.qlCalendarAdvance(Calendar,Y670,X671,"f",FALSE)</f>
        <v>43769</v>
      </c>
      <c r="Z671" s="188">
        <f>_xll.qlCalendarAdvance(Calendar,Y671,NDays&amp;"D")</f>
        <v>43773</v>
      </c>
      <c r="AA671" s="163">
        <v>5.5216449150155104E-3</v>
      </c>
      <c r="AB671" s="172">
        <v>5.1659335914600035E-3</v>
      </c>
    </row>
    <row r="672" spans="24:28" x14ac:dyDescent="0.2">
      <c r="X672" s="176" t="str">
        <f t="shared" si="44"/>
        <v>1w</v>
      </c>
      <c r="Y672" s="164">
        <f>_xll.qlCalendarAdvance(Calendar,Y671,X672,"f",FALSE)</f>
        <v>43776</v>
      </c>
      <c r="Z672" s="188">
        <f>_xll.qlCalendarAdvance(Calendar,Y672,NDays&amp;"D")</f>
        <v>43780</v>
      </c>
      <c r="AA672" s="163">
        <v>5.5486754736258307E-3</v>
      </c>
      <c r="AB672" s="172">
        <v>5.192576167125651E-3</v>
      </c>
    </row>
    <row r="673" spans="24:28" x14ac:dyDescent="0.2">
      <c r="X673" s="176" t="str">
        <f t="shared" si="44"/>
        <v>1w</v>
      </c>
      <c r="Y673" s="164">
        <f>_xll.qlCalendarAdvance(Calendar,Y672,X673,"f",FALSE)</f>
        <v>43783</v>
      </c>
      <c r="Z673" s="188">
        <f>_xll.qlCalendarAdvance(Calendar,Y673,NDays&amp;"D")</f>
        <v>43787</v>
      </c>
      <c r="AA673" s="163">
        <v>5.5756877799402124E-3</v>
      </c>
      <c r="AB673" s="172">
        <v>5.219255611619289E-3</v>
      </c>
    </row>
    <row r="674" spans="24:28" x14ac:dyDescent="0.2">
      <c r="X674" s="176" t="str">
        <f t="shared" si="44"/>
        <v>1w</v>
      </c>
      <c r="Y674" s="164">
        <f>_xll.qlCalendarAdvance(Calendar,Y673,X674,"f",FALSE)</f>
        <v>43790</v>
      </c>
      <c r="Z674" s="188">
        <f>_xll.qlCalendarAdvance(Calendar,Y674,NDays&amp;"D")</f>
        <v>43794</v>
      </c>
      <c r="AA674" s="163">
        <v>5.6026737260926286E-3</v>
      </c>
      <c r="AB674" s="172">
        <v>5.2459719250208536E-3</v>
      </c>
    </row>
    <row r="675" spans="24:28" x14ac:dyDescent="0.2">
      <c r="X675" s="176" t="str">
        <f t="shared" si="44"/>
        <v>1w</v>
      </c>
      <c r="Y675" s="164">
        <f>_xll.qlCalendarAdvance(Calendar,Y674,X675,"f",FALSE)</f>
        <v>43797</v>
      </c>
      <c r="Z675" s="188">
        <f>_xll.qlCalendarAdvance(Calendar,Y675,NDays&amp;"D")</f>
        <v>43801</v>
      </c>
      <c r="AA675" s="163">
        <v>5.6315828926578604E-3</v>
      </c>
      <c r="AB675" s="172">
        <v>5.2727251071704728E-3</v>
      </c>
    </row>
    <row r="676" spans="24:28" x14ac:dyDescent="0.2">
      <c r="X676" s="176" t="str">
        <f t="shared" si="44"/>
        <v>1w</v>
      </c>
      <c r="Y676" s="164">
        <f>_xll.qlCalendarAdvance(Calendar,Y675,X676,"f",FALSE)</f>
        <v>43804</v>
      </c>
      <c r="Z676" s="188">
        <f>_xll.qlCalendarAdvance(Calendar,Y676,NDays&amp;"D")</f>
        <v>43808</v>
      </c>
      <c r="AA676" s="163">
        <v>5.6584852469055416E-3</v>
      </c>
      <c r="AB676" s="172">
        <v>5.2995151580681465E-3</v>
      </c>
    </row>
    <row r="677" spans="24:28" x14ac:dyDescent="0.2">
      <c r="X677" s="176" t="str">
        <f t="shared" si="44"/>
        <v>1w</v>
      </c>
      <c r="Y677" s="164">
        <f>_xll.qlCalendarAdvance(Calendar,Y676,X677,"f",FALSE)</f>
        <v>43811</v>
      </c>
      <c r="Z677" s="188">
        <f>_xll.qlCalendarAdvance(Calendar,Y677,NDays&amp;"D")</f>
        <v>43815</v>
      </c>
      <c r="AA677" s="163">
        <v>5.6853362448425438E-3</v>
      </c>
      <c r="AB677" s="172">
        <v>5.3263420777938109E-3</v>
      </c>
    </row>
    <row r="678" spans="24:28" x14ac:dyDescent="0.2">
      <c r="X678" s="176" t="str">
        <f t="shared" si="44"/>
        <v>1w</v>
      </c>
      <c r="Y678" s="164">
        <f>_xll.qlCalendarAdvance(Calendar,Y677,X678,"f",FALSE)</f>
        <v>43818</v>
      </c>
      <c r="Z678" s="188">
        <f>_xll.qlCalendarAdvance(Calendar,Y678,NDays&amp;"D")</f>
        <v>43822</v>
      </c>
      <c r="AA678" s="163">
        <v>5.7121278209800426E-3</v>
      </c>
      <c r="AB678" s="172">
        <v>5.3532058663474658E-3</v>
      </c>
    </row>
    <row r="679" spans="24:28" x14ac:dyDescent="0.2">
      <c r="X679" s="176" t="str">
        <f t="shared" si="44"/>
        <v>1w</v>
      </c>
      <c r="Y679" s="164">
        <f>_xll.qlCalendarAdvance(Calendar,Y678,X679,"f",FALSE)</f>
        <v>43826</v>
      </c>
      <c r="Z679" s="188">
        <f>_xll.qlCalendarAdvance(Calendar,Y679,NDays&amp;"D")</f>
        <v>43830</v>
      </c>
      <c r="AA679" s="163">
        <v>5.7407372440629054E-3</v>
      </c>
      <c r="AB679" s="172">
        <v>5.3859161295255475E-3</v>
      </c>
    </row>
    <row r="680" spans="24:28" x14ac:dyDescent="0.2">
      <c r="X680" s="176" t="str">
        <f t="shared" si="44"/>
        <v>1w</v>
      </c>
      <c r="Y680" s="164">
        <f>_xll.qlCalendarAdvance(Calendar,Y679,X680,"f",FALSE)</f>
        <v>43833</v>
      </c>
      <c r="Z680" s="188">
        <f>_xll.qlCalendarAdvance(Calendar,Y680,NDays&amp;"D")</f>
        <v>43837</v>
      </c>
      <c r="AA680" s="163">
        <v>5.7673833607694196E-3</v>
      </c>
      <c r="AB680" s="172">
        <v>5.4108952776754649E-3</v>
      </c>
    </row>
    <row r="681" spans="24:28" x14ac:dyDescent="0.2">
      <c r="X681" s="176" t="str">
        <f t="shared" si="44"/>
        <v>1w</v>
      </c>
      <c r="Y681" s="164">
        <f>_xll.qlCalendarAdvance(Calendar,Y680,X681,"f",FALSE)</f>
        <v>43840</v>
      </c>
      <c r="Z681" s="188">
        <f>_xll.qlCalendarAdvance(Calendar,Y681,NDays&amp;"D")</f>
        <v>43844</v>
      </c>
      <c r="AA681" s="163">
        <v>5.7939451912860382E-3</v>
      </c>
      <c r="AB681" s="172">
        <v>5.4378749398598103E-3</v>
      </c>
    </row>
    <row r="682" spans="24:28" x14ac:dyDescent="0.2">
      <c r="X682" s="176" t="str">
        <f t="shared" si="44"/>
        <v>1w</v>
      </c>
      <c r="Y682" s="164">
        <f>_xll.qlCalendarAdvance(Calendar,Y681,X682,"f",FALSE)</f>
        <v>43847</v>
      </c>
      <c r="Z682" s="188">
        <f>_xll.qlCalendarAdvance(Calendar,Y682,NDays&amp;"D")</f>
        <v>43851</v>
      </c>
      <c r="AA682" s="163">
        <v>5.8204146242181289E-3</v>
      </c>
      <c r="AB682" s="172">
        <v>5.4648914707922103E-3</v>
      </c>
    </row>
    <row r="683" spans="24:28" x14ac:dyDescent="0.2">
      <c r="X683" s="176" t="str">
        <f t="shared" si="44"/>
        <v>1w</v>
      </c>
      <c r="Y683" s="164">
        <f>_xll.qlCalendarAdvance(Calendar,Y682,X683,"f",FALSE)</f>
        <v>43854</v>
      </c>
      <c r="Z683" s="188">
        <f>_xll.qlCalendarAdvance(Calendar,Y683,NDays&amp;"D")</f>
        <v>43858</v>
      </c>
      <c r="AA683" s="163">
        <v>5.8467835477498563E-3</v>
      </c>
      <c r="AB683" s="172">
        <v>5.4919448705526008E-3</v>
      </c>
    </row>
    <row r="684" spans="24:28" x14ac:dyDescent="0.2">
      <c r="X684" s="176" t="str">
        <f t="shared" si="44"/>
        <v>1w</v>
      </c>
      <c r="Y684" s="164">
        <f>_xll.qlCalendarAdvance(Calendar,Y683,X684,"f",FALSE)</f>
        <v>43861</v>
      </c>
      <c r="Z684" s="188">
        <f>_xll.qlCalendarAdvance(Calendar,Y684,NDays&amp;"D")</f>
        <v>43865</v>
      </c>
      <c r="AA684" s="163">
        <v>5.8730438496494555E-3</v>
      </c>
      <c r="AB684" s="172">
        <v>5.5190351393008541E-3</v>
      </c>
    </row>
    <row r="685" spans="24:28" x14ac:dyDescent="0.2">
      <c r="X685" s="176" t="str">
        <f t="shared" si="44"/>
        <v>1w</v>
      </c>
      <c r="Y685" s="164">
        <f>_xll.qlCalendarAdvance(Calendar,Y684,X685,"f",FALSE)</f>
        <v>43868</v>
      </c>
      <c r="Z685" s="188">
        <f>_xll.qlCalendarAdvance(Calendar,Y685,NDays&amp;"D")</f>
        <v>43872</v>
      </c>
      <c r="AA685" s="163">
        <v>5.8991874172736212E-3</v>
      </c>
      <c r="AB685" s="172">
        <v>5.546162276877098E-3</v>
      </c>
    </row>
    <row r="686" spans="24:28" x14ac:dyDescent="0.2">
      <c r="X686" s="176" t="str">
        <f t="shared" si="44"/>
        <v>1w</v>
      </c>
      <c r="Y686" s="164">
        <f>_xll.qlCalendarAdvance(Calendar,Y685,X686,"f",FALSE)</f>
        <v>43875</v>
      </c>
      <c r="Z686" s="188">
        <f>_xll.qlCalendarAdvance(Calendar,Y686,NDays&amp;"D")</f>
        <v>43879</v>
      </c>
      <c r="AA686" s="163">
        <v>5.9252061375697071E-3</v>
      </c>
      <c r="AB686" s="172">
        <v>5.5733262833612685E-3</v>
      </c>
    </row>
    <row r="687" spans="24:28" x14ac:dyDescent="0.2">
      <c r="X687" s="176" t="str">
        <f t="shared" si="44"/>
        <v>1w</v>
      </c>
      <c r="Y687" s="164">
        <f>_xll.qlCalendarAdvance(Calendar,Y686,X687,"f",FALSE)</f>
        <v>43882</v>
      </c>
      <c r="Z687" s="188">
        <f>_xll.qlCalendarAdvance(Calendar,Y687,NDays&amp;"D")</f>
        <v>43886</v>
      </c>
      <c r="AA687" s="163">
        <v>5.9510918970831893E-3</v>
      </c>
      <c r="AB687" s="172">
        <v>5.6005271586734295E-3</v>
      </c>
    </row>
    <row r="688" spans="24:28" x14ac:dyDescent="0.2">
      <c r="X688" s="176" t="str">
        <f t="shared" si="44"/>
        <v>1w</v>
      </c>
      <c r="Y688" s="164">
        <f>_xll.qlCalendarAdvance(Calendar,Y687,X688,"f",FALSE)</f>
        <v>43889</v>
      </c>
      <c r="Z688" s="188">
        <f>_xll.qlCalendarAdvance(Calendar,Y688,NDays&amp;"D")</f>
        <v>43893</v>
      </c>
      <c r="AA688" s="163">
        <v>5.9804980142413146E-3</v>
      </c>
      <c r="AB688" s="172">
        <v>5.6277649029734533E-3</v>
      </c>
    </row>
    <row r="689" spans="24:28" x14ac:dyDescent="0.2">
      <c r="X689" s="176" t="str">
        <f t="shared" si="44"/>
        <v>1w</v>
      </c>
      <c r="Y689" s="164">
        <f>_xll.qlCalendarAdvance(Calendar,Y688,X689,"f",FALSE)</f>
        <v>43896</v>
      </c>
      <c r="Z689" s="188">
        <f>_xll.qlCalendarAdvance(Calendar,Y689,NDays&amp;"D")</f>
        <v>43900</v>
      </c>
      <c r="AA689" s="163">
        <v>6.0060698497882191E-3</v>
      </c>
      <c r="AB689" s="172">
        <v>5.6550395162613398E-3</v>
      </c>
    </row>
    <row r="690" spans="24:28" x14ac:dyDescent="0.2">
      <c r="X690" s="176" t="str">
        <f t="shared" si="44"/>
        <v>1w</v>
      </c>
      <c r="Y690" s="164">
        <f>_xll.qlCalendarAdvance(Calendar,Y689,X690,"f",FALSE)</f>
        <v>43903</v>
      </c>
      <c r="Z690" s="188">
        <f>_xll.qlCalendarAdvance(Calendar,Y690,NDays&amp;"D")</f>
        <v>43907</v>
      </c>
      <c r="AA690" s="163">
        <v>6.0314842029870917E-3</v>
      </c>
      <c r="AB690" s="172">
        <v>5.6823509983772169E-3</v>
      </c>
    </row>
    <row r="691" spans="24:28" x14ac:dyDescent="0.2">
      <c r="X691" s="176" t="str">
        <f t="shared" si="44"/>
        <v>1w</v>
      </c>
      <c r="Y691" s="164">
        <f>_xll.qlCalendarAdvance(Calendar,Y690,X691,"f",FALSE)</f>
        <v>43910</v>
      </c>
      <c r="Z691" s="188">
        <f>_xll.qlCalendarAdvance(Calendar,Y691,NDays&amp;"D")</f>
        <v>43914</v>
      </c>
      <c r="AA691" s="163">
        <v>6.0567330466190427E-3</v>
      </c>
      <c r="AB691" s="172">
        <v>5.7096986344529199E-3</v>
      </c>
    </row>
    <row r="692" spans="24:28" x14ac:dyDescent="0.2">
      <c r="X692" s="176" t="str">
        <f t="shared" si="44"/>
        <v>1w</v>
      </c>
      <c r="Y692" s="164">
        <f>_xll.qlCalendarAdvance(Calendar,Y691,X692,"f",FALSE)</f>
        <v>43917</v>
      </c>
      <c r="Z692" s="188">
        <f>_xll.qlCalendarAdvance(Calendar,Y692,NDays&amp;"D")</f>
        <v>43921</v>
      </c>
      <c r="AA692" s="163">
        <v>6.0800272240912161E-3</v>
      </c>
      <c r="AB692" s="172">
        <v>5.7369637443027699E-3</v>
      </c>
    </row>
    <row r="693" spans="24:28" x14ac:dyDescent="0.2">
      <c r="X693" s="176" t="str">
        <f t="shared" si="44"/>
        <v>1w</v>
      </c>
      <c r="Y693" s="164">
        <f>_xll.qlCalendarAdvance(Calendar,Y692,X693,"f",FALSE)</f>
        <v>43924</v>
      </c>
      <c r="Z693" s="188">
        <f>_xll.qlCalendarAdvance(Calendar,Y693,NDays&amp;"D")</f>
        <v>43928</v>
      </c>
      <c r="AA693" s="163">
        <v>6.10494229953312E-3</v>
      </c>
      <c r="AB693" s="172">
        <v>5.7640555301574636E-3</v>
      </c>
    </row>
    <row r="694" spans="24:28" x14ac:dyDescent="0.2">
      <c r="X694" s="176" t="str">
        <f t="shared" si="44"/>
        <v>1w</v>
      </c>
      <c r="Y694" s="164">
        <f>_xll.qlCalendarAdvance(Calendar,Y693,X694,"f",FALSE)</f>
        <v>43935</v>
      </c>
      <c r="Z694" s="188">
        <f>_xll.qlCalendarAdvance(Calendar,Y694,NDays&amp;"D")</f>
        <v>43937</v>
      </c>
      <c r="AA694" s="163">
        <v>6.1367209567050936E-3</v>
      </c>
      <c r="AB694" s="172">
        <v>5.7986331461279406E-3</v>
      </c>
    </row>
    <row r="695" spans="24:28" x14ac:dyDescent="0.2">
      <c r="X695" s="176" t="str">
        <f t="shared" si="44"/>
        <v>1w</v>
      </c>
      <c r="Y695" s="164">
        <f>_xll.qlCalendarAdvance(Calendar,Y694,X695,"f",FALSE)</f>
        <v>43942</v>
      </c>
      <c r="Z695" s="188">
        <f>_xll.qlCalendarAdvance(Calendar,Y695,NDays&amp;"D")</f>
        <v>43944</v>
      </c>
      <c r="AA695" s="163">
        <v>6.1612393398020136E-3</v>
      </c>
      <c r="AB695" s="172">
        <v>5.825328762965043E-3</v>
      </c>
    </row>
    <row r="696" spans="24:28" x14ac:dyDescent="0.2">
      <c r="X696" s="176" t="str">
        <f t="shared" si="44"/>
        <v>1w</v>
      </c>
      <c r="Y696" s="164">
        <f>_xll.qlCalendarAdvance(Calendar,Y695,X696,"f",FALSE)</f>
        <v>43949</v>
      </c>
      <c r="Z696" s="188">
        <f>_xll.qlCalendarAdvance(Calendar,Y696,NDays&amp;"D")</f>
        <v>43951</v>
      </c>
      <c r="AA696" s="163">
        <v>6.1855841593249283E-3</v>
      </c>
      <c r="AB696" s="172">
        <v>5.8576526051679068E-3</v>
      </c>
    </row>
    <row r="697" spans="24:28" x14ac:dyDescent="0.2">
      <c r="X697" s="176" t="str">
        <f t="shared" si="44"/>
        <v>1w</v>
      </c>
      <c r="Y697" s="164">
        <f>_xll.qlCalendarAdvance(Calendar,Y696,X697,"f",FALSE)</f>
        <v>43956</v>
      </c>
      <c r="Z697" s="188">
        <f>_xll.qlCalendarAdvance(Calendar,Y697,NDays&amp;"D")</f>
        <v>43958</v>
      </c>
      <c r="AA697" s="163">
        <v>6.2149094738699192E-3</v>
      </c>
      <c r="AB697" s="172">
        <v>5.8782000243340349E-3</v>
      </c>
    </row>
    <row r="698" spans="24:28" x14ac:dyDescent="0.2">
      <c r="X698" s="176" t="str">
        <f t="shared" si="44"/>
        <v>1w</v>
      </c>
      <c r="Y698" s="164">
        <f>_xll.qlCalendarAdvance(Calendar,Y697,X698,"f",FALSE)</f>
        <v>43963</v>
      </c>
      <c r="Z698" s="188">
        <f>_xll.qlCalendarAdvance(Calendar,Y698,NDays&amp;"D")</f>
        <v>43965</v>
      </c>
      <c r="AA698" s="163">
        <v>6.2388711906067387E-3</v>
      </c>
      <c r="AB698" s="172">
        <v>5.9043756688659244E-3</v>
      </c>
    </row>
    <row r="699" spans="24:28" x14ac:dyDescent="0.2">
      <c r="X699" s="176" t="str">
        <f t="shared" si="44"/>
        <v>1w</v>
      </c>
      <c r="Y699" s="164">
        <f>_xll.qlCalendarAdvance(Calendar,Y698,X699,"f",FALSE)</f>
        <v>43970</v>
      </c>
      <c r="Z699" s="188">
        <f>_xll.qlCalendarAdvance(Calendar,Y699,NDays&amp;"D")</f>
        <v>43972</v>
      </c>
      <c r="AA699" s="163">
        <v>6.2626593190002883E-3</v>
      </c>
      <c r="AB699" s="172">
        <v>5.9303779892427855E-3</v>
      </c>
    </row>
    <row r="700" spans="24:28" x14ac:dyDescent="0.2">
      <c r="X700" s="176" t="str">
        <f t="shared" si="44"/>
        <v>1w</v>
      </c>
      <c r="Y700" s="164">
        <f>_xll.qlCalendarAdvance(Calendar,Y699,X700,"f",FALSE)</f>
        <v>43977</v>
      </c>
      <c r="Z700" s="188">
        <f>_xll.qlCalendarAdvance(Calendar,Y700,NDays&amp;"D")</f>
        <v>43979</v>
      </c>
      <c r="AA700" s="163">
        <v>6.2862738526634192E-3</v>
      </c>
      <c r="AB700" s="172">
        <v>5.9562069853846822E-3</v>
      </c>
    </row>
    <row r="701" spans="24:28" x14ac:dyDescent="0.2">
      <c r="X701" s="176" t="str">
        <f t="shared" si="44"/>
        <v>1w</v>
      </c>
      <c r="Y701" s="164">
        <f>_xll.qlCalendarAdvance(Calendar,Y700,X701,"f",FALSE)</f>
        <v>43984</v>
      </c>
      <c r="Z701" s="188">
        <f>_xll.qlCalendarAdvance(Calendar,Y701,NDays&amp;"D")</f>
        <v>43986</v>
      </c>
      <c r="AA701" s="163">
        <v>6.3047045798465618E-3</v>
      </c>
      <c r="AB701" s="172">
        <v>5.9818626572116784E-3</v>
      </c>
    </row>
    <row r="702" spans="24:28" x14ac:dyDescent="0.2">
      <c r="X702" s="176" t="str">
        <f t="shared" si="44"/>
        <v>1w</v>
      </c>
      <c r="Y702" s="164">
        <f>_xll.qlCalendarAdvance(Calendar,Y701,X702,"f",FALSE)</f>
        <v>43991</v>
      </c>
      <c r="Z702" s="188">
        <f>_xll.qlCalendarAdvance(Calendar,Y702,NDays&amp;"D")</f>
        <v>43993</v>
      </c>
      <c r="AA702" s="163">
        <v>6.3280078844767862E-3</v>
      </c>
      <c r="AB702" s="172">
        <v>6.0073450048037103E-3</v>
      </c>
    </row>
    <row r="703" spans="24:28" x14ac:dyDescent="0.2">
      <c r="X703" s="176" t="str">
        <f t="shared" si="44"/>
        <v>1w</v>
      </c>
      <c r="Y703" s="164">
        <f>_xll.qlCalendarAdvance(Calendar,Y702,X703,"f",FALSE)</f>
        <v>43998</v>
      </c>
      <c r="Z703" s="188">
        <f>_xll.qlCalendarAdvance(Calendar,Y703,NDays&amp;"D")</f>
        <v>44000</v>
      </c>
      <c r="AA703" s="163">
        <v>6.3511375814773174E-3</v>
      </c>
      <c r="AB703" s="172">
        <v>6.0326540281607777E-3</v>
      </c>
    </row>
    <row r="704" spans="24:28" x14ac:dyDescent="0.2">
      <c r="X704" s="176" t="str">
        <f t="shared" si="44"/>
        <v>1w</v>
      </c>
      <c r="Y704" s="164">
        <f>_xll.qlCalendarAdvance(Calendar,Y703,X704,"f",FALSE)</f>
        <v>44005</v>
      </c>
      <c r="Z704" s="188">
        <f>_xll.qlCalendarAdvance(Calendar,Y704,NDays&amp;"D")</f>
        <v>44007</v>
      </c>
      <c r="AA704" s="163">
        <v>6.3789959138971586E-3</v>
      </c>
      <c r="AB704" s="172">
        <v>6.0577897270430725E-3</v>
      </c>
    </row>
    <row r="705" spans="24:28" x14ac:dyDescent="0.2">
      <c r="X705" s="176" t="str">
        <f t="shared" si="44"/>
        <v>1w</v>
      </c>
      <c r="Y705" s="164">
        <f>_xll.qlCalendarAdvance(Calendar,Y704,X705,"f",FALSE)</f>
        <v>44012</v>
      </c>
      <c r="Z705" s="188">
        <f>_xll.qlCalendarAdvance(Calendar,Y705,NDays&amp;"D")</f>
        <v>44014</v>
      </c>
      <c r="AA705" s="163">
        <v>6.4017423797306282E-3</v>
      </c>
      <c r="AB705" s="172">
        <v>6.0827521016104669E-3</v>
      </c>
    </row>
    <row r="706" spans="24:28" x14ac:dyDescent="0.2">
      <c r="X706" s="176" t="str">
        <f t="shared" si="44"/>
        <v>1w</v>
      </c>
      <c r="Y706" s="164">
        <f>_xll.qlCalendarAdvance(Calendar,Y705,X706,"f",FALSE)</f>
        <v>44019</v>
      </c>
      <c r="Z706" s="188">
        <f>_xll.qlCalendarAdvance(Calendar,Y706,NDays&amp;"D")</f>
        <v>44021</v>
      </c>
      <c r="AA706" s="163">
        <v>6.4243152134885002E-3</v>
      </c>
      <c r="AB706" s="172">
        <v>6.1075411517830247E-3</v>
      </c>
    </row>
    <row r="707" spans="24:28" x14ac:dyDescent="0.2">
      <c r="X707" s="176" t="str">
        <f t="shared" si="44"/>
        <v>1w</v>
      </c>
      <c r="Y707" s="164">
        <f>_xll.qlCalendarAdvance(Calendar,Y706,X707,"f",FALSE)</f>
        <v>44026</v>
      </c>
      <c r="Z707" s="188">
        <f>_xll.qlCalendarAdvance(Calendar,Y707,NDays&amp;"D")</f>
        <v>44028</v>
      </c>
      <c r="AA707" s="163">
        <v>6.4467144091093845E-3</v>
      </c>
      <c r="AB707" s="172">
        <v>6.13215687748081E-3</v>
      </c>
    </row>
    <row r="708" spans="24:28" x14ac:dyDescent="0.2">
      <c r="X708" s="176" t="str">
        <f t="shared" si="44"/>
        <v>1w</v>
      </c>
      <c r="Y708" s="164">
        <f>_xll.qlCalendarAdvance(Calendar,Y707,X708,"f",FALSE)</f>
        <v>44033</v>
      </c>
      <c r="Z708" s="188">
        <f>_xll.qlCalendarAdvance(Calendar,Y708,NDays&amp;"D")</f>
        <v>44035</v>
      </c>
      <c r="AA708" s="163">
        <v>6.4689399605791674E-3</v>
      </c>
      <c r="AB708" s="172">
        <v>6.1565992786238866E-3</v>
      </c>
    </row>
    <row r="709" spans="24:28" x14ac:dyDescent="0.2">
      <c r="X709" s="176" t="str">
        <f t="shared" si="44"/>
        <v>1w</v>
      </c>
      <c r="Y709" s="164">
        <f>_xll.qlCalendarAdvance(Calendar,Y708,X709,"f",FALSE)</f>
        <v>44040</v>
      </c>
      <c r="Z709" s="188">
        <f>_xll.qlCalendarAdvance(Calendar,Y709,NDays&amp;"D")</f>
        <v>44042</v>
      </c>
      <c r="AA709" s="163">
        <v>6.4862696642861394E-3</v>
      </c>
      <c r="AB709" s="172">
        <v>6.1808683552921906E-3</v>
      </c>
    </row>
    <row r="710" spans="24:28" x14ac:dyDescent="0.2">
      <c r="X710" s="176" t="str">
        <f t="shared" si="44"/>
        <v>1w</v>
      </c>
      <c r="Y710" s="164">
        <f>_xll.qlCalendarAdvance(Calendar,Y709,X710,"f",FALSE)</f>
        <v>44047</v>
      </c>
      <c r="Z710" s="188">
        <f>_xll.qlCalendarAdvance(Calendar,Y710,NDays&amp;"D")</f>
        <v>44049</v>
      </c>
      <c r="AA710" s="163">
        <v>6.5128701072401877E-3</v>
      </c>
      <c r="AB710" s="172">
        <v>6.204964107405786E-3</v>
      </c>
    </row>
    <row r="711" spans="24:28" x14ac:dyDescent="0.2">
      <c r="X711" s="176" t="str">
        <f t="shared" si="44"/>
        <v>1w</v>
      </c>
      <c r="Y711" s="164">
        <f>_xll.qlCalendarAdvance(Calendar,Y710,X711,"f",FALSE)</f>
        <v>44054</v>
      </c>
      <c r="Z711" s="188">
        <f>_xll.qlCalendarAdvance(Calendar,Y711,NDays&amp;"D")</f>
        <v>44056</v>
      </c>
      <c r="AA711" s="163">
        <v>6.5345746906348397E-3</v>
      </c>
      <c r="AB711" s="172">
        <v>6.2288865348847366E-3</v>
      </c>
    </row>
    <row r="712" spans="24:28" x14ac:dyDescent="0.2">
      <c r="X712" s="176" t="str">
        <f t="shared" si="44"/>
        <v>1w</v>
      </c>
      <c r="Y712" s="164">
        <f>_xll.qlCalendarAdvance(Calendar,Y711,X712,"f",FALSE)</f>
        <v>44061</v>
      </c>
      <c r="Z712" s="188">
        <f>_xll.qlCalendarAdvance(Calendar,Y712,NDays&amp;"D")</f>
        <v>44063</v>
      </c>
      <c r="AA712" s="163">
        <v>6.5561056062852204E-3</v>
      </c>
      <c r="AB712" s="172">
        <v>6.2526356377290426E-3</v>
      </c>
    </row>
    <row r="713" spans="24:28" x14ac:dyDescent="0.2">
      <c r="X713" s="176" t="str">
        <f t="shared" si="44"/>
        <v>1w</v>
      </c>
      <c r="Y713" s="164">
        <f>_xll.qlCalendarAdvance(Calendar,Y712,X713,"f",FALSE)</f>
        <v>44068</v>
      </c>
      <c r="Z713" s="188">
        <f>_xll.qlCalendarAdvance(Calendar,Y713,NDays&amp;"D")</f>
        <v>44070</v>
      </c>
      <c r="AA713" s="163">
        <v>6.5728848102522691E-3</v>
      </c>
      <c r="AB713" s="172">
        <v>6.2762114159387039E-3</v>
      </c>
    </row>
    <row r="714" spans="24:28" x14ac:dyDescent="0.2">
      <c r="X714" s="176" t="str">
        <f t="shared" si="44"/>
        <v>1w</v>
      </c>
      <c r="Y714" s="164">
        <f>_xll.qlCalendarAdvance(Calendar,Y713,X714,"f",FALSE)</f>
        <v>44075</v>
      </c>
      <c r="Z714" s="188">
        <f>_xll.qlCalendarAdvance(Calendar,Y714,NDays&amp;"D")</f>
        <v>44077</v>
      </c>
      <c r="AA714" s="163">
        <v>6.5910708026732301E-3</v>
      </c>
      <c r="AB714" s="172">
        <v>6.2996138694337844E-3</v>
      </c>
    </row>
    <row r="715" spans="24:28" x14ac:dyDescent="0.2">
      <c r="X715" s="176" t="str">
        <f t="shared" si="44"/>
        <v>1w</v>
      </c>
      <c r="Y715" s="164">
        <f>_xll.qlCalendarAdvance(Calendar,Y714,X715,"f",FALSE)</f>
        <v>44082</v>
      </c>
      <c r="Z715" s="188">
        <f>_xll.qlCalendarAdvance(Calendar,Y715,NDays&amp;"D")</f>
        <v>44084</v>
      </c>
      <c r="AA715" s="163">
        <v>6.6121407857481877E-3</v>
      </c>
      <c r="AB715" s="172">
        <v>6.3228429981343481E-3</v>
      </c>
    </row>
    <row r="716" spans="24:28" x14ac:dyDescent="0.2">
      <c r="X716" s="176" t="str">
        <f t="shared" si="44"/>
        <v>1w</v>
      </c>
      <c r="Y716" s="164">
        <f>_xll.qlCalendarAdvance(Calendar,Y715,X716,"f",FALSE)</f>
        <v>44089</v>
      </c>
      <c r="Z716" s="188">
        <f>_xll.qlCalendarAdvance(Calendar,Y716,NDays&amp;"D")</f>
        <v>44091</v>
      </c>
      <c r="AA716" s="163">
        <v>6.6330370900465913E-3</v>
      </c>
      <c r="AB716" s="172">
        <v>6.3458988021203311E-3</v>
      </c>
    </row>
    <row r="717" spans="24:28" x14ac:dyDescent="0.2">
      <c r="X717" s="176" t="str">
        <f t="shared" si="44"/>
        <v>1w</v>
      </c>
      <c r="Y717" s="164">
        <f>_xll.qlCalendarAdvance(Calendar,Y716,X717,"f",FALSE)</f>
        <v>44096</v>
      </c>
      <c r="Z717" s="188">
        <f>_xll.qlCalendarAdvance(Calendar,Y717,NDays&amp;"D")</f>
        <v>44098</v>
      </c>
      <c r="AA717" s="163">
        <v>6.6537597101071749E-3</v>
      </c>
      <c r="AB717" s="172">
        <v>6.3687812813117972E-3</v>
      </c>
    </row>
    <row r="718" spans="24:28" x14ac:dyDescent="0.2">
      <c r="X718" s="176" t="str">
        <f t="shared" si="44"/>
        <v>1w</v>
      </c>
      <c r="Y718" s="164">
        <f>_xll.qlCalendarAdvance(Calendar,Y717,X718,"f",FALSE)</f>
        <v>44103</v>
      </c>
      <c r="Z718" s="188">
        <f>_xll.qlCalendarAdvance(Calendar,Y718,NDays&amp;"D")</f>
        <v>44105</v>
      </c>
      <c r="AA718" s="163">
        <v>6.6757806689059221E-3</v>
      </c>
      <c r="AB718" s="172">
        <v>6.3914904356288105E-3</v>
      </c>
    </row>
    <row r="719" spans="24:28" x14ac:dyDescent="0.2">
      <c r="X719" s="176" t="str">
        <f t="shared" si="44"/>
        <v>1w</v>
      </c>
      <c r="Y719" s="164">
        <f>_xll.qlCalendarAdvance(Calendar,Y718,X719,"f",FALSE)</f>
        <v>44110</v>
      </c>
      <c r="Z719" s="188">
        <f>_xll.qlCalendarAdvance(Calendar,Y719,NDays&amp;"D")</f>
        <v>44112</v>
      </c>
      <c r="AA719" s="163">
        <v>6.6961592328314903E-3</v>
      </c>
      <c r="AB719" s="172">
        <v>6.4140262650713709E-3</v>
      </c>
    </row>
    <row r="720" spans="24:28" x14ac:dyDescent="0.2">
      <c r="X720" s="176" t="str">
        <f t="shared" si="44"/>
        <v>1w</v>
      </c>
      <c r="Y720" s="164">
        <f>_xll.qlCalendarAdvance(Calendar,Y719,X720,"f",FALSE)</f>
        <v>44117</v>
      </c>
      <c r="Z720" s="188">
        <f>_xll.qlCalendarAdvance(Calendar,Y720,NDays&amp;"D")</f>
        <v>44119</v>
      </c>
      <c r="AA720" s="163">
        <v>6.7163877518548422E-3</v>
      </c>
      <c r="AB720" s="172">
        <v>6.4363887696394784E-3</v>
      </c>
    </row>
    <row r="721" spans="24:28" x14ac:dyDescent="0.2">
      <c r="X721" s="176" t="str">
        <f t="shared" si="44"/>
        <v>1w</v>
      </c>
      <c r="Y721" s="164">
        <f>_xll.qlCalendarAdvance(Calendar,Y720,X721,"f",FALSE)</f>
        <v>44124</v>
      </c>
      <c r="Z721" s="188">
        <f>_xll.qlCalendarAdvance(Calendar,Y721,NDays&amp;"D")</f>
        <v>44126</v>
      </c>
      <c r="AA721" s="163">
        <v>6.7364772617078657E-3</v>
      </c>
      <c r="AB721" s="172">
        <v>6.458577949333133E-3</v>
      </c>
    </row>
    <row r="722" spans="24:28" x14ac:dyDescent="0.2">
      <c r="X722" s="176" t="str">
        <f t="shared" si="44"/>
        <v>1w</v>
      </c>
      <c r="Y722" s="164">
        <f>_xll.qlCalendarAdvance(Calendar,Y721,X722,"f",FALSE)</f>
        <v>44131</v>
      </c>
      <c r="Z722" s="188">
        <f>_xll.qlCalendarAdvance(Calendar,Y722,NDays&amp;"D")</f>
        <v>44133</v>
      </c>
      <c r="AA722" s="163">
        <v>6.756438798598113E-3</v>
      </c>
      <c r="AB722" s="172">
        <v>6.4805938039924627E-3</v>
      </c>
    </row>
    <row r="723" spans="24:28" x14ac:dyDescent="0.2">
      <c r="X723" s="176" t="str">
        <f t="shared" si="44"/>
        <v>1w</v>
      </c>
      <c r="Y723" s="164">
        <f>_xll.qlCalendarAdvance(Calendar,Y722,X723,"f",FALSE)</f>
        <v>44138</v>
      </c>
      <c r="Z723" s="188">
        <f>_xll.qlCalendarAdvance(Calendar,Y723,NDays&amp;"D")</f>
        <v>44140</v>
      </c>
      <c r="AA723" s="163">
        <v>6.7748474090784999E-3</v>
      </c>
      <c r="AB723" s="172">
        <v>6.5024363336174673E-3</v>
      </c>
    </row>
    <row r="724" spans="24:28" x14ac:dyDescent="0.2">
      <c r="X724" s="176" t="str">
        <f t="shared" si="44"/>
        <v>1w</v>
      </c>
      <c r="Y724" s="164">
        <f>_xll.qlCalendarAdvance(Calendar,Y723,X724,"f",FALSE)</f>
        <v>44145</v>
      </c>
      <c r="Z724" s="188">
        <f>_xll.qlCalendarAdvance(Calendar,Y724,NDays&amp;"D")</f>
        <v>44147</v>
      </c>
      <c r="AA724" s="163">
        <v>6.7945890746598896E-3</v>
      </c>
      <c r="AB724" s="172">
        <v>6.524105538208147E-3</v>
      </c>
    </row>
    <row r="725" spans="24:28" x14ac:dyDescent="0.2">
      <c r="X725" s="176" t="str">
        <f t="shared" ref="X725:X788" si="45">X724</f>
        <v>1w</v>
      </c>
      <c r="Y725" s="164">
        <f>_xll.qlCalendarAdvance(Calendar,Y724,X725,"f",FALSE)</f>
        <v>44152</v>
      </c>
      <c r="Z725" s="188">
        <f>_xll.qlCalendarAdvance(Calendar,Y725,NDays&amp;"D")</f>
        <v>44154</v>
      </c>
      <c r="AA725" s="163">
        <v>6.8142347293068291E-3</v>
      </c>
      <c r="AB725" s="172">
        <v>6.5456014177645017E-3</v>
      </c>
    </row>
    <row r="726" spans="24:28" x14ac:dyDescent="0.2">
      <c r="X726" s="176" t="str">
        <f t="shared" si="45"/>
        <v>1w</v>
      </c>
      <c r="Y726" s="164">
        <f>_xll.qlCalendarAdvance(Calendar,Y725,X726,"f",FALSE)</f>
        <v>44159</v>
      </c>
      <c r="Z726" s="188">
        <f>_xll.qlCalendarAdvance(Calendar,Y726,NDays&amp;"D")</f>
        <v>44161</v>
      </c>
      <c r="AA726" s="163">
        <v>6.8337954718335593E-3</v>
      </c>
      <c r="AB726" s="172">
        <v>6.5669239722865314E-3</v>
      </c>
    </row>
    <row r="727" spans="24:28" x14ac:dyDescent="0.2">
      <c r="X727" s="176" t="str">
        <f t="shared" si="45"/>
        <v>1w</v>
      </c>
      <c r="Y727" s="164">
        <f>_xll.qlCalendarAdvance(Calendar,Y726,X727,"f",FALSE)</f>
        <v>44166</v>
      </c>
      <c r="Z727" s="188">
        <f>_xll.qlCalendarAdvance(Calendar,Y727,NDays&amp;"D")</f>
        <v>44168</v>
      </c>
      <c r="AA727" s="163">
        <v>6.8547131884740863E-3</v>
      </c>
      <c r="AB727" s="172">
        <v>6.5880732016943E-3</v>
      </c>
    </row>
    <row r="728" spans="24:28" x14ac:dyDescent="0.2">
      <c r="X728" s="176" t="str">
        <f t="shared" si="45"/>
        <v>1w</v>
      </c>
      <c r="Y728" s="164">
        <f>_xll.qlCalendarAdvance(Calendar,Y727,X728,"f",FALSE)</f>
        <v>44173</v>
      </c>
      <c r="Z728" s="188">
        <f>_xll.qlCalendarAdvance(Calendar,Y728,NDays&amp;"D")</f>
        <v>44175</v>
      </c>
      <c r="AA728" s="163">
        <v>6.8741386738666371E-3</v>
      </c>
      <c r="AB728" s="172">
        <v>6.6090491058279355E-3</v>
      </c>
    </row>
    <row r="729" spans="24:28" x14ac:dyDescent="0.2">
      <c r="X729" s="176" t="str">
        <f t="shared" si="45"/>
        <v>1w</v>
      </c>
      <c r="Y729" s="164">
        <f>_xll.qlCalendarAdvance(Calendar,Y728,X729,"f",FALSE)</f>
        <v>44180</v>
      </c>
      <c r="Z729" s="188">
        <f>_xll.qlCalendarAdvance(Calendar,Y729,NDays&amp;"D")</f>
        <v>44182</v>
      </c>
      <c r="AA729" s="163">
        <v>6.8935134525882381E-3</v>
      </c>
      <c r="AB729" s="172">
        <v>6.6298516848473099E-3</v>
      </c>
    </row>
    <row r="730" spans="24:28" x14ac:dyDescent="0.2">
      <c r="X730" s="176" t="str">
        <f t="shared" si="45"/>
        <v>1w</v>
      </c>
      <c r="Y730" s="164">
        <f>_xll.qlCalendarAdvance(Calendar,Y729,X730,"f",FALSE)</f>
        <v>44187</v>
      </c>
      <c r="Z730" s="188">
        <f>_xll.qlCalendarAdvance(Calendar,Y730,NDays&amp;"D")</f>
        <v>44189</v>
      </c>
      <c r="AA730" s="163">
        <v>6.9128485644536662E-3</v>
      </c>
      <c r="AB730" s="172">
        <v>6.6550612653104579E-3</v>
      </c>
    </row>
    <row r="731" spans="24:28" x14ac:dyDescent="0.2">
      <c r="X731" s="176" t="str">
        <f t="shared" si="45"/>
        <v>1w</v>
      </c>
      <c r="Y731" s="164">
        <f>_xll.qlCalendarAdvance(Calendar,Y730,X731,"f",FALSE)</f>
        <v>44194</v>
      </c>
      <c r="Z731" s="188">
        <f>_xll.qlCalendarAdvance(Calendar,Y731,NDays&amp;"D")</f>
        <v>44196</v>
      </c>
      <c r="AA731" s="163">
        <v>6.9307139922201982E-3</v>
      </c>
      <c r="AB731" s="172">
        <v>6.6754811868641184E-3</v>
      </c>
    </row>
    <row r="732" spans="24:28" x14ac:dyDescent="0.2">
      <c r="X732" s="176" t="str">
        <f t="shared" si="45"/>
        <v>1w</v>
      </c>
      <c r="Y732" s="164">
        <f>_xll.qlCalendarAdvance(Calendar,Y731,X732,"f",FALSE)</f>
        <v>44201</v>
      </c>
      <c r="Z732" s="188">
        <f>_xll.qlCalendarAdvance(Calendar,Y732,NDays&amp;"D")</f>
        <v>44203</v>
      </c>
      <c r="AA732" s="163">
        <v>6.9499983618820033E-3</v>
      </c>
      <c r="AB732" s="172">
        <v>6.6912194704205064E-3</v>
      </c>
    </row>
    <row r="733" spans="24:28" x14ac:dyDescent="0.2">
      <c r="X733" s="176" t="str">
        <f t="shared" si="45"/>
        <v>1w</v>
      </c>
      <c r="Y733" s="164">
        <f>_xll.qlCalendarAdvance(Calendar,Y732,X733,"f",FALSE)</f>
        <v>44208</v>
      </c>
      <c r="Z733" s="188">
        <f>_xll.qlCalendarAdvance(Calendar,Y733,NDays&amp;"D")</f>
        <v>44210</v>
      </c>
      <c r="AA733" s="163">
        <v>6.9692755234365489E-3</v>
      </c>
      <c r="AB733" s="172">
        <v>6.7113287484232842E-3</v>
      </c>
    </row>
    <row r="734" spans="24:28" x14ac:dyDescent="0.2">
      <c r="X734" s="176" t="str">
        <f t="shared" si="45"/>
        <v>1w</v>
      </c>
      <c r="Y734" s="164">
        <f>_xll.qlCalendarAdvance(Calendar,Y733,X734,"f",FALSE)</f>
        <v>44215</v>
      </c>
      <c r="Z734" s="188">
        <f>_xll.qlCalendarAdvance(Calendar,Y734,NDays&amp;"D")</f>
        <v>44217</v>
      </c>
      <c r="AA734" s="163">
        <v>6.988556579185675E-3</v>
      </c>
      <c r="AB734" s="172">
        <v>6.7312647011519289E-3</v>
      </c>
    </row>
    <row r="735" spans="24:28" x14ac:dyDescent="0.2">
      <c r="X735" s="176" t="str">
        <f t="shared" si="45"/>
        <v>1w</v>
      </c>
      <c r="Y735" s="164">
        <f>_xll.qlCalendarAdvance(Calendar,Y734,X735,"f",FALSE)</f>
        <v>44222</v>
      </c>
      <c r="Z735" s="188">
        <f>_xll.qlCalendarAdvance(Calendar,Y735,NDays&amp;"D")</f>
        <v>44224</v>
      </c>
      <c r="AA735" s="163">
        <v>7.007852631858282E-3</v>
      </c>
      <c r="AB735" s="172">
        <v>6.7510273283666322E-3</v>
      </c>
    </row>
    <row r="736" spans="24:28" x14ac:dyDescent="0.2">
      <c r="X736" s="176" t="str">
        <f t="shared" si="45"/>
        <v>1w</v>
      </c>
      <c r="Y736" s="164">
        <f>_xll.qlCalendarAdvance(Calendar,Y735,X736,"f",FALSE)</f>
        <v>44229</v>
      </c>
      <c r="Z736" s="188">
        <f>_xll.qlCalendarAdvance(Calendar,Y736,NDays&amp;"D")</f>
        <v>44231</v>
      </c>
      <c r="AA736" s="163">
        <v>7.0271747846169606E-3</v>
      </c>
      <c r="AB736" s="172">
        <v>6.7706166303072024E-3</v>
      </c>
    </row>
    <row r="737" spans="24:28" x14ac:dyDescent="0.2">
      <c r="X737" s="176" t="str">
        <f t="shared" si="45"/>
        <v>1w</v>
      </c>
      <c r="Y737" s="164">
        <f>_xll.qlCalendarAdvance(Calendar,Y736,X737,"f",FALSE)</f>
        <v>44236</v>
      </c>
      <c r="Z737" s="188">
        <f>_xll.qlCalendarAdvance(Calendar,Y737,NDays&amp;"D")</f>
        <v>44238</v>
      </c>
      <c r="AA737" s="163">
        <v>7.0465341410509167E-3</v>
      </c>
      <c r="AB737" s="172">
        <v>6.7900326068137673E-3</v>
      </c>
    </row>
    <row r="738" spans="24:28" x14ac:dyDescent="0.2">
      <c r="X738" s="176" t="str">
        <f t="shared" si="45"/>
        <v>1w</v>
      </c>
      <c r="Y738" s="164">
        <f>_xll.qlCalendarAdvance(Calendar,Y737,X738,"f",FALSE)</f>
        <v>44243</v>
      </c>
      <c r="Z738" s="188">
        <f>_xll.qlCalendarAdvance(Calendar,Y738,NDays&amp;"D")</f>
        <v>44245</v>
      </c>
      <c r="AA738" s="163">
        <v>7.065941805184813E-3</v>
      </c>
      <c r="AB738" s="172">
        <v>6.8092752578063909E-3</v>
      </c>
    </row>
    <row r="739" spans="24:28" x14ac:dyDescent="0.2">
      <c r="X739" s="176" t="str">
        <f t="shared" si="45"/>
        <v>1w</v>
      </c>
      <c r="Y739" s="164">
        <f>_xll.qlCalendarAdvance(Calendar,Y738,X739,"f",FALSE)</f>
        <v>44250</v>
      </c>
      <c r="Z739" s="188">
        <f>_xll.qlCalendarAdvance(Calendar,Y739,NDays&amp;"D")</f>
        <v>44252</v>
      </c>
      <c r="AA739" s="163">
        <v>7.0854088814761131E-3</v>
      </c>
      <c r="AB739" s="172">
        <v>6.8283445834449452E-3</v>
      </c>
    </row>
    <row r="740" spans="24:28" x14ac:dyDescent="0.2">
      <c r="X740" s="176" t="str">
        <f t="shared" si="45"/>
        <v>1w</v>
      </c>
      <c r="Y740" s="164">
        <f>_xll.qlCalendarAdvance(Calendar,Y739,X740,"f",FALSE)</f>
        <v>44257</v>
      </c>
      <c r="Z740" s="188">
        <f>_xll.qlCalendarAdvance(Calendar,Y740,NDays&amp;"D")</f>
        <v>44259</v>
      </c>
      <c r="AA740" s="163">
        <v>7.1124577252626529E-3</v>
      </c>
      <c r="AB740" s="172">
        <v>6.8472405834096861E-3</v>
      </c>
    </row>
    <row r="741" spans="24:28" x14ac:dyDescent="0.2">
      <c r="X741" s="176" t="str">
        <f t="shared" si="45"/>
        <v>1w</v>
      </c>
      <c r="Y741" s="164">
        <f>_xll.qlCalendarAdvance(Calendar,Y740,X741,"f",FALSE)</f>
        <v>44264</v>
      </c>
      <c r="Z741" s="188">
        <f>_xll.qlCalendarAdvance(Calendar,Y741,NDays&amp;"D")</f>
        <v>44266</v>
      </c>
      <c r="AA741" s="163">
        <v>7.1321185235209061E-3</v>
      </c>
      <c r="AB741" s="172">
        <v>6.8659632580203578E-3</v>
      </c>
    </row>
    <row r="742" spans="24:28" x14ac:dyDescent="0.2">
      <c r="X742" s="176" t="str">
        <f t="shared" si="45"/>
        <v>1w</v>
      </c>
      <c r="Y742" s="164">
        <f>_xll.qlCalendarAdvance(Calendar,Y741,X742,"f",FALSE)</f>
        <v>44271</v>
      </c>
      <c r="Z742" s="188">
        <f>_xll.qlCalendarAdvance(Calendar,Y742,NDays&amp;"D")</f>
        <v>44273</v>
      </c>
      <c r="AA742" s="163">
        <v>7.1518726199853097E-3</v>
      </c>
      <c r="AB742" s="172">
        <v>6.8845126068772799E-3</v>
      </c>
    </row>
    <row r="743" spans="24:28" x14ac:dyDescent="0.2">
      <c r="X743" s="176" t="str">
        <f t="shared" si="45"/>
        <v>1w</v>
      </c>
      <c r="Y743" s="164">
        <f>_xll.qlCalendarAdvance(Calendar,Y742,X743,"f",FALSE)</f>
        <v>44278</v>
      </c>
      <c r="Z743" s="188">
        <f>_xll.qlCalendarAdvance(Calendar,Y743,NDays&amp;"D")</f>
        <v>44280</v>
      </c>
      <c r="AA743" s="163">
        <v>7.1717308183712053E-3</v>
      </c>
      <c r="AB743" s="172">
        <v>6.9028954418115518E-3</v>
      </c>
    </row>
    <row r="744" spans="24:28" x14ac:dyDescent="0.2">
      <c r="X744" s="176" t="str">
        <f t="shared" si="45"/>
        <v>1w</v>
      </c>
      <c r="Y744" s="164">
        <f>_xll.qlCalendarAdvance(Calendar,Y743,X744,"f",FALSE)</f>
        <v>44285</v>
      </c>
      <c r="Z744" s="188">
        <f>_xll.qlCalendarAdvance(Calendar,Y744,NDays&amp;"D")</f>
        <v>44287</v>
      </c>
      <c r="AA744" s="163">
        <v>7.1870908333882535E-3</v>
      </c>
      <c r="AB744" s="172">
        <v>6.9268511947608857E-3</v>
      </c>
    </row>
    <row r="745" spans="24:28" x14ac:dyDescent="0.2">
      <c r="X745" s="176" t="str">
        <f t="shared" si="45"/>
        <v>1w</v>
      </c>
      <c r="Y745" s="164">
        <f>_xll.qlCalendarAdvance(Calendar,Y744,X745,"f",FALSE)</f>
        <v>44292</v>
      </c>
      <c r="Z745" s="188">
        <f>_xll.qlCalendarAdvance(Calendar,Y745,NDays&amp;"D")</f>
        <v>44294</v>
      </c>
      <c r="AA745" s="163">
        <v>7.2071491495774645E-3</v>
      </c>
      <c r="AB745" s="172">
        <v>6.9398222765215678E-3</v>
      </c>
    </row>
    <row r="746" spans="24:28" x14ac:dyDescent="0.2">
      <c r="X746" s="176" t="str">
        <f t="shared" si="45"/>
        <v>1w</v>
      </c>
      <c r="Y746" s="164">
        <f>_xll.qlCalendarAdvance(Calendar,Y745,X746,"f",FALSE)</f>
        <v>44299</v>
      </c>
      <c r="Z746" s="188">
        <f>_xll.qlCalendarAdvance(Calendar,Y746,NDays&amp;"D")</f>
        <v>44301</v>
      </c>
      <c r="AA746" s="163">
        <v>7.2273208346774372E-3</v>
      </c>
      <c r="AB746" s="172">
        <v>6.9584548249057576E-3</v>
      </c>
    </row>
    <row r="747" spans="24:28" x14ac:dyDescent="0.2">
      <c r="X747" s="176" t="str">
        <f t="shared" si="45"/>
        <v>1w</v>
      </c>
      <c r="Y747" s="164">
        <f>_xll.qlCalendarAdvance(Calendar,Y746,X747,"f",FALSE)</f>
        <v>44306</v>
      </c>
      <c r="Z747" s="188">
        <f>_xll.qlCalendarAdvance(Calendar,Y747,NDays&amp;"D")</f>
        <v>44308</v>
      </c>
      <c r="AA747" s="163">
        <v>7.2476058921599308E-3</v>
      </c>
      <c r="AB747" s="172">
        <v>6.9772001274159834E-3</v>
      </c>
    </row>
    <row r="748" spans="24:28" x14ac:dyDescent="0.2">
      <c r="X748" s="176" t="str">
        <f t="shared" si="45"/>
        <v>1w</v>
      </c>
      <c r="Y748" s="164">
        <f>_xll.qlCalendarAdvance(Calendar,Y747,X748,"f",FALSE)</f>
        <v>44313</v>
      </c>
      <c r="Z748" s="188">
        <f>_xll.qlCalendarAdvance(Calendar,Y748,NDays&amp;"D")</f>
        <v>44315</v>
      </c>
      <c r="AA748" s="163">
        <v>7.2680043255137373E-3</v>
      </c>
      <c r="AB748" s="172">
        <v>6.9960581839723091E-3</v>
      </c>
    </row>
    <row r="749" spans="24:28" x14ac:dyDescent="0.2">
      <c r="X749" s="176" t="str">
        <f t="shared" si="45"/>
        <v>1w</v>
      </c>
      <c r="Y749" s="164">
        <f>_xll.qlCalendarAdvance(Calendar,Y748,X749,"f",FALSE)</f>
        <v>44320</v>
      </c>
      <c r="Z749" s="188">
        <f>_xll.qlCalendarAdvance(Calendar,Y749,NDays&amp;"D")</f>
        <v>44322</v>
      </c>
      <c r="AA749" s="163">
        <v>7.2932541559571837E-3</v>
      </c>
      <c r="AB749" s="172">
        <v>7.0150289946546707E-3</v>
      </c>
    </row>
    <row r="750" spans="24:28" x14ac:dyDescent="0.2">
      <c r="X750" s="176" t="str">
        <f t="shared" si="45"/>
        <v>1w</v>
      </c>
      <c r="Y750" s="164">
        <f>_xll.qlCalendarAdvance(Calendar,Y749,X750,"f",FALSE)</f>
        <v>44327</v>
      </c>
      <c r="Z750" s="188">
        <f>_xll.qlCalendarAdvance(Calendar,Y750,NDays&amp;"D")</f>
        <v>44329</v>
      </c>
      <c r="AA750" s="163">
        <v>7.3139049039823295E-3</v>
      </c>
      <c r="AB750" s="172">
        <v>7.0341125593831322E-3</v>
      </c>
    </row>
    <row r="751" spans="24:28" x14ac:dyDescent="0.2">
      <c r="X751" s="176" t="str">
        <f t="shared" si="45"/>
        <v>1w</v>
      </c>
      <c r="Y751" s="164">
        <f>_xll.qlCalendarAdvance(Calendar,Y750,X751,"f",FALSE)</f>
        <v>44334</v>
      </c>
      <c r="Z751" s="188">
        <f>_xll.qlCalendarAdvance(Calendar,Y751,NDays&amp;"D")</f>
        <v>44336</v>
      </c>
      <c r="AA751" s="163">
        <v>7.3346690496939844E-3</v>
      </c>
      <c r="AB751" s="172">
        <v>7.0533088782376296E-3</v>
      </c>
    </row>
    <row r="752" spans="24:28" x14ac:dyDescent="0.2">
      <c r="X752" s="176" t="str">
        <f t="shared" si="45"/>
        <v>1w</v>
      </c>
      <c r="Y752" s="164">
        <f>_xll.qlCalendarAdvance(Calendar,Y751,X752,"f",FALSE)</f>
        <v>44341</v>
      </c>
      <c r="Z752" s="188">
        <f>_xll.qlCalendarAdvance(Calendar,Y752,NDays&amp;"D")</f>
        <v>44343</v>
      </c>
      <c r="AA752" s="163">
        <v>7.3555465967236533E-3</v>
      </c>
      <c r="AB752" s="172">
        <v>7.0726179512980991E-3</v>
      </c>
    </row>
    <row r="753" spans="24:28" x14ac:dyDescent="0.2">
      <c r="X753" s="176" t="str">
        <f t="shared" si="45"/>
        <v>1w</v>
      </c>
      <c r="Y753" s="164">
        <f>_xll.qlCalendarAdvance(Calendar,Y752,X753,"f",FALSE)</f>
        <v>44348</v>
      </c>
      <c r="Z753" s="188">
        <f>_xll.qlCalendarAdvance(Calendar,Y753,NDays&amp;"D")</f>
        <v>44350</v>
      </c>
      <c r="AA753" s="163">
        <v>7.3716972538820872E-3</v>
      </c>
      <c r="AB753" s="172">
        <v>7.0920397784846045E-3</v>
      </c>
    </row>
    <row r="754" spans="24:28" x14ac:dyDescent="0.2">
      <c r="X754" s="176" t="str">
        <f t="shared" si="45"/>
        <v>1w</v>
      </c>
      <c r="Y754" s="164">
        <f>_xll.qlCalendarAdvance(Calendar,Y753,X754,"f",FALSE)</f>
        <v>44355</v>
      </c>
      <c r="Z754" s="188">
        <f>_xll.qlCalendarAdvance(Calendar,Y754,NDays&amp;"D")</f>
        <v>44357</v>
      </c>
      <c r="AA754" s="163">
        <v>7.3927760168523626E-3</v>
      </c>
      <c r="AB754" s="172">
        <v>7.1115743597971459E-3</v>
      </c>
    </row>
    <row r="755" spans="24:28" x14ac:dyDescent="0.2">
      <c r="X755" s="176" t="str">
        <f t="shared" si="45"/>
        <v>1w</v>
      </c>
      <c r="Y755" s="164">
        <f>_xll.qlCalendarAdvance(Calendar,Y754,X755,"f",FALSE)</f>
        <v>44362</v>
      </c>
      <c r="Z755" s="188">
        <f>_xll.qlCalendarAdvance(Calendar,Y755,NDays&amp;"D")</f>
        <v>44364</v>
      </c>
      <c r="AA755" s="163">
        <v>7.4139681806724405E-3</v>
      </c>
      <c r="AB755" s="172">
        <v>7.1312216953955954E-3</v>
      </c>
    </row>
    <row r="756" spans="24:28" x14ac:dyDescent="0.2">
      <c r="X756" s="176" t="str">
        <f t="shared" si="45"/>
        <v>1w</v>
      </c>
      <c r="Y756" s="164">
        <f>_xll.qlCalendarAdvance(Calendar,Y755,X756,"f",FALSE)</f>
        <v>44369</v>
      </c>
      <c r="Z756" s="188">
        <f>_xll.qlCalendarAdvance(Calendar,Y756,NDays&amp;"D")</f>
        <v>44371</v>
      </c>
      <c r="AA756" s="163">
        <v>7.4352737489879308E-3</v>
      </c>
      <c r="AB756" s="172">
        <v>7.1509817852000168E-3</v>
      </c>
    </row>
    <row r="757" spans="24:28" x14ac:dyDescent="0.2">
      <c r="X757" s="176" t="str">
        <f t="shared" si="45"/>
        <v>1w</v>
      </c>
      <c r="Y757" s="164">
        <f>_xll.qlCalendarAdvance(Calendar,Y756,X757,"f",FALSE)</f>
        <v>44376</v>
      </c>
      <c r="Z757" s="188">
        <f>_xll.qlCalendarAdvance(Calendar,Y757,NDays&amp;"D")</f>
        <v>44378</v>
      </c>
      <c r="AA757" s="163">
        <v>7.4616354801153436E-3</v>
      </c>
      <c r="AB757" s="172">
        <v>7.1708546292104103E-3</v>
      </c>
    </row>
    <row r="758" spans="24:28" x14ac:dyDescent="0.2">
      <c r="X758" s="176" t="str">
        <f t="shared" si="45"/>
        <v>1w</v>
      </c>
      <c r="Y758" s="164">
        <f>_xll.qlCalendarAdvance(Calendar,Y757,X758,"f",FALSE)</f>
        <v>44383</v>
      </c>
      <c r="Z758" s="188">
        <f>_xll.qlCalendarAdvance(Calendar,Y758,NDays&amp;"D")</f>
        <v>44385</v>
      </c>
      <c r="AA758" s="163">
        <v>7.483193512416584E-3</v>
      </c>
      <c r="AB758" s="172">
        <v>7.1908402273468397E-3</v>
      </c>
    </row>
    <row r="759" spans="24:28" x14ac:dyDescent="0.2">
      <c r="X759" s="176" t="str">
        <f t="shared" si="45"/>
        <v>1w</v>
      </c>
      <c r="Y759" s="164">
        <f>_xll.qlCalendarAdvance(Calendar,Y758,X759,"f",FALSE)</f>
        <v>44390</v>
      </c>
      <c r="Z759" s="188">
        <f>_xll.qlCalendarAdvance(Calendar,Y759,NDays&amp;"D")</f>
        <v>44392</v>
      </c>
      <c r="AA759" s="163">
        <v>7.5048649720103298E-3</v>
      </c>
      <c r="AB759" s="172">
        <v>7.2109385800089854E-3</v>
      </c>
    </row>
    <row r="760" spans="24:28" x14ac:dyDescent="0.2">
      <c r="X760" s="176" t="str">
        <f t="shared" si="45"/>
        <v>1w</v>
      </c>
      <c r="Y760" s="164">
        <f>_xll.qlCalendarAdvance(Calendar,Y759,X760,"f",FALSE)</f>
        <v>44397</v>
      </c>
      <c r="Z760" s="188">
        <f>_xll.qlCalendarAdvance(Calendar,Y760,NDays&amp;"D")</f>
        <v>44399</v>
      </c>
      <c r="AA760" s="163">
        <v>7.5266498626858072E-3</v>
      </c>
      <c r="AB760" s="172">
        <v>7.2311496867172309E-3</v>
      </c>
    </row>
    <row r="761" spans="24:28" x14ac:dyDescent="0.2">
      <c r="X761" s="176" t="str">
        <f t="shared" si="45"/>
        <v>1w</v>
      </c>
      <c r="Y761" s="164">
        <f>_xll.qlCalendarAdvance(Calendar,Y760,X761,"f",FALSE)</f>
        <v>44404</v>
      </c>
      <c r="Z761" s="188">
        <f>_xll.qlCalendarAdvance(Calendar,Y761,NDays&amp;"D")</f>
        <v>44406</v>
      </c>
      <c r="AA761" s="163">
        <v>7.5485481882533022E-3</v>
      </c>
      <c r="AB761" s="172">
        <v>7.2514735478712566E-3</v>
      </c>
    </row>
    <row r="762" spans="24:28" x14ac:dyDescent="0.2">
      <c r="X762" s="176" t="str">
        <f t="shared" si="45"/>
        <v>1w</v>
      </c>
      <c r="Y762" s="164">
        <f>_xll.qlCalendarAdvance(Calendar,Y761,X762,"f",FALSE)</f>
        <v>44411</v>
      </c>
      <c r="Z762" s="188">
        <f>_xll.qlCalendarAdvance(Calendar,Y762,NDays&amp;"D")</f>
        <v>44413</v>
      </c>
      <c r="AA762" s="163">
        <v>7.5705599525428685E-3</v>
      </c>
      <c r="AB762" s="172">
        <v>7.2719101633911265E-3</v>
      </c>
    </row>
    <row r="763" spans="24:28" x14ac:dyDescent="0.2">
      <c r="X763" s="176" t="str">
        <f t="shared" si="45"/>
        <v>1w</v>
      </c>
      <c r="Y763" s="164">
        <f>_xll.qlCalendarAdvance(Calendar,Y762,X763,"f",FALSE)</f>
        <v>44418</v>
      </c>
      <c r="Z763" s="188">
        <f>_xll.qlCalendarAdvance(Calendar,Y763,NDays&amp;"D")</f>
        <v>44420</v>
      </c>
      <c r="AA763" s="163">
        <v>7.5926851594034705E-3</v>
      </c>
      <c r="AB763" s="172">
        <v>7.2924595331169684E-3</v>
      </c>
    </row>
    <row r="764" spans="24:28" x14ac:dyDescent="0.2">
      <c r="X764" s="176" t="str">
        <f t="shared" si="45"/>
        <v>1w</v>
      </c>
      <c r="Y764" s="164">
        <f>_xll.qlCalendarAdvance(Calendar,Y763,X764,"f",FALSE)</f>
        <v>44425</v>
      </c>
      <c r="Z764" s="188">
        <f>_xll.qlCalendarAdvance(Calendar,Y764,NDays&amp;"D")</f>
        <v>44427</v>
      </c>
      <c r="AA764" s="163">
        <v>7.6149238127055608E-3</v>
      </c>
      <c r="AB764" s="172">
        <v>7.3131216572885904E-3</v>
      </c>
    </row>
    <row r="765" spans="24:28" x14ac:dyDescent="0.2">
      <c r="X765" s="176" t="str">
        <f t="shared" si="45"/>
        <v>1w</v>
      </c>
      <c r="Y765" s="164">
        <f>_xll.qlCalendarAdvance(Calendar,Y764,X765,"f",FALSE)</f>
        <v>44432</v>
      </c>
      <c r="Z765" s="188">
        <f>_xll.qlCalendarAdvance(Calendar,Y765,NDays&amp;"D")</f>
        <v>44434</v>
      </c>
      <c r="AA765" s="163">
        <v>7.6372759163380721E-3</v>
      </c>
      <c r="AB765" s="172">
        <v>7.3338965359059927E-3</v>
      </c>
    </row>
    <row r="766" spans="24:28" x14ac:dyDescent="0.2">
      <c r="X766" s="176" t="str">
        <f t="shared" si="45"/>
        <v>1w</v>
      </c>
      <c r="Y766" s="164">
        <f>_xll.qlCalendarAdvance(Calendar,Y765,X766,"f",FALSE)</f>
        <v>44439</v>
      </c>
      <c r="Z766" s="188">
        <f>_xll.qlCalendarAdvance(Calendar,Y766,NDays&amp;"D")</f>
        <v>44441</v>
      </c>
      <c r="AA766" s="163">
        <v>7.6511223876384021E-3</v>
      </c>
      <c r="AB766" s="172">
        <v>7.354784168889239E-3</v>
      </c>
    </row>
    <row r="767" spans="24:28" x14ac:dyDescent="0.2">
      <c r="X767" s="176" t="str">
        <f t="shared" si="45"/>
        <v>1w</v>
      </c>
      <c r="Y767" s="164">
        <f>_xll.qlCalendarAdvance(Calendar,Y766,X767,"f",FALSE)</f>
        <v>44446</v>
      </c>
      <c r="Z767" s="188">
        <f>_xll.qlCalendarAdvance(Calendar,Y767,NDays&amp;"D")</f>
        <v>44448</v>
      </c>
      <c r="AA767" s="163">
        <v>7.6736584865454132E-3</v>
      </c>
      <c r="AB767" s="172">
        <v>7.3757845562383295E-3</v>
      </c>
    </row>
    <row r="768" spans="24:28" x14ac:dyDescent="0.2">
      <c r="X768" s="176" t="str">
        <f t="shared" si="45"/>
        <v>1w</v>
      </c>
      <c r="Y768" s="164">
        <f>_xll.qlCalendarAdvance(Calendar,Y767,X768,"f",FALSE)</f>
        <v>44453</v>
      </c>
      <c r="Z768" s="188">
        <f>_xll.qlCalendarAdvance(Calendar,Y768,NDays&amp;"D")</f>
        <v>44455</v>
      </c>
      <c r="AA768" s="163">
        <v>7.6963080270170741E-3</v>
      </c>
      <c r="AB768" s="172">
        <v>7.3968976981131362E-3</v>
      </c>
    </row>
    <row r="769" spans="24:28" x14ac:dyDescent="0.2">
      <c r="X769" s="176" t="str">
        <f t="shared" si="45"/>
        <v>1w</v>
      </c>
      <c r="Y769" s="164">
        <f>_xll.qlCalendarAdvance(Calendar,Y768,X769,"f",FALSE)</f>
        <v>44460</v>
      </c>
      <c r="Z769" s="188">
        <f>_xll.qlCalendarAdvance(Calendar,Y769,NDays&amp;"D")</f>
        <v>44462</v>
      </c>
      <c r="AA769" s="163">
        <v>7.7190710129079821E-3</v>
      </c>
      <c r="AB769" s="172">
        <v>7.4181235943537871E-3</v>
      </c>
    </row>
    <row r="770" spans="24:28" x14ac:dyDescent="0.2">
      <c r="X770" s="176" t="str">
        <f t="shared" si="45"/>
        <v>1w</v>
      </c>
      <c r="Y770" s="164">
        <f>_xll.qlCalendarAdvance(Calendar,Y769,X770,"f",FALSE)</f>
        <v>44467</v>
      </c>
      <c r="Z770" s="188">
        <f>_xll.qlCalendarAdvance(Calendar,Y770,NDays&amp;"D")</f>
        <v>44469</v>
      </c>
      <c r="AA770" s="163">
        <v>7.7437024909078203E-3</v>
      </c>
      <c r="AB770" s="172">
        <v>7.4394622452000903E-3</v>
      </c>
    </row>
    <row r="771" spans="24:28" x14ac:dyDescent="0.2">
      <c r="X771" s="176" t="str">
        <f t="shared" si="45"/>
        <v>1w</v>
      </c>
      <c r="Y771" s="164">
        <f>_xll.qlCalendarAdvance(Calendar,Y770,X771,"f",FALSE)</f>
        <v>44474</v>
      </c>
      <c r="Z771" s="188">
        <f>_xll.qlCalendarAdvance(Calendar,Y771,NDays&amp;"D")</f>
        <v>44476</v>
      </c>
      <c r="AA771" s="163">
        <v>7.7666908710571792E-3</v>
      </c>
      <c r="AB771" s="172">
        <v>7.4609136504921736E-3</v>
      </c>
    </row>
    <row r="772" spans="24:28" x14ac:dyDescent="0.2">
      <c r="X772" s="176" t="str">
        <f t="shared" si="45"/>
        <v>1w</v>
      </c>
      <c r="Y772" s="164">
        <f>_xll.qlCalendarAdvance(Calendar,Y771,X772,"f",FALSE)</f>
        <v>44481</v>
      </c>
      <c r="Z772" s="188">
        <f>_xll.qlCalendarAdvance(Calendar,Y772,NDays&amp;"D")</f>
        <v>44483</v>
      </c>
      <c r="AA772" s="163">
        <v>7.7897753857424749E-3</v>
      </c>
      <c r="AB772" s="172">
        <v>7.4824778103099732E-3</v>
      </c>
    </row>
    <row r="773" spans="24:28" x14ac:dyDescent="0.2">
      <c r="X773" s="176" t="str">
        <f t="shared" si="45"/>
        <v>1w</v>
      </c>
      <c r="Y773" s="164">
        <f>_xll.qlCalendarAdvance(Calendar,Y772,X773,"f",FALSE)</f>
        <v>44488</v>
      </c>
      <c r="Z773" s="188">
        <f>_xll.qlCalendarAdvance(Calendar,Y773,NDays&amp;"D")</f>
        <v>44490</v>
      </c>
      <c r="AA773" s="163">
        <v>7.8129473749494627E-3</v>
      </c>
      <c r="AB773" s="172">
        <v>7.504154724653489E-3</v>
      </c>
    </row>
    <row r="774" spans="24:28" x14ac:dyDescent="0.2">
      <c r="X774" s="176" t="str">
        <f t="shared" si="45"/>
        <v>1w</v>
      </c>
      <c r="Y774" s="164">
        <f>_xll.qlCalendarAdvance(Calendar,Y773,X774,"f",FALSE)</f>
        <v>44495</v>
      </c>
      <c r="Z774" s="188">
        <f>_xll.qlCalendarAdvance(Calendar,Y774,NDays&amp;"D")</f>
        <v>44497</v>
      </c>
      <c r="AA774" s="163">
        <v>7.836198178268609E-3</v>
      </c>
      <c r="AB774" s="172">
        <v>7.5259443936026571E-3</v>
      </c>
    </row>
    <row r="775" spans="24:28" x14ac:dyDescent="0.2">
      <c r="X775" s="176" t="str">
        <f t="shared" si="45"/>
        <v>1w</v>
      </c>
      <c r="Y775" s="164">
        <f>_xll.qlCalendarAdvance(Calendar,Y774,X775,"f",FALSE)</f>
        <v>44502</v>
      </c>
      <c r="Z775" s="188">
        <f>_xll.qlCalendarAdvance(Calendar,Y775,NDays&amp;"D")</f>
        <v>44504</v>
      </c>
      <c r="AA775" s="163">
        <v>7.8577397671366726E-3</v>
      </c>
      <c r="AB775" s="172">
        <v>7.5478468171574775E-3</v>
      </c>
    </row>
    <row r="776" spans="24:28" x14ac:dyDescent="0.2">
      <c r="X776" s="176" t="str">
        <f t="shared" si="45"/>
        <v>1w</v>
      </c>
      <c r="Y776" s="164">
        <f>_xll.qlCalendarAdvance(Calendar,Y775,X776,"f",FALSE)</f>
        <v>44509</v>
      </c>
      <c r="Z776" s="188">
        <f>_xll.qlCalendarAdvance(Calendar,Y776,NDays&amp;"D")</f>
        <v>44511</v>
      </c>
      <c r="AA776" s="163">
        <v>7.8811205873399112E-3</v>
      </c>
      <c r="AB776" s="172">
        <v>7.5698619952380142E-3</v>
      </c>
    </row>
    <row r="777" spans="24:28" x14ac:dyDescent="0.2">
      <c r="X777" s="176" t="str">
        <f t="shared" si="45"/>
        <v>1w</v>
      </c>
      <c r="Y777" s="164">
        <f>_xll.qlCalendarAdvance(Calendar,Y776,X777,"f",FALSE)</f>
        <v>44516</v>
      </c>
      <c r="Z777" s="188">
        <f>_xll.qlCalendarAdvance(Calendar,Y777,NDays&amp;"D")</f>
        <v>44518</v>
      </c>
      <c r="AA777" s="163">
        <v>7.9045551447399411E-3</v>
      </c>
      <c r="AB777" s="172">
        <v>7.5919899280041392E-3</v>
      </c>
    </row>
    <row r="778" spans="24:28" x14ac:dyDescent="0.2">
      <c r="X778" s="176" t="str">
        <f t="shared" si="45"/>
        <v>1w</v>
      </c>
      <c r="Y778" s="164">
        <f>_xll.qlCalendarAdvance(Calendar,Y777,X778,"f",FALSE)</f>
        <v>44523</v>
      </c>
      <c r="Z778" s="188">
        <f>_xll.qlCalendarAdvance(Calendar,Y778,NDays&amp;"D")</f>
        <v>44525</v>
      </c>
      <c r="AA778" s="163">
        <v>7.9280347296810019E-3</v>
      </c>
      <c r="AB778" s="172">
        <v>7.6142306154558526E-3</v>
      </c>
    </row>
    <row r="779" spans="24:28" x14ac:dyDescent="0.2">
      <c r="X779" s="176" t="str">
        <f t="shared" si="45"/>
        <v>1w</v>
      </c>
      <c r="Y779" s="164">
        <f>_xll.qlCalendarAdvance(Calendar,Y778,X779,"f",FALSE)</f>
        <v>44530</v>
      </c>
      <c r="Z779" s="188">
        <f>_xll.qlCalendarAdvance(Calendar,Y779,NDays&amp;"D")</f>
        <v>44532</v>
      </c>
      <c r="AA779" s="163">
        <v>7.9533312644032659E-3</v>
      </c>
      <c r="AB779" s="172">
        <v>7.6365840574332822E-3</v>
      </c>
    </row>
    <row r="780" spans="24:28" x14ac:dyDescent="0.2">
      <c r="X780" s="176" t="str">
        <f t="shared" si="45"/>
        <v>1w</v>
      </c>
      <c r="Y780" s="164">
        <f>_xll.qlCalendarAdvance(Calendar,Y779,X780,"f",FALSE)</f>
        <v>44537</v>
      </c>
      <c r="Z780" s="188">
        <f>_xll.qlCalendarAdvance(Calendar,Y780,NDays&amp;"D")</f>
        <v>44539</v>
      </c>
      <c r="AA780" s="163">
        <v>7.9768730614649206E-3</v>
      </c>
      <c r="AB780" s="172">
        <v>7.6590502542561723E-3</v>
      </c>
    </row>
    <row r="781" spans="24:28" x14ac:dyDescent="0.2">
      <c r="X781" s="176" t="str">
        <f t="shared" si="45"/>
        <v>1w</v>
      </c>
      <c r="Y781" s="164">
        <f>_xll.qlCalendarAdvance(Calendar,Y780,X781,"f",FALSE)</f>
        <v>44544</v>
      </c>
      <c r="Z781" s="188">
        <f>_xll.qlCalendarAdvance(Calendar,Y781,NDays&amp;"D")</f>
        <v>44546</v>
      </c>
      <c r="AA781" s="163">
        <v>8.0004330385488997E-3</v>
      </c>
      <c r="AB781" s="172">
        <v>7.6816292057646507E-3</v>
      </c>
    </row>
    <row r="782" spans="24:28" x14ac:dyDescent="0.2">
      <c r="X782" s="176" t="str">
        <f t="shared" si="45"/>
        <v>1w</v>
      </c>
      <c r="Y782" s="164">
        <f>_xll.qlCalendarAdvance(Calendar,Y781,X782,"f",FALSE)</f>
        <v>44551</v>
      </c>
      <c r="Z782" s="188">
        <f>_xll.qlCalendarAdvance(Calendar,Y782,NDays&amp;"D")</f>
        <v>44553</v>
      </c>
      <c r="AA782" s="163">
        <v>8.0240025320122109E-3</v>
      </c>
      <c r="AB782" s="172">
        <v>7.7043209119587175E-3</v>
      </c>
    </row>
    <row r="783" spans="24:28" x14ac:dyDescent="0.2">
      <c r="X783" s="176" t="str">
        <f t="shared" si="45"/>
        <v>1w</v>
      </c>
      <c r="Y783" s="164">
        <f>_xll.qlCalendarAdvance(Calendar,Y782,X783,"f",FALSE)</f>
        <v>44558</v>
      </c>
      <c r="Z783" s="188">
        <f>_xll.qlCalendarAdvance(Calendar,Y783,NDays&amp;"D")</f>
        <v>44560</v>
      </c>
      <c r="AA783" s="163">
        <v>8.0475728778003266E-3</v>
      </c>
      <c r="AB783" s="172">
        <v>7.7271253729183087E-3</v>
      </c>
    </row>
    <row r="784" spans="24:28" x14ac:dyDescent="0.2">
      <c r="X784" s="176" t="str">
        <f t="shared" si="45"/>
        <v>1w</v>
      </c>
      <c r="Y784" s="164">
        <f>_xll.qlCalendarAdvance(Calendar,Y783,X784,"f",FALSE)</f>
        <v>44565</v>
      </c>
      <c r="Z784" s="188">
        <f>_xll.qlCalendarAdvance(Calendar,Y784,NDays&amp;"D")</f>
        <v>44567</v>
      </c>
      <c r="AA784" s="163">
        <v>8.0693700256542315E-3</v>
      </c>
      <c r="AB784" s="172">
        <v>7.7500425886434243E-3</v>
      </c>
    </row>
    <row r="785" spans="24:28" x14ac:dyDescent="0.2">
      <c r="X785" s="176" t="str">
        <f t="shared" si="45"/>
        <v>1w</v>
      </c>
      <c r="Y785" s="164">
        <f>_xll.qlCalendarAdvance(Calendar,Y784,X785,"f",FALSE)</f>
        <v>44572</v>
      </c>
      <c r="Z785" s="188">
        <f>_xll.qlCalendarAdvance(Calendar,Y785,NDays&amp;"D")</f>
        <v>44574</v>
      </c>
      <c r="AA785" s="163">
        <v>8.0929208987516668E-3</v>
      </c>
      <c r="AB785" s="172">
        <v>7.7730725592140004E-3</v>
      </c>
    </row>
    <row r="786" spans="24:28" x14ac:dyDescent="0.2">
      <c r="X786" s="176" t="str">
        <f t="shared" si="45"/>
        <v>1w</v>
      </c>
      <c r="Y786" s="164">
        <f>_xll.qlCalendarAdvance(Calendar,Y785,X786,"f",FALSE)</f>
        <v>44579</v>
      </c>
      <c r="Z786" s="188">
        <f>_xll.qlCalendarAdvance(Calendar,Y786,NDays&amp;"D")</f>
        <v>44581</v>
      </c>
      <c r="AA786" s="163">
        <v>8.116447107426112E-3</v>
      </c>
      <c r="AB786" s="172">
        <v>7.7962152845501009E-3</v>
      </c>
    </row>
    <row r="787" spans="24:28" x14ac:dyDescent="0.2">
      <c r="X787" s="176" t="str">
        <f t="shared" si="45"/>
        <v>1w</v>
      </c>
      <c r="Y787" s="164">
        <f>_xll.qlCalendarAdvance(Calendar,Y786,X787,"f",FALSE)</f>
        <v>44586</v>
      </c>
      <c r="Z787" s="188">
        <f>_xll.qlCalendarAdvance(Calendar,Y787,NDays&amp;"D")</f>
        <v>44588</v>
      </c>
      <c r="AA787" s="163">
        <v>8.1399399383345911E-3</v>
      </c>
      <c r="AB787" s="172">
        <v>7.819470764811598E-3</v>
      </c>
    </row>
    <row r="788" spans="24:28" x14ac:dyDescent="0.2">
      <c r="X788" s="176" t="str">
        <f t="shared" si="45"/>
        <v>1w</v>
      </c>
      <c r="Y788" s="164">
        <f>_xll.qlCalendarAdvance(Calendar,Y787,X788,"f",FALSE)</f>
        <v>44593</v>
      </c>
      <c r="Z788" s="188">
        <f>_xll.qlCalendarAdvance(Calendar,Y788,NDays&amp;"D")</f>
        <v>44595</v>
      </c>
      <c r="AA788" s="163">
        <v>8.1633906777260571E-3</v>
      </c>
      <c r="AB788" s="172">
        <v>7.8428389998386194E-3</v>
      </c>
    </row>
    <row r="789" spans="24:28" x14ac:dyDescent="0.2">
      <c r="X789" s="176" t="str">
        <f t="shared" ref="X789:X852" si="46">X788</f>
        <v>1w</v>
      </c>
      <c r="Y789" s="164">
        <f>_xll.qlCalendarAdvance(Calendar,Y788,X789,"f",FALSE)</f>
        <v>44600</v>
      </c>
      <c r="Z789" s="188">
        <f>_xll.qlCalendarAdvance(Calendar,Y789,NDays&amp;"D")</f>
        <v>44602</v>
      </c>
      <c r="AA789" s="163">
        <v>8.1867906114409528E-3</v>
      </c>
      <c r="AB789" s="172">
        <v>7.8663199897111014E-3</v>
      </c>
    </row>
    <row r="790" spans="24:28" x14ac:dyDescent="0.2">
      <c r="X790" s="176" t="str">
        <f t="shared" si="46"/>
        <v>1w</v>
      </c>
      <c r="Y790" s="164">
        <f>_xll.qlCalendarAdvance(Calendar,Y789,X790,"f",FALSE)</f>
        <v>44607</v>
      </c>
      <c r="Z790" s="188">
        <f>_xll.qlCalendarAdvance(Calendar,Y790,NDays&amp;"D")</f>
        <v>44609</v>
      </c>
      <c r="AA790" s="163">
        <v>8.2101310249182678E-3</v>
      </c>
      <c r="AB790" s="172">
        <v>7.8899137346688519E-3</v>
      </c>
    </row>
    <row r="791" spans="24:28" x14ac:dyDescent="0.2">
      <c r="X791" s="176" t="str">
        <f t="shared" si="46"/>
        <v>1w</v>
      </c>
      <c r="Y791" s="164">
        <f>_xll.qlCalendarAdvance(Calendar,Y790,X791,"f",FALSE)</f>
        <v>44614</v>
      </c>
      <c r="Z791" s="188">
        <f>_xll.qlCalendarAdvance(Calendar,Y791,NDays&amp;"D")</f>
        <v>44616</v>
      </c>
      <c r="AA791" s="163">
        <v>8.2334032031893701E-3</v>
      </c>
      <c r="AB791" s="172">
        <v>7.9136202343921269E-3</v>
      </c>
    </row>
    <row r="792" spans="24:28" x14ac:dyDescent="0.2">
      <c r="X792" s="176" t="str">
        <f t="shared" si="46"/>
        <v>1w</v>
      </c>
      <c r="Y792" s="164">
        <f>_xll.qlCalendarAdvance(Calendar,Y791,X792,"f",FALSE)</f>
        <v>44621</v>
      </c>
      <c r="Z792" s="188">
        <f>_xll.qlCalendarAdvance(Calendar,Y792,NDays&amp;"D")</f>
        <v>44623</v>
      </c>
      <c r="AA792" s="163">
        <v>8.2651723074977923E-3</v>
      </c>
      <c r="AB792" s="172">
        <v>7.9374394891207345E-3</v>
      </c>
    </row>
    <row r="793" spans="24:28" x14ac:dyDescent="0.2">
      <c r="X793" s="176" t="str">
        <f t="shared" si="46"/>
        <v>1w</v>
      </c>
      <c r="Y793" s="164">
        <f>_xll.qlCalendarAdvance(Calendar,Y792,X793,"f",FALSE)</f>
        <v>44628</v>
      </c>
      <c r="Z793" s="188">
        <f>_xll.qlCalendarAdvance(Calendar,Y793,NDays&amp;"D")</f>
        <v>44630</v>
      </c>
      <c r="AA793" s="163">
        <v>8.2882453239092376E-3</v>
      </c>
      <c r="AB793" s="172">
        <v>7.9613714987747386E-3</v>
      </c>
    </row>
    <row r="794" spans="24:28" x14ac:dyDescent="0.2">
      <c r="X794" s="176" t="str">
        <f t="shared" si="46"/>
        <v>1w</v>
      </c>
      <c r="Y794" s="164">
        <f>_xll.qlCalendarAdvance(Calendar,Y793,X794,"f",FALSE)</f>
        <v>44635</v>
      </c>
      <c r="Z794" s="188">
        <f>_xll.qlCalendarAdvance(Calendar,Y794,NDays&amp;"D")</f>
        <v>44637</v>
      </c>
      <c r="AA794" s="163">
        <v>8.311223484530365E-3</v>
      </c>
      <c r="AB794" s="172">
        <v>7.9854162635939474E-3</v>
      </c>
    </row>
    <row r="795" spans="24:28" x14ac:dyDescent="0.2">
      <c r="X795" s="176" t="str">
        <f t="shared" si="46"/>
        <v>1w</v>
      </c>
      <c r="Y795" s="164">
        <f>_xll.qlCalendarAdvance(Calendar,Y794,X795,"f",FALSE)</f>
        <v>44642</v>
      </c>
      <c r="Z795" s="188">
        <f>_xll.qlCalendarAdvance(Calendar,Y795,NDays&amp;"D")</f>
        <v>44644</v>
      </c>
      <c r="AA795" s="163">
        <v>8.3340983059300103E-3</v>
      </c>
      <c r="AB795" s="172">
        <v>8.0095730200291371E-3</v>
      </c>
    </row>
    <row r="796" spans="24:28" x14ac:dyDescent="0.2">
      <c r="X796" s="176" t="str">
        <f t="shared" si="46"/>
        <v>1w</v>
      </c>
      <c r="Y796" s="164">
        <f>_xll.qlCalendarAdvance(Calendar,Y795,X796,"f",FALSE)</f>
        <v>44649</v>
      </c>
      <c r="Z796" s="188">
        <f>_xll.qlCalendarAdvance(Calendar,Y796,NDays&amp;"D")</f>
        <v>44651</v>
      </c>
      <c r="AA796" s="163">
        <v>8.3518093257986866E-3</v>
      </c>
      <c r="AB796" s="172">
        <v>8.033715085575821E-3</v>
      </c>
    </row>
    <row r="797" spans="24:28" x14ac:dyDescent="0.2">
      <c r="X797" s="176" t="str">
        <f t="shared" si="46"/>
        <v>1w</v>
      </c>
      <c r="Y797" s="164">
        <f>_xll.qlCalendarAdvance(Calendar,Y796,X797,"f",FALSE)</f>
        <v>44656</v>
      </c>
      <c r="Z797" s="188">
        <f>_xll.qlCalendarAdvance(Calendar,Y797,NDays&amp;"D")</f>
        <v>44658</v>
      </c>
      <c r="AA797" s="163">
        <v>8.3744842980718378E-3</v>
      </c>
      <c r="AB797" s="172">
        <v>8.057745539842287E-3</v>
      </c>
    </row>
    <row r="798" spans="24:28" x14ac:dyDescent="0.2">
      <c r="X798" s="176" t="str">
        <f t="shared" si="46"/>
        <v>1w</v>
      </c>
      <c r="Y798" s="164">
        <f>_xll.qlCalendarAdvance(Calendar,Y797,X798,"f",FALSE)</f>
        <v>44663</v>
      </c>
      <c r="Z798" s="188">
        <f>_xll.qlCalendarAdvance(Calendar,Y798,NDays&amp;"D")</f>
        <v>44665</v>
      </c>
      <c r="AA798" s="163">
        <v>8.3970474438655462E-3</v>
      </c>
      <c r="AB798" s="172">
        <v>8.0888390319433512E-3</v>
      </c>
    </row>
    <row r="799" spans="24:28" x14ac:dyDescent="0.2">
      <c r="X799" s="176" t="str">
        <f t="shared" si="46"/>
        <v>1w</v>
      </c>
      <c r="Y799" s="164">
        <f>_xll.qlCalendarAdvance(Calendar,Y798,X799,"f",FALSE)</f>
        <v>44670</v>
      </c>
      <c r="Z799" s="188">
        <f>_xll.qlCalendarAdvance(Calendar,Y799,NDays&amp;"D")</f>
        <v>44672</v>
      </c>
      <c r="AA799" s="163">
        <v>8.4194987593415715E-3</v>
      </c>
      <c r="AB799" s="172">
        <v>8.1054716147743733E-3</v>
      </c>
    </row>
    <row r="800" spans="24:28" x14ac:dyDescent="0.2">
      <c r="X800" s="176" t="str">
        <f t="shared" si="46"/>
        <v>1w</v>
      </c>
      <c r="Y800" s="164">
        <f>_xll.qlCalendarAdvance(Calendar,Y799,X800,"f",FALSE)</f>
        <v>44677</v>
      </c>
      <c r="Z800" s="188">
        <f>_xll.qlCalendarAdvance(Calendar,Y800,NDays&amp;"D")</f>
        <v>44679</v>
      </c>
      <c r="AA800" s="163">
        <v>8.4418382406822E-3</v>
      </c>
      <c r="AB800" s="172">
        <v>8.1291672352801214E-3</v>
      </c>
    </row>
    <row r="801" spans="24:28" x14ac:dyDescent="0.2">
      <c r="X801" s="176" t="str">
        <f t="shared" si="46"/>
        <v>1w</v>
      </c>
      <c r="Y801" s="164">
        <f>_xll.qlCalendarAdvance(Calendar,Y800,X801,"f",FALSE)</f>
        <v>44684</v>
      </c>
      <c r="Z801" s="188">
        <f>_xll.qlCalendarAdvance(Calendar,Y801,NDays&amp;"D")</f>
        <v>44686</v>
      </c>
      <c r="AA801" s="163">
        <v>8.4690072941860234E-3</v>
      </c>
      <c r="AB801" s="172">
        <v>8.1527512445056516E-3</v>
      </c>
    </row>
    <row r="802" spans="24:28" x14ac:dyDescent="0.2">
      <c r="X802" s="176" t="str">
        <f t="shared" si="46"/>
        <v>1w</v>
      </c>
      <c r="Y802" s="164">
        <f>_xll.qlCalendarAdvance(Calendar,Y801,X802,"f",FALSE)</f>
        <v>44691</v>
      </c>
      <c r="Z802" s="188">
        <f>_xll.qlCalendarAdvance(Calendar,Y802,NDays&amp;"D")</f>
        <v>44693</v>
      </c>
      <c r="AA802" s="163">
        <v>8.4911006859347913E-3</v>
      </c>
      <c r="AB802" s="172">
        <v>8.1762236423710277E-3</v>
      </c>
    </row>
    <row r="803" spans="24:28" x14ac:dyDescent="0.2">
      <c r="X803" s="176" t="str">
        <f t="shared" si="46"/>
        <v>1w</v>
      </c>
      <c r="Y803" s="164">
        <f>_xll.qlCalendarAdvance(Calendar,Y802,X803,"f",FALSE)</f>
        <v>44698</v>
      </c>
      <c r="Z803" s="188">
        <f>_xll.qlCalendarAdvance(Calendar,Y803,NDays&amp;"D")</f>
        <v>44700</v>
      </c>
      <c r="AA803" s="163">
        <v>8.5130822275415064E-3</v>
      </c>
      <c r="AB803" s="172">
        <v>8.1995844290361219E-3</v>
      </c>
    </row>
    <row r="804" spans="24:28" x14ac:dyDescent="0.2">
      <c r="X804" s="176" t="str">
        <f t="shared" si="46"/>
        <v>1w</v>
      </c>
      <c r="Y804" s="164">
        <f>_xll.qlCalendarAdvance(Calendar,Y803,X804,"f",FALSE)</f>
        <v>44705</v>
      </c>
      <c r="Z804" s="188">
        <f>_xll.qlCalendarAdvance(Calendar,Y804,NDays&amp;"D")</f>
        <v>44707</v>
      </c>
      <c r="AA804" s="163">
        <v>8.5349519152053393E-3</v>
      </c>
      <c r="AB804" s="172">
        <v>8.22283360418119E-3</v>
      </c>
    </row>
    <row r="805" spans="24:28" x14ac:dyDescent="0.2">
      <c r="X805" s="176" t="str">
        <f t="shared" si="46"/>
        <v>1w</v>
      </c>
      <c r="Y805" s="164">
        <f>_xll.qlCalendarAdvance(Calendar,Y804,X805,"f",FALSE)</f>
        <v>44712</v>
      </c>
      <c r="Z805" s="188">
        <f>_xll.qlCalendarAdvance(Calendar,Y805,NDays&amp;"D")</f>
        <v>44714</v>
      </c>
      <c r="AA805" s="163">
        <v>8.5518580030322956E-3</v>
      </c>
      <c r="AB805" s="172">
        <v>8.2459711680460401E-3</v>
      </c>
    </row>
    <row r="806" spans="24:28" x14ac:dyDescent="0.2">
      <c r="X806" s="176" t="str">
        <f t="shared" si="46"/>
        <v>1w</v>
      </c>
      <c r="Y806" s="164">
        <f>_xll.qlCalendarAdvance(Calendar,Y805,X806,"f",FALSE)</f>
        <v>44719</v>
      </c>
      <c r="Z806" s="188">
        <f>_xll.qlCalendarAdvance(Calendar,Y806,NDays&amp;"D")</f>
        <v>44721</v>
      </c>
      <c r="AA806" s="163">
        <v>8.5735264004347788E-3</v>
      </c>
      <c r="AB806" s="172">
        <v>8.2689971205507362E-3</v>
      </c>
    </row>
    <row r="807" spans="24:28" x14ac:dyDescent="0.2">
      <c r="X807" s="176" t="str">
        <f t="shared" si="46"/>
        <v>1w</v>
      </c>
      <c r="Y807" s="164">
        <f>_xll.qlCalendarAdvance(Calendar,Y806,X807,"f",FALSE)</f>
        <v>44726</v>
      </c>
      <c r="Z807" s="188">
        <f>_xll.qlCalendarAdvance(Calendar,Y807,NDays&amp;"D")</f>
        <v>44728</v>
      </c>
      <c r="AA807" s="163">
        <v>8.5950829375042448E-3</v>
      </c>
      <c r="AB807" s="172">
        <v>8.2919114616153422E-3</v>
      </c>
    </row>
    <row r="808" spans="24:28" x14ac:dyDescent="0.2">
      <c r="X808" s="176" t="str">
        <f t="shared" si="46"/>
        <v>1w</v>
      </c>
      <c r="Y808" s="164">
        <f>_xll.qlCalendarAdvance(Calendar,Y807,X808,"f",FALSE)</f>
        <v>44733</v>
      </c>
      <c r="Z808" s="188">
        <f>_xll.qlCalendarAdvance(Calendar,Y808,NDays&amp;"D")</f>
        <v>44735</v>
      </c>
      <c r="AA808" s="163">
        <v>8.6165276105741161E-3</v>
      </c>
      <c r="AB808" s="172">
        <v>8.314714191079986E-3</v>
      </c>
    </row>
    <row r="809" spans="24:28" x14ac:dyDescent="0.2">
      <c r="X809" s="176" t="str">
        <f t="shared" si="46"/>
        <v>1w</v>
      </c>
      <c r="Y809" s="164">
        <f>_xll.qlCalendarAdvance(Calendar,Y808,X809,"f",FALSE)</f>
        <v>44740</v>
      </c>
      <c r="Z809" s="188">
        <f>_xll.qlCalendarAdvance(Calendar,Y809,NDays&amp;"D")</f>
        <v>44742</v>
      </c>
      <c r="AA809" s="163">
        <v>8.6378604159970396E-3</v>
      </c>
      <c r="AB809" s="172">
        <v>8.3374053092644118E-3</v>
      </c>
    </row>
    <row r="810" spans="24:28" x14ac:dyDescent="0.2">
      <c r="X810" s="176" t="str">
        <f t="shared" si="46"/>
        <v>1w</v>
      </c>
      <c r="Y810" s="164">
        <f>_xll.qlCalendarAdvance(Calendar,Y809,X810,"f",FALSE)</f>
        <v>44747</v>
      </c>
      <c r="Z810" s="188">
        <f>_xll.qlCalendarAdvance(Calendar,Y810,NDays&amp;"D")</f>
        <v>44749</v>
      </c>
      <c r="AA810" s="163">
        <v>8.6638208980412343E-3</v>
      </c>
      <c r="AB810" s="172">
        <v>8.3599848159288115E-3</v>
      </c>
    </row>
    <row r="811" spans="24:28" x14ac:dyDescent="0.2">
      <c r="X811" s="176" t="str">
        <f t="shared" si="46"/>
        <v>1w</v>
      </c>
      <c r="Y811" s="164">
        <f>_xll.qlCalendarAdvance(Calendar,Y810,X811,"f",FALSE)</f>
        <v>44754</v>
      </c>
      <c r="Z811" s="188">
        <f>_xll.qlCalendarAdvance(Calendar,Y811,NDays&amp;"D")</f>
        <v>44756</v>
      </c>
      <c r="AA811" s="163">
        <v>8.6849075033340779E-3</v>
      </c>
      <c r="AB811" s="172">
        <v>8.382452711073185E-3</v>
      </c>
    </row>
    <row r="812" spans="24:28" x14ac:dyDescent="0.2">
      <c r="X812" s="176" t="str">
        <f t="shared" si="46"/>
        <v>1w</v>
      </c>
      <c r="Y812" s="164">
        <f>_xll.qlCalendarAdvance(Calendar,Y811,X812,"f",FALSE)</f>
        <v>44761</v>
      </c>
      <c r="Z812" s="188">
        <f>_xll.qlCalendarAdvance(Calendar,Y812,NDays&amp;"D")</f>
        <v>44763</v>
      </c>
      <c r="AA812" s="163">
        <v>8.7058822249804872E-3</v>
      </c>
      <c r="AB812" s="172">
        <v>8.4048089946175963E-3</v>
      </c>
    </row>
    <row r="813" spans="24:28" x14ac:dyDescent="0.2">
      <c r="X813" s="176" t="str">
        <f t="shared" si="46"/>
        <v>1w</v>
      </c>
      <c r="Y813" s="164">
        <f>_xll.qlCalendarAdvance(Calendar,Y812,X813,"f",FALSE)</f>
        <v>44768</v>
      </c>
      <c r="Z813" s="188">
        <f>_xll.qlCalendarAdvance(Calendar,Y813,NDays&amp;"D")</f>
        <v>44770</v>
      </c>
      <c r="AA813" s="163">
        <v>8.7267450593545449E-3</v>
      </c>
      <c r="AB813" s="172">
        <v>8.4270536666419815E-3</v>
      </c>
    </row>
    <row r="814" spans="24:28" x14ac:dyDescent="0.2">
      <c r="X814" s="176" t="str">
        <f t="shared" si="46"/>
        <v>1w</v>
      </c>
      <c r="Y814" s="164">
        <f>_xll.qlCalendarAdvance(Calendar,Y813,X814,"f",FALSE)</f>
        <v>44775</v>
      </c>
      <c r="Z814" s="188">
        <f>_xll.qlCalendarAdvance(Calendar,Y814,NDays&amp;"D")</f>
        <v>44777</v>
      </c>
      <c r="AA814" s="163">
        <v>8.7474960028492473E-3</v>
      </c>
      <c r="AB814" s="172">
        <v>8.4491867270664045E-3</v>
      </c>
    </row>
    <row r="815" spans="24:28" x14ac:dyDescent="0.2">
      <c r="X815" s="176" t="str">
        <f t="shared" si="46"/>
        <v>1w</v>
      </c>
      <c r="Y815" s="164">
        <f>_xll.qlCalendarAdvance(Calendar,Y814,X815,"f",FALSE)</f>
        <v>44782</v>
      </c>
      <c r="Z815" s="188">
        <f>_xll.qlCalendarAdvance(Calendar,Y815,NDays&amp;"D")</f>
        <v>44784</v>
      </c>
      <c r="AA815" s="163">
        <v>8.7681350518769227E-3</v>
      </c>
      <c r="AB815" s="172">
        <v>8.4712081760507374E-3</v>
      </c>
    </row>
    <row r="816" spans="24:28" x14ac:dyDescent="0.2">
      <c r="X816" s="176" t="str">
        <f t="shared" si="46"/>
        <v>1w</v>
      </c>
      <c r="Y816" s="164">
        <f>_xll.qlCalendarAdvance(Calendar,Y815,X816,"f",FALSE)</f>
        <v>44789</v>
      </c>
      <c r="Z816" s="188">
        <f>_xll.qlCalendarAdvance(Calendar,Y816,NDays&amp;"D")</f>
        <v>44791</v>
      </c>
      <c r="AA816" s="163">
        <v>8.7886622028696751E-3</v>
      </c>
      <c r="AB816" s="172">
        <v>8.493118013275236E-3</v>
      </c>
    </row>
    <row r="817" spans="24:28" x14ac:dyDescent="0.2">
      <c r="X817" s="176" t="str">
        <f t="shared" si="46"/>
        <v>1w</v>
      </c>
      <c r="Y817" s="164">
        <f>_xll.qlCalendarAdvance(Calendar,Y816,X817,"f",FALSE)</f>
        <v>44796</v>
      </c>
      <c r="Z817" s="188">
        <f>_xll.qlCalendarAdvance(Calendar,Y817,NDays&amp;"D")</f>
        <v>44798</v>
      </c>
      <c r="AA817" s="163">
        <v>8.8090774522793722E-3</v>
      </c>
      <c r="AB817" s="172">
        <v>8.5149162389797084E-3</v>
      </c>
    </row>
    <row r="818" spans="24:28" x14ac:dyDescent="0.2">
      <c r="X818" s="176" t="str">
        <f t="shared" si="46"/>
        <v>1w</v>
      </c>
      <c r="Y818" s="164">
        <f>_xll.qlCalendarAdvance(Calendar,Y817,X818,"f",FALSE)</f>
        <v>44803</v>
      </c>
      <c r="Z818" s="188">
        <f>_xll.qlCalendarAdvance(Calendar,Y818,NDays&amp;"D")</f>
        <v>44805</v>
      </c>
      <c r="AA818" s="163">
        <v>8.8217777288055049E-3</v>
      </c>
      <c r="AB818" s="172">
        <v>8.5366028529243465E-3</v>
      </c>
    </row>
    <row r="819" spans="24:28" x14ac:dyDescent="0.2">
      <c r="X819" s="176" t="str">
        <f t="shared" si="46"/>
        <v>1w</v>
      </c>
      <c r="Y819" s="164">
        <f>_xll.qlCalendarAdvance(Calendar,Y818,X819,"f",FALSE)</f>
        <v>44810</v>
      </c>
      <c r="Z819" s="188">
        <f>_xll.qlCalendarAdvance(Calendar,Y819,NDays&amp;"D")</f>
        <v>44812</v>
      </c>
      <c r="AA819" s="163">
        <v>8.8420066580223028E-3</v>
      </c>
      <c r="AB819" s="172">
        <v>8.5581778552690224E-3</v>
      </c>
    </row>
    <row r="820" spans="24:28" x14ac:dyDescent="0.2">
      <c r="X820" s="176" t="str">
        <f t="shared" si="46"/>
        <v>1w</v>
      </c>
      <c r="Y820" s="164">
        <f>_xll.qlCalendarAdvance(Calendar,Y819,X820,"f",FALSE)</f>
        <v>44817</v>
      </c>
      <c r="Z820" s="188">
        <f>_xll.qlCalendarAdvance(Calendar,Y820,NDays&amp;"D")</f>
        <v>44819</v>
      </c>
      <c r="AA820" s="163">
        <v>8.8621236844444451E-3</v>
      </c>
      <c r="AB820" s="172">
        <v>8.579641245853864E-3</v>
      </c>
    </row>
    <row r="821" spans="24:28" x14ac:dyDescent="0.2">
      <c r="X821" s="176" t="str">
        <f t="shared" si="46"/>
        <v>1w</v>
      </c>
      <c r="Y821" s="164">
        <f>_xll.qlCalendarAdvance(Calendar,Y820,X821,"f",FALSE)</f>
        <v>44824</v>
      </c>
      <c r="Z821" s="188">
        <f>_xll.qlCalendarAdvance(Calendar,Y821,NDays&amp;"D")</f>
        <v>44826</v>
      </c>
      <c r="AA821" s="163">
        <v>8.8821288046867959E-3</v>
      </c>
      <c r="AB821" s="172">
        <v>8.6009930247588073E-3</v>
      </c>
    </row>
    <row r="822" spans="24:28" x14ac:dyDescent="0.2">
      <c r="X822" s="176" t="str">
        <f t="shared" si="46"/>
        <v>1w</v>
      </c>
      <c r="Y822" s="164">
        <f>_xll.qlCalendarAdvance(Calendar,Y821,X822,"f",FALSE)</f>
        <v>44831</v>
      </c>
      <c r="Z822" s="188">
        <f>_xll.qlCalendarAdvance(Calendar,Y822,NDays&amp;"D")</f>
        <v>44833</v>
      </c>
      <c r="AA822" s="163">
        <v>8.9020218087219986E-3</v>
      </c>
      <c r="AB822" s="172">
        <v>8.6222331919039163E-3</v>
      </c>
    </row>
    <row r="823" spans="24:28" x14ac:dyDescent="0.2">
      <c r="X823" s="176" t="str">
        <f t="shared" si="46"/>
        <v>1w</v>
      </c>
      <c r="Y823" s="164">
        <f>_xll.qlCalendarAdvance(Calendar,Y822,X823,"f",FALSE)</f>
        <v>44838</v>
      </c>
      <c r="Z823" s="188">
        <f>_xll.qlCalendarAdvance(Calendar,Y823,NDays&amp;"D")</f>
        <v>44840</v>
      </c>
      <c r="AA823" s="163">
        <v>8.9232841859256083E-3</v>
      </c>
      <c r="AB823" s="172">
        <v>8.6433617473691271E-3</v>
      </c>
    </row>
    <row r="824" spans="24:28" x14ac:dyDescent="0.2">
      <c r="X824" s="176" t="str">
        <f t="shared" si="46"/>
        <v>1w</v>
      </c>
      <c r="Y824" s="164">
        <f>_xll.qlCalendarAdvance(Calendar,Y823,X824,"f",FALSE)</f>
        <v>44845</v>
      </c>
      <c r="Z824" s="188">
        <f>_xll.qlCalendarAdvance(Calendar,Y824,NDays&amp;"D")</f>
        <v>44847</v>
      </c>
      <c r="AA824" s="163">
        <v>8.9429365179844456E-3</v>
      </c>
      <c r="AB824" s="172">
        <v>8.6643786910745035E-3</v>
      </c>
    </row>
    <row r="825" spans="24:28" x14ac:dyDescent="0.2">
      <c r="X825" s="176" t="str">
        <f t="shared" si="46"/>
        <v>1w</v>
      </c>
      <c r="Y825" s="164">
        <f>_xll.qlCalendarAdvance(Calendar,Y824,X825,"f",FALSE)</f>
        <v>44852</v>
      </c>
      <c r="Z825" s="188">
        <f>_xll.qlCalendarAdvance(Calendar,Y825,NDays&amp;"D")</f>
        <v>44854</v>
      </c>
      <c r="AA825" s="163">
        <v>8.9624672598794114E-3</v>
      </c>
      <c r="AB825" s="172">
        <v>8.6852840228601735E-3</v>
      </c>
    </row>
    <row r="826" spans="24:28" x14ac:dyDescent="0.2">
      <c r="X826" s="176" t="str">
        <f t="shared" si="46"/>
        <v>1w</v>
      </c>
      <c r="Y826" s="164">
        <f>_xll.qlCalendarAdvance(Calendar,Y825,X826,"f",FALSE)</f>
        <v>44859</v>
      </c>
      <c r="Z826" s="188">
        <f>_xll.qlCalendarAdvance(Calendar,Y826,NDays&amp;"D")</f>
        <v>44861</v>
      </c>
      <c r="AA826" s="163">
        <v>8.9818730240126127E-3</v>
      </c>
      <c r="AB826" s="172">
        <v>8.7060777429659453E-3</v>
      </c>
    </row>
    <row r="827" spans="24:28" x14ac:dyDescent="0.2">
      <c r="X827" s="176" t="str">
        <f t="shared" si="46"/>
        <v>1w</v>
      </c>
      <c r="Y827" s="164">
        <f>_xll.qlCalendarAdvance(Calendar,Y826,X827,"f",FALSE)</f>
        <v>44866</v>
      </c>
      <c r="Z827" s="188">
        <f>_xll.qlCalendarAdvance(Calendar,Y827,NDays&amp;"D")</f>
        <v>44868</v>
      </c>
      <c r="AA827" s="163">
        <v>8.9997034930490768E-3</v>
      </c>
      <c r="AB827" s="172">
        <v>8.7267598511520106E-3</v>
      </c>
    </row>
    <row r="828" spans="24:28" x14ac:dyDescent="0.2">
      <c r="X828" s="176" t="str">
        <f t="shared" si="46"/>
        <v>1w</v>
      </c>
      <c r="Y828" s="164">
        <f>_xll.qlCalendarAdvance(Calendar,Y827,X828,"f",FALSE)</f>
        <v>44873</v>
      </c>
      <c r="Z828" s="188">
        <f>_xll.qlCalendarAdvance(Calendar,Y828,NDays&amp;"D")</f>
        <v>44875</v>
      </c>
      <c r="AA828" s="163">
        <v>9.018859332748078E-3</v>
      </c>
      <c r="AB828" s="172">
        <v>8.7473303475782416E-3</v>
      </c>
    </row>
    <row r="829" spans="24:28" x14ac:dyDescent="0.2">
      <c r="X829" s="176" t="str">
        <f t="shared" si="46"/>
        <v>1w</v>
      </c>
      <c r="Y829" s="164">
        <f>_xll.qlCalendarAdvance(Calendar,Y828,X829,"f",FALSE)</f>
        <v>44880</v>
      </c>
      <c r="Z829" s="188">
        <f>_xll.qlCalendarAdvance(Calendar,Y829,NDays&amp;"D")</f>
        <v>44882</v>
      </c>
      <c r="AA829" s="163">
        <v>9.0378803918109239E-3</v>
      </c>
      <c r="AB829" s="172">
        <v>8.7677892320847661E-3</v>
      </c>
    </row>
    <row r="830" spans="24:28" x14ac:dyDescent="0.2">
      <c r="X830" s="176" t="str">
        <f t="shared" si="46"/>
        <v>1w</v>
      </c>
      <c r="Y830" s="164">
        <f>_xll.qlCalendarAdvance(Calendar,Y829,X830,"f",FALSE)</f>
        <v>44887</v>
      </c>
      <c r="Z830" s="188">
        <f>_xll.qlCalendarAdvance(Calendar,Y830,NDays&amp;"D")</f>
        <v>44889</v>
      </c>
      <c r="AA830" s="163">
        <v>9.0567632636370885E-3</v>
      </c>
      <c r="AB830" s="172">
        <v>8.7881365047515203E-3</v>
      </c>
    </row>
    <row r="831" spans="24:28" x14ac:dyDescent="0.2">
      <c r="X831" s="176" t="str">
        <f t="shared" si="46"/>
        <v>1w</v>
      </c>
      <c r="Y831" s="164">
        <f>_xll.qlCalendarAdvance(Calendar,Y830,X831,"f",FALSE)</f>
        <v>44894</v>
      </c>
      <c r="Z831" s="188">
        <f>_xll.qlCalendarAdvance(Calendar,Y831,NDays&amp;"D")</f>
        <v>44896</v>
      </c>
      <c r="AA831" s="163">
        <v>9.0769086048131456E-3</v>
      </c>
      <c r="AB831" s="172">
        <v>8.808372165418632E-3</v>
      </c>
    </row>
    <row r="832" spans="24:28" x14ac:dyDescent="0.2">
      <c r="X832" s="176" t="str">
        <f t="shared" si="46"/>
        <v>1w</v>
      </c>
      <c r="Y832" s="164">
        <f>_xll.qlCalendarAdvance(Calendar,Y831,X832,"f",FALSE)</f>
        <v>44901</v>
      </c>
      <c r="Z832" s="188">
        <f>_xll.qlCalendarAdvance(Calendar,Y832,NDays&amp;"D")</f>
        <v>44903</v>
      </c>
      <c r="AA832" s="163">
        <v>9.0954933568669245E-3</v>
      </c>
      <c r="AB832" s="172">
        <v>8.8284962142459733E-3</v>
      </c>
    </row>
    <row r="833" spans="24:28" x14ac:dyDescent="0.2">
      <c r="X833" s="176" t="str">
        <f t="shared" si="46"/>
        <v>1w</v>
      </c>
      <c r="Y833" s="164">
        <f>_xll.qlCalendarAdvance(Calendar,Y832,X833,"f",FALSE)</f>
        <v>44908</v>
      </c>
      <c r="Z833" s="188">
        <f>_xll.qlCalendarAdvance(Calendar,Y833,NDays&amp;"D")</f>
        <v>44910</v>
      </c>
      <c r="AA833" s="163">
        <v>9.1139294150450311E-3</v>
      </c>
      <c r="AB833" s="172">
        <v>8.8485086510736721E-3</v>
      </c>
    </row>
    <row r="834" spans="24:28" x14ac:dyDescent="0.2">
      <c r="X834" s="176" t="str">
        <f t="shared" si="46"/>
        <v>1w</v>
      </c>
      <c r="Y834" s="164">
        <f>_xll.qlCalendarAdvance(Calendar,Y833,X834,"f",FALSE)</f>
        <v>44915</v>
      </c>
      <c r="Z834" s="188">
        <f>_xll.qlCalendarAdvance(Calendar,Y834,NDays&amp;"D")</f>
        <v>44917</v>
      </c>
      <c r="AA834" s="163">
        <v>9.1322133909414235E-3</v>
      </c>
      <c r="AB834" s="172">
        <v>8.8684094759816645E-3</v>
      </c>
    </row>
    <row r="835" spans="24:28" x14ac:dyDescent="0.2">
      <c r="X835" s="176" t="str">
        <f t="shared" si="46"/>
        <v>1w</v>
      </c>
      <c r="Y835" s="164">
        <f>_xll.qlCalendarAdvance(Calendar,Y834,X835,"f",FALSE)</f>
        <v>44922</v>
      </c>
      <c r="Z835" s="188">
        <f>_xll.qlCalendarAdvance(Calendar,Y835,NDays&amp;"D")</f>
        <v>44924</v>
      </c>
      <c r="AA835" s="163">
        <v>9.1503418960587092E-3</v>
      </c>
      <c r="AB835" s="172">
        <v>8.8881986888900144E-3</v>
      </c>
    </row>
    <row r="836" spans="24:28" x14ac:dyDescent="0.2">
      <c r="X836" s="176" t="str">
        <f t="shared" si="46"/>
        <v>1w</v>
      </c>
      <c r="Y836" s="164">
        <f>_xll.qlCalendarAdvance(Calendar,Y835,X836,"f",FALSE)</f>
        <v>44929</v>
      </c>
      <c r="Z836" s="188">
        <f>_xll.qlCalendarAdvance(Calendar,Y836,NDays&amp;"D")</f>
        <v>44931</v>
      </c>
      <c r="AA836" s="163">
        <v>9.1669677806289294E-3</v>
      </c>
      <c r="AB836" s="172">
        <v>8.9078762897987218E-3</v>
      </c>
    </row>
    <row r="837" spans="24:28" x14ac:dyDescent="0.2">
      <c r="X837" s="176" t="str">
        <f t="shared" si="46"/>
        <v>1w</v>
      </c>
      <c r="Y837" s="164">
        <f>_xll.qlCalendarAdvance(Calendar,Y836,X837,"f",FALSE)</f>
        <v>44936</v>
      </c>
      <c r="Z837" s="188">
        <f>_xll.qlCalendarAdvance(Calendar,Y837,NDays&amp;"D")</f>
        <v>44938</v>
      </c>
      <c r="AA837" s="163">
        <v>9.1847879488473304E-3</v>
      </c>
      <c r="AB837" s="172">
        <v>8.9274422787077867E-3</v>
      </c>
    </row>
    <row r="838" spans="24:28" x14ac:dyDescent="0.2">
      <c r="X838" s="176" t="str">
        <f t="shared" si="46"/>
        <v>1w</v>
      </c>
      <c r="Y838" s="164">
        <f>_xll.qlCalendarAdvance(Calendar,Y837,X838,"f",FALSE)</f>
        <v>44943</v>
      </c>
      <c r="Z838" s="188">
        <f>_xll.qlCalendarAdvance(Calendar,Y838,NDays&amp;"D")</f>
        <v>44945</v>
      </c>
      <c r="AA838" s="163">
        <v>9.2024426736149675E-3</v>
      </c>
      <c r="AB838" s="172">
        <v>8.9468966555372731E-3</v>
      </c>
    </row>
    <row r="839" spans="24:28" x14ac:dyDescent="0.2">
      <c r="X839" s="176" t="str">
        <f t="shared" si="46"/>
        <v>1w</v>
      </c>
      <c r="Y839" s="164">
        <f>_xll.qlCalendarAdvance(Calendar,Y838,X839,"f",FALSE)</f>
        <v>44950</v>
      </c>
      <c r="Z839" s="188">
        <f>_xll.qlCalendarAdvance(Calendar,Y839,NDays&amp;"D")</f>
        <v>44952</v>
      </c>
      <c r="AA839" s="163">
        <v>9.2199285475173826E-3</v>
      </c>
      <c r="AB839" s="172">
        <v>8.9662394202871809E-3</v>
      </c>
    </row>
    <row r="840" spans="24:28" x14ac:dyDescent="0.2">
      <c r="X840" s="176" t="str">
        <f t="shared" si="46"/>
        <v>1w</v>
      </c>
      <c r="Y840" s="164">
        <f>_xll.qlCalendarAdvance(Calendar,Y839,X840,"f",FALSE)</f>
        <v>44957</v>
      </c>
      <c r="Z840" s="188">
        <f>_xll.qlCalendarAdvance(Calendar,Y840,NDays&amp;"D")</f>
        <v>44959</v>
      </c>
      <c r="AA840" s="163">
        <v>9.2372421630650334E-3</v>
      </c>
      <c r="AB840" s="172">
        <v>8.9854705730374462E-3</v>
      </c>
    </row>
    <row r="841" spans="24:28" x14ac:dyDescent="0.2">
      <c r="X841" s="176" t="str">
        <f t="shared" si="46"/>
        <v>1w</v>
      </c>
      <c r="Y841" s="164">
        <f>_xll.qlCalendarAdvance(Calendar,Y840,X841,"f",FALSE)</f>
        <v>44964</v>
      </c>
      <c r="Z841" s="188">
        <f>_xll.qlCalendarAdvance(Calendar,Y841,NDays&amp;"D")</f>
        <v>44966</v>
      </c>
      <c r="AA841" s="163">
        <v>9.2543801126919803E-3</v>
      </c>
      <c r="AB841" s="172">
        <v>9.004590113708133E-3</v>
      </c>
    </row>
    <row r="842" spans="24:28" x14ac:dyDescent="0.2">
      <c r="X842" s="176" t="str">
        <f t="shared" si="46"/>
        <v>1w</v>
      </c>
      <c r="Y842" s="164">
        <f>_xll.qlCalendarAdvance(Calendar,Y841,X842,"f",FALSE)</f>
        <v>44971</v>
      </c>
      <c r="Z842" s="188">
        <f>_xll.qlCalendarAdvance(Calendar,Y842,NDays&amp;"D")</f>
        <v>44973</v>
      </c>
      <c r="AA842" s="163">
        <v>9.2713389887625012E-3</v>
      </c>
      <c r="AB842" s="172">
        <v>9.0235980422193052E-3</v>
      </c>
    </row>
    <row r="843" spans="24:28" x14ac:dyDescent="0.2">
      <c r="X843" s="176" t="str">
        <f t="shared" si="46"/>
        <v>1w</v>
      </c>
      <c r="Y843" s="164">
        <f>_xll.qlCalendarAdvance(Calendar,Y842,X843,"f",FALSE)</f>
        <v>44978</v>
      </c>
      <c r="Z843" s="188">
        <f>_xll.qlCalendarAdvance(Calendar,Y843,NDays&amp;"D")</f>
        <v>44980</v>
      </c>
      <c r="AA843" s="163">
        <v>9.2881153835737487E-3</v>
      </c>
      <c r="AB843" s="172">
        <v>9.0424943586508988E-3</v>
      </c>
    </row>
    <row r="844" spans="24:28" x14ac:dyDescent="0.2">
      <c r="X844" s="176" t="str">
        <f t="shared" si="46"/>
        <v>1w</v>
      </c>
      <c r="Y844" s="164">
        <f>_xll.qlCalendarAdvance(Calendar,Y843,X844,"f",FALSE)</f>
        <v>44985</v>
      </c>
      <c r="Z844" s="188">
        <f>_xll.qlCalendarAdvance(Calendar,Y844,NDays&amp;"D")</f>
        <v>44987</v>
      </c>
      <c r="AA844" s="163">
        <v>9.3108790100638831E-3</v>
      </c>
      <c r="AB844" s="172">
        <v>9.0612790629229778E-3</v>
      </c>
    </row>
    <row r="845" spans="24:28" x14ac:dyDescent="0.2">
      <c r="X845" s="176" t="str">
        <f t="shared" si="46"/>
        <v>1w</v>
      </c>
      <c r="Y845" s="164">
        <f>_xll.qlCalendarAdvance(Calendar,Y844,X845,"f",FALSE)</f>
        <v>44992</v>
      </c>
      <c r="Z845" s="188">
        <f>_xll.qlCalendarAdvance(Calendar,Y845,NDays&amp;"D")</f>
        <v>44994</v>
      </c>
      <c r="AA845" s="163">
        <v>9.327211221389603E-3</v>
      </c>
      <c r="AB845" s="172">
        <v>9.0799521550355422E-3</v>
      </c>
    </row>
    <row r="846" spans="24:28" x14ac:dyDescent="0.2">
      <c r="X846" s="176" t="str">
        <f t="shared" si="46"/>
        <v>1w</v>
      </c>
      <c r="Y846" s="164">
        <f>_xll.qlCalendarAdvance(Calendar,Y845,X846,"f",FALSE)</f>
        <v>44999</v>
      </c>
      <c r="Z846" s="188">
        <f>_xll.qlCalendarAdvance(Calendar,Y846,NDays&amp;"D")</f>
        <v>45001</v>
      </c>
      <c r="AA846" s="163">
        <v>9.3433505089514767E-3</v>
      </c>
      <c r="AB846" s="172">
        <v>9.098513634988592E-3</v>
      </c>
    </row>
    <row r="847" spans="24:28" x14ac:dyDescent="0.2">
      <c r="X847" s="176" t="str">
        <f t="shared" si="46"/>
        <v>1w</v>
      </c>
      <c r="Y847" s="164">
        <f>_xll.qlCalendarAdvance(Calendar,Y846,X847,"f",FALSE)</f>
        <v>45006</v>
      </c>
      <c r="Z847" s="188">
        <f>_xll.qlCalendarAdvance(Calendar,Y847,NDays&amp;"D")</f>
        <v>45008</v>
      </c>
      <c r="AA847" s="163">
        <v>9.3592935557391815E-3</v>
      </c>
      <c r="AB847" s="172">
        <v>9.1169635027021911E-3</v>
      </c>
    </row>
    <row r="848" spans="24:28" x14ac:dyDescent="0.2">
      <c r="X848" s="176" t="str">
        <f t="shared" si="46"/>
        <v>1w</v>
      </c>
      <c r="Y848" s="164">
        <f>_xll.qlCalendarAdvance(Calendar,Y847,X848,"f",FALSE)</f>
        <v>45013</v>
      </c>
      <c r="Z848" s="188">
        <f>_xll.qlCalendarAdvance(Calendar,Y848,NDays&amp;"D")</f>
        <v>45015</v>
      </c>
      <c r="AA848" s="163">
        <v>9.3715036018901573E-3</v>
      </c>
      <c r="AB848" s="172">
        <v>9.1352639222819221E-3</v>
      </c>
    </row>
    <row r="849" spans="24:28" x14ac:dyDescent="0.2">
      <c r="X849" s="176" t="str">
        <f t="shared" si="46"/>
        <v>1w</v>
      </c>
      <c r="Y849" s="164">
        <f>_xll.qlCalendarAdvance(Calendar,Y848,X849,"f",FALSE)</f>
        <v>45020</v>
      </c>
      <c r="Z849" s="188">
        <f>_xll.qlCalendarAdvance(Calendar,Y849,NDays&amp;"D")</f>
        <v>45022</v>
      </c>
      <c r="AA849" s="163">
        <v>9.3870890556509504E-3</v>
      </c>
      <c r="AB849" s="172">
        <v>9.1589626484473996E-3</v>
      </c>
    </row>
    <row r="850" spans="24:28" x14ac:dyDescent="0.2">
      <c r="X850" s="176" t="str">
        <f t="shared" si="46"/>
        <v>1w</v>
      </c>
      <c r="Y850" s="164">
        <f>_xll.qlCalendarAdvance(Calendar,Y849,X850,"f",FALSE)</f>
        <v>45027</v>
      </c>
      <c r="Z850" s="188">
        <f>_xll.qlCalendarAdvance(Calendar,Y850,NDays&amp;"D")</f>
        <v>45029</v>
      </c>
      <c r="AA850" s="163">
        <v>9.4024744833797209E-3</v>
      </c>
      <c r="AB850" s="172">
        <v>9.1712677543576149E-3</v>
      </c>
    </row>
    <row r="851" spans="24:28" x14ac:dyDescent="0.2">
      <c r="X851" s="176" t="str">
        <f t="shared" si="46"/>
        <v>1w</v>
      </c>
      <c r="Y851" s="164">
        <f>_xll.qlCalendarAdvance(Calendar,Y850,X851,"f",FALSE)</f>
        <v>45034</v>
      </c>
      <c r="Z851" s="188">
        <f>_xll.qlCalendarAdvance(Calendar,Y851,NDays&amp;"D")</f>
        <v>45036</v>
      </c>
      <c r="AA851" s="163">
        <v>9.4176598804034881E-3</v>
      </c>
      <c r="AB851" s="172">
        <v>9.1889708687720173E-3</v>
      </c>
    </row>
    <row r="852" spans="24:28" x14ac:dyDescent="0.2">
      <c r="X852" s="176" t="str">
        <f t="shared" si="46"/>
        <v>1w</v>
      </c>
      <c r="Y852" s="164">
        <f>_xll.qlCalendarAdvance(Calendar,Y851,X852,"f",FALSE)</f>
        <v>45041</v>
      </c>
      <c r="Z852" s="188">
        <f>_xll.qlCalendarAdvance(Calendar,Y852,NDays&amp;"D")</f>
        <v>45043</v>
      </c>
      <c r="AA852" s="163">
        <v>9.432645242111291E-3</v>
      </c>
      <c r="AB852" s="172">
        <v>9.2064747822107051E-3</v>
      </c>
    </row>
    <row r="853" spans="24:28" x14ac:dyDescent="0.2">
      <c r="X853" s="176" t="str">
        <f t="shared" ref="X853:X916" si="47">X852</f>
        <v>1w</v>
      </c>
      <c r="Y853" s="164">
        <f>_xll.qlCalendarAdvance(Calendar,Y852,X853,"f",FALSE)</f>
        <v>45048</v>
      </c>
      <c r="Z853" s="188">
        <f>_xll.qlCalendarAdvance(Calendar,Y853,NDays&amp;"D")</f>
        <v>45050</v>
      </c>
      <c r="AA853" s="163">
        <v>9.4507559504130416E-3</v>
      </c>
      <c r="AB853" s="172">
        <v>9.2237794945937424E-3</v>
      </c>
    </row>
    <row r="854" spans="24:28" x14ac:dyDescent="0.2">
      <c r="X854" s="176" t="str">
        <f t="shared" si="47"/>
        <v>1w</v>
      </c>
      <c r="Y854" s="164">
        <f>_xll.qlCalendarAdvance(Calendar,Y853,X854,"f",FALSE)</f>
        <v>45055</v>
      </c>
      <c r="Z854" s="188">
        <f>_xll.qlCalendarAdvance(Calendar,Y854,NDays&amp;"D")</f>
        <v>45057</v>
      </c>
      <c r="AA854" s="163">
        <v>9.4652995027230229E-3</v>
      </c>
      <c r="AB854" s="172">
        <v>9.2408850059211289E-3</v>
      </c>
    </row>
    <row r="855" spans="24:28" x14ac:dyDescent="0.2">
      <c r="X855" s="176" t="str">
        <f t="shared" si="47"/>
        <v>1w</v>
      </c>
      <c r="Y855" s="164">
        <f>_xll.qlCalendarAdvance(Calendar,Y854,X855,"f",FALSE)</f>
        <v>45062</v>
      </c>
      <c r="Z855" s="188">
        <f>_xll.qlCalendarAdvance(Calendar,Y855,NDays&amp;"D")</f>
        <v>45064</v>
      </c>
      <c r="AA855" s="163">
        <v>9.4796429913108545E-3</v>
      </c>
      <c r="AB855" s="172">
        <v>9.2577913159530567E-3</v>
      </c>
    </row>
    <row r="856" spans="24:28" x14ac:dyDescent="0.2">
      <c r="X856" s="176" t="str">
        <f t="shared" si="47"/>
        <v>1w</v>
      </c>
      <c r="Y856" s="164">
        <f>_xll.qlCalendarAdvance(Calendar,Y855,X856,"f",FALSE)</f>
        <v>45069</v>
      </c>
      <c r="Z856" s="188">
        <f>_xll.qlCalendarAdvance(Calendar,Y856,NDays&amp;"D")</f>
        <v>45071</v>
      </c>
      <c r="AA856" s="163">
        <v>9.4937864117482541E-3</v>
      </c>
      <c r="AB856" s="172">
        <v>9.2744984249293339E-3</v>
      </c>
    </row>
    <row r="857" spans="24:28" x14ac:dyDescent="0.2">
      <c r="X857" s="176" t="str">
        <f t="shared" si="47"/>
        <v>1w</v>
      </c>
      <c r="Y857" s="164">
        <f>_xll.qlCalendarAdvance(Calendar,Y856,X857,"f",FALSE)</f>
        <v>45076</v>
      </c>
      <c r="Z857" s="188">
        <f>_xll.qlCalendarAdvance(Calendar,Y857,NDays&amp;"D")</f>
        <v>45078</v>
      </c>
      <c r="AA857" s="163">
        <v>9.5045713637308248E-3</v>
      </c>
      <c r="AB857" s="172">
        <v>9.2910063325302161E-3</v>
      </c>
    </row>
    <row r="858" spans="24:28" x14ac:dyDescent="0.2">
      <c r="X858" s="176" t="str">
        <f t="shared" si="47"/>
        <v>1w</v>
      </c>
      <c r="Y858" s="164">
        <f>_xll.qlCalendarAdvance(Calendar,Y857,X858,"f",FALSE)</f>
        <v>45083</v>
      </c>
      <c r="Z858" s="188">
        <f>_xll.qlCalendarAdvance(Calendar,Y858,NDays&amp;"D")</f>
        <v>45085</v>
      </c>
      <c r="AA858" s="163">
        <v>9.5183564200875606E-3</v>
      </c>
      <c r="AB858" s="172">
        <v>9.3073150390754478E-3</v>
      </c>
    </row>
    <row r="859" spans="24:28" x14ac:dyDescent="0.2">
      <c r="X859" s="176" t="str">
        <f t="shared" si="47"/>
        <v>1w</v>
      </c>
      <c r="Y859" s="164">
        <f>_xll.qlCalendarAdvance(Calendar,Y858,X859,"f",FALSE)</f>
        <v>45090</v>
      </c>
      <c r="Z859" s="188">
        <f>_xll.qlCalendarAdvance(Calendar,Y859,NDays&amp;"D")</f>
        <v>45092</v>
      </c>
      <c r="AA859" s="163">
        <v>9.5319414105434E-3</v>
      </c>
      <c r="AB859" s="172">
        <v>9.3234245443252206E-3</v>
      </c>
    </row>
    <row r="860" spans="24:28" x14ac:dyDescent="0.2">
      <c r="X860" s="176" t="str">
        <f t="shared" si="47"/>
        <v>1w</v>
      </c>
      <c r="Y860" s="164">
        <f>_xll.qlCalendarAdvance(Calendar,Y859,X860,"f",FALSE)</f>
        <v>45097</v>
      </c>
      <c r="Z860" s="188">
        <f>_xll.qlCalendarAdvance(Calendar,Y860,NDays&amp;"D")</f>
        <v>45099</v>
      </c>
      <c r="AA860" s="163">
        <v>9.5453263309731202E-3</v>
      </c>
      <c r="AB860" s="172">
        <v>9.3393348482795346E-3</v>
      </c>
    </row>
    <row r="861" spans="24:28" x14ac:dyDescent="0.2">
      <c r="X861" s="176" t="str">
        <f t="shared" si="47"/>
        <v>1w</v>
      </c>
      <c r="Y861" s="164">
        <f>_xll.qlCalendarAdvance(Calendar,Y860,X861,"f",FALSE)</f>
        <v>45104</v>
      </c>
      <c r="Z861" s="188">
        <f>_xll.qlCalendarAdvance(Calendar,Y861,NDays&amp;"D")</f>
        <v>45106</v>
      </c>
      <c r="AA861" s="163">
        <v>9.5585111773109025E-3</v>
      </c>
      <c r="AB861" s="172">
        <v>9.3550459509383899E-3</v>
      </c>
    </row>
    <row r="862" spans="24:28" x14ac:dyDescent="0.2">
      <c r="X862" s="176" t="str">
        <f t="shared" si="47"/>
        <v>1w</v>
      </c>
      <c r="Y862" s="164">
        <f>_xll.qlCalendarAdvance(Calendar,Y861,X862,"f",FALSE)</f>
        <v>45111</v>
      </c>
      <c r="Z862" s="188">
        <f>_xll.qlCalendarAdvance(Calendar,Y862,NDays&amp;"D")</f>
        <v>45113</v>
      </c>
      <c r="AA862" s="163">
        <v>9.5744452630456521E-3</v>
      </c>
      <c r="AB862" s="172">
        <v>9.3705578523017863E-3</v>
      </c>
    </row>
    <row r="863" spans="24:28" x14ac:dyDescent="0.2">
      <c r="X863" s="176" t="str">
        <f t="shared" si="47"/>
        <v>1w</v>
      </c>
      <c r="Y863" s="164">
        <f>_xll.qlCalendarAdvance(Calendar,Y862,X863,"f",FALSE)</f>
        <v>45118</v>
      </c>
      <c r="Z863" s="188">
        <f>_xll.qlCalendarAdvance(Calendar,Y863,NDays&amp;"D")</f>
        <v>45120</v>
      </c>
      <c r="AA863" s="163">
        <v>9.5871880876403047E-3</v>
      </c>
      <c r="AB863" s="172">
        <v>9.3858705522897878E-3</v>
      </c>
    </row>
    <row r="864" spans="24:28" x14ac:dyDescent="0.2">
      <c r="X864" s="176" t="str">
        <f t="shared" si="47"/>
        <v>1w</v>
      </c>
      <c r="Y864" s="164">
        <f>_xll.qlCalendarAdvance(Calendar,Y863,X864,"f",FALSE)</f>
        <v>45125</v>
      </c>
      <c r="Z864" s="188">
        <f>_xll.qlCalendarAdvance(Calendar,Y864,NDays&amp;"D")</f>
        <v>45127</v>
      </c>
      <c r="AA864" s="163">
        <v>9.5997308108852746E-3</v>
      </c>
      <c r="AB864" s="172">
        <v>9.4009840508224585E-3</v>
      </c>
    </row>
    <row r="865" spans="24:28" x14ac:dyDescent="0.2">
      <c r="X865" s="176" t="str">
        <f t="shared" si="47"/>
        <v>1w</v>
      </c>
      <c r="Y865" s="164">
        <f>_xll.qlCalendarAdvance(Calendar,Y864,X865,"f",FALSE)</f>
        <v>45132</v>
      </c>
      <c r="Z865" s="188">
        <f>_xll.qlCalendarAdvance(Calendar,Y865,NDays&amp;"D")</f>
        <v>45134</v>
      </c>
      <c r="AA865" s="163">
        <v>9.61207342890796E-3</v>
      </c>
      <c r="AB865" s="172">
        <v>9.4158983479797342E-3</v>
      </c>
    </row>
    <row r="866" spans="24:28" x14ac:dyDescent="0.2">
      <c r="X866" s="176" t="str">
        <f t="shared" si="47"/>
        <v>1w</v>
      </c>
      <c r="Y866" s="164">
        <f>_xll.qlCalendarAdvance(Calendar,Y865,X866,"f",FALSE)</f>
        <v>45139</v>
      </c>
      <c r="Z866" s="188">
        <f>_xll.qlCalendarAdvance(Calendar,Y866,NDays&amp;"D")</f>
        <v>45141</v>
      </c>
      <c r="AA866" s="163">
        <v>9.6242159378985056E-3</v>
      </c>
      <c r="AB866" s="172">
        <v>9.4306134437616151E-3</v>
      </c>
    </row>
    <row r="867" spans="24:28" x14ac:dyDescent="0.2">
      <c r="X867" s="176" t="str">
        <f t="shared" si="47"/>
        <v>1w</v>
      </c>
      <c r="Y867" s="164">
        <f>_xll.qlCalendarAdvance(Calendar,Y866,X867,"f",FALSE)</f>
        <v>45146</v>
      </c>
      <c r="Z867" s="188">
        <f>_xll.qlCalendarAdvance(Calendar,Y867,NDays&amp;"D")</f>
        <v>45148</v>
      </c>
      <c r="AA867" s="163">
        <v>9.6361583341080803E-3</v>
      </c>
      <c r="AB867" s="172">
        <v>9.4451293380082291E-3</v>
      </c>
    </row>
    <row r="868" spans="24:28" x14ac:dyDescent="0.2">
      <c r="X868" s="176" t="str">
        <f t="shared" si="47"/>
        <v>1w</v>
      </c>
      <c r="Y868" s="164">
        <f>_xll.qlCalendarAdvance(Calendar,Y867,X868,"f",FALSE)</f>
        <v>45153</v>
      </c>
      <c r="Z868" s="188">
        <f>_xll.qlCalendarAdvance(Calendar,Y868,NDays&amp;"D")</f>
        <v>45155</v>
      </c>
      <c r="AA868" s="163">
        <v>9.6479006138506032E-3</v>
      </c>
      <c r="AB868" s="172">
        <v>9.4594460307995121E-3</v>
      </c>
    </row>
    <row r="869" spans="24:28" x14ac:dyDescent="0.2">
      <c r="X869" s="176" t="str">
        <f t="shared" si="47"/>
        <v>1w</v>
      </c>
      <c r="Y869" s="164">
        <f>_xll.qlCalendarAdvance(Calendar,Y868,X869,"f",FALSE)</f>
        <v>45160</v>
      </c>
      <c r="Z869" s="188">
        <f>_xll.qlCalendarAdvance(Calendar,Y869,NDays&amp;"D")</f>
        <v>45162</v>
      </c>
      <c r="AA869" s="163">
        <v>9.6594427734992966E-3</v>
      </c>
      <c r="AB869" s="172">
        <v>9.4735635220555281E-3</v>
      </c>
    </row>
    <row r="870" spans="24:28" x14ac:dyDescent="0.2">
      <c r="X870" s="176" t="str">
        <f t="shared" si="47"/>
        <v>1w</v>
      </c>
      <c r="Y870" s="164">
        <f>_xll.qlCalendarAdvance(Calendar,Y869,X870,"f",FALSE)</f>
        <v>45167</v>
      </c>
      <c r="Z870" s="188">
        <f>_xll.qlCalendarAdvance(Calendar,Y870,NDays&amp;"D")</f>
        <v>45169</v>
      </c>
      <c r="AA870" s="163">
        <v>9.667296850769452E-3</v>
      </c>
      <c r="AB870" s="172">
        <v>9.4874818118562132E-3</v>
      </c>
    </row>
    <row r="871" spans="24:28" x14ac:dyDescent="0.2">
      <c r="X871" s="176" t="str">
        <f t="shared" si="47"/>
        <v>1w</v>
      </c>
      <c r="Y871" s="164">
        <f>_xll.qlCalendarAdvance(Calendar,Y870,X871,"f",FALSE)</f>
        <v>45174</v>
      </c>
      <c r="Z871" s="188">
        <f>_xll.qlCalendarAdvance(Calendar,Y871,NDays&amp;"D")</f>
        <v>45176</v>
      </c>
      <c r="AA871" s="163">
        <v>9.6784947399466883E-3</v>
      </c>
      <c r="AB871" s="172">
        <v>9.5012009000416953E-3</v>
      </c>
    </row>
    <row r="872" spans="24:28" x14ac:dyDescent="0.2">
      <c r="X872" s="176" t="str">
        <f t="shared" si="47"/>
        <v>1w</v>
      </c>
      <c r="Y872" s="164">
        <f>_xll.qlCalendarAdvance(Calendar,Y871,X872,"f",FALSE)</f>
        <v>45181</v>
      </c>
      <c r="Z872" s="188">
        <f>_xll.qlCalendarAdvance(Calendar,Y872,NDays&amp;"D")</f>
        <v>45183</v>
      </c>
      <c r="AA872" s="163">
        <v>9.6894925195831171E-3</v>
      </c>
      <c r="AB872" s="172">
        <v>9.5147207866119743E-3</v>
      </c>
    </row>
    <row r="873" spans="24:28" x14ac:dyDescent="0.2">
      <c r="X873" s="176" t="str">
        <f t="shared" si="47"/>
        <v>1w</v>
      </c>
      <c r="Y873" s="164">
        <f>_xll.qlCalendarAdvance(Calendar,Y872,X873,"f",FALSE)</f>
        <v>45188</v>
      </c>
      <c r="Z873" s="188">
        <f>_xll.qlCalendarAdvance(Calendar,Y873,NDays&amp;"D")</f>
        <v>45190</v>
      </c>
      <c r="AA873" s="163">
        <v>9.700290186357003E-3</v>
      </c>
      <c r="AB873" s="172">
        <v>9.5280414716469863E-3</v>
      </c>
    </row>
    <row r="874" spans="24:28" x14ac:dyDescent="0.2">
      <c r="X874" s="176" t="str">
        <f t="shared" si="47"/>
        <v>1w</v>
      </c>
      <c r="Y874" s="164">
        <f>_xll.qlCalendarAdvance(Calendar,Y873,X874,"f",FALSE)</f>
        <v>45195</v>
      </c>
      <c r="Z874" s="188">
        <f>_xll.qlCalendarAdvance(Calendar,Y874,NDays&amp;"D")</f>
        <v>45197</v>
      </c>
      <c r="AA874" s="163">
        <v>9.7108878608795583E-3</v>
      </c>
      <c r="AB874" s="172">
        <v>9.5411629550667953E-3</v>
      </c>
    </row>
    <row r="875" spans="24:28" x14ac:dyDescent="0.2">
      <c r="X875" s="176" t="str">
        <f t="shared" si="47"/>
        <v>1w</v>
      </c>
      <c r="Y875" s="164">
        <f>_xll.qlCalendarAdvance(Calendar,Y874,X875,"f",FALSE)</f>
        <v>45202</v>
      </c>
      <c r="Z875" s="188">
        <f>_xll.qlCalendarAdvance(Calendar,Y875,NDays&amp;"D")</f>
        <v>45204</v>
      </c>
      <c r="AA875" s="163">
        <v>9.7220951876986934E-3</v>
      </c>
      <c r="AB875" s="172">
        <v>9.5540852368714013E-3</v>
      </c>
    </row>
    <row r="876" spans="24:28" x14ac:dyDescent="0.2">
      <c r="X876" s="176" t="str">
        <f t="shared" si="47"/>
        <v>1w</v>
      </c>
      <c r="Y876" s="164">
        <f>_xll.qlCalendarAdvance(Calendar,Y875,X876,"f",FALSE)</f>
        <v>45209</v>
      </c>
      <c r="Z876" s="188">
        <f>_xll.qlCalendarAdvance(Calendar,Y876,NDays&amp;"D")</f>
        <v>45211</v>
      </c>
      <c r="AA876" s="163">
        <v>9.7322990142356316E-3</v>
      </c>
      <c r="AB876" s="172">
        <v>9.5668083169009321E-3</v>
      </c>
    </row>
    <row r="877" spans="24:28" x14ac:dyDescent="0.2">
      <c r="X877" s="176" t="str">
        <f t="shared" si="47"/>
        <v>1w</v>
      </c>
      <c r="Y877" s="164">
        <f>_xll.qlCalendarAdvance(Calendar,Y876,X877,"f",FALSE)</f>
        <v>45216</v>
      </c>
      <c r="Z877" s="188">
        <f>_xll.qlCalendarAdvance(Calendar,Y877,NDays&amp;"D")</f>
        <v>45218</v>
      </c>
      <c r="AA877" s="163">
        <v>9.7423268576402409E-3</v>
      </c>
      <c r="AB877" s="172">
        <v>9.579332195395196E-3</v>
      </c>
    </row>
    <row r="878" spans="24:28" x14ac:dyDescent="0.2">
      <c r="X878" s="176" t="str">
        <f t="shared" si="47"/>
        <v>1w</v>
      </c>
      <c r="Y878" s="164">
        <f>_xll.qlCalendarAdvance(Calendar,Y877,X878,"f",FALSE)</f>
        <v>45223</v>
      </c>
      <c r="Z878" s="188">
        <f>_xll.qlCalendarAdvance(Calendar,Y878,NDays&amp;"D")</f>
        <v>45225</v>
      </c>
      <c r="AA878" s="163">
        <v>9.7521881059888481E-3</v>
      </c>
      <c r="AB878" s="172">
        <v>9.5916568720344486E-3</v>
      </c>
    </row>
    <row r="879" spans="24:28" x14ac:dyDescent="0.2">
      <c r="X879" s="176" t="str">
        <f t="shared" si="47"/>
        <v>1w</v>
      </c>
      <c r="Y879" s="164">
        <f>_xll.qlCalendarAdvance(Calendar,Y878,X879,"f",FALSE)</f>
        <v>45230</v>
      </c>
      <c r="Z879" s="188">
        <f>_xll.qlCalendarAdvance(Calendar,Y879,NDays&amp;"D")</f>
        <v>45232</v>
      </c>
      <c r="AA879" s="163">
        <v>9.7611253921490448E-3</v>
      </c>
      <c r="AB879" s="172">
        <v>9.6037823470584982E-3</v>
      </c>
    </row>
    <row r="880" spans="24:28" x14ac:dyDescent="0.2">
      <c r="X880" s="176" t="str">
        <f t="shared" si="47"/>
        <v>1w</v>
      </c>
      <c r="Y880" s="164">
        <f>_xll.qlCalendarAdvance(Calendar,Y879,X880,"f",FALSE)</f>
        <v>45237</v>
      </c>
      <c r="Z880" s="188">
        <f>_xll.qlCalendarAdvance(Calendar,Y880,NDays&amp;"D")</f>
        <v>45239</v>
      </c>
      <c r="AA880" s="163">
        <v>9.7706885123309412E-3</v>
      </c>
      <c r="AB880" s="172">
        <v>9.6157086203074726E-3</v>
      </c>
    </row>
    <row r="881" spans="24:28" x14ac:dyDescent="0.2">
      <c r="X881" s="176" t="str">
        <f t="shared" si="47"/>
        <v>1w</v>
      </c>
      <c r="Y881" s="164">
        <f>_xll.qlCalendarAdvance(Calendar,Y880,X881,"f",FALSE)</f>
        <v>45244</v>
      </c>
      <c r="Z881" s="188">
        <f>_xll.qlCalendarAdvance(Calendar,Y881,NDays&amp;"D")</f>
        <v>45246</v>
      </c>
      <c r="AA881" s="163">
        <v>9.7801121968300597E-3</v>
      </c>
      <c r="AB881" s="172">
        <v>9.6274356917813719E-3</v>
      </c>
    </row>
    <row r="882" spans="24:28" x14ac:dyDescent="0.2">
      <c r="X882" s="176" t="str">
        <f t="shared" si="47"/>
        <v>1w</v>
      </c>
      <c r="Y882" s="164">
        <f>_xll.qlCalendarAdvance(Calendar,Y881,X882,"f",FALSE)</f>
        <v>45251</v>
      </c>
      <c r="Z882" s="188">
        <f>_xll.qlCalendarAdvance(Calendar,Y882,NDays&amp;"D")</f>
        <v>45253</v>
      </c>
      <c r="AA882" s="163">
        <v>9.7894058859388997E-3</v>
      </c>
      <c r="AB882" s="172">
        <v>9.6389635614801961E-3</v>
      </c>
    </row>
    <row r="883" spans="24:28" x14ac:dyDescent="0.2">
      <c r="X883" s="176" t="str">
        <f t="shared" si="47"/>
        <v>1w</v>
      </c>
      <c r="Y883" s="164">
        <f>_xll.qlCalendarAdvance(Calendar,Y882,X883,"f",FALSE)</f>
        <v>45258</v>
      </c>
      <c r="Z883" s="188">
        <f>_xll.qlCalendarAdvance(Calendar,Y883,NDays&amp;"D")</f>
        <v>45260</v>
      </c>
      <c r="AA883" s="163">
        <v>9.7993240203474094E-3</v>
      </c>
      <c r="AB883" s="172">
        <v>9.650292229324009E-3</v>
      </c>
    </row>
    <row r="884" spans="24:28" x14ac:dyDescent="0.2">
      <c r="X884" s="176" t="str">
        <f t="shared" si="47"/>
        <v>1w</v>
      </c>
      <c r="Y884" s="164">
        <f>_xll.qlCalendarAdvance(Calendar,Y883,X884,"f",FALSE)</f>
        <v>45265</v>
      </c>
      <c r="Z884" s="188">
        <f>_xll.qlCalendarAdvance(Calendar,Y884,NDays&amp;"D")</f>
        <v>45267</v>
      </c>
      <c r="AA884" s="163">
        <v>9.8083828604036381E-3</v>
      </c>
      <c r="AB884" s="172">
        <v>9.6614216953927468E-3</v>
      </c>
    </row>
    <row r="885" spans="24:28" x14ac:dyDescent="0.2">
      <c r="X885" s="176" t="str">
        <f t="shared" si="47"/>
        <v>1w</v>
      </c>
      <c r="Y885" s="164">
        <f>_xll.qlCalendarAdvance(Calendar,Y884,X885,"f",FALSE)</f>
        <v>45272</v>
      </c>
      <c r="Z885" s="188">
        <f>_xll.qlCalendarAdvance(Calendar,Y885,NDays&amp;"D")</f>
        <v>45274</v>
      </c>
      <c r="AA885" s="163">
        <v>9.8173408280128605E-3</v>
      </c>
      <c r="AB885" s="172">
        <v>9.6723519596064733E-3</v>
      </c>
    </row>
    <row r="886" spans="24:28" x14ac:dyDescent="0.2">
      <c r="X886" s="176" t="str">
        <f t="shared" si="47"/>
        <v>1w</v>
      </c>
      <c r="Y886" s="164">
        <f>_xll.qlCalendarAdvance(Calendar,Y885,X886,"f",FALSE)</f>
        <v>45279</v>
      </c>
      <c r="Z886" s="188">
        <f>_xll.qlCalendarAdvance(Calendar,Y886,NDays&amp;"D")</f>
        <v>45281</v>
      </c>
      <c r="AA886" s="163">
        <v>9.8262073129104007E-3</v>
      </c>
      <c r="AB886" s="172">
        <v>9.6830830219651887E-3</v>
      </c>
    </row>
    <row r="887" spans="24:28" x14ac:dyDescent="0.2">
      <c r="X887" s="176" t="str">
        <f t="shared" si="47"/>
        <v>1w</v>
      </c>
      <c r="Y887" s="164">
        <f>_xll.qlCalendarAdvance(Calendar,Y886,X887,"f",FALSE)</f>
        <v>45287</v>
      </c>
      <c r="Z887" s="188">
        <f>_xll.qlCalendarAdvance(Calendar,Y887,NDays&amp;"D")</f>
        <v>45289</v>
      </c>
      <c r="AA887" s="163">
        <v>9.83550366300741E-3</v>
      </c>
      <c r="AB887" s="172">
        <v>9.6977172768930586E-3</v>
      </c>
    </row>
    <row r="888" spans="24:28" x14ac:dyDescent="0.2">
      <c r="X888" s="176" t="str">
        <f t="shared" si="47"/>
        <v>1w</v>
      </c>
      <c r="Y888" s="164">
        <f>_xll.qlCalendarAdvance(Calendar,Y887,X888,"f",FALSE)</f>
        <v>45294</v>
      </c>
      <c r="Z888" s="188">
        <f>_xll.qlCalendarAdvance(Calendar,Y888,NDays&amp;"D")</f>
        <v>45296</v>
      </c>
      <c r="AA888" s="163">
        <v>9.8442059291173247E-3</v>
      </c>
      <c r="AB888" s="172">
        <v>9.7071235193180172E-3</v>
      </c>
    </row>
    <row r="889" spans="24:28" x14ac:dyDescent="0.2">
      <c r="X889" s="176" t="str">
        <f t="shared" si="47"/>
        <v>1w</v>
      </c>
      <c r="Y889" s="164">
        <f>_xll.qlCalendarAdvance(Calendar,Y888,X889,"f",FALSE)</f>
        <v>45301</v>
      </c>
      <c r="Z889" s="188">
        <f>_xll.qlCalendarAdvance(Calendar,Y889,NDays&amp;"D")</f>
        <v>45303</v>
      </c>
      <c r="AA889" s="163">
        <v>9.852845636083879E-3</v>
      </c>
      <c r="AB889" s="172">
        <v>9.7172006048307225E-3</v>
      </c>
    </row>
    <row r="890" spans="24:28" x14ac:dyDescent="0.2">
      <c r="X890" s="176" t="str">
        <f t="shared" si="47"/>
        <v>1w</v>
      </c>
      <c r="Y890" s="164">
        <f>_xll.qlCalendarAdvance(Calendar,Y889,X890,"f",FALSE)</f>
        <v>45308</v>
      </c>
      <c r="Z890" s="188">
        <f>_xll.qlCalendarAdvance(Calendar,Y890,NDays&amp;"D")</f>
        <v>45310</v>
      </c>
      <c r="AA890" s="163">
        <v>9.8614322257086998E-3</v>
      </c>
      <c r="AB890" s="172">
        <v>9.7270784782033104E-3</v>
      </c>
    </row>
    <row r="891" spans="24:28" x14ac:dyDescent="0.2">
      <c r="X891" s="176" t="str">
        <f t="shared" si="47"/>
        <v>1w</v>
      </c>
      <c r="Y891" s="164">
        <f>_xll.qlCalendarAdvance(Calendar,Y890,X891,"f",FALSE)</f>
        <v>45315</v>
      </c>
      <c r="Z891" s="188">
        <f>_xll.qlCalendarAdvance(Calendar,Y891,NDays&amp;"D")</f>
        <v>45317</v>
      </c>
      <c r="AA891" s="163">
        <v>9.8699751399598731E-3</v>
      </c>
      <c r="AB891" s="172">
        <v>9.736757139435781E-3</v>
      </c>
    </row>
    <row r="892" spans="24:28" x14ac:dyDescent="0.2">
      <c r="X892" s="176" t="str">
        <f t="shared" si="47"/>
        <v>1w</v>
      </c>
      <c r="Y892" s="164">
        <f>_xll.qlCalendarAdvance(Calendar,Y891,X892,"f",FALSE)</f>
        <v>45322</v>
      </c>
      <c r="Z892" s="188">
        <f>_xll.qlCalendarAdvance(Calendar,Y892,NDays&amp;"D")</f>
        <v>45324</v>
      </c>
      <c r="AA892" s="163">
        <v>9.8784838209728231E-3</v>
      </c>
      <c r="AB892" s="172">
        <v>9.7462365883949076E-3</v>
      </c>
    </row>
    <row r="893" spans="24:28" x14ac:dyDescent="0.2">
      <c r="X893" s="176" t="str">
        <f t="shared" si="47"/>
        <v>1w</v>
      </c>
      <c r="Y893" s="164">
        <f>_xll.qlCalendarAdvance(Calendar,Y892,X893,"f",FALSE)</f>
        <v>45329</v>
      </c>
      <c r="Z893" s="188">
        <f>_xll.qlCalendarAdvance(Calendar,Y893,NDays&amp;"D")</f>
        <v>45331</v>
      </c>
      <c r="AA893" s="163">
        <v>9.8869677110454846E-3</v>
      </c>
      <c r="AB893" s="172">
        <v>9.7555168250806901E-3</v>
      </c>
    </row>
    <row r="894" spans="24:28" x14ac:dyDescent="0.2">
      <c r="X894" s="176" t="str">
        <f t="shared" si="47"/>
        <v>1w</v>
      </c>
      <c r="Y894" s="164">
        <f>_xll.qlCalendarAdvance(Calendar,Y893,X894,"f",FALSE)</f>
        <v>45336</v>
      </c>
      <c r="Z894" s="188">
        <f>_xll.qlCalendarAdvance(Calendar,Y894,NDays&amp;"D")</f>
        <v>45338</v>
      </c>
      <c r="AA894" s="163">
        <v>9.8954362526391757E-3</v>
      </c>
      <c r="AB894" s="172">
        <v>9.7645978494664831E-3</v>
      </c>
    </row>
    <row r="895" spans="24:28" x14ac:dyDescent="0.2">
      <c r="X895" s="176" t="str">
        <f t="shared" si="47"/>
        <v>1w</v>
      </c>
      <c r="Y895" s="164">
        <f>_xll.qlCalendarAdvance(Calendar,Y894,X895,"f",FALSE)</f>
        <v>45343</v>
      </c>
      <c r="Z895" s="188">
        <f>_xll.qlCalendarAdvance(Calendar,Y895,NDays&amp;"D")</f>
        <v>45345</v>
      </c>
      <c r="AA895" s="163">
        <v>9.9038988883759626E-3</v>
      </c>
      <c r="AB895" s="172">
        <v>9.7734796614457053E-3</v>
      </c>
    </row>
    <row r="896" spans="24:28" x14ac:dyDescent="0.2">
      <c r="X896" s="176" t="str">
        <f t="shared" si="47"/>
        <v>1w</v>
      </c>
      <c r="Y896" s="164">
        <f>_xll.qlCalendarAdvance(Calendar,Y895,X896,"f",FALSE)</f>
        <v>45350</v>
      </c>
      <c r="Z896" s="188">
        <f>_xll.qlCalendarAdvance(Calendar,Y896,NDays&amp;"D")</f>
        <v>45352</v>
      </c>
      <c r="AA896" s="163">
        <v>9.9146217773640674E-3</v>
      </c>
      <c r="AB896" s="172">
        <v>9.7821622610183567E-3</v>
      </c>
    </row>
    <row r="897" spans="24:28" x14ac:dyDescent="0.2">
      <c r="X897" s="176" t="str">
        <f t="shared" si="47"/>
        <v>1w</v>
      </c>
      <c r="Y897" s="164">
        <f>_xll.qlCalendarAdvance(Calendar,Y896,X897,"f",FALSE)</f>
        <v>45357</v>
      </c>
      <c r="Z897" s="188">
        <f>_xll.qlCalendarAdvance(Calendar,Y897,NDays&amp;"D")</f>
        <v>45359</v>
      </c>
      <c r="AA897" s="163">
        <v>9.923110685928261E-3</v>
      </c>
      <c r="AB897" s="172">
        <v>9.7906456481311466E-3</v>
      </c>
    </row>
    <row r="898" spans="24:28" x14ac:dyDescent="0.2">
      <c r="X898" s="176" t="str">
        <f t="shared" si="47"/>
        <v>1w</v>
      </c>
      <c r="Y898" s="164">
        <f>_xll.qlCalendarAdvance(Calendar,Y897,X898,"f",FALSE)</f>
        <v>45364</v>
      </c>
      <c r="Z898" s="188">
        <f>_xll.qlCalendarAdvance(Calendar,Y898,NDays&amp;"D")</f>
        <v>45366</v>
      </c>
      <c r="AA898" s="163">
        <v>9.9316223919307719E-3</v>
      </c>
      <c r="AB898" s="172">
        <v>9.7989298227307842E-3</v>
      </c>
    </row>
    <row r="899" spans="24:28" x14ac:dyDescent="0.2">
      <c r="X899" s="176" t="str">
        <f t="shared" si="47"/>
        <v>1w</v>
      </c>
      <c r="Y899" s="164">
        <f>_xll.qlCalendarAdvance(Calendar,Y898,X899,"f",FALSE)</f>
        <v>45371</v>
      </c>
      <c r="Z899" s="188">
        <f>_xll.qlCalendarAdvance(Calendar,Y899,NDays&amp;"D")</f>
        <v>45373</v>
      </c>
      <c r="AA899" s="163">
        <v>9.9401661862963831E-3</v>
      </c>
      <c r="AB899" s="172">
        <v>9.8070147848172695E-3</v>
      </c>
    </row>
    <row r="900" spans="24:28" x14ac:dyDescent="0.2">
      <c r="X900" s="176" t="str">
        <f t="shared" si="47"/>
        <v>1w</v>
      </c>
      <c r="Y900" s="164">
        <f>_xll.qlCalendarAdvance(Calendar,Y899,X900,"f",FALSE)</f>
        <v>45378</v>
      </c>
      <c r="Z900" s="188">
        <f>_xll.qlCalendarAdvance(Calendar,Y900,NDays&amp;"D")</f>
        <v>45384</v>
      </c>
      <c r="AA900" s="163">
        <v>9.9521411079650148E-3</v>
      </c>
      <c r="AB900" s="172">
        <v>9.8181330687907575E-3</v>
      </c>
    </row>
    <row r="901" spans="24:28" x14ac:dyDescent="0.2">
      <c r="X901" s="176" t="str">
        <f t="shared" si="47"/>
        <v>1w</v>
      </c>
      <c r="Y901" s="164">
        <f>_xll.qlCalendarAdvance(Calendar,Y900,X901,"f",FALSE)</f>
        <v>45385</v>
      </c>
      <c r="Z901" s="188">
        <f>_xll.qlCalendarAdvance(Calendar,Y901,NDays&amp;"D")</f>
        <v>45387</v>
      </c>
      <c r="AA901" s="163">
        <v>9.9573811959204686E-3</v>
      </c>
      <c r="AB901" s="172">
        <v>9.8229784659942254E-3</v>
      </c>
    </row>
    <row r="902" spans="24:28" x14ac:dyDescent="0.2">
      <c r="X902" s="176" t="str">
        <f t="shared" si="47"/>
        <v>1w</v>
      </c>
      <c r="Y902" s="164">
        <f>_xll.qlCalendarAdvance(Calendar,Y901,X902,"f",FALSE)</f>
        <v>45392</v>
      </c>
      <c r="Z902" s="188">
        <f>_xll.qlCalendarAdvance(Calendar,Y902,NDays&amp;"D")</f>
        <v>45394</v>
      </c>
      <c r="AA902" s="163">
        <v>9.9660566829756995E-3</v>
      </c>
      <c r="AB902" s="172">
        <v>9.8310242134225234E-3</v>
      </c>
    </row>
    <row r="903" spans="24:28" x14ac:dyDescent="0.2">
      <c r="X903" s="176" t="str">
        <f t="shared" si="47"/>
        <v>1w</v>
      </c>
      <c r="Y903" s="164">
        <f>_xll.qlCalendarAdvance(Calendar,Y902,X903,"f",FALSE)</f>
        <v>45399</v>
      </c>
      <c r="Z903" s="188">
        <f>_xll.qlCalendarAdvance(Calendar,Y903,NDays&amp;"D")</f>
        <v>45401</v>
      </c>
      <c r="AA903" s="163">
        <v>9.9747775329586136E-3</v>
      </c>
      <c r="AB903" s="172">
        <v>9.8391150584031806E-3</v>
      </c>
    </row>
    <row r="904" spans="24:28" x14ac:dyDescent="0.2">
      <c r="X904" s="176" t="str">
        <f t="shared" si="47"/>
        <v>1w</v>
      </c>
      <c r="Y904" s="164">
        <f>_xll.qlCalendarAdvance(Calendar,Y903,X904,"f",FALSE)</f>
        <v>45406</v>
      </c>
      <c r="Z904" s="188">
        <f>_xll.qlCalendarAdvance(Calendar,Y904,NDays&amp;"D")</f>
        <v>45408</v>
      </c>
      <c r="AA904" s="163">
        <v>9.9835437464762932E-3</v>
      </c>
      <c r="AB904" s="172">
        <v>9.8472510009361969E-3</v>
      </c>
    </row>
    <row r="905" spans="24:28" x14ac:dyDescent="0.2">
      <c r="X905" s="176" t="str">
        <f t="shared" si="47"/>
        <v>1w</v>
      </c>
      <c r="Y905" s="164">
        <f>_xll.qlCalendarAdvance(Calendar,Y904,X905,"f",FALSE)</f>
        <v>45414</v>
      </c>
      <c r="Z905" s="188">
        <f>_xll.qlCalendarAdvance(Calendar,Y905,NDays&amp;"D")</f>
        <v>45418</v>
      </c>
      <c r="AA905" s="163">
        <v>9.995360562654744E-3</v>
      </c>
      <c r="AB905" s="172">
        <v>9.857507537116561E-3</v>
      </c>
    </row>
    <row r="906" spans="24:28" x14ac:dyDescent="0.2">
      <c r="X906" s="176" t="str">
        <f t="shared" si="47"/>
        <v>1w</v>
      </c>
      <c r="Y906" s="164">
        <f>_xll.qlCalendarAdvance(Calendar,Y905,X906,"f",FALSE)</f>
        <v>45421</v>
      </c>
      <c r="Z906" s="188">
        <f>_xll.qlCalendarAdvance(Calendar,Y906,NDays&amp;"D")</f>
        <v>45425</v>
      </c>
      <c r="AA906" s="163">
        <v>1.0004233461016006E-2</v>
      </c>
      <c r="AB906" s="172">
        <v>9.8657461083817566E-3</v>
      </c>
    </row>
    <row r="907" spans="24:28" x14ac:dyDescent="0.2">
      <c r="X907" s="176" t="str">
        <f t="shared" si="47"/>
        <v>1w</v>
      </c>
      <c r="Y907" s="164">
        <f>_xll.qlCalendarAdvance(Calendar,Y906,X907,"f",FALSE)</f>
        <v>45428</v>
      </c>
      <c r="Z907" s="188">
        <f>_xll.qlCalendarAdvance(Calendar,Y907,NDays&amp;"D")</f>
        <v>45432</v>
      </c>
      <c r="AA907" s="163">
        <v>1.0013151723494949E-2</v>
      </c>
      <c r="AB907" s="172">
        <v>9.8740297743749039E-3</v>
      </c>
    </row>
    <row r="908" spans="24:28" x14ac:dyDescent="0.2">
      <c r="X908" s="176" t="str">
        <f t="shared" si="47"/>
        <v>1w</v>
      </c>
      <c r="Y908" s="164">
        <f>_xll.qlCalendarAdvance(Calendar,Y907,X908,"f",FALSE)</f>
        <v>45435</v>
      </c>
      <c r="Z908" s="188">
        <f>_xll.qlCalendarAdvance(Calendar,Y908,NDays&amp;"D")</f>
        <v>45439</v>
      </c>
      <c r="AA908" s="163">
        <v>1.0022115350706731E-2</v>
      </c>
      <c r="AB908" s="172">
        <v>9.8823585351759391E-3</v>
      </c>
    </row>
    <row r="909" spans="24:28" x14ac:dyDescent="0.2">
      <c r="X909" s="176" t="str">
        <f t="shared" si="47"/>
        <v>1w</v>
      </c>
      <c r="Y909" s="164">
        <f>_xll.qlCalendarAdvance(Calendar,Y908,X909,"f",FALSE)</f>
        <v>45442</v>
      </c>
      <c r="Z909" s="188">
        <f>_xll.qlCalendarAdvance(Calendar,Y909,NDays&amp;"D")</f>
        <v>45446</v>
      </c>
      <c r="AA909" s="163">
        <v>1.0030325697741817E-2</v>
      </c>
      <c r="AB909" s="172">
        <v>9.890732390704926E-3</v>
      </c>
    </row>
    <row r="910" spans="24:28" x14ac:dyDescent="0.2">
      <c r="X910" s="176" t="str">
        <f t="shared" si="47"/>
        <v>1w</v>
      </c>
      <c r="Y910" s="164">
        <f>_xll.qlCalendarAdvance(Calendar,Y909,X910,"f",FALSE)</f>
        <v>45449</v>
      </c>
      <c r="Z910" s="188">
        <f>_xll.qlCalendarAdvance(Calendar,Y910,NDays&amp;"D")</f>
        <v>45453</v>
      </c>
      <c r="AA910" s="163">
        <v>1.0039376564119934E-2</v>
      </c>
      <c r="AB910" s="172">
        <v>9.8991513408819287E-3</v>
      </c>
    </row>
    <row r="911" spans="24:28" x14ac:dyDescent="0.2">
      <c r="X911" s="176" t="str">
        <f t="shared" si="47"/>
        <v>1w</v>
      </c>
      <c r="Y911" s="164">
        <f>_xll.qlCalendarAdvance(Calendar,Y910,X911,"f",FALSE)</f>
        <v>45456</v>
      </c>
      <c r="Z911" s="188">
        <f>_xll.qlCalendarAdvance(Calendar,Y911,NDays&amp;"D")</f>
        <v>45460</v>
      </c>
      <c r="AA911" s="163">
        <v>1.0048472795567129E-2</v>
      </c>
      <c r="AB911" s="172">
        <v>9.9076153858668192E-3</v>
      </c>
    </row>
    <row r="912" spans="24:28" x14ac:dyDescent="0.2">
      <c r="X912" s="176" t="str">
        <f t="shared" si="47"/>
        <v>1w</v>
      </c>
      <c r="Y912" s="164">
        <f>_xll.qlCalendarAdvance(Calendar,Y911,X912,"f",FALSE)</f>
        <v>45463</v>
      </c>
      <c r="Z912" s="188">
        <f>_xll.qlCalendarAdvance(Calendar,Y912,NDays&amp;"D")</f>
        <v>45467</v>
      </c>
      <c r="AA912" s="163">
        <v>1.0057614392708913E-2</v>
      </c>
      <c r="AB912" s="172">
        <v>9.9161245255796615E-3</v>
      </c>
    </row>
    <row r="913" spans="24:28" x14ac:dyDescent="0.2">
      <c r="X913" s="176" t="str">
        <f t="shared" si="47"/>
        <v>1w</v>
      </c>
      <c r="Y913" s="164">
        <f>_xll.qlCalendarAdvance(Calendar,Y912,X913,"f",FALSE)</f>
        <v>45470</v>
      </c>
      <c r="Z913" s="188">
        <f>_xll.qlCalendarAdvance(Calendar,Y913,NDays&amp;"D")</f>
        <v>45474</v>
      </c>
      <c r="AA913" s="163">
        <v>1.0068426951678314E-2</v>
      </c>
      <c r="AB913" s="172">
        <v>9.9246787601003916E-3</v>
      </c>
    </row>
    <row r="914" spans="24:28" x14ac:dyDescent="0.2">
      <c r="X914" s="176" t="str">
        <f t="shared" si="47"/>
        <v>1w</v>
      </c>
      <c r="Y914" s="164">
        <f>_xll.qlCalendarAdvance(Calendar,Y913,X914,"f",FALSE)</f>
        <v>45477</v>
      </c>
      <c r="Z914" s="188">
        <f>_xll.qlCalendarAdvance(Calendar,Y914,NDays&amp;"D")</f>
        <v>45481</v>
      </c>
      <c r="AA914" s="163">
        <v>1.0076849808327789E-2</v>
      </c>
      <c r="AB914" s="172">
        <v>9.9332780892691375E-3</v>
      </c>
    </row>
    <row r="915" spans="24:28" x14ac:dyDescent="0.2">
      <c r="X915" s="176" t="str">
        <f t="shared" si="47"/>
        <v>1w</v>
      </c>
      <c r="Y915" s="164">
        <f>_xll.qlCalendarAdvance(Calendar,Y914,X915,"f",FALSE)</f>
        <v>45484</v>
      </c>
      <c r="Z915" s="188">
        <f>_xll.qlCalendarAdvance(Calendar,Y915,NDays&amp;"D")</f>
        <v>45488</v>
      </c>
      <c r="AA915" s="163">
        <v>1.0086131006211503E-2</v>
      </c>
      <c r="AB915" s="172">
        <v>9.9419225133257072E-3</v>
      </c>
    </row>
    <row r="916" spans="24:28" x14ac:dyDescent="0.2">
      <c r="X916" s="176" t="str">
        <f t="shared" si="47"/>
        <v>1w</v>
      </c>
      <c r="Y916" s="164">
        <f>_xll.qlCalendarAdvance(Calendar,Y915,X916,"f",FALSE)</f>
        <v>45491</v>
      </c>
      <c r="Z916" s="188">
        <f>_xll.qlCalendarAdvance(Calendar,Y916,NDays&amp;"D")</f>
        <v>45495</v>
      </c>
      <c r="AA916" s="163">
        <v>1.009545757387576E-2</v>
      </c>
      <c r="AB916" s="172">
        <v>9.9506120320302927E-3</v>
      </c>
    </row>
    <row r="917" spans="24:28" x14ac:dyDescent="0.2">
      <c r="X917" s="176" t="str">
        <f t="shared" ref="X917:X980" si="48">X916</f>
        <v>1w</v>
      </c>
      <c r="Y917" s="164">
        <f>_xll.qlCalendarAdvance(Calendar,Y916,X917,"f",FALSE)</f>
        <v>45498</v>
      </c>
      <c r="Z917" s="188">
        <f>_xll.qlCalendarAdvance(Calendar,Y917,NDays&amp;"D")</f>
        <v>45502</v>
      </c>
      <c r="AA917" s="163">
        <v>1.0104829511967431E-2</v>
      </c>
      <c r="AB917" s="172">
        <v>9.9593466454628299E-3</v>
      </c>
    </row>
    <row r="918" spans="24:28" x14ac:dyDescent="0.2">
      <c r="X918" s="176" t="str">
        <f t="shared" si="48"/>
        <v>1w</v>
      </c>
      <c r="Y918" s="164">
        <f>_xll.qlCalendarAdvance(Calendar,Y917,X918,"f",FALSE)</f>
        <v>45505</v>
      </c>
      <c r="Z918" s="188">
        <f>_xll.qlCalendarAdvance(Calendar,Y918,NDays&amp;"D")</f>
        <v>45509</v>
      </c>
      <c r="AA918" s="163">
        <v>1.0114246821133393E-2</v>
      </c>
      <c r="AB918" s="172">
        <v>9.968126353783191E-3</v>
      </c>
    </row>
    <row r="919" spans="24:28" x14ac:dyDescent="0.2">
      <c r="X919" s="176" t="str">
        <f t="shared" si="48"/>
        <v>1w</v>
      </c>
      <c r="Y919" s="164">
        <f>_xll.qlCalendarAdvance(Calendar,Y918,X919,"f",FALSE)</f>
        <v>45512</v>
      </c>
      <c r="Z919" s="188">
        <f>_xll.qlCalendarAdvance(Calendar,Y919,NDays&amp;"D")</f>
        <v>45516</v>
      </c>
      <c r="AA919" s="163">
        <v>1.0123709502025294E-2</v>
      </c>
      <c r="AB919" s="172">
        <v>9.9769511567515679E-3</v>
      </c>
    </row>
    <row r="920" spans="24:28" x14ac:dyDescent="0.2">
      <c r="X920" s="176" t="str">
        <f t="shared" si="48"/>
        <v>1w</v>
      </c>
      <c r="Y920" s="164">
        <f>_xll.qlCalendarAdvance(Calendar,Y919,X920,"f",FALSE)</f>
        <v>45519</v>
      </c>
      <c r="Z920" s="188">
        <f>_xll.qlCalendarAdvance(Calendar,Y920,NDays&amp;"D")</f>
        <v>45523</v>
      </c>
      <c r="AA920" s="163">
        <v>1.0133217555297397E-2</v>
      </c>
      <c r="AB920" s="172">
        <v>9.9858210545278325E-3</v>
      </c>
    </row>
    <row r="921" spans="24:28" x14ac:dyDescent="0.2">
      <c r="X921" s="176" t="str">
        <f t="shared" si="48"/>
        <v>1w</v>
      </c>
      <c r="Y921" s="164">
        <f>_xll.qlCalendarAdvance(Calendar,Y920,X921,"f",FALSE)</f>
        <v>45526</v>
      </c>
      <c r="Z921" s="188">
        <f>_xll.qlCalendarAdvance(Calendar,Y921,NDays&amp;"D")</f>
        <v>45530</v>
      </c>
      <c r="AA921" s="163">
        <v>1.0142770981608304E-2</v>
      </c>
      <c r="AB921" s="172">
        <v>9.994736047111985E-3</v>
      </c>
    </row>
    <row r="922" spans="24:28" x14ac:dyDescent="0.2">
      <c r="X922" s="176" t="str">
        <f t="shared" si="48"/>
        <v>1w</v>
      </c>
      <c r="Y922" s="164">
        <f>_xll.qlCalendarAdvance(Calendar,Y921,X922,"f",FALSE)</f>
        <v>45533</v>
      </c>
      <c r="Z922" s="188">
        <f>_xll.qlCalendarAdvance(Calendar,Y922,NDays&amp;"D")</f>
        <v>45537</v>
      </c>
      <c r="AA922" s="163">
        <v>1.0150681803477807E-2</v>
      </c>
      <c r="AB922" s="172">
        <v>1.0003696134424089E-2</v>
      </c>
    </row>
    <row r="923" spans="24:28" x14ac:dyDescent="0.2">
      <c r="X923" s="176" t="str">
        <f t="shared" si="48"/>
        <v>1w</v>
      </c>
      <c r="Y923" s="164">
        <f>_xll.qlCalendarAdvance(Calendar,Y922,X923,"f",FALSE)</f>
        <v>45540</v>
      </c>
      <c r="Z923" s="188">
        <f>_xll.qlCalendarAdvance(Calendar,Y923,NDays&amp;"D")</f>
        <v>45544</v>
      </c>
      <c r="AA923" s="163">
        <v>1.0160318953272034E-2</v>
      </c>
      <c r="AB923" s="172">
        <v>1.0012701316544081E-2</v>
      </c>
    </row>
    <row r="924" spans="24:28" x14ac:dyDescent="0.2">
      <c r="X924" s="176" t="str">
        <f t="shared" si="48"/>
        <v>1w</v>
      </c>
      <c r="Y924" s="164">
        <f>_xll.qlCalendarAdvance(Calendar,Y923,X924,"f",FALSE)</f>
        <v>45547</v>
      </c>
      <c r="Z924" s="188">
        <f>_xll.qlCalendarAdvance(Calendar,Y924,NDays&amp;"D")</f>
        <v>45551</v>
      </c>
      <c r="AA924" s="163">
        <v>1.0170001474930329E-2</v>
      </c>
      <c r="AB924" s="172">
        <v>1.0021751593471961E-2</v>
      </c>
    </row>
    <row r="925" spans="24:28" x14ac:dyDescent="0.2">
      <c r="X925" s="176" t="str">
        <f t="shared" si="48"/>
        <v>1w</v>
      </c>
      <c r="Y925" s="164">
        <f>_xll.qlCalendarAdvance(Calendar,Y924,X925,"f",FALSE)</f>
        <v>45554</v>
      </c>
      <c r="Z925" s="188">
        <f>_xll.qlCalendarAdvance(Calendar,Y925,NDays&amp;"D")</f>
        <v>45558</v>
      </c>
      <c r="AA925" s="163">
        <v>1.0179729369114142E-2</v>
      </c>
      <c r="AB925" s="172">
        <v>1.0030846965127793E-2</v>
      </c>
    </row>
    <row r="926" spans="24:28" x14ac:dyDescent="0.2">
      <c r="X926" s="176" t="str">
        <f t="shared" si="48"/>
        <v>1w</v>
      </c>
      <c r="Y926" s="164">
        <f>_xll.qlCalendarAdvance(Calendar,Y925,X926,"f",FALSE)</f>
        <v>45561</v>
      </c>
      <c r="Z926" s="188">
        <f>_xll.qlCalendarAdvance(Calendar,Y926,NDays&amp;"D")</f>
        <v>45565</v>
      </c>
      <c r="AA926" s="163">
        <v>1.0189501838540354E-2</v>
      </c>
      <c r="AB926" s="172">
        <v>1.0039987431591513E-2</v>
      </c>
    </row>
    <row r="927" spans="24:28" x14ac:dyDescent="0.2">
      <c r="X927" s="176" t="str">
        <f t="shared" si="48"/>
        <v>1w</v>
      </c>
      <c r="Y927" s="164">
        <f>_xll.qlCalendarAdvance(Calendar,Y926,X927,"f",FALSE)</f>
        <v>45568</v>
      </c>
      <c r="Z927" s="188">
        <f>_xll.qlCalendarAdvance(Calendar,Y927,NDays&amp;"D")</f>
        <v>45572</v>
      </c>
      <c r="AA927" s="163">
        <v>1.0199314894101457E-2</v>
      </c>
      <c r="AB927" s="172">
        <v>1.0049172992943056E-2</v>
      </c>
    </row>
    <row r="928" spans="24:28" x14ac:dyDescent="0.2">
      <c r="X928" s="176" t="str">
        <f t="shared" si="48"/>
        <v>1w</v>
      </c>
      <c r="Y928" s="164">
        <f>_xll.qlCalendarAdvance(Calendar,Y927,X928,"f",FALSE)</f>
        <v>45575</v>
      </c>
      <c r="Z928" s="188">
        <f>_xll.qlCalendarAdvance(Calendar,Y928,NDays&amp;"D")</f>
        <v>45579</v>
      </c>
      <c r="AA928" s="163">
        <v>1.0209163748655782E-2</v>
      </c>
      <c r="AB928" s="172">
        <v>1.0058403648942615E-2</v>
      </c>
    </row>
    <row r="929" spans="24:28" x14ac:dyDescent="0.2">
      <c r="X929" s="176" t="str">
        <f t="shared" si="48"/>
        <v>1w</v>
      </c>
      <c r="Y929" s="164">
        <f>_xll.qlCalendarAdvance(Calendar,Y928,X929,"f",FALSE)</f>
        <v>45582</v>
      </c>
      <c r="Z929" s="188">
        <f>_xll.qlCalendarAdvance(Calendar,Y929,NDays&amp;"D")</f>
        <v>45586</v>
      </c>
      <c r="AA929" s="163">
        <v>1.021990668623165E-2</v>
      </c>
      <c r="AB929" s="172">
        <v>1.0067679399829998E-2</v>
      </c>
    </row>
    <row r="930" spans="24:28" x14ac:dyDescent="0.2">
      <c r="X930" s="176" t="str">
        <f t="shared" si="48"/>
        <v>1w</v>
      </c>
      <c r="Y930" s="164">
        <f>_xll.qlCalendarAdvance(Calendar,Y929,X930,"f",FALSE)</f>
        <v>45589</v>
      </c>
      <c r="Z930" s="188">
        <f>_xll.qlCalendarAdvance(Calendar,Y930,NDays&amp;"D")</f>
        <v>45593</v>
      </c>
      <c r="AA930" s="163">
        <v>1.0228949705718866E-2</v>
      </c>
      <c r="AB930" s="172">
        <v>1.0077000245525269E-2</v>
      </c>
    </row>
    <row r="931" spans="24:28" x14ac:dyDescent="0.2">
      <c r="X931" s="176" t="str">
        <f t="shared" si="48"/>
        <v>1w</v>
      </c>
      <c r="Y931" s="164">
        <f>_xll.qlCalendarAdvance(Calendar,Y930,X931,"f",FALSE)</f>
        <v>45596</v>
      </c>
      <c r="Z931" s="188">
        <f>_xll.qlCalendarAdvance(Calendar,Y931,NDays&amp;"D")</f>
        <v>45600</v>
      </c>
      <c r="AA931" s="163">
        <v>1.0238877233478723E-2</v>
      </c>
      <c r="AB931" s="172">
        <v>1.0086366186028428E-2</v>
      </c>
    </row>
    <row r="932" spans="24:28" x14ac:dyDescent="0.2">
      <c r="X932" s="176" t="str">
        <f t="shared" si="48"/>
        <v>1w</v>
      </c>
      <c r="Y932" s="164">
        <f>_xll.qlCalendarAdvance(Calendar,Y931,X932,"f",FALSE)</f>
        <v>45603</v>
      </c>
      <c r="Z932" s="188">
        <f>_xll.qlCalendarAdvance(Calendar,Y932,NDays&amp;"D")</f>
        <v>45607</v>
      </c>
      <c r="AA932" s="163">
        <v>1.0248821410734427E-2</v>
      </c>
      <c r="AB932" s="172">
        <v>1.0095777221339475E-2</v>
      </c>
    </row>
    <row r="933" spans="24:28" x14ac:dyDescent="0.2">
      <c r="X933" s="176" t="str">
        <f t="shared" si="48"/>
        <v>1w</v>
      </c>
      <c r="Y933" s="164">
        <f>_xll.qlCalendarAdvance(Calendar,Y932,X933,"f",FALSE)</f>
        <v>45610</v>
      </c>
      <c r="Z933" s="188">
        <f>_xll.qlCalendarAdvance(Calendar,Y933,NDays&amp;"D")</f>
        <v>45614</v>
      </c>
      <c r="AA933" s="163">
        <v>1.0258777449874355E-2</v>
      </c>
      <c r="AB933" s="172">
        <v>1.0105233351378473E-2</v>
      </c>
    </row>
    <row r="934" spans="24:28" x14ac:dyDescent="0.2">
      <c r="X934" s="176" t="str">
        <f t="shared" si="48"/>
        <v>1w</v>
      </c>
      <c r="Y934" s="164">
        <f>_xll.qlCalendarAdvance(Calendar,Y933,X934,"f",FALSE)</f>
        <v>45617</v>
      </c>
      <c r="Z934" s="188">
        <f>_xll.qlCalendarAdvance(Calendar,Y934,NDays&amp;"D")</f>
        <v>45621</v>
      </c>
      <c r="AA934" s="163">
        <v>1.0268740563192009E-2</v>
      </c>
      <c r="AB934" s="172">
        <v>1.0114734576305295E-2</v>
      </c>
    </row>
    <row r="935" spans="24:28" x14ac:dyDescent="0.2">
      <c r="X935" s="176" t="str">
        <f t="shared" si="48"/>
        <v>1w</v>
      </c>
      <c r="Y935" s="164">
        <f>_xll.qlCalendarAdvance(Calendar,Y934,X935,"f",FALSE)</f>
        <v>45624</v>
      </c>
      <c r="Z935" s="188">
        <f>_xll.qlCalendarAdvance(Calendar,Y935,NDays&amp;"D")</f>
        <v>45628</v>
      </c>
      <c r="AA935" s="163">
        <v>1.0278705962883829E-2</v>
      </c>
      <c r="AB935" s="172">
        <v>1.0124280896199878E-2</v>
      </c>
    </row>
    <row r="936" spans="24:28" x14ac:dyDescent="0.2">
      <c r="X936" s="176" t="str">
        <f t="shared" si="48"/>
        <v>1w</v>
      </c>
      <c r="Y936" s="164">
        <f>_xll.qlCalendarAdvance(Calendar,Y935,X936,"f",FALSE)</f>
        <v>45631</v>
      </c>
      <c r="Z936" s="188">
        <f>_xll.qlCalendarAdvance(Calendar,Y936,NDays&amp;"D")</f>
        <v>45635</v>
      </c>
      <c r="AA936" s="163">
        <v>1.0288668861050948E-2</v>
      </c>
      <c r="AB936" s="172">
        <v>1.0133872310662539E-2</v>
      </c>
    </row>
    <row r="937" spans="24:28" x14ac:dyDescent="0.2">
      <c r="X937" s="176" t="str">
        <f t="shared" si="48"/>
        <v>1w</v>
      </c>
      <c r="Y937" s="164">
        <f>_xll.qlCalendarAdvance(Calendar,Y936,X937,"f",FALSE)</f>
        <v>45638</v>
      </c>
      <c r="Z937" s="188">
        <f>_xll.qlCalendarAdvance(Calendar,Y937,NDays&amp;"D")</f>
        <v>45642</v>
      </c>
      <c r="AA937" s="163">
        <v>1.0298624469699189E-2</v>
      </c>
      <c r="AB937" s="172">
        <v>1.0143508820092961E-2</v>
      </c>
    </row>
    <row r="938" spans="24:28" x14ac:dyDescent="0.2">
      <c r="X938" s="176" t="str">
        <f t="shared" si="48"/>
        <v>1w</v>
      </c>
      <c r="Y938" s="164">
        <f>_xll.qlCalendarAdvance(Calendar,Y937,X938,"f",FALSE)</f>
        <v>45645</v>
      </c>
      <c r="Z938" s="188">
        <f>_xll.qlCalendarAdvance(Calendar,Y938,NDays&amp;"D")</f>
        <v>45649</v>
      </c>
      <c r="AA938" s="163">
        <v>1.0308568000737747E-2</v>
      </c>
      <c r="AB938" s="172">
        <v>1.0153190424331271E-2</v>
      </c>
    </row>
    <row r="939" spans="24:28" x14ac:dyDescent="0.2">
      <c r="X939" s="176" t="str">
        <f t="shared" si="48"/>
        <v>1w</v>
      </c>
      <c r="Y939" s="164">
        <f>_xll.qlCalendarAdvance(Calendar,Y938,X939,"f",FALSE)</f>
        <v>45653</v>
      </c>
      <c r="Z939" s="188">
        <f>_xll.qlCalendarAdvance(Calendar,Y939,NDays&amp;"D")</f>
        <v>45657</v>
      </c>
      <c r="AA939" s="163">
        <v>1.0319062899911108E-2</v>
      </c>
      <c r="AB939" s="172">
        <v>1.0165150908294507E-2</v>
      </c>
    </row>
    <row r="940" spans="24:28" x14ac:dyDescent="0.2">
      <c r="X940" s="176" t="str">
        <f t="shared" si="48"/>
        <v>1w</v>
      </c>
      <c r="Y940" s="164">
        <f>_xll.qlCalendarAdvance(Calendar,Y939,X940,"f",FALSE)</f>
        <v>45660</v>
      </c>
      <c r="Z940" s="188">
        <f>_xll.qlCalendarAdvance(Calendar,Y940,NDays&amp;"D")</f>
        <v>45664</v>
      </c>
      <c r="AA940" s="163">
        <v>1.03289680870881E-2</v>
      </c>
      <c r="AB940" s="172">
        <v>1.0174088569065987E-2</v>
      </c>
    </row>
    <row r="941" spans="24:28" x14ac:dyDescent="0.2">
      <c r="X941" s="176" t="str">
        <f t="shared" si="48"/>
        <v>1w</v>
      </c>
      <c r="Y941" s="164">
        <f>_xll.qlCalendarAdvance(Calendar,Y940,X941,"f",FALSE)</f>
        <v>45667</v>
      </c>
      <c r="Z941" s="188">
        <f>_xll.qlCalendarAdvance(Calendar,Y941,NDays&amp;"D")</f>
        <v>45671</v>
      </c>
      <c r="AA941" s="163">
        <v>1.0338846435504045E-2</v>
      </c>
      <c r="AB941" s="172">
        <v>1.0183911900014664E-2</v>
      </c>
    </row>
    <row r="942" spans="24:28" x14ac:dyDescent="0.2">
      <c r="X942" s="176" t="str">
        <f t="shared" si="48"/>
        <v>1w</v>
      </c>
      <c r="Y942" s="164">
        <f>_xll.qlCalendarAdvance(Calendar,Y941,X942,"f",FALSE)</f>
        <v>45674</v>
      </c>
      <c r="Z942" s="188">
        <f>_xll.qlCalendarAdvance(Calendar,Y942,NDays&amp;"D")</f>
        <v>45678</v>
      </c>
      <c r="AA942" s="163">
        <v>1.0348693130367282E-2</v>
      </c>
      <c r="AB942" s="172">
        <v>1.0193780325691293E-2</v>
      </c>
    </row>
    <row r="943" spans="24:28" x14ac:dyDescent="0.2">
      <c r="X943" s="176" t="str">
        <f t="shared" si="48"/>
        <v>1w</v>
      </c>
      <c r="Y943" s="164">
        <f>_xll.qlCalendarAdvance(Calendar,Y942,X943,"f",FALSE)</f>
        <v>45681</v>
      </c>
      <c r="Z943" s="188">
        <f>_xll.qlCalendarAdvance(Calendar,Y943,NDays&amp;"D")</f>
        <v>45685</v>
      </c>
      <c r="AA943" s="163">
        <v>1.0358503356793409E-2</v>
      </c>
      <c r="AB943" s="172">
        <v>1.0203693846335682E-2</v>
      </c>
    </row>
    <row r="944" spans="24:28" x14ac:dyDescent="0.2">
      <c r="X944" s="176" t="str">
        <f t="shared" si="48"/>
        <v>1w</v>
      </c>
      <c r="Y944" s="164">
        <f>_xll.qlCalendarAdvance(Calendar,Y943,X944,"f",FALSE)</f>
        <v>45688</v>
      </c>
      <c r="Z944" s="188">
        <f>_xll.qlCalendarAdvance(Calendar,Y944,NDays&amp;"D")</f>
        <v>45692</v>
      </c>
      <c r="AA944" s="163">
        <v>1.0368272299804398E-2</v>
      </c>
      <c r="AB944" s="172">
        <v>1.0213652461787959E-2</v>
      </c>
    </row>
    <row r="945" spans="24:28" x14ac:dyDescent="0.2">
      <c r="X945" s="176" t="str">
        <f t="shared" si="48"/>
        <v>1w</v>
      </c>
      <c r="Y945" s="164">
        <f>_xll.qlCalendarAdvance(Calendar,Y944,X945,"f",FALSE)</f>
        <v>45695</v>
      </c>
      <c r="Z945" s="188">
        <f>_xll.qlCalendarAdvance(Calendar,Y945,NDays&amp;"D")</f>
        <v>45699</v>
      </c>
      <c r="AA945" s="163">
        <v>1.0377995144331239E-2</v>
      </c>
      <c r="AB945" s="172">
        <v>1.0223656172048123E-2</v>
      </c>
    </row>
    <row r="946" spans="24:28" x14ac:dyDescent="0.2">
      <c r="X946" s="176" t="str">
        <f t="shared" si="48"/>
        <v>1w</v>
      </c>
      <c r="Y946" s="164">
        <f>_xll.qlCalendarAdvance(Calendar,Y945,X946,"f",FALSE)</f>
        <v>45702</v>
      </c>
      <c r="Z946" s="188">
        <f>_xll.qlCalendarAdvance(Calendar,Y946,NDays&amp;"D")</f>
        <v>45706</v>
      </c>
      <c r="AA946" s="163">
        <v>1.0387667075214393E-2</v>
      </c>
      <c r="AB946" s="172">
        <v>1.0233704977196112E-2</v>
      </c>
    </row>
    <row r="947" spans="24:28" x14ac:dyDescent="0.2">
      <c r="X947" s="176" t="str">
        <f t="shared" si="48"/>
        <v>1w</v>
      </c>
      <c r="Y947" s="164">
        <f>_xll.qlCalendarAdvance(Calendar,Y946,X947,"f",FALSE)</f>
        <v>45709</v>
      </c>
      <c r="Z947" s="188">
        <f>_xll.qlCalendarAdvance(Calendar,Y947,NDays&amp;"D")</f>
        <v>45713</v>
      </c>
      <c r="AA947" s="163">
        <v>1.0397283277204223E-2</v>
      </c>
      <c r="AB947" s="172">
        <v>1.0243798877231924E-2</v>
      </c>
    </row>
    <row r="948" spans="24:28" x14ac:dyDescent="0.2">
      <c r="X948" s="176" t="str">
        <f t="shared" si="48"/>
        <v>1w</v>
      </c>
      <c r="Y948" s="164">
        <f>_xll.qlCalendarAdvance(Calendar,Y947,X948,"f",FALSE)</f>
        <v>45716</v>
      </c>
      <c r="Z948" s="188">
        <f>_xll.qlCalendarAdvance(Calendar,Y948,NDays&amp;"D")</f>
        <v>45720</v>
      </c>
      <c r="AA948" s="163">
        <v>1.0409258783898192E-2</v>
      </c>
      <c r="AB948" s="172">
        <v>1.0253937872155561E-2</v>
      </c>
    </row>
    <row r="949" spans="24:28" x14ac:dyDescent="0.2">
      <c r="X949" s="176" t="str">
        <f t="shared" si="48"/>
        <v>1w</v>
      </c>
      <c r="Y949" s="164">
        <f>_xll.qlCalendarAdvance(Calendar,Y948,X949,"f",FALSE)</f>
        <v>45723</v>
      </c>
      <c r="Z949" s="188">
        <f>_xll.qlCalendarAdvance(Calendar,Y949,NDays&amp;"D")</f>
        <v>45727</v>
      </c>
      <c r="AA949" s="163">
        <v>1.0418733169564201E-2</v>
      </c>
      <c r="AB949" s="172">
        <v>1.0264121961807149E-2</v>
      </c>
    </row>
    <row r="950" spans="24:28" x14ac:dyDescent="0.2">
      <c r="X950" s="176" t="str">
        <f t="shared" si="48"/>
        <v>1w</v>
      </c>
      <c r="Y950" s="164">
        <f>_xll.qlCalendarAdvance(Calendar,Y949,X950,"f",FALSE)</f>
        <v>45730</v>
      </c>
      <c r="Z950" s="188">
        <f>_xll.qlCalendarAdvance(Calendar,Y950,NDays&amp;"D")</f>
        <v>45734</v>
      </c>
      <c r="AA950" s="163">
        <v>1.0428137228704303E-2</v>
      </c>
      <c r="AB950" s="172">
        <v>1.0274351146426497E-2</v>
      </c>
    </row>
    <row r="951" spans="24:28" x14ac:dyDescent="0.2">
      <c r="X951" s="176" t="str">
        <f t="shared" si="48"/>
        <v>1w</v>
      </c>
      <c r="Y951" s="164">
        <f>_xll.qlCalendarAdvance(Calendar,Y950,X951,"f",FALSE)</f>
        <v>45737</v>
      </c>
      <c r="Z951" s="188">
        <f>_xll.qlCalendarAdvance(Calendar,Y951,NDays&amp;"D")</f>
        <v>45741</v>
      </c>
      <c r="AA951" s="163">
        <v>1.0437466226093241E-2</v>
      </c>
      <c r="AB951" s="172">
        <v>1.0284622477332306E-2</v>
      </c>
    </row>
    <row r="952" spans="24:28" x14ac:dyDescent="0.2">
      <c r="X952" s="176" t="str">
        <f t="shared" si="48"/>
        <v>1w</v>
      </c>
      <c r="Y952" s="164">
        <f>_xll.qlCalendarAdvance(Calendar,Y951,X952,"f",FALSE)</f>
        <v>45744</v>
      </c>
      <c r="Z952" s="188">
        <f>_xll.qlCalendarAdvance(Calendar,Y952,NDays&amp;"D")</f>
        <v>45748</v>
      </c>
      <c r="AA952" s="163">
        <v>1.0445931899716248E-2</v>
      </c>
      <c r="AB952" s="172">
        <v>1.0294853390648839E-2</v>
      </c>
    </row>
    <row r="953" spans="24:28" x14ac:dyDescent="0.2">
      <c r="X953" s="176" t="str">
        <f t="shared" si="48"/>
        <v>1w</v>
      </c>
      <c r="Y953" s="164">
        <f>_xll.qlCalendarAdvance(Calendar,Y952,X953,"f",FALSE)</f>
        <v>45751</v>
      </c>
      <c r="Z953" s="188">
        <f>_xll.qlCalendarAdvance(Calendar,Y953,NDays&amp;"D")</f>
        <v>45755</v>
      </c>
      <c r="AA953" s="163">
        <v>1.0455108529425917E-2</v>
      </c>
      <c r="AB953" s="172">
        <v>1.0305005553039592E-2</v>
      </c>
    </row>
    <row r="954" spans="24:28" x14ac:dyDescent="0.2">
      <c r="X954" s="176" t="str">
        <f t="shared" si="48"/>
        <v>1w</v>
      </c>
      <c r="Y954" s="164">
        <f>_xll.qlCalendarAdvance(Calendar,Y953,X954,"f",FALSE)</f>
        <v>45758</v>
      </c>
      <c r="Z954" s="188">
        <f>_xll.qlCalendarAdvance(Calendar,Y954,NDays&amp;"D")</f>
        <v>45762</v>
      </c>
      <c r="AA954" s="163">
        <v>1.0464206034043536E-2</v>
      </c>
      <c r="AB954" s="172">
        <v>1.0315078964824309E-2</v>
      </c>
    </row>
    <row r="955" spans="24:28" x14ac:dyDescent="0.2">
      <c r="X955" s="176" t="str">
        <f t="shared" si="48"/>
        <v>1w</v>
      </c>
      <c r="Y955" s="164">
        <f>_xll.qlCalendarAdvance(Calendar,Y954,X955,"f",FALSE)</f>
        <v>45769</v>
      </c>
      <c r="Z955" s="188">
        <f>_xll.qlCalendarAdvance(Calendar,Y955,NDays&amp;"D")</f>
        <v>45771</v>
      </c>
      <c r="AA955" s="163">
        <v>1.0475786558495485E-2</v>
      </c>
      <c r="AB955" s="172">
        <v>1.0327914778915925E-2</v>
      </c>
    </row>
    <row r="956" spans="24:28" x14ac:dyDescent="0.2">
      <c r="X956" s="176" t="str">
        <f t="shared" si="48"/>
        <v>1w</v>
      </c>
      <c r="Y956" s="164">
        <f>_xll.qlCalendarAdvance(Calendar,Y955,X956,"f",FALSE)</f>
        <v>45776</v>
      </c>
      <c r="Z956" s="188">
        <f>_xll.qlCalendarAdvance(Calendar,Y956,NDays&amp;"D")</f>
        <v>45779</v>
      </c>
      <c r="AA956" s="163">
        <v>1.0487491700020085E-2</v>
      </c>
      <c r="AB956" s="172">
        <v>1.0340916903492925E-2</v>
      </c>
    </row>
    <row r="957" spans="24:28" x14ac:dyDescent="0.2">
      <c r="X957" s="176" t="str">
        <f t="shared" si="48"/>
        <v>1w</v>
      </c>
      <c r="Y957" s="164">
        <f>_xll.qlCalendarAdvance(Calendar,Y956,X957,"f",FALSE)</f>
        <v>45783</v>
      </c>
      <c r="Z957" s="188">
        <f>_xll.qlCalendarAdvance(Calendar,Y957,NDays&amp;"D")</f>
        <v>45785</v>
      </c>
      <c r="AA957" s="163">
        <v>1.0495807818071976E-2</v>
      </c>
      <c r="AB957" s="172">
        <v>1.0347622848012605E-2</v>
      </c>
    </row>
    <row r="958" spans="24:28" x14ac:dyDescent="0.2">
      <c r="X958" s="176" t="str">
        <f t="shared" si="48"/>
        <v>1w</v>
      </c>
      <c r="Y958" s="164">
        <f>_xll.qlCalendarAdvance(Calendar,Y957,X958,"f",FALSE)</f>
        <v>45790</v>
      </c>
      <c r="Z958" s="188">
        <f>_xll.qlCalendarAdvance(Calendar,Y958,NDays&amp;"D")</f>
        <v>45792</v>
      </c>
      <c r="AA958" s="163">
        <v>1.0504550008915469E-2</v>
      </c>
      <c r="AB958" s="172">
        <v>1.0357358756492019E-2</v>
      </c>
    </row>
    <row r="959" spans="24:28" x14ac:dyDescent="0.2">
      <c r="X959" s="176" t="str">
        <f t="shared" si="48"/>
        <v>1w</v>
      </c>
      <c r="Y959" s="164">
        <f>_xll.qlCalendarAdvance(Calendar,Y958,X959,"f",FALSE)</f>
        <v>45797</v>
      </c>
      <c r="Z959" s="188">
        <f>_xll.qlCalendarAdvance(Calendar,Y959,NDays&amp;"D")</f>
        <v>45799</v>
      </c>
      <c r="AA959" s="163">
        <v>1.0513213062498347E-2</v>
      </c>
      <c r="AB959" s="172">
        <v>1.0367015914125588E-2</v>
      </c>
    </row>
    <row r="960" spans="24:28" x14ac:dyDescent="0.2">
      <c r="X960" s="176" t="str">
        <f t="shared" si="48"/>
        <v>1w</v>
      </c>
      <c r="Y960" s="164">
        <f>_xll.qlCalendarAdvance(Calendar,Y959,X960,"f",FALSE)</f>
        <v>45804</v>
      </c>
      <c r="Z960" s="188">
        <f>_xll.qlCalendarAdvance(Calendar,Y960,NDays&amp;"D")</f>
        <v>45806</v>
      </c>
      <c r="AA960" s="163">
        <v>1.051957847734819E-2</v>
      </c>
      <c r="AB960" s="172">
        <v>1.0376594320993249E-2</v>
      </c>
    </row>
    <row r="961" spans="24:28" x14ac:dyDescent="0.2">
      <c r="X961" s="176" t="str">
        <f t="shared" si="48"/>
        <v>1w</v>
      </c>
      <c r="Y961" s="164">
        <f>_xll.qlCalendarAdvance(Calendar,Y960,X961,"f",FALSE)</f>
        <v>45811</v>
      </c>
      <c r="Z961" s="188">
        <f>_xll.qlCalendarAdvance(Calendar,Y961,NDays&amp;"D")</f>
        <v>45813</v>
      </c>
      <c r="AA961" s="163">
        <v>1.0528099466776122E-2</v>
      </c>
      <c r="AB961" s="172">
        <v>1.0386093977095001E-2</v>
      </c>
    </row>
    <row r="962" spans="24:28" x14ac:dyDescent="0.2">
      <c r="X962" s="176" t="str">
        <f t="shared" si="48"/>
        <v>1w</v>
      </c>
      <c r="Y962" s="164">
        <f>_xll.qlCalendarAdvance(Calendar,Y961,X962,"f",FALSE)</f>
        <v>45818</v>
      </c>
      <c r="Z962" s="188">
        <f>_xll.qlCalendarAdvance(Calendar,Y962,NDays&amp;"D")</f>
        <v>45820</v>
      </c>
      <c r="AA962" s="163">
        <v>1.0536541322347428E-2</v>
      </c>
      <c r="AB962" s="172">
        <v>1.0395514882350909E-2</v>
      </c>
    </row>
    <row r="963" spans="24:28" x14ac:dyDescent="0.2">
      <c r="X963" s="176" t="str">
        <f t="shared" si="48"/>
        <v>1w</v>
      </c>
      <c r="Y963" s="164">
        <f>_xll.qlCalendarAdvance(Calendar,Y962,X963,"f",FALSE)</f>
        <v>45825</v>
      </c>
      <c r="Z963" s="188">
        <f>_xll.qlCalendarAdvance(Calendar,Y963,NDays&amp;"D")</f>
        <v>45827</v>
      </c>
      <c r="AA963" s="163">
        <v>1.0544904043047837E-2</v>
      </c>
      <c r="AB963" s="172">
        <v>1.0404857036760973E-2</v>
      </c>
    </row>
    <row r="964" spans="24:28" x14ac:dyDescent="0.2">
      <c r="X964" s="176" t="str">
        <f t="shared" si="48"/>
        <v>1w</v>
      </c>
      <c r="Y964" s="164">
        <f>_xll.qlCalendarAdvance(Calendar,Y963,X964,"f",FALSE)</f>
        <v>45832</v>
      </c>
      <c r="Z964" s="188">
        <f>_xll.qlCalendarAdvance(Calendar,Y964,NDays&amp;"D")</f>
        <v>45834</v>
      </c>
      <c r="AA964" s="163">
        <v>1.0555341234831764E-2</v>
      </c>
      <c r="AB964" s="172">
        <v>1.0414120440405128E-2</v>
      </c>
    </row>
    <row r="965" spans="24:28" x14ac:dyDescent="0.2">
      <c r="X965" s="176" t="str">
        <f t="shared" si="48"/>
        <v>1w</v>
      </c>
      <c r="Y965" s="164">
        <f>_xll.qlCalendarAdvance(Calendar,Y964,X965,"f",FALSE)</f>
        <v>45839</v>
      </c>
      <c r="Z965" s="188">
        <f>_xll.qlCalendarAdvance(Calendar,Y965,NDays&amp;"D")</f>
        <v>45841</v>
      </c>
      <c r="AA965" s="163">
        <v>1.0563529442985E-2</v>
      </c>
      <c r="AB965" s="172">
        <v>1.0423305093203439E-2</v>
      </c>
    </row>
    <row r="966" spans="24:28" x14ac:dyDescent="0.2">
      <c r="X966" s="176" t="str">
        <f t="shared" si="48"/>
        <v>1w</v>
      </c>
      <c r="Y966" s="164">
        <f>_xll.qlCalendarAdvance(Calendar,Y965,X966,"f",FALSE)</f>
        <v>45846</v>
      </c>
      <c r="Z966" s="188">
        <f>_xll.qlCalendarAdvance(Calendar,Y966,NDays&amp;"D")</f>
        <v>45848</v>
      </c>
      <c r="AA966" s="163">
        <v>1.0571638506678648E-2</v>
      </c>
      <c r="AB966" s="172">
        <v>1.0432410995235841E-2</v>
      </c>
    </row>
    <row r="967" spans="24:28" x14ac:dyDescent="0.2">
      <c r="X967" s="176" t="str">
        <f t="shared" si="48"/>
        <v>1w</v>
      </c>
      <c r="Y967" s="164">
        <f>_xll.qlCalendarAdvance(Calendar,Y966,X967,"f",FALSE)</f>
        <v>45853</v>
      </c>
      <c r="Z967" s="188">
        <f>_xll.qlCalendarAdvance(Calendar,Y967,NDays&amp;"D")</f>
        <v>45855</v>
      </c>
      <c r="AA967" s="163">
        <v>1.057966842492382E-2</v>
      </c>
      <c r="AB967" s="172">
        <v>1.0441438146422399E-2</v>
      </c>
    </row>
    <row r="968" spans="24:28" x14ac:dyDescent="0.2">
      <c r="X968" s="176" t="str">
        <f t="shared" si="48"/>
        <v>1w</v>
      </c>
      <c r="Y968" s="164">
        <f>_xll.qlCalendarAdvance(Calendar,Y967,X968,"f",FALSE)</f>
        <v>45860</v>
      </c>
      <c r="Z968" s="188">
        <f>_xll.qlCalendarAdvance(Calendar,Y968,NDays&amp;"D")</f>
        <v>45862</v>
      </c>
      <c r="AA968" s="163">
        <v>1.0587619196740226E-2</v>
      </c>
      <c r="AB968" s="172">
        <v>1.0450386546603241E-2</v>
      </c>
    </row>
    <row r="969" spans="24:28" x14ac:dyDescent="0.2">
      <c r="X969" s="176" t="str">
        <f t="shared" si="48"/>
        <v>1w</v>
      </c>
      <c r="Y969" s="164">
        <f>_xll.qlCalendarAdvance(Calendar,Y968,X969,"f",FALSE)</f>
        <v>45867</v>
      </c>
      <c r="Z969" s="188">
        <f>_xll.qlCalendarAdvance(Calendar,Y969,NDays&amp;"D")</f>
        <v>45869</v>
      </c>
      <c r="AA969" s="163">
        <v>1.0593418479401531E-2</v>
      </c>
      <c r="AB969" s="172">
        <v>1.045925619609811E-2</v>
      </c>
    </row>
    <row r="970" spans="24:28" x14ac:dyDescent="0.2">
      <c r="X970" s="176" t="str">
        <f t="shared" si="48"/>
        <v>1w</v>
      </c>
      <c r="Y970" s="164">
        <f>_xll.qlCalendarAdvance(Calendar,Y969,X970,"f",FALSE)</f>
        <v>45874</v>
      </c>
      <c r="Z970" s="188">
        <f>_xll.qlCalendarAdvance(Calendar,Y970,NDays&amp;"D")</f>
        <v>45876</v>
      </c>
      <c r="AA970" s="163">
        <v>1.0603283297215861E-2</v>
      </c>
      <c r="AB970" s="172">
        <v>1.0468047094667199E-2</v>
      </c>
    </row>
    <row r="971" spans="24:28" x14ac:dyDescent="0.2">
      <c r="X971" s="176" t="str">
        <f t="shared" si="48"/>
        <v>1w</v>
      </c>
      <c r="Y971" s="164">
        <f>_xll.qlCalendarAdvance(Calendar,Y970,X971,"f",FALSE)</f>
        <v>45881</v>
      </c>
      <c r="Z971" s="188">
        <f>_xll.qlCalendarAdvance(Calendar,Y971,NDays&amp;"D")</f>
        <v>45883</v>
      </c>
      <c r="AA971" s="163">
        <v>1.061099662396307E-2</v>
      </c>
      <c r="AB971" s="172">
        <v>1.0476759242390443E-2</v>
      </c>
    </row>
    <row r="972" spans="24:28" x14ac:dyDescent="0.2">
      <c r="X972" s="176" t="str">
        <f t="shared" si="48"/>
        <v>1w</v>
      </c>
      <c r="Y972" s="164">
        <f>_xll.qlCalendarAdvance(Calendar,Y971,X972,"f",FALSE)</f>
        <v>45888</v>
      </c>
      <c r="Z972" s="188">
        <f>_xll.qlCalendarAdvance(Calendar,Y972,NDays&amp;"D")</f>
        <v>45890</v>
      </c>
      <c r="AA972" s="163">
        <v>1.0618630800458764E-2</v>
      </c>
      <c r="AB972" s="172">
        <v>1.0485392639267843E-2</v>
      </c>
    </row>
    <row r="973" spans="24:28" x14ac:dyDescent="0.2">
      <c r="X973" s="176" t="str">
        <f t="shared" si="48"/>
        <v>1w</v>
      </c>
      <c r="Y973" s="164">
        <f>_xll.qlCalendarAdvance(Calendar,Y972,X973,"f",FALSE)</f>
        <v>45895</v>
      </c>
      <c r="Z973" s="188">
        <f>_xll.qlCalendarAdvance(Calendar,Y973,NDays&amp;"D")</f>
        <v>45897</v>
      </c>
      <c r="AA973" s="163">
        <v>1.0624178615960081E-2</v>
      </c>
      <c r="AB973" s="172">
        <v>1.0493947285299399E-2</v>
      </c>
    </row>
    <row r="974" spans="24:28" x14ac:dyDescent="0.2">
      <c r="X974" s="176" t="str">
        <f t="shared" si="48"/>
        <v>1w</v>
      </c>
      <c r="Y974" s="164">
        <f>_xll.qlCalendarAdvance(Calendar,Y973,X974,"f",FALSE)</f>
        <v>45902</v>
      </c>
      <c r="Z974" s="188">
        <f>_xll.qlCalendarAdvance(Calendar,Y974,NDays&amp;"D")</f>
        <v>45904</v>
      </c>
      <c r="AA974" s="163">
        <v>1.0630340988008542E-2</v>
      </c>
      <c r="AB974" s="172">
        <v>1.0502423180405174E-2</v>
      </c>
    </row>
    <row r="975" spans="24:28" x14ac:dyDescent="0.2">
      <c r="X975" s="176" t="str">
        <f t="shared" si="48"/>
        <v>1w</v>
      </c>
      <c r="Y975" s="164">
        <f>_xll.qlCalendarAdvance(Calendar,Y974,X975,"f",FALSE)</f>
        <v>45909</v>
      </c>
      <c r="Z975" s="188">
        <f>_xll.qlCalendarAdvance(Calendar,Y975,NDays&amp;"D")</f>
        <v>45911</v>
      </c>
      <c r="AA975" s="163">
        <v>1.0637764884073508E-2</v>
      </c>
      <c r="AB975" s="172">
        <v>1.0510820324585168E-2</v>
      </c>
    </row>
    <row r="976" spans="24:28" x14ac:dyDescent="0.2">
      <c r="X976" s="176" t="str">
        <f t="shared" si="48"/>
        <v>1w</v>
      </c>
      <c r="Y976" s="164">
        <f>_xll.qlCalendarAdvance(Calendar,Y975,X976,"f",FALSE)</f>
        <v>45916</v>
      </c>
      <c r="Z976" s="188">
        <f>_xll.qlCalendarAdvance(Calendar,Y976,NDays&amp;"D")</f>
        <v>45918</v>
      </c>
      <c r="AA976" s="163">
        <v>1.0645109637442543E-2</v>
      </c>
      <c r="AB976" s="172">
        <v>1.0519138717919319E-2</v>
      </c>
    </row>
    <row r="977" spans="24:28" x14ac:dyDescent="0.2">
      <c r="X977" s="176" t="str">
        <f t="shared" si="48"/>
        <v>1w</v>
      </c>
      <c r="Y977" s="164">
        <f>_xll.qlCalendarAdvance(Calendar,Y976,X977,"f",FALSE)</f>
        <v>45923</v>
      </c>
      <c r="Z977" s="188">
        <f>_xll.qlCalendarAdvance(Calendar,Y977,NDays&amp;"D")</f>
        <v>45925</v>
      </c>
      <c r="AA977" s="163">
        <v>1.0652375247244739E-2</v>
      </c>
      <c r="AB977" s="172">
        <v>1.0527378360327688E-2</v>
      </c>
    </row>
    <row r="978" spans="24:28" x14ac:dyDescent="0.2">
      <c r="X978" s="176" t="str">
        <f t="shared" si="48"/>
        <v>1w</v>
      </c>
      <c r="Y978" s="164">
        <f>_xll.qlCalendarAdvance(Calendar,Y977,X978,"f",FALSE)</f>
        <v>45930</v>
      </c>
      <c r="Z978" s="188">
        <f>_xll.qlCalendarAdvance(Calendar,Y978,NDays&amp;"D")</f>
        <v>45932</v>
      </c>
      <c r="AA978" s="163">
        <v>1.0660205114089759E-2</v>
      </c>
      <c r="AB978" s="172">
        <v>1.053553925197015E-2</v>
      </c>
    </row>
    <row r="979" spans="24:28" x14ac:dyDescent="0.2">
      <c r="X979" s="176" t="str">
        <f t="shared" si="48"/>
        <v>1w</v>
      </c>
      <c r="Y979" s="164">
        <f>_xll.qlCalendarAdvance(Calendar,Y978,X979,"f",FALSE)</f>
        <v>45937</v>
      </c>
      <c r="Z979" s="188">
        <f>_xll.qlCalendarAdvance(Calendar,Y979,NDays&amp;"D")</f>
        <v>45939</v>
      </c>
      <c r="AA979" s="163">
        <v>1.0667306990623208E-2</v>
      </c>
      <c r="AB979" s="172">
        <v>1.0543621392526958E-2</v>
      </c>
    </row>
    <row r="980" spans="24:28" x14ac:dyDescent="0.2">
      <c r="X980" s="176" t="str">
        <f t="shared" si="48"/>
        <v>1w</v>
      </c>
      <c r="Y980" s="164">
        <f>_xll.qlCalendarAdvance(Calendar,Y979,X980,"f",FALSE)</f>
        <v>45944</v>
      </c>
      <c r="Z980" s="188">
        <f>_xll.qlCalendarAdvance(Calendar,Y980,NDays&amp;"D")</f>
        <v>45946</v>
      </c>
      <c r="AA980" s="163">
        <v>1.0674329718769032E-2</v>
      </c>
      <c r="AB980" s="172">
        <v>1.0551624782317859E-2</v>
      </c>
    </row>
    <row r="981" spans="24:28" x14ac:dyDescent="0.2">
      <c r="X981" s="176" t="str">
        <f t="shared" ref="X981:X1044" si="49">X980</f>
        <v>1w</v>
      </c>
      <c r="Y981" s="164">
        <f>_xll.qlCalendarAdvance(Calendar,Y980,X981,"f",FALSE)</f>
        <v>45951</v>
      </c>
      <c r="Z981" s="188">
        <f>_xll.qlCalendarAdvance(Calendar,Y981,NDays&amp;"D")</f>
        <v>45953</v>
      </c>
      <c r="AA981" s="163">
        <v>1.0681273297687465E-2</v>
      </c>
      <c r="AB981" s="172">
        <v>1.0559549421103043E-2</v>
      </c>
    </row>
    <row r="982" spans="24:28" x14ac:dyDescent="0.2">
      <c r="X982" s="176" t="str">
        <f t="shared" si="49"/>
        <v>1w</v>
      </c>
      <c r="Y982" s="164">
        <f>_xll.qlCalendarAdvance(Calendar,Y981,X982,"f",FALSE)</f>
        <v>45958</v>
      </c>
      <c r="Z982" s="188">
        <f>_xll.qlCalendarAdvance(Calendar,Y982,NDays&amp;"D")</f>
        <v>45960</v>
      </c>
      <c r="AA982" s="163">
        <v>1.0688137726550157E-2</v>
      </c>
      <c r="AB982" s="172">
        <v>1.0567395309042382E-2</v>
      </c>
    </row>
    <row r="983" spans="24:28" x14ac:dyDescent="0.2">
      <c r="X983" s="176" t="str">
        <f t="shared" si="49"/>
        <v>1w</v>
      </c>
      <c r="Y983" s="164">
        <f>_xll.qlCalendarAdvance(Calendar,Y982,X983,"f",FALSE)</f>
        <v>45965</v>
      </c>
      <c r="Z983" s="188">
        <f>_xll.qlCalendarAdvance(Calendar,Y983,NDays&amp;"D")</f>
        <v>45967</v>
      </c>
      <c r="AA983" s="163">
        <v>1.0694306843470025E-2</v>
      </c>
      <c r="AB983" s="172">
        <v>1.0575162445976005E-2</v>
      </c>
    </row>
    <row r="984" spans="24:28" x14ac:dyDescent="0.2">
      <c r="X984" s="176" t="str">
        <f t="shared" si="49"/>
        <v>1w</v>
      </c>
      <c r="Y984" s="164">
        <f>_xll.qlCalendarAdvance(Calendar,Y983,X984,"f",FALSE)</f>
        <v>45972</v>
      </c>
      <c r="Z984" s="188">
        <f>_xll.qlCalendarAdvance(Calendar,Y984,NDays&amp;"D")</f>
        <v>45974</v>
      </c>
      <c r="AA984" s="163">
        <v>1.0701018424663153E-2</v>
      </c>
      <c r="AB984" s="172">
        <v>1.0582850831983848E-2</v>
      </c>
    </row>
    <row r="985" spans="24:28" x14ac:dyDescent="0.2">
      <c r="X985" s="176" t="str">
        <f t="shared" si="49"/>
        <v>1w</v>
      </c>
      <c r="Y985" s="164">
        <f>_xll.qlCalendarAdvance(Calendar,Y984,X985,"f",FALSE)</f>
        <v>45979</v>
      </c>
      <c r="Z985" s="188">
        <f>_xll.qlCalendarAdvance(Calendar,Y985,NDays&amp;"D")</f>
        <v>45981</v>
      </c>
      <c r="AA985" s="163">
        <v>1.0707650855648568E-2</v>
      </c>
      <c r="AB985" s="172">
        <v>1.059046046706591E-2</v>
      </c>
    </row>
    <row r="986" spans="24:28" x14ac:dyDescent="0.2">
      <c r="X986" s="176" t="str">
        <f t="shared" si="49"/>
        <v>1w</v>
      </c>
      <c r="Y986" s="164">
        <f>_xll.qlCalendarAdvance(Calendar,Y985,X986,"f",FALSE)</f>
        <v>45986</v>
      </c>
      <c r="Z986" s="188">
        <f>_xll.qlCalendarAdvance(Calendar,Y986,NDays&amp;"D")</f>
        <v>45988</v>
      </c>
      <c r="AA986" s="163">
        <v>1.0714204135638833E-2</v>
      </c>
      <c r="AB986" s="172">
        <v>1.0597991351302127E-2</v>
      </c>
    </row>
    <row r="987" spans="24:28" x14ac:dyDescent="0.2">
      <c r="X987" s="176" t="str">
        <f t="shared" si="49"/>
        <v>1w</v>
      </c>
      <c r="Y987" s="164">
        <f>_xll.qlCalendarAdvance(Calendar,Y986,X987,"f",FALSE)</f>
        <v>45993</v>
      </c>
      <c r="Z987" s="188">
        <f>_xll.qlCalendarAdvance(Calendar,Y987,NDays&amp;"D")</f>
        <v>45995</v>
      </c>
      <c r="AA987" s="163">
        <v>1.0721272591658119E-2</v>
      </c>
      <c r="AB987" s="172">
        <v>1.0605443484532628E-2</v>
      </c>
    </row>
    <row r="988" spans="24:28" x14ac:dyDescent="0.2">
      <c r="X988" s="176" t="str">
        <f t="shared" si="49"/>
        <v>1w</v>
      </c>
      <c r="Y988" s="164">
        <f>_xll.qlCalendarAdvance(Calendar,Y987,X988,"f",FALSE)</f>
        <v>46000</v>
      </c>
      <c r="Z988" s="188">
        <f>_xll.qlCalendarAdvance(Calendar,Y988,NDays&amp;"D")</f>
        <v>46002</v>
      </c>
      <c r="AA988" s="163">
        <v>1.0727662103299217E-2</v>
      </c>
      <c r="AB988" s="172">
        <v>1.0612816866757413E-2</v>
      </c>
    </row>
    <row r="989" spans="24:28" x14ac:dyDescent="0.2">
      <c r="X989" s="176" t="str">
        <f t="shared" si="49"/>
        <v>1w</v>
      </c>
      <c r="Y989" s="164">
        <f>_xll.qlCalendarAdvance(Calendar,Y988,X989,"f",FALSE)</f>
        <v>46007</v>
      </c>
      <c r="Z989" s="188">
        <f>_xll.qlCalendarAdvance(Calendar,Y989,NDays&amp;"D")</f>
        <v>46009</v>
      </c>
      <c r="AA989" s="163">
        <v>1.0733972459343953E-2</v>
      </c>
      <c r="AB989" s="172">
        <v>1.0620111498056417E-2</v>
      </c>
    </row>
    <row r="990" spans="24:28" x14ac:dyDescent="0.2">
      <c r="X990" s="176" t="str">
        <f t="shared" si="49"/>
        <v>1w</v>
      </c>
      <c r="Y990" s="164">
        <f>_xll.qlCalendarAdvance(Calendar,Y989,X990,"f",FALSE)</f>
        <v>46014</v>
      </c>
      <c r="Z990" s="188">
        <f>_xll.qlCalendarAdvance(Calendar,Y990,NDays&amp;"D")</f>
        <v>46020</v>
      </c>
      <c r="AA990" s="163">
        <v>1.0743728804706761E-2</v>
      </c>
      <c r="AB990" s="172">
        <v>1.0631415381086029E-2</v>
      </c>
    </row>
    <row r="991" spans="24:28" x14ac:dyDescent="0.2">
      <c r="X991" s="176" t="str">
        <f t="shared" si="49"/>
        <v>1w</v>
      </c>
      <c r="Y991" s="164">
        <f>_xll.qlCalendarAdvance(Calendar,Y990,X991,"f",FALSE)</f>
        <v>46021</v>
      </c>
      <c r="Z991" s="188">
        <f>_xll.qlCalendarAdvance(Calendar,Y991,NDays&amp;"D")</f>
        <v>46024</v>
      </c>
      <c r="AA991" s="163">
        <v>1.0746656426874543E-2</v>
      </c>
      <c r="AB991" s="172">
        <v>1.0636802954140379E-2</v>
      </c>
    </row>
    <row r="992" spans="24:28" x14ac:dyDescent="0.2">
      <c r="X992" s="176" t="str">
        <f t="shared" si="49"/>
        <v>1w</v>
      </c>
      <c r="Y992" s="164">
        <f>_xll.qlCalendarAdvance(Calendar,Y991,X992,"f",FALSE)</f>
        <v>46028</v>
      </c>
      <c r="Z992" s="188">
        <f>_xll.qlCalendarAdvance(Calendar,Y992,NDays&amp;"D")</f>
        <v>46030</v>
      </c>
      <c r="AA992" s="163">
        <v>1.0751861601744676E-2</v>
      </c>
      <c r="AB992" s="172">
        <v>1.0641522886158938E-2</v>
      </c>
    </row>
    <row r="993" spans="24:28" x14ac:dyDescent="0.2">
      <c r="X993" s="176" t="str">
        <f t="shared" si="49"/>
        <v>1w</v>
      </c>
      <c r="Y993" s="164">
        <f>_xll.qlCalendarAdvance(Calendar,Y992,X993,"f",FALSE)</f>
        <v>46035</v>
      </c>
      <c r="Z993" s="188">
        <f>_xll.qlCalendarAdvance(Calendar,Y993,NDays&amp;"D")</f>
        <v>46037</v>
      </c>
      <c r="AA993" s="163">
        <v>1.0757860803499714E-2</v>
      </c>
      <c r="AB993" s="172">
        <v>1.0648502513674885E-2</v>
      </c>
    </row>
    <row r="994" spans="24:28" x14ac:dyDescent="0.2">
      <c r="X994" s="176" t="str">
        <f t="shared" si="49"/>
        <v>1w</v>
      </c>
      <c r="Y994" s="164">
        <f>_xll.qlCalendarAdvance(Calendar,Y993,X994,"f",FALSE)</f>
        <v>46042</v>
      </c>
      <c r="Z994" s="188">
        <f>_xll.qlCalendarAdvance(Calendar,Y994,NDays&amp;"D")</f>
        <v>46044</v>
      </c>
      <c r="AA994" s="163">
        <v>1.0763780848295752E-2</v>
      </c>
      <c r="AB994" s="172">
        <v>1.0655403390105178E-2</v>
      </c>
    </row>
    <row r="995" spans="24:28" x14ac:dyDescent="0.2">
      <c r="X995" s="176" t="str">
        <f t="shared" si="49"/>
        <v>1w</v>
      </c>
      <c r="Y995" s="164">
        <f>_xll.qlCalendarAdvance(Calendar,Y994,X995,"f",FALSE)</f>
        <v>46049</v>
      </c>
      <c r="Z995" s="188">
        <f>_xll.qlCalendarAdvance(Calendar,Y995,NDays&amp;"D")</f>
        <v>46051</v>
      </c>
      <c r="AA995" s="163">
        <v>1.0769621735429709E-2</v>
      </c>
      <c r="AB995" s="172">
        <v>1.0662225515609691E-2</v>
      </c>
    </row>
    <row r="996" spans="24:28" x14ac:dyDescent="0.2">
      <c r="X996" s="176" t="str">
        <f t="shared" si="49"/>
        <v>1w</v>
      </c>
      <c r="Y996" s="164">
        <f>_xll.qlCalendarAdvance(Calendar,Y995,X996,"f",FALSE)</f>
        <v>46056</v>
      </c>
      <c r="Z996" s="188">
        <f>_xll.qlCalendarAdvance(Calendar,Y996,NDays&amp;"D")</f>
        <v>46058</v>
      </c>
      <c r="AA996" s="163">
        <v>1.0775383464207774E-2</v>
      </c>
      <c r="AB996" s="172">
        <v>1.0668968890108488E-2</v>
      </c>
    </row>
    <row r="997" spans="24:28" x14ac:dyDescent="0.2">
      <c r="X997" s="176" t="str">
        <f t="shared" si="49"/>
        <v>1w</v>
      </c>
      <c r="Y997" s="164">
        <f>_xll.qlCalendarAdvance(Calendar,Y996,X997,"f",FALSE)</f>
        <v>46063</v>
      </c>
      <c r="Z997" s="188">
        <f>_xll.qlCalendarAdvance(Calendar,Y997,NDays&amp;"D")</f>
        <v>46065</v>
      </c>
      <c r="AA997" s="163">
        <v>1.0781066033945852E-2</v>
      </c>
      <c r="AB997" s="172">
        <v>1.0675633513601568E-2</v>
      </c>
    </row>
    <row r="998" spans="24:28" x14ac:dyDescent="0.2">
      <c r="X998" s="176" t="str">
        <f t="shared" si="49"/>
        <v>1w</v>
      </c>
      <c r="Y998" s="164">
        <f>_xll.qlCalendarAdvance(Calendar,Y997,X998,"f",FALSE)</f>
        <v>46070</v>
      </c>
      <c r="Z998" s="188">
        <f>_xll.qlCalendarAdvance(Calendar,Y998,NDays&amp;"D")</f>
        <v>46072</v>
      </c>
      <c r="AA998" s="163">
        <v>1.0786669443969126E-2</v>
      </c>
      <c r="AB998" s="172">
        <v>1.0682219386168867E-2</v>
      </c>
    </row>
    <row r="999" spans="24:28" x14ac:dyDescent="0.2">
      <c r="X999" s="176" t="str">
        <f t="shared" si="49"/>
        <v>1w</v>
      </c>
      <c r="Y999" s="164">
        <f>_xll.qlCalendarAdvance(Calendar,Y998,X999,"f",FALSE)</f>
        <v>46077</v>
      </c>
      <c r="Z999" s="188">
        <f>_xll.qlCalendarAdvance(Calendar,Y999,NDays&amp;"D")</f>
        <v>46079</v>
      </c>
      <c r="AA999" s="163">
        <v>1.0792193693611165E-2</v>
      </c>
      <c r="AB999" s="172">
        <v>1.0688726507570578E-2</v>
      </c>
    </row>
    <row r="1000" spans="24:28" x14ac:dyDescent="0.2">
      <c r="X1000" s="176" t="str">
        <f t="shared" si="49"/>
        <v>1w</v>
      </c>
      <c r="Y1000" s="164">
        <f>_xll.qlCalendarAdvance(Calendar,Y999,X1000,"f",FALSE)</f>
        <v>46084</v>
      </c>
      <c r="Z1000" s="188">
        <f>_xll.qlCalendarAdvance(Calendar,Y1000,NDays&amp;"D")</f>
        <v>46086</v>
      </c>
      <c r="AA1000" s="163">
        <v>1.0800249221937121E-2</v>
      </c>
      <c r="AB1000" s="172">
        <v>1.0695154878046509E-2</v>
      </c>
    </row>
    <row r="1001" spans="24:28" x14ac:dyDescent="0.2">
      <c r="X1001" s="176" t="str">
        <f t="shared" si="49"/>
        <v>1w</v>
      </c>
      <c r="Y1001" s="164">
        <f>_xll.qlCalendarAdvance(Calendar,Y1000,X1001,"f",FALSE)</f>
        <v>46091</v>
      </c>
      <c r="Z1001" s="188">
        <f>_xll.qlCalendarAdvance(Calendar,Y1001,NDays&amp;"D")</f>
        <v>46093</v>
      </c>
      <c r="AA1001" s="163">
        <v>1.0805587675042933E-2</v>
      </c>
      <c r="AB1001" s="172">
        <v>1.0701504497596659E-2</v>
      </c>
    </row>
    <row r="1002" spans="24:28" x14ac:dyDescent="0.2">
      <c r="X1002" s="176" t="str">
        <f t="shared" si="49"/>
        <v>1w</v>
      </c>
      <c r="Y1002" s="164">
        <f>_xll.qlCalendarAdvance(Calendar,Y1001,X1002,"f",FALSE)</f>
        <v>46098</v>
      </c>
      <c r="Z1002" s="188">
        <f>_xll.qlCalendarAdvance(Calendar,Y1002,NDays&amp;"D")</f>
        <v>46100</v>
      </c>
      <c r="AA1002" s="163">
        <v>1.0810846954147194E-2</v>
      </c>
      <c r="AB1002" s="172">
        <v>1.0707775366061156E-2</v>
      </c>
    </row>
    <row r="1003" spans="24:28" x14ac:dyDescent="0.2">
      <c r="X1003" s="176" t="str">
        <f t="shared" si="49"/>
        <v>1w</v>
      </c>
      <c r="Y1003" s="164">
        <f>_xll.qlCalendarAdvance(Calendar,Y1002,X1003,"f",FALSE)</f>
        <v>46105</v>
      </c>
      <c r="Z1003" s="188">
        <f>_xll.qlCalendarAdvance(Calendar,Y1003,NDays&amp;"D")</f>
        <v>46107</v>
      </c>
      <c r="AA1003" s="163">
        <v>1.0816027058607413E-2</v>
      </c>
      <c r="AB1003" s="172">
        <v>1.0713967483519937E-2</v>
      </c>
    </row>
    <row r="1004" spans="24:28" x14ac:dyDescent="0.2">
      <c r="X1004" s="176" t="str">
        <f t="shared" si="49"/>
        <v>1w</v>
      </c>
      <c r="Y1004" s="164">
        <f>_xll.qlCalendarAdvance(Calendar,Y1003,X1004,"f",FALSE)</f>
        <v>46112</v>
      </c>
      <c r="Z1004" s="188">
        <f>_xll.qlCalendarAdvance(Calendar,Y1004,NDays&amp;"D")</f>
        <v>46114</v>
      </c>
      <c r="AA1004" s="163">
        <v>1.0819629248508581E-2</v>
      </c>
      <c r="AB1004" s="172">
        <v>1.0722450124797334E-2</v>
      </c>
    </row>
    <row r="1005" spans="24:28" x14ac:dyDescent="0.2">
      <c r="X1005" s="176" t="str">
        <f t="shared" si="49"/>
        <v>1w</v>
      </c>
      <c r="Y1005" s="164">
        <f>_xll.qlCalendarAdvance(Calendar,Y1004,X1005,"f",FALSE)</f>
        <v>46119</v>
      </c>
      <c r="Z1005" s="188">
        <f>_xll.qlCalendarAdvance(Calendar,Y1005,NDays&amp;"D")</f>
        <v>46121</v>
      </c>
      <c r="AA1005" s="163">
        <v>1.0824667515153997E-2</v>
      </c>
      <c r="AB1005" s="172">
        <v>1.0726115465340413E-2</v>
      </c>
    </row>
    <row r="1006" spans="24:28" x14ac:dyDescent="0.2">
      <c r="X1006" s="176" t="str">
        <f t="shared" si="49"/>
        <v>1w</v>
      </c>
      <c r="Y1006" s="164">
        <f>_xll.qlCalendarAdvance(Calendar,Y1005,X1006,"f",FALSE)</f>
        <v>46126</v>
      </c>
      <c r="Z1006" s="188">
        <f>_xll.qlCalendarAdvance(Calendar,Y1006,NDays&amp;"D")</f>
        <v>46128</v>
      </c>
      <c r="AA1006" s="163">
        <v>1.0829626612331054E-2</v>
      </c>
      <c r="AB1006" s="172">
        <v>1.0732071329702109E-2</v>
      </c>
    </row>
    <row r="1007" spans="24:28" x14ac:dyDescent="0.2">
      <c r="X1007" s="176" t="str">
        <f t="shared" si="49"/>
        <v>1w</v>
      </c>
      <c r="Y1007" s="164">
        <f>_xll.qlCalendarAdvance(Calendar,Y1006,X1007,"f",FALSE)</f>
        <v>46133</v>
      </c>
      <c r="Z1007" s="188">
        <f>_xll.qlCalendarAdvance(Calendar,Y1007,NDays&amp;"D")</f>
        <v>46135</v>
      </c>
      <c r="AA1007" s="163">
        <v>1.0834506539443945E-2</v>
      </c>
      <c r="AB1007" s="172">
        <v>1.0737948443138023E-2</v>
      </c>
    </row>
    <row r="1008" spans="24:28" x14ac:dyDescent="0.2">
      <c r="X1008" s="176" t="str">
        <f t="shared" si="49"/>
        <v>1w</v>
      </c>
      <c r="Y1008" s="164">
        <f>_xll.qlCalendarAdvance(Calendar,Y1007,X1008,"f",FALSE)</f>
        <v>46140</v>
      </c>
      <c r="Z1008" s="188">
        <f>_xll.qlCalendarAdvance(Calendar,Y1008,NDays&amp;"D")</f>
        <v>46142</v>
      </c>
      <c r="AA1008" s="163">
        <v>1.0839307295906472E-2</v>
      </c>
      <c r="AB1008" s="172">
        <v>1.0745459131669133E-2</v>
      </c>
    </row>
    <row r="1009" spans="24:28" x14ac:dyDescent="0.2">
      <c r="X1009" s="176" t="str">
        <f t="shared" si="49"/>
        <v>1w</v>
      </c>
      <c r="Y1009" s="164">
        <f>_xll.qlCalendarAdvance(Calendar,Y1008,X1009,"f",FALSE)</f>
        <v>46147</v>
      </c>
      <c r="Z1009" s="188">
        <f>_xll.qlCalendarAdvance(Calendar,Y1009,NDays&amp;"D")</f>
        <v>46149</v>
      </c>
      <c r="AA1009" s="163">
        <v>1.0845444983123582E-2</v>
      </c>
      <c r="AB1009" s="172">
        <v>1.0749466416672959E-2</v>
      </c>
    </row>
    <row r="1010" spans="24:28" x14ac:dyDescent="0.2">
      <c r="X1010" s="176" t="str">
        <f t="shared" si="49"/>
        <v>1w</v>
      </c>
      <c r="Y1010" s="164">
        <f>_xll.qlCalendarAdvance(Calendar,Y1009,X1010,"f",FALSE)</f>
        <v>46154</v>
      </c>
      <c r="Z1010" s="188">
        <f>_xll.qlCalendarAdvance(Calendar,Y1010,NDays&amp;"D")</f>
        <v>46156</v>
      </c>
      <c r="AA1010" s="163">
        <v>1.0850070847916305E-2</v>
      </c>
      <c r="AB1010" s="172">
        <v>1.0755107276851916E-2</v>
      </c>
    </row>
    <row r="1011" spans="24:28" x14ac:dyDescent="0.2">
      <c r="X1011" s="176" t="str">
        <f t="shared" si="49"/>
        <v>1w</v>
      </c>
      <c r="Y1011" s="164">
        <f>_xll.qlCalendarAdvance(Calendar,Y1010,X1011,"f",FALSE)</f>
        <v>46161</v>
      </c>
      <c r="Z1011" s="188">
        <f>_xll.qlCalendarAdvance(Calendar,Y1011,NDays&amp;"D")</f>
        <v>46163</v>
      </c>
      <c r="AA1011" s="163">
        <v>1.0854617533278703E-2</v>
      </c>
      <c r="AB1011" s="172">
        <v>1.0760669386105093E-2</v>
      </c>
    </row>
    <row r="1012" spans="24:28" x14ac:dyDescent="0.2">
      <c r="X1012" s="176" t="str">
        <f t="shared" si="49"/>
        <v>1w</v>
      </c>
      <c r="Y1012" s="164">
        <f>_xll.qlCalendarAdvance(Calendar,Y1011,X1012,"f",FALSE)</f>
        <v>46168</v>
      </c>
      <c r="Z1012" s="188">
        <f>_xll.qlCalendarAdvance(Calendar,Y1012,NDays&amp;"D")</f>
        <v>46170</v>
      </c>
      <c r="AA1012" s="163">
        <v>1.0859085038654664E-2</v>
      </c>
      <c r="AB1012" s="172">
        <v>1.0766152744192681E-2</v>
      </c>
    </row>
    <row r="1013" spans="24:28" x14ac:dyDescent="0.2">
      <c r="X1013" s="176" t="str">
        <f t="shared" si="49"/>
        <v>1w</v>
      </c>
      <c r="Y1013" s="164">
        <f>_xll.qlCalendarAdvance(Calendar,Y1012,X1013,"f",FALSE)</f>
        <v>46175</v>
      </c>
      <c r="Z1013" s="188">
        <f>_xll.qlCalendarAdvance(Calendar,Y1013,NDays&amp;"D")</f>
        <v>46177</v>
      </c>
      <c r="AA1013" s="163">
        <v>1.0862123498621173E-2</v>
      </c>
      <c r="AB1013" s="172">
        <v>1.0771557351274552E-2</v>
      </c>
    </row>
    <row r="1014" spans="24:28" x14ac:dyDescent="0.2">
      <c r="X1014" s="176" t="str">
        <f t="shared" si="49"/>
        <v>1w</v>
      </c>
      <c r="Y1014" s="164">
        <f>_xll.qlCalendarAdvance(Calendar,Y1013,X1014,"f",FALSE)</f>
        <v>46182</v>
      </c>
      <c r="Z1014" s="188">
        <f>_xll.qlCalendarAdvance(Calendar,Y1014,NDays&amp;"D")</f>
        <v>46184</v>
      </c>
      <c r="AA1014" s="163">
        <v>1.0866449219408207E-2</v>
      </c>
      <c r="AB1014" s="172">
        <v>1.0776883207270771E-2</v>
      </c>
    </row>
    <row r="1015" spans="24:28" x14ac:dyDescent="0.2">
      <c r="X1015" s="176" t="str">
        <f t="shared" si="49"/>
        <v>1w</v>
      </c>
      <c r="Y1015" s="164">
        <f>_xll.qlCalendarAdvance(Calendar,Y1014,X1015,"f",FALSE)</f>
        <v>46189</v>
      </c>
      <c r="Z1015" s="188">
        <f>_xll.qlCalendarAdvance(Calendar,Y1015,NDays&amp;"D")</f>
        <v>46191</v>
      </c>
      <c r="AA1015" s="163">
        <v>1.0870695765709256E-2</v>
      </c>
      <c r="AB1015" s="172">
        <v>1.0782130312181337E-2</v>
      </c>
    </row>
    <row r="1016" spans="24:28" x14ac:dyDescent="0.2">
      <c r="X1016" s="176" t="str">
        <f t="shared" si="49"/>
        <v>1w</v>
      </c>
      <c r="Y1016" s="164">
        <f>_xll.qlCalendarAdvance(Calendar,Y1015,X1016,"f",FALSE)</f>
        <v>46196</v>
      </c>
      <c r="Z1016" s="188">
        <f>_xll.qlCalendarAdvance(Calendar,Y1016,NDays&amp;"D")</f>
        <v>46198</v>
      </c>
      <c r="AA1016" s="163">
        <v>1.0876163249538424E-2</v>
      </c>
      <c r="AB1016" s="172">
        <v>1.0787298666086187E-2</v>
      </c>
    </row>
    <row r="1017" spans="24:28" x14ac:dyDescent="0.2">
      <c r="X1017" s="176" t="str">
        <f t="shared" si="49"/>
        <v>1w</v>
      </c>
      <c r="Y1017" s="164">
        <f>_xll.qlCalendarAdvance(Calendar,Y1016,X1017,"f",FALSE)</f>
        <v>46203</v>
      </c>
      <c r="Z1017" s="188">
        <f>_xll.qlCalendarAdvance(Calendar,Y1017,NDays&amp;"D")</f>
        <v>46205</v>
      </c>
      <c r="AA1017" s="163">
        <v>1.0880234846998901E-2</v>
      </c>
      <c r="AB1017" s="172">
        <v>1.0792388268905384E-2</v>
      </c>
    </row>
    <row r="1018" spans="24:28" x14ac:dyDescent="0.2">
      <c r="X1018" s="176" t="str">
        <f t="shared" si="49"/>
        <v>1w</v>
      </c>
      <c r="Y1018" s="164">
        <f>_xll.qlCalendarAdvance(Calendar,Y1017,X1018,"f",FALSE)</f>
        <v>46210</v>
      </c>
      <c r="Z1018" s="188">
        <f>_xll.qlCalendarAdvance(Calendar,Y1018,NDays&amp;"D")</f>
        <v>46212</v>
      </c>
      <c r="AA1018" s="163">
        <v>1.0884227261345979E-2</v>
      </c>
      <c r="AB1018" s="172">
        <v>1.0797399120558993E-2</v>
      </c>
    </row>
    <row r="1019" spans="24:28" x14ac:dyDescent="0.2">
      <c r="X1019" s="176" t="str">
        <f t="shared" si="49"/>
        <v>1w</v>
      </c>
      <c r="Y1019" s="164">
        <f>_xll.qlCalendarAdvance(Calendar,Y1018,X1019,"f",FALSE)</f>
        <v>46217</v>
      </c>
      <c r="Z1019" s="188">
        <f>_xll.qlCalendarAdvance(Calendar,Y1019,NDays&amp;"D")</f>
        <v>46219</v>
      </c>
      <c r="AA1019" s="163">
        <v>1.0888140492093594E-2</v>
      </c>
      <c r="AB1019" s="172">
        <v>1.0802331221206884E-2</v>
      </c>
    </row>
    <row r="1020" spans="24:28" x14ac:dyDescent="0.2">
      <c r="X1020" s="176" t="str">
        <f t="shared" si="49"/>
        <v>1w</v>
      </c>
      <c r="Y1020" s="164">
        <f>_xll.qlCalendarAdvance(Calendar,Y1019,X1020,"f",FALSE)</f>
        <v>46224</v>
      </c>
      <c r="Z1020" s="188">
        <f>_xll.qlCalendarAdvance(Calendar,Y1020,NDays&amp;"D")</f>
        <v>46226</v>
      </c>
      <c r="AA1020" s="163">
        <v>1.089197453876342E-2</v>
      </c>
      <c r="AB1020" s="172">
        <v>1.080718457084906E-2</v>
      </c>
    </row>
    <row r="1021" spans="24:28" x14ac:dyDescent="0.2">
      <c r="X1021" s="176" t="str">
        <f t="shared" si="49"/>
        <v>1w</v>
      </c>
      <c r="Y1021" s="164">
        <f>_xll.qlCalendarAdvance(Calendar,Y1020,X1021,"f",FALSE)</f>
        <v>46231</v>
      </c>
      <c r="Z1021" s="188">
        <f>_xll.qlCalendarAdvance(Calendar,Y1021,NDays&amp;"D")</f>
        <v>46233</v>
      </c>
      <c r="AA1021" s="163">
        <v>1.0894512351415701E-2</v>
      </c>
      <c r="AB1021" s="172">
        <v>1.0811959169325647E-2</v>
      </c>
    </row>
    <row r="1022" spans="24:28" x14ac:dyDescent="0.2">
      <c r="X1022" s="176" t="str">
        <f t="shared" si="49"/>
        <v>1w</v>
      </c>
      <c r="Y1022" s="164">
        <f>_xll.qlCalendarAdvance(Calendar,Y1021,X1022,"f",FALSE)</f>
        <v>46238</v>
      </c>
      <c r="Z1022" s="188">
        <f>_xll.qlCalendarAdvance(Calendar,Y1022,NDays&amp;"D")</f>
        <v>46240</v>
      </c>
      <c r="AA1022" s="163">
        <v>1.0899405078007537E-2</v>
      </c>
      <c r="AB1022" s="172">
        <v>1.0816655016796517E-2</v>
      </c>
    </row>
    <row r="1023" spans="24:28" x14ac:dyDescent="0.2">
      <c r="X1023" s="176" t="str">
        <f t="shared" si="49"/>
        <v>1w</v>
      </c>
      <c r="Y1023" s="164">
        <f>_xll.qlCalendarAdvance(Calendar,Y1022,X1023,"f",FALSE)</f>
        <v>46245</v>
      </c>
      <c r="Z1023" s="188">
        <f>_xll.qlCalendarAdvance(Calendar,Y1023,NDays&amp;"D")</f>
        <v>46247</v>
      </c>
      <c r="AA1023" s="163">
        <v>1.0903001569675027E-2</v>
      </c>
      <c r="AB1023" s="172">
        <v>1.0821272113021863E-2</v>
      </c>
    </row>
    <row r="1024" spans="24:28" x14ac:dyDescent="0.2">
      <c r="X1024" s="176" t="str">
        <f t="shared" si="49"/>
        <v>1w</v>
      </c>
      <c r="Y1024" s="164">
        <f>_xll.qlCalendarAdvance(Calendar,Y1023,X1024,"f",FALSE)</f>
        <v>46252</v>
      </c>
      <c r="Z1024" s="188">
        <f>_xll.qlCalendarAdvance(Calendar,Y1024,NDays&amp;"D")</f>
        <v>46254</v>
      </c>
      <c r="AA1024" s="163">
        <v>1.0906518875450693E-2</v>
      </c>
      <c r="AB1024" s="172">
        <v>1.0825810458241492E-2</v>
      </c>
    </row>
    <row r="1025" spans="24:28" x14ac:dyDescent="0.2">
      <c r="X1025" s="176" t="str">
        <f t="shared" si="49"/>
        <v>1w</v>
      </c>
      <c r="Y1025" s="164">
        <f>_xll.qlCalendarAdvance(Calendar,Y1024,X1025,"f",FALSE)</f>
        <v>46259</v>
      </c>
      <c r="Z1025" s="188">
        <f>_xll.qlCalendarAdvance(Calendar,Y1025,NDays&amp;"D")</f>
        <v>46261</v>
      </c>
      <c r="AA1025" s="163">
        <v>1.0908806524499355E-2</v>
      </c>
      <c r="AB1025" s="172">
        <v>1.0830270052375468E-2</v>
      </c>
    </row>
    <row r="1026" spans="24:28" x14ac:dyDescent="0.2">
      <c r="X1026" s="176" t="str">
        <f t="shared" si="49"/>
        <v>1w</v>
      </c>
      <c r="Y1026" s="164">
        <f>_xll.qlCalendarAdvance(Calendar,Y1025,X1026,"f",FALSE)</f>
        <v>46266</v>
      </c>
      <c r="Z1026" s="188">
        <f>_xll.qlCalendarAdvance(Calendar,Y1026,NDays&amp;"D")</f>
        <v>46268</v>
      </c>
      <c r="AA1026" s="163">
        <v>1.0911423635933865E-2</v>
      </c>
      <c r="AB1026" s="172">
        <v>1.0834650895423792E-2</v>
      </c>
    </row>
    <row r="1027" spans="24:28" x14ac:dyDescent="0.2">
      <c r="X1027" s="176" t="str">
        <f t="shared" si="49"/>
        <v>1w</v>
      </c>
      <c r="Y1027" s="164">
        <f>_xll.qlCalendarAdvance(Calendar,Y1026,X1027,"f",FALSE)</f>
        <v>46273</v>
      </c>
      <c r="Z1027" s="188">
        <f>_xll.qlCalendarAdvance(Calendar,Y1027,NDays&amp;"D")</f>
        <v>46275</v>
      </c>
      <c r="AA1027" s="163">
        <v>1.0914731162888505E-2</v>
      </c>
      <c r="AB1027" s="172">
        <v>1.0838952987386463E-2</v>
      </c>
    </row>
    <row r="1028" spans="24:28" x14ac:dyDescent="0.2">
      <c r="X1028" s="176" t="str">
        <f t="shared" si="49"/>
        <v>1w</v>
      </c>
      <c r="Y1028" s="164">
        <f>_xll.qlCalendarAdvance(Calendar,Y1027,X1028,"f",FALSE)</f>
        <v>46280</v>
      </c>
      <c r="Z1028" s="188">
        <f>_xll.qlCalendarAdvance(Calendar,Y1028,NDays&amp;"D")</f>
        <v>46282</v>
      </c>
      <c r="AA1028" s="163">
        <v>1.0917959514251981E-2</v>
      </c>
      <c r="AB1028" s="172">
        <v>1.0843176328183546E-2</v>
      </c>
    </row>
    <row r="1029" spans="24:28" x14ac:dyDescent="0.2">
      <c r="X1029" s="176" t="str">
        <f t="shared" si="49"/>
        <v>1w</v>
      </c>
      <c r="Y1029" s="164">
        <f>_xll.qlCalendarAdvance(Calendar,Y1028,X1029,"f",FALSE)</f>
        <v>46287</v>
      </c>
      <c r="Z1029" s="188">
        <f>_xll.qlCalendarAdvance(Calendar,Y1029,NDays&amp;"D")</f>
        <v>46289</v>
      </c>
      <c r="AA1029" s="163">
        <v>1.0921108689641391E-2</v>
      </c>
      <c r="AB1029" s="172">
        <v>1.0847320917894976E-2</v>
      </c>
    </row>
    <row r="1030" spans="24:28" x14ac:dyDescent="0.2">
      <c r="X1030" s="176" t="str">
        <f t="shared" si="49"/>
        <v>1w</v>
      </c>
      <c r="Y1030" s="164">
        <f>_xll.qlCalendarAdvance(Calendar,Y1029,X1030,"f",FALSE)</f>
        <v>46294</v>
      </c>
      <c r="Z1030" s="188">
        <f>_xll.qlCalendarAdvance(Calendar,Y1030,NDays&amp;"D")</f>
        <v>46296</v>
      </c>
      <c r="AA1030" s="163">
        <v>1.0924536496195084E-2</v>
      </c>
      <c r="AB1030" s="172">
        <v>1.0851386756600689E-2</v>
      </c>
    </row>
    <row r="1031" spans="24:28" x14ac:dyDescent="0.2">
      <c r="X1031" s="176" t="str">
        <f t="shared" si="49"/>
        <v>1w</v>
      </c>
      <c r="Y1031" s="164">
        <f>_xll.qlCalendarAdvance(Calendar,Y1030,X1031,"f",FALSE)</f>
        <v>46301</v>
      </c>
      <c r="Z1031" s="188">
        <f>_xll.qlCalendarAdvance(Calendar,Y1031,NDays&amp;"D")</f>
        <v>46303</v>
      </c>
      <c r="AA1031" s="163">
        <v>1.0927524779198549E-2</v>
      </c>
      <c r="AB1031" s="172">
        <v>1.0855373843980942E-2</v>
      </c>
    </row>
    <row r="1032" spans="24:28" x14ac:dyDescent="0.2">
      <c r="X1032" s="176" t="str">
        <f t="shared" si="49"/>
        <v>1w</v>
      </c>
      <c r="Y1032" s="164">
        <f>_xll.qlCalendarAdvance(Calendar,Y1031,X1032,"f",FALSE)</f>
        <v>46308</v>
      </c>
      <c r="Z1032" s="188">
        <f>_xll.qlCalendarAdvance(Calendar,Y1032,NDays&amp;"D")</f>
        <v>46310</v>
      </c>
      <c r="AA1032" s="163">
        <v>1.0930438543602369E-2</v>
      </c>
      <c r="AB1032" s="172">
        <v>1.0859282180355478E-2</v>
      </c>
    </row>
    <row r="1033" spans="24:28" x14ac:dyDescent="0.2">
      <c r="X1033" s="176" t="str">
        <f t="shared" si="49"/>
        <v>1w</v>
      </c>
      <c r="Y1033" s="164">
        <f>_xll.qlCalendarAdvance(Calendar,Y1032,X1033,"f",FALSE)</f>
        <v>46315</v>
      </c>
      <c r="Z1033" s="188">
        <f>_xll.qlCalendarAdvance(Calendar,Y1033,NDays&amp;"D")</f>
        <v>46317</v>
      </c>
      <c r="AA1033" s="163">
        <v>1.0933279964148253E-2</v>
      </c>
      <c r="AB1033" s="172">
        <v>1.0863111765644362E-2</v>
      </c>
    </row>
    <row r="1034" spans="24:28" x14ac:dyDescent="0.2">
      <c r="X1034" s="176" t="str">
        <f t="shared" si="49"/>
        <v>1w</v>
      </c>
      <c r="Y1034" s="164">
        <f>_xll.qlCalendarAdvance(Calendar,Y1033,X1034,"f",FALSE)</f>
        <v>46322</v>
      </c>
      <c r="Z1034" s="188">
        <f>_xll.qlCalendarAdvance(Calendar,Y1034,NDays&amp;"D")</f>
        <v>46324</v>
      </c>
      <c r="AA1034" s="163">
        <v>1.0936051215597231E-2</v>
      </c>
      <c r="AB1034" s="172">
        <v>1.0866862599847593E-2</v>
      </c>
    </row>
    <row r="1035" spans="24:28" x14ac:dyDescent="0.2">
      <c r="X1035" s="176" t="str">
        <f t="shared" si="49"/>
        <v>1w</v>
      </c>
      <c r="Y1035" s="164">
        <f>_xll.qlCalendarAdvance(Calendar,Y1034,X1035,"f",FALSE)</f>
        <v>46329</v>
      </c>
      <c r="Z1035" s="188">
        <f>_xll.qlCalendarAdvance(Calendar,Y1035,NDays&amp;"D")</f>
        <v>46331</v>
      </c>
      <c r="AA1035" s="163">
        <v>1.0938419759155384E-2</v>
      </c>
      <c r="AB1035" s="172">
        <v>1.08705346828053E-2</v>
      </c>
    </row>
    <row r="1036" spans="24:28" x14ac:dyDescent="0.2">
      <c r="X1036" s="176" t="str">
        <f t="shared" si="49"/>
        <v>1w</v>
      </c>
      <c r="Y1036" s="164">
        <f>_xll.qlCalendarAdvance(Calendar,Y1035,X1036,"f",FALSE)</f>
        <v>46336</v>
      </c>
      <c r="Z1036" s="188">
        <f>_xll.qlCalendarAdvance(Calendar,Y1036,NDays&amp;"D")</f>
        <v>46338</v>
      </c>
      <c r="AA1036" s="163">
        <v>1.0941060984987462E-2</v>
      </c>
      <c r="AB1036" s="172">
        <v>1.0874128014677353E-2</v>
      </c>
    </row>
    <row r="1037" spans="24:28" x14ac:dyDescent="0.2">
      <c r="X1037" s="176" t="str">
        <f t="shared" si="49"/>
        <v>1w</v>
      </c>
      <c r="Y1037" s="164">
        <f>_xll.qlCalendarAdvance(Calendar,Y1036,X1037,"f",FALSE)</f>
        <v>46343</v>
      </c>
      <c r="Z1037" s="188">
        <f>_xll.qlCalendarAdvance(Calendar,Y1037,NDays&amp;"D")</f>
        <v>46345</v>
      </c>
      <c r="AA1037" s="163">
        <v>1.0943638341450962E-2</v>
      </c>
      <c r="AB1037" s="172">
        <v>1.0877642595463755E-2</v>
      </c>
    </row>
    <row r="1038" spans="24:28" x14ac:dyDescent="0.2">
      <c r="X1038" s="176" t="str">
        <f t="shared" si="49"/>
        <v>1w</v>
      </c>
      <c r="Y1038" s="164">
        <f>_xll.qlCalendarAdvance(Calendar,Y1037,X1038,"f",FALSE)</f>
        <v>46350</v>
      </c>
      <c r="Z1038" s="188">
        <f>_xll.qlCalendarAdvance(Calendar,Y1038,NDays&amp;"D")</f>
        <v>46352</v>
      </c>
      <c r="AA1038" s="163">
        <v>1.0946154015333651E-2</v>
      </c>
      <c r="AB1038" s="172">
        <v>1.0881078425084567E-2</v>
      </c>
    </row>
    <row r="1039" spans="24:28" x14ac:dyDescent="0.2">
      <c r="X1039" s="176" t="str">
        <f t="shared" si="49"/>
        <v>1w</v>
      </c>
      <c r="Y1039" s="164">
        <f>_xll.qlCalendarAdvance(Calendar,Y1038,X1039,"f",FALSE)</f>
        <v>46357</v>
      </c>
      <c r="Z1039" s="188">
        <f>_xll.qlCalendarAdvance(Calendar,Y1039,NDays&amp;"D")</f>
        <v>46359</v>
      </c>
      <c r="AA1039" s="163">
        <v>1.0948931054422158E-2</v>
      </c>
      <c r="AB1039" s="172">
        <v>1.0884435503699663E-2</v>
      </c>
    </row>
    <row r="1040" spans="24:28" x14ac:dyDescent="0.2">
      <c r="X1040" s="176" t="str">
        <f t="shared" si="49"/>
        <v>1w</v>
      </c>
      <c r="Y1040" s="164">
        <f>_xll.qlCalendarAdvance(Calendar,Y1039,X1040,"f",FALSE)</f>
        <v>46364</v>
      </c>
      <c r="Z1040" s="188">
        <f>_xll.qlCalendarAdvance(Calendar,Y1040,NDays&amp;"D")</f>
        <v>46366</v>
      </c>
      <c r="AA1040" s="163">
        <v>1.0951326962355307E-2</v>
      </c>
      <c r="AB1040" s="172">
        <v>1.0887713830989298E-2</v>
      </c>
    </row>
    <row r="1041" spans="24:28" x14ac:dyDescent="0.2">
      <c r="X1041" s="176" t="str">
        <f t="shared" si="49"/>
        <v>1w</v>
      </c>
      <c r="Y1041" s="164">
        <f>_xll.qlCalendarAdvance(Calendar,Y1040,X1041,"f",FALSE)</f>
        <v>46371</v>
      </c>
      <c r="Z1041" s="188">
        <f>_xll.qlCalendarAdvance(Calendar,Y1041,NDays&amp;"D")</f>
        <v>46373</v>
      </c>
      <c r="AA1041" s="163">
        <v>1.0953667925040106E-2</v>
      </c>
      <c r="AB1041" s="172">
        <v>1.0890913407193281E-2</v>
      </c>
    </row>
    <row r="1042" spans="24:28" x14ac:dyDescent="0.2">
      <c r="X1042" s="176" t="str">
        <f t="shared" si="49"/>
        <v>1w</v>
      </c>
      <c r="Y1042" s="164">
        <f>_xll.qlCalendarAdvance(Calendar,Y1041,X1042,"f",FALSE)</f>
        <v>46378</v>
      </c>
      <c r="Z1042" s="188">
        <f>_xll.qlCalendarAdvance(Calendar,Y1042,NDays&amp;"D")</f>
        <v>46380</v>
      </c>
      <c r="AA1042" s="163">
        <v>1.0955956117376372E-2</v>
      </c>
      <c r="AB1042" s="172">
        <v>1.0895186300012849E-2</v>
      </c>
    </row>
    <row r="1043" spans="24:28" x14ac:dyDescent="0.2">
      <c r="X1043" s="176" t="str">
        <f t="shared" si="49"/>
        <v>1w</v>
      </c>
      <c r="Y1043" s="164">
        <f>_xll.qlCalendarAdvance(Calendar,Y1042,X1043,"f",FALSE)</f>
        <v>46385</v>
      </c>
      <c r="Z1043" s="188">
        <f>_xll.qlCalendarAdvance(Calendar,Y1043,NDays&amp;"D")</f>
        <v>46387</v>
      </c>
      <c r="AA1043" s="163">
        <v>1.0957883684737818E-2</v>
      </c>
      <c r="AB1043" s="172">
        <v>1.0898211773444633E-2</v>
      </c>
    </row>
    <row r="1044" spans="24:28" x14ac:dyDescent="0.2">
      <c r="X1044" s="176" t="str">
        <f t="shared" si="49"/>
        <v>1w</v>
      </c>
      <c r="Y1044" s="164">
        <f>_xll.qlCalendarAdvance(Calendar,Y1043,X1044,"f",FALSE)</f>
        <v>46392</v>
      </c>
      <c r="Z1044" s="188">
        <f>_xll.qlCalendarAdvance(Calendar,Y1044,NDays&amp;"D")</f>
        <v>46394</v>
      </c>
      <c r="AA1044" s="163">
        <v>1.0960075186569095E-2</v>
      </c>
      <c r="AB1044" s="172">
        <v>1.0900039629131442E-2</v>
      </c>
    </row>
    <row r="1045" spans="24:28" x14ac:dyDescent="0.2">
      <c r="X1045" s="176" t="str">
        <f t="shared" ref="X1045:X1108" si="50">X1044</f>
        <v>1w</v>
      </c>
      <c r="Y1045" s="164">
        <f>_xll.qlCalendarAdvance(Calendar,Y1044,X1045,"f",FALSE)</f>
        <v>46399</v>
      </c>
      <c r="Z1045" s="188">
        <f>_xll.qlCalendarAdvance(Calendar,Y1045,NDays&amp;"D")</f>
        <v>46401</v>
      </c>
      <c r="AA1045" s="163">
        <v>1.096222031376806E-2</v>
      </c>
      <c r="AB1045" s="172">
        <v>1.0902924200832942E-2</v>
      </c>
    </row>
    <row r="1046" spans="24:28" x14ac:dyDescent="0.2">
      <c r="X1046" s="176" t="str">
        <f t="shared" si="50"/>
        <v>1w</v>
      </c>
      <c r="Y1046" s="164">
        <f>_xll.qlCalendarAdvance(Calendar,Y1045,X1046,"f",FALSE)</f>
        <v>46406</v>
      </c>
      <c r="Z1046" s="188">
        <f>_xll.qlCalendarAdvance(Calendar,Y1046,NDays&amp;"D")</f>
        <v>46408</v>
      </c>
      <c r="AA1046" s="163">
        <v>1.0964321253239073E-2</v>
      </c>
      <c r="AB1046" s="172">
        <v>1.0905730021368853E-2</v>
      </c>
    </row>
    <row r="1047" spans="24:28" x14ac:dyDescent="0.2">
      <c r="X1047" s="176" t="str">
        <f t="shared" si="50"/>
        <v>1w</v>
      </c>
      <c r="Y1047" s="164">
        <f>_xll.qlCalendarAdvance(Calendar,Y1046,X1047,"f",FALSE)</f>
        <v>46413</v>
      </c>
      <c r="Z1047" s="188">
        <f>_xll.qlCalendarAdvance(Calendar,Y1047,NDays&amp;"D")</f>
        <v>46415</v>
      </c>
      <c r="AA1047" s="163">
        <v>1.0966380191899302E-2</v>
      </c>
      <c r="AB1047" s="172">
        <v>1.0908457090739176E-2</v>
      </c>
    </row>
    <row r="1048" spans="24:28" x14ac:dyDescent="0.2">
      <c r="X1048" s="176" t="str">
        <f t="shared" si="50"/>
        <v>1w</v>
      </c>
      <c r="Y1048" s="164">
        <f>_xll.qlCalendarAdvance(Calendar,Y1047,X1048,"f",FALSE)</f>
        <v>46420</v>
      </c>
      <c r="Z1048" s="188">
        <f>_xll.qlCalendarAdvance(Calendar,Y1048,NDays&amp;"D")</f>
        <v>46422</v>
      </c>
      <c r="AA1048" s="163">
        <v>1.0968399316677837E-2</v>
      </c>
      <c r="AB1048" s="172">
        <v>1.0911105408943911E-2</v>
      </c>
    </row>
    <row r="1049" spans="24:28" x14ac:dyDescent="0.2">
      <c r="X1049" s="176" t="str">
        <f t="shared" si="50"/>
        <v>1w</v>
      </c>
      <c r="Y1049" s="164">
        <f>_xll.qlCalendarAdvance(Calendar,Y1048,X1049,"f",FALSE)</f>
        <v>46427</v>
      </c>
      <c r="Z1049" s="188">
        <f>_xll.qlCalendarAdvance(Calendar,Y1049,NDays&amp;"D")</f>
        <v>46429</v>
      </c>
      <c r="AA1049" s="163">
        <v>1.0970380814514808E-2</v>
      </c>
      <c r="AB1049" s="172">
        <v>1.0913674976062993E-2</v>
      </c>
    </row>
    <row r="1050" spans="24:28" x14ac:dyDescent="0.2">
      <c r="X1050" s="176" t="str">
        <f t="shared" si="50"/>
        <v>1w</v>
      </c>
      <c r="Y1050" s="164">
        <f>_xll.qlCalendarAdvance(Calendar,Y1049,X1050,"f",FALSE)</f>
        <v>46434</v>
      </c>
      <c r="Z1050" s="188">
        <f>_xll.qlCalendarAdvance(Calendar,Y1050,NDays&amp;"D")</f>
        <v>46436</v>
      </c>
      <c r="AA1050" s="163">
        <v>1.0972326872361389E-2</v>
      </c>
      <c r="AB1050" s="172">
        <v>1.091616579193655E-2</v>
      </c>
    </row>
    <row r="1051" spans="24:28" x14ac:dyDescent="0.2">
      <c r="X1051" s="176" t="str">
        <f t="shared" si="50"/>
        <v>1w</v>
      </c>
      <c r="Y1051" s="164">
        <f>_xll.qlCalendarAdvance(Calendar,Y1050,X1051,"f",FALSE)</f>
        <v>46441</v>
      </c>
      <c r="Z1051" s="188">
        <f>_xll.qlCalendarAdvance(Calendar,Y1051,NDays&amp;"D")</f>
        <v>46443</v>
      </c>
      <c r="AA1051" s="163">
        <v>1.0974239677179353E-2</v>
      </c>
      <c r="AB1051" s="172">
        <v>1.0918577856724454E-2</v>
      </c>
    </row>
    <row r="1052" spans="24:28" x14ac:dyDescent="0.2">
      <c r="X1052" s="176" t="str">
        <f t="shared" si="50"/>
        <v>1w</v>
      </c>
      <c r="Y1052" s="164">
        <f>_xll.qlCalendarAdvance(Calendar,Y1051,X1052,"f",FALSE)</f>
        <v>46448</v>
      </c>
      <c r="Z1052" s="188">
        <f>_xll.qlCalendarAdvance(Calendar,Y1052,NDays&amp;"D")</f>
        <v>46450</v>
      </c>
      <c r="AA1052" s="163">
        <v>1.0977583697518964E-2</v>
      </c>
      <c r="AB1052" s="172">
        <v>1.092091117034677E-2</v>
      </c>
    </row>
    <row r="1053" spans="24:28" x14ac:dyDescent="0.2">
      <c r="X1053" s="176" t="str">
        <f t="shared" si="50"/>
        <v>1w</v>
      </c>
      <c r="Y1053" s="164">
        <f>_xll.qlCalendarAdvance(Calendar,Y1052,X1053,"f",FALSE)</f>
        <v>46455</v>
      </c>
      <c r="Z1053" s="188">
        <f>_xll.qlCalendarAdvance(Calendar,Y1053,NDays&amp;"D")</f>
        <v>46457</v>
      </c>
      <c r="AA1053" s="163">
        <v>1.0979428589610962E-2</v>
      </c>
      <c r="AB1053" s="172">
        <v>1.0923165732803497E-2</v>
      </c>
    </row>
    <row r="1054" spans="24:28" x14ac:dyDescent="0.2">
      <c r="X1054" s="176" t="str">
        <f t="shared" si="50"/>
        <v>1w</v>
      </c>
      <c r="Y1054" s="164">
        <f>_xll.qlCalendarAdvance(Calendar,Y1053,X1054,"f",FALSE)</f>
        <v>46462</v>
      </c>
      <c r="Z1054" s="188">
        <f>_xll.qlCalendarAdvance(Calendar,Y1054,NDays&amp;"D")</f>
        <v>46464</v>
      </c>
      <c r="AA1054" s="163">
        <v>1.0981246894783627E-2</v>
      </c>
      <c r="AB1054" s="172">
        <v>1.0925341544094636E-2</v>
      </c>
    </row>
    <row r="1055" spans="24:28" x14ac:dyDescent="0.2">
      <c r="X1055" s="176" t="str">
        <f t="shared" si="50"/>
        <v>1w</v>
      </c>
      <c r="Y1055" s="164">
        <f>_xll.qlCalendarAdvance(Calendar,Y1054,X1055,"f",FALSE)</f>
        <v>46469</v>
      </c>
      <c r="Z1055" s="188">
        <f>_xll.qlCalendarAdvance(Calendar,Y1055,NDays&amp;"D")</f>
        <v>46471</v>
      </c>
      <c r="AA1055" s="163">
        <v>1.0983040740534709E-2</v>
      </c>
      <c r="AB1055" s="172">
        <v>1.0928693393404743E-2</v>
      </c>
    </row>
    <row r="1056" spans="24:28" x14ac:dyDescent="0.2">
      <c r="X1056" s="176" t="str">
        <f t="shared" si="50"/>
        <v>1w</v>
      </c>
      <c r="Y1056" s="164">
        <f>_xll.qlCalendarAdvance(Calendar,Y1055,X1056,"f",FALSE)</f>
        <v>46476</v>
      </c>
      <c r="Z1056" s="188">
        <f>_xll.qlCalendarAdvance(Calendar,Y1056,NDays&amp;"D")</f>
        <v>46478</v>
      </c>
      <c r="AA1056" s="163">
        <v>1.0983953665211866E-2</v>
      </c>
      <c r="AB1056" s="172">
        <v>1.0929498425653605E-2</v>
      </c>
    </row>
    <row r="1057" spans="24:28" x14ac:dyDescent="0.2">
      <c r="X1057" s="176" t="str">
        <f t="shared" si="50"/>
        <v>1w</v>
      </c>
      <c r="Y1057" s="164">
        <f>_xll.qlCalendarAdvance(Calendar,Y1056,X1057,"f",FALSE)</f>
        <v>46483</v>
      </c>
      <c r="Z1057" s="188">
        <f>_xll.qlCalendarAdvance(Calendar,Y1057,NDays&amp;"D")</f>
        <v>46485</v>
      </c>
      <c r="AA1057" s="163">
        <v>1.0985706709750688E-2</v>
      </c>
      <c r="AB1057" s="172">
        <v>1.0931534399443166E-2</v>
      </c>
    </row>
    <row r="1058" spans="24:28" x14ac:dyDescent="0.2">
      <c r="X1058" s="176" t="str">
        <f t="shared" si="50"/>
        <v>1w</v>
      </c>
      <c r="Y1058" s="164">
        <f>_xll.qlCalendarAdvance(Calendar,Y1057,X1058,"f",FALSE)</f>
        <v>46490</v>
      </c>
      <c r="Z1058" s="188">
        <f>_xll.qlCalendarAdvance(Calendar,Y1058,NDays&amp;"D")</f>
        <v>46492</v>
      </c>
      <c r="AA1058" s="163">
        <v>1.0987437122284388E-2</v>
      </c>
      <c r="AB1058" s="172">
        <v>1.0933547864677706E-2</v>
      </c>
    </row>
    <row r="1059" spans="24:28" x14ac:dyDescent="0.2">
      <c r="X1059" s="176" t="str">
        <f t="shared" si="50"/>
        <v>1w</v>
      </c>
      <c r="Y1059" s="164">
        <f>_xll.qlCalendarAdvance(Calendar,Y1058,X1059,"f",FALSE)</f>
        <v>46497</v>
      </c>
      <c r="Z1059" s="188">
        <f>_xll.qlCalendarAdvance(Calendar,Y1059,NDays&amp;"D")</f>
        <v>46499</v>
      </c>
      <c r="AA1059" s="163">
        <v>1.0989144902753559E-2</v>
      </c>
      <c r="AB1059" s="172">
        <v>1.0935538821437163E-2</v>
      </c>
    </row>
    <row r="1060" spans="24:28" x14ac:dyDescent="0.2">
      <c r="X1060" s="176" t="str">
        <f t="shared" si="50"/>
        <v>1w</v>
      </c>
      <c r="Y1060" s="164">
        <f>_xll.qlCalendarAdvance(Calendar,Y1059,X1060,"f",FALSE)</f>
        <v>46504</v>
      </c>
      <c r="Z1060" s="188">
        <f>_xll.qlCalendarAdvance(Calendar,Y1060,NDays&amp;"D")</f>
        <v>46506</v>
      </c>
      <c r="AA1060" s="163">
        <v>1.0990830051100542E-2</v>
      </c>
      <c r="AB1060" s="172">
        <v>1.0937507269801472E-2</v>
      </c>
    </row>
    <row r="1061" spans="24:28" x14ac:dyDescent="0.2">
      <c r="X1061" s="176" t="str">
        <f t="shared" si="50"/>
        <v>1w</v>
      </c>
      <c r="Y1061" s="164">
        <f>_xll.qlCalendarAdvance(Calendar,Y1060,X1061,"f",FALSE)</f>
        <v>46511</v>
      </c>
      <c r="Z1061" s="188">
        <f>_xll.qlCalendarAdvance(Calendar,Y1061,NDays&amp;"D")</f>
        <v>46513</v>
      </c>
      <c r="AA1061" s="163">
        <v>1.0993327159788723E-2</v>
      </c>
      <c r="AB1061" s="172">
        <v>1.0939453209450889E-2</v>
      </c>
    </row>
    <row r="1062" spans="24:28" x14ac:dyDescent="0.2">
      <c r="X1062" s="176" t="str">
        <f t="shared" si="50"/>
        <v>1w</v>
      </c>
      <c r="Y1062" s="164">
        <f>_xll.qlCalendarAdvance(Calendar,Y1061,X1062,"f",FALSE)</f>
        <v>46518</v>
      </c>
      <c r="Z1062" s="188">
        <f>_xll.qlCalendarAdvance(Calendar,Y1062,NDays&amp;"D")</f>
        <v>46520</v>
      </c>
      <c r="AA1062" s="163">
        <v>1.0994962343308065E-2</v>
      </c>
      <c r="AB1062" s="172">
        <v>1.0941376640545286E-2</v>
      </c>
    </row>
    <row r="1063" spans="24:28" x14ac:dyDescent="0.2">
      <c r="X1063" s="176" t="str">
        <f t="shared" si="50"/>
        <v>1w</v>
      </c>
      <c r="Y1063" s="164">
        <f>_xll.qlCalendarAdvance(Calendar,Y1062,X1063,"f",FALSE)</f>
        <v>46525</v>
      </c>
      <c r="Z1063" s="188">
        <f>_xll.qlCalendarAdvance(Calendar,Y1063,NDays&amp;"D")</f>
        <v>46527</v>
      </c>
      <c r="AA1063" s="163">
        <v>1.0996574892475809E-2</v>
      </c>
      <c r="AB1063" s="172">
        <v>1.0943277563244536E-2</v>
      </c>
    </row>
    <row r="1064" spans="24:28" x14ac:dyDescent="0.2">
      <c r="X1064" s="176" t="str">
        <f t="shared" si="50"/>
        <v>1w</v>
      </c>
      <c r="Y1064" s="164">
        <f>_xll.qlCalendarAdvance(Calendar,Y1063,X1064,"f",FALSE)</f>
        <v>46532</v>
      </c>
      <c r="Z1064" s="188">
        <f>_xll.qlCalendarAdvance(Calendar,Y1064,NDays&amp;"D")</f>
        <v>46534</v>
      </c>
      <c r="AA1064" s="163">
        <v>1.0998164807235226E-2</v>
      </c>
      <c r="AB1064" s="172">
        <v>1.0945155977468701E-2</v>
      </c>
    </row>
    <row r="1065" spans="24:28" x14ac:dyDescent="0.2">
      <c r="X1065" s="176" t="str">
        <f t="shared" si="50"/>
        <v>1w</v>
      </c>
      <c r="Y1065" s="164">
        <f>_xll.qlCalendarAdvance(Calendar,Y1064,X1065,"f",FALSE)</f>
        <v>46539</v>
      </c>
      <c r="Z1065" s="188">
        <f>_xll.qlCalendarAdvance(Calendar,Y1065,NDays&amp;"D")</f>
        <v>46541</v>
      </c>
      <c r="AA1065" s="163">
        <v>1.0998916308994206E-2</v>
      </c>
      <c r="AB1065" s="172">
        <v>1.0947011883057911E-2</v>
      </c>
    </row>
    <row r="1066" spans="24:28" x14ac:dyDescent="0.2">
      <c r="X1066" s="176" t="str">
        <f t="shared" si="50"/>
        <v>1w</v>
      </c>
      <c r="Y1066" s="164">
        <f>_xll.qlCalendarAdvance(Calendar,Y1065,X1066,"f",FALSE)</f>
        <v>46546</v>
      </c>
      <c r="Z1066" s="188">
        <f>_xll.qlCalendarAdvance(Calendar,Y1066,NDays&amp;"D")</f>
        <v>46548</v>
      </c>
      <c r="AA1066" s="163">
        <v>1.1000465663416451E-2</v>
      </c>
      <c r="AB1066" s="172">
        <v>1.0948845280172037E-2</v>
      </c>
    </row>
    <row r="1067" spans="24:28" x14ac:dyDescent="0.2">
      <c r="X1067" s="176" t="str">
        <f t="shared" si="50"/>
        <v>1w</v>
      </c>
      <c r="Y1067" s="164">
        <f>_xll.qlCalendarAdvance(Calendar,Y1066,X1067,"f",FALSE)</f>
        <v>46553</v>
      </c>
      <c r="Z1067" s="188">
        <f>_xll.qlCalendarAdvance(Calendar,Y1067,NDays&amp;"D")</f>
        <v>46555</v>
      </c>
      <c r="AA1067" s="163">
        <v>1.1001992385327312E-2</v>
      </c>
      <c r="AB1067" s="172">
        <v>1.0950656168731143E-2</v>
      </c>
    </row>
    <row r="1068" spans="24:28" x14ac:dyDescent="0.2">
      <c r="X1068" s="176" t="str">
        <f t="shared" si="50"/>
        <v>1w</v>
      </c>
      <c r="Y1068" s="164">
        <f>_xll.qlCalendarAdvance(Calendar,Y1067,X1068,"f",FALSE)</f>
        <v>46560</v>
      </c>
      <c r="Z1068" s="188">
        <f>_xll.qlCalendarAdvance(Calendar,Y1068,NDays&amp;"D")</f>
        <v>46562</v>
      </c>
      <c r="AA1068" s="163">
        <v>1.1003496474674372E-2</v>
      </c>
      <c r="AB1068" s="172">
        <v>1.0952444548815166E-2</v>
      </c>
    </row>
    <row r="1069" spans="24:28" x14ac:dyDescent="0.2">
      <c r="X1069" s="176" t="str">
        <f t="shared" si="50"/>
        <v>1w</v>
      </c>
      <c r="Y1069" s="164">
        <f>_xll.qlCalendarAdvance(Calendar,Y1068,X1069,"f",FALSE)</f>
        <v>46567</v>
      </c>
      <c r="Z1069" s="188">
        <f>_xll.qlCalendarAdvance(Calendar,Y1069,NDays&amp;"D")</f>
        <v>46569</v>
      </c>
      <c r="AA1069" s="163">
        <v>1.1005774862999272E-2</v>
      </c>
      <c r="AB1069" s="172">
        <v>1.0954210420344168E-2</v>
      </c>
    </row>
    <row r="1070" spans="24:28" x14ac:dyDescent="0.2">
      <c r="X1070" s="176" t="str">
        <f t="shared" si="50"/>
        <v>1w</v>
      </c>
      <c r="Y1070" s="164">
        <f>_xll.qlCalendarAdvance(Calendar,Y1069,X1070,"f",FALSE)</f>
        <v>46574</v>
      </c>
      <c r="Z1070" s="188">
        <f>_xll.qlCalendarAdvance(Calendar,Y1070,NDays&amp;"D")</f>
        <v>46576</v>
      </c>
      <c r="AA1070" s="163">
        <v>1.1007228970173297E-2</v>
      </c>
      <c r="AB1070" s="172">
        <v>1.0955953783398087E-2</v>
      </c>
    </row>
    <row r="1071" spans="24:28" x14ac:dyDescent="0.2">
      <c r="X1071" s="176" t="str">
        <f t="shared" si="50"/>
        <v>1w</v>
      </c>
      <c r="Y1071" s="164">
        <f>_xll.qlCalendarAdvance(Calendar,Y1070,X1071,"f",FALSE)</f>
        <v>46581</v>
      </c>
      <c r="Z1071" s="188">
        <f>_xll.qlCalendarAdvance(Calendar,Y1071,NDays&amp;"D")</f>
        <v>46583</v>
      </c>
      <c r="AA1071" s="163">
        <v>1.1008660442568111E-2</v>
      </c>
      <c r="AB1071" s="172">
        <v>1.0957674637896986E-2</v>
      </c>
    </row>
    <row r="1072" spans="24:28" x14ac:dyDescent="0.2">
      <c r="X1072" s="176" t="str">
        <f t="shared" si="50"/>
        <v>1w</v>
      </c>
      <c r="Y1072" s="164">
        <f>_xll.qlCalendarAdvance(Calendar,Y1071,X1072,"f",FALSE)</f>
        <v>46588</v>
      </c>
      <c r="Z1072" s="188">
        <f>_xll.qlCalendarAdvance(Calendar,Y1072,NDays&amp;"D")</f>
        <v>46590</v>
      </c>
      <c r="AA1072" s="163">
        <v>1.1010069280132999E-2</v>
      </c>
      <c r="AB1072" s="172">
        <v>1.0959372983920801E-2</v>
      </c>
    </row>
    <row r="1073" spans="24:28" x14ac:dyDescent="0.2">
      <c r="X1073" s="176" t="str">
        <f t="shared" si="50"/>
        <v>1w</v>
      </c>
      <c r="Y1073" s="164">
        <f>_xll.qlCalendarAdvance(Calendar,Y1072,X1073,"f",FALSE)</f>
        <v>46595</v>
      </c>
      <c r="Z1073" s="188">
        <f>_xll.qlCalendarAdvance(Calendar,Y1073,NDays&amp;"D")</f>
        <v>46597</v>
      </c>
      <c r="AA1073" s="163">
        <v>1.101145548281897E-2</v>
      </c>
      <c r="AB1073" s="172">
        <v>1.096104882130966E-2</v>
      </c>
    </row>
    <row r="1074" spans="24:28" x14ac:dyDescent="0.2">
      <c r="X1074" s="176" t="str">
        <f t="shared" si="50"/>
        <v>1w</v>
      </c>
      <c r="Y1074" s="164">
        <f>_xll.qlCalendarAdvance(Calendar,Y1073,X1074,"f",FALSE)</f>
        <v>46602</v>
      </c>
      <c r="Z1074" s="188">
        <f>_xll.qlCalendarAdvance(Calendar,Y1074,NDays&amp;"D")</f>
        <v>46604</v>
      </c>
      <c r="AA1074" s="163">
        <v>1.1012819050577891E-2</v>
      </c>
      <c r="AB1074" s="172">
        <v>1.0962702150223436E-2</v>
      </c>
    </row>
    <row r="1075" spans="24:28" x14ac:dyDescent="0.2">
      <c r="X1075" s="176" t="str">
        <f t="shared" si="50"/>
        <v>1w</v>
      </c>
      <c r="Y1075" s="164">
        <f>_xll.qlCalendarAdvance(Calendar,Y1074,X1075,"f",FALSE)</f>
        <v>46609</v>
      </c>
      <c r="Z1075" s="188">
        <f>_xll.qlCalendarAdvance(Calendar,Y1075,NDays&amp;"D")</f>
        <v>46611</v>
      </c>
      <c r="AA1075" s="163">
        <v>1.1014159983362056E-2</v>
      </c>
      <c r="AB1075" s="172">
        <v>1.0964332970662127E-2</v>
      </c>
    </row>
    <row r="1076" spans="24:28" x14ac:dyDescent="0.2">
      <c r="X1076" s="176" t="str">
        <f t="shared" si="50"/>
        <v>1w</v>
      </c>
      <c r="Y1076" s="164">
        <f>_xll.qlCalendarAdvance(Calendar,Y1075,X1076,"f",FALSE)</f>
        <v>46616</v>
      </c>
      <c r="Z1076" s="188">
        <f>_xll.qlCalendarAdvance(Calendar,Y1076,NDays&amp;"D")</f>
        <v>46618</v>
      </c>
      <c r="AA1076" s="163">
        <v>1.1015478281125052E-2</v>
      </c>
      <c r="AB1076" s="172">
        <v>1.0965941282545799E-2</v>
      </c>
    </row>
    <row r="1077" spans="24:28" x14ac:dyDescent="0.2">
      <c r="X1077" s="176" t="str">
        <f t="shared" si="50"/>
        <v>1w</v>
      </c>
      <c r="Y1077" s="164">
        <f>_xll.qlCalendarAdvance(Calendar,Y1076,X1077,"f",FALSE)</f>
        <v>46623</v>
      </c>
      <c r="Z1077" s="188">
        <f>_xll.qlCalendarAdvance(Calendar,Y1077,NDays&amp;"D")</f>
        <v>46625</v>
      </c>
      <c r="AA1077" s="163">
        <v>1.1016773943820035E-2</v>
      </c>
      <c r="AB1077" s="172">
        <v>1.0967527085954387E-2</v>
      </c>
    </row>
    <row r="1078" spans="24:28" x14ac:dyDescent="0.2">
      <c r="X1078" s="176" t="str">
        <f t="shared" si="50"/>
        <v>1w</v>
      </c>
      <c r="Y1078" s="164">
        <f>_xll.qlCalendarAdvance(Calendar,Y1077,X1078,"f",FALSE)</f>
        <v>46630</v>
      </c>
      <c r="Z1078" s="188">
        <f>_xll.qlCalendarAdvance(Calendar,Y1078,NDays&amp;"D")</f>
        <v>46632</v>
      </c>
      <c r="AA1078" s="163">
        <v>1.1017040806829397E-2</v>
      </c>
      <c r="AB1078" s="172">
        <v>1.0969090380728019E-2</v>
      </c>
    </row>
    <row r="1079" spans="24:28" x14ac:dyDescent="0.2">
      <c r="X1079" s="176" t="str">
        <f t="shared" si="50"/>
        <v>1w</v>
      </c>
      <c r="Y1079" s="164">
        <f>_xll.qlCalendarAdvance(Calendar,Y1078,X1079,"f",FALSE)</f>
        <v>46637</v>
      </c>
      <c r="Z1079" s="188">
        <f>_xll.qlCalendarAdvance(Calendar,Y1079,NDays&amp;"D")</f>
        <v>46639</v>
      </c>
      <c r="AA1079" s="163">
        <v>1.1018297513038382E-2</v>
      </c>
      <c r="AB1079" s="172">
        <v>1.0970631167106504E-2</v>
      </c>
    </row>
    <row r="1080" spans="24:28" x14ac:dyDescent="0.2">
      <c r="X1080" s="176" t="str">
        <f t="shared" si="50"/>
        <v>1w</v>
      </c>
      <c r="Y1080" s="164">
        <f>_xll.qlCalendarAdvance(Calendar,Y1079,X1080,"f",FALSE)</f>
        <v>46644</v>
      </c>
      <c r="Z1080" s="188">
        <f>_xll.qlCalendarAdvance(Calendar,Y1080,NDays&amp;"D")</f>
        <v>46646</v>
      </c>
      <c r="AA1080" s="163">
        <v>1.1019531586805076E-2</v>
      </c>
      <c r="AB1080" s="172">
        <v>1.0972149444770096E-2</v>
      </c>
    </row>
    <row r="1081" spans="24:28" x14ac:dyDescent="0.2">
      <c r="X1081" s="176" t="str">
        <f t="shared" si="50"/>
        <v>1w</v>
      </c>
      <c r="Y1081" s="164">
        <f>_xll.qlCalendarAdvance(Calendar,Y1080,X1081,"f",FALSE)</f>
        <v>46651</v>
      </c>
      <c r="Z1081" s="188">
        <f>_xll.qlCalendarAdvance(Calendar,Y1081,NDays&amp;"D")</f>
        <v>46653</v>
      </c>
      <c r="AA1081" s="163">
        <v>1.102074302808731E-2</v>
      </c>
      <c r="AB1081" s="172">
        <v>1.0973645214118477E-2</v>
      </c>
    </row>
    <row r="1082" spans="24:28" x14ac:dyDescent="0.2">
      <c r="X1082" s="176" t="str">
        <f t="shared" si="50"/>
        <v>1w</v>
      </c>
      <c r="Y1082" s="164">
        <f>_xll.qlCalendarAdvance(Calendar,Y1081,X1082,"f",FALSE)</f>
        <v>46658</v>
      </c>
      <c r="Z1082" s="188">
        <f>_xll.qlCalendarAdvance(Calendar,Y1082,NDays&amp;"D")</f>
        <v>46660</v>
      </c>
      <c r="AA1082" s="163">
        <v>1.1022177278840009E-2</v>
      </c>
      <c r="AB1082" s="172">
        <v>1.0975118474831902E-2</v>
      </c>
    </row>
    <row r="1083" spans="24:28" x14ac:dyDescent="0.2">
      <c r="X1083" s="176" t="str">
        <f t="shared" si="50"/>
        <v>1w</v>
      </c>
      <c r="Y1083" s="164">
        <f>_xll.qlCalendarAdvance(Calendar,Y1082,X1083,"f",FALSE)</f>
        <v>46665</v>
      </c>
      <c r="Z1083" s="188">
        <f>_xll.qlCalendarAdvance(Calendar,Y1083,NDays&amp;"D")</f>
        <v>46667</v>
      </c>
      <c r="AA1083" s="163">
        <v>1.1023341873970286E-2</v>
      </c>
      <c r="AB1083" s="172">
        <v>1.0976569227070243E-2</v>
      </c>
    </row>
    <row r="1084" spans="24:28" x14ac:dyDescent="0.2">
      <c r="X1084" s="176" t="str">
        <f t="shared" si="50"/>
        <v>1w</v>
      </c>
      <c r="Y1084" s="164">
        <f>_xll.qlCalendarAdvance(Calendar,Y1083,X1084,"f",FALSE)</f>
        <v>46672</v>
      </c>
      <c r="Z1084" s="188">
        <f>_xll.qlCalendarAdvance(Calendar,Y1084,NDays&amp;"D")</f>
        <v>46674</v>
      </c>
      <c r="AA1084" s="163">
        <v>1.1025451492061529E-2</v>
      </c>
      <c r="AB1084" s="172">
        <v>1.0977997470753564E-2</v>
      </c>
    </row>
    <row r="1085" spans="24:28" x14ac:dyDescent="0.2">
      <c r="X1085" s="176" t="str">
        <f t="shared" si="50"/>
        <v>1w</v>
      </c>
      <c r="Y1085" s="164">
        <f>_xll.qlCalendarAdvance(Calendar,Y1084,X1085,"f",FALSE)</f>
        <v>46679</v>
      </c>
      <c r="Z1085" s="188">
        <f>_xll.qlCalendarAdvance(Calendar,Y1085,NDays&amp;"D")</f>
        <v>46681</v>
      </c>
      <c r="AA1085" s="163">
        <v>1.1025603164301664E-2</v>
      </c>
      <c r="AB1085" s="172">
        <v>1.0979403205881866E-2</v>
      </c>
    </row>
    <row r="1086" spans="24:28" x14ac:dyDescent="0.2">
      <c r="X1086" s="176" t="str">
        <f t="shared" si="50"/>
        <v>1w</v>
      </c>
      <c r="Y1086" s="164">
        <f>_xll.qlCalendarAdvance(Calendar,Y1085,X1086,"f",FALSE)</f>
        <v>46686</v>
      </c>
      <c r="Z1086" s="188">
        <f>_xll.qlCalendarAdvance(Calendar,Y1086,NDays&amp;"D")</f>
        <v>46688</v>
      </c>
      <c r="AA1086" s="163">
        <v>1.102669985942545E-2</v>
      </c>
      <c r="AB1086" s="172">
        <v>1.0980786432535083E-2</v>
      </c>
    </row>
    <row r="1087" spans="24:28" x14ac:dyDescent="0.2">
      <c r="X1087" s="176" t="str">
        <f t="shared" si="50"/>
        <v>1w</v>
      </c>
      <c r="Y1087" s="164">
        <f>_xll.qlCalendarAdvance(Calendar,Y1086,X1087,"f",FALSE)</f>
        <v>46693</v>
      </c>
      <c r="Z1087" s="188">
        <f>_xll.qlCalendarAdvance(Calendar,Y1087,NDays&amp;"D")</f>
        <v>46695</v>
      </c>
      <c r="AA1087" s="163">
        <v>1.1027536391339464E-2</v>
      </c>
      <c r="AB1087" s="172">
        <v>1.0982147150633281E-2</v>
      </c>
    </row>
    <row r="1088" spans="24:28" x14ac:dyDescent="0.2">
      <c r="X1088" s="176" t="str">
        <f t="shared" si="50"/>
        <v>1w</v>
      </c>
      <c r="Y1088" s="164">
        <f>_xll.qlCalendarAdvance(Calendar,Y1087,X1088,"f",FALSE)</f>
        <v>46700</v>
      </c>
      <c r="Z1088" s="188">
        <f>_xll.qlCalendarAdvance(Calendar,Y1088,NDays&amp;"D")</f>
        <v>46702</v>
      </c>
      <c r="AA1088" s="163">
        <v>1.1028589404113583E-2</v>
      </c>
      <c r="AB1088" s="172">
        <v>1.0983485360176459E-2</v>
      </c>
    </row>
    <row r="1089" spans="24:28" x14ac:dyDescent="0.2">
      <c r="X1089" s="176" t="str">
        <f t="shared" si="50"/>
        <v>1w</v>
      </c>
      <c r="Y1089" s="164">
        <f>_xll.qlCalendarAdvance(Calendar,Y1088,X1089,"f",FALSE)</f>
        <v>46707</v>
      </c>
      <c r="Z1089" s="188">
        <f>_xll.qlCalendarAdvance(Calendar,Y1089,NDays&amp;"D")</f>
        <v>46709</v>
      </c>
      <c r="AA1089" s="163">
        <v>1.1029619784094481E-2</v>
      </c>
      <c r="AB1089" s="172">
        <v>1.098480106132449E-2</v>
      </c>
    </row>
    <row r="1090" spans="24:28" x14ac:dyDescent="0.2">
      <c r="X1090" s="176" t="str">
        <f t="shared" si="50"/>
        <v>1w</v>
      </c>
      <c r="Y1090" s="164">
        <f>_xll.qlCalendarAdvance(Calendar,Y1089,X1090,"f",FALSE)</f>
        <v>46714</v>
      </c>
      <c r="Z1090" s="188">
        <f>_xll.qlCalendarAdvance(Calendar,Y1090,NDays&amp;"D")</f>
        <v>46716</v>
      </c>
      <c r="AA1090" s="163">
        <v>1.1030627531246142E-2</v>
      </c>
      <c r="AB1090" s="172">
        <v>1.0986094253757628E-2</v>
      </c>
    </row>
    <row r="1091" spans="24:28" x14ac:dyDescent="0.2">
      <c r="X1091" s="176" t="str">
        <f t="shared" si="50"/>
        <v>1w</v>
      </c>
      <c r="Y1091" s="164">
        <f>_xll.qlCalendarAdvance(Calendar,Y1090,X1091,"f",FALSE)</f>
        <v>46721</v>
      </c>
      <c r="Z1091" s="188">
        <f>_xll.qlCalendarAdvance(Calendar,Y1091,NDays&amp;"D")</f>
        <v>46723</v>
      </c>
      <c r="AA1091" s="163">
        <v>1.1031843833140629E-2</v>
      </c>
      <c r="AB1091" s="172">
        <v>1.0987364937795618E-2</v>
      </c>
    </row>
    <row r="1092" spans="24:28" x14ac:dyDescent="0.2">
      <c r="X1092" s="176" t="str">
        <f t="shared" si="50"/>
        <v>1w</v>
      </c>
      <c r="Y1092" s="164">
        <f>_xll.qlCalendarAdvance(Calendar,Y1091,X1092,"f",FALSE)</f>
        <v>46728</v>
      </c>
      <c r="Z1092" s="188">
        <f>_xll.qlCalendarAdvance(Calendar,Y1092,NDays&amp;"D")</f>
        <v>46730</v>
      </c>
      <c r="AA1092" s="163">
        <v>1.1032804727255506E-2</v>
      </c>
      <c r="AB1092" s="172">
        <v>1.0988613113198653E-2</v>
      </c>
    </row>
    <row r="1093" spans="24:28" x14ac:dyDescent="0.2">
      <c r="X1093" s="176" t="str">
        <f t="shared" si="50"/>
        <v>1w</v>
      </c>
      <c r="Y1093" s="164">
        <f>_xll.qlCalendarAdvance(Calendar,Y1092,X1093,"f",FALSE)</f>
        <v>46735</v>
      </c>
      <c r="Z1093" s="188">
        <f>_xll.qlCalendarAdvance(Calendar,Y1093,NDays&amp;"D")</f>
        <v>46737</v>
      </c>
      <c r="AA1093" s="163">
        <v>1.1033742987749069E-2</v>
      </c>
      <c r="AB1093" s="172">
        <v>1.098983878020654E-2</v>
      </c>
    </row>
    <row r="1094" spans="24:28" x14ac:dyDescent="0.2">
      <c r="X1094" s="176" t="str">
        <f t="shared" si="50"/>
        <v>1w</v>
      </c>
      <c r="Y1094" s="164">
        <f>_xll.qlCalendarAdvance(Calendar,Y1093,X1094,"f",FALSE)</f>
        <v>46742</v>
      </c>
      <c r="Z1094" s="188">
        <f>_xll.qlCalendarAdvance(Calendar,Y1094,NDays&amp;"D")</f>
        <v>46744</v>
      </c>
      <c r="AA1094" s="163">
        <v>1.1034658614589427E-2</v>
      </c>
      <c r="AB1094" s="172">
        <v>1.0991041938659407E-2</v>
      </c>
    </row>
    <row r="1095" spans="24:28" x14ac:dyDescent="0.2">
      <c r="X1095" s="176" t="str">
        <f t="shared" si="50"/>
        <v>1w</v>
      </c>
      <c r="Y1095" s="164">
        <f>_xll.qlCalendarAdvance(Calendar,Y1094,X1095,"f",FALSE)</f>
        <v>46749</v>
      </c>
      <c r="Z1095" s="188">
        <f>_xll.qlCalendarAdvance(Calendar,Y1095,NDays&amp;"D")</f>
        <v>46751</v>
      </c>
      <c r="AA1095" s="163">
        <v>1.1035551607744259E-2</v>
      </c>
      <c r="AB1095" s="172">
        <v>1.0992222588477318E-2</v>
      </c>
    </row>
    <row r="1096" spans="24:28" x14ac:dyDescent="0.2">
      <c r="X1096" s="176" t="str">
        <f t="shared" si="50"/>
        <v>1w</v>
      </c>
      <c r="Y1096" s="164">
        <f>_xll.qlCalendarAdvance(Calendar,Y1095,X1096,"f",FALSE)</f>
        <v>46756</v>
      </c>
      <c r="Z1096" s="188">
        <f>_xll.qlCalendarAdvance(Calendar,Y1096,NDays&amp;"D")</f>
        <v>46758</v>
      </c>
      <c r="AA1096" s="163">
        <v>1.1036198722873293E-2</v>
      </c>
      <c r="AB1096" s="172">
        <v>1.0993380729820146E-2</v>
      </c>
    </row>
    <row r="1097" spans="24:28" x14ac:dyDescent="0.2">
      <c r="X1097" s="176" t="str">
        <f t="shared" si="50"/>
        <v>1w</v>
      </c>
      <c r="Y1097" s="164">
        <f>_xll.qlCalendarAdvance(Calendar,Y1096,X1097,"f",FALSE)</f>
        <v>46763</v>
      </c>
      <c r="Z1097" s="188">
        <f>_xll.qlCalendarAdvance(Calendar,Y1097,NDays&amp;"D")</f>
        <v>46765</v>
      </c>
      <c r="AA1097" s="163">
        <v>1.1037048039301467E-2</v>
      </c>
      <c r="AB1097" s="172">
        <v>1.0994516362687889E-2</v>
      </c>
    </row>
    <row r="1098" spans="24:28" x14ac:dyDescent="0.2">
      <c r="X1098" s="176" t="str">
        <f t="shared" si="50"/>
        <v>1w</v>
      </c>
      <c r="Y1098" s="164">
        <f>_xll.qlCalendarAdvance(Calendar,Y1097,X1098,"f",FALSE)</f>
        <v>46770</v>
      </c>
      <c r="Z1098" s="188">
        <f>_xll.qlCalendarAdvance(Calendar,Y1098,NDays&amp;"D")</f>
        <v>46772</v>
      </c>
      <c r="AA1098" s="163">
        <v>1.1037874722646982E-2</v>
      </c>
      <c r="AB1098" s="172">
        <v>1.0995629486920677E-2</v>
      </c>
    </row>
    <row r="1099" spans="24:28" x14ac:dyDescent="0.2">
      <c r="X1099" s="176" t="str">
        <f t="shared" si="50"/>
        <v>1w</v>
      </c>
      <c r="Y1099" s="164">
        <f>_xll.qlCalendarAdvance(Calendar,Y1098,X1099,"f",FALSE)</f>
        <v>46777</v>
      </c>
      <c r="Z1099" s="188">
        <f>_xll.qlCalendarAdvance(Calendar,Y1099,NDays&amp;"D")</f>
        <v>46779</v>
      </c>
      <c r="AA1099" s="163">
        <v>1.1038678772881727E-2</v>
      </c>
      <c r="AB1099" s="172">
        <v>1.0996720102678381E-2</v>
      </c>
    </row>
    <row r="1100" spans="24:28" x14ac:dyDescent="0.2">
      <c r="X1100" s="176" t="str">
        <f t="shared" si="50"/>
        <v>1w</v>
      </c>
      <c r="Y1100" s="164">
        <f>_xll.qlCalendarAdvance(Calendar,Y1099,X1100,"f",FALSE)</f>
        <v>46784</v>
      </c>
      <c r="Z1100" s="188">
        <f>_xll.qlCalendarAdvance(Calendar,Y1100,NDays&amp;"D")</f>
        <v>46786</v>
      </c>
      <c r="AA1100" s="163">
        <v>1.1039460189978031E-2</v>
      </c>
      <c r="AB1100" s="172">
        <v>1.0997788209961001E-2</v>
      </c>
    </row>
    <row r="1101" spans="24:28" x14ac:dyDescent="0.2">
      <c r="X1101" s="176" t="str">
        <f t="shared" si="50"/>
        <v>1w</v>
      </c>
      <c r="Y1101" s="164">
        <f>_xll.qlCalendarAdvance(Calendar,Y1100,X1101,"f",FALSE)</f>
        <v>46791</v>
      </c>
      <c r="Z1101" s="188">
        <f>_xll.qlCalendarAdvance(Calendar,Y1101,NDays&amp;"D")</f>
        <v>46793</v>
      </c>
      <c r="AA1101" s="163">
        <v>1.1040218973909543E-2</v>
      </c>
      <c r="AB1101" s="172">
        <v>1.0998833808688602E-2</v>
      </c>
    </row>
    <row r="1102" spans="24:28" x14ac:dyDescent="0.2">
      <c r="X1102" s="176" t="str">
        <f t="shared" si="50"/>
        <v>1w</v>
      </c>
      <c r="Y1102" s="164">
        <f>_xll.qlCalendarAdvance(Calendar,Y1101,X1102,"f",FALSE)</f>
        <v>46798</v>
      </c>
      <c r="Z1102" s="188">
        <f>_xll.qlCalendarAdvance(Calendar,Y1102,NDays&amp;"D")</f>
        <v>46800</v>
      </c>
      <c r="AA1102" s="163">
        <v>1.1040955124649908E-2</v>
      </c>
      <c r="AB1102" s="172">
        <v>1.0999856898781246E-2</v>
      </c>
    </row>
    <row r="1103" spans="24:28" x14ac:dyDescent="0.2">
      <c r="X1103" s="176" t="str">
        <f t="shared" si="50"/>
        <v>1w</v>
      </c>
      <c r="Y1103" s="164">
        <f>_xll.qlCalendarAdvance(Calendar,Y1102,X1103,"f",FALSE)</f>
        <v>46805</v>
      </c>
      <c r="Z1103" s="188">
        <f>_xll.qlCalendarAdvance(Calendar,Y1103,NDays&amp;"D")</f>
        <v>46807</v>
      </c>
      <c r="AA1103" s="163">
        <v>1.1041668642174533E-2</v>
      </c>
      <c r="AB1103" s="172">
        <v>1.1000857480398807E-2</v>
      </c>
    </row>
    <row r="1104" spans="24:28" x14ac:dyDescent="0.2">
      <c r="X1104" s="176" t="str">
        <f t="shared" si="50"/>
        <v>1w</v>
      </c>
      <c r="Y1104" s="164">
        <f>_xll.qlCalendarAdvance(Calendar,Y1103,X1104,"f",FALSE)</f>
        <v>46812</v>
      </c>
      <c r="Z1104" s="188">
        <f>_xll.qlCalendarAdvance(Calendar,Y1104,NDays&amp;"D")</f>
        <v>46814</v>
      </c>
      <c r="AA1104" s="163">
        <v>1.1043200634662976E-2</v>
      </c>
      <c r="AB1104" s="172">
        <v>1.1001835553541284E-2</v>
      </c>
    </row>
    <row r="1105" spans="24:28" x14ac:dyDescent="0.2">
      <c r="X1105" s="176" t="str">
        <f t="shared" si="50"/>
        <v>1w</v>
      </c>
      <c r="Y1105" s="164">
        <f>_xll.qlCalendarAdvance(Calendar,Y1104,X1105,"f",FALSE)</f>
        <v>46819</v>
      </c>
      <c r="Z1105" s="188">
        <f>_xll.qlCalendarAdvance(Calendar,Y1105,NDays&amp;"D")</f>
        <v>46821</v>
      </c>
      <c r="AA1105" s="163">
        <v>1.1043862500001856E-2</v>
      </c>
      <c r="AB1105" s="172">
        <v>1.1002791118208677E-2</v>
      </c>
    </row>
    <row r="1106" spans="24:28" x14ac:dyDescent="0.2">
      <c r="X1106" s="176" t="str">
        <f t="shared" si="50"/>
        <v>1w</v>
      </c>
      <c r="Y1106" s="164">
        <f>_xll.qlCalendarAdvance(Calendar,Y1105,X1106,"f",FALSE)</f>
        <v>46826</v>
      </c>
      <c r="Z1106" s="188">
        <f>_xll.qlCalendarAdvance(Calendar,Y1106,NDays&amp;"D")</f>
        <v>46828</v>
      </c>
      <c r="AA1106" s="163">
        <v>1.1044501729282976E-2</v>
      </c>
      <c r="AB1106" s="172">
        <v>1.1003724174241114E-2</v>
      </c>
    </row>
    <row r="1107" spans="24:28" x14ac:dyDescent="0.2">
      <c r="X1107" s="176" t="str">
        <f t="shared" si="50"/>
        <v>1w</v>
      </c>
      <c r="Y1107" s="164">
        <f>_xll.qlCalendarAdvance(Calendar,Y1106,X1107,"f",FALSE)</f>
        <v>46833</v>
      </c>
      <c r="Z1107" s="188">
        <f>_xll.qlCalendarAdvance(Calendar,Y1107,NDays&amp;"D")</f>
        <v>46835</v>
      </c>
      <c r="AA1107" s="163">
        <v>1.1045118322483989E-2</v>
      </c>
      <c r="AB1107" s="172">
        <v>1.1004634721718531E-2</v>
      </c>
    </row>
    <row r="1108" spans="24:28" x14ac:dyDescent="0.2">
      <c r="X1108" s="176" t="str">
        <f t="shared" si="50"/>
        <v>1w</v>
      </c>
      <c r="Y1108" s="164">
        <f>_xll.qlCalendarAdvance(Calendar,Y1107,X1108,"f",FALSE)</f>
        <v>46840</v>
      </c>
      <c r="Z1108" s="188">
        <f>_xll.qlCalendarAdvance(Calendar,Y1108,NDays&amp;"D")</f>
        <v>46842</v>
      </c>
      <c r="AA1108" s="163">
        <v>1.1045100840538053E-2</v>
      </c>
      <c r="AB1108" s="172">
        <v>1.1005522760800801E-2</v>
      </c>
    </row>
    <row r="1109" spans="24:28" x14ac:dyDescent="0.2">
      <c r="X1109" s="176" t="str">
        <f t="shared" ref="X1109:X1172" si="51">X1108</f>
        <v>1w</v>
      </c>
      <c r="Y1109" s="164">
        <f>_xll.qlCalendarAdvance(Calendar,Y1108,X1109,"f",FALSE)</f>
        <v>46847</v>
      </c>
      <c r="Z1109" s="188">
        <f>_xll.qlCalendarAdvance(Calendar,Y1109,NDays&amp;"D")</f>
        <v>46849</v>
      </c>
      <c r="AA1109" s="163">
        <v>1.1045676959237903E-2</v>
      </c>
      <c r="AB1109" s="172">
        <v>1.1006388291168179E-2</v>
      </c>
    </row>
    <row r="1110" spans="24:28" x14ac:dyDescent="0.2">
      <c r="X1110" s="176" t="str">
        <f t="shared" si="51"/>
        <v>1w</v>
      </c>
      <c r="Y1110" s="164">
        <f>_xll.qlCalendarAdvance(Calendar,Y1109,X1110,"f",FALSE)</f>
        <v>46854</v>
      </c>
      <c r="Z1110" s="188">
        <f>_xll.qlCalendarAdvance(Calendar,Y1110,NDays&amp;"D")</f>
        <v>46856</v>
      </c>
      <c r="AA1110" s="163">
        <v>1.1046230443874386E-2</v>
      </c>
      <c r="AB1110" s="172">
        <v>1.1008140738763217E-2</v>
      </c>
    </row>
    <row r="1111" spans="24:28" x14ac:dyDescent="0.2">
      <c r="X1111" s="176" t="str">
        <f t="shared" si="51"/>
        <v>1w</v>
      </c>
      <c r="Y1111" s="164">
        <f>_xll.qlCalendarAdvance(Calendar,Y1110,X1111,"f",FALSE)</f>
        <v>46861</v>
      </c>
      <c r="Z1111" s="188">
        <f>_xll.qlCalendarAdvance(Calendar,Y1111,NDays&amp;"D")</f>
        <v>46863</v>
      </c>
      <c r="AA1111" s="163">
        <v>1.104676129442872E-2</v>
      </c>
      <c r="AB1111" s="172">
        <v>1.1008051826557619E-2</v>
      </c>
    </row>
    <row r="1112" spans="24:28" x14ac:dyDescent="0.2">
      <c r="X1112" s="176" t="str">
        <f t="shared" si="51"/>
        <v>1w</v>
      </c>
      <c r="Y1112" s="164">
        <f>_xll.qlCalendarAdvance(Calendar,Y1111,X1112,"f",FALSE)</f>
        <v>46868</v>
      </c>
      <c r="Z1112" s="188">
        <f>_xll.qlCalendarAdvance(Calendar,Y1112,NDays&amp;"D")</f>
        <v>46870</v>
      </c>
      <c r="AA1112" s="163">
        <v>1.1047269510882559E-2</v>
      </c>
      <c r="AB1112" s="172">
        <v>1.1008849831339873E-2</v>
      </c>
    </row>
    <row r="1113" spans="24:28" x14ac:dyDescent="0.2">
      <c r="X1113" s="176" t="str">
        <f t="shared" si="51"/>
        <v>1w</v>
      </c>
      <c r="Y1113" s="164">
        <f>_xll.qlCalendarAdvance(Calendar,Y1112,X1113,"f",FALSE)</f>
        <v>46875</v>
      </c>
      <c r="Z1113" s="188">
        <f>_xll.qlCalendarAdvance(Calendar,Y1113,NDays&amp;"D")</f>
        <v>46877</v>
      </c>
      <c r="AA1113" s="163">
        <v>1.1048342522859491E-2</v>
      </c>
      <c r="AB1113" s="172">
        <v>1.1009625327647043E-2</v>
      </c>
    </row>
    <row r="1114" spans="24:28" x14ac:dyDescent="0.2">
      <c r="X1114" s="176" t="str">
        <f t="shared" si="51"/>
        <v>1w</v>
      </c>
      <c r="Y1114" s="164">
        <f>_xll.qlCalendarAdvance(Calendar,Y1113,X1114,"f",FALSE)</f>
        <v>46882</v>
      </c>
      <c r="Z1114" s="188">
        <f>_xll.qlCalendarAdvance(Calendar,Y1114,NDays&amp;"D")</f>
        <v>46884</v>
      </c>
      <c r="AA1114" s="163">
        <v>1.1048800662942351E-2</v>
      </c>
      <c r="AB1114" s="172">
        <v>1.1010378315559066E-2</v>
      </c>
    </row>
    <row r="1115" spans="24:28" x14ac:dyDescent="0.2">
      <c r="X1115" s="176" t="str">
        <f t="shared" si="51"/>
        <v>1w</v>
      </c>
      <c r="Y1115" s="164">
        <f>_xll.qlCalendarAdvance(Calendar,Y1114,X1115,"f",FALSE)</f>
        <v>46889</v>
      </c>
      <c r="Z1115" s="188">
        <f>_xll.qlCalendarAdvance(Calendar,Y1115,NDays&amp;"D")</f>
        <v>46891</v>
      </c>
      <c r="AA1115" s="163">
        <v>1.1049236166794686E-2</v>
      </c>
      <c r="AB1115" s="172">
        <v>1.1011108794756197E-2</v>
      </c>
    </row>
    <row r="1116" spans="24:28" x14ac:dyDescent="0.2">
      <c r="X1116" s="176" t="str">
        <f t="shared" si="51"/>
        <v>1w</v>
      </c>
      <c r="Y1116" s="164">
        <f>_xll.qlCalendarAdvance(Calendar,Y1115,X1116,"f",FALSE)</f>
        <v>46896</v>
      </c>
      <c r="Z1116" s="188">
        <f>_xll.qlCalendarAdvance(Calendar,Y1116,NDays&amp;"D")</f>
        <v>46898</v>
      </c>
      <c r="AA1116" s="163">
        <v>1.1049649034401886E-2</v>
      </c>
      <c r="AB1116" s="172">
        <v>1.101181676555818E-2</v>
      </c>
    </row>
    <row r="1117" spans="24:28" x14ac:dyDescent="0.2">
      <c r="X1117" s="176" t="str">
        <f t="shared" si="51"/>
        <v>1w</v>
      </c>
      <c r="Y1117" s="164">
        <f>_xll.qlCalendarAdvance(Calendar,Y1116,X1117,"f",FALSE)</f>
        <v>46903</v>
      </c>
      <c r="Z1117" s="188">
        <f>_xll.qlCalendarAdvance(Calendar,Y1117,NDays&amp;"D")</f>
        <v>46905</v>
      </c>
      <c r="AA1117" s="163">
        <v>1.1049471081062927E-2</v>
      </c>
      <c r="AB1117" s="172">
        <v>1.1012502227725207E-2</v>
      </c>
    </row>
    <row r="1118" spans="24:28" x14ac:dyDescent="0.2">
      <c r="X1118" s="176" t="str">
        <f t="shared" si="51"/>
        <v>1w</v>
      </c>
      <c r="Y1118" s="164">
        <f>_xll.qlCalendarAdvance(Calendar,Y1117,X1118,"f",FALSE)</f>
        <v>46910</v>
      </c>
      <c r="Z1118" s="188">
        <f>_xll.qlCalendarAdvance(Calendar,Y1118,NDays&amp;"D")</f>
        <v>46912</v>
      </c>
      <c r="AA1118" s="163">
        <v>1.1049843492574828E-2</v>
      </c>
      <c r="AB1118" s="172">
        <v>1.1013165181337214E-2</v>
      </c>
    </row>
    <row r="1119" spans="24:28" x14ac:dyDescent="0.2">
      <c r="X1119" s="176" t="str">
        <f t="shared" si="51"/>
        <v>1w</v>
      </c>
      <c r="Y1119" s="164">
        <f>_xll.qlCalendarAdvance(Calendar,Y1118,X1119,"f",FALSE)</f>
        <v>46917</v>
      </c>
      <c r="Z1119" s="188">
        <f>_xll.qlCalendarAdvance(Calendar,Y1119,NDays&amp;"D")</f>
        <v>46919</v>
      </c>
      <c r="AA1119" s="163">
        <v>1.1050193269880965E-2</v>
      </c>
      <c r="AB1119" s="172">
        <v>1.1013805626474138E-2</v>
      </c>
    </row>
    <row r="1120" spans="24:28" x14ac:dyDescent="0.2">
      <c r="X1120" s="176" t="str">
        <f t="shared" si="51"/>
        <v>1w</v>
      </c>
      <c r="Y1120" s="164">
        <f>_xll.qlCalendarAdvance(Calendar,Y1119,X1120,"f",FALSE)</f>
        <v>46924</v>
      </c>
      <c r="Z1120" s="188">
        <f>_xll.qlCalendarAdvance(Calendar,Y1120,NDays&amp;"D")</f>
        <v>46926</v>
      </c>
      <c r="AA1120" s="163">
        <v>1.1050520412968666E-2</v>
      </c>
      <c r="AB1120" s="172">
        <v>1.1014423563056042E-2</v>
      </c>
    </row>
    <row r="1121" spans="24:28" x14ac:dyDescent="0.2">
      <c r="X1121" s="176" t="str">
        <f t="shared" si="51"/>
        <v>1w</v>
      </c>
      <c r="Y1121" s="164">
        <f>_xll.qlCalendarAdvance(Calendar,Y1120,X1121,"f",FALSE)</f>
        <v>46931</v>
      </c>
      <c r="Z1121" s="188">
        <f>_xll.qlCalendarAdvance(Calendar,Y1121,NDays&amp;"D")</f>
        <v>46933</v>
      </c>
      <c r="AA1121" s="163">
        <v>1.1050824921827013E-2</v>
      </c>
      <c r="AB1121" s="172">
        <v>1.1015018991162862E-2</v>
      </c>
    </row>
    <row r="1122" spans="24:28" x14ac:dyDescent="0.2">
      <c r="X1122" s="176" t="str">
        <f t="shared" si="51"/>
        <v>1w</v>
      </c>
      <c r="Y1122" s="164">
        <f>_xll.qlCalendarAdvance(Calendar,Y1121,X1122,"f",FALSE)</f>
        <v>46938</v>
      </c>
      <c r="Z1122" s="188">
        <f>_xll.qlCalendarAdvance(Calendar,Y1122,NDays&amp;"D")</f>
        <v>46940</v>
      </c>
      <c r="AA1122" s="163">
        <v>1.1051650878145559E-2</v>
      </c>
      <c r="AB1122" s="172">
        <v>1.1015591910714662E-2</v>
      </c>
    </row>
    <row r="1123" spans="24:28" x14ac:dyDescent="0.2">
      <c r="X1123" s="176" t="str">
        <f t="shared" si="51"/>
        <v>1w</v>
      </c>
      <c r="Y1123" s="164">
        <f>_xll.qlCalendarAdvance(Calendar,Y1122,X1123,"f",FALSE)</f>
        <v>46945</v>
      </c>
      <c r="Z1123" s="188">
        <f>_xll.qlCalendarAdvance(Calendar,Y1123,NDays&amp;"D")</f>
        <v>46947</v>
      </c>
      <c r="AA1123" s="163">
        <v>1.1051905291677091E-2</v>
      </c>
      <c r="AB1123" s="172">
        <v>1.1016142321631506E-2</v>
      </c>
    </row>
    <row r="1124" spans="24:28" x14ac:dyDescent="0.2">
      <c r="X1124" s="176" t="str">
        <f t="shared" si="51"/>
        <v>1w</v>
      </c>
      <c r="Y1124" s="164">
        <f>_xll.qlCalendarAdvance(Calendar,Y1123,X1124,"f",FALSE)</f>
        <v>46952</v>
      </c>
      <c r="Z1124" s="188">
        <f>_xll.qlCalendarAdvance(Calendar,Y1124,NDays&amp;"D")</f>
        <v>46954</v>
      </c>
      <c r="AA1124" s="163">
        <v>1.1052137068870659E-2</v>
      </c>
      <c r="AB1124" s="172">
        <v>1.1016670224233138E-2</v>
      </c>
    </row>
    <row r="1125" spans="24:28" x14ac:dyDescent="0.2">
      <c r="X1125" s="176" t="str">
        <f t="shared" si="51"/>
        <v>1w</v>
      </c>
      <c r="Y1125" s="164">
        <f>_xll.qlCalendarAdvance(Calendar,Y1124,X1125,"f",FALSE)</f>
        <v>46959</v>
      </c>
      <c r="Z1125" s="188">
        <f>_xll.qlCalendarAdvance(Calendar,Y1125,NDays&amp;"D")</f>
        <v>46961</v>
      </c>
      <c r="AA1125" s="163">
        <v>1.1052346209717664E-2</v>
      </c>
      <c r="AB1125" s="172">
        <v>1.1017175618039943E-2</v>
      </c>
    </row>
    <row r="1126" spans="24:28" x14ac:dyDescent="0.2">
      <c r="X1126" s="176" t="str">
        <f t="shared" si="51"/>
        <v>1w</v>
      </c>
      <c r="Y1126" s="164">
        <f>_xll.qlCalendarAdvance(Calendar,Y1125,X1126,"f",FALSE)</f>
        <v>46966</v>
      </c>
      <c r="Z1126" s="188">
        <f>_xll.qlCalendarAdvance(Calendar,Y1126,NDays&amp;"D")</f>
        <v>46968</v>
      </c>
      <c r="AA1126" s="163">
        <v>1.1052532714211234E-2</v>
      </c>
      <c r="AB1126" s="172">
        <v>1.1017658503451599E-2</v>
      </c>
    </row>
    <row r="1127" spans="24:28" x14ac:dyDescent="0.2">
      <c r="X1127" s="176" t="str">
        <f t="shared" si="51"/>
        <v>1w</v>
      </c>
      <c r="Y1127" s="164">
        <f>_xll.qlCalendarAdvance(Calendar,Y1126,X1127,"f",FALSE)</f>
        <v>46973</v>
      </c>
      <c r="Z1127" s="188">
        <f>_xll.qlCalendarAdvance(Calendar,Y1127,NDays&amp;"D")</f>
        <v>46975</v>
      </c>
      <c r="AA1127" s="163">
        <v>1.1052696582344061E-2</v>
      </c>
      <c r="AB1127" s="172">
        <v>1.1018118880388172E-2</v>
      </c>
    </row>
    <row r="1128" spans="24:28" x14ac:dyDescent="0.2">
      <c r="X1128" s="176" t="str">
        <f t="shared" si="51"/>
        <v>1w</v>
      </c>
      <c r="Y1128" s="164">
        <f>_xll.qlCalendarAdvance(Calendar,Y1127,X1128,"f",FALSE)</f>
        <v>46980</v>
      </c>
      <c r="Z1128" s="188">
        <f>_xll.qlCalendarAdvance(Calendar,Y1128,NDays&amp;"D")</f>
        <v>46982</v>
      </c>
      <c r="AA1128" s="163">
        <v>1.1052837814111417E-2</v>
      </c>
      <c r="AB1128" s="172">
        <v>1.101855674868979E-2</v>
      </c>
    </row>
    <row r="1129" spans="24:28" x14ac:dyDescent="0.2">
      <c r="X1129" s="176" t="str">
        <f t="shared" si="51"/>
        <v>1w</v>
      </c>
      <c r="Y1129" s="164">
        <f>_xll.qlCalendarAdvance(Calendar,Y1128,X1129,"f",FALSE)</f>
        <v>46987</v>
      </c>
      <c r="Z1129" s="188">
        <f>_xll.qlCalendarAdvance(Calendar,Y1129,NDays&amp;"D")</f>
        <v>46989</v>
      </c>
      <c r="AA1129" s="163">
        <v>1.1052956409507287E-2</v>
      </c>
      <c r="AB1129" s="172">
        <v>1.1018972108436387E-2</v>
      </c>
    </row>
    <row r="1130" spans="24:28" x14ac:dyDescent="0.2">
      <c r="X1130" s="176" t="str">
        <f t="shared" si="51"/>
        <v>1w</v>
      </c>
      <c r="Y1130" s="164">
        <f>_xll.qlCalendarAdvance(Calendar,Y1129,X1130,"f",FALSE)</f>
        <v>46994</v>
      </c>
      <c r="Z1130" s="188">
        <f>_xll.qlCalendarAdvance(Calendar,Y1130,NDays&amp;"D")</f>
        <v>46996</v>
      </c>
      <c r="AA1130" s="163">
        <v>1.1052209267768801E-2</v>
      </c>
      <c r="AB1130" s="172">
        <v>1.1019364959787836E-2</v>
      </c>
    </row>
    <row r="1131" spans="24:28" x14ac:dyDescent="0.2">
      <c r="X1131" s="176" t="str">
        <f t="shared" si="51"/>
        <v>1w</v>
      </c>
      <c r="Y1131" s="164">
        <f>_xll.qlCalendarAdvance(Calendar,Y1130,X1131,"f",FALSE)</f>
        <v>47001</v>
      </c>
      <c r="Z1131" s="188">
        <f>_xll.qlCalendarAdvance(Calendar,Y1131,NDays&amp;"D")</f>
        <v>47003</v>
      </c>
      <c r="AA1131" s="163">
        <v>1.1052290662373447E-2</v>
      </c>
      <c r="AB1131" s="172">
        <v>1.1019735302424394E-2</v>
      </c>
    </row>
    <row r="1132" spans="24:28" x14ac:dyDescent="0.2">
      <c r="X1132" s="176" t="str">
        <f t="shared" si="51"/>
        <v>1w</v>
      </c>
      <c r="Y1132" s="164">
        <f>_xll.qlCalendarAdvance(Calendar,Y1131,X1132,"f",FALSE)</f>
        <v>47008</v>
      </c>
      <c r="Z1132" s="188">
        <f>_xll.qlCalendarAdvance(Calendar,Y1132,NDays&amp;"D")</f>
        <v>47010</v>
      </c>
      <c r="AA1132" s="163">
        <v>1.1052349424062885E-2</v>
      </c>
      <c r="AB1132" s="172">
        <v>1.102008313674574E-2</v>
      </c>
    </row>
    <row r="1133" spans="24:28" x14ac:dyDescent="0.2">
      <c r="X1133" s="176" t="str">
        <f t="shared" si="51"/>
        <v>1w</v>
      </c>
      <c r="Y1133" s="164">
        <f>_xll.qlCalendarAdvance(Calendar,Y1132,X1133,"f",FALSE)</f>
        <v>47015</v>
      </c>
      <c r="Z1133" s="188">
        <f>_xll.qlCalendarAdvance(Calendar,Y1133,NDays&amp;"D")</f>
        <v>47017</v>
      </c>
      <c r="AA1133" s="163">
        <v>1.1052385552834462E-2</v>
      </c>
      <c r="AB1133" s="172">
        <v>1.1020408462352194E-2</v>
      </c>
    </row>
    <row r="1134" spans="24:28" x14ac:dyDescent="0.2">
      <c r="X1134" s="176" t="str">
        <f t="shared" si="51"/>
        <v>1w</v>
      </c>
      <c r="Y1134" s="164">
        <f>_xll.qlCalendarAdvance(Calendar,Y1133,X1134,"f",FALSE)</f>
        <v>47022</v>
      </c>
      <c r="Z1134" s="188">
        <f>_xll.qlCalendarAdvance(Calendar,Y1134,NDays&amp;"D")</f>
        <v>47024</v>
      </c>
      <c r="AA1134" s="163">
        <v>1.1052399048687295E-2</v>
      </c>
      <c r="AB1134" s="172">
        <v>1.1020711279483564E-2</v>
      </c>
    </row>
    <row r="1135" spans="24:28" x14ac:dyDescent="0.2">
      <c r="X1135" s="176" t="str">
        <f t="shared" si="51"/>
        <v>1w</v>
      </c>
      <c r="Y1135" s="164">
        <f>_xll.qlCalendarAdvance(Calendar,Y1134,X1135,"f",FALSE)</f>
        <v>47029</v>
      </c>
      <c r="Z1135" s="188">
        <f>_xll.qlCalendarAdvance(Calendar,Y1135,NDays&amp;"D")</f>
        <v>47031</v>
      </c>
      <c r="AA1135" s="163">
        <v>1.1052550754984077E-2</v>
      </c>
      <c r="AB1135" s="172">
        <v>1.1020991588059914E-2</v>
      </c>
    </row>
    <row r="1136" spans="24:28" x14ac:dyDescent="0.2">
      <c r="X1136" s="176" t="str">
        <f t="shared" si="51"/>
        <v>1w</v>
      </c>
      <c r="Y1136" s="164">
        <f>_xll.qlCalendarAdvance(Calendar,Y1135,X1136,"f",FALSE)</f>
        <v>47036</v>
      </c>
      <c r="Z1136" s="188">
        <f>_xll.qlCalendarAdvance(Calendar,Y1136,NDays&amp;"D")</f>
        <v>47038</v>
      </c>
      <c r="AA1136" s="163">
        <v>1.1052517367338461E-2</v>
      </c>
      <c r="AB1136" s="172">
        <v>1.1021249388081245E-2</v>
      </c>
    </row>
    <row r="1137" spans="24:28" x14ac:dyDescent="0.2">
      <c r="X1137" s="176" t="str">
        <f t="shared" si="51"/>
        <v>1w</v>
      </c>
      <c r="Y1137" s="164">
        <f>_xll.qlCalendarAdvance(Calendar,Y1136,X1137,"f",FALSE)</f>
        <v>47043</v>
      </c>
      <c r="Z1137" s="188">
        <f>_xll.qlCalendarAdvance(Calendar,Y1137,NDays&amp;"D")</f>
        <v>47045</v>
      </c>
      <c r="AA1137" s="163">
        <v>1.1052461346083134E-2</v>
      </c>
      <c r="AB1137" s="172">
        <v>1.1021484679627491E-2</v>
      </c>
    </row>
    <row r="1138" spans="24:28" x14ac:dyDescent="0.2">
      <c r="X1138" s="176" t="str">
        <f t="shared" si="51"/>
        <v>1w</v>
      </c>
      <c r="Y1138" s="164">
        <f>_xll.qlCalendarAdvance(Calendar,Y1137,X1138,"f",FALSE)</f>
        <v>47050</v>
      </c>
      <c r="Z1138" s="188">
        <f>_xll.qlCalendarAdvance(Calendar,Y1138,NDays&amp;"D")</f>
        <v>47052</v>
      </c>
      <c r="AA1138" s="163">
        <v>1.1052382691218535E-2</v>
      </c>
      <c r="AB1138" s="172">
        <v>1.1021697462618718E-2</v>
      </c>
    </row>
    <row r="1139" spans="24:28" x14ac:dyDescent="0.2">
      <c r="X1139" s="176" t="str">
        <f t="shared" si="51"/>
        <v>1w</v>
      </c>
      <c r="Y1139" s="164">
        <f>_xll.qlCalendarAdvance(Calendar,Y1138,X1139,"f",FALSE)</f>
        <v>47057</v>
      </c>
      <c r="Z1139" s="188">
        <f>_xll.qlCalendarAdvance(Calendar,Y1139,NDays&amp;"D")</f>
        <v>47059</v>
      </c>
      <c r="AA1139" s="163">
        <v>1.1052127034177813E-2</v>
      </c>
      <c r="AB1139" s="172">
        <v>1.1021887737054925E-2</v>
      </c>
    </row>
    <row r="1140" spans="24:28" x14ac:dyDescent="0.2">
      <c r="X1140" s="176" t="str">
        <f t="shared" si="51"/>
        <v>1w</v>
      </c>
      <c r="Y1140" s="164">
        <f>_xll.qlCalendarAdvance(Calendar,Y1139,X1140,"f",FALSE)</f>
        <v>47064</v>
      </c>
      <c r="Z1140" s="188">
        <f>_xll.qlCalendarAdvance(Calendar,Y1140,NDays&amp;"D")</f>
        <v>47066</v>
      </c>
      <c r="AA1140" s="163">
        <v>1.1052004732534525E-2</v>
      </c>
      <c r="AB1140" s="172">
        <v>1.1022055503016048E-2</v>
      </c>
    </row>
    <row r="1141" spans="24:28" x14ac:dyDescent="0.2">
      <c r="X1141" s="176" t="str">
        <f t="shared" si="51"/>
        <v>1w</v>
      </c>
      <c r="Y1141" s="164">
        <f>_xll.qlCalendarAdvance(Calendar,Y1140,X1141,"f",FALSE)</f>
        <v>47071</v>
      </c>
      <c r="Z1141" s="188">
        <f>_xll.qlCalendarAdvance(Calendar,Y1141,NDays&amp;"D")</f>
        <v>47073</v>
      </c>
      <c r="AA1141" s="163">
        <v>1.1051859797985302E-2</v>
      </c>
      <c r="AB1141" s="172">
        <v>1.1022200760422152E-2</v>
      </c>
    </row>
    <row r="1142" spans="24:28" x14ac:dyDescent="0.2">
      <c r="X1142" s="176" t="str">
        <f t="shared" si="51"/>
        <v>1w</v>
      </c>
      <c r="Y1142" s="164">
        <f>_xll.qlCalendarAdvance(Calendar,Y1141,X1142,"f",FALSE)</f>
        <v>47078</v>
      </c>
      <c r="Z1142" s="188">
        <f>_xll.qlCalendarAdvance(Calendar,Y1142,NDays&amp;"D")</f>
        <v>47080</v>
      </c>
      <c r="AA1142" s="163">
        <v>1.1051692230534999E-2</v>
      </c>
      <c r="AB1142" s="172">
        <v>1.1022323509273235E-2</v>
      </c>
    </row>
    <row r="1143" spans="24:28" x14ac:dyDescent="0.2">
      <c r="X1143" s="176" t="str">
        <f t="shared" si="51"/>
        <v>1w</v>
      </c>
      <c r="Y1143" s="164">
        <f>_xll.qlCalendarAdvance(Calendar,Y1142,X1143,"f",FALSE)</f>
        <v>47085</v>
      </c>
      <c r="Z1143" s="188">
        <f>_xll.qlCalendarAdvance(Calendar,Y1143,NDays&amp;"D")</f>
        <v>47087</v>
      </c>
      <c r="AA1143" s="163">
        <v>1.1051649912886456E-2</v>
      </c>
      <c r="AB1143" s="172">
        <v>1.1022423749569299E-2</v>
      </c>
    </row>
    <row r="1144" spans="24:28" x14ac:dyDescent="0.2">
      <c r="X1144" s="176" t="str">
        <f t="shared" si="51"/>
        <v>1w</v>
      </c>
      <c r="Y1144" s="164">
        <f>_xll.qlCalendarAdvance(Calendar,Y1143,X1144,"f",FALSE)</f>
        <v>47092</v>
      </c>
      <c r="Z1144" s="188">
        <f>_xll.qlCalendarAdvance(Calendar,Y1144,NDays&amp;"D")</f>
        <v>47094</v>
      </c>
      <c r="AA1144" s="163">
        <v>1.1051435456452307E-2</v>
      </c>
      <c r="AB1144" s="172">
        <v>1.1022501481310343E-2</v>
      </c>
    </row>
    <row r="1145" spans="24:28" x14ac:dyDescent="0.2">
      <c r="X1145" s="176" t="str">
        <f t="shared" si="51"/>
        <v>1w</v>
      </c>
      <c r="Y1145" s="164">
        <f>_xll.qlCalendarAdvance(Calendar,Y1144,X1145,"f",FALSE)</f>
        <v>47099</v>
      </c>
      <c r="Z1145" s="188">
        <f>_xll.qlCalendarAdvance(Calendar,Y1145,NDays&amp;"D")</f>
        <v>47101</v>
      </c>
      <c r="AA1145" s="163">
        <v>1.1051198366444899E-2</v>
      </c>
      <c r="AB1145" s="172">
        <v>1.1022556704576303E-2</v>
      </c>
    </row>
    <row r="1146" spans="24:28" x14ac:dyDescent="0.2">
      <c r="X1146" s="176" t="str">
        <f t="shared" si="51"/>
        <v>1w</v>
      </c>
      <c r="Y1146" s="164">
        <f>_xll.qlCalendarAdvance(Calendar,Y1145,X1146,"f",FALSE)</f>
        <v>47106</v>
      </c>
      <c r="Z1146" s="188">
        <f>_xll.qlCalendarAdvance(Calendar,Y1146,NDays&amp;"D")</f>
        <v>47108</v>
      </c>
      <c r="AA1146" s="163">
        <v>1.1050938642871702E-2</v>
      </c>
      <c r="AB1146" s="172">
        <v>1.1022589419287243E-2</v>
      </c>
    </row>
    <row r="1147" spans="24:28" x14ac:dyDescent="0.2">
      <c r="X1147" s="176" t="str">
        <f t="shared" si="51"/>
        <v>1w</v>
      </c>
      <c r="Y1147" s="164">
        <f>_xll.qlCalendarAdvance(Calendar,Y1146,X1147,"f",FALSE)</f>
        <v>47114</v>
      </c>
      <c r="Z1147" s="188">
        <f>_xll.qlCalendarAdvance(Calendar,Y1147,NDays&amp;"D")</f>
        <v>47116</v>
      </c>
      <c r="AA1147" s="163">
        <v>1.1050614101372093E-2</v>
      </c>
      <c r="AB1147" s="172">
        <v>1.1023103779141952E-2</v>
      </c>
    </row>
    <row r="1148" spans="24:28" x14ac:dyDescent="0.2">
      <c r="X1148" s="176" t="str">
        <f t="shared" si="51"/>
        <v>1w</v>
      </c>
      <c r="Y1148" s="164">
        <f>_xll.qlCalendarAdvance(Calendar,Y1147,X1148,"f",FALSE)</f>
        <v>47121</v>
      </c>
      <c r="Z1148" s="188">
        <f>_xll.qlCalendarAdvance(Calendar,Y1148,NDays&amp;"D")</f>
        <v>47123</v>
      </c>
      <c r="AA1148" s="163">
        <v>1.1050166349887088E-2</v>
      </c>
      <c r="AB1148" s="172">
        <v>1.1022917016649814E-2</v>
      </c>
    </row>
    <row r="1149" spans="24:28" x14ac:dyDescent="0.2">
      <c r="X1149" s="176" t="str">
        <f t="shared" si="51"/>
        <v>1w</v>
      </c>
      <c r="Y1149" s="164">
        <f>_xll.qlCalendarAdvance(Calendar,Y1148,X1149,"f",FALSE)</f>
        <v>47128</v>
      </c>
      <c r="Z1149" s="188">
        <f>_xll.qlCalendarAdvance(Calendar,Y1149,NDays&amp;"D")</f>
        <v>47130</v>
      </c>
      <c r="AA1149" s="163">
        <v>1.104983711906901E-2</v>
      </c>
      <c r="AB1149" s="172">
        <v>1.1022875772228602E-2</v>
      </c>
    </row>
    <row r="1150" spans="24:28" x14ac:dyDescent="0.2">
      <c r="X1150" s="176" t="str">
        <f t="shared" si="51"/>
        <v>1w</v>
      </c>
      <c r="Y1150" s="164">
        <f>_xll.qlCalendarAdvance(Calendar,Y1149,X1150,"f",FALSE)</f>
        <v>47135</v>
      </c>
      <c r="Z1150" s="188">
        <f>_xll.qlCalendarAdvance(Calendar,Y1150,NDays&amp;"D")</f>
        <v>47137</v>
      </c>
      <c r="AA1150" s="163">
        <v>1.104948525541875E-2</v>
      </c>
      <c r="AB1150" s="172">
        <v>1.1022812017893457E-2</v>
      </c>
    </row>
    <row r="1151" spans="24:28" x14ac:dyDescent="0.2">
      <c r="X1151" s="176" t="str">
        <f t="shared" si="51"/>
        <v>1w</v>
      </c>
      <c r="Y1151" s="164">
        <f>_xll.qlCalendarAdvance(Calendar,Y1150,X1151,"f",FALSE)</f>
        <v>47142</v>
      </c>
      <c r="Z1151" s="188">
        <f>_xll.qlCalendarAdvance(Calendar,Y1151,NDays&amp;"D")</f>
        <v>47144</v>
      </c>
      <c r="AA1151" s="163">
        <v>1.1049110758947789E-2</v>
      </c>
      <c r="AB1151" s="172">
        <v>1.102272575364438E-2</v>
      </c>
    </row>
    <row r="1152" spans="24:28" x14ac:dyDescent="0.2">
      <c r="X1152" s="176" t="str">
        <f t="shared" si="51"/>
        <v>1w</v>
      </c>
      <c r="Y1152" s="164">
        <f>_xll.qlCalendarAdvance(Calendar,Y1151,X1152,"f",FALSE)</f>
        <v>47149</v>
      </c>
      <c r="Z1152" s="188">
        <f>_xll.qlCalendarAdvance(Calendar,Y1152,NDays&amp;"D")</f>
        <v>47151</v>
      </c>
      <c r="AA1152" s="163">
        <v>1.1048713629668935E-2</v>
      </c>
      <c r="AB1152" s="172">
        <v>1.102261697948137E-2</v>
      </c>
    </row>
    <row r="1153" spans="24:28" x14ac:dyDescent="0.2">
      <c r="X1153" s="176" t="str">
        <f t="shared" si="51"/>
        <v>1w</v>
      </c>
      <c r="Y1153" s="164">
        <f>_xll.qlCalendarAdvance(Calendar,Y1152,X1153,"f",FALSE)</f>
        <v>47156</v>
      </c>
      <c r="Z1153" s="188">
        <f>_xll.qlCalendarAdvance(Calendar,Y1153,NDays&amp;"D")</f>
        <v>47158</v>
      </c>
      <c r="AA1153" s="163">
        <v>1.104829386759632E-2</v>
      </c>
      <c r="AB1153" s="172">
        <v>1.1022485695404427E-2</v>
      </c>
    </row>
    <row r="1154" spans="24:28" x14ac:dyDescent="0.2">
      <c r="X1154" s="176" t="str">
        <f t="shared" si="51"/>
        <v>1w</v>
      </c>
      <c r="Y1154" s="164">
        <f>_xll.qlCalendarAdvance(Calendar,Y1153,X1154,"f",FALSE)</f>
        <v>47163</v>
      </c>
      <c r="Z1154" s="188">
        <f>_xll.qlCalendarAdvance(Calendar,Y1154,NDays&amp;"D")</f>
        <v>47165</v>
      </c>
      <c r="AA1154" s="163">
        <v>1.1047851472743193E-2</v>
      </c>
      <c r="AB1154" s="172">
        <v>1.1022331901413551E-2</v>
      </c>
    </row>
    <row r="1155" spans="24:28" x14ac:dyDescent="0.2">
      <c r="X1155" s="176" t="str">
        <f t="shared" si="51"/>
        <v>1w</v>
      </c>
      <c r="Y1155" s="164">
        <f>_xll.qlCalendarAdvance(Calendar,Y1154,X1155,"f",FALSE)</f>
        <v>47170</v>
      </c>
      <c r="Z1155" s="188">
        <f>_xll.qlCalendarAdvance(Calendar,Y1155,NDays&amp;"D")</f>
        <v>47172</v>
      </c>
      <c r="AA1155" s="163">
        <v>1.1047386445125453E-2</v>
      </c>
      <c r="AB1155" s="172">
        <v>1.1022155597482097E-2</v>
      </c>
    </row>
    <row r="1156" spans="24:28" x14ac:dyDescent="0.2">
      <c r="X1156" s="176" t="str">
        <f t="shared" si="51"/>
        <v>1w</v>
      </c>
      <c r="Y1156" s="164">
        <f>_xll.qlCalendarAdvance(Calendar,Y1155,X1156,"f",FALSE)</f>
        <v>47177</v>
      </c>
      <c r="Z1156" s="188">
        <f>_xll.qlCalendarAdvance(Calendar,Y1156,NDays&amp;"D")</f>
        <v>47179</v>
      </c>
      <c r="AA1156" s="163">
        <v>1.1047403842024392E-2</v>
      </c>
      <c r="AB1156" s="172">
        <v>1.1021956783690001E-2</v>
      </c>
    </row>
    <row r="1157" spans="24:28" x14ac:dyDescent="0.2">
      <c r="X1157" s="176" t="str">
        <f t="shared" si="51"/>
        <v>1w</v>
      </c>
      <c r="Y1157" s="164">
        <f>_xll.qlCalendarAdvance(Calendar,Y1156,X1157,"f",FALSE)</f>
        <v>47184</v>
      </c>
      <c r="Z1157" s="188">
        <f>_xll.qlCalendarAdvance(Calendar,Y1157,NDays&amp;"D")</f>
        <v>47186</v>
      </c>
      <c r="AA1157" s="163">
        <v>1.1046887019185164E-2</v>
      </c>
      <c r="AB1157" s="172">
        <v>1.1021735459930682E-2</v>
      </c>
    </row>
    <row r="1158" spans="24:28" x14ac:dyDescent="0.2">
      <c r="X1158" s="176" t="str">
        <f t="shared" si="51"/>
        <v>1w</v>
      </c>
      <c r="Y1158" s="164">
        <f>_xll.qlCalendarAdvance(Calendar,Y1157,X1158,"f",FALSE)</f>
        <v>47191</v>
      </c>
      <c r="Z1158" s="188">
        <f>_xll.qlCalendarAdvance(Calendar,Y1158,NDays&amp;"D")</f>
        <v>47193</v>
      </c>
      <c r="AA1158" s="163">
        <v>1.1046347560869309E-2</v>
      </c>
      <c r="AB1158" s="172">
        <v>1.102149162631072E-2</v>
      </c>
    </row>
    <row r="1159" spans="24:28" x14ac:dyDescent="0.2">
      <c r="X1159" s="176" t="str">
        <f t="shared" si="51"/>
        <v>1w</v>
      </c>
      <c r="Y1159" s="164">
        <f>_xll.qlCalendarAdvance(Calendar,Y1158,X1159,"f",FALSE)</f>
        <v>47198</v>
      </c>
      <c r="Z1159" s="188">
        <f>_xll.qlCalendarAdvance(Calendar,Y1159,NDays&amp;"D")</f>
        <v>47200</v>
      </c>
      <c r="AA1159" s="163">
        <v>1.1045785467094107E-2</v>
      </c>
      <c r="AB1159" s="172">
        <v>1.102122528275018E-2</v>
      </c>
    </row>
    <row r="1160" spans="24:28" x14ac:dyDescent="0.2">
      <c r="X1160" s="176" t="str">
        <f t="shared" si="51"/>
        <v>1w</v>
      </c>
      <c r="Y1160" s="164">
        <f>_xll.qlCalendarAdvance(Calendar,Y1159,X1160,"f",FALSE)</f>
        <v>47205</v>
      </c>
      <c r="Z1160" s="188">
        <f>_xll.qlCalendarAdvance(Calendar,Y1160,NDays&amp;"D")</f>
        <v>47211</v>
      </c>
      <c r="AA1160" s="163">
        <v>1.1044619159016717E-2</v>
      </c>
      <c r="AB1160" s="172">
        <v>1.1020468530702487E-2</v>
      </c>
    </row>
    <row r="1161" spans="24:28" x14ac:dyDescent="0.2">
      <c r="X1161" s="176" t="str">
        <f t="shared" si="51"/>
        <v>1w</v>
      </c>
      <c r="Y1161" s="164">
        <f>_xll.qlCalendarAdvance(Calendar,Y1160,X1161,"f",FALSE)</f>
        <v>47212</v>
      </c>
      <c r="Z1161" s="188">
        <f>_xll.qlCalendarAdvance(Calendar,Y1161,NDays&amp;"D")</f>
        <v>47214</v>
      </c>
      <c r="AA1161" s="163">
        <v>1.1044593373249065E-2</v>
      </c>
      <c r="AB1161" s="172">
        <v>1.1020625065913947E-2</v>
      </c>
    </row>
    <row r="1162" spans="24:28" x14ac:dyDescent="0.2">
      <c r="X1162" s="176" t="str">
        <f t="shared" si="51"/>
        <v>1w</v>
      </c>
      <c r="Y1162" s="164">
        <f>_xll.qlCalendarAdvance(Calendar,Y1161,X1162,"f",FALSE)</f>
        <v>47219</v>
      </c>
      <c r="Z1162" s="188">
        <f>_xll.qlCalendarAdvance(Calendar,Y1162,NDays&amp;"D")</f>
        <v>47221</v>
      </c>
      <c r="AA1162" s="163">
        <v>1.1043963373219839E-2</v>
      </c>
      <c r="AB1162" s="172">
        <v>1.1020291192638254E-2</v>
      </c>
    </row>
    <row r="1163" spans="24:28" x14ac:dyDescent="0.2">
      <c r="X1163" s="176" t="str">
        <f t="shared" si="51"/>
        <v>1w</v>
      </c>
      <c r="Y1163" s="164">
        <f>_xll.qlCalendarAdvance(Calendar,Y1162,X1163,"f",FALSE)</f>
        <v>47226</v>
      </c>
      <c r="Z1163" s="188">
        <f>_xll.qlCalendarAdvance(Calendar,Y1163,NDays&amp;"D")</f>
        <v>47228</v>
      </c>
      <c r="AA1163" s="163">
        <v>1.1043310737814229E-2</v>
      </c>
      <c r="AB1163" s="172">
        <v>1.1019934809421983E-2</v>
      </c>
    </row>
    <row r="1164" spans="24:28" x14ac:dyDescent="0.2">
      <c r="X1164" s="176" t="str">
        <f t="shared" si="51"/>
        <v>1w</v>
      </c>
      <c r="Y1164" s="164">
        <f>_xll.qlCalendarAdvance(Calendar,Y1163,X1164,"f",FALSE)</f>
        <v>47233</v>
      </c>
      <c r="Z1164" s="188">
        <f>_xll.qlCalendarAdvance(Calendar,Y1164,NDays&amp;"D")</f>
        <v>47235</v>
      </c>
      <c r="AA1164" s="163">
        <v>1.1042635467056E-2</v>
      </c>
      <c r="AB1164" s="172">
        <v>1.1019555916318424E-2</v>
      </c>
    </row>
    <row r="1165" spans="24:28" x14ac:dyDescent="0.2">
      <c r="X1165" s="176" t="str">
        <f t="shared" si="51"/>
        <v>1w</v>
      </c>
      <c r="Y1165" s="164">
        <f>_xll.qlCalendarAdvance(Calendar,Y1164,X1165,"f",FALSE)</f>
        <v>47240</v>
      </c>
      <c r="Z1165" s="188">
        <f>_xll.qlCalendarAdvance(Calendar,Y1165,NDays&amp;"D")</f>
        <v>47242</v>
      </c>
      <c r="AA1165" s="163">
        <v>1.1041937560968053E-2</v>
      </c>
      <c r="AB1165" s="172">
        <v>1.1019154513274287E-2</v>
      </c>
    </row>
    <row r="1166" spans="24:28" x14ac:dyDescent="0.2">
      <c r="X1166" s="176" t="str">
        <f t="shared" si="51"/>
        <v>1w</v>
      </c>
      <c r="Y1166" s="164">
        <f>_xll.qlCalendarAdvance(Calendar,Y1165,X1166,"f",FALSE)</f>
        <v>47247</v>
      </c>
      <c r="Z1166" s="188">
        <f>_xll.qlCalendarAdvance(Calendar,Y1166,NDays&amp;"D")</f>
        <v>47249</v>
      </c>
      <c r="AA1166" s="163">
        <v>1.1041217019574582E-2</v>
      </c>
      <c r="AB1166" s="172">
        <v>1.1018730600342863E-2</v>
      </c>
    </row>
    <row r="1167" spans="24:28" x14ac:dyDescent="0.2">
      <c r="X1167" s="176" t="str">
        <f t="shared" si="51"/>
        <v>1w</v>
      </c>
      <c r="Y1167" s="164">
        <f>_xll.qlCalendarAdvance(Calendar,Y1166,X1167,"f",FALSE)</f>
        <v>47254</v>
      </c>
      <c r="Z1167" s="188">
        <f>_xll.qlCalendarAdvance(Calendar,Y1167,NDays&amp;"D")</f>
        <v>47256</v>
      </c>
      <c r="AA1167" s="163">
        <v>1.1040473842901516E-2</v>
      </c>
      <c r="AB1167" s="172">
        <v>1.1018284177524151E-2</v>
      </c>
    </row>
    <row r="1168" spans="24:28" x14ac:dyDescent="0.2">
      <c r="X1168" s="176" t="str">
        <f t="shared" si="51"/>
        <v>1w</v>
      </c>
      <c r="Y1168" s="164">
        <f>_xll.qlCalendarAdvance(Calendar,Y1167,X1168,"f",FALSE)</f>
        <v>47261</v>
      </c>
      <c r="Z1168" s="188">
        <f>_xll.qlCalendarAdvance(Calendar,Y1168,NDays&amp;"D")</f>
        <v>47263</v>
      </c>
      <c r="AA1168" s="163">
        <v>1.1039708030973483E-2</v>
      </c>
      <c r="AB1168" s="172">
        <v>1.1017815244764861E-2</v>
      </c>
    </row>
    <row r="1169" spans="24:28" x14ac:dyDescent="0.2">
      <c r="X1169" s="176" t="str">
        <f t="shared" si="51"/>
        <v>1w</v>
      </c>
      <c r="Y1169" s="164">
        <f>_xll.qlCalendarAdvance(Calendar,Y1168,X1169,"f",FALSE)</f>
        <v>47268</v>
      </c>
      <c r="Z1169" s="188">
        <f>_xll.qlCalendarAdvance(Calendar,Y1169,NDays&amp;"D")</f>
        <v>47270</v>
      </c>
      <c r="AA1169" s="163">
        <v>1.1038919583816838E-2</v>
      </c>
      <c r="AB1169" s="172">
        <v>1.1017323802064993E-2</v>
      </c>
    </row>
    <row r="1170" spans="24:28" x14ac:dyDescent="0.2">
      <c r="X1170" s="176" t="str">
        <f t="shared" si="51"/>
        <v>1w</v>
      </c>
      <c r="Y1170" s="164">
        <f>_xll.qlCalendarAdvance(Calendar,Y1169,X1170,"f",FALSE)</f>
        <v>47275</v>
      </c>
      <c r="Z1170" s="188">
        <f>_xll.qlCalendarAdvance(Calendar,Y1170,NDays&amp;"D")</f>
        <v>47277</v>
      </c>
      <c r="AA1170" s="163">
        <v>1.10381085014601E-2</v>
      </c>
      <c r="AB1170" s="172">
        <v>1.1016809849504483E-2</v>
      </c>
    </row>
    <row r="1171" spans="24:28" x14ac:dyDescent="0.2">
      <c r="X1171" s="176" t="str">
        <f t="shared" si="51"/>
        <v>1w</v>
      </c>
      <c r="Y1171" s="164">
        <f>_xll.qlCalendarAdvance(Calendar,Y1170,X1171,"f",FALSE)</f>
        <v>47282</v>
      </c>
      <c r="Z1171" s="188">
        <f>_xll.qlCalendarAdvance(Calendar,Y1171,NDays&amp;"D")</f>
        <v>47284</v>
      </c>
      <c r="AA1171" s="163">
        <v>1.1037274783930493E-2</v>
      </c>
      <c r="AB1171" s="172">
        <v>1.1016273387003395E-2</v>
      </c>
    </row>
    <row r="1172" spans="24:28" x14ac:dyDescent="0.2">
      <c r="X1172" s="176" t="str">
        <f t="shared" si="51"/>
        <v>1w</v>
      </c>
      <c r="Y1172" s="164">
        <f>_xll.qlCalendarAdvance(Calendar,Y1171,X1172,"f",FALSE)</f>
        <v>47289</v>
      </c>
      <c r="Z1172" s="188">
        <f>_xll.qlCalendarAdvance(Calendar,Y1172,NDays&amp;"D")</f>
        <v>47291</v>
      </c>
      <c r="AA1172" s="163">
        <v>1.1036418431257395E-2</v>
      </c>
      <c r="AB1172" s="172">
        <v>1.1015714414615019E-2</v>
      </c>
    </row>
    <row r="1173" spans="24:28" x14ac:dyDescent="0.2">
      <c r="X1173" s="176" t="str">
        <f t="shared" ref="X1173:X1236" si="52">X1172</f>
        <v>1w</v>
      </c>
      <c r="Y1173" s="164">
        <f>_xll.qlCalendarAdvance(Calendar,Y1172,X1173,"f",FALSE)</f>
        <v>47296</v>
      </c>
      <c r="Z1173" s="188">
        <f>_xll.qlCalendarAdvance(Calendar,Y1173,NDays&amp;"D")</f>
        <v>47298</v>
      </c>
      <c r="AA1173" s="163">
        <v>1.1035539443470624E-2</v>
      </c>
      <c r="AB1173" s="172">
        <v>1.101513293231271E-2</v>
      </c>
    </row>
    <row r="1174" spans="24:28" x14ac:dyDescent="0.2">
      <c r="X1174" s="176" t="str">
        <f t="shared" si="52"/>
        <v>1w</v>
      </c>
      <c r="Y1174" s="164">
        <f>_xll.qlCalendarAdvance(Calendar,Y1173,X1174,"f",FALSE)</f>
        <v>47303</v>
      </c>
      <c r="Z1174" s="188">
        <f>_xll.qlCalendarAdvance(Calendar,Y1174,NDays&amp;"D")</f>
        <v>47305</v>
      </c>
      <c r="AA1174" s="163">
        <v>1.1034637820600421E-2</v>
      </c>
      <c r="AB1174" s="172">
        <v>1.1014528940123114E-2</v>
      </c>
    </row>
    <row r="1175" spans="24:28" x14ac:dyDescent="0.2">
      <c r="X1175" s="176" t="str">
        <f t="shared" si="52"/>
        <v>1w</v>
      </c>
      <c r="Y1175" s="164">
        <f>_xll.qlCalendarAdvance(Calendar,Y1174,X1175,"f",FALSE)</f>
        <v>47310</v>
      </c>
      <c r="Z1175" s="188">
        <f>_xll.qlCalendarAdvance(Calendar,Y1175,NDays&amp;"D")</f>
        <v>47312</v>
      </c>
      <c r="AA1175" s="163">
        <v>1.10337135626779E-2</v>
      </c>
      <c r="AB1175" s="172">
        <v>1.101390243799294E-2</v>
      </c>
    </row>
    <row r="1176" spans="24:28" x14ac:dyDescent="0.2">
      <c r="X1176" s="176" t="str">
        <f t="shared" si="52"/>
        <v>1w</v>
      </c>
      <c r="Y1176" s="164">
        <f>_xll.qlCalendarAdvance(Calendar,Y1175,X1176,"f",FALSE)</f>
        <v>47317</v>
      </c>
      <c r="Z1176" s="188">
        <f>_xll.qlCalendarAdvance(Calendar,Y1176,NDays&amp;"D")</f>
        <v>47319</v>
      </c>
      <c r="AA1176" s="163">
        <v>1.1032766669735898E-2</v>
      </c>
      <c r="AB1176" s="172">
        <v>1.1013253425975478E-2</v>
      </c>
    </row>
    <row r="1177" spans="24:28" x14ac:dyDescent="0.2">
      <c r="X1177" s="176" t="str">
        <f t="shared" si="52"/>
        <v>1w</v>
      </c>
      <c r="Y1177" s="164">
        <f>_xll.qlCalendarAdvance(Calendar,Y1176,X1177,"f",FALSE)</f>
        <v>47324</v>
      </c>
      <c r="Z1177" s="188">
        <f>_xll.qlCalendarAdvance(Calendar,Y1177,NDays&amp;"D")</f>
        <v>47326</v>
      </c>
      <c r="AA1177" s="163">
        <v>1.1031797141806391E-2</v>
      </c>
      <c r="AB1177" s="172">
        <v>1.1012581904017438E-2</v>
      </c>
    </row>
    <row r="1178" spans="24:28" x14ac:dyDescent="0.2">
      <c r="X1178" s="176" t="str">
        <f t="shared" si="52"/>
        <v>1w</v>
      </c>
      <c r="Y1178" s="164">
        <f>_xll.qlCalendarAdvance(Calendar,Y1177,X1178,"f",FALSE)</f>
        <v>47331</v>
      </c>
      <c r="Z1178" s="188">
        <f>_xll.qlCalendarAdvance(Calendar,Y1178,NDays&amp;"D")</f>
        <v>47333</v>
      </c>
      <c r="AA1178" s="163">
        <v>1.1030804978923081E-2</v>
      </c>
      <c r="AB1178" s="172">
        <v>1.1011887872145465E-2</v>
      </c>
    </row>
    <row r="1179" spans="24:28" x14ac:dyDescent="0.2">
      <c r="X1179" s="176" t="str">
        <f t="shared" si="52"/>
        <v>1w</v>
      </c>
      <c r="Y1179" s="164">
        <f>_xll.qlCalendarAdvance(Calendar,Y1178,X1179,"f",FALSE)</f>
        <v>47338</v>
      </c>
      <c r="Z1179" s="188">
        <f>_xll.qlCalendarAdvance(Calendar,Y1179,NDays&amp;"D")</f>
        <v>47340</v>
      </c>
      <c r="AA1179" s="163">
        <v>1.1029790181120967E-2</v>
      </c>
      <c r="AB1179" s="172">
        <v>1.101117133041285E-2</v>
      </c>
    </row>
    <row r="1180" spans="24:28" x14ac:dyDescent="0.2">
      <c r="X1180" s="176" t="str">
        <f t="shared" si="52"/>
        <v>1w</v>
      </c>
      <c r="Y1180" s="164">
        <f>_xll.qlCalendarAdvance(Calendar,Y1179,X1180,"f",FALSE)</f>
        <v>47345</v>
      </c>
      <c r="Z1180" s="188">
        <f>_xll.qlCalendarAdvance(Calendar,Y1180,NDays&amp;"D")</f>
        <v>47347</v>
      </c>
      <c r="AA1180" s="163">
        <v>1.1028752748435048E-2</v>
      </c>
      <c r="AB1180" s="172">
        <v>1.1010432278766302E-2</v>
      </c>
    </row>
    <row r="1181" spans="24:28" x14ac:dyDescent="0.2">
      <c r="X1181" s="176" t="str">
        <f t="shared" si="52"/>
        <v>1w</v>
      </c>
      <c r="Y1181" s="164">
        <f>_xll.qlCalendarAdvance(Calendar,Y1180,X1181,"f",FALSE)</f>
        <v>47352</v>
      </c>
      <c r="Z1181" s="188">
        <f>_xll.qlCalendarAdvance(Calendar,Y1181,NDays&amp;"D")</f>
        <v>47354</v>
      </c>
      <c r="AA1181" s="163">
        <v>1.1027692680900753E-2</v>
      </c>
      <c r="AB1181" s="172">
        <v>1.1009670717179176E-2</v>
      </c>
    </row>
    <row r="1182" spans="24:28" x14ac:dyDescent="0.2">
      <c r="X1182" s="176" t="str">
        <f t="shared" si="52"/>
        <v>1w</v>
      </c>
      <c r="Y1182" s="164">
        <f>_xll.qlCalendarAdvance(Calendar,Y1181,X1182,"f",FALSE)</f>
        <v>47359</v>
      </c>
      <c r="Z1182" s="188">
        <f>_xll.qlCalendarAdvance(Calendar,Y1182,NDays&amp;"D")</f>
        <v>47361</v>
      </c>
      <c r="AA1182" s="163">
        <v>1.1026275590223468E-2</v>
      </c>
      <c r="AB1182" s="172">
        <v>1.1008886645731408E-2</v>
      </c>
    </row>
    <row r="1183" spans="24:28" x14ac:dyDescent="0.2">
      <c r="X1183" s="176" t="str">
        <f t="shared" si="52"/>
        <v>1w</v>
      </c>
      <c r="Y1183" s="164">
        <f>_xll.qlCalendarAdvance(Calendar,Y1182,X1183,"f",FALSE)</f>
        <v>47366</v>
      </c>
      <c r="Z1183" s="188">
        <f>_xll.qlCalendarAdvance(Calendar,Y1183,NDays&amp;"D")</f>
        <v>47368</v>
      </c>
      <c r="AA1183" s="163">
        <v>1.1025176854403794E-2</v>
      </c>
      <c r="AB1183" s="172">
        <v>1.1008080064343062E-2</v>
      </c>
    </row>
    <row r="1184" spans="24:28" x14ac:dyDescent="0.2">
      <c r="X1184" s="176" t="str">
        <f t="shared" si="52"/>
        <v>1w</v>
      </c>
      <c r="Y1184" s="164">
        <f>_xll.qlCalendarAdvance(Calendar,Y1183,X1184,"f",FALSE)</f>
        <v>47373</v>
      </c>
      <c r="Z1184" s="188">
        <f>_xll.qlCalendarAdvance(Calendar,Y1184,NDays&amp;"D")</f>
        <v>47375</v>
      </c>
      <c r="AA1184" s="163">
        <v>1.1024055486589277E-2</v>
      </c>
      <c r="AB1184" s="172">
        <v>1.1007250973094074E-2</v>
      </c>
    </row>
    <row r="1185" spans="24:28" x14ac:dyDescent="0.2">
      <c r="X1185" s="176" t="str">
        <f t="shared" si="52"/>
        <v>1w</v>
      </c>
      <c r="Y1185" s="164">
        <f>_xll.qlCalendarAdvance(Calendar,Y1184,X1185,"f",FALSE)</f>
        <v>47380</v>
      </c>
      <c r="Z1185" s="188">
        <f>_xll.qlCalendarAdvance(Calendar,Y1185,NDays&amp;"D")</f>
        <v>47382</v>
      </c>
      <c r="AA1185" s="163">
        <v>1.1022911486817458E-2</v>
      </c>
      <c r="AB1185" s="172">
        <v>1.1006399371877862E-2</v>
      </c>
    </row>
    <row r="1186" spans="24:28" x14ac:dyDescent="0.2">
      <c r="X1186" s="176" t="str">
        <f t="shared" si="52"/>
        <v>1w</v>
      </c>
      <c r="Y1186" s="164">
        <f>_xll.qlCalendarAdvance(Calendar,Y1185,X1186,"f",FALSE)</f>
        <v>47387</v>
      </c>
      <c r="Z1186" s="188">
        <f>_xll.qlCalendarAdvance(Calendar,Y1186,NDays&amp;"D")</f>
        <v>47389</v>
      </c>
      <c r="AA1186" s="163">
        <v>1.1021822103325704E-2</v>
      </c>
      <c r="AB1186" s="172">
        <v>1.1005525260801008E-2</v>
      </c>
    </row>
    <row r="1187" spans="24:28" x14ac:dyDescent="0.2">
      <c r="X1187" s="176" t="str">
        <f t="shared" si="52"/>
        <v>1w</v>
      </c>
      <c r="Y1187" s="164">
        <f>_xll.qlCalendarAdvance(Calendar,Y1186,X1187,"f",FALSE)</f>
        <v>47394</v>
      </c>
      <c r="Z1187" s="188">
        <f>_xll.qlCalendarAdvance(Calendar,Y1187,NDays&amp;"D")</f>
        <v>47396</v>
      </c>
      <c r="AA1187" s="163">
        <v>1.1020631629274937E-2</v>
      </c>
      <c r="AB1187" s="172">
        <v>1.1004628639836866E-2</v>
      </c>
    </row>
    <row r="1188" spans="24:28" x14ac:dyDescent="0.2">
      <c r="X1188" s="176" t="str">
        <f t="shared" si="52"/>
        <v>1w</v>
      </c>
      <c r="Y1188" s="164">
        <f>_xll.qlCalendarAdvance(Calendar,Y1187,X1188,"f",FALSE)</f>
        <v>47401</v>
      </c>
      <c r="Z1188" s="188">
        <f>_xll.qlCalendarAdvance(Calendar,Y1188,NDays&amp;"D")</f>
        <v>47403</v>
      </c>
      <c r="AA1188" s="163">
        <v>1.1019419652005624E-2</v>
      </c>
      <c r="AB1188" s="172">
        <v>1.1003709508932147E-2</v>
      </c>
    </row>
    <row r="1189" spans="24:28" x14ac:dyDescent="0.2">
      <c r="X1189" s="176" t="str">
        <f t="shared" si="52"/>
        <v>1w</v>
      </c>
      <c r="Y1189" s="164">
        <f>_xll.qlCalendarAdvance(Calendar,Y1188,X1189,"f",FALSE)</f>
        <v>47408</v>
      </c>
      <c r="Z1189" s="188">
        <f>_xll.qlCalendarAdvance(Calendar,Y1189,NDays&amp;"D")</f>
        <v>47410</v>
      </c>
      <c r="AA1189" s="163">
        <v>1.1018477264467573E-2</v>
      </c>
      <c r="AB1189" s="172">
        <v>1.1002767868113494E-2</v>
      </c>
    </row>
    <row r="1190" spans="24:28" x14ac:dyDescent="0.2">
      <c r="X1190" s="176" t="str">
        <f t="shared" si="52"/>
        <v>1w</v>
      </c>
      <c r="Y1190" s="164">
        <f>_xll.qlCalendarAdvance(Calendar,Y1189,X1190,"f",FALSE)</f>
        <v>47415</v>
      </c>
      <c r="Z1190" s="188">
        <f>_xll.qlCalendarAdvance(Calendar,Y1190,NDays&amp;"D")</f>
        <v>47417</v>
      </c>
      <c r="AA1190" s="163">
        <v>1.1016934062554879E-2</v>
      </c>
      <c r="AB1190" s="172">
        <v>1.10018037174342E-2</v>
      </c>
    </row>
    <row r="1191" spans="24:28" x14ac:dyDescent="0.2">
      <c r="X1191" s="176" t="str">
        <f t="shared" si="52"/>
        <v>1w</v>
      </c>
      <c r="Y1191" s="164">
        <f>_xll.qlCalendarAdvance(Calendar,Y1190,X1191,"f",FALSE)</f>
        <v>47422</v>
      </c>
      <c r="Z1191" s="188">
        <f>_xll.qlCalendarAdvance(Calendar,Y1191,NDays&amp;"D")</f>
        <v>47424</v>
      </c>
      <c r="AA1191" s="163">
        <v>1.101559148570215E-2</v>
      </c>
      <c r="AB1191" s="172">
        <v>1.1000817056840972E-2</v>
      </c>
    </row>
    <row r="1192" spans="24:28" x14ac:dyDescent="0.2">
      <c r="X1192" s="176" t="str">
        <f t="shared" si="52"/>
        <v>1w</v>
      </c>
      <c r="Y1192" s="164">
        <f>_xll.qlCalendarAdvance(Calendar,Y1191,X1192,"f",FALSE)</f>
        <v>47429</v>
      </c>
      <c r="Z1192" s="188">
        <f>_xll.qlCalendarAdvance(Calendar,Y1192,NDays&amp;"D")</f>
        <v>47431</v>
      </c>
      <c r="AA1192" s="163">
        <v>1.1014301792315368E-2</v>
      </c>
      <c r="AB1192" s="172">
        <v>1.0999807886333812E-2</v>
      </c>
    </row>
    <row r="1193" spans="24:28" x14ac:dyDescent="0.2">
      <c r="X1193" s="176" t="str">
        <f t="shared" si="52"/>
        <v>1w</v>
      </c>
      <c r="Y1193" s="164">
        <f>_xll.qlCalendarAdvance(Calendar,Y1192,X1193,"f",FALSE)</f>
        <v>47436</v>
      </c>
      <c r="Z1193" s="188">
        <f>_xll.qlCalendarAdvance(Calendar,Y1193,NDays&amp;"D")</f>
        <v>47438</v>
      </c>
      <c r="AA1193" s="163">
        <v>1.1012994112532568E-2</v>
      </c>
      <c r="AB1193" s="172">
        <v>1.099877620596601E-2</v>
      </c>
    </row>
    <row r="1194" spans="24:28" x14ac:dyDescent="0.2">
      <c r="X1194" s="176" t="str">
        <f t="shared" si="52"/>
        <v>1w</v>
      </c>
      <c r="Y1194" s="164">
        <f>_xll.qlCalendarAdvance(Calendar,Y1193,X1194,"f",FALSE)</f>
        <v>47443</v>
      </c>
      <c r="Z1194" s="188">
        <f>_xll.qlCalendarAdvance(Calendar,Y1194,NDays&amp;"D")</f>
        <v>47445</v>
      </c>
      <c r="AA1194" s="163">
        <v>1.1011669168983218E-2</v>
      </c>
      <c r="AB1194" s="172">
        <v>1.0997722015630984E-2</v>
      </c>
    </row>
    <row r="1195" spans="24:28" x14ac:dyDescent="0.2">
      <c r="X1195" s="176" t="str">
        <f t="shared" si="52"/>
        <v>1w</v>
      </c>
      <c r="Y1195" s="164">
        <f>_xll.qlCalendarAdvance(Calendar,Y1194,X1195,"f",FALSE)</f>
        <v>47450</v>
      </c>
      <c r="Z1195" s="188">
        <f>_xll.qlCalendarAdvance(Calendar,Y1195,NDays&amp;"D")</f>
        <v>47452</v>
      </c>
      <c r="AA1195" s="163">
        <v>1.1010394090513157E-2</v>
      </c>
      <c r="AB1195" s="172">
        <v>1.0996645315435316E-2</v>
      </c>
    </row>
    <row r="1196" spans="24:28" x14ac:dyDescent="0.2">
      <c r="X1196" s="176" t="str">
        <f t="shared" si="52"/>
        <v>1w</v>
      </c>
      <c r="Y1196" s="164">
        <f>_xll.qlCalendarAdvance(Calendar,Y1195,X1196,"f",FALSE)</f>
        <v>47457</v>
      </c>
      <c r="Z1196" s="188">
        <f>_xll.qlCalendarAdvance(Calendar,Y1196,NDays&amp;"D")</f>
        <v>47459</v>
      </c>
      <c r="AA1196" s="163">
        <v>1.1009035960107218E-2</v>
      </c>
      <c r="AB1196" s="172">
        <v>1.0995546105352361E-2</v>
      </c>
    </row>
    <row r="1197" spans="24:28" x14ac:dyDescent="0.2">
      <c r="X1197" s="176" t="str">
        <f t="shared" si="52"/>
        <v>1w</v>
      </c>
      <c r="Y1197" s="164">
        <f>_xll.qlCalendarAdvance(Calendar,Y1196,X1197,"f",FALSE)</f>
        <v>47464</v>
      </c>
      <c r="Z1197" s="188">
        <f>_xll.qlCalendarAdvance(Calendar,Y1197,NDays&amp;"D")</f>
        <v>47466</v>
      </c>
      <c r="AA1197" s="163">
        <v>1.1007662794616452E-2</v>
      </c>
      <c r="AB1197" s="172">
        <v>1.0994424385355472E-2</v>
      </c>
    </row>
    <row r="1198" spans="24:28" x14ac:dyDescent="0.2">
      <c r="X1198" s="176" t="str">
        <f t="shared" si="52"/>
        <v>1w</v>
      </c>
      <c r="Y1198" s="164">
        <f>_xll.qlCalendarAdvance(Calendar,Y1197,X1198,"f",FALSE)</f>
        <v>47471</v>
      </c>
      <c r="Z1198" s="188">
        <f>_xll.qlCalendarAdvance(Calendar,Y1198,NDays&amp;"D")</f>
        <v>47473</v>
      </c>
      <c r="AA1198" s="163">
        <v>1.1006275312714335E-2</v>
      </c>
      <c r="AB1198" s="172">
        <v>1.0993280155471297E-2</v>
      </c>
    </row>
    <row r="1199" spans="24:28" x14ac:dyDescent="0.2">
      <c r="X1199" s="176" t="str">
        <f t="shared" si="52"/>
        <v>1w</v>
      </c>
      <c r="Y1199" s="164">
        <f>_xll.qlCalendarAdvance(Calendar,Y1198,X1199,"f",FALSE)</f>
        <v>47479</v>
      </c>
      <c r="Z1199" s="188">
        <f>_xll.qlCalendarAdvance(Calendar,Y1199,NDays&amp;"D")</f>
        <v>47483</v>
      </c>
      <c r="AA1199" s="163">
        <v>1.1004080117382443E-2</v>
      </c>
      <c r="AB1199" s="172">
        <v>1.0991523568435468E-2</v>
      </c>
    </row>
    <row r="1200" spans="24:28" x14ac:dyDescent="0.2">
      <c r="X1200" s="176" t="str">
        <f t="shared" si="52"/>
        <v>1w</v>
      </c>
      <c r="Y1200" s="164">
        <f>_xll.qlCalendarAdvance(Calendar,Y1199,X1200,"f",FALSE)</f>
        <v>47486</v>
      </c>
      <c r="Z1200" s="188">
        <f>_xll.qlCalendarAdvance(Calendar,Y1200,NDays&amp;"D")</f>
        <v>47490</v>
      </c>
      <c r="AA1200" s="163">
        <v>1.1002850527585435E-2</v>
      </c>
      <c r="AB1200" s="172">
        <v>1.0990244880400013E-2</v>
      </c>
    </row>
    <row r="1201" spans="24:28" x14ac:dyDescent="0.2">
      <c r="X1201" s="176" t="str">
        <f t="shared" si="52"/>
        <v>1w</v>
      </c>
      <c r="Y1201" s="164">
        <f>_xll.qlCalendarAdvance(Calendar,Y1200,X1201,"f",FALSE)</f>
        <v>47493</v>
      </c>
      <c r="Z1201" s="188">
        <f>_xll.qlCalendarAdvance(Calendar,Y1201,NDays&amp;"D")</f>
        <v>47497</v>
      </c>
      <c r="AA1201" s="163">
        <v>1.1001419416878573E-2</v>
      </c>
      <c r="AB1201" s="172">
        <v>1.0989026763752463E-2</v>
      </c>
    </row>
    <row r="1202" spans="24:28" x14ac:dyDescent="0.2">
      <c r="X1202" s="176" t="str">
        <f t="shared" si="52"/>
        <v>1w</v>
      </c>
      <c r="Y1202" s="164">
        <f>_xll.qlCalendarAdvance(Calendar,Y1201,X1202,"f",FALSE)</f>
        <v>47500</v>
      </c>
      <c r="Z1202" s="188">
        <f>_xll.qlCalendarAdvance(Calendar,Y1202,NDays&amp;"D")</f>
        <v>47504</v>
      </c>
      <c r="AA1202" s="163">
        <v>1.0999977172439532E-2</v>
      </c>
      <c r="AB1202" s="172">
        <v>1.0987786138709765E-2</v>
      </c>
    </row>
    <row r="1203" spans="24:28" x14ac:dyDescent="0.2">
      <c r="X1203" s="176" t="str">
        <f t="shared" si="52"/>
        <v>1w</v>
      </c>
      <c r="Y1203" s="164">
        <f>_xll.qlCalendarAdvance(Calendar,Y1202,X1203,"f",FALSE)</f>
        <v>47507</v>
      </c>
      <c r="Z1203" s="188">
        <f>_xll.qlCalendarAdvance(Calendar,Y1203,NDays&amp;"D")</f>
        <v>47511</v>
      </c>
      <c r="AA1203" s="163">
        <v>1.0998524512933001E-2</v>
      </c>
      <c r="AB1203" s="172">
        <v>1.0986523004952176E-2</v>
      </c>
    </row>
    <row r="1204" spans="24:28" x14ac:dyDescent="0.2">
      <c r="X1204" s="176" t="str">
        <f t="shared" si="52"/>
        <v>1w</v>
      </c>
      <c r="Y1204" s="164">
        <f>_xll.qlCalendarAdvance(Calendar,Y1203,X1204,"f",FALSE)</f>
        <v>47514</v>
      </c>
      <c r="Z1204" s="188">
        <f>_xll.qlCalendarAdvance(Calendar,Y1204,NDays&amp;"D")</f>
        <v>47518</v>
      </c>
      <c r="AA1204" s="163">
        <v>1.0997062157021474E-2</v>
      </c>
      <c r="AB1204" s="172">
        <v>1.0985237362799438E-2</v>
      </c>
    </row>
    <row r="1205" spans="24:28" x14ac:dyDescent="0.2">
      <c r="X1205" s="176" t="str">
        <f t="shared" si="52"/>
        <v>1w</v>
      </c>
      <c r="Y1205" s="164">
        <f>_xll.qlCalendarAdvance(Calendar,Y1204,X1205,"f",FALSE)</f>
        <v>47521</v>
      </c>
      <c r="Z1205" s="188">
        <f>_xll.qlCalendarAdvance(Calendar,Y1205,NDays&amp;"D")</f>
        <v>47525</v>
      </c>
      <c r="AA1205" s="163">
        <v>1.0995590823364805E-2</v>
      </c>
      <c r="AB1205" s="172">
        <v>1.0983929212091681E-2</v>
      </c>
    </row>
    <row r="1206" spans="24:28" x14ac:dyDescent="0.2">
      <c r="X1206" s="176" t="str">
        <f t="shared" si="52"/>
        <v>1w</v>
      </c>
      <c r="Y1206" s="164">
        <f>_xll.qlCalendarAdvance(Calendar,Y1205,X1206,"f",FALSE)</f>
        <v>47528</v>
      </c>
      <c r="Z1206" s="188">
        <f>_xll.qlCalendarAdvance(Calendar,Y1206,NDays&amp;"D")</f>
        <v>47532</v>
      </c>
      <c r="AA1206" s="163">
        <v>1.0994111230622413E-2</v>
      </c>
      <c r="AB1206" s="172">
        <v>1.0982598552828904E-2</v>
      </c>
    </row>
    <row r="1207" spans="24:28" x14ac:dyDescent="0.2">
      <c r="X1207" s="176" t="str">
        <f t="shared" si="52"/>
        <v>1w</v>
      </c>
      <c r="Y1207" s="164">
        <f>_xll.qlCalendarAdvance(Calendar,Y1206,X1207,"f",FALSE)</f>
        <v>47535</v>
      </c>
      <c r="Z1207" s="188">
        <f>_xll.qlCalendarAdvance(Calendar,Y1207,NDays&amp;"D")</f>
        <v>47539</v>
      </c>
      <c r="AA1207" s="163">
        <v>1.0992624097451519E-2</v>
      </c>
      <c r="AB1207" s="172">
        <v>1.0981245385091043E-2</v>
      </c>
    </row>
    <row r="1208" spans="24:28" x14ac:dyDescent="0.2">
      <c r="X1208" s="176" t="str">
        <f t="shared" si="52"/>
        <v>1w</v>
      </c>
      <c r="Y1208" s="164">
        <f>_xll.qlCalendarAdvance(Calendar,Y1207,X1208,"f",FALSE)</f>
        <v>47542</v>
      </c>
      <c r="Z1208" s="188">
        <f>_xll.qlCalendarAdvance(Calendar,Y1208,NDays&amp;"D")</f>
        <v>47546</v>
      </c>
      <c r="AA1208" s="163">
        <v>1.0991248285634567E-2</v>
      </c>
      <c r="AB1208" s="172">
        <v>1.0979869708798162E-2</v>
      </c>
    </row>
    <row r="1209" spans="24:28" x14ac:dyDescent="0.2">
      <c r="X1209" s="176" t="str">
        <f t="shared" si="52"/>
        <v>1w</v>
      </c>
      <c r="Y1209" s="164">
        <f>_xll.qlCalendarAdvance(Calendar,Y1208,X1209,"f",FALSE)</f>
        <v>47549</v>
      </c>
      <c r="Z1209" s="188">
        <f>_xll.qlCalendarAdvance(Calendar,Y1209,NDays&amp;"D")</f>
        <v>47553</v>
      </c>
      <c r="AA1209" s="163">
        <v>1.098974754757205E-2</v>
      </c>
      <c r="AB1209" s="172">
        <v>1.0978471523950262E-2</v>
      </c>
    </row>
    <row r="1210" spans="24:28" x14ac:dyDescent="0.2">
      <c r="X1210" s="176" t="str">
        <f t="shared" si="52"/>
        <v>1w</v>
      </c>
      <c r="Y1210" s="164">
        <f>_xll.qlCalendarAdvance(Calendar,Y1209,X1210,"f",FALSE)</f>
        <v>47556</v>
      </c>
      <c r="Z1210" s="188">
        <f>_xll.qlCalendarAdvance(Calendar,Y1210,NDays&amp;"D")</f>
        <v>47560</v>
      </c>
      <c r="AA1210" s="163">
        <v>1.0988241440346594E-2</v>
      </c>
      <c r="AB1210" s="172">
        <v>1.0977050830627277E-2</v>
      </c>
    </row>
    <row r="1211" spans="24:28" x14ac:dyDescent="0.2">
      <c r="X1211" s="176" t="str">
        <f t="shared" si="52"/>
        <v>1w</v>
      </c>
      <c r="Y1211" s="164">
        <f>_xll.qlCalendarAdvance(Calendar,Y1210,X1211,"f",FALSE)</f>
        <v>47563</v>
      </c>
      <c r="Z1211" s="188">
        <f>_xll.qlCalendarAdvance(Calendar,Y1211,NDays&amp;"D")</f>
        <v>47567</v>
      </c>
      <c r="AA1211" s="163">
        <v>1.0986730674838682E-2</v>
      </c>
      <c r="AB1211" s="172">
        <v>1.0975607691898759E-2</v>
      </c>
    </row>
    <row r="1212" spans="24:28" x14ac:dyDescent="0.2">
      <c r="X1212" s="176" t="str">
        <f t="shared" si="52"/>
        <v>1w</v>
      </c>
      <c r="Y1212" s="164">
        <f>_xll.qlCalendarAdvance(Calendar,Y1211,X1212,"f",FALSE)</f>
        <v>47570</v>
      </c>
      <c r="Z1212" s="188">
        <f>_xll.qlCalendarAdvance(Calendar,Y1212,NDays&amp;"D")</f>
        <v>47574</v>
      </c>
      <c r="AA1212" s="163">
        <v>1.0985158115892697E-2</v>
      </c>
      <c r="AB1212" s="172">
        <v>1.0974152599771969E-2</v>
      </c>
    </row>
    <row r="1213" spans="24:28" x14ac:dyDescent="0.2">
      <c r="X1213" s="176" t="str">
        <f t="shared" si="52"/>
        <v>1w</v>
      </c>
      <c r="Y1213" s="164">
        <f>_xll.qlCalendarAdvance(Calendar,Y1212,X1213,"f",FALSE)</f>
        <v>47577</v>
      </c>
      <c r="Z1213" s="188">
        <f>_xll.qlCalendarAdvance(Calendar,Y1213,NDays&amp;"D")</f>
        <v>47581</v>
      </c>
      <c r="AA1213" s="163">
        <v>1.0983639665265822E-2</v>
      </c>
      <c r="AB1213" s="172">
        <v>1.0972693580946213E-2</v>
      </c>
    </row>
    <row r="1214" spans="24:28" x14ac:dyDescent="0.2">
      <c r="X1214" s="176" t="str">
        <f t="shared" si="52"/>
        <v>1w</v>
      </c>
      <c r="Y1214" s="164">
        <f>_xll.qlCalendarAdvance(Calendar,Y1213,X1214,"f",FALSE)</f>
        <v>47584</v>
      </c>
      <c r="Z1214" s="188">
        <f>_xll.qlCalendarAdvance(Calendar,Y1214,NDays&amp;"D")</f>
        <v>47588</v>
      </c>
      <c r="AA1214" s="163">
        <v>1.0982117267365837E-2</v>
      </c>
      <c r="AB1214" s="172">
        <v>1.0971230635501428E-2</v>
      </c>
    </row>
    <row r="1215" spans="24:28" x14ac:dyDescent="0.2">
      <c r="X1215" s="176" t="str">
        <f t="shared" si="52"/>
        <v>1w</v>
      </c>
      <c r="Y1215" s="164">
        <f>_xll.qlCalendarAdvance(Calendar,Y1214,X1215,"f",FALSE)</f>
        <v>47591</v>
      </c>
      <c r="Z1215" s="188">
        <f>_xll.qlCalendarAdvance(Calendar,Y1215,NDays&amp;"D")</f>
        <v>47597</v>
      </c>
      <c r="AA1215" s="163">
        <v>1.0980154098578086E-2</v>
      </c>
      <c r="AB1215" s="172">
        <v>1.0969343935904874E-2</v>
      </c>
    </row>
    <row r="1216" spans="24:28" x14ac:dyDescent="0.2">
      <c r="X1216" s="176" t="str">
        <f t="shared" si="52"/>
        <v>1w</v>
      </c>
      <c r="Y1216" s="164">
        <f>_xll.qlCalendarAdvance(Calendar,Y1215,X1216,"f",FALSE)</f>
        <v>47598</v>
      </c>
      <c r="Z1216" s="188">
        <f>_xll.qlCalendarAdvance(Calendar,Y1216,NDays&amp;"D")</f>
        <v>47602</v>
      </c>
      <c r="AA1216" s="163">
        <v>1.0979060629784104E-2</v>
      </c>
      <c r="AB1216" s="172">
        <v>1.0968292964674831E-2</v>
      </c>
    </row>
    <row r="1217" spans="24:28" x14ac:dyDescent="0.2">
      <c r="X1217" s="176" t="str">
        <f t="shared" si="52"/>
        <v>1w</v>
      </c>
      <c r="Y1217" s="164">
        <f>_xll.qlCalendarAdvance(Calendar,Y1216,X1217,"f",FALSE)</f>
        <v>47605</v>
      </c>
      <c r="Z1217" s="188">
        <f>_xll.qlCalendarAdvance(Calendar,Y1217,NDays&amp;"D")</f>
        <v>47609</v>
      </c>
      <c r="AA1217" s="163">
        <v>1.0977582475753027E-2</v>
      </c>
      <c r="AB1217" s="172">
        <v>1.0966818239372955E-2</v>
      </c>
    </row>
    <row r="1218" spans="24:28" x14ac:dyDescent="0.2">
      <c r="X1218" s="176" t="str">
        <f t="shared" si="52"/>
        <v>1w</v>
      </c>
      <c r="Y1218" s="164">
        <f>_xll.qlCalendarAdvance(Calendar,Y1217,X1218,"f",FALSE)</f>
        <v>47612</v>
      </c>
      <c r="Z1218" s="188">
        <f>_xll.qlCalendarAdvance(Calendar,Y1218,NDays&amp;"D")</f>
        <v>47616</v>
      </c>
      <c r="AA1218" s="163">
        <v>1.0976043960129432E-2</v>
      </c>
      <c r="AB1218" s="172">
        <v>1.0965339587372114E-2</v>
      </c>
    </row>
    <row r="1219" spans="24:28" x14ac:dyDescent="0.2">
      <c r="X1219" s="176" t="str">
        <f t="shared" si="52"/>
        <v>1w</v>
      </c>
      <c r="Y1219" s="164">
        <f>_xll.qlCalendarAdvance(Calendar,Y1218,X1219,"f",FALSE)</f>
        <v>47619</v>
      </c>
      <c r="Z1219" s="188">
        <f>_xll.qlCalendarAdvance(Calendar,Y1219,NDays&amp;"D")</f>
        <v>47623</v>
      </c>
      <c r="AA1219" s="163">
        <v>1.097450149716599E-2</v>
      </c>
      <c r="AB1219" s="172">
        <v>1.0963857008832179E-2</v>
      </c>
    </row>
    <row r="1220" spans="24:28" x14ac:dyDescent="0.2">
      <c r="X1220" s="176" t="str">
        <f t="shared" si="52"/>
        <v>1w</v>
      </c>
      <c r="Y1220" s="164">
        <f>_xll.qlCalendarAdvance(Calendar,Y1219,X1220,"f",FALSE)</f>
        <v>47626</v>
      </c>
      <c r="Z1220" s="188">
        <f>_xll.qlCalendarAdvance(Calendar,Y1220,NDays&amp;"D")</f>
        <v>47630</v>
      </c>
      <c r="AA1220" s="163">
        <v>1.097295508687139E-2</v>
      </c>
      <c r="AB1220" s="172">
        <v>1.0962370503513341E-2</v>
      </c>
    </row>
    <row r="1221" spans="24:28" x14ac:dyDescent="0.2">
      <c r="X1221" s="176" t="str">
        <f t="shared" si="52"/>
        <v>1w</v>
      </c>
      <c r="Y1221" s="164">
        <f>_xll.qlCalendarAdvance(Calendar,Y1220,X1221,"f",FALSE)</f>
        <v>47633</v>
      </c>
      <c r="Z1221" s="188">
        <f>_xll.qlCalendarAdvance(Calendar,Y1221,NDays&amp;"D")</f>
        <v>47637</v>
      </c>
      <c r="AA1221" s="163">
        <v>1.0971349959193339E-2</v>
      </c>
      <c r="AB1221" s="172">
        <v>1.0960880071735346E-2</v>
      </c>
    </row>
    <row r="1222" spans="24:28" x14ac:dyDescent="0.2">
      <c r="X1222" s="176" t="str">
        <f t="shared" si="52"/>
        <v>1w</v>
      </c>
      <c r="Y1222" s="164">
        <f>_xll.qlCalendarAdvance(Calendar,Y1221,X1222,"f",FALSE)</f>
        <v>47640</v>
      </c>
      <c r="Z1222" s="188">
        <f>_xll.qlCalendarAdvance(Calendar,Y1222,NDays&amp;"D")</f>
        <v>47644</v>
      </c>
      <c r="AA1222" s="163">
        <v>1.0969795983440016E-2</v>
      </c>
      <c r="AB1222" s="172">
        <v>1.0959385713178449E-2</v>
      </c>
    </row>
    <row r="1223" spans="24:28" x14ac:dyDescent="0.2">
      <c r="X1223" s="176" t="str">
        <f t="shared" si="52"/>
        <v>1w</v>
      </c>
      <c r="Y1223" s="164">
        <f>_xll.qlCalendarAdvance(Calendar,Y1222,X1223,"f",FALSE)</f>
        <v>47647</v>
      </c>
      <c r="Z1223" s="188">
        <f>_xll.qlCalendarAdvance(Calendar,Y1223,NDays&amp;"D")</f>
        <v>47651</v>
      </c>
      <c r="AA1223" s="163">
        <v>1.0968238060496141E-2</v>
      </c>
      <c r="AB1223" s="172">
        <v>1.0957887428002522E-2</v>
      </c>
    </row>
    <row r="1224" spans="24:28" x14ac:dyDescent="0.2">
      <c r="X1224" s="176" t="str">
        <f t="shared" si="52"/>
        <v>1w</v>
      </c>
      <c r="Y1224" s="164">
        <f>_xll.qlCalendarAdvance(Calendar,Y1223,X1224,"f",FALSE)</f>
        <v>47654</v>
      </c>
      <c r="Z1224" s="188">
        <f>_xll.qlCalendarAdvance(Calendar,Y1224,NDays&amp;"D")</f>
        <v>47658</v>
      </c>
      <c r="AA1224" s="163">
        <v>1.0966676190372197E-2</v>
      </c>
      <c r="AB1224" s="172">
        <v>1.0956385216287501E-2</v>
      </c>
    </row>
    <row r="1225" spans="24:28" x14ac:dyDescent="0.2">
      <c r="X1225" s="176" t="str">
        <f t="shared" si="52"/>
        <v>1w</v>
      </c>
      <c r="Y1225" s="164">
        <f>_xll.qlCalendarAdvance(Calendar,Y1224,X1225,"f",FALSE)</f>
        <v>47661</v>
      </c>
      <c r="Z1225" s="188">
        <f>_xll.qlCalendarAdvance(Calendar,Y1225,NDays&amp;"D")</f>
        <v>47665</v>
      </c>
      <c r="AA1225" s="163">
        <v>1.0965217248099133E-2</v>
      </c>
      <c r="AB1225" s="172">
        <v>1.0954879077873514E-2</v>
      </c>
    </row>
    <row r="1226" spans="24:28" x14ac:dyDescent="0.2">
      <c r="X1226" s="176" t="str">
        <f t="shared" si="52"/>
        <v>1w</v>
      </c>
      <c r="Y1226" s="164">
        <f>_xll.qlCalendarAdvance(Calendar,Y1225,X1226,"f",FALSE)</f>
        <v>47668</v>
      </c>
      <c r="Z1226" s="188">
        <f>_xll.qlCalendarAdvance(Calendar,Y1226,NDays&amp;"D")</f>
        <v>47672</v>
      </c>
      <c r="AA1226" s="163">
        <v>1.0963593731684271E-2</v>
      </c>
      <c r="AB1226" s="172">
        <v>1.0953369012920433E-2</v>
      </c>
    </row>
    <row r="1227" spans="24:28" x14ac:dyDescent="0.2">
      <c r="X1227" s="176" t="str">
        <f t="shared" si="52"/>
        <v>1w</v>
      </c>
      <c r="Y1227" s="164">
        <f>_xll.qlCalendarAdvance(Calendar,Y1226,X1227,"f",FALSE)</f>
        <v>47675</v>
      </c>
      <c r="Z1227" s="188">
        <f>_xll.qlCalendarAdvance(Calendar,Y1227,NDays&amp;"D")</f>
        <v>47679</v>
      </c>
      <c r="AA1227" s="163">
        <v>1.0962019690337008E-2</v>
      </c>
      <c r="AB1227" s="172">
        <v>1.095185502118845E-2</v>
      </c>
    </row>
    <row r="1228" spans="24:28" x14ac:dyDescent="0.2">
      <c r="X1228" s="176" t="str">
        <f t="shared" si="52"/>
        <v>1w</v>
      </c>
      <c r="Y1228" s="164">
        <f>_xll.qlCalendarAdvance(Calendar,Y1227,X1228,"f",FALSE)</f>
        <v>47682</v>
      </c>
      <c r="Z1228" s="188">
        <f>_xll.qlCalendarAdvance(Calendar,Y1228,NDays&amp;"D")</f>
        <v>47686</v>
      </c>
      <c r="AA1228" s="163">
        <v>1.0960441701734613E-2</v>
      </c>
      <c r="AB1228" s="172">
        <v>1.0950337102917373E-2</v>
      </c>
    </row>
    <row r="1229" spans="24:28" x14ac:dyDescent="0.2">
      <c r="X1229" s="176" t="str">
        <f t="shared" si="52"/>
        <v>1w</v>
      </c>
      <c r="Y1229" s="164">
        <f>_xll.qlCalendarAdvance(Calendar,Y1228,X1229,"f",FALSE)</f>
        <v>47689</v>
      </c>
      <c r="Z1229" s="188">
        <f>_xll.qlCalendarAdvance(Calendar,Y1229,NDays&amp;"D")</f>
        <v>47693</v>
      </c>
      <c r="AA1229" s="163">
        <v>1.0958859765885776E-2</v>
      </c>
      <c r="AB1229" s="172">
        <v>1.0948815257947331E-2</v>
      </c>
    </row>
    <row r="1230" spans="24:28" x14ac:dyDescent="0.2">
      <c r="X1230" s="176" t="str">
        <f t="shared" si="52"/>
        <v>1w</v>
      </c>
      <c r="Y1230" s="164">
        <f>_xll.qlCalendarAdvance(Calendar,Y1229,X1230,"f",FALSE)</f>
        <v>47696</v>
      </c>
      <c r="Z1230" s="188">
        <f>_xll.qlCalendarAdvance(Calendar,Y1230,NDays&amp;"D")</f>
        <v>47700</v>
      </c>
      <c r="AA1230" s="163">
        <v>1.0957273882800923E-2</v>
      </c>
      <c r="AB1230" s="172">
        <v>1.0947289486438194E-2</v>
      </c>
    </row>
    <row r="1231" spans="24:28" x14ac:dyDescent="0.2">
      <c r="X1231" s="176" t="str">
        <f t="shared" si="52"/>
        <v>1w</v>
      </c>
      <c r="Y1231" s="164">
        <f>_xll.qlCalendarAdvance(Calendar,Y1230,X1231,"f",FALSE)</f>
        <v>47703</v>
      </c>
      <c r="Z1231" s="188">
        <f>_xll.qlCalendarAdvance(Calendar,Y1231,NDays&amp;"D")</f>
        <v>47707</v>
      </c>
      <c r="AA1231" s="163">
        <v>1.0955684052488741E-2</v>
      </c>
      <c r="AB1231" s="172">
        <v>1.0945759788310028E-2</v>
      </c>
    </row>
    <row r="1232" spans="24:28" x14ac:dyDescent="0.2">
      <c r="X1232" s="176" t="str">
        <f t="shared" si="52"/>
        <v>1w</v>
      </c>
      <c r="Y1232" s="164">
        <f>_xll.qlCalendarAdvance(Calendar,Y1231,X1232,"f",FALSE)</f>
        <v>47710</v>
      </c>
      <c r="Z1232" s="188">
        <f>_xll.qlCalendarAdvance(Calendar,Y1232,NDays&amp;"D")</f>
        <v>47714</v>
      </c>
      <c r="AA1232" s="163">
        <v>1.0954090274959223E-2</v>
      </c>
      <c r="AB1232" s="172">
        <v>1.0944226163482895E-2</v>
      </c>
    </row>
    <row r="1233" spans="24:28" x14ac:dyDescent="0.2">
      <c r="X1233" s="176" t="str">
        <f t="shared" si="52"/>
        <v>1w</v>
      </c>
      <c r="Y1233" s="164">
        <f>_xll.qlCalendarAdvance(Calendar,Y1232,X1233,"f",FALSE)</f>
        <v>47717</v>
      </c>
      <c r="Z1233" s="188">
        <f>_xll.qlCalendarAdvance(Calendar,Y1233,NDays&amp;"D")</f>
        <v>47721</v>
      </c>
      <c r="AA1233" s="163">
        <v>1.0952492550221495E-2</v>
      </c>
      <c r="AB1233" s="172">
        <v>1.0942688612036733E-2</v>
      </c>
    </row>
    <row r="1234" spans="24:28" x14ac:dyDescent="0.2">
      <c r="X1234" s="176" t="str">
        <f t="shared" si="52"/>
        <v>1w</v>
      </c>
      <c r="Y1234" s="164">
        <f>_xll.qlCalendarAdvance(Calendar,Y1233,X1234,"f",FALSE)</f>
        <v>47724</v>
      </c>
      <c r="Z1234" s="188">
        <f>_xll.qlCalendarAdvance(Calendar,Y1234,NDays&amp;"D")</f>
        <v>47728</v>
      </c>
      <c r="AA1234" s="163">
        <v>1.0950789883713966E-2</v>
      </c>
      <c r="AB1234" s="172">
        <v>1.0941147133891604E-2</v>
      </c>
    </row>
    <row r="1235" spans="24:28" x14ac:dyDescent="0.2">
      <c r="X1235" s="176" t="str">
        <f t="shared" si="52"/>
        <v>1w</v>
      </c>
      <c r="Y1235" s="164">
        <f>_xll.qlCalendarAdvance(Calendar,Y1234,X1235,"f",FALSE)</f>
        <v>47731</v>
      </c>
      <c r="Z1235" s="188">
        <f>_xll.qlCalendarAdvance(Calendar,Y1235,NDays&amp;"D")</f>
        <v>47735</v>
      </c>
      <c r="AA1235" s="163">
        <v>1.0949184925840112E-2</v>
      </c>
      <c r="AB1235" s="172">
        <v>1.0939601729207382E-2</v>
      </c>
    </row>
    <row r="1236" spans="24:28" x14ac:dyDescent="0.2">
      <c r="X1236" s="176" t="str">
        <f t="shared" si="52"/>
        <v>1w</v>
      </c>
      <c r="Y1236" s="164">
        <f>_xll.qlCalendarAdvance(Calendar,Y1235,X1236,"f",FALSE)</f>
        <v>47738</v>
      </c>
      <c r="Z1236" s="188">
        <f>_xll.qlCalendarAdvance(Calendar,Y1236,NDays&amp;"D")</f>
        <v>47742</v>
      </c>
      <c r="AA1236" s="163">
        <v>1.0947576021010966E-2</v>
      </c>
      <c r="AB1236" s="172">
        <v>1.093805239790413E-2</v>
      </c>
    </row>
    <row r="1237" spans="24:28" x14ac:dyDescent="0.2">
      <c r="X1237" s="176" t="str">
        <f t="shared" ref="X1237:X1300" si="53">X1236</f>
        <v>1w</v>
      </c>
      <c r="Y1237" s="164">
        <f>_xll.qlCalendarAdvance(Calendar,Y1236,X1237,"f",FALSE)</f>
        <v>47745</v>
      </c>
      <c r="Z1237" s="188">
        <f>_xll.qlCalendarAdvance(Calendar,Y1237,NDays&amp;"D")</f>
        <v>47749</v>
      </c>
      <c r="AA1237" s="163">
        <v>1.0945963169236194E-2</v>
      </c>
      <c r="AB1237" s="172">
        <v>1.0936499139901912E-2</v>
      </c>
    </row>
    <row r="1238" spans="24:28" x14ac:dyDescent="0.2">
      <c r="X1238" s="176" t="str">
        <f t="shared" si="53"/>
        <v>1w</v>
      </c>
      <c r="Y1238" s="164">
        <f>_xll.qlCalendarAdvance(Calendar,Y1237,X1238,"f",FALSE)</f>
        <v>47752</v>
      </c>
      <c r="Z1238" s="188">
        <f>_xll.qlCalendarAdvance(Calendar,Y1238,NDays&amp;"D")</f>
        <v>47756</v>
      </c>
      <c r="AA1238" s="163">
        <v>1.0944346370525897E-2</v>
      </c>
      <c r="AB1238" s="172">
        <v>1.0934941955280664E-2</v>
      </c>
    </row>
    <row r="1239" spans="24:28" x14ac:dyDescent="0.2">
      <c r="X1239" s="176" t="str">
        <f t="shared" si="53"/>
        <v>1w</v>
      </c>
      <c r="Y1239" s="164">
        <f>_xll.qlCalendarAdvance(Calendar,Y1238,X1239,"f",FALSE)</f>
        <v>47759</v>
      </c>
      <c r="Z1239" s="188">
        <f>_xll.qlCalendarAdvance(Calendar,Y1239,NDays&amp;"D")</f>
        <v>47763</v>
      </c>
      <c r="AA1239" s="163">
        <v>1.0942725624888856E-2</v>
      </c>
      <c r="AB1239" s="172">
        <v>1.0933380844120322E-2</v>
      </c>
    </row>
    <row r="1240" spans="24:28" x14ac:dyDescent="0.2">
      <c r="X1240" s="176" t="str">
        <f t="shared" si="53"/>
        <v>1w</v>
      </c>
      <c r="Y1240" s="164">
        <f>_xll.qlCalendarAdvance(Calendar,Y1239,X1240,"f",FALSE)</f>
        <v>47766</v>
      </c>
      <c r="Z1240" s="188">
        <f>_xll.qlCalendarAdvance(Calendar,Y1240,NDays&amp;"D")</f>
        <v>47770</v>
      </c>
      <c r="AA1240" s="163">
        <v>1.0941149459502347E-2</v>
      </c>
      <c r="AB1240" s="172">
        <v>1.0931815806181078E-2</v>
      </c>
    </row>
    <row r="1241" spans="24:28" x14ac:dyDescent="0.2">
      <c r="X1241" s="176" t="str">
        <f t="shared" si="53"/>
        <v>1w</v>
      </c>
      <c r="Y1241" s="164">
        <f>_xll.qlCalendarAdvance(Calendar,Y1240,X1241,"f",FALSE)</f>
        <v>47773</v>
      </c>
      <c r="Z1241" s="188">
        <f>_xll.qlCalendarAdvance(Calendar,Y1241,NDays&amp;"D")</f>
        <v>47777</v>
      </c>
      <c r="AA1241" s="163">
        <v>1.0939472292874522E-2</v>
      </c>
      <c r="AB1241" s="172">
        <v>1.093024684170274E-2</v>
      </c>
    </row>
    <row r="1242" spans="24:28" x14ac:dyDescent="0.2">
      <c r="X1242" s="176" t="str">
        <f t="shared" si="53"/>
        <v>1w</v>
      </c>
      <c r="Y1242" s="164">
        <f>_xll.qlCalendarAdvance(Calendar,Y1241,X1242,"f",FALSE)</f>
        <v>47780</v>
      </c>
      <c r="Z1242" s="188">
        <f>_xll.qlCalendarAdvance(Calendar,Y1242,NDays&amp;"D")</f>
        <v>47784</v>
      </c>
      <c r="AA1242" s="163">
        <v>1.093783970651699E-2</v>
      </c>
      <c r="AB1242" s="172">
        <v>1.0928673950605372E-2</v>
      </c>
    </row>
    <row r="1243" spans="24:28" x14ac:dyDescent="0.2">
      <c r="X1243" s="176" t="str">
        <f t="shared" si="53"/>
        <v>1w</v>
      </c>
      <c r="Y1243" s="164">
        <f>_xll.qlCalendarAdvance(Calendar,Y1242,X1243,"f",FALSE)</f>
        <v>47787</v>
      </c>
      <c r="Z1243" s="188">
        <f>_xll.qlCalendarAdvance(Calendar,Y1243,NDays&amp;"D")</f>
        <v>47791</v>
      </c>
      <c r="AA1243" s="163">
        <v>1.0936203173271807E-2</v>
      </c>
      <c r="AB1243" s="172">
        <v>1.0927097132809038E-2</v>
      </c>
    </row>
    <row r="1244" spans="24:28" x14ac:dyDescent="0.2">
      <c r="X1244" s="176" t="str">
        <f t="shared" si="53"/>
        <v>1w</v>
      </c>
      <c r="Y1244" s="164">
        <f>_xll.qlCalendarAdvance(Calendar,Y1243,X1244,"f",FALSE)</f>
        <v>47794</v>
      </c>
      <c r="Z1244" s="188">
        <f>_xll.qlCalendarAdvance(Calendar,Y1244,NDays&amp;"D")</f>
        <v>47798</v>
      </c>
      <c r="AA1244" s="163">
        <v>1.0934562693148634E-2</v>
      </c>
      <c r="AB1244" s="172">
        <v>1.0925516388473611E-2</v>
      </c>
    </row>
    <row r="1245" spans="24:28" x14ac:dyDescent="0.2">
      <c r="X1245" s="176" t="str">
        <f t="shared" si="53"/>
        <v>1w</v>
      </c>
      <c r="Y1245" s="164">
        <f>_xll.qlCalendarAdvance(Calendar,Y1244,X1245,"f",FALSE)</f>
        <v>47801</v>
      </c>
      <c r="Z1245" s="188">
        <f>_xll.qlCalendarAdvance(Calendar,Y1245,NDays&amp;"D")</f>
        <v>47805</v>
      </c>
      <c r="AA1245" s="163">
        <v>1.0932918266157575E-2</v>
      </c>
      <c r="AB1245" s="172">
        <v>1.0923931717439217E-2</v>
      </c>
    </row>
    <row r="1246" spans="24:28" x14ac:dyDescent="0.2">
      <c r="X1246" s="176" t="str">
        <f t="shared" si="53"/>
        <v>1w</v>
      </c>
      <c r="Y1246" s="164">
        <f>_xll.qlCalendarAdvance(Calendar,Y1245,X1246,"f",FALSE)</f>
        <v>47808</v>
      </c>
      <c r="Z1246" s="188">
        <f>_xll.qlCalendarAdvance(Calendar,Y1246,NDays&amp;"D")</f>
        <v>47812</v>
      </c>
      <c r="AA1246" s="163">
        <v>1.0931269892307851E-2</v>
      </c>
      <c r="AB1246" s="172">
        <v>1.0922343119785793E-2</v>
      </c>
    </row>
    <row r="1247" spans="24:28" x14ac:dyDescent="0.2">
      <c r="X1247" s="176" t="str">
        <f t="shared" si="53"/>
        <v>1w</v>
      </c>
      <c r="Y1247" s="164">
        <f>_xll.qlCalendarAdvance(Calendar,Y1246,X1247,"f",FALSE)</f>
        <v>47815</v>
      </c>
      <c r="Z1247" s="188">
        <f>_xll.qlCalendarAdvance(Calendar,Y1247,NDays&amp;"D")</f>
        <v>47819</v>
      </c>
      <c r="AA1247" s="163">
        <v>1.0929617571610442E-2</v>
      </c>
      <c r="AB1247" s="172">
        <v>1.092075059551334E-2</v>
      </c>
    </row>
    <row r="1248" spans="24:28" x14ac:dyDescent="0.2">
      <c r="X1248" s="176" t="str">
        <f t="shared" si="53"/>
        <v>1w</v>
      </c>
      <c r="Y1248" s="164">
        <f>_xll.qlCalendarAdvance(Calendar,Y1247,X1248,"f",FALSE)</f>
        <v>47822</v>
      </c>
      <c r="Z1248" s="188">
        <f>_xll.qlCalendarAdvance(Calendar,Y1248,NDays&amp;"D")</f>
        <v>47826</v>
      </c>
      <c r="AA1248" s="163">
        <v>1.0927961304074136E-2</v>
      </c>
      <c r="AB1248" s="172">
        <v>1.0919154144621857E-2</v>
      </c>
    </row>
    <row r="1249" spans="24:28" x14ac:dyDescent="0.2">
      <c r="X1249" s="176" t="str">
        <f t="shared" si="53"/>
        <v>1w</v>
      </c>
      <c r="Y1249" s="164">
        <f>_xll.qlCalendarAdvance(Calendar,Y1248,X1249,"f",FALSE)</f>
        <v>47829</v>
      </c>
      <c r="Z1249" s="188">
        <f>_xll.qlCalendarAdvance(Calendar,Y1249,NDays&amp;"D")</f>
        <v>47833</v>
      </c>
      <c r="AA1249" s="163">
        <v>1.092630108970903E-2</v>
      </c>
      <c r="AB1249" s="172">
        <v>1.0917553767031407E-2</v>
      </c>
    </row>
    <row r="1250" spans="24:28" x14ac:dyDescent="0.2">
      <c r="X1250" s="176" t="str">
        <f t="shared" si="53"/>
        <v>1w</v>
      </c>
      <c r="Y1250" s="164">
        <f>_xll.qlCalendarAdvance(Calendar,Y1249,X1250,"f",FALSE)</f>
        <v>47836</v>
      </c>
      <c r="Z1250" s="188">
        <f>_xll.qlCalendarAdvance(Calendar,Y1250,NDays&amp;"D")</f>
        <v>47840</v>
      </c>
      <c r="AA1250" s="163">
        <v>1.092463692852479E-2</v>
      </c>
      <c r="AB1250" s="172">
        <v>1.0915949462821928E-2</v>
      </c>
    </row>
    <row r="1251" spans="24:28" x14ac:dyDescent="0.2">
      <c r="X1251" s="176" t="str">
        <f t="shared" si="53"/>
        <v>1w</v>
      </c>
      <c r="Y1251" s="164">
        <f>_xll.qlCalendarAdvance(Calendar,Y1250,X1251,"f",FALSE)</f>
        <v>47844</v>
      </c>
      <c r="Z1251" s="188">
        <f>_xll.qlCalendarAdvance(Calendar,Y1251,NDays&amp;"D")</f>
        <v>47848</v>
      </c>
      <c r="AA1251" s="163">
        <v>1.092268533700301E-2</v>
      </c>
      <c r="AB1251" s="172">
        <v>1.0914161528261523E-2</v>
      </c>
    </row>
    <row r="1252" spans="24:28" x14ac:dyDescent="0.2">
      <c r="X1252" s="176" t="str">
        <f t="shared" si="53"/>
        <v>1w</v>
      </c>
      <c r="Y1252" s="164">
        <f>_xll.qlCalendarAdvance(Calendar,Y1251,X1252,"f",FALSE)</f>
        <v>47851</v>
      </c>
      <c r="Z1252" s="188">
        <f>_xll.qlCalendarAdvance(Calendar,Y1252,NDays&amp;"D")</f>
        <v>47855</v>
      </c>
      <c r="AA1252" s="163">
        <v>1.0921013050892317E-2</v>
      </c>
      <c r="AB1252" s="172">
        <v>1.0912498445909691E-2</v>
      </c>
    </row>
    <row r="1253" spans="24:28" x14ac:dyDescent="0.2">
      <c r="X1253" s="176" t="str">
        <f t="shared" si="53"/>
        <v>1w</v>
      </c>
      <c r="Y1253" s="164">
        <f>_xll.qlCalendarAdvance(Calendar,Y1252,X1253,"f",FALSE)</f>
        <v>47858</v>
      </c>
      <c r="Z1253" s="188">
        <f>_xll.qlCalendarAdvance(Calendar,Y1253,NDays&amp;"D")</f>
        <v>47862</v>
      </c>
      <c r="AA1253" s="163">
        <v>1.091933681810571E-2</v>
      </c>
      <c r="AB1253" s="172">
        <v>1.0910881800931804E-2</v>
      </c>
    </row>
    <row r="1254" spans="24:28" x14ac:dyDescent="0.2">
      <c r="X1254" s="176" t="str">
        <f t="shared" si="53"/>
        <v>1w</v>
      </c>
      <c r="Y1254" s="164">
        <f>_xll.qlCalendarAdvance(Calendar,Y1253,X1254,"f",FALSE)</f>
        <v>47865</v>
      </c>
      <c r="Z1254" s="188">
        <f>_xll.qlCalendarAdvance(Calendar,Y1254,NDays&amp;"D")</f>
        <v>47869</v>
      </c>
      <c r="AA1254" s="163">
        <v>1.0917656638652464E-2</v>
      </c>
      <c r="AB1254" s="172">
        <v>1.0909261229334888E-2</v>
      </c>
    </row>
    <row r="1255" spans="24:28" x14ac:dyDescent="0.2">
      <c r="X1255" s="176" t="str">
        <f t="shared" si="53"/>
        <v>1w</v>
      </c>
      <c r="Y1255" s="164">
        <f>_xll.qlCalendarAdvance(Calendar,Y1254,X1255,"f",FALSE)</f>
        <v>47872</v>
      </c>
      <c r="Z1255" s="188">
        <f>_xll.qlCalendarAdvance(Calendar,Y1255,NDays&amp;"D")</f>
        <v>47876</v>
      </c>
      <c r="AA1255" s="163">
        <v>1.091597251254185E-2</v>
      </c>
      <c r="AB1255" s="172">
        <v>1.0907636730959069E-2</v>
      </c>
    </row>
    <row r="1256" spans="24:28" x14ac:dyDescent="0.2">
      <c r="X1256" s="176" t="str">
        <f t="shared" si="53"/>
        <v>1w</v>
      </c>
      <c r="Y1256" s="164">
        <f>_xll.qlCalendarAdvance(Calendar,Y1255,X1256,"f",FALSE)</f>
        <v>47879</v>
      </c>
      <c r="Z1256" s="188">
        <f>_xll.qlCalendarAdvance(Calendar,Y1256,NDays&amp;"D")</f>
        <v>47883</v>
      </c>
      <c r="AA1256" s="163">
        <v>1.0914284439784913E-2</v>
      </c>
      <c r="AB1256" s="172">
        <v>1.0906008306124093E-2</v>
      </c>
    </row>
    <row r="1257" spans="24:28" x14ac:dyDescent="0.2">
      <c r="X1257" s="176" t="str">
        <f t="shared" si="53"/>
        <v>1w</v>
      </c>
      <c r="Y1257" s="164">
        <f>_xll.qlCalendarAdvance(Calendar,Y1256,X1257,"f",FALSE)</f>
        <v>47886</v>
      </c>
      <c r="Z1257" s="188">
        <f>_xll.qlCalendarAdvance(Calendar,Y1257,NDays&amp;"D")</f>
        <v>47890</v>
      </c>
      <c r="AA1257" s="163">
        <v>1.0912592420390926E-2</v>
      </c>
      <c r="AB1257" s="172">
        <v>1.0904375954670087E-2</v>
      </c>
    </row>
    <row r="1258" spans="24:28" x14ac:dyDescent="0.2">
      <c r="X1258" s="176" t="str">
        <f t="shared" si="53"/>
        <v>1w</v>
      </c>
      <c r="Y1258" s="164">
        <f>_xll.qlCalendarAdvance(Calendar,Y1257,X1258,"f",FALSE)</f>
        <v>47893</v>
      </c>
      <c r="Z1258" s="188">
        <f>_xll.qlCalendarAdvance(Calendar,Y1258,NDays&amp;"D")</f>
        <v>47897</v>
      </c>
      <c r="AA1258" s="163">
        <v>1.0910896454369604E-2</v>
      </c>
      <c r="AB1258" s="172">
        <v>1.0902739676437179E-2</v>
      </c>
    </row>
    <row r="1259" spans="24:28" x14ac:dyDescent="0.2">
      <c r="X1259" s="176" t="str">
        <f t="shared" si="53"/>
        <v>1w</v>
      </c>
      <c r="Y1259" s="164">
        <f>_xll.qlCalendarAdvance(Calendar,Y1258,X1259,"f",FALSE)</f>
        <v>47900</v>
      </c>
      <c r="Z1259" s="188">
        <f>_xll.qlCalendarAdvance(Calendar,Y1259,NDays&amp;"D")</f>
        <v>47904</v>
      </c>
      <c r="AA1259" s="163">
        <v>1.0909196541732431E-2</v>
      </c>
      <c r="AB1259" s="172">
        <v>1.0901099471665177E-2</v>
      </c>
    </row>
    <row r="1260" spans="24:28" x14ac:dyDescent="0.2">
      <c r="X1260" s="176" t="str">
        <f t="shared" si="53"/>
        <v>1w</v>
      </c>
      <c r="Y1260" s="164">
        <f>_xll.qlCalendarAdvance(Calendar,Y1259,X1260,"f",FALSE)</f>
        <v>47907</v>
      </c>
      <c r="Z1260" s="188">
        <f>_xll.qlCalendarAdvance(Calendar,Y1260,NDays&amp;"D")</f>
        <v>47911</v>
      </c>
      <c r="AA1260" s="163">
        <v>1.0907618180468795E-2</v>
      </c>
      <c r="AB1260" s="172">
        <v>1.0899455340194208E-2</v>
      </c>
    </row>
    <row r="1261" spans="24:28" x14ac:dyDescent="0.2">
      <c r="X1261" s="176" t="str">
        <f t="shared" si="53"/>
        <v>1w</v>
      </c>
      <c r="Y1261" s="164">
        <f>_xll.qlCalendarAdvance(Calendar,Y1260,X1261,"f",FALSE)</f>
        <v>47914</v>
      </c>
      <c r="Z1261" s="188">
        <f>_xll.qlCalendarAdvance(Calendar,Y1261,NDays&amp;"D")</f>
        <v>47918</v>
      </c>
      <c r="AA1261" s="163">
        <v>1.090590937405851E-2</v>
      </c>
      <c r="AB1261" s="172">
        <v>1.089780728210421E-2</v>
      </c>
    </row>
    <row r="1262" spans="24:28" x14ac:dyDescent="0.2">
      <c r="X1262" s="176" t="str">
        <f t="shared" si="53"/>
        <v>1w</v>
      </c>
      <c r="Y1262" s="164">
        <f>_xll.qlCalendarAdvance(Calendar,Y1261,X1262,"f",FALSE)</f>
        <v>47921</v>
      </c>
      <c r="Z1262" s="188">
        <f>_xll.qlCalendarAdvance(Calendar,Y1262,NDays&amp;"D")</f>
        <v>47925</v>
      </c>
      <c r="AA1262" s="163">
        <v>1.0904196620730651E-2</v>
      </c>
      <c r="AB1262" s="172">
        <v>1.0896155297555055E-2</v>
      </c>
    </row>
    <row r="1263" spans="24:28" x14ac:dyDescent="0.2">
      <c r="X1263" s="176" t="str">
        <f t="shared" si="53"/>
        <v>1w</v>
      </c>
      <c r="Y1263" s="164">
        <f>_xll.qlCalendarAdvance(Calendar,Y1262,X1263,"f",FALSE)</f>
        <v>47928</v>
      </c>
      <c r="Z1263" s="188">
        <f>_xll.qlCalendarAdvance(Calendar,Y1263,NDays&amp;"D")</f>
        <v>47932</v>
      </c>
      <c r="AA1263" s="163">
        <v>1.0902479920495206E-2</v>
      </c>
      <c r="AB1263" s="172">
        <v>1.0894499386147061E-2</v>
      </c>
    </row>
    <row r="1264" spans="24:28" x14ac:dyDescent="0.2">
      <c r="X1264" s="176" t="str">
        <f t="shared" si="53"/>
        <v>1w</v>
      </c>
      <c r="Y1264" s="164">
        <f>_xll.qlCalendarAdvance(Calendar,Y1263,X1264,"f",FALSE)</f>
        <v>47935</v>
      </c>
      <c r="Z1264" s="188">
        <f>_xll.qlCalendarAdvance(Calendar,Y1264,NDays&amp;"D")</f>
        <v>47939</v>
      </c>
      <c r="AA1264" s="163">
        <v>1.0900718806493225E-2</v>
      </c>
      <c r="AB1264" s="172">
        <v>1.0892839548199973E-2</v>
      </c>
    </row>
    <row r="1265" spans="24:28" x14ac:dyDescent="0.2">
      <c r="X1265" s="176" t="str">
        <f t="shared" si="53"/>
        <v>1w</v>
      </c>
      <c r="Y1265" s="164">
        <f>_xll.qlCalendarAdvance(Calendar,Y1264,X1265,"f",FALSE)</f>
        <v>47942</v>
      </c>
      <c r="Z1265" s="188">
        <f>_xll.qlCalendarAdvance(Calendar,Y1265,NDays&amp;"D")</f>
        <v>47946</v>
      </c>
      <c r="AA1265" s="163">
        <v>1.0898994546455742E-2</v>
      </c>
      <c r="AB1265" s="172">
        <v>1.0891175783633855E-2</v>
      </c>
    </row>
    <row r="1266" spans="24:28" x14ac:dyDescent="0.2">
      <c r="X1266" s="176" t="str">
        <f t="shared" si="53"/>
        <v>1w</v>
      </c>
      <c r="Y1266" s="164">
        <f>_xll.qlCalendarAdvance(Calendar,Y1265,X1266,"f",FALSE)</f>
        <v>47953</v>
      </c>
      <c r="Z1266" s="188">
        <f>_xll.qlCalendarAdvance(Calendar,Y1266,NDays&amp;"D")</f>
        <v>47955</v>
      </c>
      <c r="AA1266" s="163">
        <v>1.0896771841364722E-2</v>
      </c>
      <c r="AB1266" s="172">
        <v>1.0889030888092677E-2</v>
      </c>
    </row>
    <row r="1267" spans="24:28" x14ac:dyDescent="0.2">
      <c r="X1267" s="176" t="str">
        <f t="shared" si="53"/>
        <v>1w</v>
      </c>
      <c r="Y1267" s="164">
        <f>_xll.qlCalendarAdvance(Calendar,Y1266,X1267,"f",FALSE)</f>
        <v>47960</v>
      </c>
      <c r="Z1267" s="188">
        <f>_xll.qlCalendarAdvance(Calendar,Y1267,NDays&amp;"D")</f>
        <v>47962</v>
      </c>
      <c r="AA1267" s="163">
        <v>1.0895038560163097E-2</v>
      </c>
      <c r="AB1267" s="172">
        <v>1.0887358148305992E-2</v>
      </c>
    </row>
    <row r="1268" spans="24:28" x14ac:dyDescent="0.2">
      <c r="X1268" s="176" t="str">
        <f t="shared" si="53"/>
        <v>1w</v>
      </c>
      <c r="Y1268" s="164">
        <f>_xll.qlCalendarAdvance(Calendar,Y1267,X1268,"f",FALSE)</f>
        <v>47967</v>
      </c>
      <c r="Z1268" s="188">
        <f>_xll.qlCalendarAdvance(Calendar,Y1268,NDays&amp;"D")</f>
        <v>47970</v>
      </c>
      <c r="AA1268" s="163">
        <v>1.0893130777439617E-2</v>
      </c>
      <c r="AB1268" s="172">
        <v>1.0885530822148937E-2</v>
      </c>
    </row>
    <row r="1269" spans="24:28" x14ac:dyDescent="0.2">
      <c r="X1269" s="176" t="str">
        <f t="shared" si="53"/>
        <v>1w</v>
      </c>
      <c r="Y1269" s="164">
        <f>_xll.qlCalendarAdvance(Calendar,Y1268,X1269,"f",FALSE)</f>
        <v>47974</v>
      </c>
      <c r="Z1269" s="188">
        <f>_xll.qlCalendarAdvance(Calendar,Y1269,NDays&amp;"D")</f>
        <v>47976</v>
      </c>
      <c r="AA1269" s="163">
        <v>1.0891676165012337E-2</v>
      </c>
      <c r="AB1269" s="172">
        <v>1.0884000889035406E-2</v>
      </c>
    </row>
    <row r="1270" spans="24:28" x14ac:dyDescent="0.2">
      <c r="X1270" s="176" t="str">
        <f t="shared" si="53"/>
        <v>1w</v>
      </c>
      <c r="Y1270" s="164">
        <f>_xll.qlCalendarAdvance(Calendar,Y1269,X1270,"f",FALSE)</f>
        <v>47981</v>
      </c>
      <c r="Z1270" s="188">
        <f>_xll.qlCalendarAdvance(Calendar,Y1270,NDays&amp;"D")</f>
        <v>47983</v>
      </c>
      <c r="AA1270" s="163">
        <v>1.0889930039871515E-2</v>
      </c>
      <c r="AB1270" s="172">
        <v>1.0882316369391631E-2</v>
      </c>
    </row>
    <row r="1271" spans="24:28" x14ac:dyDescent="0.2">
      <c r="X1271" s="176" t="str">
        <f t="shared" si="53"/>
        <v>1w</v>
      </c>
      <c r="Y1271" s="164">
        <f>_xll.qlCalendarAdvance(Calendar,Y1270,X1271,"f",FALSE)</f>
        <v>47988</v>
      </c>
      <c r="Z1271" s="188">
        <f>_xll.qlCalendarAdvance(Calendar,Y1271,NDays&amp;"D")</f>
        <v>47990</v>
      </c>
      <c r="AA1271" s="163">
        <v>1.0888179967689289E-2</v>
      </c>
      <c r="AB1271" s="172">
        <v>1.0880627923208763E-2</v>
      </c>
    </row>
    <row r="1272" spans="24:28" x14ac:dyDescent="0.2">
      <c r="X1272" s="176" t="str">
        <f t="shared" si="53"/>
        <v>1w</v>
      </c>
      <c r="Y1272" s="164">
        <f>_xll.qlCalendarAdvance(Calendar,Y1271,X1272,"f",FALSE)</f>
        <v>47995</v>
      </c>
      <c r="Z1272" s="188">
        <f>_xll.qlCalendarAdvance(Calendar,Y1272,NDays&amp;"D")</f>
        <v>47997</v>
      </c>
      <c r="AA1272" s="163">
        <v>1.0886312953222723E-2</v>
      </c>
      <c r="AB1272" s="172">
        <v>1.0878935550326929E-2</v>
      </c>
    </row>
    <row r="1273" spans="24:28" x14ac:dyDescent="0.2">
      <c r="X1273" s="176" t="str">
        <f t="shared" si="53"/>
        <v>1w</v>
      </c>
      <c r="Y1273" s="164">
        <f>_xll.qlCalendarAdvance(Calendar,Y1272,X1273,"f",FALSE)</f>
        <v>48002</v>
      </c>
      <c r="Z1273" s="188">
        <f>_xll.qlCalendarAdvance(Calendar,Y1273,NDays&amp;"D")</f>
        <v>48004</v>
      </c>
      <c r="AA1273" s="163">
        <v>1.0884555991721846E-2</v>
      </c>
      <c r="AB1273" s="172">
        <v>1.0877239250826065E-2</v>
      </c>
    </row>
    <row r="1274" spans="24:28" x14ac:dyDescent="0.2">
      <c r="X1274" s="176" t="str">
        <f t="shared" si="53"/>
        <v>1w</v>
      </c>
      <c r="Y1274" s="164">
        <f>_xll.qlCalendarAdvance(Calendar,Y1273,X1274,"f",FALSE)</f>
        <v>48009</v>
      </c>
      <c r="Z1274" s="188">
        <f>_xll.qlCalendarAdvance(Calendar,Y1274,NDays&amp;"D")</f>
        <v>48011</v>
      </c>
      <c r="AA1274" s="163">
        <v>1.0882795083541483E-2</v>
      </c>
      <c r="AB1274" s="172">
        <v>1.0875539024706171E-2</v>
      </c>
    </row>
    <row r="1275" spans="24:28" x14ac:dyDescent="0.2">
      <c r="X1275" s="176" t="str">
        <f t="shared" si="53"/>
        <v>1w</v>
      </c>
      <c r="Y1275" s="164">
        <f>_xll.qlCalendarAdvance(Calendar,Y1274,X1275,"f",FALSE)</f>
        <v>48016</v>
      </c>
      <c r="Z1275" s="188">
        <f>_xll.qlCalendarAdvance(Calendar,Y1275,NDays&amp;"D")</f>
        <v>48018</v>
      </c>
      <c r="AA1275" s="163">
        <v>1.088103022869168E-2</v>
      </c>
      <c r="AB1275" s="172">
        <v>1.0873834871967247E-2</v>
      </c>
    </row>
    <row r="1276" spans="24:28" x14ac:dyDescent="0.2">
      <c r="X1276" s="176" t="str">
        <f t="shared" si="53"/>
        <v>1w</v>
      </c>
      <c r="Y1276" s="164">
        <f>_xll.qlCalendarAdvance(Calendar,Y1275,X1276,"f",FALSE)</f>
        <v>48023</v>
      </c>
      <c r="Z1276" s="188">
        <f>_xll.qlCalendarAdvance(Calendar,Y1276,NDays&amp;"D")</f>
        <v>48025</v>
      </c>
      <c r="AA1276" s="163">
        <v>1.087937040154089E-2</v>
      </c>
      <c r="AB1276" s="172">
        <v>1.0872126792529357E-2</v>
      </c>
    </row>
    <row r="1277" spans="24:28" x14ac:dyDescent="0.2">
      <c r="X1277" s="176" t="str">
        <f t="shared" si="53"/>
        <v>1w</v>
      </c>
      <c r="Y1277" s="164">
        <f>_xll.qlCalendarAdvance(Calendar,Y1276,X1277,"f",FALSE)</f>
        <v>48030</v>
      </c>
      <c r="Z1277" s="188">
        <f>_xll.qlCalendarAdvance(Calendar,Y1277,NDays&amp;"D")</f>
        <v>48032</v>
      </c>
      <c r="AA1277" s="163">
        <v>1.0877596647338878E-2</v>
      </c>
      <c r="AB1277" s="172">
        <v>1.087041478663231E-2</v>
      </c>
    </row>
    <row r="1278" spans="24:28" x14ac:dyDescent="0.2">
      <c r="X1278" s="176" t="str">
        <f t="shared" si="53"/>
        <v>1w</v>
      </c>
      <c r="Y1278" s="164">
        <f>_xll.qlCalendarAdvance(Calendar,Y1277,X1278,"f",FALSE)</f>
        <v>48037</v>
      </c>
      <c r="Z1278" s="188">
        <f>_xll.qlCalendarAdvance(Calendar,Y1278,NDays&amp;"D")</f>
        <v>48039</v>
      </c>
      <c r="AA1278" s="163">
        <v>1.0875818946170672E-2</v>
      </c>
      <c r="AB1278" s="172">
        <v>1.086869885395636E-2</v>
      </c>
    </row>
    <row r="1279" spans="24:28" x14ac:dyDescent="0.2">
      <c r="X1279" s="176" t="str">
        <f t="shared" si="53"/>
        <v>1w</v>
      </c>
      <c r="Y1279" s="164">
        <f>_xll.qlCalendarAdvance(Calendar,Y1278,X1279,"f",FALSE)</f>
        <v>48044</v>
      </c>
      <c r="Z1279" s="188">
        <f>_xll.qlCalendarAdvance(Calendar,Y1279,NDays&amp;"D")</f>
        <v>48046</v>
      </c>
      <c r="AA1279" s="163">
        <v>1.0874037298047446E-2</v>
      </c>
      <c r="AB1279" s="172">
        <v>1.086697899466138E-2</v>
      </c>
    </row>
    <row r="1280" spans="24:28" x14ac:dyDescent="0.2">
      <c r="X1280" s="176" t="str">
        <f t="shared" si="53"/>
        <v>1w</v>
      </c>
      <c r="Y1280" s="164">
        <f>_xll.qlCalendarAdvance(Calendar,Y1279,X1280,"f",FALSE)</f>
        <v>48051</v>
      </c>
      <c r="Z1280" s="188">
        <f>_xll.qlCalendarAdvance(Calendar,Y1280,NDays&amp;"D")</f>
        <v>48053</v>
      </c>
      <c r="AA1280" s="163">
        <v>1.0872251702979941E-2</v>
      </c>
      <c r="AB1280" s="172">
        <v>1.0865255208747371E-2</v>
      </c>
    </row>
    <row r="1281" spans="24:28" x14ac:dyDescent="0.2">
      <c r="X1281" s="176" t="str">
        <f t="shared" si="53"/>
        <v>1w</v>
      </c>
      <c r="Y1281" s="164">
        <f>_xll.qlCalendarAdvance(Calendar,Y1280,X1281,"f",FALSE)</f>
        <v>48058</v>
      </c>
      <c r="Z1281" s="188">
        <f>_xll.qlCalendarAdvance(Calendar,Y1281,NDays&amp;"D")</f>
        <v>48060</v>
      </c>
      <c r="AA1281" s="163">
        <v>1.0870358220133939E-2</v>
      </c>
      <c r="AB1281" s="172">
        <v>1.0863527496214331E-2</v>
      </c>
    </row>
    <row r="1282" spans="24:28" x14ac:dyDescent="0.2">
      <c r="X1282" s="176" t="str">
        <f t="shared" si="53"/>
        <v>1w</v>
      </c>
      <c r="Y1282" s="164">
        <f>_xll.qlCalendarAdvance(Calendar,Y1281,X1282,"f",FALSE)</f>
        <v>48065</v>
      </c>
      <c r="Z1282" s="188">
        <f>_xll.qlCalendarAdvance(Calendar,Y1282,NDays&amp;"D")</f>
        <v>48067</v>
      </c>
      <c r="AA1282" s="163">
        <v>1.0868668672056799E-2</v>
      </c>
      <c r="AB1282" s="172">
        <v>1.0861795857142198E-2</v>
      </c>
    </row>
    <row r="1283" spans="24:28" x14ac:dyDescent="0.2">
      <c r="X1283" s="176" t="str">
        <f t="shared" si="53"/>
        <v>1w</v>
      </c>
      <c r="Y1283" s="164">
        <f>_xll.qlCalendarAdvance(Calendar,Y1282,X1283,"f",FALSE)</f>
        <v>48072</v>
      </c>
      <c r="Z1283" s="188">
        <f>_xll.qlCalendarAdvance(Calendar,Y1283,NDays&amp;"D")</f>
        <v>48074</v>
      </c>
      <c r="AA1283" s="163">
        <v>1.0866871236221789E-2</v>
      </c>
      <c r="AB1283" s="172">
        <v>1.0860060291291163E-2</v>
      </c>
    </row>
    <row r="1284" spans="24:28" x14ac:dyDescent="0.2">
      <c r="X1284" s="176" t="str">
        <f t="shared" si="53"/>
        <v>1w</v>
      </c>
      <c r="Y1284" s="164">
        <f>_xll.qlCalendarAdvance(Calendar,Y1283,X1284,"f",FALSE)</f>
        <v>48079</v>
      </c>
      <c r="Z1284" s="188">
        <f>_xll.qlCalendarAdvance(Calendar,Y1284,NDays&amp;"D")</f>
        <v>48081</v>
      </c>
      <c r="AA1284" s="163">
        <v>1.0865069853486767E-2</v>
      </c>
      <c r="AB1284" s="172">
        <v>1.0858320798821097E-2</v>
      </c>
    </row>
    <row r="1285" spans="24:28" x14ac:dyDescent="0.2">
      <c r="X1285" s="176" t="str">
        <f t="shared" si="53"/>
        <v>1w</v>
      </c>
      <c r="Y1285" s="164">
        <f>_xll.qlCalendarAdvance(Calendar,Y1284,X1285,"f",FALSE)</f>
        <v>48086</v>
      </c>
      <c r="Z1285" s="188">
        <f>_xll.qlCalendarAdvance(Calendar,Y1285,NDays&amp;"D")</f>
        <v>48088</v>
      </c>
      <c r="AA1285" s="163">
        <v>1.0863164615725396E-2</v>
      </c>
      <c r="AB1285" s="172">
        <v>1.0856577379891874E-2</v>
      </c>
    </row>
    <row r="1286" spans="24:28" x14ac:dyDescent="0.2">
      <c r="X1286" s="176" t="str">
        <f t="shared" si="53"/>
        <v>1w</v>
      </c>
      <c r="Y1286" s="164">
        <f>_xll.qlCalendarAdvance(Calendar,Y1285,X1286,"f",FALSE)</f>
        <v>48093</v>
      </c>
      <c r="Z1286" s="188">
        <f>_xll.qlCalendarAdvance(Calendar,Y1286,NDays&amp;"D")</f>
        <v>48095</v>
      </c>
      <c r="AA1286" s="163">
        <v>1.0861323318987658E-2</v>
      </c>
      <c r="AB1286" s="172">
        <v>1.0854830034183749E-2</v>
      </c>
    </row>
    <row r="1287" spans="24:28" x14ac:dyDescent="0.2">
      <c r="X1287" s="176" t="str">
        <f t="shared" si="53"/>
        <v>1w</v>
      </c>
      <c r="Y1287" s="164">
        <f>_xll.qlCalendarAdvance(Calendar,Y1286,X1287,"f",FALSE)</f>
        <v>48100</v>
      </c>
      <c r="Z1287" s="188">
        <f>_xll.qlCalendarAdvance(Calendar,Y1287,NDays&amp;"D")</f>
        <v>48102</v>
      </c>
      <c r="AA1287" s="163">
        <v>1.0859511441344573E-2</v>
      </c>
      <c r="AB1287" s="172">
        <v>1.085307876193653E-2</v>
      </c>
    </row>
    <row r="1288" spans="24:28" x14ac:dyDescent="0.2">
      <c r="X1288" s="176" t="str">
        <f t="shared" si="53"/>
        <v>1w</v>
      </c>
      <c r="Y1288" s="164">
        <f>_xll.qlCalendarAdvance(Calendar,Y1287,X1288,"f",FALSE)</f>
        <v>48107</v>
      </c>
      <c r="Z1288" s="188">
        <f>_xll.qlCalendarAdvance(Calendar,Y1288,NDays&amp;"D")</f>
        <v>48109</v>
      </c>
      <c r="AA1288" s="163">
        <v>1.0857695617280276E-2</v>
      </c>
      <c r="AB1288" s="172">
        <v>1.0851323562990345E-2</v>
      </c>
    </row>
    <row r="1289" spans="24:28" x14ac:dyDescent="0.2">
      <c r="X1289" s="176" t="str">
        <f t="shared" si="53"/>
        <v>1w</v>
      </c>
      <c r="Y1289" s="164">
        <f>_xll.qlCalendarAdvance(Calendar,Y1288,X1289,"f",FALSE)</f>
        <v>48114</v>
      </c>
      <c r="Z1289" s="188">
        <f>_xll.qlCalendarAdvance(Calendar,Y1289,NDays&amp;"D")</f>
        <v>48116</v>
      </c>
      <c r="AA1289" s="163">
        <v>1.0855875846805307E-2</v>
      </c>
      <c r="AB1289" s="172">
        <v>1.0849564437345194E-2</v>
      </c>
    </row>
    <row r="1290" spans="24:28" x14ac:dyDescent="0.2">
      <c r="X1290" s="176" t="str">
        <f t="shared" si="53"/>
        <v>1w</v>
      </c>
      <c r="Y1290" s="164">
        <f>_xll.qlCalendarAdvance(Calendar,Y1289,X1290,"f",FALSE)</f>
        <v>48121</v>
      </c>
      <c r="Z1290" s="188">
        <f>_xll.qlCalendarAdvance(Calendar,Y1290,NDays&amp;"D")</f>
        <v>48123</v>
      </c>
      <c r="AA1290" s="163">
        <v>1.0854083812884352E-2</v>
      </c>
      <c r="AB1290" s="172">
        <v>1.0847801385240885E-2</v>
      </c>
    </row>
    <row r="1291" spans="24:28" x14ac:dyDescent="0.2">
      <c r="X1291" s="176" t="str">
        <f t="shared" si="53"/>
        <v>1w</v>
      </c>
      <c r="Y1291" s="164">
        <f>_xll.qlCalendarAdvance(Calendar,Y1290,X1291,"f",FALSE)</f>
        <v>48128</v>
      </c>
      <c r="Z1291" s="188">
        <f>_xll.qlCalendarAdvance(Calendar,Y1291,NDays&amp;"D")</f>
        <v>48130</v>
      </c>
      <c r="AA1291" s="163">
        <v>1.0852255812780279E-2</v>
      </c>
      <c r="AB1291" s="172">
        <v>1.084603440643761E-2</v>
      </c>
    </row>
    <row r="1292" spans="24:28" x14ac:dyDescent="0.2">
      <c r="X1292" s="176" t="str">
        <f t="shared" si="53"/>
        <v>1w</v>
      </c>
      <c r="Y1292" s="164">
        <f>_xll.qlCalendarAdvance(Calendar,Y1291,X1292,"f",FALSE)</f>
        <v>48135</v>
      </c>
      <c r="Z1292" s="188">
        <f>_xll.qlCalendarAdvance(Calendar,Y1292,NDays&amp;"D")</f>
        <v>48137</v>
      </c>
      <c r="AA1292" s="163">
        <v>1.0850423866190662E-2</v>
      </c>
      <c r="AB1292" s="172">
        <v>1.0844263501015305E-2</v>
      </c>
    </row>
    <row r="1293" spans="24:28" x14ac:dyDescent="0.2">
      <c r="X1293" s="176" t="str">
        <f t="shared" si="53"/>
        <v>1w</v>
      </c>
      <c r="Y1293" s="164">
        <f>_xll.qlCalendarAdvance(Calendar,Y1292,X1293,"f",FALSE)</f>
        <v>48142</v>
      </c>
      <c r="Z1293" s="188">
        <f>_xll.qlCalendarAdvance(Calendar,Y1293,NDays&amp;"D")</f>
        <v>48144</v>
      </c>
      <c r="AA1293" s="163">
        <v>1.0848587973124674E-2</v>
      </c>
      <c r="AB1293" s="172">
        <v>1.0842488668973971E-2</v>
      </c>
    </row>
    <row r="1294" spans="24:28" x14ac:dyDescent="0.2">
      <c r="X1294" s="176" t="str">
        <f t="shared" si="53"/>
        <v>1w</v>
      </c>
      <c r="Y1294" s="164">
        <f>_xll.qlCalendarAdvance(Calendar,Y1293,X1294,"f",FALSE)</f>
        <v>48149</v>
      </c>
      <c r="Z1294" s="188">
        <f>_xll.qlCalendarAdvance(Calendar,Y1294,NDays&amp;"D")</f>
        <v>48151</v>
      </c>
      <c r="AA1294" s="163">
        <v>1.084674813359455E-2</v>
      </c>
      <c r="AB1294" s="172">
        <v>1.084070991023367E-2</v>
      </c>
    </row>
    <row r="1295" spans="24:28" x14ac:dyDescent="0.2">
      <c r="X1295" s="176" t="str">
        <f t="shared" si="53"/>
        <v>1w</v>
      </c>
      <c r="Y1295" s="164">
        <f>_xll.qlCalendarAdvance(Calendar,Y1294,X1295,"f",FALSE)</f>
        <v>48156</v>
      </c>
      <c r="Z1295" s="188">
        <f>_xll.qlCalendarAdvance(Calendar,Y1295,NDays&amp;"D")</f>
        <v>48158</v>
      </c>
      <c r="AA1295" s="163">
        <v>1.0844874349949818E-2</v>
      </c>
      <c r="AB1295" s="172">
        <v>1.0838927224954276E-2</v>
      </c>
    </row>
    <row r="1296" spans="24:28" x14ac:dyDescent="0.2">
      <c r="X1296" s="176" t="str">
        <f t="shared" si="53"/>
        <v>1w</v>
      </c>
      <c r="Y1296" s="164">
        <f>_xll.qlCalendarAdvance(Calendar,Y1295,X1296,"f",FALSE)</f>
        <v>48163</v>
      </c>
      <c r="Z1296" s="188">
        <f>_xll.qlCalendarAdvance(Calendar,Y1296,NDays&amp;"D")</f>
        <v>48165</v>
      </c>
      <c r="AA1296" s="163">
        <v>1.0843026954907161E-2</v>
      </c>
      <c r="AB1296" s="172">
        <v>1.0837140612895979E-2</v>
      </c>
    </row>
    <row r="1297" spans="24:28" x14ac:dyDescent="0.2">
      <c r="X1297" s="176" t="str">
        <f t="shared" si="53"/>
        <v>1w</v>
      </c>
      <c r="Y1297" s="164">
        <f>_xll.qlCalendarAdvance(Calendar,Y1296,X1297,"f",FALSE)</f>
        <v>48170</v>
      </c>
      <c r="Z1297" s="188">
        <f>_xll.qlCalendarAdvance(Calendar,Y1297,NDays&amp;"D")</f>
        <v>48172</v>
      </c>
      <c r="AA1297" s="163">
        <v>1.0841175613542114E-2</v>
      </c>
      <c r="AB1297" s="172">
        <v>1.0835350074378525E-2</v>
      </c>
    </row>
    <row r="1298" spans="24:28" x14ac:dyDescent="0.2">
      <c r="X1298" s="176" t="str">
        <f t="shared" si="53"/>
        <v>1w</v>
      </c>
      <c r="Y1298" s="164">
        <f>_xll.qlCalendarAdvance(Calendar,Y1297,X1298,"f",FALSE)</f>
        <v>48177</v>
      </c>
      <c r="Z1298" s="188">
        <f>_xll.qlCalendarAdvance(Calendar,Y1298,NDays&amp;"D")</f>
        <v>48179</v>
      </c>
      <c r="AA1298" s="163">
        <v>1.083932032586522E-2</v>
      </c>
      <c r="AB1298" s="172">
        <v>1.0833555609162104E-2</v>
      </c>
    </row>
    <row r="1299" spans="24:28" x14ac:dyDescent="0.2">
      <c r="X1299" s="176" t="str">
        <f t="shared" si="53"/>
        <v>1w</v>
      </c>
      <c r="Y1299" s="164">
        <f>_xll.qlCalendarAdvance(Calendar,Y1298,X1299,"f",FALSE)</f>
        <v>48184</v>
      </c>
      <c r="Z1299" s="188">
        <f>_xll.qlCalendarAdvance(Calendar,Y1299,NDays&amp;"D")</f>
        <v>48186</v>
      </c>
      <c r="AA1299" s="163">
        <v>1.0837489739365354E-2</v>
      </c>
      <c r="AB1299" s="172">
        <v>1.0831757217326654E-2</v>
      </c>
    </row>
    <row r="1300" spans="24:28" x14ac:dyDescent="0.2">
      <c r="X1300" s="176" t="str">
        <f t="shared" si="53"/>
        <v>1w</v>
      </c>
      <c r="Y1300" s="164">
        <f>_xll.qlCalendarAdvance(Calendar,Y1299,X1300,"f",FALSE)</f>
        <v>48191</v>
      </c>
      <c r="Z1300" s="188">
        <f>_xll.qlCalendarAdvance(Calendar,Y1300,NDays&amp;"D")</f>
        <v>48193</v>
      </c>
      <c r="AA1300" s="163">
        <v>1.0835626221281465E-2</v>
      </c>
      <c r="AB1300" s="172">
        <v>1.0829954898872174E-2</v>
      </c>
    </row>
    <row r="1301" spans="24:28" x14ac:dyDescent="0.2">
      <c r="X1301" s="176" t="str">
        <f t="shared" ref="X1301:X1364" si="54">X1300</f>
        <v>1w</v>
      </c>
      <c r="Y1301" s="164">
        <f>_xll.qlCalendarAdvance(Calendar,Y1300,X1301,"f",FALSE)</f>
        <v>48198</v>
      </c>
      <c r="Z1301" s="188">
        <f>_xll.qlCalendarAdvance(Calendar,Y1301,NDays&amp;"D")</f>
        <v>48200</v>
      </c>
      <c r="AA1301" s="163">
        <v>1.0833758756810316E-2</v>
      </c>
      <c r="AB1301" s="172">
        <v>1.0828148653798664E-2</v>
      </c>
    </row>
    <row r="1302" spans="24:28" x14ac:dyDescent="0.2">
      <c r="X1302" s="176" t="str">
        <f t="shared" si="54"/>
        <v>1w</v>
      </c>
      <c r="Y1302" s="164">
        <f>_xll.qlCalendarAdvance(Calendar,Y1301,X1302,"f",FALSE)</f>
        <v>48205</v>
      </c>
      <c r="Z1302" s="188">
        <f>_xll.qlCalendarAdvance(Calendar,Y1302,NDays&amp;"D")</f>
        <v>48211</v>
      </c>
      <c r="AA1302" s="163">
        <v>1.0830816196499492E-2</v>
      </c>
      <c r="AB1302" s="172">
        <v>1.0825302335257803E-2</v>
      </c>
    </row>
    <row r="1303" spans="24:28" x14ac:dyDescent="0.2">
      <c r="X1303" s="176" t="str">
        <f t="shared" si="54"/>
        <v>1w</v>
      </c>
      <c r="Y1303" s="164">
        <f>_xll.qlCalendarAdvance(Calendar,Y1302,X1303,"f",FALSE)</f>
        <v>48212</v>
      </c>
      <c r="Z1303" s="188">
        <f>_xll.qlCalendarAdvance(Calendar,Y1303,NDays&amp;"D")</f>
        <v>48215</v>
      </c>
      <c r="AA1303" s="163">
        <v>1.0829716511177536E-2</v>
      </c>
      <c r="AB1303" s="172">
        <v>1.0824330767178481E-2</v>
      </c>
    </row>
    <row r="1304" spans="24:28" x14ac:dyDescent="0.2">
      <c r="X1304" s="176" t="str">
        <f t="shared" si="54"/>
        <v>1w</v>
      </c>
      <c r="Y1304" s="164">
        <f>_xll.qlCalendarAdvance(Calendar,Y1303,X1304,"f",FALSE)</f>
        <v>48219</v>
      </c>
      <c r="Z1304" s="188">
        <f>_xll.qlCalendarAdvance(Calendar,Y1304,NDays&amp;"D")</f>
        <v>48221</v>
      </c>
      <c r="AA1304" s="163">
        <v>1.0828105727871675E-2</v>
      </c>
      <c r="AB1304" s="172">
        <v>1.0822706358704082E-2</v>
      </c>
    </row>
    <row r="1305" spans="24:28" x14ac:dyDescent="0.2">
      <c r="X1305" s="176" t="str">
        <f t="shared" si="54"/>
        <v>1w</v>
      </c>
      <c r="Y1305" s="164">
        <f>_xll.qlCalendarAdvance(Calendar,Y1304,X1305,"f",FALSE)</f>
        <v>48226</v>
      </c>
      <c r="Z1305" s="188">
        <f>_xll.qlCalendarAdvance(Calendar,Y1305,NDays&amp;"D")</f>
        <v>48228</v>
      </c>
      <c r="AA1305" s="163">
        <v>1.0826222816321042E-2</v>
      </c>
      <c r="AB1305" s="172">
        <v>1.0820884407234388E-2</v>
      </c>
    </row>
    <row r="1306" spans="24:28" x14ac:dyDescent="0.2">
      <c r="X1306" s="176" t="str">
        <f t="shared" si="54"/>
        <v>1w</v>
      </c>
      <c r="Y1306" s="164">
        <f>_xll.qlCalendarAdvance(Calendar,Y1305,X1306,"f",FALSE)</f>
        <v>48233</v>
      </c>
      <c r="Z1306" s="188">
        <f>_xll.qlCalendarAdvance(Calendar,Y1306,NDays&amp;"D")</f>
        <v>48235</v>
      </c>
      <c r="AA1306" s="163">
        <v>1.082433595854816E-2</v>
      </c>
      <c r="AB1306" s="172">
        <v>1.0819058528985792E-2</v>
      </c>
    </row>
    <row r="1307" spans="24:28" x14ac:dyDescent="0.2">
      <c r="X1307" s="176" t="str">
        <f t="shared" si="54"/>
        <v>1w</v>
      </c>
      <c r="Y1307" s="164">
        <f>_xll.qlCalendarAdvance(Calendar,Y1306,X1307,"f",FALSE)</f>
        <v>48240</v>
      </c>
      <c r="Z1307" s="188">
        <f>_xll.qlCalendarAdvance(Calendar,Y1307,NDays&amp;"D")</f>
        <v>48242</v>
      </c>
      <c r="AA1307" s="163">
        <v>1.0822445154563128E-2</v>
      </c>
      <c r="AB1307" s="172">
        <v>1.0817228724118166E-2</v>
      </c>
    </row>
    <row r="1308" spans="24:28" x14ac:dyDescent="0.2">
      <c r="X1308" s="176" t="str">
        <f t="shared" si="54"/>
        <v>1w</v>
      </c>
      <c r="Y1308" s="164">
        <f>_xll.qlCalendarAdvance(Calendar,Y1307,X1308,"f",FALSE)</f>
        <v>48247</v>
      </c>
      <c r="Z1308" s="188">
        <f>_xll.qlCalendarAdvance(Calendar,Y1308,NDays&amp;"D")</f>
        <v>48249</v>
      </c>
      <c r="AA1308" s="163">
        <v>1.0820550404378246E-2</v>
      </c>
      <c r="AB1308" s="172">
        <v>1.0815394992631511E-2</v>
      </c>
    </row>
    <row r="1309" spans="24:28" x14ac:dyDescent="0.2">
      <c r="X1309" s="176" t="str">
        <f t="shared" si="54"/>
        <v>1w</v>
      </c>
      <c r="Y1309" s="164">
        <f>_xll.qlCalendarAdvance(Calendar,Y1308,X1309,"f",FALSE)</f>
        <v>48254</v>
      </c>
      <c r="Z1309" s="188">
        <f>_xll.qlCalendarAdvance(Calendar,Y1309,NDays&amp;"D")</f>
        <v>48256</v>
      </c>
      <c r="AA1309" s="163">
        <v>1.0818651708003616E-2</v>
      </c>
      <c r="AB1309" s="172">
        <v>1.0813557334525825E-2</v>
      </c>
    </row>
    <row r="1310" spans="24:28" x14ac:dyDescent="0.2">
      <c r="X1310" s="176" t="str">
        <f t="shared" si="54"/>
        <v>1w</v>
      </c>
      <c r="Y1310" s="164">
        <f>_xll.qlCalendarAdvance(Calendar,Y1309,X1310,"f",FALSE)</f>
        <v>48261</v>
      </c>
      <c r="Z1310" s="188">
        <f>_xll.qlCalendarAdvance(Calendar,Y1310,NDays&amp;"D")</f>
        <v>48263</v>
      </c>
      <c r="AA1310" s="163">
        <v>1.0816749065451096E-2</v>
      </c>
      <c r="AB1310" s="172">
        <v>1.0811715749721174E-2</v>
      </c>
    </row>
    <row r="1311" spans="24:28" x14ac:dyDescent="0.2">
      <c r="X1311" s="176" t="str">
        <f t="shared" si="54"/>
        <v>1w</v>
      </c>
      <c r="Y1311" s="164">
        <f>_xll.qlCalendarAdvance(Calendar,Y1310,X1311,"f",FALSE)</f>
        <v>48268</v>
      </c>
      <c r="Z1311" s="188">
        <f>_xll.qlCalendarAdvance(Calendar,Y1311,NDays&amp;"D")</f>
        <v>48270</v>
      </c>
      <c r="AA1311" s="163">
        <v>1.0814842476732544E-2</v>
      </c>
      <c r="AB1311" s="172">
        <v>1.0809870238457364E-2</v>
      </c>
    </row>
    <row r="1312" spans="24:28" x14ac:dyDescent="0.2">
      <c r="X1312" s="176" t="str">
        <f t="shared" si="54"/>
        <v>1w</v>
      </c>
      <c r="Y1312" s="164">
        <f>_xll.qlCalendarAdvance(Calendar,Y1311,X1312,"f",FALSE)</f>
        <v>48275</v>
      </c>
      <c r="Z1312" s="188">
        <f>_xll.qlCalendarAdvance(Calendar,Y1312,NDays&amp;"D")</f>
        <v>48277</v>
      </c>
      <c r="AA1312" s="163">
        <v>1.0813028740465688E-2</v>
      </c>
      <c r="AB1312" s="172">
        <v>1.0808020800414653E-2</v>
      </c>
    </row>
    <row r="1313" spans="24:28" x14ac:dyDescent="0.2">
      <c r="X1313" s="176" t="str">
        <f t="shared" si="54"/>
        <v>1w</v>
      </c>
      <c r="Y1313" s="164">
        <f>_xll.qlCalendarAdvance(Calendar,Y1312,X1313,"f",FALSE)</f>
        <v>48282</v>
      </c>
      <c r="Z1313" s="188">
        <f>_xll.qlCalendarAdvance(Calendar,Y1313,NDays&amp;"D")</f>
        <v>48284</v>
      </c>
      <c r="AA1313" s="163">
        <v>1.0811112902481518E-2</v>
      </c>
      <c r="AB1313" s="172">
        <v>1.0806167435752911E-2</v>
      </c>
    </row>
    <row r="1314" spans="24:28" x14ac:dyDescent="0.2">
      <c r="X1314" s="176" t="str">
        <f t="shared" si="54"/>
        <v>1w</v>
      </c>
      <c r="Y1314" s="164">
        <f>_xll.qlCalendarAdvance(Calendar,Y1313,X1314,"f",FALSE)</f>
        <v>48289</v>
      </c>
      <c r="Z1314" s="188">
        <f>_xll.qlCalendarAdvance(Calendar,Y1314,NDays&amp;"D")</f>
        <v>48291</v>
      </c>
      <c r="AA1314" s="163">
        <v>1.0809193117936419E-2</v>
      </c>
      <c r="AB1314" s="172">
        <v>1.0804310144632012E-2</v>
      </c>
    </row>
    <row r="1315" spans="24:28" x14ac:dyDescent="0.2">
      <c r="X1315" s="176" t="str">
        <f t="shared" si="54"/>
        <v>1w</v>
      </c>
      <c r="Y1315" s="164">
        <f>_xll.qlCalendarAdvance(Calendar,Y1314,X1315,"f",FALSE)</f>
        <v>48296</v>
      </c>
      <c r="Z1315" s="188">
        <f>_xll.qlCalendarAdvance(Calendar,Y1315,NDays&amp;"D")</f>
        <v>48298</v>
      </c>
      <c r="AA1315" s="163">
        <v>1.0807269386841997E-2</v>
      </c>
      <c r="AB1315" s="172">
        <v>1.080256459826856E-2</v>
      </c>
    </row>
    <row r="1316" spans="24:28" x14ac:dyDescent="0.2">
      <c r="X1316" s="176" t="str">
        <f t="shared" si="54"/>
        <v>1w</v>
      </c>
      <c r="Y1316" s="164">
        <f>_xll.qlCalendarAdvance(Calendar,Y1315,X1316,"f",FALSE)</f>
        <v>48303</v>
      </c>
      <c r="Z1316" s="188">
        <f>_xll.qlCalendarAdvance(Calendar,Y1316,NDays&amp;"D")</f>
        <v>48305</v>
      </c>
      <c r="AA1316" s="163">
        <v>1.0805273230989343E-2</v>
      </c>
      <c r="AB1316" s="172">
        <v>1.080058378221338E-2</v>
      </c>
    </row>
    <row r="1317" spans="24:28" x14ac:dyDescent="0.2">
      <c r="X1317" s="176" t="str">
        <f t="shared" si="54"/>
        <v>1w</v>
      </c>
      <c r="Y1317" s="164">
        <f>_xll.qlCalendarAdvance(Calendar,Y1316,X1317,"f",FALSE)</f>
        <v>48310</v>
      </c>
      <c r="Z1317" s="188">
        <f>_xll.qlCalendarAdvance(Calendar,Y1317,NDays&amp;"D")</f>
        <v>48312</v>
      </c>
      <c r="AA1317" s="163">
        <v>1.0803342625866581E-2</v>
      </c>
      <c r="AB1317" s="172">
        <v>1.0798714711075519E-2</v>
      </c>
    </row>
    <row r="1318" spans="24:28" x14ac:dyDescent="0.2">
      <c r="X1318" s="176" t="str">
        <f t="shared" si="54"/>
        <v>1w</v>
      </c>
      <c r="Y1318" s="164">
        <f>_xll.qlCalendarAdvance(Calendar,Y1317,X1318,"f",FALSE)</f>
        <v>48317</v>
      </c>
      <c r="Z1318" s="188">
        <f>_xll.qlCalendarAdvance(Calendar,Y1318,NDays&amp;"D")</f>
        <v>48319</v>
      </c>
      <c r="AA1318" s="163">
        <v>1.0801408074549627E-2</v>
      </c>
      <c r="AB1318" s="172">
        <v>1.0796841713398564E-2</v>
      </c>
    </row>
    <row r="1319" spans="24:28" x14ac:dyDescent="0.2">
      <c r="X1319" s="176" t="str">
        <f t="shared" si="54"/>
        <v>1w</v>
      </c>
      <c r="Y1319" s="164">
        <f>_xll.qlCalendarAdvance(Calendar,Y1318,X1319,"f",FALSE)</f>
        <v>48324</v>
      </c>
      <c r="Z1319" s="188">
        <f>_xll.qlCalendarAdvance(Calendar,Y1319,NDays&amp;"D")</f>
        <v>48326</v>
      </c>
      <c r="AA1319" s="163">
        <v>1.0799469577051149E-2</v>
      </c>
      <c r="AB1319" s="172">
        <v>1.0794964788942707E-2</v>
      </c>
    </row>
    <row r="1320" spans="24:28" x14ac:dyDescent="0.2">
      <c r="X1320" s="176" t="str">
        <f t="shared" si="54"/>
        <v>1w</v>
      </c>
      <c r="Y1320" s="164">
        <f>_xll.qlCalendarAdvance(Calendar,Y1319,X1320,"f",FALSE)</f>
        <v>48331</v>
      </c>
      <c r="Z1320" s="188">
        <f>_xll.qlCalendarAdvance(Calendar,Y1320,NDays&amp;"D")</f>
        <v>48333</v>
      </c>
      <c r="AA1320" s="163">
        <v>1.0797527133382504E-2</v>
      </c>
      <c r="AB1320" s="172">
        <v>1.0793083937947756E-2</v>
      </c>
    </row>
    <row r="1321" spans="24:28" x14ac:dyDescent="0.2">
      <c r="X1321" s="176" t="str">
        <f t="shared" si="54"/>
        <v>1w</v>
      </c>
      <c r="Y1321" s="164">
        <f>_xll.qlCalendarAdvance(Calendar,Y1320,X1321,"f",FALSE)</f>
        <v>48338</v>
      </c>
      <c r="Z1321" s="188">
        <f>_xll.qlCalendarAdvance(Calendar,Y1321,NDays&amp;"D")</f>
        <v>48340</v>
      </c>
      <c r="AA1321" s="163">
        <v>1.0795644123391186E-2</v>
      </c>
      <c r="AB1321" s="172">
        <v>1.0791199160333775E-2</v>
      </c>
    </row>
    <row r="1322" spans="24:28" x14ac:dyDescent="0.2">
      <c r="X1322" s="176" t="str">
        <f t="shared" si="54"/>
        <v>1w</v>
      </c>
      <c r="Y1322" s="164">
        <f>_xll.qlCalendarAdvance(Calendar,Y1321,X1322,"f",FALSE)</f>
        <v>48345</v>
      </c>
      <c r="Z1322" s="188">
        <f>_xll.qlCalendarAdvance(Calendar,Y1322,NDays&amp;"D")</f>
        <v>48347</v>
      </c>
      <c r="AA1322" s="163">
        <v>1.0793692766778976E-2</v>
      </c>
      <c r="AB1322" s="172">
        <v>1.0789310456100765E-2</v>
      </c>
    </row>
    <row r="1323" spans="24:28" x14ac:dyDescent="0.2">
      <c r="X1323" s="176" t="str">
        <f t="shared" si="54"/>
        <v>1w</v>
      </c>
      <c r="Y1323" s="164">
        <f>_xll.qlCalendarAdvance(Calendar,Y1322,X1323,"f",FALSE)</f>
        <v>48352</v>
      </c>
      <c r="Z1323" s="188">
        <f>_xll.qlCalendarAdvance(Calendar,Y1323,NDays&amp;"D")</f>
        <v>48354</v>
      </c>
      <c r="AA1323" s="163">
        <v>1.0791737463711992E-2</v>
      </c>
      <c r="AB1323" s="172">
        <v>1.0787417825248724E-2</v>
      </c>
    </row>
    <row r="1324" spans="24:28" x14ac:dyDescent="0.2">
      <c r="X1324" s="176" t="str">
        <f t="shared" si="54"/>
        <v>1w</v>
      </c>
      <c r="Y1324" s="164">
        <f>_xll.qlCalendarAdvance(Calendar,Y1323,X1324,"f",FALSE)</f>
        <v>48359</v>
      </c>
      <c r="Z1324" s="188">
        <f>_xll.qlCalendarAdvance(Calendar,Y1324,NDays&amp;"D")</f>
        <v>48361</v>
      </c>
      <c r="AA1324" s="163">
        <v>1.0789778214200544E-2</v>
      </c>
      <c r="AB1324" s="172">
        <v>1.0785521267697717E-2</v>
      </c>
    </row>
    <row r="1325" spans="24:28" x14ac:dyDescent="0.2">
      <c r="X1325" s="176" t="str">
        <f t="shared" si="54"/>
        <v>1w</v>
      </c>
      <c r="Y1325" s="164">
        <f>_xll.qlCalendarAdvance(Calendar,Y1324,X1325,"f",FALSE)</f>
        <v>48366</v>
      </c>
      <c r="Z1325" s="188">
        <f>_xll.qlCalendarAdvance(Calendar,Y1325,NDays&amp;"D")</f>
        <v>48368</v>
      </c>
      <c r="AA1325" s="163">
        <v>1.0787755722891269E-2</v>
      </c>
      <c r="AB1325" s="172">
        <v>1.0783620783607617E-2</v>
      </c>
    </row>
    <row r="1326" spans="24:28" x14ac:dyDescent="0.2">
      <c r="X1326" s="176" t="str">
        <f t="shared" si="54"/>
        <v>1w</v>
      </c>
      <c r="Y1326" s="164">
        <f>_xll.qlCalendarAdvance(Calendar,Y1325,X1326,"f",FALSE)</f>
        <v>48373</v>
      </c>
      <c r="Z1326" s="188">
        <f>_xll.qlCalendarAdvance(Calendar,Y1326,NDays&amp;"D")</f>
        <v>48375</v>
      </c>
      <c r="AA1326" s="163">
        <v>1.0785789602445363E-2</v>
      </c>
      <c r="AB1326" s="172">
        <v>1.0781716372818551E-2</v>
      </c>
    </row>
    <row r="1327" spans="24:28" x14ac:dyDescent="0.2">
      <c r="X1327" s="176" t="str">
        <f t="shared" si="54"/>
        <v>1w</v>
      </c>
      <c r="Y1327" s="164">
        <f>_xll.qlCalendarAdvance(Calendar,Y1326,X1327,"f",FALSE)</f>
        <v>48380</v>
      </c>
      <c r="Z1327" s="188">
        <f>_xll.qlCalendarAdvance(Calendar,Y1327,NDays&amp;"D")</f>
        <v>48382</v>
      </c>
      <c r="AA1327" s="163">
        <v>1.0783819535910975E-2</v>
      </c>
      <c r="AB1327" s="172">
        <v>1.0779808035410454E-2</v>
      </c>
    </row>
    <row r="1328" spans="24:28" x14ac:dyDescent="0.2">
      <c r="X1328" s="176" t="str">
        <f t="shared" si="54"/>
        <v>1w</v>
      </c>
      <c r="Y1328" s="164">
        <f>_xll.qlCalendarAdvance(Calendar,Y1327,X1328,"f",FALSE)</f>
        <v>48387</v>
      </c>
      <c r="Z1328" s="188">
        <f>_xll.qlCalendarAdvance(Calendar,Y1328,NDays&amp;"D")</f>
        <v>48389</v>
      </c>
      <c r="AA1328" s="163">
        <v>1.0781845523300335E-2</v>
      </c>
      <c r="AB1328" s="172">
        <v>1.0777895771463264E-2</v>
      </c>
    </row>
    <row r="1329" spans="24:28" x14ac:dyDescent="0.2">
      <c r="X1329" s="176" t="str">
        <f t="shared" si="54"/>
        <v>1w</v>
      </c>
      <c r="Y1329" s="164">
        <f>_xll.qlCalendarAdvance(Calendar,Y1328,X1329,"f",FALSE)</f>
        <v>48394</v>
      </c>
      <c r="Z1329" s="188">
        <f>_xll.qlCalendarAdvance(Calendar,Y1329,NDays&amp;"D")</f>
        <v>48396</v>
      </c>
      <c r="AA1329" s="163">
        <v>1.0779922770416036E-2</v>
      </c>
      <c r="AB1329" s="172">
        <v>1.0775979580817108E-2</v>
      </c>
    </row>
    <row r="1330" spans="24:28" x14ac:dyDescent="0.2">
      <c r="X1330" s="176" t="str">
        <f t="shared" si="54"/>
        <v>1w</v>
      </c>
      <c r="Y1330" s="164">
        <f>_xll.qlCalendarAdvance(Calendar,Y1329,X1330,"f",FALSE)</f>
        <v>48401</v>
      </c>
      <c r="Z1330" s="188">
        <f>_xll.qlCalendarAdvance(Calendar,Y1330,NDays&amp;"D")</f>
        <v>48403</v>
      </c>
      <c r="AA1330" s="163">
        <v>1.0777939842496538E-2</v>
      </c>
      <c r="AB1330" s="172">
        <v>1.0774059463551922E-2</v>
      </c>
    </row>
    <row r="1331" spans="24:28" x14ac:dyDescent="0.2">
      <c r="X1331" s="176" t="str">
        <f t="shared" si="54"/>
        <v>1w</v>
      </c>
      <c r="Y1331" s="164">
        <f>_xll.qlCalendarAdvance(Calendar,Y1330,X1331,"f",FALSE)</f>
        <v>48408</v>
      </c>
      <c r="Z1331" s="188">
        <f>_xll.qlCalendarAdvance(Calendar,Y1331,NDays&amp;"D")</f>
        <v>48410</v>
      </c>
      <c r="AA1331" s="163">
        <v>1.0775952968218101E-2</v>
      </c>
      <c r="AB1331" s="172">
        <v>1.0772135419747642E-2</v>
      </c>
    </row>
    <row r="1332" spans="24:28" x14ac:dyDescent="0.2">
      <c r="X1332" s="176" t="str">
        <f t="shared" si="54"/>
        <v>1w</v>
      </c>
      <c r="Y1332" s="164">
        <f>_xll.qlCalendarAdvance(Calendar,Y1331,X1332,"f",FALSE)</f>
        <v>48415</v>
      </c>
      <c r="Z1332" s="188">
        <f>_xll.qlCalendarAdvance(Calendar,Y1332,NDays&amp;"D")</f>
        <v>48417</v>
      </c>
      <c r="AA1332" s="163">
        <v>1.0773962147591899E-2</v>
      </c>
      <c r="AB1332" s="172">
        <v>1.0770207449164459E-2</v>
      </c>
    </row>
    <row r="1333" spans="24:28" x14ac:dyDescent="0.2">
      <c r="X1333" s="176" t="str">
        <f t="shared" si="54"/>
        <v>1w</v>
      </c>
      <c r="Y1333" s="164">
        <f>_xll.qlCalendarAdvance(Calendar,Y1332,X1333,"f",FALSE)</f>
        <v>48422</v>
      </c>
      <c r="Z1333" s="188">
        <f>_xll.qlCalendarAdvance(Calendar,Y1333,NDays&amp;"D")</f>
        <v>48424</v>
      </c>
      <c r="AA1333" s="163">
        <v>1.0771967380630826E-2</v>
      </c>
      <c r="AB1333" s="172">
        <v>1.0768275552042184E-2</v>
      </c>
    </row>
    <row r="1334" spans="24:28" x14ac:dyDescent="0.2">
      <c r="X1334" s="176" t="str">
        <f t="shared" si="54"/>
        <v>1w</v>
      </c>
      <c r="Y1334" s="164">
        <f>_xll.qlCalendarAdvance(Calendar,Y1333,X1334,"f",FALSE)</f>
        <v>48429</v>
      </c>
      <c r="Z1334" s="188">
        <f>_xll.qlCalendarAdvance(Calendar,Y1334,NDays&amp;"D")</f>
        <v>48431</v>
      </c>
      <c r="AA1334" s="163">
        <v>1.0769968667346485E-2</v>
      </c>
      <c r="AB1334" s="172">
        <v>1.0766339728300878E-2</v>
      </c>
    </row>
    <row r="1335" spans="24:28" x14ac:dyDescent="0.2">
      <c r="X1335" s="176" t="str">
        <f t="shared" si="54"/>
        <v>1w</v>
      </c>
      <c r="Y1335" s="164">
        <f>_xll.qlCalendarAdvance(Calendar,Y1334,X1335,"f",FALSE)</f>
        <v>48436</v>
      </c>
      <c r="Z1335" s="188">
        <f>_xll.qlCalendarAdvance(Calendar,Y1335,NDays&amp;"D")</f>
        <v>48438</v>
      </c>
      <c r="AA1335" s="163">
        <v>1.0767966007751338E-2</v>
      </c>
      <c r="AB1335" s="172">
        <v>1.0764399977860606E-2</v>
      </c>
    </row>
    <row r="1336" spans="24:28" x14ac:dyDescent="0.2">
      <c r="X1336" s="176" t="str">
        <f t="shared" si="54"/>
        <v>1w</v>
      </c>
      <c r="Y1336" s="164">
        <f>_xll.qlCalendarAdvance(Calendar,Y1335,X1336,"f",FALSE)</f>
        <v>48443</v>
      </c>
      <c r="Z1336" s="188">
        <f>_xll.qlCalendarAdvance(Calendar,Y1336,NDays&amp;"D")</f>
        <v>48445</v>
      </c>
      <c r="AA1336" s="163">
        <v>1.0765959401857849E-2</v>
      </c>
      <c r="AB1336" s="172">
        <v>1.076245630088124E-2</v>
      </c>
    </row>
    <row r="1337" spans="24:28" x14ac:dyDescent="0.2">
      <c r="X1337" s="176" t="str">
        <f t="shared" si="54"/>
        <v>1w</v>
      </c>
      <c r="Y1337" s="164">
        <f>_xll.qlCalendarAdvance(Calendar,Y1336,X1337,"f",FALSE)</f>
        <v>48450</v>
      </c>
      <c r="Z1337" s="188">
        <f>_xll.qlCalendarAdvance(Calendar,Y1337,NDays&amp;"D")</f>
        <v>48452</v>
      </c>
      <c r="AA1337" s="163">
        <v>1.0763948849678052E-2</v>
      </c>
      <c r="AB1337" s="172">
        <v>1.0760508697282845E-2</v>
      </c>
    </row>
    <row r="1338" spans="24:28" x14ac:dyDescent="0.2">
      <c r="X1338" s="176" t="str">
        <f t="shared" si="54"/>
        <v>1w</v>
      </c>
      <c r="Y1338" s="164">
        <f>_xll.qlCalendarAdvance(Calendar,Y1337,X1338,"f",FALSE)</f>
        <v>48457</v>
      </c>
      <c r="Z1338" s="188">
        <f>_xll.qlCalendarAdvance(Calendar,Y1338,NDays&amp;"D")</f>
        <v>48459</v>
      </c>
      <c r="AA1338" s="163">
        <v>1.0761857546942435E-2</v>
      </c>
      <c r="AB1338" s="172">
        <v>1.0758557166985483E-2</v>
      </c>
    </row>
    <row r="1339" spans="24:28" x14ac:dyDescent="0.2">
      <c r="X1339" s="176" t="str">
        <f t="shared" si="54"/>
        <v>1w</v>
      </c>
      <c r="Y1339" s="164">
        <f>_xll.qlCalendarAdvance(Calendar,Y1338,X1339,"f",FALSE)</f>
        <v>48464</v>
      </c>
      <c r="Z1339" s="188">
        <f>_xll.qlCalendarAdvance(Calendar,Y1339,NDays&amp;"D")</f>
        <v>48466</v>
      </c>
      <c r="AA1339" s="163">
        <v>1.0759840812221113E-2</v>
      </c>
      <c r="AB1339" s="172">
        <v>1.0756601710069091E-2</v>
      </c>
    </row>
    <row r="1340" spans="24:28" x14ac:dyDescent="0.2">
      <c r="X1340" s="176" t="str">
        <f t="shared" si="54"/>
        <v>1w</v>
      </c>
      <c r="Y1340" s="164">
        <f>_xll.qlCalendarAdvance(Calendar,Y1339,X1340,"f",FALSE)</f>
        <v>48471</v>
      </c>
      <c r="Z1340" s="188">
        <f>_xll.qlCalendarAdvance(Calendar,Y1340,NDays&amp;"D")</f>
        <v>48473</v>
      </c>
      <c r="AA1340" s="163">
        <v>1.075782013177737E-2</v>
      </c>
      <c r="AB1340" s="172">
        <v>1.0754642326613606E-2</v>
      </c>
    </row>
    <row r="1341" spans="24:28" x14ac:dyDescent="0.2">
      <c r="X1341" s="176" t="str">
        <f t="shared" si="54"/>
        <v>1w</v>
      </c>
      <c r="Y1341" s="164">
        <f>_xll.qlCalendarAdvance(Calendar,Y1340,X1341,"f",FALSE)</f>
        <v>48478</v>
      </c>
      <c r="Z1341" s="188">
        <f>_xll.qlCalendarAdvance(Calendar,Y1341,NDays&amp;"D")</f>
        <v>48480</v>
      </c>
      <c r="AA1341" s="163">
        <v>1.075579550562401E-2</v>
      </c>
      <c r="AB1341" s="172">
        <v>1.0752679016459155E-2</v>
      </c>
    </row>
    <row r="1342" spans="24:28" x14ac:dyDescent="0.2">
      <c r="X1342" s="176" t="str">
        <f t="shared" si="54"/>
        <v>1w</v>
      </c>
      <c r="Y1342" s="164">
        <f>_xll.qlCalendarAdvance(Calendar,Y1341,X1342,"f",FALSE)</f>
        <v>48485</v>
      </c>
      <c r="Z1342" s="188">
        <f>_xll.qlCalendarAdvance(Calendar,Y1342,NDays&amp;"D")</f>
        <v>48487</v>
      </c>
      <c r="AA1342" s="163">
        <v>1.0753780990755584E-2</v>
      </c>
      <c r="AB1342" s="172">
        <v>1.0750711779685673E-2</v>
      </c>
    </row>
    <row r="1343" spans="24:28" x14ac:dyDescent="0.2">
      <c r="X1343" s="176" t="str">
        <f t="shared" si="54"/>
        <v>1w</v>
      </c>
      <c r="Y1343" s="164">
        <f>_xll.qlCalendarAdvance(Calendar,Y1342,X1343,"f",FALSE)</f>
        <v>48492</v>
      </c>
      <c r="Z1343" s="188">
        <f>_xll.qlCalendarAdvance(Calendar,Y1343,NDays&amp;"D")</f>
        <v>48494</v>
      </c>
      <c r="AA1343" s="163">
        <v>1.0751748130830794E-2</v>
      </c>
      <c r="AB1343" s="172">
        <v>1.0748740616293162E-2</v>
      </c>
    </row>
    <row r="1344" spans="24:28" x14ac:dyDescent="0.2">
      <c r="X1344" s="176" t="str">
        <f t="shared" si="54"/>
        <v>1w</v>
      </c>
      <c r="Y1344" s="164">
        <f>_xll.qlCalendarAdvance(Calendar,Y1343,X1344,"f",FALSE)</f>
        <v>48499</v>
      </c>
      <c r="Z1344" s="188">
        <f>_xll.qlCalendarAdvance(Calendar,Y1344,NDays&amp;"D")</f>
        <v>48501</v>
      </c>
      <c r="AA1344" s="163">
        <v>1.0749711325126038E-2</v>
      </c>
      <c r="AB1344" s="172">
        <v>1.0746765526281621E-2</v>
      </c>
    </row>
    <row r="1345" spans="24:28" x14ac:dyDescent="0.2">
      <c r="X1345" s="176" t="str">
        <f t="shared" si="54"/>
        <v>1w</v>
      </c>
      <c r="Y1345" s="164">
        <f>_xll.qlCalendarAdvance(Calendar,Y1344,X1345,"f",FALSE)</f>
        <v>48506</v>
      </c>
      <c r="Z1345" s="188">
        <f>_xll.qlCalendarAdvance(Calendar,Y1345,NDays&amp;"D")</f>
        <v>48508</v>
      </c>
      <c r="AA1345" s="163">
        <v>1.0747670573654052E-2</v>
      </c>
      <c r="AB1345" s="172">
        <v>1.074478650965105E-2</v>
      </c>
    </row>
    <row r="1346" spans="24:28" x14ac:dyDescent="0.2">
      <c r="X1346" s="176" t="str">
        <f t="shared" si="54"/>
        <v>1w</v>
      </c>
      <c r="Y1346" s="164">
        <f>_xll.qlCalendarAdvance(Calendar,Y1345,X1346,"f",FALSE)</f>
        <v>48513</v>
      </c>
      <c r="Z1346" s="188">
        <f>_xll.qlCalendarAdvance(Calendar,Y1346,NDays&amp;"D")</f>
        <v>48515</v>
      </c>
      <c r="AA1346" s="163">
        <v>1.0745625876426695E-2</v>
      </c>
      <c r="AB1346" s="172">
        <v>1.0742803566401449E-2</v>
      </c>
    </row>
    <row r="1347" spans="24:28" x14ac:dyDescent="0.2">
      <c r="X1347" s="176" t="str">
        <f t="shared" si="54"/>
        <v>1w</v>
      </c>
      <c r="Y1347" s="164">
        <f>_xll.qlCalendarAdvance(Calendar,Y1346,X1347,"f",FALSE)</f>
        <v>48520</v>
      </c>
      <c r="Z1347" s="188">
        <f>_xll.qlCalendarAdvance(Calendar,Y1347,NDays&amp;"D")</f>
        <v>48522</v>
      </c>
      <c r="AA1347" s="163">
        <v>1.074356488945776E-2</v>
      </c>
      <c r="AB1347" s="172">
        <v>1.0740816696532818E-2</v>
      </c>
    </row>
    <row r="1348" spans="24:28" x14ac:dyDescent="0.2">
      <c r="X1348" s="176" t="str">
        <f t="shared" si="54"/>
        <v>1w</v>
      </c>
      <c r="Y1348" s="164">
        <f>_xll.qlCalendarAdvance(Calendar,Y1347,X1348,"f",FALSE)</f>
        <v>48527</v>
      </c>
      <c r="Z1348" s="188">
        <f>_xll.qlCalendarAdvance(Calendar,Y1348,NDays&amp;"D")</f>
        <v>48529</v>
      </c>
      <c r="AA1348" s="163">
        <v>1.0741512643668761E-2</v>
      </c>
      <c r="AB1348" s="172">
        <v>1.0738825900045157E-2</v>
      </c>
    </row>
    <row r="1349" spans="24:28" x14ac:dyDescent="0.2">
      <c r="X1349" s="176" t="str">
        <f t="shared" si="54"/>
        <v>1w</v>
      </c>
      <c r="Y1349" s="164">
        <f>_xll.qlCalendarAdvance(Calendar,Y1348,X1349,"f",FALSE)</f>
        <v>48534</v>
      </c>
      <c r="Z1349" s="188">
        <f>_xll.qlCalendarAdvance(Calendar,Y1349,NDays&amp;"D")</f>
        <v>48536</v>
      </c>
      <c r="AA1349" s="163">
        <v>1.0739456452265539E-2</v>
      </c>
      <c r="AB1349" s="172">
        <v>1.073683117685853E-2</v>
      </c>
    </row>
    <row r="1350" spans="24:28" x14ac:dyDescent="0.2">
      <c r="X1350" s="176" t="str">
        <f t="shared" si="54"/>
        <v>1w</v>
      </c>
      <c r="Y1350" s="164">
        <f>_xll.qlCalendarAdvance(Calendar,Y1349,X1350,"f",FALSE)</f>
        <v>48541</v>
      </c>
      <c r="Z1350" s="188">
        <f>_xll.qlCalendarAdvance(Calendar,Y1350,NDays&amp;"D")</f>
        <v>48543</v>
      </c>
      <c r="AA1350" s="163">
        <v>1.0737396315261787E-2</v>
      </c>
      <c r="AB1350" s="172">
        <v>1.0734832527052873E-2</v>
      </c>
    </row>
    <row r="1351" spans="24:28" x14ac:dyDescent="0.2">
      <c r="X1351" s="176" t="str">
        <f t="shared" si="54"/>
        <v>1w</v>
      </c>
      <c r="Y1351" s="164">
        <f>_xll.qlCalendarAdvance(Calendar,Y1350,X1351,"f",FALSE)</f>
        <v>48548</v>
      </c>
      <c r="Z1351" s="188">
        <f>_xll.qlCalendarAdvance(Calendar,Y1351,NDays&amp;"D")</f>
        <v>48550</v>
      </c>
      <c r="AA1351" s="163">
        <v>1.0735343204389337E-2</v>
      </c>
      <c r="AB1351" s="172">
        <v>1.0732829950708123E-2</v>
      </c>
    </row>
    <row r="1352" spans="24:28" x14ac:dyDescent="0.2">
      <c r="X1352" s="176" t="str">
        <f t="shared" si="54"/>
        <v>1w</v>
      </c>
      <c r="Y1352" s="164">
        <f>_xll.qlCalendarAdvance(Calendar,Y1351,X1352,"f",FALSE)</f>
        <v>48555</v>
      </c>
      <c r="Z1352" s="188">
        <f>_xll.qlCalendarAdvance(Calendar,Y1352,NDays&amp;"D")</f>
        <v>48557</v>
      </c>
      <c r="AA1352" s="163">
        <v>1.0733274832887132E-2</v>
      </c>
      <c r="AB1352" s="172">
        <v>1.0730823447664406E-2</v>
      </c>
    </row>
    <row r="1353" spans="24:28" x14ac:dyDescent="0.2">
      <c r="X1353" s="176" t="str">
        <f t="shared" si="54"/>
        <v>1w</v>
      </c>
      <c r="Y1353" s="164">
        <f>_xll.qlCalendarAdvance(Calendar,Y1352,X1353,"f",FALSE)</f>
        <v>48562</v>
      </c>
      <c r="Z1353" s="188">
        <f>_xll.qlCalendarAdvance(Calendar,Y1353,NDays&amp;"D")</f>
        <v>48564</v>
      </c>
      <c r="AA1353" s="163">
        <v>1.0731202515715641E-2</v>
      </c>
      <c r="AB1353" s="172">
        <v>1.0728813018001659E-2</v>
      </c>
    </row>
    <row r="1354" spans="24:28" x14ac:dyDescent="0.2">
      <c r="X1354" s="176" t="str">
        <f t="shared" si="54"/>
        <v>1w</v>
      </c>
      <c r="Y1354" s="164">
        <f>_xll.qlCalendarAdvance(Calendar,Y1353,X1354,"f",FALSE)</f>
        <v>48569</v>
      </c>
      <c r="Z1354" s="188">
        <f>_xll.qlCalendarAdvance(Calendar,Y1354,NDays&amp;"D")</f>
        <v>48571</v>
      </c>
      <c r="AA1354" s="163">
        <v>1.0729126252887161E-2</v>
      </c>
      <c r="AB1354" s="172">
        <v>1.0726798661799819E-2</v>
      </c>
    </row>
    <row r="1355" spans="24:28" x14ac:dyDescent="0.2">
      <c r="X1355" s="176" t="str">
        <f t="shared" si="54"/>
        <v>1w</v>
      </c>
      <c r="Y1355" s="164">
        <f>_xll.qlCalendarAdvance(Calendar,Y1354,X1355,"f",FALSE)</f>
        <v>48576</v>
      </c>
      <c r="Z1355" s="188">
        <f>_xll.qlCalendarAdvance(Calendar,Y1355,NDays&amp;"D")</f>
        <v>48578</v>
      </c>
      <c r="AA1355" s="163">
        <v>1.0727046044413553E-2</v>
      </c>
      <c r="AB1355" s="172">
        <v>1.0724780378899013E-2</v>
      </c>
    </row>
    <row r="1356" spans="24:28" x14ac:dyDescent="0.2">
      <c r="X1356" s="176" t="str">
        <f t="shared" si="54"/>
        <v>1w</v>
      </c>
      <c r="Y1356" s="164">
        <f>_xll.qlCalendarAdvance(Calendar,Y1355,X1356,"f",FALSE)</f>
        <v>48583</v>
      </c>
      <c r="Z1356" s="188">
        <f>_xll.qlCalendarAdvance(Calendar,Y1356,NDays&amp;"D")</f>
        <v>48585</v>
      </c>
      <c r="AA1356" s="163">
        <v>1.072495263628836E-2</v>
      </c>
      <c r="AB1356" s="172">
        <v>1.0722758169379176E-2</v>
      </c>
    </row>
    <row r="1357" spans="24:28" x14ac:dyDescent="0.2">
      <c r="X1357" s="176" t="str">
        <f t="shared" si="54"/>
        <v>1w</v>
      </c>
      <c r="Y1357" s="164">
        <f>_xll.qlCalendarAdvance(Calendar,Y1356,X1357,"f",FALSE)</f>
        <v>48590</v>
      </c>
      <c r="Z1357" s="188">
        <f>_xll.qlCalendarAdvance(Calendar,Y1357,NDays&amp;"D")</f>
        <v>48592</v>
      </c>
      <c r="AA1357" s="163">
        <v>1.0722864880416089E-2</v>
      </c>
      <c r="AB1357" s="172">
        <v>1.0720732033320246E-2</v>
      </c>
    </row>
    <row r="1358" spans="24:28" x14ac:dyDescent="0.2">
      <c r="X1358" s="176" t="str">
        <f t="shared" si="54"/>
        <v>1w</v>
      </c>
      <c r="Y1358" s="164">
        <f>_xll.qlCalendarAdvance(Calendar,Y1357,X1358,"f",FALSE)</f>
        <v>48597</v>
      </c>
      <c r="Z1358" s="188">
        <f>_xll.qlCalendarAdvance(Calendar,Y1358,NDays&amp;"D")</f>
        <v>48599</v>
      </c>
      <c r="AA1358" s="163">
        <v>1.0720773179040447E-2</v>
      </c>
      <c r="AB1358" s="172">
        <v>1.071870197056235E-2</v>
      </c>
    </row>
    <row r="1359" spans="24:28" x14ac:dyDescent="0.2">
      <c r="X1359" s="176" t="str">
        <f t="shared" si="54"/>
        <v>1w</v>
      </c>
      <c r="Y1359" s="164">
        <f>_xll.qlCalendarAdvance(Calendar,Y1358,X1359,"f",FALSE)</f>
        <v>48604</v>
      </c>
      <c r="Z1359" s="188">
        <f>_xll.qlCalendarAdvance(Calendar,Y1359,NDays&amp;"D")</f>
        <v>48606</v>
      </c>
      <c r="AA1359" s="163">
        <v>1.0718677532173799E-2</v>
      </c>
      <c r="AB1359" s="172">
        <v>1.0716667981185424E-2</v>
      </c>
    </row>
    <row r="1360" spans="24:28" x14ac:dyDescent="0.2">
      <c r="X1360" s="176" t="str">
        <f t="shared" si="54"/>
        <v>1w</v>
      </c>
      <c r="Y1360" s="164">
        <f>_xll.qlCalendarAdvance(Calendar,Y1359,X1360,"f",FALSE)</f>
        <v>48611</v>
      </c>
      <c r="Z1360" s="188">
        <f>_xll.qlCalendarAdvance(Calendar,Y1360,NDays&amp;"D")</f>
        <v>48613</v>
      </c>
      <c r="AA1360" s="163">
        <v>1.0716577939828954E-2</v>
      </c>
      <c r="AB1360" s="172">
        <v>1.0714630065189468E-2</v>
      </c>
    </row>
    <row r="1361" spans="24:28" x14ac:dyDescent="0.2">
      <c r="X1361" s="176" t="str">
        <f t="shared" si="54"/>
        <v>1w</v>
      </c>
      <c r="Y1361" s="164">
        <f>_xll.qlCalendarAdvance(Calendar,Y1360,X1361,"f",FALSE)</f>
        <v>48618</v>
      </c>
      <c r="Z1361" s="188">
        <f>_xll.qlCalendarAdvance(Calendar,Y1361,NDays&amp;"D")</f>
        <v>48620</v>
      </c>
      <c r="AA1361" s="163">
        <v>1.0714474402017391E-2</v>
      </c>
      <c r="AB1361" s="172">
        <v>1.0712588222574482E-2</v>
      </c>
    </row>
    <row r="1362" spans="24:28" x14ac:dyDescent="0.2">
      <c r="X1362" s="176" t="str">
        <f t="shared" si="54"/>
        <v>1w</v>
      </c>
      <c r="Y1362" s="164">
        <f>_xll.qlCalendarAdvance(Calendar,Y1361,X1362,"f",FALSE)</f>
        <v>48625</v>
      </c>
      <c r="Z1362" s="188">
        <f>_xll.qlCalendarAdvance(Calendar,Y1362,NDays&amp;"D")</f>
        <v>48627</v>
      </c>
      <c r="AA1362" s="163">
        <v>1.0712366918752806E-2</v>
      </c>
      <c r="AB1362" s="172">
        <v>1.0710542453340466E-2</v>
      </c>
    </row>
    <row r="1363" spans="24:28" x14ac:dyDescent="0.2">
      <c r="X1363" s="176" t="str">
        <f t="shared" si="54"/>
        <v>1w</v>
      </c>
      <c r="Y1363" s="164">
        <f>_xll.qlCalendarAdvance(Calendar,Y1362,X1363,"f",FALSE)</f>
        <v>48632</v>
      </c>
      <c r="Z1363" s="188">
        <f>_xll.qlCalendarAdvance(Calendar,Y1363,NDays&amp;"D")</f>
        <v>48634</v>
      </c>
      <c r="AA1363" s="163">
        <v>1.0710255490046675E-2</v>
      </c>
      <c r="AB1363" s="172">
        <v>1.0708492757407484E-2</v>
      </c>
    </row>
    <row r="1364" spans="24:28" x14ac:dyDescent="0.2">
      <c r="X1364" s="176" t="str">
        <f t="shared" si="54"/>
        <v>1w</v>
      </c>
      <c r="Y1364" s="164">
        <f>_xll.qlCalendarAdvance(Calendar,Y1363,X1364,"f",FALSE)</f>
        <v>48639</v>
      </c>
      <c r="Z1364" s="188">
        <f>_xll.qlCalendarAdvance(Calendar,Y1364,NDays&amp;"D")</f>
        <v>48641</v>
      </c>
      <c r="AA1364" s="163">
        <v>1.0708172289811796E-2</v>
      </c>
      <c r="AB1364" s="172">
        <v>1.0706439134935408E-2</v>
      </c>
    </row>
    <row r="1365" spans="24:28" x14ac:dyDescent="0.2">
      <c r="X1365" s="176" t="str">
        <f t="shared" ref="X1365:X1428" si="55">X1364</f>
        <v>1w</v>
      </c>
      <c r="Y1365" s="164">
        <f>_xll.qlCalendarAdvance(Calendar,Y1364,X1365,"f",FALSE)</f>
        <v>48646</v>
      </c>
      <c r="Z1365" s="188">
        <f>_xll.qlCalendarAdvance(Calendar,Y1365,NDays&amp;"D")</f>
        <v>48648</v>
      </c>
      <c r="AA1365" s="163">
        <v>1.0706051246665946E-2</v>
      </c>
      <c r="AB1365" s="172">
        <v>1.0704381585764366E-2</v>
      </c>
    </row>
    <row r="1366" spans="24:28" x14ac:dyDescent="0.2">
      <c r="X1366" s="176" t="str">
        <f t="shared" si="55"/>
        <v>1w</v>
      </c>
      <c r="Y1366" s="164">
        <f>_xll.qlCalendarAdvance(Calendar,Y1365,X1366,"f",FALSE)</f>
        <v>48653</v>
      </c>
      <c r="Z1366" s="188">
        <f>_xll.qlCalendarAdvance(Calendar,Y1366,NDays&amp;"D")</f>
        <v>48655</v>
      </c>
      <c r="AA1366" s="163">
        <v>1.0703926257597796E-2</v>
      </c>
      <c r="AB1366" s="172">
        <v>1.0702320110054231E-2</v>
      </c>
    </row>
    <row r="1367" spans="24:28" x14ac:dyDescent="0.2">
      <c r="X1367" s="176" t="str">
        <f t="shared" si="55"/>
        <v>1w</v>
      </c>
      <c r="Y1367" s="164">
        <f>_xll.qlCalendarAdvance(Calendar,Y1366,X1367,"f",FALSE)</f>
        <v>48660</v>
      </c>
      <c r="Z1367" s="188">
        <f>_xll.qlCalendarAdvance(Calendar,Y1367,NDays&amp;"D")</f>
        <v>48662</v>
      </c>
      <c r="AA1367" s="163">
        <v>1.0701797322621101E-2</v>
      </c>
      <c r="AB1367" s="172">
        <v>1.0700254707725065E-2</v>
      </c>
    </row>
    <row r="1368" spans="24:28" x14ac:dyDescent="0.2">
      <c r="X1368" s="176" t="str">
        <f t="shared" si="55"/>
        <v>1w</v>
      </c>
      <c r="Y1368" s="164">
        <f>_xll.qlCalendarAdvance(Calendar,Y1367,X1368,"f",FALSE)</f>
        <v>48667</v>
      </c>
      <c r="Z1368" s="188">
        <f>_xll.qlCalendarAdvance(Calendar,Y1368,NDays&amp;"D")</f>
        <v>48669</v>
      </c>
      <c r="AA1368" s="163">
        <v>1.069964937434951E-2</v>
      </c>
      <c r="AB1368" s="172">
        <v>1.0698185378696934E-2</v>
      </c>
    </row>
    <row r="1369" spans="24:28" x14ac:dyDescent="0.2">
      <c r="X1369" s="176" t="str">
        <f t="shared" si="55"/>
        <v>1w</v>
      </c>
      <c r="Y1369" s="164">
        <f>_xll.qlCalendarAdvance(Calendar,Y1368,X1369,"f",FALSE)</f>
        <v>48674</v>
      </c>
      <c r="Z1369" s="188">
        <f>_xll.qlCalendarAdvance(Calendar,Y1369,NDays&amp;"D")</f>
        <v>48676</v>
      </c>
      <c r="AA1369" s="163">
        <v>1.0697513583043512E-2</v>
      </c>
      <c r="AB1369" s="172">
        <v>1.0696112123049772E-2</v>
      </c>
    </row>
    <row r="1370" spans="24:28" x14ac:dyDescent="0.2">
      <c r="X1370" s="176" t="str">
        <f t="shared" si="55"/>
        <v>1w</v>
      </c>
      <c r="Y1370" s="164">
        <f>_xll.qlCalendarAdvance(Calendar,Y1369,X1370,"f",FALSE)</f>
        <v>48681</v>
      </c>
      <c r="Z1370" s="188">
        <f>_xll.qlCalendarAdvance(Calendar,Y1370,NDays&amp;"D")</f>
        <v>48683</v>
      </c>
      <c r="AA1370" s="163">
        <v>1.0695373846177568E-2</v>
      </c>
      <c r="AB1370" s="172">
        <v>1.0694075953672666E-2</v>
      </c>
    </row>
    <row r="1371" spans="24:28" x14ac:dyDescent="0.2">
      <c r="X1371" s="176" t="str">
        <f t="shared" si="55"/>
        <v>1w</v>
      </c>
      <c r="Y1371" s="164">
        <f>_xll.qlCalendarAdvance(Calendar,Y1370,X1371,"f",FALSE)</f>
        <v>48688</v>
      </c>
      <c r="Z1371" s="188">
        <f>_xll.qlCalendarAdvance(Calendar,Y1371,NDays&amp;"D")</f>
        <v>48690</v>
      </c>
      <c r="AA1371" s="163">
        <v>1.0693230163764786E-2</v>
      </c>
      <c r="AB1371" s="172">
        <v>1.0691953831978296E-2</v>
      </c>
    </row>
    <row r="1372" spans="24:28" x14ac:dyDescent="0.2">
      <c r="X1372" s="176" t="str">
        <f t="shared" si="55"/>
        <v>1w</v>
      </c>
      <c r="Y1372" s="164">
        <f>_xll.qlCalendarAdvance(Calendar,Y1371,X1372,"f",FALSE)</f>
        <v>48695</v>
      </c>
      <c r="Z1372" s="188">
        <f>_xll.qlCalendarAdvance(Calendar,Y1372,NDays&amp;"D")</f>
        <v>48697</v>
      </c>
      <c r="AA1372" s="163">
        <v>1.0691082535817393E-2</v>
      </c>
      <c r="AB1372" s="172">
        <v>1.0689868796553981E-2</v>
      </c>
    </row>
    <row r="1373" spans="24:28" x14ac:dyDescent="0.2">
      <c r="X1373" s="176" t="str">
        <f t="shared" si="55"/>
        <v>1w</v>
      </c>
      <c r="Y1373" s="164">
        <f>_xll.qlCalendarAdvance(Calendar,Y1372,X1373,"f",FALSE)</f>
        <v>48702</v>
      </c>
      <c r="Z1373" s="188">
        <f>_xll.qlCalendarAdvance(Calendar,Y1373,NDays&amp;"D")</f>
        <v>48704</v>
      </c>
      <c r="AA1373" s="163">
        <v>1.0688940849399595E-2</v>
      </c>
      <c r="AB1373" s="172">
        <v>1.06877798344307E-2</v>
      </c>
    </row>
    <row r="1374" spans="24:28" x14ac:dyDescent="0.2">
      <c r="X1374" s="176" t="str">
        <f t="shared" si="55"/>
        <v>1w</v>
      </c>
      <c r="Y1374" s="164">
        <f>_xll.qlCalendarAdvance(Calendar,Y1373,X1374,"f",FALSE)</f>
        <v>48709</v>
      </c>
      <c r="Z1374" s="188">
        <f>_xll.qlCalendarAdvance(Calendar,Y1374,NDays&amp;"D")</f>
        <v>48711</v>
      </c>
      <c r="AA1374" s="163">
        <v>1.0686784293423648E-2</v>
      </c>
      <c r="AB1374" s="172">
        <v>1.0685686945608452E-2</v>
      </c>
    </row>
    <row r="1375" spans="24:28" x14ac:dyDescent="0.2">
      <c r="X1375" s="176" t="str">
        <f t="shared" si="55"/>
        <v>1w</v>
      </c>
      <c r="Y1375" s="164">
        <f>_xll.qlCalendarAdvance(Calendar,Y1374,X1375,"f",FALSE)</f>
        <v>48716</v>
      </c>
      <c r="Z1375" s="188">
        <f>_xll.qlCalendarAdvance(Calendar,Y1375,NDays&amp;"D")</f>
        <v>48718</v>
      </c>
      <c r="AA1375" s="163">
        <v>1.0684623791643586E-2</v>
      </c>
      <c r="AB1375" s="172">
        <v>1.0683590130327048E-2</v>
      </c>
    </row>
    <row r="1376" spans="24:28" x14ac:dyDescent="0.2">
      <c r="X1376" s="176" t="str">
        <f t="shared" si="55"/>
        <v>1w</v>
      </c>
      <c r="Y1376" s="164">
        <f>_xll.qlCalendarAdvance(Calendar,Y1375,X1376,"f",FALSE)</f>
        <v>48723</v>
      </c>
      <c r="Z1376" s="188">
        <f>_xll.qlCalendarAdvance(Calendar,Y1376,NDays&amp;"D")</f>
        <v>48725</v>
      </c>
      <c r="AA1376" s="163">
        <v>1.0682459344071447E-2</v>
      </c>
      <c r="AB1376" s="172">
        <v>1.0681489388346677E-2</v>
      </c>
    </row>
    <row r="1377" spans="24:28" x14ac:dyDescent="0.2">
      <c r="X1377" s="176" t="str">
        <f t="shared" si="55"/>
        <v>1w</v>
      </c>
      <c r="Y1377" s="164">
        <f>_xll.qlCalendarAdvance(Calendar,Y1376,X1377,"f",FALSE)</f>
        <v>48730</v>
      </c>
      <c r="Z1377" s="188">
        <f>_xll.qlCalendarAdvance(Calendar,Y1377,NDays&amp;"D")</f>
        <v>48732</v>
      </c>
      <c r="AA1377" s="163">
        <v>1.068028521351732E-2</v>
      </c>
      <c r="AB1377" s="172">
        <v>1.0679384719747276E-2</v>
      </c>
    </row>
    <row r="1378" spans="24:28" x14ac:dyDescent="0.2">
      <c r="X1378" s="176" t="str">
        <f t="shared" si="55"/>
        <v>1w</v>
      </c>
      <c r="Y1378" s="164">
        <f>_xll.qlCalendarAdvance(Calendar,Y1377,X1378,"f",FALSE)</f>
        <v>48737</v>
      </c>
      <c r="Z1378" s="188">
        <f>_xll.qlCalendarAdvance(Calendar,Y1378,NDays&amp;"D")</f>
        <v>48739</v>
      </c>
      <c r="AA1378" s="163">
        <v>1.0678113912635713E-2</v>
      </c>
      <c r="AB1378" s="172">
        <v>1.0677276124528845E-2</v>
      </c>
    </row>
    <row r="1379" spans="24:28" x14ac:dyDescent="0.2">
      <c r="X1379" s="176" t="str">
        <f t="shared" si="55"/>
        <v>1w</v>
      </c>
      <c r="Y1379" s="164">
        <f>_xll.qlCalendarAdvance(Calendar,Y1378,X1379,"f",FALSE)</f>
        <v>48744</v>
      </c>
      <c r="Z1379" s="188">
        <f>_xll.qlCalendarAdvance(Calendar,Y1379,NDays&amp;"D")</f>
        <v>48746</v>
      </c>
      <c r="AA1379" s="163">
        <v>1.0675938666309479E-2</v>
      </c>
      <c r="AB1379" s="172">
        <v>1.0675163602611448E-2</v>
      </c>
    </row>
    <row r="1380" spans="24:28" x14ac:dyDescent="0.2">
      <c r="X1380" s="176" t="str">
        <f t="shared" si="55"/>
        <v>1w</v>
      </c>
      <c r="Y1380" s="164">
        <f>_xll.qlCalendarAdvance(Calendar,Y1379,X1380,"f",FALSE)</f>
        <v>48751</v>
      </c>
      <c r="Z1380" s="188">
        <f>_xll.qlCalendarAdvance(Calendar,Y1380,NDays&amp;"D")</f>
        <v>48753</v>
      </c>
      <c r="AA1380" s="163">
        <v>1.0673759474553034E-2</v>
      </c>
      <c r="AB1380" s="172">
        <v>1.0673047154234894E-2</v>
      </c>
    </row>
    <row r="1381" spans="24:28" x14ac:dyDescent="0.2">
      <c r="X1381" s="176" t="str">
        <f t="shared" si="55"/>
        <v>1w</v>
      </c>
      <c r="Y1381" s="164">
        <f>_xll.qlCalendarAdvance(Calendar,Y1380,X1381,"f",FALSE)</f>
        <v>48758</v>
      </c>
      <c r="Z1381" s="188">
        <f>_xll.qlCalendarAdvance(Calendar,Y1381,NDays&amp;"D")</f>
        <v>48760</v>
      </c>
      <c r="AA1381" s="163">
        <v>1.0671576337378608E-2</v>
      </c>
      <c r="AB1381" s="172">
        <v>1.0670926779159373E-2</v>
      </c>
    </row>
    <row r="1382" spans="24:28" x14ac:dyDescent="0.2">
      <c r="X1382" s="176" t="str">
        <f t="shared" si="55"/>
        <v>1w</v>
      </c>
      <c r="Y1382" s="164">
        <f>_xll.qlCalendarAdvance(Calendar,Y1381,X1382,"f",FALSE)</f>
        <v>48765</v>
      </c>
      <c r="Z1382" s="188">
        <f>_xll.qlCalendarAdvance(Calendar,Y1382,NDays&amp;"D")</f>
        <v>48767</v>
      </c>
      <c r="AA1382" s="163">
        <v>1.0669389797758725E-2</v>
      </c>
      <c r="AB1382" s="172">
        <v>1.0668802477464823E-2</v>
      </c>
    </row>
    <row r="1383" spans="24:28" x14ac:dyDescent="0.2">
      <c r="X1383" s="176" t="str">
        <f t="shared" si="55"/>
        <v>1w</v>
      </c>
      <c r="Y1383" s="164">
        <f>_xll.qlCalendarAdvance(Calendar,Y1382,X1383,"f",FALSE)</f>
        <v>48772</v>
      </c>
      <c r="Z1383" s="188">
        <f>_xll.qlCalendarAdvance(Calendar,Y1383,NDays&amp;"D")</f>
        <v>48774</v>
      </c>
      <c r="AA1383" s="163">
        <v>1.0667197730016349E-2</v>
      </c>
      <c r="AB1383" s="172">
        <v>1.0666674249071306E-2</v>
      </c>
    </row>
    <row r="1384" spans="24:28" x14ac:dyDescent="0.2">
      <c r="X1384" s="176" t="str">
        <f t="shared" si="55"/>
        <v>1w</v>
      </c>
      <c r="Y1384" s="164">
        <f>_xll.qlCalendarAdvance(Calendar,Y1383,X1384,"f",FALSE)</f>
        <v>48779</v>
      </c>
      <c r="Z1384" s="188">
        <f>_xll.qlCalendarAdvance(Calendar,Y1384,NDays&amp;"D")</f>
        <v>48781</v>
      </c>
      <c r="AA1384" s="163">
        <v>1.0665001716588473E-2</v>
      </c>
      <c r="AB1384" s="172">
        <v>1.0664542094218632E-2</v>
      </c>
    </row>
    <row r="1385" spans="24:28" x14ac:dyDescent="0.2">
      <c r="X1385" s="176" t="str">
        <f t="shared" si="55"/>
        <v>1w</v>
      </c>
      <c r="Y1385" s="164">
        <f>_xll.qlCalendarAdvance(Calendar,Y1384,X1385,"f",FALSE)</f>
        <v>48786</v>
      </c>
      <c r="Z1385" s="188">
        <f>_xll.qlCalendarAdvance(Calendar,Y1385,NDays&amp;"D")</f>
        <v>48788</v>
      </c>
      <c r="AA1385" s="163">
        <v>1.066280175748842E-2</v>
      </c>
      <c r="AB1385" s="172">
        <v>1.066240601250712E-2</v>
      </c>
    </row>
    <row r="1386" spans="24:28" x14ac:dyDescent="0.2">
      <c r="X1386" s="176" t="str">
        <f t="shared" si="55"/>
        <v>1w</v>
      </c>
      <c r="Y1386" s="164">
        <f>_xll.qlCalendarAdvance(Calendar,Y1385,X1386,"f",FALSE)</f>
        <v>48793</v>
      </c>
      <c r="Z1386" s="188">
        <f>_xll.qlCalendarAdvance(Calendar,Y1386,NDays&amp;"D")</f>
        <v>48795</v>
      </c>
      <c r="AA1386" s="163">
        <v>1.0660597852729945E-2</v>
      </c>
      <c r="AB1386" s="172">
        <v>1.0660266004336449E-2</v>
      </c>
    </row>
    <row r="1387" spans="24:28" x14ac:dyDescent="0.2">
      <c r="X1387" s="176" t="str">
        <f t="shared" si="55"/>
        <v>1w</v>
      </c>
      <c r="Y1387" s="164">
        <f>_xll.qlCalendarAdvance(Calendar,Y1386,X1387,"f",FALSE)</f>
        <v>48800</v>
      </c>
      <c r="Z1387" s="188">
        <f>_xll.qlCalendarAdvance(Calendar,Y1387,NDays&amp;"D")</f>
        <v>48802</v>
      </c>
      <c r="AA1387" s="163">
        <v>1.0658390002325937E-2</v>
      </c>
      <c r="AB1387" s="172">
        <v>1.0658122069546749E-2</v>
      </c>
    </row>
    <row r="1388" spans="24:28" x14ac:dyDescent="0.2">
      <c r="X1388" s="176" t="str">
        <f t="shared" si="55"/>
        <v>1w</v>
      </c>
      <c r="Y1388" s="164">
        <f>_xll.qlCalendarAdvance(Calendar,Y1387,X1388,"f",FALSE)</f>
        <v>48807</v>
      </c>
      <c r="Z1388" s="188">
        <f>_xll.qlCalendarAdvance(Calendar,Y1388,NDays&amp;"D")</f>
        <v>48809</v>
      </c>
      <c r="AA1388" s="163">
        <v>1.0656178206290152E-2</v>
      </c>
      <c r="AB1388" s="172">
        <v>1.0655974208138019E-2</v>
      </c>
    </row>
    <row r="1389" spans="24:28" x14ac:dyDescent="0.2">
      <c r="X1389" s="176" t="str">
        <f t="shared" si="55"/>
        <v>1w</v>
      </c>
      <c r="Y1389" s="164">
        <f>_xll.qlCalendarAdvance(Calendar,Y1388,X1389,"f",FALSE)</f>
        <v>48814</v>
      </c>
      <c r="Z1389" s="188">
        <f>_xll.qlCalendarAdvance(Calendar,Y1389,NDays&amp;"D")</f>
        <v>48816</v>
      </c>
      <c r="AA1389" s="163">
        <v>1.0653962464635913E-2</v>
      </c>
      <c r="AB1389" s="172">
        <v>1.0653822420030323E-2</v>
      </c>
    </row>
    <row r="1390" spans="24:28" x14ac:dyDescent="0.2">
      <c r="X1390" s="176" t="str">
        <f t="shared" si="55"/>
        <v>1w</v>
      </c>
      <c r="Y1390" s="164">
        <f>_xll.qlCalendarAdvance(Calendar,Y1389,X1390,"f",FALSE)</f>
        <v>48821</v>
      </c>
      <c r="Z1390" s="188">
        <f>_xll.qlCalendarAdvance(Calendar,Y1390,NDays&amp;"D")</f>
        <v>48823</v>
      </c>
      <c r="AA1390" s="163">
        <v>1.0651755584469283E-2</v>
      </c>
      <c r="AB1390" s="172">
        <v>1.0651666705383533E-2</v>
      </c>
    </row>
    <row r="1391" spans="24:28" x14ac:dyDescent="0.2">
      <c r="X1391" s="176" t="str">
        <f t="shared" si="55"/>
        <v>1w</v>
      </c>
      <c r="Y1391" s="164">
        <f>_xll.qlCalendarAdvance(Calendar,Y1390,X1391,"f",FALSE)</f>
        <v>48828</v>
      </c>
      <c r="Z1391" s="188">
        <f>_xll.qlCalendarAdvance(Calendar,Y1391,NDays&amp;"D")</f>
        <v>48830</v>
      </c>
      <c r="AA1391" s="163">
        <v>1.0649533688571957E-2</v>
      </c>
      <c r="AB1391" s="172">
        <v>1.0649507064117714E-2</v>
      </c>
    </row>
    <row r="1392" spans="24:28" x14ac:dyDescent="0.2">
      <c r="X1392" s="176" t="str">
        <f t="shared" si="55"/>
        <v>1w</v>
      </c>
      <c r="Y1392" s="164">
        <f>_xll.qlCalendarAdvance(Calendar,Y1391,X1392,"f",FALSE)</f>
        <v>48835</v>
      </c>
      <c r="Z1392" s="188">
        <f>_xll.qlCalendarAdvance(Calendar,Y1392,NDays&amp;"D")</f>
        <v>48837</v>
      </c>
      <c r="AA1392" s="163">
        <v>1.0647307847606714E-2</v>
      </c>
      <c r="AB1392" s="172">
        <v>1.0647343496152928E-2</v>
      </c>
    </row>
    <row r="1393" spans="24:28" x14ac:dyDescent="0.2">
      <c r="X1393" s="176" t="str">
        <f t="shared" si="55"/>
        <v>1w</v>
      </c>
      <c r="Y1393" s="164">
        <f>_xll.qlCalendarAdvance(Calendar,Y1392,X1393,"f",FALSE)</f>
        <v>48842</v>
      </c>
      <c r="Z1393" s="188">
        <f>_xll.qlCalendarAdvance(Calendar,Y1393,NDays&amp;"D")</f>
        <v>48844</v>
      </c>
      <c r="AA1393" s="163">
        <v>1.0645078061584592E-2</v>
      </c>
      <c r="AB1393" s="172">
        <v>1.0645176001649048E-2</v>
      </c>
    </row>
    <row r="1394" spans="24:28" x14ac:dyDescent="0.2">
      <c r="X1394" s="176" t="str">
        <f t="shared" si="55"/>
        <v>1w</v>
      </c>
      <c r="Y1394" s="164">
        <f>_xll.qlCalendarAdvance(Calendar,Y1393,X1394,"f",FALSE)</f>
        <v>48849</v>
      </c>
      <c r="Z1394" s="188">
        <f>_xll.qlCalendarAdvance(Calendar,Y1394,NDays&amp;"D")</f>
        <v>48851</v>
      </c>
      <c r="AA1394" s="163">
        <v>1.0642844330519284E-2</v>
      </c>
      <c r="AB1394" s="172">
        <v>1.0643004580366267E-2</v>
      </c>
    </row>
    <row r="1395" spans="24:28" x14ac:dyDescent="0.2">
      <c r="X1395" s="176" t="str">
        <f t="shared" si="55"/>
        <v>1w</v>
      </c>
      <c r="Y1395" s="164">
        <f>_xll.qlCalendarAdvance(Calendar,Y1394,X1395,"f",FALSE)</f>
        <v>48856</v>
      </c>
      <c r="Z1395" s="188">
        <f>_xll.qlCalendarAdvance(Calendar,Y1395,NDays&amp;"D")</f>
        <v>48858</v>
      </c>
      <c r="AA1395" s="163">
        <v>1.0640602421562088E-2</v>
      </c>
      <c r="AB1395" s="172">
        <v>1.0640829232624327E-2</v>
      </c>
    </row>
    <row r="1396" spans="24:28" x14ac:dyDescent="0.2">
      <c r="X1396" s="176" t="str">
        <f t="shared" si="55"/>
        <v>1w</v>
      </c>
      <c r="Y1396" s="164">
        <f>_xll.qlCalendarAdvance(Calendar,Y1395,X1396,"f",FALSE)</f>
        <v>48863</v>
      </c>
      <c r="Z1396" s="188">
        <f>_xll.qlCalendarAdvance(Calendar,Y1396,NDays&amp;"D")</f>
        <v>48865</v>
      </c>
      <c r="AA1396" s="163">
        <v>1.0638360452585906E-2</v>
      </c>
      <c r="AB1396" s="172">
        <v>1.0638649958183422E-2</v>
      </c>
    </row>
    <row r="1397" spans="24:28" x14ac:dyDescent="0.2">
      <c r="X1397" s="176" t="str">
        <f t="shared" si="55"/>
        <v>1w</v>
      </c>
      <c r="Y1397" s="164">
        <f>_xll.qlCalendarAdvance(Calendar,Y1396,X1397,"f",FALSE)</f>
        <v>48870</v>
      </c>
      <c r="Z1397" s="188">
        <f>_xll.qlCalendarAdvance(Calendar,Y1397,NDays&amp;"D")</f>
        <v>48872</v>
      </c>
      <c r="AA1397" s="163">
        <v>1.0636114538504819E-2</v>
      </c>
      <c r="AB1397" s="172">
        <v>1.0636466757123486E-2</v>
      </c>
    </row>
    <row r="1398" spans="24:28" x14ac:dyDescent="0.2">
      <c r="X1398" s="176" t="str">
        <f t="shared" si="55"/>
        <v>1w</v>
      </c>
      <c r="Y1398" s="164">
        <f>_xll.qlCalendarAdvance(Calendar,Y1397,X1398,"f",FALSE)</f>
        <v>48877</v>
      </c>
      <c r="Z1398" s="188">
        <f>_xll.qlCalendarAdvance(Calendar,Y1398,NDays&amp;"D")</f>
        <v>48879</v>
      </c>
      <c r="AA1398" s="163">
        <v>1.0633864679333766E-2</v>
      </c>
      <c r="AB1398" s="172">
        <v>1.0634279629524457E-2</v>
      </c>
    </row>
    <row r="1399" spans="24:28" x14ac:dyDescent="0.2">
      <c r="X1399" s="176" t="str">
        <f t="shared" si="55"/>
        <v>1w</v>
      </c>
      <c r="Y1399" s="164">
        <f>_xll.qlCalendarAdvance(Calendar,Y1398,X1399,"f",FALSE)</f>
        <v>48884</v>
      </c>
      <c r="Z1399" s="188">
        <f>_xll.qlCalendarAdvance(Calendar,Y1399,NDays&amp;"D")</f>
        <v>48886</v>
      </c>
      <c r="AA1399" s="163">
        <v>1.063161650001925E-2</v>
      </c>
      <c r="AB1399" s="172">
        <v>1.0632088575226462E-2</v>
      </c>
    </row>
    <row r="1400" spans="24:28" x14ac:dyDescent="0.2">
      <c r="X1400" s="176" t="str">
        <f t="shared" si="55"/>
        <v>1w</v>
      </c>
      <c r="Y1400" s="164">
        <f>_xll.qlCalendarAdvance(Calendar,Y1399,X1400,"f",FALSE)</f>
        <v>48891</v>
      </c>
      <c r="Z1400" s="188">
        <f>_xll.qlCalendarAdvance(Calendar,Y1400,NDays&amp;"D")</f>
        <v>48893</v>
      </c>
      <c r="AA1400" s="163">
        <v>1.0629359098977465E-2</v>
      </c>
      <c r="AB1400" s="172">
        <v>1.0629893594389372E-2</v>
      </c>
    </row>
    <row r="1401" spans="24:28" x14ac:dyDescent="0.2">
      <c r="X1401" s="176" t="str">
        <f t="shared" si="55"/>
        <v>1w</v>
      </c>
      <c r="Y1401" s="164">
        <f>_xll.qlCalendarAdvance(Calendar,Y1400,X1401,"f",FALSE)</f>
        <v>48898</v>
      </c>
      <c r="Z1401" s="188">
        <f>_xll.qlCalendarAdvance(Calendar,Y1401,NDays&amp;"D")</f>
        <v>48900</v>
      </c>
      <c r="AA1401" s="163">
        <v>1.0627097752985237E-2</v>
      </c>
      <c r="AB1401" s="172">
        <v>1.0627694686853317E-2</v>
      </c>
    </row>
    <row r="1402" spans="24:28" x14ac:dyDescent="0.2">
      <c r="X1402" s="176" t="str">
        <f t="shared" si="55"/>
        <v>1w</v>
      </c>
      <c r="Y1402" s="164">
        <f>_xll.qlCalendarAdvance(Calendar,Y1401,X1402,"f",FALSE)</f>
        <v>48905</v>
      </c>
      <c r="Z1402" s="188">
        <f>_xll.qlCalendarAdvance(Calendar,Y1402,NDays&amp;"D")</f>
        <v>48907</v>
      </c>
      <c r="AA1402" s="163">
        <v>1.0624832462057138E-2</v>
      </c>
      <c r="AB1402" s="172">
        <v>1.0625491852698232E-2</v>
      </c>
    </row>
    <row r="1403" spans="24:28" x14ac:dyDescent="0.2">
      <c r="X1403" s="176" t="str">
        <f t="shared" si="55"/>
        <v>1w</v>
      </c>
      <c r="Y1403" s="164">
        <f>_xll.qlCalendarAdvance(Calendar,Y1402,X1403,"f",FALSE)</f>
        <v>48912</v>
      </c>
      <c r="Z1403" s="188">
        <f>_xll.qlCalendarAdvance(Calendar,Y1403,NDays&amp;"D")</f>
        <v>48914</v>
      </c>
      <c r="AA1403" s="163">
        <v>1.0622556207580028E-2</v>
      </c>
      <c r="AB1403" s="172">
        <v>1.0623285091844181E-2</v>
      </c>
    </row>
    <row r="1404" spans="24:28" x14ac:dyDescent="0.2">
      <c r="X1404" s="176" t="str">
        <f t="shared" si="55"/>
        <v>1w</v>
      </c>
      <c r="Y1404" s="164">
        <f>_xll.qlCalendarAdvance(Calendar,Y1403,X1404,"f",FALSE)</f>
        <v>48919</v>
      </c>
      <c r="Z1404" s="188">
        <f>_xll.qlCalendarAdvance(Calendar,Y1404,NDays&amp;"D")</f>
        <v>48921</v>
      </c>
      <c r="AA1404" s="163">
        <v>1.0620282678144983E-2</v>
      </c>
      <c r="AB1404" s="172">
        <v>1.0621074404530972E-2</v>
      </c>
    </row>
    <row r="1405" spans="24:28" x14ac:dyDescent="0.2">
      <c r="X1405" s="176" t="str">
        <f t="shared" si="55"/>
        <v>1w</v>
      </c>
      <c r="Y1405" s="164">
        <f>_xll.qlCalendarAdvance(Calendar,Y1404,X1405,"f",FALSE)</f>
        <v>48926</v>
      </c>
      <c r="Z1405" s="188">
        <f>_xll.qlCalendarAdvance(Calendar,Y1405,NDays&amp;"D")</f>
        <v>48928</v>
      </c>
      <c r="AA1405" s="163">
        <v>1.0618005203712642E-2</v>
      </c>
      <c r="AB1405" s="172">
        <v>1.0618859790518798E-2</v>
      </c>
    </row>
    <row r="1406" spans="24:28" x14ac:dyDescent="0.2">
      <c r="X1406" s="176" t="str">
        <f t="shared" si="55"/>
        <v>1w</v>
      </c>
      <c r="Y1406" s="164">
        <f>_xll.qlCalendarAdvance(Calendar,Y1405,X1406,"f",FALSE)</f>
        <v>48933</v>
      </c>
      <c r="Z1406" s="188">
        <f>_xll.qlCalendarAdvance(Calendar,Y1406,NDays&amp;"D")</f>
        <v>48935</v>
      </c>
      <c r="AA1406" s="163">
        <v>1.0615723784297499E-2</v>
      </c>
      <c r="AB1406" s="172">
        <v>1.0616641249967529E-2</v>
      </c>
    </row>
    <row r="1407" spans="24:28" x14ac:dyDescent="0.2">
      <c r="X1407" s="176" t="str">
        <f t="shared" si="55"/>
        <v>1w</v>
      </c>
      <c r="Y1407" s="164">
        <f>_xll.qlCalendarAdvance(Calendar,Y1406,X1407,"f",FALSE)</f>
        <v>48940</v>
      </c>
      <c r="Z1407" s="188">
        <f>_xll.qlCalendarAdvance(Calendar,Y1407,NDays&amp;"D")</f>
        <v>48942</v>
      </c>
      <c r="AA1407" s="163">
        <v>1.0613438419912731E-2</v>
      </c>
      <c r="AB1407" s="172">
        <v>1.0614418782717294E-2</v>
      </c>
    </row>
    <row r="1408" spans="24:28" x14ac:dyDescent="0.2">
      <c r="X1408" s="176" t="str">
        <f t="shared" si="55"/>
        <v>1w</v>
      </c>
      <c r="Y1408" s="164">
        <f>_xll.qlCalendarAdvance(Calendar,Y1407,X1408,"f",FALSE)</f>
        <v>48947</v>
      </c>
      <c r="Z1408" s="188">
        <f>_xll.qlCalendarAdvance(Calendar,Y1408,NDays&amp;"D")</f>
        <v>48949</v>
      </c>
      <c r="AA1408" s="163">
        <v>1.0611157873579E-2</v>
      </c>
      <c r="AB1408" s="172">
        <v>1.061219238884803E-2</v>
      </c>
    </row>
    <row r="1409" spans="24:28" x14ac:dyDescent="0.2">
      <c r="X1409" s="176" t="str">
        <f t="shared" si="55"/>
        <v>1w</v>
      </c>
      <c r="Y1409" s="164">
        <f>_xll.qlCalendarAdvance(Calendar,Y1408,X1409,"f",FALSE)</f>
        <v>48954</v>
      </c>
      <c r="Z1409" s="188">
        <f>_xll.qlCalendarAdvance(Calendar,Y1409,NDays&amp;"D")</f>
        <v>48956</v>
      </c>
      <c r="AA1409" s="163">
        <v>1.060886496847388E-2</v>
      </c>
      <c r="AB1409" s="172">
        <v>1.0609962068279799E-2</v>
      </c>
    </row>
    <row r="1410" spans="24:28" x14ac:dyDescent="0.2">
      <c r="X1410" s="176" t="str">
        <f t="shared" si="55"/>
        <v>1w</v>
      </c>
      <c r="Y1410" s="164">
        <f>_xll.qlCalendarAdvance(Calendar,Y1409,X1410,"f",FALSE)</f>
        <v>48961</v>
      </c>
      <c r="Z1410" s="188">
        <f>_xll.qlCalendarAdvance(Calendar,Y1410,NDays&amp;"D")</f>
        <v>48963</v>
      </c>
      <c r="AA1410" s="163">
        <v>1.0606568118540648E-2</v>
      </c>
      <c r="AB1410" s="172">
        <v>1.0607727821172475E-2</v>
      </c>
    </row>
    <row r="1411" spans="24:28" x14ac:dyDescent="0.2">
      <c r="X1411" s="176" t="str">
        <f t="shared" si="55"/>
        <v>1w</v>
      </c>
      <c r="Y1411" s="164">
        <f>_xll.qlCalendarAdvance(Calendar,Y1410,X1411,"f",FALSE)</f>
        <v>48968</v>
      </c>
      <c r="Z1411" s="188">
        <f>_xll.qlCalendarAdvance(Calendar,Y1411,NDays&amp;"D")</f>
        <v>48970</v>
      </c>
      <c r="AA1411" s="163">
        <v>1.0604267323792556E-2</v>
      </c>
      <c r="AB1411" s="172">
        <v>1.0605489647526056E-2</v>
      </c>
    </row>
    <row r="1412" spans="24:28" x14ac:dyDescent="0.2">
      <c r="X1412" s="176" t="str">
        <f t="shared" si="55"/>
        <v>1w</v>
      </c>
      <c r="Y1412" s="164">
        <f>_xll.qlCalendarAdvance(Calendar,Y1411,X1412,"f",FALSE)</f>
        <v>48975</v>
      </c>
      <c r="Z1412" s="188">
        <f>_xll.qlCalendarAdvance(Calendar,Y1412,NDays&amp;"D")</f>
        <v>48977</v>
      </c>
      <c r="AA1412" s="163">
        <v>1.0601962584243292E-2</v>
      </c>
      <c r="AB1412" s="172">
        <v>1.0603247547180672E-2</v>
      </c>
    </row>
    <row r="1413" spans="24:28" x14ac:dyDescent="0.2">
      <c r="X1413" s="176" t="str">
        <f t="shared" si="55"/>
        <v>1w</v>
      </c>
      <c r="Y1413" s="164">
        <f>_xll.qlCalendarAdvance(Calendar,Y1412,X1413,"f",FALSE)</f>
        <v>48982</v>
      </c>
      <c r="Z1413" s="188">
        <f>_xll.qlCalendarAdvance(Calendar,Y1413,NDays&amp;"D")</f>
        <v>48984</v>
      </c>
      <c r="AA1413" s="163">
        <v>1.0599653899906549E-2</v>
      </c>
      <c r="AB1413" s="172">
        <v>1.0601001520136322E-2</v>
      </c>
    </row>
    <row r="1414" spans="24:28" x14ac:dyDescent="0.2">
      <c r="X1414" s="176" t="str">
        <f t="shared" si="55"/>
        <v>1w</v>
      </c>
      <c r="Y1414" s="164">
        <f>_xll.qlCalendarAdvance(Calendar,Y1413,X1414,"f",FALSE)</f>
        <v>48989</v>
      </c>
      <c r="Z1414" s="188">
        <f>_xll.qlCalendarAdvance(Calendar,Y1414,NDays&amp;"D")</f>
        <v>48991</v>
      </c>
      <c r="AA1414" s="163">
        <v>1.0597341270796458E-2</v>
      </c>
      <c r="AB1414" s="172">
        <v>1.0598751566552878E-2</v>
      </c>
    </row>
    <row r="1415" spans="24:28" x14ac:dyDescent="0.2">
      <c r="X1415" s="176" t="str">
        <f t="shared" si="55"/>
        <v>1w</v>
      </c>
      <c r="Y1415" s="164">
        <f>_xll.qlCalendarAdvance(Calendar,Y1414,X1415,"f",FALSE)</f>
        <v>48996</v>
      </c>
      <c r="Z1415" s="188">
        <f>_xll.qlCalendarAdvance(Calendar,Y1415,NDays&amp;"D")</f>
        <v>48998</v>
      </c>
      <c r="AA1415" s="163">
        <v>1.0595024696926268E-2</v>
      </c>
      <c r="AB1415" s="172">
        <v>1.059649768643034E-2</v>
      </c>
    </row>
    <row r="1416" spans="24:28" x14ac:dyDescent="0.2">
      <c r="X1416" s="176" t="str">
        <f t="shared" si="55"/>
        <v>1w</v>
      </c>
      <c r="Y1416" s="164">
        <f>_xll.qlCalendarAdvance(Calendar,Y1415,X1416,"f",FALSE)</f>
        <v>49003</v>
      </c>
      <c r="Z1416" s="188">
        <f>_xll.qlCalendarAdvance(Calendar,Y1416,NDays&amp;"D")</f>
        <v>49005</v>
      </c>
      <c r="AA1416" s="163">
        <v>1.0592646046033606E-2</v>
      </c>
      <c r="AB1416" s="172">
        <v>1.0594239879608836E-2</v>
      </c>
    </row>
    <row r="1417" spans="24:28" x14ac:dyDescent="0.2">
      <c r="X1417" s="176" t="str">
        <f t="shared" si="55"/>
        <v>1w</v>
      </c>
      <c r="Y1417" s="164">
        <f>_xll.qlCalendarAdvance(Calendar,Y1416,X1417,"f",FALSE)</f>
        <v>49010</v>
      </c>
      <c r="Z1417" s="188">
        <f>_xll.qlCalendarAdvance(Calendar,Y1417,NDays&amp;"D")</f>
        <v>49012</v>
      </c>
      <c r="AA1417" s="163">
        <v>1.0590319832624182E-2</v>
      </c>
      <c r="AB1417" s="172">
        <v>1.0591978146088366E-2</v>
      </c>
    </row>
    <row r="1418" spans="24:28" x14ac:dyDescent="0.2">
      <c r="X1418" s="176" t="str">
        <f t="shared" si="55"/>
        <v>1w</v>
      </c>
      <c r="Y1418" s="164">
        <f>_xll.qlCalendarAdvance(Calendar,Y1417,X1418,"f",FALSE)</f>
        <v>49017</v>
      </c>
      <c r="Z1418" s="188">
        <f>_xll.qlCalendarAdvance(Calendar,Y1418,NDays&amp;"D")</f>
        <v>49019</v>
      </c>
      <c r="AA1418" s="163">
        <v>1.05879896739977E-2</v>
      </c>
      <c r="AB1418" s="172">
        <v>1.0589712486028802E-2</v>
      </c>
    </row>
    <row r="1419" spans="24:28" x14ac:dyDescent="0.2">
      <c r="X1419" s="176" t="str">
        <f t="shared" si="55"/>
        <v>1w</v>
      </c>
      <c r="Y1419" s="164">
        <f>_xll.qlCalendarAdvance(Calendar,Y1418,X1419,"f",FALSE)</f>
        <v>49024</v>
      </c>
      <c r="Z1419" s="188">
        <f>_xll.qlCalendarAdvance(Calendar,Y1419,NDays&amp;"D")</f>
        <v>49026</v>
      </c>
      <c r="AA1419" s="163">
        <v>1.0585655570167055E-2</v>
      </c>
      <c r="AB1419" s="172">
        <v>1.0587442899350208E-2</v>
      </c>
    </row>
    <row r="1420" spans="24:28" x14ac:dyDescent="0.2">
      <c r="X1420" s="176" t="str">
        <f t="shared" si="55"/>
        <v>1w</v>
      </c>
      <c r="Y1420" s="164">
        <f>_xll.qlCalendarAdvance(Calendar,Y1419,X1420,"f",FALSE)</f>
        <v>49031</v>
      </c>
      <c r="Z1420" s="188">
        <f>_xll.qlCalendarAdvance(Calendar,Y1420,NDays&amp;"D")</f>
        <v>49033</v>
      </c>
      <c r="AA1420" s="163">
        <v>1.0583356703471936E-2</v>
      </c>
      <c r="AB1420" s="172">
        <v>1.058516938613252E-2</v>
      </c>
    </row>
    <row r="1421" spans="24:28" x14ac:dyDescent="0.2">
      <c r="X1421" s="176" t="str">
        <f t="shared" si="55"/>
        <v>1w</v>
      </c>
      <c r="Y1421" s="164">
        <f>_xll.qlCalendarAdvance(Calendar,Y1420,X1421,"f",FALSE)</f>
        <v>49038</v>
      </c>
      <c r="Z1421" s="188">
        <f>_xll.qlCalendarAdvance(Calendar,Y1421,NDays&amp;"D")</f>
        <v>49040</v>
      </c>
      <c r="AA1421" s="163">
        <v>1.058101576055745E-2</v>
      </c>
      <c r="AB1421" s="172">
        <v>1.0582862598251808E-2</v>
      </c>
    </row>
    <row r="1422" spans="24:28" x14ac:dyDescent="0.2">
      <c r="X1422" s="176" t="str">
        <f t="shared" si="55"/>
        <v>1w</v>
      </c>
      <c r="Y1422" s="164">
        <f>_xll.qlCalendarAdvance(Calendar,Y1421,X1422,"f",FALSE)</f>
        <v>49045</v>
      </c>
      <c r="Z1422" s="188">
        <f>_xll.qlCalendarAdvance(Calendar,Y1422,NDays&amp;"D")</f>
        <v>49047</v>
      </c>
      <c r="AA1422" s="163">
        <v>1.0578670872780601E-2</v>
      </c>
      <c r="AB1422" s="172">
        <v>1.0580610579600247E-2</v>
      </c>
    </row>
    <row r="1423" spans="24:28" x14ac:dyDescent="0.2">
      <c r="X1423" s="176" t="str">
        <f t="shared" si="55"/>
        <v>1w</v>
      </c>
      <c r="Y1423" s="164">
        <f>_xll.qlCalendarAdvance(Calendar,Y1422,X1423,"f",FALSE)</f>
        <v>49052</v>
      </c>
      <c r="Z1423" s="188">
        <f>_xll.qlCalendarAdvance(Calendar,Y1423,NDays&amp;"D")</f>
        <v>49054</v>
      </c>
      <c r="AA1423" s="163">
        <v>1.057632204015581E-2</v>
      </c>
      <c r="AB1423" s="172">
        <v>1.0578325286445533E-2</v>
      </c>
    </row>
    <row r="1424" spans="24:28" x14ac:dyDescent="0.2">
      <c r="X1424" s="176" t="str">
        <f t="shared" si="55"/>
        <v>1w</v>
      </c>
      <c r="Y1424" s="164">
        <f>_xll.qlCalendarAdvance(Calendar,Y1423,X1424,"f",FALSE)</f>
        <v>49059</v>
      </c>
      <c r="Z1424" s="188">
        <f>_xll.qlCalendarAdvance(Calendar,Y1424,NDays&amp;"D")</f>
        <v>49061</v>
      </c>
      <c r="AA1424" s="163">
        <v>1.0573969262696176E-2</v>
      </c>
      <c r="AB1424" s="172">
        <v>1.057603606667179E-2</v>
      </c>
    </row>
    <row r="1425" spans="24:28" x14ac:dyDescent="0.2">
      <c r="X1425" s="176" t="str">
        <f t="shared" si="55"/>
        <v>1w</v>
      </c>
      <c r="Y1425" s="164">
        <f>_xll.qlCalendarAdvance(Calendar,Y1424,X1425,"f",FALSE)</f>
        <v>49066</v>
      </c>
      <c r="Z1425" s="188">
        <f>_xll.qlCalendarAdvance(Calendar,Y1425,NDays&amp;"D")</f>
        <v>49068</v>
      </c>
      <c r="AA1425" s="163">
        <v>1.057156809870801E-2</v>
      </c>
      <c r="AB1425" s="172">
        <v>1.0573742920279017E-2</v>
      </c>
    </row>
    <row r="1426" spans="24:28" x14ac:dyDescent="0.2">
      <c r="X1426" s="176" t="str">
        <f t="shared" si="55"/>
        <v>1w</v>
      </c>
      <c r="Y1426" s="164">
        <f>_xll.qlCalendarAdvance(Calendar,Y1425,X1426,"f",FALSE)</f>
        <v>49073</v>
      </c>
      <c r="Z1426" s="188">
        <f>_xll.qlCalendarAdvance(Calendar,Y1426,NDays&amp;"D")</f>
        <v>49075</v>
      </c>
      <c r="AA1426" s="163">
        <v>1.0569206378851771E-2</v>
      </c>
      <c r="AB1426" s="172">
        <v>1.0571445847187277E-2</v>
      </c>
    </row>
    <row r="1427" spans="24:28" x14ac:dyDescent="0.2">
      <c r="X1427" s="176" t="str">
        <f t="shared" si="55"/>
        <v>1w</v>
      </c>
      <c r="Y1427" s="164">
        <f>_xll.qlCalendarAdvance(Calendar,Y1426,X1427,"f",FALSE)</f>
        <v>49080</v>
      </c>
      <c r="Z1427" s="188">
        <f>_xll.qlCalendarAdvance(Calendar,Y1427,NDays&amp;"D")</f>
        <v>49082</v>
      </c>
      <c r="AA1427" s="163">
        <v>1.0566840713906544E-2</v>
      </c>
      <c r="AB1427" s="172">
        <v>1.0569144847556444E-2</v>
      </c>
    </row>
    <row r="1428" spans="24:28" x14ac:dyDescent="0.2">
      <c r="X1428" s="176" t="str">
        <f t="shared" si="55"/>
        <v>1w</v>
      </c>
      <c r="Y1428" s="164">
        <f>_xll.qlCalendarAdvance(Calendar,Y1427,X1428,"f",FALSE)</f>
        <v>49087</v>
      </c>
      <c r="Z1428" s="188">
        <f>_xll.qlCalendarAdvance(Calendar,Y1428,NDays&amp;"D")</f>
        <v>49089</v>
      </c>
      <c r="AA1428" s="163">
        <v>1.0564471103886513E-2</v>
      </c>
      <c r="AB1428" s="172">
        <v>1.0566839921306581E-2</v>
      </c>
    </row>
    <row r="1429" spans="24:28" x14ac:dyDescent="0.2">
      <c r="X1429" s="176" t="str">
        <f t="shared" ref="X1429:X1492" si="56">X1428</f>
        <v>1w</v>
      </c>
      <c r="Y1429" s="164">
        <f>_xll.qlCalendarAdvance(Calendar,Y1428,X1429,"f",FALSE)</f>
        <v>49094</v>
      </c>
      <c r="Z1429" s="188">
        <f>_xll.qlCalendarAdvance(Calendar,Y1429,NDays&amp;"D")</f>
        <v>49096</v>
      </c>
      <c r="AA1429" s="163">
        <v>1.0562146203375972E-2</v>
      </c>
      <c r="AB1429" s="172">
        <v>1.0564531068517624E-2</v>
      </c>
    </row>
    <row r="1430" spans="24:28" x14ac:dyDescent="0.2">
      <c r="X1430" s="176" t="str">
        <f t="shared" si="56"/>
        <v>1w</v>
      </c>
      <c r="Y1430" s="164">
        <f>_xll.qlCalendarAdvance(Calendar,Y1429,X1430,"f",FALSE)</f>
        <v>49101</v>
      </c>
      <c r="Z1430" s="188">
        <f>_xll.qlCalendarAdvance(Calendar,Y1430,NDays&amp;"D")</f>
        <v>49103</v>
      </c>
      <c r="AA1430" s="163">
        <v>1.0559769757206941E-2</v>
      </c>
      <c r="AB1430" s="172">
        <v>1.0562218289029701E-2</v>
      </c>
    </row>
    <row r="1431" spans="24:28" x14ac:dyDescent="0.2">
      <c r="X1431" s="176" t="str">
        <f t="shared" si="56"/>
        <v>1w</v>
      </c>
      <c r="Y1431" s="164">
        <f>_xll.qlCalendarAdvance(Calendar,Y1430,X1431,"f",FALSE)</f>
        <v>49108</v>
      </c>
      <c r="Z1431" s="188">
        <f>_xll.qlCalendarAdvance(Calendar,Y1431,NDays&amp;"D")</f>
        <v>49110</v>
      </c>
      <c r="AA1431" s="163">
        <v>1.0557389366302225E-2</v>
      </c>
      <c r="AB1431" s="172">
        <v>1.0559901582842812E-2</v>
      </c>
    </row>
    <row r="1432" spans="24:28" x14ac:dyDescent="0.2">
      <c r="X1432" s="176" t="str">
        <f t="shared" si="56"/>
        <v>1w</v>
      </c>
      <c r="Y1432" s="164">
        <f>_xll.qlCalendarAdvance(Calendar,Y1431,X1432,"f",FALSE)</f>
        <v>49115</v>
      </c>
      <c r="Z1432" s="188">
        <f>_xll.qlCalendarAdvance(Calendar,Y1432,NDays&amp;"D")</f>
        <v>49117</v>
      </c>
      <c r="AA1432" s="163">
        <v>1.0555005030676239E-2</v>
      </c>
      <c r="AB1432" s="172">
        <v>1.0557580950116829E-2</v>
      </c>
    </row>
    <row r="1433" spans="24:28" x14ac:dyDescent="0.2">
      <c r="X1433" s="176" t="str">
        <f t="shared" si="56"/>
        <v>1w</v>
      </c>
      <c r="Y1433" s="164">
        <f>_xll.qlCalendarAdvance(Calendar,Y1432,X1433,"f",FALSE)</f>
        <v>49122</v>
      </c>
      <c r="Z1433" s="188">
        <f>_xll.qlCalendarAdvance(Calendar,Y1433,NDays&amp;"D")</f>
        <v>49124</v>
      </c>
      <c r="AA1433" s="163">
        <v>1.0552616750343831E-2</v>
      </c>
      <c r="AB1433" s="172">
        <v>1.0555256390691881E-2</v>
      </c>
    </row>
    <row r="1434" spans="24:28" x14ac:dyDescent="0.2">
      <c r="X1434" s="176" t="str">
        <f t="shared" si="56"/>
        <v>1w</v>
      </c>
      <c r="Y1434" s="164">
        <f>_xll.qlCalendarAdvance(Calendar,Y1433,X1434,"f",FALSE)</f>
        <v>49129</v>
      </c>
      <c r="Z1434" s="188">
        <f>_xll.qlCalendarAdvance(Calendar,Y1434,NDays&amp;"D")</f>
        <v>49131</v>
      </c>
      <c r="AA1434" s="163">
        <v>1.0550170598002959E-2</v>
      </c>
      <c r="AB1434" s="172">
        <v>1.0552927904807774E-2</v>
      </c>
    </row>
    <row r="1435" spans="24:28" x14ac:dyDescent="0.2">
      <c r="X1435" s="176" t="str">
        <f t="shared" si="56"/>
        <v>1w</v>
      </c>
      <c r="Y1435" s="164">
        <f>_xll.qlCalendarAdvance(Calendar,Y1434,X1435,"f",FALSE)</f>
        <v>49136</v>
      </c>
      <c r="Z1435" s="188">
        <f>_xll.qlCalendarAdvance(Calendar,Y1435,NDays&amp;"D")</f>
        <v>49138</v>
      </c>
      <c r="AA1435" s="163">
        <v>1.0547773372864134E-2</v>
      </c>
      <c r="AB1435" s="172">
        <v>1.0550595492224701E-2</v>
      </c>
    </row>
    <row r="1436" spans="24:28" x14ac:dyDescent="0.2">
      <c r="X1436" s="176" t="str">
        <f t="shared" si="56"/>
        <v>1w</v>
      </c>
      <c r="Y1436" s="164">
        <f>_xll.qlCalendarAdvance(Calendar,Y1435,X1436,"f",FALSE)</f>
        <v>49143</v>
      </c>
      <c r="Z1436" s="188">
        <f>_xll.qlCalendarAdvance(Calendar,Y1436,NDays&amp;"D")</f>
        <v>49145</v>
      </c>
      <c r="AA1436" s="163">
        <v>1.054537220276611E-2</v>
      </c>
      <c r="AB1436" s="172">
        <v>1.0548259153022599E-2</v>
      </c>
    </row>
    <row r="1437" spans="24:28" x14ac:dyDescent="0.2">
      <c r="X1437" s="176" t="str">
        <f t="shared" si="56"/>
        <v>1w</v>
      </c>
      <c r="Y1437" s="164">
        <f>_xll.qlCalendarAdvance(Calendar,Y1436,X1437,"f",FALSE)</f>
        <v>49150</v>
      </c>
      <c r="Z1437" s="188">
        <f>_xll.qlCalendarAdvance(Calendar,Y1437,NDays&amp;"D")</f>
        <v>49152</v>
      </c>
      <c r="AA1437" s="163">
        <v>1.0542967087723931E-2</v>
      </c>
      <c r="AB1437" s="172">
        <v>1.054591888712153E-2</v>
      </c>
    </row>
    <row r="1438" spans="24:28" x14ac:dyDescent="0.2">
      <c r="X1438" s="176" t="str">
        <f t="shared" si="56"/>
        <v>1w</v>
      </c>
      <c r="Y1438" s="164">
        <f>_xll.qlCalendarAdvance(Calendar,Y1437,X1438,"f",FALSE)</f>
        <v>49157</v>
      </c>
      <c r="Z1438" s="188">
        <f>_xll.qlCalendarAdvance(Calendar,Y1438,NDays&amp;"D")</f>
        <v>49159</v>
      </c>
      <c r="AA1438" s="163">
        <v>1.0540558027752637E-2</v>
      </c>
      <c r="AB1438" s="172">
        <v>1.0543574694761304E-2</v>
      </c>
    </row>
    <row r="1439" spans="24:28" x14ac:dyDescent="0.2">
      <c r="X1439" s="176" t="str">
        <f t="shared" si="56"/>
        <v>1w</v>
      </c>
      <c r="Y1439" s="164">
        <f>_xll.qlCalendarAdvance(Calendar,Y1438,X1439,"f",FALSE)</f>
        <v>49164</v>
      </c>
      <c r="Z1439" s="188">
        <f>_xll.qlCalendarAdvance(Calendar,Y1439,NDays&amp;"D")</f>
        <v>49166</v>
      </c>
      <c r="AA1439" s="163">
        <v>1.053814502286598E-2</v>
      </c>
      <c r="AB1439" s="172">
        <v>1.0541226575622176E-2</v>
      </c>
    </row>
    <row r="1440" spans="24:28" x14ac:dyDescent="0.2">
      <c r="X1440" s="176" t="str">
        <f t="shared" si="56"/>
        <v>1w</v>
      </c>
      <c r="Y1440" s="164">
        <f>_xll.qlCalendarAdvance(Calendar,Y1439,X1440,"f",FALSE)</f>
        <v>49171</v>
      </c>
      <c r="Z1440" s="188">
        <f>_xll.qlCalendarAdvance(Calendar,Y1440,NDays&amp;"D")</f>
        <v>49173</v>
      </c>
      <c r="AA1440" s="163">
        <v>1.0535728073079004E-2</v>
      </c>
      <c r="AB1440" s="172">
        <v>1.0538874529943953E-2</v>
      </c>
    </row>
    <row r="1441" spans="24:28" x14ac:dyDescent="0.2">
      <c r="X1441" s="176" t="str">
        <f t="shared" si="56"/>
        <v>1w</v>
      </c>
      <c r="Y1441" s="164">
        <f>_xll.qlCalendarAdvance(Calendar,Y1440,X1441,"f",FALSE)</f>
        <v>49178</v>
      </c>
      <c r="Z1441" s="188">
        <f>_xll.qlCalendarAdvance(Calendar,Y1441,NDays&amp;"D")</f>
        <v>49180</v>
      </c>
      <c r="AA1441" s="163">
        <v>1.053330717840675E-2</v>
      </c>
      <c r="AB1441" s="172">
        <v>1.0536518557726637E-2</v>
      </c>
    </row>
    <row r="1442" spans="24:28" x14ac:dyDescent="0.2">
      <c r="X1442" s="176" t="str">
        <f t="shared" si="56"/>
        <v>1w</v>
      </c>
      <c r="Y1442" s="164">
        <f>_xll.qlCalendarAdvance(Calendar,Y1441,X1442,"f",FALSE)</f>
        <v>49185</v>
      </c>
      <c r="Z1442" s="188">
        <f>_xll.qlCalendarAdvance(Calendar,Y1442,NDays&amp;"D")</f>
        <v>49187</v>
      </c>
      <c r="AA1442" s="163">
        <v>1.0530986133799923E-2</v>
      </c>
      <c r="AB1442" s="172">
        <v>1.0534158658730419E-2</v>
      </c>
    </row>
    <row r="1443" spans="24:28" x14ac:dyDescent="0.2">
      <c r="X1443" s="176" t="str">
        <f t="shared" si="56"/>
        <v>1w</v>
      </c>
      <c r="Y1443" s="164">
        <f>_xll.qlCalendarAdvance(Calendar,Y1442,X1443,"f",FALSE)</f>
        <v>49192</v>
      </c>
      <c r="Z1443" s="188">
        <f>_xll.qlCalendarAdvance(Calendar,Y1443,NDays&amp;"D")</f>
        <v>49194</v>
      </c>
      <c r="AA1443" s="163">
        <v>1.0528559112302556E-2</v>
      </c>
      <c r="AB1443" s="172">
        <v>1.0531794833195107E-2</v>
      </c>
    </row>
    <row r="1444" spans="24:28" x14ac:dyDescent="0.2">
      <c r="X1444" s="176" t="str">
        <f t="shared" si="56"/>
        <v>1w</v>
      </c>
      <c r="Y1444" s="164">
        <f>_xll.qlCalendarAdvance(Calendar,Y1443,X1444,"f",FALSE)</f>
        <v>49199</v>
      </c>
      <c r="Z1444" s="188">
        <f>_xll.qlCalendarAdvance(Calendar,Y1444,NDays&amp;"D")</f>
        <v>49201</v>
      </c>
      <c r="AA1444" s="163">
        <v>1.052612814645228E-2</v>
      </c>
      <c r="AB1444" s="172">
        <v>1.0529427081120701E-2</v>
      </c>
    </row>
    <row r="1445" spans="24:28" x14ac:dyDescent="0.2">
      <c r="X1445" s="176" t="str">
        <f t="shared" si="56"/>
        <v>1w</v>
      </c>
      <c r="Y1445" s="164">
        <f>_xll.qlCalendarAdvance(Calendar,Y1444,X1445,"f",FALSE)</f>
        <v>49206</v>
      </c>
      <c r="Z1445" s="188">
        <f>_xll.qlCalendarAdvance(Calendar,Y1445,NDays&amp;"D")</f>
        <v>49208</v>
      </c>
      <c r="AA1445" s="163">
        <v>1.0523693236263666E-2</v>
      </c>
      <c r="AB1445" s="172">
        <v>1.052705540234733E-2</v>
      </c>
    </row>
    <row r="1446" spans="24:28" x14ac:dyDescent="0.2">
      <c r="X1446" s="176" t="str">
        <f t="shared" si="56"/>
        <v>1w</v>
      </c>
      <c r="Y1446" s="164">
        <f>_xll.qlCalendarAdvance(Calendar,Y1445,X1446,"f",FALSE)</f>
        <v>49213</v>
      </c>
      <c r="Z1446" s="188">
        <f>_xll.qlCalendarAdvance(Calendar,Y1446,NDays&amp;"D")</f>
        <v>49215</v>
      </c>
      <c r="AA1446" s="163">
        <v>1.0521254382099297E-2</v>
      </c>
      <c r="AB1446" s="172">
        <v>1.0524679796954928E-2</v>
      </c>
    </row>
    <row r="1447" spans="24:28" x14ac:dyDescent="0.2">
      <c r="X1447" s="176" t="str">
        <f t="shared" si="56"/>
        <v>1w</v>
      </c>
      <c r="Y1447" s="164">
        <f>_xll.qlCalendarAdvance(Calendar,Y1446,X1447,"f",FALSE)</f>
        <v>49220</v>
      </c>
      <c r="Z1447" s="188">
        <f>_xll.qlCalendarAdvance(Calendar,Y1447,NDays&amp;"D")</f>
        <v>49222</v>
      </c>
      <c r="AA1447" s="163">
        <v>1.0518789380906815E-2</v>
      </c>
      <c r="AB1447" s="172">
        <v>1.0522300264943496E-2</v>
      </c>
    </row>
    <row r="1448" spans="24:28" x14ac:dyDescent="0.2">
      <c r="X1448" s="176" t="str">
        <f t="shared" si="56"/>
        <v>1w</v>
      </c>
      <c r="Y1448" s="164">
        <f>_xll.qlCalendarAdvance(Calendar,Y1447,X1448,"f",FALSE)</f>
        <v>49227</v>
      </c>
      <c r="Z1448" s="188">
        <f>_xll.qlCalendarAdvance(Calendar,Y1448,NDays&amp;"D")</f>
        <v>49229</v>
      </c>
      <c r="AA1448" s="163">
        <v>1.0516343451544031E-2</v>
      </c>
      <c r="AB1448" s="172">
        <v>1.0519916806313034E-2</v>
      </c>
    </row>
    <row r="1449" spans="24:28" x14ac:dyDescent="0.2">
      <c r="X1449" s="176" t="str">
        <f t="shared" si="56"/>
        <v>1w</v>
      </c>
      <c r="Y1449" s="164">
        <f>_xll.qlCalendarAdvance(Calendar,Y1448,X1449,"f",FALSE)</f>
        <v>49234</v>
      </c>
      <c r="Z1449" s="188">
        <f>_xll.qlCalendarAdvance(Calendar,Y1449,NDays&amp;"D")</f>
        <v>49236</v>
      </c>
      <c r="AA1449" s="163">
        <v>1.0513895207909393E-2</v>
      </c>
      <c r="AB1449" s="172">
        <v>1.0517529421063543E-2</v>
      </c>
    </row>
    <row r="1450" spans="24:28" x14ac:dyDescent="0.2">
      <c r="X1450" s="176" t="str">
        <f t="shared" si="56"/>
        <v>1w</v>
      </c>
      <c r="Y1450" s="164">
        <f>_xll.qlCalendarAdvance(Calendar,Y1449,X1450,"f",FALSE)</f>
        <v>49241</v>
      </c>
      <c r="Z1450" s="188">
        <f>_xll.qlCalendarAdvance(Calendar,Y1450,NDays&amp;"D")</f>
        <v>49243</v>
      </c>
      <c r="AA1450" s="163">
        <v>1.051144536318363E-2</v>
      </c>
      <c r="AB1450" s="172">
        <v>1.0515138109195021E-2</v>
      </c>
    </row>
    <row r="1451" spans="24:28" x14ac:dyDescent="0.2">
      <c r="X1451" s="176" t="str">
        <f t="shared" si="56"/>
        <v>1w</v>
      </c>
      <c r="Y1451" s="164">
        <f>_xll.qlCalendarAdvance(Calendar,Y1450,X1451,"f",FALSE)</f>
        <v>49248</v>
      </c>
      <c r="Z1451" s="188">
        <f>_xll.qlCalendarAdvance(Calendar,Y1451,NDays&amp;"D")</f>
        <v>49250</v>
      </c>
      <c r="AA1451" s="163">
        <v>1.0509017201667893E-2</v>
      </c>
      <c r="AB1451" s="172">
        <v>1.051274287070747E-2</v>
      </c>
    </row>
    <row r="1452" spans="24:28" x14ac:dyDescent="0.2">
      <c r="X1452" s="176" t="str">
        <f t="shared" si="56"/>
        <v>1w</v>
      </c>
      <c r="Y1452" s="164">
        <f>_xll.qlCalendarAdvance(Calendar,Y1451,X1452,"f",FALSE)</f>
        <v>49255</v>
      </c>
      <c r="Z1452" s="188">
        <f>_xll.qlCalendarAdvance(Calendar,Y1452,NDays&amp;"D")</f>
        <v>49257</v>
      </c>
      <c r="AA1452" s="163">
        <v>1.0506566128096162E-2</v>
      </c>
      <c r="AB1452" s="172">
        <v>1.0510343705600889E-2</v>
      </c>
    </row>
    <row r="1453" spans="24:28" x14ac:dyDescent="0.2">
      <c r="X1453" s="176" t="str">
        <f t="shared" si="56"/>
        <v>1w</v>
      </c>
      <c r="Y1453" s="164">
        <f>_xll.qlCalendarAdvance(Calendar,Y1452,X1453,"f",FALSE)</f>
        <v>49262</v>
      </c>
      <c r="Z1453" s="188">
        <f>_xll.qlCalendarAdvance(Calendar,Y1453,NDays&amp;"D")</f>
        <v>49264</v>
      </c>
      <c r="AA1453" s="163">
        <v>1.0504115515246278E-2</v>
      </c>
      <c r="AB1453" s="172">
        <v>1.0507940613955213E-2</v>
      </c>
    </row>
    <row r="1454" spans="24:28" x14ac:dyDescent="0.2">
      <c r="X1454" s="176" t="str">
        <f t="shared" si="56"/>
        <v>1w</v>
      </c>
      <c r="Y1454" s="164">
        <f>_xll.qlCalendarAdvance(Calendar,Y1453,X1454,"f",FALSE)</f>
        <v>49269</v>
      </c>
      <c r="Z1454" s="188">
        <f>_xll.qlCalendarAdvance(Calendar,Y1454,NDays&amp;"D")</f>
        <v>49271</v>
      </c>
      <c r="AA1454" s="163">
        <v>1.050166608020474E-2</v>
      </c>
      <c r="AB1454" s="172">
        <v>1.0505533595610572E-2</v>
      </c>
    </row>
    <row r="1455" spans="24:28" x14ac:dyDescent="0.2">
      <c r="X1455" s="176" t="str">
        <f t="shared" si="56"/>
        <v>1w</v>
      </c>
      <c r="Y1455" s="164">
        <f>_xll.qlCalendarAdvance(Calendar,Y1454,X1455,"f",FALSE)</f>
        <v>49276</v>
      </c>
      <c r="Z1455" s="188">
        <f>_xll.qlCalendarAdvance(Calendar,Y1455,NDays&amp;"D")</f>
        <v>49278</v>
      </c>
      <c r="AA1455" s="163">
        <v>1.0499197084252756E-2</v>
      </c>
      <c r="AB1455" s="172">
        <v>1.0503122650726837E-2</v>
      </c>
    </row>
    <row r="1456" spans="24:28" x14ac:dyDescent="0.2">
      <c r="X1456" s="176" t="str">
        <f t="shared" si="56"/>
        <v>1w</v>
      </c>
      <c r="Y1456" s="164">
        <f>_xll.qlCalendarAdvance(Calendar,Y1455,X1456,"f",FALSE)</f>
        <v>49283</v>
      </c>
      <c r="Z1456" s="188">
        <f>_xll.qlCalendarAdvance(Calendar,Y1456,NDays&amp;"D")</f>
        <v>49285</v>
      </c>
      <c r="AA1456" s="163">
        <v>1.0496752609569865E-2</v>
      </c>
      <c r="AB1456" s="172">
        <v>1.0500707779144136E-2</v>
      </c>
    </row>
    <row r="1457" spans="24:28" x14ac:dyDescent="0.2">
      <c r="X1457" s="176" t="str">
        <f t="shared" si="56"/>
        <v>1w</v>
      </c>
      <c r="Y1457" s="164">
        <f>_xll.qlCalendarAdvance(Calendar,Y1456,X1457,"f",FALSE)</f>
        <v>49290</v>
      </c>
      <c r="Z1457" s="188">
        <f>_xll.qlCalendarAdvance(Calendar,Y1457,NDays&amp;"D")</f>
        <v>49292</v>
      </c>
      <c r="AA1457" s="163">
        <v>1.0494311525961208E-2</v>
      </c>
      <c r="AB1457" s="172">
        <v>1.0498288981022341E-2</v>
      </c>
    </row>
    <row r="1458" spans="24:28" x14ac:dyDescent="0.2">
      <c r="X1458" s="176" t="str">
        <f t="shared" si="56"/>
        <v>1w</v>
      </c>
      <c r="Y1458" s="164">
        <f>_xll.qlCalendarAdvance(Calendar,Y1457,X1458,"f",FALSE)</f>
        <v>49297</v>
      </c>
      <c r="Z1458" s="188">
        <f>_xll.qlCalendarAdvance(Calendar,Y1458,NDays&amp;"D")</f>
        <v>49299</v>
      </c>
      <c r="AA1458" s="163">
        <v>1.0491874546577202E-2</v>
      </c>
      <c r="AB1458" s="172">
        <v>1.049586625620158E-2</v>
      </c>
    </row>
    <row r="1459" spans="24:28" x14ac:dyDescent="0.2">
      <c r="X1459" s="176" t="str">
        <f t="shared" si="56"/>
        <v>1w</v>
      </c>
      <c r="Y1459" s="164">
        <f>_xll.qlCalendarAdvance(Calendar,Y1458,X1459,"f",FALSE)</f>
        <v>49305</v>
      </c>
      <c r="Z1459" s="188">
        <f>_xll.qlCalendarAdvance(Calendar,Y1459,NDays&amp;"D")</f>
        <v>49307</v>
      </c>
      <c r="AA1459" s="163">
        <v>1.0489095367690177E-2</v>
      </c>
      <c r="AB1459" s="172">
        <v>1.0493030676030912E-2</v>
      </c>
    </row>
    <row r="1460" spans="24:28" x14ac:dyDescent="0.2">
      <c r="X1460" s="176" t="str">
        <f t="shared" si="56"/>
        <v>1w</v>
      </c>
      <c r="Y1460" s="164">
        <f>_xll.qlCalendarAdvance(Calendar,Y1459,X1460,"f",FALSE)</f>
        <v>49312</v>
      </c>
      <c r="Z1460" s="188">
        <f>_xll.qlCalendarAdvance(Calendar,Y1460,NDays&amp;"D")</f>
        <v>49314</v>
      </c>
      <c r="AA1460" s="163">
        <v>1.0486688090960723E-2</v>
      </c>
      <c r="AB1460" s="172">
        <v>1.0490619516145827E-2</v>
      </c>
    </row>
    <row r="1461" spans="24:28" x14ac:dyDescent="0.2">
      <c r="X1461" s="176" t="str">
        <f t="shared" si="56"/>
        <v>1w</v>
      </c>
      <c r="Y1461" s="164">
        <f>_xll.qlCalendarAdvance(Calendar,Y1460,X1461,"f",FALSE)</f>
        <v>49319</v>
      </c>
      <c r="Z1461" s="188">
        <f>_xll.qlCalendarAdvance(Calendar,Y1461,NDays&amp;"D")</f>
        <v>49321</v>
      </c>
      <c r="AA1461" s="163">
        <v>1.0484267922553827E-2</v>
      </c>
      <c r="AB1461" s="172">
        <v>1.0488183747678903E-2</v>
      </c>
    </row>
    <row r="1462" spans="24:28" x14ac:dyDescent="0.2">
      <c r="X1462" s="176" t="str">
        <f t="shared" si="56"/>
        <v>1w</v>
      </c>
      <c r="Y1462" s="164">
        <f>_xll.qlCalendarAdvance(Calendar,Y1461,X1462,"f",FALSE)</f>
        <v>49326</v>
      </c>
      <c r="Z1462" s="188">
        <f>_xll.qlCalendarAdvance(Calendar,Y1462,NDays&amp;"D")</f>
        <v>49328</v>
      </c>
      <c r="AA1462" s="163">
        <v>1.0481854770953956E-2</v>
      </c>
      <c r="AB1462" s="172">
        <v>1.0485744052406432E-2</v>
      </c>
    </row>
    <row r="1463" spans="24:28" x14ac:dyDescent="0.2">
      <c r="X1463" s="176" t="str">
        <f t="shared" si="56"/>
        <v>1w</v>
      </c>
      <c r="Y1463" s="164">
        <f>_xll.qlCalendarAdvance(Calendar,Y1462,X1463,"f",FALSE)</f>
        <v>49333</v>
      </c>
      <c r="Z1463" s="188">
        <f>_xll.qlCalendarAdvance(Calendar,Y1463,NDays&amp;"D")</f>
        <v>49335</v>
      </c>
      <c r="AA1463" s="163">
        <v>1.047944935321493E-2</v>
      </c>
      <c r="AB1463" s="172">
        <v>1.0483300430301767E-2</v>
      </c>
    </row>
    <row r="1464" spans="24:28" x14ac:dyDescent="0.2">
      <c r="X1464" s="176" t="str">
        <f t="shared" si="56"/>
        <v>1w</v>
      </c>
      <c r="Y1464" s="164">
        <f>_xll.qlCalendarAdvance(Calendar,Y1463,X1464,"f",FALSE)</f>
        <v>49340</v>
      </c>
      <c r="Z1464" s="188">
        <f>_xll.qlCalendarAdvance(Calendar,Y1464,NDays&amp;"D")</f>
        <v>49342</v>
      </c>
      <c r="AA1464" s="163">
        <v>1.0477052386387917E-2</v>
      </c>
      <c r="AB1464" s="172">
        <v>1.0480852881418201E-2</v>
      </c>
    </row>
    <row r="1465" spans="24:28" x14ac:dyDescent="0.2">
      <c r="X1465" s="176" t="str">
        <f t="shared" si="56"/>
        <v>1w</v>
      </c>
      <c r="Y1465" s="164">
        <f>_xll.qlCalendarAdvance(Calendar,Y1464,X1465,"f",FALSE)</f>
        <v>49347</v>
      </c>
      <c r="Z1465" s="188">
        <f>_xll.qlCalendarAdvance(Calendar,Y1465,NDays&amp;"D")</f>
        <v>49349</v>
      </c>
      <c r="AA1465" s="163">
        <v>1.0474664587520556E-2</v>
      </c>
      <c r="AB1465" s="172">
        <v>1.0478401405702442E-2</v>
      </c>
    </row>
    <row r="1466" spans="24:28" x14ac:dyDescent="0.2">
      <c r="X1466" s="176" t="str">
        <f t="shared" si="56"/>
        <v>1w</v>
      </c>
      <c r="Y1466" s="164">
        <f>_xll.qlCalendarAdvance(Calendar,Y1465,X1466,"f",FALSE)</f>
        <v>49354</v>
      </c>
      <c r="Z1466" s="188">
        <f>_xll.qlCalendarAdvance(Calendar,Y1466,NDays&amp;"D")</f>
        <v>49356</v>
      </c>
      <c r="AA1466" s="163">
        <v>1.0472286673657393E-2</v>
      </c>
      <c r="AB1466" s="172">
        <v>1.0475946003181136E-2</v>
      </c>
    </row>
    <row r="1467" spans="24:28" x14ac:dyDescent="0.2">
      <c r="X1467" s="176" t="str">
        <f t="shared" si="56"/>
        <v>1w</v>
      </c>
      <c r="Y1467" s="164">
        <f>_xll.qlCalendarAdvance(Calendar,Y1466,X1467,"f",FALSE)</f>
        <v>49361</v>
      </c>
      <c r="Z1467" s="188">
        <f>_xll.qlCalendarAdvance(Calendar,Y1467,NDays&amp;"D")</f>
        <v>49363</v>
      </c>
      <c r="AA1467" s="163">
        <v>1.0469919361838996E-2</v>
      </c>
      <c r="AB1467" s="172">
        <v>1.0473486673827637E-2</v>
      </c>
    </row>
    <row r="1468" spans="24:28" x14ac:dyDescent="0.2">
      <c r="X1468" s="176" t="str">
        <f t="shared" si="56"/>
        <v>1w</v>
      </c>
      <c r="Y1468" s="164">
        <f>_xll.qlCalendarAdvance(Calendar,Y1467,X1468,"f",FALSE)</f>
        <v>49368</v>
      </c>
      <c r="Z1468" s="188">
        <f>_xll.qlCalendarAdvance(Calendar,Y1468,NDays&amp;"D")</f>
        <v>49370</v>
      </c>
      <c r="AA1468" s="163">
        <v>1.046751709312487E-2</v>
      </c>
      <c r="AB1468" s="172">
        <v>1.0471023417695235E-2</v>
      </c>
    </row>
    <row r="1469" spans="24:28" x14ac:dyDescent="0.2">
      <c r="X1469" s="176" t="str">
        <f t="shared" si="56"/>
        <v>1w</v>
      </c>
      <c r="Y1469" s="164">
        <f>_xll.qlCalendarAdvance(Calendar,Y1468,X1469,"f",FALSE)</f>
        <v>49375</v>
      </c>
      <c r="Z1469" s="188">
        <f>_xll.qlCalendarAdvance(Calendar,Y1469,NDays&amp;"D")</f>
        <v>49377</v>
      </c>
      <c r="AA1469" s="163">
        <v>1.0465176961905256E-2</v>
      </c>
      <c r="AB1469" s="172">
        <v>1.0468556234757287E-2</v>
      </c>
    </row>
    <row r="1470" spans="24:28" x14ac:dyDescent="0.2">
      <c r="X1470" s="176" t="str">
        <f t="shared" si="56"/>
        <v>1w</v>
      </c>
      <c r="Y1470" s="164">
        <f>_xll.qlCalendarAdvance(Calendar,Y1469,X1470,"f",FALSE)</f>
        <v>49382</v>
      </c>
      <c r="Z1470" s="188">
        <f>_xll.qlCalendarAdvance(Calendar,Y1470,NDays&amp;"D")</f>
        <v>49384</v>
      </c>
      <c r="AA1470" s="163">
        <v>1.0462849625233335E-2</v>
      </c>
      <c r="AB1470" s="172">
        <v>1.0466085124987146E-2</v>
      </c>
    </row>
    <row r="1471" spans="24:28" x14ac:dyDescent="0.2">
      <c r="X1471" s="176" t="str">
        <f t="shared" si="56"/>
        <v>1w</v>
      </c>
      <c r="Y1471" s="164">
        <f>_xll.qlCalendarAdvance(Calendar,Y1470,X1471,"f",FALSE)</f>
        <v>49389</v>
      </c>
      <c r="Z1471" s="188">
        <f>_xll.qlCalendarAdvance(Calendar,Y1471,NDays&amp;"D")</f>
        <v>49395</v>
      </c>
      <c r="AA1471" s="163">
        <v>1.045922789537982E-2</v>
      </c>
      <c r="AB1471" s="172">
        <v>1.0462244191309367E-2</v>
      </c>
    </row>
    <row r="1472" spans="24:28" x14ac:dyDescent="0.2">
      <c r="X1472" s="176" t="str">
        <f t="shared" si="56"/>
        <v>1w</v>
      </c>
      <c r="Y1472" s="164">
        <f>_xll.qlCalendarAdvance(Calendar,Y1471,X1472,"f",FALSE)</f>
        <v>49396</v>
      </c>
      <c r="Z1472" s="188">
        <f>_xll.qlCalendarAdvance(Calendar,Y1472,NDays&amp;"D")</f>
        <v>49398</v>
      </c>
      <c r="AA1472" s="163">
        <v>1.0458259083863572E-2</v>
      </c>
      <c r="AB1472" s="172">
        <v>1.0461135077761696E-2</v>
      </c>
    </row>
    <row r="1473" spans="24:28" x14ac:dyDescent="0.2">
      <c r="X1473" s="176" t="str">
        <f t="shared" si="56"/>
        <v>1w</v>
      </c>
      <c r="Y1473" s="164">
        <f>_xll.qlCalendarAdvance(Calendar,Y1472,X1473,"f",FALSE)</f>
        <v>49403</v>
      </c>
      <c r="Z1473" s="188">
        <f>_xll.qlCalendarAdvance(Calendar,Y1473,NDays&amp;"D")</f>
        <v>49405</v>
      </c>
      <c r="AA1473" s="163">
        <v>1.0455951057587988E-2</v>
      </c>
      <c r="AB1473" s="172">
        <v>1.045867326876504E-2</v>
      </c>
    </row>
    <row r="1474" spans="24:28" x14ac:dyDescent="0.2">
      <c r="X1474" s="176" t="str">
        <f t="shared" si="56"/>
        <v>1w</v>
      </c>
      <c r="Y1474" s="164">
        <f>_xll.qlCalendarAdvance(Calendar,Y1473,X1474,"f",FALSE)</f>
        <v>49410</v>
      </c>
      <c r="Z1474" s="188">
        <f>_xll.qlCalendarAdvance(Calendar,Y1474,NDays&amp;"D")</f>
        <v>49412</v>
      </c>
      <c r="AA1474" s="163">
        <v>1.0453680581030954E-2</v>
      </c>
      <c r="AB1474" s="172">
        <v>1.0456225979034173E-2</v>
      </c>
    </row>
    <row r="1475" spans="24:28" x14ac:dyDescent="0.2">
      <c r="X1475" s="176" t="str">
        <f t="shared" si="56"/>
        <v>1w</v>
      </c>
      <c r="Y1475" s="164">
        <f>_xll.qlCalendarAdvance(Calendar,Y1474,X1475,"f",FALSE)</f>
        <v>49417</v>
      </c>
      <c r="Z1475" s="188">
        <f>_xll.qlCalendarAdvance(Calendar,Y1475,NDays&amp;"D")</f>
        <v>49419</v>
      </c>
      <c r="AA1475" s="163">
        <v>1.0451424703015969E-2</v>
      </c>
      <c r="AB1475" s="172">
        <v>1.0453793208569095E-2</v>
      </c>
    </row>
    <row r="1476" spans="24:28" x14ac:dyDescent="0.2">
      <c r="X1476" s="176" t="str">
        <f t="shared" si="56"/>
        <v>1w</v>
      </c>
      <c r="Y1476" s="164">
        <f>_xll.qlCalendarAdvance(Calendar,Y1475,X1476,"f",FALSE)</f>
        <v>49424</v>
      </c>
      <c r="Z1476" s="188">
        <f>_xll.qlCalendarAdvance(Calendar,Y1476,NDays&amp;"D")</f>
        <v>49426</v>
      </c>
      <c r="AA1476" s="163">
        <v>1.0449183423492915E-2</v>
      </c>
      <c r="AB1476" s="172">
        <v>1.0451374957289872E-2</v>
      </c>
    </row>
    <row r="1477" spans="24:28" x14ac:dyDescent="0.2">
      <c r="X1477" s="176" t="str">
        <f t="shared" si="56"/>
        <v>1w</v>
      </c>
      <c r="Y1477" s="164">
        <f>_xll.qlCalendarAdvance(Calendar,Y1476,X1477,"f",FALSE)</f>
        <v>49431</v>
      </c>
      <c r="Z1477" s="188">
        <f>_xll.qlCalendarAdvance(Calendar,Y1477,NDays&amp;"D")</f>
        <v>49433</v>
      </c>
      <c r="AA1477" s="163">
        <v>1.0446956742411233E-2</v>
      </c>
      <c r="AB1477" s="172">
        <v>1.0448971225329728E-2</v>
      </c>
    </row>
    <row r="1478" spans="24:28" x14ac:dyDescent="0.2">
      <c r="X1478" s="176" t="str">
        <f t="shared" si="56"/>
        <v>1w</v>
      </c>
      <c r="Y1478" s="164">
        <f>_xll.qlCalendarAdvance(Calendar,Y1477,X1478,"f",FALSE)</f>
        <v>49438</v>
      </c>
      <c r="Z1478" s="188">
        <f>_xll.qlCalendarAdvance(Calendar,Y1478,NDays&amp;"D")</f>
        <v>49440</v>
      </c>
      <c r="AA1478" s="163">
        <v>1.0444744659720806E-2</v>
      </c>
      <c r="AB1478" s="172">
        <v>1.0446582012528793E-2</v>
      </c>
    </row>
    <row r="1479" spans="24:28" x14ac:dyDescent="0.2">
      <c r="X1479" s="176" t="str">
        <f t="shared" si="56"/>
        <v>1w</v>
      </c>
      <c r="Y1479" s="164">
        <f>_xll.qlCalendarAdvance(Calendar,Y1478,X1479,"f",FALSE)</f>
        <v>49445</v>
      </c>
      <c r="Z1479" s="188">
        <f>_xll.qlCalendarAdvance(Calendar,Y1479,NDays&amp;"D")</f>
        <v>49447</v>
      </c>
      <c r="AA1479" s="163">
        <v>1.0442547175373237E-2</v>
      </c>
      <c r="AB1479" s="172">
        <v>1.0444207319073584E-2</v>
      </c>
    </row>
    <row r="1480" spans="24:28" x14ac:dyDescent="0.2">
      <c r="X1480" s="176" t="str">
        <f t="shared" si="56"/>
        <v>1w</v>
      </c>
      <c r="Y1480" s="164">
        <f>_xll.qlCalendarAdvance(Calendar,Y1479,X1480,"f",FALSE)</f>
        <v>49452</v>
      </c>
      <c r="Z1480" s="188">
        <f>_xll.qlCalendarAdvance(Calendar,Y1480,NDays&amp;"D")</f>
        <v>49454</v>
      </c>
      <c r="AA1480" s="163">
        <v>1.0440364289317973E-2</v>
      </c>
      <c r="AB1480" s="172">
        <v>1.0441847144804228E-2</v>
      </c>
    </row>
    <row r="1481" spans="24:28" x14ac:dyDescent="0.2">
      <c r="X1481" s="176" t="str">
        <f t="shared" si="56"/>
        <v>1w</v>
      </c>
      <c r="Y1481" s="164">
        <f>_xll.qlCalendarAdvance(Calendar,Y1480,X1481,"f",FALSE)</f>
        <v>49459</v>
      </c>
      <c r="Z1481" s="188">
        <f>_xll.qlCalendarAdvance(Calendar,Y1481,NDays&amp;"D")</f>
        <v>49461</v>
      </c>
      <c r="AA1481" s="163">
        <v>1.0438196001507052E-2</v>
      </c>
      <c r="AB1481" s="172">
        <v>1.0439501489800662E-2</v>
      </c>
    </row>
    <row r="1482" spans="24:28" x14ac:dyDescent="0.2">
      <c r="X1482" s="176" t="str">
        <f t="shared" si="56"/>
        <v>1w</v>
      </c>
      <c r="Y1482" s="164">
        <f>_xll.qlCalendarAdvance(Calendar,Y1481,X1482,"f",FALSE)</f>
        <v>49466</v>
      </c>
      <c r="Z1482" s="188">
        <f>_xll.qlCalendarAdvance(Calendar,Y1482,NDays&amp;"D")</f>
        <v>49468</v>
      </c>
      <c r="AA1482" s="163">
        <v>1.0436042311891216E-2</v>
      </c>
      <c r="AB1482" s="172">
        <v>1.0437170354009595E-2</v>
      </c>
    </row>
    <row r="1483" spans="24:28" x14ac:dyDescent="0.2">
      <c r="X1483" s="176" t="str">
        <f t="shared" si="56"/>
        <v>1w</v>
      </c>
      <c r="Y1483" s="164">
        <f>_xll.qlCalendarAdvance(Calendar,Y1482,X1483,"f",FALSE)</f>
        <v>49473</v>
      </c>
      <c r="Z1483" s="188">
        <f>_xll.qlCalendarAdvance(Calendar,Y1483,NDays&amp;"D")</f>
        <v>49475</v>
      </c>
      <c r="AA1483" s="163">
        <v>1.0433903220423367E-2</v>
      </c>
      <c r="AB1483" s="172">
        <v>1.0434853737484318E-2</v>
      </c>
    </row>
    <row r="1484" spans="24:28" x14ac:dyDescent="0.2">
      <c r="X1484" s="176" t="str">
        <f t="shared" si="56"/>
        <v>1w</v>
      </c>
      <c r="Y1484" s="164">
        <f>_xll.qlCalendarAdvance(Calendar,Y1483,X1484,"f",FALSE)</f>
        <v>49480</v>
      </c>
      <c r="Z1484" s="188">
        <f>_xll.qlCalendarAdvance(Calendar,Y1484,NDays&amp;"D")</f>
        <v>49482</v>
      </c>
      <c r="AA1484" s="163">
        <v>1.0431778727054248E-2</v>
      </c>
      <c r="AB1484" s="172">
        <v>1.0432551640171539E-2</v>
      </c>
    </row>
    <row r="1485" spans="24:28" x14ac:dyDescent="0.2">
      <c r="X1485" s="176" t="str">
        <f t="shared" si="56"/>
        <v>1w</v>
      </c>
      <c r="Y1485" s="164">
        <f>_xll.qlCalendarAdvance(Calendar,Y1484,X1485,"f",FALSE)</f>
        <v>49487</v>
      </c>
      <c r="Z1485" s="188">
        <f>_xll.qlCalendarAdvance(Calendar,Y1485,NDays&amp;"D")</f>
        <v>49489</v>
      </c>
      <c r="AA1485" s="163">
        <v>1.0429668831737626E-2</v>
      </c>
      <c r="AB1485" s="172">
        <v>1.043026406212455E-2</v>
      </c>
    </row>
    <row r="1486" spans="24:28" x14ac:dyDescent="0.2">
      <c r="X1486" s="176" t="str">
        <f t="shared" si="56"/>
        <v>1w</v>
      </c>
      <c r="Y1486" s="164">
        <f>_xll.qlCalendarAdvance(Calendar,Y1485,X1486,"f",FALSE)</f>
        <v>49494</v>
      </c>
      <c r="Z1486" s="188">
        <f>_xll.qlCalendarAdvance(Calendar,Y1486,NDays&amp;"D")</f>
        <v>49496</v>
      </c>
      <c r="AA1486" s="163">
        <v>1.0427573534425539E-2</v>
      </c>
      <c r="AB1486" s="172">
        <v>1.0427991003316706E-2</v>
      </c>
    </row>
    <row r="1487" spans="24:28" x14ac:dyDescent="0.2">
      <c r="X1487" s="176" t="str">
        <f t="shared" si="56"/>
        <v>1w</v>
      </c>
      <c r="Y1487" s="164">
        <f>_xll.qlCalendarAdvance(Calendar,Y1486,X1487,"f",FALSE)</f>
        <v>49501</v>
      </c>
      <c r="Z1487" s="188">
        <f>_xll.qlCalendarAdvance(Calendar,Y1487,NDays&amp;"D")</f>
        <v>49503</v>
      </c>
      <c r="AA1487" s="163">
        <v>1.0425492835071321E-2</v>
      </c>
      <c r="AB1487" s="172">
        <v>1.0425732463748005E-2</v>
      </c>
    </row>
    <row r="1488" spans="24:28" x14ac:dyDescent="0.2">
      <c r="X1488" s="176" t="str">
        <f t="shared" si="56"/>
        <v>1w</v>
      </c>
      <c r="Y1488" s="164">
        <f>_xll.qlCalendarAdvance(Calendar,Y1487,X1488,"f",FALSE)</f>
        <v>49508</v>
      </c>
      <c r="Z1488" s="188">
        <f>_xll.qlCalendarAdvance(Calendar,Y1488,NDays&amp;"D")</f>
        <v>49510</v>
      </c>
      <c r="AA1488" s="163">
        <v>1.0423426733627875E-2</v>
      </c>
      <c r="AB1488" s="172">
        <v>1.0423488443391804E-2</v>
      </c>
    </row>
    <row r="1489" spans="24:28" x14ac:dyDescent="0.2">
      <c r="X1489" s="176" t="str">
        <f t="shared" si="56"/>
        <v>1w</v>
      </c>
      <c r="Y1489" s="164">
        <f>_xll.qlCalendarAdvance(Calendar,Y1488,X1489,"f",FALSE)</f>
        <v>49515</v>
      </c>
      <c r="Z1489" s="188">
        <f>_xll.qlCalendarAdvance(Calendar,Y1489,NDays&amp;"D")</f>
        <v>49517</v>
      </c>
      <c r="AA1489" s="163">
        <v>1.0421375230049833E-2</v>
      </c>
      <c r="AB1489" s="172">
        <v>1.0421258942274747E-2</v>
      </c>
    </row>
    <row r="1490" spans="24:28" x14ac:dyDescent="0.2">
      <c r="X1490" s="176" t="str">
        <f t="shared" si="56"/>
        <v>1w</v>
      </c>
      <c r="Y1490" s="164">
        <f>_xll.qlCalendarAdvance(Calendar,Y1489,X1490,"f",FALSE)</f>
        <v>49522</v>
      </c>
      <c r="Z1490" s="188">
        <f>_xll.qlCalendarAdvance(Calendar,Y1490,NDays&amp;"D")</f>
        <v>49524</v>
      </c>
      <c r="AA1490" s="163">
        <v>1.0419338324290961E-2</v>
      </c>
      <c r="AB1490" s="172">
        <v>1.0419043960396834E-2</v>
      </c>
    </row>
    <row r="1491" spans="24:28" x14ac:dyDescent="0.2">
      <c r="X1491" s="176" t="str">
        <f t="shared" si="56"/>
        <v>1w</v>
      </c>
      <c r="Y1491" s="164">
        <f>_xll.qlCalendarAdvance(Calendar,Y1490,X1491,"f",FALSE)</f>
        <v>49529</v>
      </c>
      <c r="Z1491" s="188">
        <f>_xll.qlCalendarAdvance(Calendar,Y1491,NDays&amp;"D")</f>
        <v>49531</v>
      </c>
      <c r="AA1491" s="163">
        <v>1.0417316016305456E-2</v>
      </c>
      <c r="AB1491" s="172">
        <v>1.0416843497784711E-2</v>
      </c>
    </row>
    <row r="1492" spans="24:28" x14ac:dyDescent="0.2">
      <c r="X1492" s="176" t="str">
        <f t="shared" si="56"/>
        <v>1w</v>
      </c>
      <c r="Y1492" s="164">
        <f>_xll.qlCalendarAdvance(Calendar,Y1491,X1492,"f",FALSE)</f>
        <v>49536</v>
      </c>
      <c r="Z1492" s="188">
        <f>_xll.qlCalendarAdvance(Calendar,Y1492,NDays&amp;"D")</f>
        <v>49538</v>
      </c>
      <c r="AA1492" s="163">
        <v>1.0415308306047519E-2</v>
      </c>
      <c r="AB1492" s="172">
        <v>1.0414657554385087E-2</v>
      </c>
    </row>
    <row r="1493" spans="24:28" x14ac:dyDescent="0.2">
      <c r="X1493" s="176" t="str">
        <f t="shared" ref="X1493:X1556" si="57">X1492</f>
        <v>1w</v>
      </c>
      <c r="Y1493" s="164">
        <f>_xll.qlCalendarAdvance(Calendar,Y1492,X1493,"f",FALSE)</f>
        <v>49543</v>
      </c>
      <c r="Z1493" s="188">
        <f>_xll.qlCalendarAdvance(Calendar,Y1493,NDays&amp;"D")</f>
        <v>49545</v>
      </c>
      <c r="AA1493" s="163">
        <v>1.0413315193473075E-2</v>
      </c>
      <c r="AB1493" s="172">
        <v>1.0412486130197962E-2</v>
      </c>
    </row>
    <row r="1494" spans="24:28" x14ac:dyDescent="0.2">
      <c r="X1494" s="176" t="str">
        <f t="shared" si="57"/>
        <v>1w</v>
      </c>
      <c r="Y1494" s="164">
        <f>_xll.qlCalendarAdvance(Calendar,Y1493,X1494,"f",FALSE)</f>
        <v>49550</v>
      </c>
      <c r="Z1494" s="188">
        <f>_xll.qlCalendarAdvance(Calendar,Y1494,NDays&amp;"D")</f>
        <v>49552</v>
      </c>
      <c r="AA1494" s="163">
        <v>1.041129488360824E-2</v>
      </c>
      <c r="AB1494" s="172">
        <v>1.0410329225276627E-2</v>
      </c>
    </row>
    <row r="1495" spans="24:28" x14ac:dyDescent="0.2">
      <c r="X1495" s="176" t="str">
        <f t="shared" si="57"/>
        <v>1w</v>
      </c>
      <c r="Y1495" s="164">
        <f>_xll.qlCalendarAdvance(Calendar,Y1494,X1495,"f",FALSE)</f>
        <v>49557</v>
      </c>
      <c r="Z1495" s="188">
        <f>_xll.qlCalendarAdvance(Calendar,Y1495,NDays&amp;"D")</f>
        <v>49559</v>
      </c>
      <c r="AA1495" s="163">
        <v>1.0409328008419805E-2</v>
      </c>
      <c r="AB1495" s="172">
        <v>1.040818683956779E-2</v>
      </c>
    </row>
    <row r="1496" spans="24:28" x14ac:dyDescent="0.2">
      <c r="X1496" s="176" t="str">
        <f t="shared" si="57"/>
        <v>1w</v>
      </c>
      <c r="Y1496" s="164">
        <f>_xll.qlCalendarAdvance(Calendar,Y1495,X1496,"f",FALSE)</f>
        <v>49564</v>
      </c>
      <c r="Z1496" s="188">
        <f>_xll.qlCalendarAdvance(Calendar,Y1496,NDays&amp;"D")</f>
        <v>49566</v>
      </c>
      <c r="AA1496" s="163">
        <v>1.0407375729496229E-2</v>
      </c>
      <c r="AB1496" s="172">
        <v>1.0406058973071453E-2</v>
      </c>
    </row>
    <row r="1497" spans="24:28" x14ac:dyDescent="0.2">
      <c r="X1497" s="176" t="str">
        <f t="shared" si="57"/>
        <v>1w</v>
      </c>
      <c r="Y1497" s="164">
        <f>_xll.qlCalendarAdvance(Calendar,Y1496,X1497,"f",FALSE)</f>
        <v>49571</v>
      </c>
      <c r="Z1497" s="188">
        <f>_xll.qlCalendarAdvance(Calendar,Y1497,NDays&amp;"D")</f>
        <v>49573</v>
      </c>
      <c r="AA1497" s="163">
        <v>1.0405438046794904E-2</v>
      </c>
      <c r="AB1497" s="172">
        <v>1.0403945625840905E-2</v>
      </c>
    </row>
    <row r="1498" spans="24:28" x14ac:dyDescent="0.2">
      <c r="X1498" s="176" t="str">
        <f t="shared" si="57"/>
        <v>1w</v>
      </c>
      <c r="Y1498" s="164">
        <f>_xll.qlCalendarAdvance(Calendar,Y1497,X1498,"f",FALSE)</f>
        <v>49578</v>
      </c>
      <c r="Z1498" s="188">
        <f>_xll.qlCalendarAdvance(Calendar,Y1498,NDays&amp;"D")</f>
        <v>49580</v>
      </c>
      <c r="AA1498" s="163">
        <v>1.0403568594299927E-2</v>
      </c>
      <c r="AB1498" s="172">
        <v>1.040184679779621E-2</v>
      </c>
    </row>
    <row r="1499" spans="24:28" x14ac:dyDescent="0.2">
      <c r="X1499" s="176" t="str">
        <f t="shared" si="57"/>
        <v>1w</v>
      </c>
      <c r="Y1499" s="164">
        <f>_xll.qlCalendarAdvance(Calendar,Y1498,X1499,"f",FALSE)</f>
        <v>49585</v>
      </c>
      <c r="Z1499" s="188">
        <f>_xll.qlCalendarAdvance(Calendar,Y1499,NDays&amp;"D")</f>
        <v>49587</v>
      </c>
      <c r="AA1499" s="163">
        <v>1.0401663066900057E-2</v>
      </c>
      <c r="AB1499" s="172">
        <v>1.0399762489017306E-2</v>
      </c>
    </row>
    <row r="1500" spans="24:28" x14ac:dyDescent="0.2">
      <c r="X1500" s="176" t="str">
        <f t="shared" si="57"/>
        <v>1w</v>
      </c>
      <c r="Y1500" s="164">
        <f>_xll.qlCalendarAdvance(Calendar,Y1499,X1500,"f",FALSE)</f>
        <v>49592</v>
      </c>
      <c r="Z1500" s="188">
        <f>_xll.qlCalendarAdvance(Calendar,Y1500,NDays&amp;"D")</f>
        <v>49594</v>
      </c>
      <c r="AA1500" s="163">
        <v>1.0399792180008475E-2</v>
      </c>
      <c r="AB1500" s="172">
        <v>1.03976926994509E-2</v>
      </c>
    </row>
    <row r="1501" spans="24:28" x14ac:dyDescent="0.2">
      <c r="X1501" s="176" t="str">
        <f t="shared" si="57"/>
        <v>1w</v>
      </c>
      <c r="Y1501" s="164">
        <f>_xll.qlCalendarAdvance(Calendar,Y1500,X1501,"f",FALSE)</f>
        <v>49599</v>
      </c>
      <c r="Z1501" s="188">
        <f>_xll.qlCalendarAdvance(Calendar,Y1501,NDays&amp;"D")</f>
        <v>49601</v>
      </c>
      <c r="AA1501" s="163">
        <v>1.0397895804190703E-2</v>
      </c>
      <c r="AB1501" s="172">
        <v>1.0395637429123639E-2</v>
      </c>
    </row>
    <row r="1502" spans="24:28" x14ac:dyDescent="0.2">
      <c r="X1502" s="176" t="str">
        <f t="shared" si="57"/>
        <v>1w</v>
      </c>
      <c r="Y1502" s="164">
        <f>_xll.qlCalendarAdvance(Calendar,Y1501,X1502,"f",FALSE)</f>
        <v>49606</v>
      </c>
      <c r="Z1502" s="188">
        <f>_xll.qlCalendarAdvance(Calendar,Y1502,NDays&amp;"D")</f>
        <v>49608</v>
      </c>
      <c r="AA1502" s="163">
        <v>1.0396034068796961E-2</v>
      </c>
      <c r="AB1502" s="172">
        <v>1.0393596678035522E-2</v>
      </c>
    </row>
    <row r="1503" spans="24:28" x14ac:dyDescent="0.2">
      <c r="X1503" s="176" t="str">
        <f t="shared" si="57"/>
        <v>1w</v>
      </c>
      <c r="Y1503" s="164">
        <f>_xll.qlCalendarAdvance(Calendar,Y1502,X1503,"f",FALSE)</f>
        <v>49613</v>
      </c>
      <c r="Z1503" s="188">
        <f>_xll.qlCalendarAdvance(Calendar,Y1503,NDays&amp;"D")</f>
        <v>49615</v>
      </c>
      <c r="AA1503" s="163">
        <v>1.0394118468880779E-2</v>
      </c>
      <c r="AB1503" s="172">
        <v>1.0391570446133258E-2</v>
      </c>
    </row>
    <row r="1504" spans="24:28" x14ac:dyDescent="0.2">
      <c r="X1504" s="176" t="str">
        <f t="shared" si="57"/>
        <v>1w</v>
      </c>
      <c r="Y1504" s="164">
        <f>_xll.qlCalendarAdvance(Calendar,Y1503,X1504,"f",FALSE)</f>
        <v>49620</v>
      </c>
      <c r="Z1504" s="188">
        <f>_xll.qlCalendarAdvance(Calendar,Y1504,NDays&amp;"D")</f>
        <v>49622</v>
      </c>
      <c r="AA1504" s="163">
        <v>1.0392282958556825E-2</v>
      </c>
      <c r="AB1504" s="172">
        <v>1.0389558733470139E-2</v>
      </c>
    </row>
    <row r="1505" spans="24:28" x14ac:dyDescent="0.2">
      <c r="X1505" s="176" t="str">
        <f t="shared" si="57"/>
        <v>1w</v>
      </c>
      <c r="Y1505" s="164">
        <f>_xll.qlCalendarAdvance(Calendar,Y1504,X1505,"f",FALSE)</f>
        <v>49627</v>
      </c>
      <c r="Z1505" s="188">
        <f>_xll.qlCalendarAdvance(Calendar,Y1505,NDays&amp;"D")</f>
        <v>49629</v>
      </c>
      <c r="AA1505" s="163">
        <v>1.0390462044121767E-2</v>
      </c>
      <c r="AB1505" s="172">
        <v>1.0387561540019519E-2</v>
      </c>
    </row>
    <row r="1506" spans="24:28" x14ac:dyDescent="0.2">
      <c r="X1506" s="176" t="str">
        <f t="shared" si="57"/>
        <v>1w</v>
      </c>
      <c r="Y1506" s="164">
        <f>_xll.qlCalendarAdvance(Calendar,Y1505,X1506,"f",FALSE)</f>
        <v>49634</v>
      </c>
      <c r="Z1506" s="188">
        <f>_xll.qlCalendarAdvance(Calendar,Y1506,NDays&amp;"D")</f>
        <v>49636</v>
      </c>
      <c r="AA1506" s="163">
        <v>1.0388655725536509E-2</v>
      </c>
      <c r="AB1506" s="172">
        <v>1.0385578865808043E-2</v>
      </c>
    </row>
    <row r="1507" spans="24:28" x14ac:dyDescent="0.2">
      <c r="X1507" s="176" t="str">
        <f t="shared" si="57"/>
        <v>1w</v>
      </c>
      <c r="Y1507" s="164">
        <f>_xll.qlCalendarAdvance(Calendar,Y1506,X1507,"f",FALSE)</f>
        <v>49641</v>
      </c>
      <c r="Z1507" s="188">
        <f>_xll.qlCalendarAdvance(Calendar,Y1507,NDays&amp;"D")</f>
        <v>49643</v>
      </c>
      <c r="AA1507" s="163">
        <v>1.038686400276065E-2</v>
      </c>
      <c r="AB1507" s="172">
        <v>1.0383610710809066E-2</v>
      </c>
    </row>
    <row r="1508" spans="24:28" x14ac:dyDescent="0.2">
      <c r="X1508" s="176" t="str">
        <f t="shared" si="57"/>
        <v>1w</v>
      </c>
      <c r="Y1508" s="164">
        <f>_xll.qlCalendarAdvance(Calendar,Y1507,X1508,"f",FALSE)</f>
        <v>49648</v>
      </c>
      <c r="Z1508" s="188">
        <f>_xll.qlCalendarAdvance(Calendar,Y1508,NDays&amp;"D")</f>
        <v>49650</v>
      </c>
      <c r="AA1508" s="163">
        <v>1.0385170197289054E-2</v>
      </c>
      <c r="AB1508" s="172">
        <v>1.0381657075049233E-2</v>
      </c>
    </row>
    <row r="1509" spans="24:28" x14ac:dyDescent="0.2">
      <c r="X1509" s="176" t="str">
        <f t="shared" si="57"/>
        <v>1w</v>
      </c>
      <c r="Y1509" s="164">
        <f>_xll.qlCalendarAdvance(Calendar,Y1508,X1509,"f",FALSE)</f>
        <v>49655</v>
      </c>
      <c r="Z1509" s="188">
        <f>_xll.qlCalendarAdvance(Calendar,Y1509,NDays&amp;"D")</f>
        <v>49657</v>
      </c>
      <c r="AA1509" s="163">
        <v>1.0383410641801795E-2</v>
      </c>
      <c r="AB1509" s="172">
        <v>1.0379717958501899E-2</v>
      </c>
    </row>
    <row r="1510" spans="24:28" x14ac:dyDescent="0.2">
      <c r="X1510" s="176" t="str">
        <f t="shared" si="57"/>
        <v>1w</v>
      </c>
      <c r="Y1510" s="164">
        <f>_xll.qlCalendarAdvance(Calendar,Y1509,X1510,"f",FALSE)</f>
        <v>49662</v>
      </c>
      <c r="Z1510" s="188">
        <f>_xll.qlCalendarAdvance(Calendar,Y1510,NDays&amp;"D")</f>
        <v>49664</v>
      </c>
      <c r="AA1510" s="163">
        <v>1.0381665683283792E-2</v>
      </c>
      <c r="AB1510" s="172">
        <v>1.0377793361167065E-2</v>
      </c>
    </row>
    <row r="1511" spans="24:28" x14ac:dyDescent="0.2">
      <c r="X1511" s="176" t="str">
        <f t="shared" si="57"/>
        <v>1w</v>
      </c>
      <c r="Y1511" s="164">
        <f>_xll.qlCalendarAdvance(Calendar,Y1510,X1511,"f",FALSE)</f>
        <v>49670</v>
      </c>
      <c r="Z1511" s="188">
        <f>_xll.qlCalendarAdvance(Calendar,Y1511,NDays&amp;"D")</f>
        <v>49674</v>
      </c>
      <c r="AA1511" s="163">
        <v>1.0379104677051661E-2</v>
      </c>
      <c r="AB1511" s="172">
        <v>1.0375055068228001E-2</v>
      </c>
    </row>
    <row r="1512" spans="24:28" x14ac:dyDescent="0.2">
      <c r="X1512" s="176" t="str">
        <f t="shared" si="57"/>
        <v>1w</v>
      </c>
      <c r="Y1512" s="164">
        <f>_xll.qlCalendarAdvance(Calendar,Y1511,X1512,"f",FALSE)</f>
        <v>49677</v>
      </c>
      <c r="Z1512" s="188">
        <f>_xll.qlCalendarAdvance(Calendar,Y1512,NDays&amp;"D")</f>
        <v>49681</v>
      </c>
      <c r="AA1512" s="163">
        <v>1.0377392187992532E-2</v>
      </c>
      <c r="AB1512" s="172">
        <v>1.0373149805920079E-2</v>
      </c>
    </row>
    <row r="1513" spans="24:28" x14ac:dyDescent="0.2">
      <c r="X1513" s="176" t="str">
        <f t="shared" si="57"/>
        <v>1w</v>
      </c>
      <c r="Y1513" s="164">
        <f>_xll.qlCalendarAdvance(Calendar,Y1512,X1513,"f",FALSE)</f>
        <v>49684</v>
      </c>
      <c r="Z1513" s="188">
        <f>_xll.qlCalendarAdvance(Calendar,Y1513,NDays&amp;"D")</f>
        <v>49688</v>
      </c>
      <c r="AA1513" s="163">
        <v>1.0375694294494206E-2</v>
      </c>
      <c r="AB1513" s="172">
        <v>1.0371273022791172E-2</v>
      </c>
    </row>
    <row r="1514" spans="24:28" x14ac:dyDescent="0.2">
      <c r="X1514" s="176" t="str">
        <f t="shared" si="57"/>
        <v>1w</v>
      </c>
      <c r="Y1514" s="164">
        <f>_xll.qlCalendarAdvance(Calendar,Y1513,X1514,"f",FALSE)</f>
        <v>49691</v>
      </c>
      <c r="Z1514" s="188">
        <f>_xll.qlCalendarAdvance(Calendar,Y1514,NDays&amp;"D")</f>
        <v>49695</v>
      </c>
      <c r="AA1514" s="163">
        <v>1.0374010996521108E-2</v>
      </c>
      <c r="AB1514" s="172">
        <v>1.0369410757968822E-2</v>
      </c>
    </row>
    <row r="1515" spans="24:28" x14ac:dyDescent="0.2">
      <c r="X1515" s="176" t="str">
        <f t="shared" si="57"/>
        <v>1w</v>
      </c>
      <c r="Y1515" s="164">
        <f>_xll.qlCalendarAdvance(Calendar,Y1514,X1515,"f",FALSE)</f>
        <v>49698</v>
      </c>
      <c r="Z1515" s="188">
        <f>_xll.qlCalendarAdvance(Calendar,Y1515,NDays&amp;"D")</f>
        <v>49702</v>
      </c>
      <c r="AA1515" s="163">
        <v>1.0372342294034588E-2</v>
      </c>
      <c r="AB1515" s="172">
        <v>1.0367563011532965E-2</v>
      </c>
    </row>
    <row r="1516" spans="24:28" x14ac:dyDescent="0.2">
      <c r="X1516" s="176" t="str">
        <f t="shared" si="57"/>
        <v>1w</v>
      </c>
      <c r="Y1516" s="164">
        <f>_xll.qlCalendarAdvance(Calendar,Y1515,X1516,"f",FALSE)</f>
        <v>49705</v>
      </c>
      <c r="Z1516" s="188">
        <f>_xll.qlCalendarAdvance(Calendar,Y1516,NDays&amp;"D")</f>
        <v>49709</v>
      </c>
      <c r="AA1516" s="163">
        <v>1.037068818699907E-2</v>
      </c>
      <c r="AB1516" s="172">
        <v>1.0365729783403665E-2</v>
      </c>
    </row>
    <row r="1517" spans="24:28" x14ac:dyDescent="0.2">
      <c r="X1517" s="176" t="str">
        <f t="shared" si="57"/>
        <v>1w</v>
      </c>
      <c r="Y1517" s="164">
        <f>_xll.qlCalendarAdvance(Calendar,Y1516,X1517,"f",FALSE)</f>
        <v>49712</v>
      </c>
      <c r="Z1517" s="188">
        <f>_xll.qlCalendarAdvance(Calendar,Y1517,NDays&amp;"D")</f>
        <v>49716</v>
      </c>
      <c r="AA1517" s="163">
        <v>1.036904867537722E-2</v>
      </c>
      <c r="AB1517" s="172">
        <v>1.0363911073660859E-2</v>
      </c>
    </row>
    <row r="1518" spans="24:28" x14ac:dyDescent="0.2">
      <c r="X1518" s="176" t="str">
        <f t="shared" si="57"/>
        <v>1w</v>
      </c>
      <c r="Y1518" s="164">
        <f>_xll.qlCalendarAdvance(Calendar,Y1517,X1518,"f",FALSE)</f>
        <v>49719</v>
      </c>
      <c r="Z1518" s="188">
        <f>_xll.qlCalendarAdvance(Calendar,Y1518,NDays&amp;"D")</f>
        <v>49723</v>
      </c>
      <c r="AA1518" s="163">
        <v>1.0367423759133904E-2</v>
      </c>
      <c r="AB1518" s="172">
        <v>1.0362106882304545E-2</v>
      </c>
    </row>
    <row r="1519" spans="24:28" x14ac:dyDescent="0.2">
      <c r="X1519" s="176" t="str">
        <f t="shared" si="57"/>
        <v>1w</v>
      </c>
      <c r="Y1519" s="164">
        <f>_xll.qlCalendarAdvance(Calendar,Y1518,X1519,"f",FALSE)</f>
        <v>49726</v>
      </c>
      <c r="Z1519" s="188">
        <f>_xll.qlCalendarAdvance(Calendar,Y1519,NDays&amp;"D")</f>
        <v>49730</v>
      </c>
      <c r="AA1519" s="163">
        <v>1.0365813438232225E-2</v>
      </c>
      <c r="AB1519" s="172">
        <v>1.0360317209334724E-2</v>
      </c>
    </row>
    <row r="1520" spans="24:28" x14ac:dyDescent="0.2">
      <c r="X1520" s="176" t="str">
        <f t="shared" si="57"/>
        <v>1w</v>
      </c>
      <c r="Y1520" s="164">
        <f>_xll.qlCalendarAdvance(Calendar,Y1519,X1520,"f",FALSE)</f>
        <v>49733</v>
      </c>
      <c r="Z1520" s="188">
        <f>_xll.qlCalendarAdvance(Calendar,Y1520,NDays&amp;"D")</f>
        <v>49737</v>
      </c>
      <c r="AA1520" s="163">
        <v>1.0364297881315028E-2</v>
      </c>
      <c r="AB1520" s="172">
        <v>1.035854205467146E-2</v>
      </c>
    </row>
    <row r="1521" spans="24:28" x14ac:dyDescent="0.2">
      <c r="X1521" s="176" t="str">
        <f t="shared" si="57"/>
        <v>1w</v>
      </c>
      <c r="Y1521" s="164">
        <f>_xll.qlCalendarAdvance(Calendar,Y1520,X1521,"f",FALSE)</f>
        <v>49740</v>
      </c>
      <c r="Z1521" s="188">
        <f>_xll.qlCalendarAdvance(Calendar,Y1521,NDays&amp;"D")</f>
        <v>49744</v>
      </c>
      <c r="AA1521" s="163">
        <v>1.0362718745344779E-2</v>
      </c>
      <c r="AB1521" s="172">
        <v>1.0356781418394689E-2</v>
      </c>
    </row>
    <row r="1522" spans="24:28" x14ac:dyDescent="0.2">
      <c r="X1522" s="176" t="str">
        <f t="shared" si="57"/>
        <v>1w</v>
      </c>
      <c r="Y1522" s="164">
        <f>_xll.qlCalendarAdvance(Calendar,Y1521,X1522,"f",FALSE)</f>
        <v>49747</v>
      </c>
      <c r="Z1522" s="188">
        <f>_xll.qlCalendarAdvance(Calendar,Y1522,NDays&amp;"D")</f>
        <v>49751</v>
      </c>
      <c r="AA1522" s="163">
        <v>1.036115420545757E-2</v>
      </c>
      <c r="AB1522" s="172">
        <v>1.0355035300424476E-2</v>
      </c>
    </row>
    <row r="1523" spans="24:28" x14ac:dyDescent="0.2">
      <c r="X1523" s="176" t="str">
        <f t="shared" si="57"/>
        <v>1w</v>
      </c>
      <c r="Y1523" s="164">
        <f>_xll.qlCalendarAdvance(Calendar,Y1522,X1523,"f",FALSE)</f>
        <v>49754</v>
      </c>
      <c r="Z1523" s="188">
        <f>_xll.qlCalendarAdvance(Calendar,Y1523,NDays&amp;"D")</f>
        <v>49758</v>
      </c>
      <c r="AA1523" s="163">
        <v>1.0359604261619948E-2</v>
      </c>
      <c r="AB1523" s="172">
        <v>1.0353303700920691E-2</v>
      </c>
    </row>
    <row r="1524" spans="24:28" x14ac:dyDescent="0.2">
      <c r="X1524" s="176" t="str">
        <f t="shared" si="57"/>
        <v>1w</v>
      </c>
      <c r="Y1524" s="164">
        <f>_xll.qlCalendarAdvance(Calendar,Y1523,X1524,"f",FALSE)</f>
        <v>49761</v>
      </c>
      <c r="Z1524" s="188">
        <f>_xll.qlCalendarAdvance(Calendar,Y1524,NDays&amp;"D")</f>
        <v>49765</v>
      </c>
      <c r="AA1524" s="163">
        <v>1.0358024790149972E-2</v>
      </c>
      <c r="AB1524" s="172">
        <v>1.0351586619643527E-2</v>
      </c>
    </row>
    <row r="1525" spans="24:28" x14ac:dyDescent="0.2">
      <c r="X1525" s="176" t="str">
        <f t="shared" si="57"/>
        <v>1w</v>
      </c>
      <c r="Y1525" s="164">
        <f>_xll.qlCalendarAdvance(Calendar,Y1524,X1525,"f",FALSE)</f>
        <v>49768</v>
      </c>
      <c r="Z1525" s="188">
        <f>_xll.qlCalendarAdvance(Calendar,Y1525,NDays&amp;"D")</f>
        <v>49772</v>
      </c>
      <c r="AA1525" s="163">
        <v>1.0356503039408379E-2</v>
      </c>
      <c r="AB1525" s="172">
        <v>1.0349884056832792E-2</v>
      </c>
    </row>
    <row r="1526" spans="24:28" x14ac:dyDescent="0.2">
      <c r="X1526" s="176" t="str">
        <f t="shared" si="57"/>
        <v>1w</v>
      </c>
      <c r="Y1526" s="164">
        <f>_xll.qlCalendarAdvance(Calendar,Y1525,X1526,"f",FALSE)</f>
        <v>49775</v>
      </c>
      <c r="Z1526" s="188">
        <f>_xll.qlCalendarAdvance(Calendar,Y1526,NDays&amp;"D")</f>
        <v>49781</v>
      </c>
      <c r="AA1526" s="163">
        <v>1.0354567949218872E-2</v>
      </c>
      <c r="AB1526" s="172">
        <v>1.0347716380554317E-2</v>
      </c>
    </row>
    <row r="1527" spans="24:28" x14ac:dyDescent="0.2">
      <c r="X1527" s="176" t="str">
        <f t="shared" si="57"/>
        <v>1w</v>
      </c>
      <c r="Y1527" s="164">
        <f>_xll.qlCalendarAdvance(Calendar,Y1526,X1527,"f",FALSE)</f>
        <v>49782</v>
      </c>
      <c r="Z1527" s="188">
        <f>_xll.qlCalendarAdvance(Calendar,Y1527,NDays&amp;"D")</f>
        <v>49786</v>
      </c>
      <c r="AA1527" s="163">
        <v>1.0353503324461558E-2</v>
      </c>
      <c r="AB1527" s="172">
        <v>1.034652248621093E-2</v>
      </c>
    </row>
    <row r="1528" spans="24:28" x14ac:dyDescent="0.2">
      <c r="X1528" s="176" t="str">
        <f t="shared" si="57"/>
        <v>1w</v>
      </c>
      <c r="Y1528" s="164">
        <f>_xll.qlCalendarAdvance(Calendar,Y1527,X1528,"f",FALSE)</f>
        <v>49789</v>
      </c>
      <c r="Z1528" s="188">
        <f>_xll.qlCalendarAdvance(Calendar,Y1528,NDays&amp;"D")</f>
        <v>49793</v>
      </c>
      <c r="AA1528" s="163">
        <v>1.0352025360190371E-2</v>
      </c>
      <c r="AB1528" s="172">
        <v>1.0344863478399802E-2</v>
      </c>
    </row>
    <row r="1529" spans="24:28" x14ac:dyDescent="0.2">
      <c r="X1529" s="176" t="str">
        <f t="shared" si="57"/>
        <v>1w</v>
      </c>
      <c r="Y1529" s="164">
        <f>_xll.qlCalendarAdvance(Calendar,Y1528,X1529,"f",FALSE)</f>
        <v>49797</v>
      </c>
      <c r="Z1529" s="188">
        <f>_xll.qlCalendarAdvance(Calendar,Y1529,NDays&amp;"D")</f>
        <v>49801</v>
      </c>
      <c r="AA1529" s="163">
        <v>1.0350403395453596E-2</v>
      </c>
      <c r="AB1529" s="172">
        <v>1.0342985247149272E-2</v>
      </c>
    </row>
    <row r="1530" spans="24:28" x14ac:dyDescent="0.2">
      <c r="X1530" s="176" t="str">
        <f t="shared" si="57"/>
        <v>1w</v>
      </c>
      <c r="Y1530" s="164">
        <f>_xll.qlCalendarAdvance(Calendar,Y1529,X1530,"f",FALSE)</f>
        <v>49804</v>
      </c>
      <c r="Z1530" s="188">
        <f>_xll.qlCalendarAdvance(Calendar,Y1530,NDays&amp;"D")</f>
        <v>49808</v>
      </c>
      <c r="AA1530" s="163">
        <v>1.0348957708122879E-2</v>
      </c>
      <c r="AB1530" s="172">
        <v>1.0341357350052149E-2</v>
      </c>
    </row>
    <row r="1531" spans="24:28" x14ac:dyDescent="0.2">
      <c r="X1531" s="176" t="str">
        <f t="shared" si="57"/>
        <v>1w</v>
      </c>
      <c r="Y1531" s="164">
        <f>_xll.qlCalendarAdvance(Calendar,Y1530,X1531,"f",FALSE)</f>
        <v>49811</v>
      </c>
      <c r="Z1531" s="188">
        <f>_xll.qlCalendarAdvance(Calendar,Y1531,NDays&amp;"D")</f>
        <v>49815</v>
      </c>
      <c r="AA1531" s="163">
        <v>1.0347526616570226E-2</v>
      </c>
      <c r="AB1531" s="172">
        <v>1.0339743971421456E-2</v>
      </c>
    </row>
    <row r="1532" spans="24:28" x14ac:dyDescent="0.2">
      <c r="X1532" s="176" t="str">
        <f t="shared" si="57"/>
        <v>1w</v>
      </c>
      <c r="Y1532" s="164">
        <f>_xll.qlCalendarAdvance(Calendar,Y1531,X1532,"f",FALSE)</f>
        <v>49818</v>
      </c>
      <c r="Z1532" s="188">
        <f>_xll.qlCalendarAdvance(Calendar,Y1532,NDays&amp;"D")</f>
        <v>49822</v>
      </c>
      <c r="AA1532" s="163">
        <v>1.0346110120762621E-2</v>
      </c>
      <c r="AB1532" s="172">
        <v>1.0338145111097319E-2</v>
      </c>
    </row>
    <row r="1533" spans="24:28" x14ac:dyDescent="0.2">
      <c r="X1533" s="176" t="str">
        <f t="shared" si="57"/>
        <v>1w</v>
      </c>
      <c r="Y1533" s="164">
        <f>_xll.qlCalendarAdvance(Calendar,Y1532,X1533,"f",FALSE)</f>
        <v>49825</v>
      </c>
      <c r="Z1533" s="188">
        <f>_xll.qlCalendarAdvance(Calendar,Y1533,NDays&amp;"D")</f>
        <v>49829</v>
      </c>
      <c r="AA1533" s="163">
        <v>1.034465494851311E-2</v>
      </c>
      <c r="AB1533" s="172">
        <v>1.0336560769159675E-2</v>
      </c>
    </row>
    <row r="1534" spans="24:28" x14ac:dyDescent="0.2">
      <c r="X1534" s="176" t="str">
        <f t="shared" si="57"/>
        <v>1w</v>
      </c>
      <c r="Y1534" s="164">
        <f>_xll.qlCalendarAdvance(Calendar,Y1533,X1534,"f",FALSE)</f>
        <v>49832</v>
      </c>
      <c r="Z1534" s="188">
        <f>_xll.qlCalendarAdvance(Calendar,Y1534,NDays&amp;"D")</f>
        <v>49836</v>
      </c>
      <c r="AA1534" s="163">
        <v>1.0343266641344212E-2</v>
      </c>
      <c r="AB1534" s="172">
        <v>1.0334990945528588E-2</v>
      </c>
    </row>
    <row r="1535" spans="24:28" x14ac:dyDescent="0.2">
      <c r="X1535" s="176" t="str">
        <f t="shared" si="57"/>
        <v>1w</v>
      </c>
      <c r="Y1535" s="164">
        <f>_xll.qlCalendarAdvance(Calendar,Y1534,X1535,"f",FALSE)</f>
        <v>49839</v>
      </c>
      <c r="Z1535" s="188">
        <f>_xll.qlCalendarAdvance(Calendar,Y1535,NDays&amp;"D")</f>
        <v>49843</v>
      </c>
      <c r="AA1535" s="163">
        <v>1.034189292940613E-2</v>
      </c>
      <c r="AB1535" s="172">
        <v>1.0333435640283994E-2</v>
      </c>
    </row>
    <row r="1536" spans="24:28" x14ac:dyDescent="0.2">
      <c r="X1536" s="176" t="str">
        <f t="shared" si="57"/>
        <v>1w</v>
      </c>
      <c r="Y1536" s="164">
        <f>_xll.qlCalendarAdvance(Calendar,Y1535,X1536,"f",FALSE)</f>
        <v>49846</v>
      </c>
      <c r="Z1536" s="188">
        <f>_xll.qlCalendarAdvance(Calendar,Y1536,NDays&amp;"D")</f>
        <v>49850</v>
      </c>
      <c r="AA1536" s="163">
        <v>1.0340533812668289E-2</v>
      </c>
      <c r="AB1536" s="172">
        <v>1.0331894853425894E-2</v>
      </c>
    </row>
    <row r="1537" spans="24:28" x14ac:dyDescent="0.2">
      <c r="X1537" s="176" t="str">
        <f t="shared" si="57"/>
        <v>1w</v>
      </c>
      <c r="Y1537" s="164">
        <f>_xll.qlCalendarAdvance(Calendar,Y1536,X1537,"f",FALSE)</f>
        <v>49853</v>
      </c>
      <c r="Z1537" s="188">
        <f>_xll.qlCalendarAdvance(Calendar,Y1537,NDays&amp;"D")</f>
        <v>49857</v>
      </c>
      <c r="AA1537" s="163">
        <v>1.0339303959443468E-2</v>
      </c>
      <c r="AB1537" s="172">
        <v>1.0330368584954286E-2</v>
      </c>
    </row>
    <row r="1538" spans="24:28" x14ac:dyDescent="0.2">
      <c r="X1538" s="176" t="str">
        <f t="shared" si="57"/>
        <v>1w</v>
      </c>
      <c r="Y1538" s="164">
        <f>_xll.qlCalendarAdvance(Calendar,Y1537,X1538,"f",FALSE)</f>
        <v>49860</v>
      </c>
      <c r="Z1538" s="188">
        <f>_xll.qlCalendarAdvance(Calendar,Y1538,NDays&amp;"D")</f>
        <v>49864</v>
      </c>
      <c r="AA1538" s="163">
        <v>1.033791765483002E-2</v>
      </c>
      <c r="AB1538" s="172">
        <v>1.0328856834789235E-2</v>
      </c>
    </row>
    <row r="1539" spans="24:28" x14ac:dyDescent="0.2">
      <c r="X1539" s="176" t="str">
        <f t="shared" si="57"/>
        <v>1w</v>
      </c>
      <c r="Y1539" s="164">
        <f>_xll.qlCalendarAdvance(Calendar,Y1538,X1539,"f",FALSE)</f>
        <v>49867</v>
      </c>
      <c r="Z1539" s="188">
        <f>_xll.qlCalendarAdvance(Calendar,Y1539,NDays&amp;"D")</f>
        <v>49871</v>
      </c>
      <c r="AA1539" s="163">
        <v>1.0336603328375826E-2</v>
      </c>
      <c r="AB1539" s="172">
        <v>1.0327359603010677E-2</v>
      </c>
    </row>
    <row r="1540" spans="24:28" x14ac:dyDescent="0.2">
      <c r="X1540" s="176" t="str">
        <f t="shared" si="57"/>
        <v>1w</v>
      </c>
      <c r="Y1540" s="164">
        <f>_xll.qlCalendarAdvance(Calendar,Y1539,X1540,"f",FALSE)</f>
        <v>49874</v>
      </c>
      <c r="Z1540" s="188">
        <f>_xll.qlCalendarAdvance(Calendar,Y1540,NDays&amp;"D")</f>
        <v>49878</v>
      </c>
      <c r="AA1540" s="163">
        <v>1.0335303597424267E-2</v>
      </c>
      <c r="AB1540" s="172">
        <v>1.0325876889618613E-2</v>
      </c>
    </row>
    <row r="1541" spans="24:28" x14ac:dyDescent="0.2">
      <c r="X1541" s="176" t="str">
        <f t="shared" si="57"/>
        <v>1w</v>
      </c>
      <c r="Y1541" s="164">
        <f>_xll.qlCalendarAdvance(Calendar,Y1540,X1541,"f",FALSE)</f>
        <v>49881</v>
      </c>
      <c r="Z1541" s="188">
        <f>_xll.qlCalendarAdvance(Calendar,Y1541,NDays&amp;"D")</f>
        <v>49885</v>
      </c>
      <c r="AA1541" s="163">
        <v>1.0334018461945796E-2</v>
      </c>
      <c r="AB1541" s="172">
        <v>1.0324408694453169E-2</v>
      </c>
    </row>
    <row r="1542" spans="24:28" x14ac:dyDescent="0.2">
      <c r="X1542" s="176" t="str">
        <f t="shared" si="57"/>
        <v>1w</v>
      </c>
      <c r="Y1542" s="164">
        <f>_xll.qlCalendarAdvance(Calendar,Y1541,X1542,"f",FALSE)</f>
        <v>49888</v>
      </c>
      <c r="Z1542" s="188">
        <f>_xll.qlCalendarAdvance(Calendar,Y1542,NDays&amp;"D")</f>
        <v>49892</v>
      </c>
      <c r="AA1542" s="163">
        <v>1.0332747921912614E-2</v>
      </c>
      <c r="AB1542" s="172">
        <v>1.0322955017674218E-2</v>
      </c>
    </row>
    <row r="1543" spans="24:28" x14ac:dyDescent="0.2">
      <c r="X1543" s="176" t="str">
        <f t="shared" si="57"/>
        <v>1w</v>
      </c>
      <c r="Y1543" s="164">
        <f>_xll.qlCalendarAdvance(Calendar,Y1542,X1543,"f",FALSE)</f>
        <v>49895</v>
      </c>
      <c r="Z1543" s="188">
        <f>_xll.qlCalendarAdvance(Calendar,Y1543,NDays&amp;"D")</f>
        <v>49899</v>
      </c>
      <c r="AA1543" s="163">
        <v>1.0331491977295612E-2</v>
      </c>
      <c r="AB1543" s="172">
        <v>1.0321515859361696E-2</v>
      </c>
    </row>
    <row r="1544" spans="24:28" x14ac:dyDescent="0.2">
      <c r="X1544" s="176" t="str">
        <f t="shared" si="57"/>
        <v>1w</v>
      </c>
      <c r="Y1544" s="164">
        <f>_xll.qlCalendarAdvance(Calendar,Y1543,X1544,"f",FALSE)</f>
        <v>49902</v>
      </c>
      <c r="Z1544" s="188">
        <f>_xll.qlCalendarAdvance(Calendar,Y1544,NDays&amp;"D")</f>
        <v>49906</v>
      </c>
      <c r="AA1544" s="163">
        <v>1.033025062806742E-2</v>
      </c>
      <c r="AB1544" s="172">
        <v>1.0320091219355731E-2</v>
      </c>
    </row>
    <row r="1545" spans="24:28" x14ac:dyDescent="0.2">
      <c r="X1545" s="176" t="str">
        <f t="shared" si="57"/>
        <v>1w</v>
      </c>
      <c r="Y1545" s="164">
        <f>_xll.qlCalendarAdvance(Calendar,Y1544,X1545,"f",FALSE)</f>
        <v>49909</v>
      </c>
      <c r="Z1545" s="188">
        <f>_xll.qlCalendarAdvance(Calendar,Y1545,NDays&amp;"D")</f>
        <v>49913</v>
      </c>
      <c r="AA1545" s="163">
        <v>1.0329023874199801E-2</v>
      </c>
      <c r="AB1545" s="172">
        <v>1.0318681097656324E-2</v>
      </c>
    </row>
    <row r="1546" spans="24:28" x14ac:dyDescent="0.2">
      <c r="X1546" s="176" t="str">
        <f t="shared" si="57"/>
        <v>1w</v>
      </c>
      <c r="Y1546" s="164">
        <f>_xll.qlCalendarAdvance(Calendar,Y1545,X1546,"f",FALSE)</f>
        <v>49916</v>
      </c>
      <c r="Z1546" s="188">
        <f>_xll.qlCalendarAdvance(Calendar,Y1546,NDays&amp;"D")</f>
        <v>49920</v>
      </c>
      <c r="AA1546" s="163">
        <v>1.032761298546161E-2</v>
      </c>
      <c r="AB1546" s="172">
        <v>1.0317285494343409E-2</v>
      </c>
    </row>
    <row r="1547" spans="24:28" x14ac:dyDescent="0.2">
      <c r="X1547" s="176" t="str">
        <f t="shared" si="57"/>
        <v>1w</v>
      </c>
      <c r="Y1547" s="164">
        <f>_xll.qlCalendarAdvance(Calendar,Y1546,X1547,"f",FALSE)</f>
        <v>49923</v>
      </c>
      <c r="Z1547" s="188">
        <f>_xll.qlCalendarAdvance(Calendar,Y1547,NDays&amp;"D")</f>
        <v>49927</v>
      </c>
      <c r="AA1547" s="163">
        <v>1.0326412397736904E-2</v>
      </c>
      <c r="AB1547" s="172">
        <v>1.0315904409337051E-2</v>
      </c>
    </row>
    <row r="1548" spans="24:28" x14ac:dyDescent="0.2">
      <c r="X1548" s="176" t="str">
        <f t="shared" si="57"/>
        <v>1w</v>
      </c>
      <c r="Y1548" s="164">
        <f>_xll.qlCalendarAdvance(Calendar,Y1547,X1548,"f",FALSE)</f>
        <v>49930</v>
      </c>
      <c r="Z1548" s="188">
        <f>_xll.qlCalendarAdvance(Calendar,Y1548,NDays&amp;"D")</f>
        <v>49934</v>
      </c>
      <c r="AA1548" s="163">
        <v>1.0325226404033216E-2</v>
      </c>
      <c r="AB1548" s="172">
        <v>1.0314537842717186E-2</v>
      </c>
    </row>
    <row r="1549" spans="24:28" x14ac:dyDescent="0.2">
      <c r="X1549" s="176" t="str">
        <f t="shared" si="57"/>
        <v>1w</v>
      </c>
      <c r="Y1549" s="164">
        <f>_xll.qlCalendarAdvance(Calendar,Y1548,X1549,"f",FALSE)</f>
        <v>49937</v>
      </c>
      <c r="Z1549" s="188">
        <f>_xll.qlCalendarAdvance(Calendar,Y1549,NDays&amp;"D")</f>
        <v>49941</v>
      </c>
      <c r="AA1549" s="163">
        <v>1.0324055004324493E-2</v>
      </c>
      <c r="AB1549" s="172">
        <v>1.0313185794483815E-2</v>
      </c>
    </row>
    <row r="1550" spans="24:28" x14ac:dyDescent="0.2">
      <c r="X1550" s="176" t="str">
        <f t="shared" si="57"/>
        <v>1w</v>
      </c>
      <c r="Y1550" s="164">
        <f>_xll.qlCalendarAdvance(Calendar,Y1549,X1550,"f",FALSE)</f>
        <v>49944</v>
      </c>
      <c r="Z1550" s="188">
        <f>_xll.qlCalendarAdvance(Calendar,Y1550,NDays&amp;"D")</f>
        <v>49948</v>
      </c>
      <c r="AA1550" s="163">
        <v>1.0322968379500589E-2</v>
      </c>
      <c r="AB1550" s="172">
        <v>1.0311848264636936E-2</v>
      </c>
    </row>
    <row r="1551" spans="24:28" x14ac:dyDescent="0.2">
      <c r="X1551" s="176" t="str">
        <f t="shared" si="57"/>
        <v>1w</v>
      </c>
      <c r="Y1551" s="164">
        <f>_xll.qlCalendarAdvance(Calendar,Y1550,X1551,"f",FALSE)</f>
        <v>49951</v>
      </c>
      <c r="Z1551" s="188">
        <f>_xll.qlCalendarAdvance(Calendar,Y1551,NDays&amp;"D")</f>
        <v>49955</v>
      </c>
      <c r="AA1551" s="163">
        <v>1.0321827177489458E-2</v>
      </c>
      <c r="AB1551" s="172">
        <v>1.0310525253016678E-2</v>
      </c>
    </row>
    <row r="1552" spans="24:28" x14ac:dyDescent="0.2">
      <c r="X1552" s="176" t="str">
        <f t="shared" si="57"/>
        <v>1w</v>
      </c>
      <c r="Y1552" s="164">
        <f>_xll.qlCalendarAdvance(Calendar,Y1551,X1552,"f",FALSE)</f>
        <v>49958</v>
      </c>
      <c r="Z1552" s="188">
        <f>_xll.qlCalendarAdvance(Calendar,Y1552,NDays&amp;"D")</f>
        <v>49962</v>
      </c>
      <c r="AA1552" s="163">
        <v>1.0320700569817249E-2</v>
      </c>
      <c r="AB1552" s="172">
        <v>1.0309216759862849E-2</v>
      </c>
    </row>
    <row r="1553" spans="24:28" x14ac:dyDescent="0.2">
      <c r="X1553" s="176" t="str">
        <f t="shared" si="57"/>
        <v>1w</v>
      </c>
      <c r="Y1553" s="164">
        <f>_xll.qlCalendarAdvance(Calendar,Y1552,X1553,"f",FALSE)</f>
        <v>49965</v>
      </c>
      <c r="Z1553" s="188">
        <f>_xll.qlCalendarAdvance(Calendar,Y1553,NDays&amp;"D")</f>
        <v>49969</v>
      </c>
      <c r="AA1553" s="163">
        <v>1.0319588556458053E-2</v>
      </c>
      <c r="AB1553" s="172">
        <v>1.0307922785015577E-2</v>
      </c>
    </row>
    <row r="1554" spans="24:28" x14ac:dyDescent="0.2">
      <c r="X1554" s="176" t="str">
        <f t="shared" si="57"/>
        <v>1w</v>
      </c>
      <c r="Y1554" s="164">
        <f>_xll.qlCalendarAdvance(Calendar,Y1553,X1554,"f",FALSE)</f>
        <v>49972</v>
      </c>
      <c r="Z1554" s="188">
        <f>_xll.qlCalendarAdvance(Calendar,Y1554,NDays&amp;"D")</f>
        <v>49976</v>
      </c>
      <c r="AA1554" s="163">
        <v>1.0318491137388589E-2</v>
      </c>
      <c r="AB1554" s="172">
        <v>1.0306643328554799E-2</v>
      </c>
    </row>
    <row r="1555" spans="24:28" x14ac:dyDescent="0.2">
      <c r="X1555" s="176" t="str">
        <f t="shared" si="57"/>
        <v>1w</v>
      </c>
      <c r="Y1555" s="164">
        <f>_xll.qlCalendarAdvance(Calendar,Y1554,X1555,"f",FALSE)</f>
        <v>49979</v>
      </c>
      <c r="Z1555" s="188">
        <f>_xll.qlCalendarAdvance(Calendar,Y1555,NDays&amp;"D")</f>
        <v>49983</v>
      </c>
      <c r="AA1555" s="163">
        <v>1.0317333078555781E-2</v>
      </c>
      <c r="AB1555" s="172">
        <v>1.0305378390480513E-2</v>
      </c>
    </row>
    <row r="1556" spans="24:28" x14ac:dyDescent="0.2">
      <c r="X1556" s="176" t="str">
        <f t="shared" si="57"/>
        <v>1w</v>
      </c>
      <c r="Y1556" s="164">
        <f>_xll.qlCalendarAdvance(Calendar,Y1555,X1556,"f",FALSE)</f>
        <v>49986</v>
      </c>
      <c r="Z1556" s="188">
        <f>_xll.qlCalendarAdvance(Calendar,Y1556,NDays&amp;"D")</f>
        <v>49990</v>
      </c>
      <c r="AA1556" s="163">
        <v>1.0316263836111804E-2</v>
      </c>
      <c r="AB1556" s="172">
        <v>1.0304127970632848E-2</v>
      </c>
    </row>
    <row r="1557" spans="24:28" x14ac:dyDescent="0.2">
      <c r="X1557" s="176" t="str">
        <f t="shared" ref="X1557:X1620" si="58">X1556</f>
        <v>1w</v>
      </c>
      <c r="Y1557" s="164">
        <f>_xll.qlCalendarAdvance(Calendar,Y1556,X1557,"f",FALSE)</f>
        <v>49993</v>
      </c>
      <c r="Z1557" s="188">
        <f>_xll.qlCalendarAdvance(Calendar,Y1557,NDays&amp;"D")</f>
        <v>49997</v>
      </c>
      <c r="AA1557" s="163">
        <v>1.0315209187467145E-2</v>
      </c>
      <c r="AB1557" s="172">
        <v>1.0302892069251612E-2</v>
      </c>
    </row>
    <row r="1558" spans="24:28" x14ac:dyDescent="0.2">
      <c r="X1558" s="176" t="str">
        <f t="shared" si="58"/>
        <v>1w</v>
      </c>
      <c r="Y1558" s="164">
        <f>_xll.qlCalendarAdvance(Calendar,Y1557,X1558,"f",FALSE)</f>
        <v>50000</v>
      </c>
      <c r="Z1558" s="188">
        <f>_xll.qlCalendarAdvance(Calendar,Y1558,NDays&amp;"D")</f>
        <v>50004</v>
      </c>
      <c r="AA1558" s="163">
        <v>1.0314169132597955E-2</v>
      </c>
      <c r="AB1558" s="172">
        <v>1.0301670686176934E-2</v>
      </c>
    </row>
    <row r="1559" spans="24:28" x14ac:dyDescent="0.2">
      <c r="X1559" s="176" t="str">
        <f t="shared" si="58"/>
        <v>1w</v>
      </c>
      <c r="Y1559" s="164">
        <f>_xll.qlCalendarAdvance(Calendar,Y1558,X1559,"f",FALSE)</f>
        <v>50007</v>
      </c>
      <c r="Z1559" s="188">
        <f>_xll.qlCalendarAdvance(Calendar,Y1559,NDays&amp;"D")</f>
        <v>50011</v>
      </c>
      <c r="AA1559" s="163">
        <v>1.0313222955538269E-2</v>
      </c>
      <c r="AB1559" s="172">
        <v>1.0300463821408812E-2</v>
      </c>
    </row>
    <row r="1560" spans="24:28" x14ac:dyDescent="0.2">
      <c r="X1560" s="176" t="str">
        <f t="shared" si="58"/>
        <v>1w</v>
      </c>
      <c r="Y1560" s="164">
        <f>_xll.qlCalendarAdvance(Calendar,Y1559,X1560,"f",FALSE)</f>
        <v>50014</v>
      </c>
      <c r="Z1560" s="188">
        <f>_xll.qlCalendarAdvance(Calendar,Y1560,NDays&amp;"D")</f>
        <v>50018</v>
      </c>
      <c r="AA1560" s="163">
        <v>1.0312213101706063E-2</v>
      </c>
      <c r="AB1560" s="172">
        <v>1.0299271475107119E-2</v>
      </c>
    </row>
    <row r="1561" spans="24:28" x14ac:dyDescent="0.2">
      <c r="X1561" s="176" t="str">
        <f t="shared" si="58"/>
        <v>1w</v>
      </c>
      <c r="Y1561" s="164">
        <f>_xll.qlCalendarAdvance(Calendar,Y1560,X1561,"f",FALSE)</f>
        <v>50021</v>
      </c>
      <c r="Z1561" s="188">
        <f>_xll.qlCalendarAdvance(Calendar,Y1561,NDays&amp;"D")</f>
        <v>50025</v>
      </c>
      <c r="AA1561" s="163">
        <v>1.0311217841999766E-2</v>
      </c>
      <c r="AB1561" s="172">
        <v>1.0298093647032047E-2</v>
      </c>
    </row>
    <row r="1562" spans="24:28" x14ac:dyDescent="0.2">
      <c r="X1562" s="176" t="str">
        <f t="shared" si="58"/>
        <v>1w</v>
      </c>
      <c r="Y1562" s="164">
        <f>_xll.qlCalendarAdvance(Calendar,Y1561,X1562,"f",FALSE)</f>
        <v>50028</v>
      </c>
      <c r="Z1562" s="188">
        <f>_xll.qlCalendarAdvance(Calendar,Y1562,NDays&amp;"D")</f>
        <v>50032</v>
      </c>
      <c r="AA1562" s="163">
        <v>1.0310237176398734E-2</v>
      </c>
      <c r="AB1562" s="172">
        <v>1.0296930337423404E-2</v>
      </c>
    </row>
    <row r="1563" spans="24:28" x14ac:dyDescent="0.2">
      <c r="X1563" s="176" t="str">
        <f t="shared" si="58"/>
        <v>1w</v>
      </c>
      <c r="Y1563" s="164">
        <f>_xll.qlCalendarAdvance(Calendar,Y1562,X1563,"f",FALSE)</f>
        <v>50038</v>
      </c>
      <c r="Z1563" s="188">
        <f>_xll.qlCalendarAdvance(Calendar,Y1563,NDays&amp;"D")</f>
        <v>50040</v>
      </c>
      <c r="AA1563" s="163">
        <v>1.0309050800232282E-2</v>
      </c>
      <c r="AB1563" s="172">
        <v>1.0295684522012571E-2</v>
      </c>
    </row>
    <row r="1564" spans="24:28" x14ac:dyDescent="0.2">
      <c r="X1564" s="176" t="str">
        <f t="shared" si="58"/>
        <v>1w</v>
      </c>
      <c r="Y1564" s="164">
        <f>_xll.qlCalendarAdvance(Calendar,Y1563,X1564,"f",FALSE)</f>
        <v>50045</v>
      </c>
      <c r="Z1564" s="188">
        <f>_xll.qlCalendarAdvance(Calendar,Y1564,NDays&amp;"D")</f>
        <v>50047</v>
      </c>
      <c r="AA1564" s="163">
        <v>1.03081003923548E-2</v>
      </c>
      <c r="AB1564" s="172">
        <v>1.0294486419315518E-2</v>
      </c>
    </row>
    <row r="1565" spans="24:28" x14ac:dyDescent="0.2">
      <c r="X1565" s="176" t="str">
        <f t="shared" si="58"/>
        <v>1w</v>
      </c>
      <c r="Y1565" s="164">
        <f>_xll.qlCalendarAdvance(Calendar,Y1564,X1565,"f",FALSE)</f>
        <v>50052</v>
      </c>
      <c r="Z1565" s="188">
        <f>_xll.qlCalendarAdvance(Calendar,Y1565,NDays&amp;"D")</f>
        <v>50054</v>
      </c>
      <c r="AA1565" s="163">
        <v>1.0307164578097775E-2</v>
      </c>
      <c r="AB1565" s="172">
        <v>1.0293368738727438E-2</v>
      </c>
    </row>
    <row r="1566" spans="24:28" x14ac:dyDescent="0.2">
      <c r="X1566" s="176" t="str">
        <f t="shared" si="58"/>
        <v>1w</v>
      </c>
      <c r="Y1566" s="164">
        <f>_xll.qlCalendarAdvance(Calendar,Y1565,X1566,"f",FALSE)</f>
        <v>50059</v>
      </c>
      <c r="Z1566" s="188">
        <f>_xll.qlCalendarAdvance(Calendar,Y1566,NDays&amp;"D")</f>
        <v>50061</v>
      </c>
      <c r="AA1566" s="163">
        <v>1.0306243357440448E-2</v>
      </c>
      <c r="AB1566" s="172">
        <v>1.0292265576605786E-2</v>
      </c>
    </row>
    <row r="1567" spans="24:28" x14ac:dyDescent="0.2">
      <c r="X1567" s="176" t="str">
        <f t="shared" si="58"/>
        <v>1w</v>
      </c>
      <c r="Y1567" s="164">
        <f>_xll.qlCalendarAdvance(Calendar,Y1566,X1567,"f",FALSE)</f>
        <v>50066</v>
      </c>
      <c r="Z1567" s="188">
        <f>_xll.qlCalendarAdvance(Calendar,Y1567,NDays&amp;"D")</f>
        <v>50068</v>
      </c>
      <c r="AA1567" s="163">
        <v>1.0305336730361622E-2</v>
      </c>
      <c r="AB1567" s="172">
        <v>1.0291176932710755E-2</v>
      </c>
    </row>
    <row r="1568" spans="24:28" x14ac:dyDescent="0.2">
      <c r="X1568" s="176" t="str">
        <f t="shared" si="58"/>
        <v>1w</v>
      </c>
      <c r="Y1568" s="164">
        <f>_xll.qlCalendarAdvance(Calendar,Y1567,X1568,"f",FALSE)</f>
        <v>50073</v>
      </c>
      <c r="Z1568" s="188">
        <f>_xll.qlCalendarAdvance(Calendar,Y1568,NDays&amp;"D")</f>
        <v>50075</v>
      </c>
      <c r="AA1568" s="163">
        <v>1.030444469684319E-2</v>
      </c>
      <c r="AB1568" s="172">
        <v>1.0290102807282153E-2</v>
      </c>
    </row>
    <row r="1569" spans="24:28" x14ac:dyDescent="0.2">
      <c r="X1569" s="176" t="str">
        <f t="shared" si="58"/>
        <v>1w</v>
      </c>
      <c r="Y1569" s="164">
        <f>_xll.qlCalendarAdvance(Calendar,Y1568,X1569,"f",FALSE)</f>
        <v>50080</v>
      </c>
      <c r="Z1569" s="188">
        <f>_xll.qlCalendarAdvance(Calendar,Y1569,NDays&amp;"D")</f>
        <v>50082</v>
      </c>
      <c r="AA1569" s="163">
        <v>1.0303567256863952E-2</v>
      </c>
      <c r="AB1569" s="172">
        <v>1.0289043200000236E-2</v>
      </c>
    </row>
    <row r="1570" spans="24:28" x14ac:dyDescent="0.2">
      <c r="X1570" s="176" t="str">
        <f t="shared" si="58"/>
        <v>1w</v>
      </c>
      <c r="Y1570" s="164">
        <f>_xll.qlCalendarAdvance(Calendar,Y1569,X1570,"f",FALSE)</f>
        <v>50087</v>
      </c>
      <c r="Z1570" s="188">
        <f>_xll.qlCalendarAdvance(Calendar,Y1570,NDays&amp;"D")</f>
        <v>50089</v>
      </c>
      <c r="AA1570" s="163">
        <v>1.0302704410406685E-2</v>
      </c>
      <c r="AB1570" s="172">
        <v>1.0287998111344621E-2</v>
      </c>
    </row>
    <row r="1571" spans="24:28" x14ac:dyDescent="0.2">
      <c r="X1571" s="176" t="str">
        <f t="shared" si="58"/>
        <v>1w</v>
      </c>
      <c r="Y1571" s="164">
        <f>_xll.qlCalendarAdvance(Calendar,Y1570,X1571,"f",FALSE)</f>
        <v>50094</v>
      </c>
      <c r="Z1571" s="188">
        <f>_xll.qlCalendarAdvance(Calendar,Y1571,NDays&amp;"D")</f>
        <v>50096</v>
      </c>
      <c r="AA1571" s="163">
        <v>1.030185615745019E-2</v>
      </c>
      <c r="AB1571" s="172">
        <v>1.028696754083569E-2</v>
      </c>
    </row>
    <row r="1572" spans="24:28" x14ac:dyDescent="0.2">
      <c r="X1572" s="176" t="str">
        <f t="shared" si="58"/>
        <v>1w</v>
      </c>
      <c r="Y1572" s="164">
        <f>_xll.qlCalendarAdvance(Calendar,Y1571,X1572,"f",FALSE)</f>
        <v>50101</v>
      </c>
      <c r="Z1572" s="188">
        <f>_xll.qlCalendarAdvance(Calendar,Y1572,NDays&amp;"D")</f>
        <v>50103</v>
      </c>
      <c r="AA1572" s="163">
        <v>1.0301300710042857E-2</v>
      </c>
      <c r="AB1572" s="172">
        <v>1.0285951488713252E-2</v>
      </c>
    </row>
    <row r="1573" spans="24:28" x14ac:dyDescent="0.2">
      <c r="X1573" s="176" t="str">
        <f t="shared" si="58"/>
        <v>1w</v>
      </c>
      <c r="Y1573" s="164">
        <f>_xll.qlCalendarAdvance(Calendar,Y1572,X1573,"f",FALSE)</f>
        <v>50108</v>
      </c>
      <c r="Z1573" s="188">
        <f>_xll.qlCalendarAdvance(Calendar,Y1573,NDays&amp;"D")</f>
        <v>50110</v>
      </c>
      <c r="AA1573" s="163">
        <v>1.0300484701338337E-2</v>
      </c>
      <c r="AB1573" s="172">
        <v>1.0284949955057243E-2</v>
      </c>
    </row>
    <row r="1574" spans="24:28" x14ac:dyDescent="0.2">
      <c r="X1574" s="176" t="str">
        <f t="shared" si="58"/>
        <v>1w</v>
      </c>
      <c r="Y1574" s="164">
        <f>_xll.qlCalendarAdvance(Calendar,Y1573,X1574,"f",FALSE)</f>
        <v>50115</v>
      </c>
      <c r="Z1574" s="188">
        <f>_xll.qlCalendarAdvance(Calendar,Y1574,NDays&amp;"D")</f>
        <v>50117</v>
      </c>
      <c r="AA1574" s="163">
        <v>1.0299683287331876E-2</v>
      </c>
      <c r="AB1574" s="172">
        <v>1.0283962939627855E-2</v>
      </c>
    </row>
    <row r="1575" spans="24:28" x14ac:dyDescent="0.2">
      <c r="X1575" s="176" t="str">
        <f t="shared" si="58"/>
        <v>1w</v>
      </c>
      <c r="Y1575" s="164">
        <f>_xll.qlCalendarAdvance(Calendar,Y1574,X1575,"f",FALSE)</f>
        <v>50122</v>
      </c>
      <c r="Z1575" s="188">
        <f>_xll.qlCalendarAdvance(Calendar,Y1575,NDays&amp;"D")</f>
        <v>50124</v>
      </c>
      <c r="AA1575" s="163">
        <v>1.0298896468006096E-2</v>
      </c>
      <c r="AB1575" s="172">
        <v>1.0282990442584961E-2</v>
      </c>
    </row>
    <row r="1576" spans="24:28" x14ac:dyDescent="0.2">
      <c r="X1576" s="176" t="str">
        <f t="shared" si="58"/>
        <v>1w</v>
      </c>
      <c r="Y1576" s="164">
        <f>_xll.qlCalendarAdvance(Calendar,Y1575,X1576,"f",FALSE)</f>
        <v>50129</v>
      </c>
      <c r="Z1576" s="188">
        <f>_xll.qlCalendarAdvance(Calendar,Y1576,NDays&amp;"D")</f>
        <v>50131</v>
      </c>
      <c r="AA1576" s="163">
        <v>1.0298027327869864E-2</v>
      </c>
      <c r="AB1576" s="172">
        <v>1.0282032463848623E-2</v>
      </c>
    </row>
    <row r="1577" spans="24:28" x14ac:dyDescent="0.2">
      <c r="X1577" s="176" t="str">
        <f t="shared" si="58"/>
        <v>1w</v>
      </c>
      <c r="Y1577" s="164">
        <f>_xll.qlCalendarAdvance(Calendar,Y1576,X1577,"f",FALSE)</f>
        <v>50137</v>
      </c>
      <c r="Z1577" s="188">
        <f>_xll.qlCalendarAdvance(Calendar,Y1577,NDays&amp;"D")</f>
        <v>50139</v>
      </c>
      <c r="AA1577" s="163">
        <v>1.0297161489697121E-2</v>
      </c>
      <c r="AB1577" s="172">
        <v>1.0280955408603631E-2</v>
      </c>
    </row>
    <row r="1578" spans="24:28" x14ac:dyDescent="0.2">
      <c r="X1578" s="176" t="str">
        <f t="shared" si="58"/>
        <v>1w</v>
      </c>
      <c r="Y1578" s="164">
        <f>_xll.qlCalendarAdvance(Calendar,Y1577,X1578,"f",FALSE)</f>
        <v>50144</v>
      </c>
      <c r="Z1578" s="188">
        <f>_xll.qlCalendarAdvance(Calendar,Y1578,NDays&amp;"D")</f>
        <v>50146</v>
      </c>
      <c r="AA1578" s="163">
        <v>1.0296419517950127E-2</v>
      </c>
      <c r="AB1578" s="172">
        <v>1.0280028540741171E-2</v>
      </c>
    </row>
    <row r="1579" spans="24:28" x14ac:dyDescent="0.2">
      <c r="X1579" s="176" t="str">
        <f t="shared" si="58"/>
        <v>1w</v>
      </c>
      <c r="Y1579" s="164">
        <f>_xll.qlCalendarAdvance(Calendar,Y1578,X1579,"f",FALSE)</f>
        <v>50151</v>
      </c>
      <c r="Z1579" s="188">
        <f>_xll.qlCalendarAdvance(Calendar,Y1579,NDays&amp;"D")</f>
        <v>50153</v>
      </c>
      <c r="AA1579" s="163">
        <v>1.0295692140396965E-2</v>
      </c>
      <c r="AB1579" s="172">
        <v>1.0279116191105331E-2</v>
      </c>
    </row>
    <row r="1580" spans="24:28" x14ac:dyDescent="0.2">
      <c r="X1580" s="176" t="str">
        <f t="shared" si="58"/>
        <v>1w</v>
      </c>
      <c r="Y1580" s="164">
        <f>_xll.qlCalendarAdvance(Calendar,Y1579,X1580,"f",FALSE)</f>
        <v>50158</v>
      </c>
      <c r="Z1580" s="188">
        <f>_xll.qlCalendarAdvance(Calendar,Y1580,NDays&amp;"D")</f>
        <v>50160</v>
      </c>
      <c r="AA1580" s="163">
        <v>1.02949793570206E-2</v>
      </c>
      <c r="AB1580" s="172">
        <v>1.0278468207698399E-2</v>
      </c>
    </row>
    <row r="1581" spans="24:28" x14ac:dyDescent="0.2">
      <c r="X1581" s="176" t="str">
        <f t="shared" si="58"/>
        <v>1w</v>
      </c>
      <c r="Y1581" s="164">
        <f>_xll.qlCalendarAdvance(Calendar,Y1580,X1581,"f",FALSE)</f>
        <v>50165</v>
      </c>
      <c r="Z1581" s="188">
        <f>_xll.qlCalendarAdvance(Calendar,Y1581,NDays&amp;"D")</f>
        <v>50167</v>
      </c>
      <c r="AA1581" s="163">
        <v>1.0294587976045424E-2</v>
      </c>
      <c r="AB1581" s="172">
        <v>1.027733504699313E-2</v>
      </c>
    </row>
    <row r="1582" spans="24:28" x14ac:dyDescent="0.2">
      <c r="X1582" s="176" t="str">
        <f t="shared" si="58"/>
        <v>1w</v>
      </c>
      <c r="Y1582" s="164">
        <f>_xll.qlCalendarAdvance(Calendar,Y1581,X1582,"f",FALSE)</f>
        <v>50172</v>
      </c>
      <c r="Z1582" s="188">
        <f>_xll.qlCalendarAdvance(Calendar,Y1582,NDays&amp;"D")</f>
        <v>50174</v>
      </c>
      <c r="AA1582" s="163">
        <v>1.0293907450064482E-2</v>
      </c>
      <c r="AB1582" s="172">
        <v>1.0276466252516769E-2</v>
      </c>
    </row>
    <row r="1583" spans="24:28" x14ac:dyDescent="0.2">
      <c r="X1583" s="176" t="str">
        <f t="shared" si="58"/>
        <v>1w</v>
      </c>
      <c r="Y1583" s="164">
        <f>_xll.qlCalendarAdvance(Calendar,Y1582,X1583,"f",FALSE)</f>
        <v>50179</v>
      </c>
      <c r="Z1583" s="188">
        <f>_xll.qlCalendarAdvance(Calendar,Y1583,NDays&amp;"D")</f>
        <v>50181</v>
      </c>
      <c r="AA1583" s="163">
        <v>1.0293241519464355E-2</v>
      </c>
      <c r="AB1583" s="172">
        <v>1.0275611976346966E-2</v>
      </c>
    </row>
    <row r="1584" spans="24:28" x14ac:dyDescent="0.2">
      <c r="X1584" s="176" t="str">
        <f t="shared" si="58"/>
        <v>1w</v>
      </c>
      <c r="Y1584" s="164">
        <f>_xll.qlCalendarAdvance(Calendar,Y1583,X1584,"f",FALSE)</f>
        <v>50186</v>
      </c>
      <c r="Z1584" s="188">
        <f>_xll.qlCalendarAdvance(Calendar,Y1584,NDays&amp;"D")</f>
        <v>50188</v>
      </c>
      <c r="AA1584" s="163">
        <v>1.0292590184228716E-2</v>
      </c>
      <c r="AB1584" s="172">
        <v>1.0274772218483719E-2</v>
      </c>
    </row>
    <row r="1585" spans="24:28" x14ac:dyDescent="0.2">
      <c r="X1585" s="176" t="str">
        <f t="shared" si="58"/>
        <v>1w</v>
      </c>
      <c r="Y1585" s="164">
        <f>_xll.qlCalendarAdvance(Calendar,Y1584,X1585,"f",FALSE)</f>
        <v>50193</v>
      </c>
      <c r="Z1585" s="188">
        <f>_xll.qlCalendarAdvance(Calendar,Y1585,NDays&amp;"D")</f>
        <v>50195</v>
      </c>
      <c r="AA1585" s="163">
        <v>1.0291634352254747E-2</v>
      </c>
      <c r="AB1585" s="172">
        <v>1.0273946979006965E-2</v>
      </c>
    </row>
    <row r="1586" spans="24:28" x14ac:dyDescent="0.2">
      <c r="X1586" s="176" t="str">
        <f t="shared" si="58"/>
        <v>1w</v>
      </c>
      <c r="Y1586" s="164">
        <f>_xll.qlCalendarAdvance(Calendar,Y1585,X1586,"f",FALSE)</f>
        <v>50200</v>
      </c>
      <c r="Z1586" s="188">
        <f>_xll.qlCalendarAdvance(Calendar,Y1586,NDays&amp;"D")</f>
        <v>50202</v>
      </c>
      <c r="AA1586" s="163">
        <v>1.029100913362116E-2</v>
      </c>
      <c r="AB1586" s="172">
        <v>1.0273136257836768E-2</v>
      </c>
    </row>
    <row r="1587" spans="24:28" x14ac:dyDescent="0.2">
      <c r="X1587" s="176" t="str">
        <f t="shared" si="58"/>
        <v>1w</v>
      </c>
      <c r="Y1587" s="164">
        <f>_xll.qlCalendarAdvance(Calendar,Y1586,X1587,"f",FALSE)</f>
        <v>50207</v>
      </c>
      <c r="Z1587" s="188">
        <f>_xll.qlCalendarAdvance(Calendar,Y1587,NDays&amp;"D")</f>
        <v>50209</v>
      </c>
      <c r="AA1587" s="163">
        <v>1.0290398509061282E-2</v>
      </c>
      <c r="AB1587" s="172">
        <v>1.0272340055053064E-2</v>
      </c>
    </row>
    <row r="1588" spans="24:28" x14ac:dyDescent="0.2">
      <c r="X1588" s="176" t="str">
        <f t="shared" si="58"/>
        <v>1w</v>
      </c>
      <c r="Y1588" s="164">
        <f>_xll.qlCalendarAdvance(Calendar,Y1587,X1588,"f",FALSE)</f>
        <v>50214</v>
      </c>
      <c r="Z1588" s="188">
        <f>_xll.qlCalendarAdvance(Calendar,Y1588,NDays&amp;"D")</f>
        <v>50216</v>
      </c>
      <c r="AA1588" s="163">
        <v>1.0290130796649534E-2</v>
      </c>
      <c r="AB1588" s="172">
        <v>1.0271558370575917E-2</v>
      </c>
    </row>
    <row r="1589" spans="24:28" x14ac:dyDescent="0.2">
      <c r="X1589" s="176" t="str">
        <f t="shared" si="58"/>
        <v>1w</v>
      </c>
      <c r="Y1589" s="164">
        <f>_xll.qlCalendarAdvance(Calendar,Y1588,X1589,"f",FALSE)</f>
        <v>50221</v>
      </c>
      <c r="Z1589" s="188">
        <f>_xll.qlCalendarAdvance(Calendar,Y1589,NDays&amp;"D")</f>
        <v>50223</v>
      </c>
      <c r="AA1589" s="163">
        <v>1.0289552438026177E-2</v>
      </c>
      <c r="AB1589" s="172">
        <v>1.0270791204565199E-2</v>
      </c>
    </row>
    <row r="1590" spans="24:28" x14ac:dyDescent="0.2">
      <c r="X1590" s="176" t="str">
        <f t="shared" si="58"/>
        <v>1w</v>
      </c>
      <c r="Y1590" s="164">
        <f>_xll.qlCalendarAdvance(Calendar,Y1589,X1590,"f",FALSE)</f>
        <v>50228</v>
      </c>
      <c r="Z1590" s="188">
        <f>_xll.qlCalendarAdvance(Calendar,Y1590,NDays&amp;"D")</f>
        <v>50230</v>
      </c>
      <c r="AA1590" s="163">
        <v>1.028898867468522E-2</v>
      </c>
      <c r="AB1590" s="172">
        <v>1.0270038556781103E-2</v>
      </c>
    </row>
    <row r="1591" spans="24:28" x14ac:dyDescent="0.2">
      <c r="X1591" s="176" t="str">
        <f t="shared" si="58"/>
        <v>1w</v>
      </c>
      <c r="Y1591" s="164">
        <f>_xll.qlCalendarAdvance(Calendar,Y1590,X1591,"f",FALSE)</f>
        <v>50235</v>
      </c>
      <c r="Z1591" s="188">
        <f>_xll.qlCalendarAdvance(Calendar,Y1591,NDays&amp;"D")</f>
        <v>50237</v>
      </c>
      <c r="AA1591" s="163">
        <v>1.0288439506613772E-2</v>
      </c>
      <c r="AB1591" s="172">
        <v>1.0269300427383499E-2</v>
      </c>
    </row>
    <row r="1592" spans="24:28" x14ac:dyDescent="0.2">
      <c r="X1592" s="176" t="str">
        <f t="shared" si="58"/>
        <v>1w</v>
      </c>
      <c r="Y1592" s="164">
        <f>_xll.qlCalendarAdvance(Calendar,Y1591,X1592,"f",FALSE)</f>
        <v>50242</v>
      </c>
      <c r="Z1592" s="188">
        <f>_xll.qlCalendarAdvance(Calendar,Y1592,NDays&amp;"D")</f>
        <v>50244</v>
      </c>
      <c r="AA1592" s="163">
        <v>1.028790493379894E-2</v>
      </c>
      <c r="AB1592" s="172">
        <v>1.0268576816292452E-2</v>
      </c>
    </row>
    <row r="1593" spans="24:28" x14ac:dyDescent="0.2">
      <c r="X1593" s="176" t="str">
        <f t="shared" si="58"/>
        <v>1w</v>
      </c>
      <c r="Y1593" s="164">
        <f>_xll.qlCalendarAdvance(Calendar,Y1592,X1593,"f",FALSE)</f>
        <v>50249</v>
      </c>
      <c r="Z1593" s="188">
        <f>_xll.qlCalendarAdvance(Calendar,Y1593,NDays&amp;"D")</f>
        <v>50251</v>
      </c>
      <c r="AA1593" s="163">
        <v>1.0287041236510827E-2</v>
      </c>
      <c r="AB1593" s="172">
        <v>1.0267867723667834E-2</v>
      </c>
    </row>
    <row r="1594" spans="24:28" x14ac:dyDescent="0.2">
      <c r="X1594" s="176" t="str">
        <f t="shared" si="58"/>
        <v>1w</v>
      </c>
      <c r="Y1594" s="164">
        <f>_xll.qlCalendarAdvance(Calendar,Y1593,X1594,"f",FALSE)</f>
        <v>50256</v>
      </c>
      <c r="Z1594" s="188">
        <f>_xll.qlCalendarAdvance(Calendar,Y1594,NDays&amp;"D")</f>
        <v>50258</v>
      </c>
      <c r="AA1594" s="163">
        <v>1.028687957389357E-2</v>
      </c>
      <c r="AB1594" s="172">
        <v>1.0267173149269837E-2</v>
      </c>
    </row>
    <row r="1595" spans="24:28" x14ac:dyDescent="0.2">
      <c r="X1595" s="176" t="str">
        <f t="shared" si="58"/>
        <v>1w</v>
      </c>
      <c r="Y1595" s="164">
        <f>_xll.qlCalendarAdvance(Calendar,Y1594,X1595,"f",FALSE)</f>
        <v>50263</v>
      </c>
      <c r="Z1595" s="188">
        <f>_xll.qlCalendarAdvance(Calendar,Y1595,NDays&amp;"D")</f>
        <v>50265</v>
      </c>
      <c r="AA1595" s="163">
        <v>1.0286388786779826E-2</v>
      </c>
      <c r="AB1595" s="172">
        <v>1.0266493093258333E-2</v>
      </c>
    </row>
    <row r="1596" spans="24:28" x14ac:dyDescent="0.2">
      <c r="X1596" s="176" t="str">
        <f t="shared" si="58"/>
        <v>1w</v>
      </c>
      <c r="Y1596" s="164">
        <f>_xll.qlCalendarAdvance(Calendar,Y1595,X1596,"f",FALSE)</f>
        <v>50270</v>
      </c>
      <c r="Z1596" s="188">
        <f>_xll.qlCalendarAdvance(Calendar,Y1596,NDays&amp;"D")</f>
        <v>50272</v>
      </c>
      <c r="AA1596" s="163">
        <v>1.0285912594876712E-2</v>
      </c>
      <c r="AB1596" s="172">
        <v>1.0265827555633322E-2</v>
      </c>
    </row>
    <row r="1597" spans="24:28" x14ac:dyDescent="0.2">
      <c r="X1597" s="176" t="str">
        <f t="shared" si="58"/>
        <v>1w</v>
      </c>
      <c r="Y1597" s="164">
        <f>_xll.qlCalendarAdvance(Calendar,Y1596,X1597,"f",FALSE)</f>
        <v>50277</v>
      </c>
      <c r="Z1597" s="188">
        <f>_xll.qlCalendarAdvance(Calendar,Y1597,NDays&amp;"D")</f>
        <v>50279</v>
      </c>
      <c r="AA1597" s="163">
        <v>1.0285094934690788E-2</v>
      </c>
      <c r="AB1597" s="172">
        <v>1.0265176536314868E-2</v>
      </c>
    </row>
    <row r="1598" spans="24:28" x14ac:dyDescent="0.2">
      <c r="X1598" s="176" t="str">
        <f t="shared" si="58"/>
        <v>1w</v>
      </c>
      <c r="Y1598" s="164">
        <f>_xll.qlCalendarAdvance(Calendar,Y1597,X1598,"f",FALSE)</f>
        <v>50284</v>
      </c>
      <c r="Z1598" s="188">
        <f>_xll.qlCalendarAdvance(Calendar,Y1598,NDays&amp;"D")</f>
        <v>50286</v>
      </c>
      <c r="AA1598" s="163">
        <v>1.0284405911711621E-2</v>
      </c>
      <c r="AB1598" s="172">
        <v>1.0264540035302971E-2</v>
      </c>
    </row>
    <row r="1599" spans="24:28" x14ac:dyDescent="0.2">
      <c r="X1599" s="176" t="str">
        <f t="shared" si="58"/>
        <v>1w</v>
      </c>
      <c r="Y1599" s="164">
        <f>_xll.qlCalendarAdvance(Calendar,Y1598,X1599,"f",FALSE)</f>
        <v>50291</v>
      </c>
      <c r="Z1599" s="188">
        <f>_xll.qlCalendarAdvance(Calendar,Y1599,NDays&amp;"D")</f>
        <v>50293</v>
      </c>
      <c r="AA1599" s="163">
        <v>1.0283968355162838E-2</v>
      </c>
      <c r="AB1599" s="172">
        <v>1.0263918052757504E-2</v>
      </c>
    </row>
    <row r="1600" spans="24:28" x14ac:dyDescent="0.2">
      <c r="X1600" s="176" t="str">
        <f t="shared" si="58"/>
        <v>1w</v>
      </c>
      <c r="Y1600" s="164">
        <f>_xll.qlCalendarAdvance(Calendar,Y1599,X1600,"f",FALSE)</f>
        <v>50298</v>
      </c>
      <c r="Z1600" s="188">
        <f>_xll.qlCalendarAdvance(Calendar,Y1600,NDays&amp;"D")</f>
        <v>50300</v>
      </c>
      <c r="AA1600" s="163">
        <v>1.028354539170543E-2</v>
      </c>
      <c r="AB1600" s="172">
        <v>1.0263310588518593E-2</v>
      </c>
    </row>
    <row r="1601" spans="24:28" x14ac:dyDescent="0.2">
      <c r="X1601" s="176" t="str">
        <f t="shared" si="58"/>
        <v>1w</v>
      </c>
      <c r="Y1601" s="164">
        <f>_xll.qlCalendarAdvance(Calendar,Y1600,X1601,"f",FALSE)</f>
        <v>50305</v>
      </c>
      <c r="Z1601" s="188">
        <f>_xll.qlCalendarAdvance(Calendar,Y1601,NDays&amp;"D")</f>
        <v>50307</v>
      </c>
      <c r="AA1601" s="163">
        <v>1.0283137021330125E-2</v>
      </c>
      <c r="AB1601" s="172">
        <v>1.0262717642586239E-2</v>
      </c>
    </row>
    <row r="1602" spans="24:28" x14ac:dyDescent="0.2">
      <c r="X1602" s="176" t="str">
        <f t="shared" si="58"/>
        <v>1w</v>
      </c>
      <c r="Y1602" s="164">
        <f>_xll.qlCalendarAdvance(Calendar,Y1601,X1602,"f",FALSE)</f>
        <v>50312</v>
      </c>
      <c r="Z1602" s="188">
        <f>_xll.qlCalendarAdvance(Calendar,Y1602,NDays&amp;"D")</f>
        <v>50314</v>
      </c>
      <c r="AA1602" s="163">
        <v>1.0282866782168987E-2</v>
      </c>
      <c r="AB1602" s="172">
        <v>1.0262139215040378E-2</v>
      </c>
    </row>
    <row r="1603" spans="24:28" x14ac:dyDescent="0.2">
      <c r="X1603" s="176" t="str">
        <f t="shared" si="58"/>
        <v>1w</v>
      </c>
      <c r="Y1603" s="164">
        <f>_xll.qlCalendarAdvance(Calendar,Y1602,X1603,"f",FALSE)</f>
        <v>50319</v>
      </c>
      <c r="Z1603" s="188">
        <f>_xll.qlCalendarAdvance(Calendar,Y1603,NDays&amp;"D")</f>
        <v>50321</v>
      </c>
      <c r="AA1603" s="163">
        <v>1.0282488629519575E-2</v>
      </c>
      <c r="AB1603" s="172">
        <v>1.0261575305801074E-2</v>
      </c>
    </row>
    <row r="1604" spans="24:28" x14ac:dyDescent="0.2">
      <c r="X1604" s="176" t="str">
        <f t="shared" si="58"/>
        <v>1w</v>
      </c>
      <c r="Y1604" s="164">
        <f>_xll.qlCalendarAdvance(Calendar,Y1603,X1604,"f",FALSE)</f>
        <v>50326</v>
      </c>
      <c r="Z1604" s="188">
        <f>_xll.qlCalendarAdvance(Calendar,Y1604,NDays&amp;"D")</f>
        <v>50328</v>
      </c>
      <c r="AA1604" s="163">
        <v>1.0282125070342086E-2</v>
      </c>
      <c r="AB1604" s="172">
        <v>1.0261025914948263E-2</v>
      </c>
    </row>
    <row r="1605" spans="24:28" x14ac:dyDescent="0.2">
      <c r="X1605" s="176" t="str">
        <f t="shared" si="58"/>
        <v>1w</v>
      </c>
      <c r="Y1605" s="164">
        <f>_xll.qlCalendarAdvance(Calendar,Y1604,X1605,"f",FALSE)</f>
        <v>50333</v>
      </c>
      <c r="Z1605" s="188">
        <f>_xll.qlCalendarAdvance(Calendar,Y1605,NDays&amp;"D")</f>
        <v>50335</v>
      </c>
      <c r="AA1605" s="163">
        <v>1.0281776104628618E-2</v>
      </c>
      <c r="AB1605" s="172">
        <v>1.0260491042481945E-2</v>
      </c>
    </row>
    <row r="1606" spans="24:28" x14ac:dyDescent="0.2">
      <c r="X1606" s="176" t="str">
        <f t="shared" si="58"/>
        <v>1w</v>
      </c>
      <c r="Y1606" s="164">
        <f>_xll.qlCalendarAdvance(Calendar,Y1605,X1606,"f",FALSE)</f>
        <v>50340</v>
      </c>
      <c r="Z1606" s="188">
        <f>_xll.qlCalendarAdvance(Calendar,Y1606,NDays&amp;"D")</f>
        <v>50342</v>
      </c>
      <c r="AA1606" s="163">
        <v>1.0281441732371702E-2</v>
      </c>
      <c r="AB1606" s="172">
        <v>1.0259970688242248E-2</v>
      </c>
    </row>
    <row r="1607" spans="24:28" x14ac:dyDescent="0.2">
      <c r="X1607" s="176" t="str">
        <f t="shared" si="58"/>
        <v>1w</v>
      </c>
      <c r="Y1607" s="164">
        <f>_xll.qlCalendarAdvance(Calendar,Y1606,X1607,"f",FALSE)</f>
        <v>50347</v>
      </c>
      <c r="Z1607" s="188">
        <f>_xll.qlCalendarAdvance(Calendar,Y1607,NDays&amp;"D")</f>
        <v>50349</v>
      </c>
      <c r="AA1607" s="163">
        <v>1.028099325332988E-2</v>
      </c>
      <c r="AB1607" s="172">
        <v>1.025946485246898E-2</v>
      </c>
    </row>
    <row r="1608" spans="24:28" x14ac:dyDescent="0.2">
      <c r="X1608" s="176" t="str">
        <f t="shared" si="58"/>
        <v>1w</v>
      </c>
      <c r="Y1608" s="164">
        <f>_xll.qlCalendarAdvance(Calendar,Y1607,X1608,"f",FALSE)</f>
        <v>50354</v>
      </c>
      <c r="Z1608" s="188">
        <f>_xll.qlCalendarAdvance(Calendar,Y1608,NDays&amp;"D")</f>
        <v>50356</v>
      </c>
      <c r="AA1608" s="163">
        <v>1.0280687034298311E-2</v>
      </c>
      <c r="AB1608" s="172">
        <v>1.0258973534922333E-2</v>
      </c>
    </row>
    <row r="1609" spans="24:28" x14ac:dyDescent="0.2">
      <c r="X1609" s="176" t="str">
        <f t="shared" si="58"/>
        <v>1w</v>
      </c>
      <c r="Y1609" s="164">
        <f>_xll.qlCalendarAdvance(Calendar,Y1608,X1609,"f",FALSE)</f>
        <v>50361</v>
      </c>
      <c r="Z1609" s="188">
        <f>_xll.qlCalendarAdvance(Calendar,Y1609,NDays&amp;"D")</f>
        <v>50363</v>
      </c>
      <c r="AA1609" s="163">
        <v>1.0280395408287017E-2</v>
      </c>
      <c r="AB1609" s="172">
        <v>1.0258496735842115E-2</v>
      </c>
    </row>
    <row r="1610" spans="24:28" x14ac:dyDescent="0.2">
      <c r="X1610" s="176" t="str">
        <f t="shared" si="58"/>
        <v>1w</v>
      </c>
      <c r="Y1610" s="164">
        <f>_xll.qlCalendarAdvance(Calendar,Y1609,X1610,"f",FALSE)</f>
        <v>50368</v>
      </c>
      <c r="Z1610" s="188">
        <f>_xll.qlCalendarAdvance(Calendar,Y1610,NDays&amp;"D")</f>
        <v>50370</v>
      </c>
      <c r="AA1610" s="163">
        <v>1.0280118375288486E-2</v>
      </c>
      <c r="AB1610" s="172">
        <v>1.0258034455068454E-2</v>
      </c>
    </row>
    <row r="1611" spans="24:28" x14ac:dyDescent="0.2">
      <c r="X1611" s="176" t="str">
        <f t="shared" si="58"/>
        <v>1w</v>
      </c>
      <c r="Y1611" s="164">
        <f>_xll.qlCalendarAdvance(Calendar,Y1610,X1611,"f",FALSE)</f>
        <v>50375</v>
      </c>
      <c r="Z1611" s="188">
        <f>_xll.qlCalendarAdvance(Calendar,Y1611,NDays&amp;"D")</f>
        <v>50377</v>
      </c>
      <c r="AA1611" s="163">
        <v>1.0279988772685071E-2</v>
      </c>
      <c r="AB1611" s="172">
        <v>1.025758669260135E-2</v>
      </c>
    </row>
    <row r="1612" spans="24:28" x14ac:dyDescent="0.2">
      <c r="X1612" s="176" t="str">
        <f t="shared" si="58"/>
        <v>1w</v>
      </c>
      <c r="Y1612" s="164">
        <f>_xll.qlCalendarAdvance(Calendar,Y1611,X1612,"f",FALSE)</f>
        <v>50382</v>
      </c>
      <c r="Z1612" s="188">
        <f>_xll.qlCalendarAdvance(Calendar,Y1612,NDays&amp;"D")</f>
        <v>50384</v>
      </c>
      <c r="AA1612" s="163">
        <v>1.0279741961022973E-2</v>
      </c>
      <c r="AB1612" s="172">
        <v>1.0257153448520739E-2</v>
      </c>
    </row>
    <row r="1613" spans="24:28" x14ac:dyDescent="0.2">
      <c r="X1613" s="176" t="str">
        <f t="shared" si="58"/>
        <v>1w</v>
      </c>
      <c r="Y1613" s="164">
        <f>_xll.qlCalendarAdvance(Calendar,Y1612,X1613,"f",FALSE)</f>
        <v>50389</v>
      </c>
      <c r="Z1613" s="188">
        <f>_xll.qlCalendarAdvance(Calendar,Y1613,NDays&amp;"D")</f>
        <v>50391</v>
      </c>
      <c r="AA1613" s="163">
        <v>1.0279509742772631E-2</v>
      </c>
      <c r="AB1613" s="172">
        <v>1.0256734722826621E-2</v>
      </c>
    </row>
    <row r="1614" spans="24:28" x14ac:dyDescent="0.2">
      <c r="X1614" s="176" t="str">
        <f t="shared" si="58"/>
        <v>1w</v>
      </c>
      <c r="Y1614" s="164">
        <f>_xll.qlCalendarAdvance(Calendar,Y1613,X1614,"f",FALSE)</f>
        <v>50396</v>
      </c>
      <c r="Z1614" s="188">
        <f>_xll.qlCalendarAdvance(Calendar,Y1614,NDays&amp;"D")</f>
        <v>50398</v>
      </c>
      <c r="AA1614" s="163">
        <v>1.0279292117928331E-2</v>
      </c>
      <c r="AB1614" s="172">
        <v>1.025668427601989E-2</v>
      </c>
    </row>
    <row r="1615" spans="24:28" x14ac:dyDescent="0.2">
      <c r="X1615" s="176" t="str">
        <f t="shared" si="58"/>
        <v>1w</v>
      </c>
      <c r="Y1615" s="164">
        <f>_xll.qlCalendarAdvance(Calendar,Y1614,X1615,"f",FALSE)</f>
        <v>50403</v>
      </c>
      <c r="Z1615" s="188">
        <f>_xll.qlCalendarAdvance(Calendar,Y1615,NDays&amp;"D")</f>
        <v>50405</v>
      </c>
      <c r="AA1615" s="163">
        <v>1.0278952105296965E-2</v>
      </c>
      <c r="AB1615" s="172">
        <v>1.025629766497671E-2</v>
      </c>
    </row>
    <row r="1616" spans="24:28" x14ac:dyDescent="0.2">
      <c r="X1616" s="176" t="str">
        <f t="shared" si="58"/>
        <v>1w</v>
      </c>
      <c r="Y1616" s="164">
        <f>_xll.qlCalendarAdvance(Calendar,Y1615,X1616,"f",FALSE)</f>
        <v>50410</v>
      </c>
      <c r="Z1616" s="188">
        <f>_xll.qlCalendarAdvance(Calendar,Y1616,NDays&amp;"D")</f>
        <v>50412</v>
      </c>
      <c r="AA1616" s="163">
        <v>1.0278762630262849E-2</v>
      </c>
      <c r="AB1616" s="172">
        <v>1.0255565655663545E-2</v>
      </c>
    </row>
    <row r="1617" spans="24:28" x14ac:dyDescent="0.2">
      <c r="X1617" s="176" t="str">
        <f t="shared" si="58"/>
        <v>1w</v>
      </c>
      <c r="Y1617" s="164">
        <f>_xll.qlCalendarAdvance(Calendar,Y1616,X1617,"f",FALSE)</f>
        <v>50417</v>
      </c>
      <c r="Z1617" s="188">
        <f>_xll.qlCalendarAdvance(Calendar,Y1617,NDays&amp;"D")</f>
        <v>50419</v>
      </c>
      <c r="AA1617" s="163">
        <v>1.0278587748206168E-2</v>
      </c>
      <c r="AB1617" s="172">
        <v>1.0255205003355528E-2</v>
      </c>
    </row>
    <row r="1618" spans="24:28" x14ac:dyDescent="0.2">
      <c r="X1618" s="176" t="str">
        <f t="shared" si="58"/>
        <v>1w</v>
      </c>
      <c r="Y1618" s="164">
        <f>_xll.qlCalendarAdvance(Calendar,Y1617,X1618,"f",FALSE)</f>
        <v>50424</v>
      </c>
      <c r="Z1618" s="188">
        <f>_xll.qlCalendarAdvance(Calendar,Y1618,NDays&amp;"D")</f>
        <v>50426</v>
      </c>
      <c r="AA1618" s="163">
        <v>1.0278427459123388E-2</v>
      </c>
      <c r="AB1618" s="172">
        <v>1.0254858869354067E-2</v>
      </c>
    </row>
    <row r="1619" spans="24:28" x14ac:dyDescent="0.2">
      <c r="X1619" s="176" t="str">
        <f t="shared" si="58"/>
        <v>1w</v>
      </c>
      <c r="Y1619" s="164">
        <f>_xll.qlCalendarAdvance(Calendar,Y1618,X1619,"f",FALSE)</f>
        <v>50431</v>
      </c>
      <c r="Z1619" s="188">
        <f>_xll.qlCalendarAdvance(Calendar,Y1619,NDays&amp;"D")</f>
        <v>50433</v>
      </c>
      <c r="AA1619" s="163">
        <v>1.0278281763010533E-2</v>
      </c>
      <c r="AB1619" s="172">
        <v>1.0254527253659163E-2</v>
      </c>
    </row>
    <row r="1620" spans="24:28" x14ac:dyDescent="0.2">
      <c r="X1620" s="176" t="str">
        <f t="shared" si="58"/>
        <v>1w</v>
      </c>
      <c r="Y1620" s="164">
        <f>_xll.qlCalendarAdvance(Calendar,Y1619,X1620,"f",FALSE)</f>
        <v>50438</v>
      </c>
      <c r="Z1620" s="188">
        <f>_xll.qlCalendarAdvance(Calendar,Y1620,NDays&amp;"D")</f>
        <v>50440</v>
      </c>
      <c r="AA1620" s="163">
        <v>1.0278150659864956E-2</v>
      </c>
      <c r="AB1620" s="172">
        <v>1.0254210156350752E-2</v>
      </c>
    </row>
    <row r="1621" spans="24:28" x14ac:dyDescent="0.2">
      <c r="X1621" s="176" t="str">
        <f t="shared" ref="X1621:X1684" si="59">X1620</f>
        <v>1w</v>
      </c>
      <c r="Y1621" s="164">
        <f>_xll.qlCalendarAdvance(Calendar,Y1620,X1621,"f",FALSE)</f>
        <v>50445</v>
      </c>
      <c r="Z1621" s="188">
        <f>_xll.qlCalendarAdvance(Calendar,Y1621,NDays&amp;"D")</f>
        <v>50447</v>
      </c>
      <c r="AA1621" s="163">
        <v>1.0278034149683564E-2</v>
      </c>
      <c r="AB1621" s="172">
        <v>1.0253907577428834E-2</v>
      </c>
    </row>
    <row r="1622" spans="24:28" x14ac:dyDescent="0.2">
      <c r="X1622" s="176" t="str">
        <f t="shared" si="59"/>
        <v>1w</v>
      </c>
      <c r="Y1622" s="164">
        <f>_xll.qlCalendarAdvance(Calendar,Y1621,X1622,"f",FALSE)</f>
        <v>50452</v>
      </c>
      <c r="Z1622" s="188">
        <f>_xll.qlCalendarAdvance(Calendar,Y1622,NDays&amp;"D")</f>
        <v>50454</v>
      </c>
      <c r="AA1622" s="163">
        <v>1.0277932232463708E-2</v>
      </c>
      <c r="AB1622" s="172">
        <v>1.0253619516733536E-2</v>
      </c>
    </row>
    <row r="1623" spans="24:28" x14ac:dyDescent="0.2">
      <c r="X1623" s="176" t="str">
        <f t="shared" si="59"/>
        <v>1w</v>
      </c>
      <c r="Y1623" s="164">
        <f>_xll.qlCalendarAdvance(Calendar,Y1622,X1623,"f",FALSE)</f>
        <v>50459</v>
      </c>
      <c r="Z1623" s="188">
        <f>_xll.qlCalendarAdvance(Calendar,Y1623,NDays&amp;"D")</f>
        <v>50461</v>
      </c>
      <c r="AA1623" s="163">
        <v>1.0277844908203619E-2</v>
      </c>
      <c r="AB1623" s="172">
        <v>1.0253345974504668E-2</v>
      </c>
    </row>
    <row r="1624" spans="24:28" x14ac:dyDescent="0.2">
      <c r="X1624" s="176" t="str">
        <f t="shared" si="59"/>
        <v>1w</v>
      </c>
      <c r="Y1624" s="164">
        <f>_xll.qlCalendarAdvance(Calendar,Y1623,X1624,"f",FALSE)</f>
        <v>50466</v>
      </c>
      <c r="Z1624" s="188">
        <f>_xll.qlCalendarAdvance(Calendar,Y1624,NDays&amp;"D")</f>
        <v>50468</v>
      </c>
      <c r="AA1624" s="163">
        <v>1.027850484272223E-2</v>
      </c>
      <c r="AB1624" s="172">
        <v>1.0253086950582357E-2</v>
      </c>
    </row>
    <row r="1625" spans="24:28" x14ac:dyDescent="0.2">
      <c r="X1625" s="176" t="str">
        <f t="shared" si="59"/>
        <v>1w</v>
      </c>
      <c r="Y1625" s="164">
        <f>_xll.qlCalendarAdvance(Calendar,Y1624,X1625,"f",FALSE)</f>
        <v>50473</v>
      </c>
      <c r="Z1625" s="188">
        <f>_xll.qlCalendarAdvance(Calendar,Y1625,NDays&amp;"D")</f>
        <v>50475</v>
      </c>
      <c r="AA1625" s="163">
        <v>1.0278451908608363E-2</v>
      </c>
      <c r="AB1625" s="172">
        <v>1.0252842445046539E-2</v>
      </c>
    </row>
    <row r="1626" spans="24:28" x14ac:dyDescent="0.2">
      <c r="X1626" s="176" t="str">
        <f t="shared" si="59"/>
        <v>1w</v>
      </c>
      <c r="Y1626" s="164">
        <f>_xll.qlCalendarAdvance(Calendar,Y1625,X1626,"f",FALSE)</f>
        <v>50480</v>
      </c>
      <c r="Z1626" s="188">
        <f>_xll.qlCalendarAdvance(Calendar,Y1626,NDays&amp;"D")</f>
        <v>50482</v>
      </c>
      <c r="AA1626" s="163">
        <v>1.0278413569526777E-2</v>
      </c>
      <c r="AB1626" s="172">
        <v>1.0252612457817278E-2</v>
      </c>
    </row>
    <row r="1627" spans="24:28" x14ac:dyDescent="0.2">
      <c r="X1627" s="176" t="str">
        <f t="shared" si="59"/>
        <v>1w</v>
      </c>
      <c r="Y1627" s="164">
        <f>_xll.qlCalendarAdvance(Calendar,Y1626,X1627,"f",FALSE)</f>
        <v>50487</v>
      </c>
      <c r="Z1627" s="188">
        <f>_xll.qlCalendarAdvance(Calendar,Y1627,NDays&amp;"D")</f>
        <v>50489</v>
      </c>
      <c r="AA1627" s="163">
        <v>1.027838982547661E-2</v>
      </c>
      <c r="AB1627" s="172">
        <v>1.025239698897451E-2</v>
      </c>
    </row>
    <row r="1628" spans="24:28" x14ac:dyDescent="0.2">
      <c r="X1628" s="176" t="str">
        <f t="shared" si="59"/>
        <v>1w</v>
      </c>
      <c r="Y1628" s="164">
        <f>_xll.qlCalendarAdvance(Calendar,Y1627,X1628,"f",FALSE)</f>
        <v>50494</v>
      </c>
      <c r="Z1628" s="188">
        <f>_xll.qlCalendarAdvance(Calendar,Y1628,NDays&amp;"D")</f>
        <v>50496</v>
      </c>
      <c r="AA1628" s="163">
        <v>1.027792827242475E-2</v>
      </c>
      <c r="AB1628" s="172">
        <v>1.0252196038358363E-2</v>
      </c>
    </row>
    <row r="1629" spans="24:28" x14ac:dyDescent="0.2">
      <c r="X1629" s="176" t="str">
        <f t="shared" si="59"/>
        <v>1w</v>
      </c>
      <c r="Y1629" s="164">
        <f>_xll.qlCalendarAdvance(Calendar,Y1628,X1629,"f",FALSE)</f>
        <v>50501</v>
      </c>
      <c r="Z1629" s="188">
        <f>_xll.qlCalendarAdvance(Calendar,Y1629,NDays&amp;"D")</f>
        <v>50503</v>
      </c>
      <c r="AA1629" s="163">
        <v>1.0277930590731607E-2</v>
      </c>
      <c r="AB1629" s="172">
        <v>1.0252009606208645E-2</v>
      </c>
    </row>
    <row r="1630" spans="24:28" x14ac:dyDescent="0.2">
      <c r="X1630" s="176" t="str">
        <f t="shared" si="59"/>
        <v>1w</v>
      </c>
      <c r="Y1630" s="164">
        <f>_xll.qlCalendarAdvance(Calendar,Y1629,X1630,"f",FALSE)</f>
        <v>50508</v>
      </c>
      <c r="Z1630" s="188">
        <f>_xll.qlCalendarAdvance(Calendar,Y1630,NDays&amp;"D")</f>
        <v>50510</v>
      </c>
      <c r="AA1630" s="163">
        <v>1.0277947502822571E-2</v>
      </c>
      <c r="AB1630" s="172">
        <v>1.0251837692365484E-2</v>
      </c>
    </row>
    <row r="1631" spans="24:28" x14ac:dyDescent="0.2">
      <c r="X1631" s="176" t="str">
        <f t="shared" si="59"/>
        <v>1w</v>
      </c>
      <c r="Y1631" s="164">
        <f>_xll.qlCalendarAdvance(Calendar,Y1630,X1631,"f",FALSE)</f>
        <v>50515</v>
      </c>
      <c r="Z1631" s="188">
        <f>_xll.qlCalendarAdvance(Calendar,Y1631,NDays&amp;"D")</f>
        <v>50517</v>
      </c>
      <c r="AA1631" s="163">
        <v>1.0277979008697638E-2</v>
      </c>
      <c r="AB1631" s="172">
        <v>1.0252222173468439E-2</v>
      </c>
    </row>
    <row r="1632" spans="24:28" x14ac:dyDescent="0.2">
      <c r="X1632" s="176" t="str">
        <f t="shared" si="59"/>
        <v>1w</v>
      </c>
      <c r="Y1632" s="164">
        <f>_xll.qlCalendarAdvance(Calendar,Y1631,X1632,"f",FALSE)</f>
        <v>50522</v>
      </c>
      <c r="Z1632" s="188">
        <f>_xll.qlCalendarAdvance(Calendar,Y1632,NDays&amp;"D")</f>
        <v>50524</v>
      </c>
      <c r="AA1632" s="163">
        <v>1.0278025108357684E-2</v>
      </c>
      <c r="AB1632" s="172">
        <v>1.0251537419758705E-2</v>
      </c>
    </row>
    <row r="1633" spans="24:28" x14ac:dyDescent="0.2">
      <c r="X1633" s="176" t="str">
        <f t="shared" si="59"/>
        <v>1w</v>
      </c>
      <c r="Y1633" s="164">
        <f>_xll.qlCalendarAdvance(Calendar,Y1632,X1633,"f",FALSE)</f>
        <v>50529</v>
      </c>
      <c r="Z1633" s="188">
        <f>_xll.qlCalendarAdvance(Calendar,Y1633,NDays&amp;"D")</f>
        <v>50531</v>
      </c>
      <c r="AA1633" s="163">
        <v>1.0278553856829411E-2</v>
      </c>
      <c r="AB1633" s="172">
        <v>1.0251409060915151E-2</v>
      </c>
    </row>
    <row r="1634" spans="24:28" x14ac:dyDescent="0.2">
      <c r="X1634" s="176" t="str">
        <f t="shared" si="59"/>
        <v>1w</v>
      </c>
      <c r="Y1634" s="164">
        <f>_xll.qlCalendarAdvance(Calendar,Y1633,X1634,"f",FALSE)</f>
        <v>50536</v>
      </c>
      <c r="Z1634" s="188">
        <f>_xll.qlCalendarAdvance(Calendar,Y1634,NDays&amp;"D")</f>
        <v>50538</v>
      </c>
      <c r="AA1634" s="163">
        <v>1.0278632278003052E-2</v>
      </c>
      <c r="AB1634" s="172">
        <v>1.0251295220538026E-2</v>
      </c>
    </row>
    <row r="1635" spans="24:28" x14ac:dyDescent="0.2">
      <c r="X1635" s="176" t="str">
        <f t="shared" si="59"/>
        <v>1w</v>
      </c>
      <c r="Y1635" s="164">
        <f>_xll.qlCalendarAdvance(Calendar,Y1634,X1635,"f",FALSE)</f>
        <v>50543</v>
      </c>
      <c r="Z1635" s="188">
        <f>_xll.qlCalendarAdvance(Calendar,Y1635,NDays&amp;"D")</f>
        <v>50545</v>
      </c>
      <c r="AA1635" s="163">
        <v>1.0278725294212841E-2</v>
      </c>
      <c r="AB1635" s="172">
        <v>1.0251195898387522E-2</v>
      </c>
    </row>
    <row r="1636" spans="24:28" x14ac:dyDescent="0.2">
      <c r="X1636" s="176" t="str">
        <f t="shared" si="59"/>
        <v>1w</v>
      </c>
      <c r="Y1636" s="164">
        <f>_xll.qlCalendarAdvance(Calendar,Y1635,X1636,"f",FALSE)</f>
        <v>50550</v>
      </c>
      <c r="Z1636" s="188">
        <f>_xll.qlCalendarAdvance(Calendar,Y1636,NDays&amp;"D")</f>
        <v>50552</v>
      </c>
      <c r="AA1636" s="163">
        <v>1.0278832905461355E-2</v>
      </c>
      <c r="AB1636" s="172">
        <v>1.0251111094623511E-2</v>
      </c>
    </row>
    <row r="1637" spans="24:28" x14ac:dyDescent="0.2">
      <c r="X1637" s="176" t="str">
        <f t="shared" si="59"/>
        <v>1w</v>
      </c>
      <c r="Y1637" s="164">
        <f>_xll.qlCalendarAdvance(Calendar,Y1636,X1637,"f",FALSE)</f>
        <v>50557</v>
      </c>
      <c r="Z1637" s="188">
        <f>_xll.qlCalendarAdvance(Calendar,Y1637,NDays&amp;"D")</f>
        <v>50559</v>
      </c>
      <c r="AA1637" s="163">
        <v>1.0278474513480634E-2</v>
      </c>
      <c r="AB1637" s="172">
        <v>1.0251040809245993E-2</v>
      </c>
    </row>
    <row r="1638" spans="24:28" x14ac:dyDescent="0.2">
      <c r="X1638" s="176" t="str">
        <f t="shared" si="59"/>
        <v>1w</v>
      </c>
      <c r="Y1638" s="164">
        <f>_xll.qlCalendarAdvance(Calendar,Y1637,X1638,"f",FALSE)</f>
        <v>50564</v>
      </c>
      <c r="Z1638" s="188">
        <f>_xll.qlCalendarAdvance(Calendar,Y1638,NDays&amp;"D")</f>
        <v>50566</v>
      </c>
      <c r="AA1638" s="163">
        <v>1.0278608175883311E-2</v>
      </c>
      <c r="AB1638" s="172">
        <v>1.0250985042175031E-2</v>
      </c>
    </row>
    <row r="1639" spans="24:28" x14ac:dyDescent="0.2">
      <c r="X1639" s="176" t="str">
        <f t="shared" si="59"/>
        <v>1w</v>
      </c>
      <c r="Y1639" s="164">
        <f>_xll.qlCalendarAdvance(Calendar,Y1638,X1639,"f",FALSE)</f>
        <v>50571</v>
      </c>
      <c r="Z1639" s="188">
        <f>_xll.qlCalendarAdvance(Calendar,Y1639,NDays&amp;"D")</f>
        <v>50573</v>
      </c>
      <c r="AA1639" s="163">
        <v>1.0278756432085817E-2</v>
      </c>
      <c r="AB1639" s="172">
        <v>1.0250943793490563E-2</v>
      </c>
    </row>
    <row r="1640" spans="24:28" x14ac:dyDescent="0.2">
      <c r="X1640" s="176" t="str">
        <f t="shared" si="59"/>
        <v>1w</v>
      </c>
      <c r="Y1640" s="164">
        <f>_xll.qlCalendarAdvance(Calendar,Y1639,X1640,"f",FALSE)</f>
        <v>50578</v>
      </c>
      <c r="Z1640" s="188">
        <f>_xll.qlCalendarAdvance(Calendar,Y1640,NDays&amp;"D")</f>
        <v>50580</v>
      </c>
      <c r="AA1640" s="163">
        <v>1.0278919282089462E-2</v>
      </c>
      <c r="AB1640" s="172">
        <v>1.0250917063112652E-2</v>
      </c>
    </row>
    <row r="1641" spans="24:28" x14ac:dyDescent="0.2">
      <c r="X1641" s="176" t="str">
        <f t="shared" si="59"/>
        <v>1w</v>
      </c>
      <c r="Y1641" s="164">
        <f>_xll.qlCalendarAdvance(Calendar,Y1640,X1641,"f",FALSE)</f>
        <v>50585</v>
      </c>
      <c r="Z1641" s="188">
        <f>_xll.qlCalendarAdvance(Calendar,Y1641,NDays&amp;"D")</f>
        <v>50587</v>
      </c>
      <c r="AA1641" s="163">
        <v>1.0279589887376785E-2</v>
      </c>
      <c r="AB1641" s="172">
        <v>1.0250904851041298E-2</v>
      </c>
    </row>
    <row r="1642" spans="24:28" x14ac:dyDescent="0.2">
      <c r="X1642" s="176" t="str">
        <f t="shared" si="59"/>
        <v>1w</v>
      </c>
      <c r="Y1642" s="164">
        <f>_xll.qlCalendarAdvance(Calendar,Y1641,X1642,"f",FALSE)</f>
        <v>50592</v>
      </c>
      <c r="Z1642" s="188">
        <f>_xll.qlCalendarAdvance(Calendar,Y1642,NDays&amp;"D")</f>
        <v>50594</v>
      </c>
      <c r="AA1642" s="163">
        <v>1.0279785068918681E-2</v>
      </c>
      <c r="AB1642" s="172">
        <v>1.0250907157356437E-2</v>
      </c>
    </row>
    <row r="1643" spans="24:28" x14ac:dyDescent="0.2">
      <c r="X1643" s="176" t="str">
        <f t="shared" si="59"/>
        <v>1w</v>
      </c>
      <c r="Y1643" s="164">
        <f>_xll.qlCalendarAdvance(Calendar,Y1642,X1643,"f",FALSE)</f>
        <v>50599</v>
      </c>
      <c r="Z1643" s="188">
        <f>_xll.qlCalendarAdvance(Calendar,Y1643,NDays&amp;"D")</f>
        <v>50601</v>
      </c>
      <c r="AA1643" s="163">
        <v>1.0279994845522512E-2</v>
      </c>
      <c r="AB1643" s="172">
        <v>1.0250923982058069E-2</v>
      </c>
    </row>
    <row r="1644" spans="24:28" x14ac:dyDescent="0.2">
      <c r="X1644" s="176" t="str">
        <f t="shared" si="59"/>
        <v>1w</v>
      </c>
      <c r="Y1644" s="164">
        <f>_xll.qlCalendarAdvance(Calendar,Y1643,X1644,"f",FALSE)</f>
        <v>50606</v>
      </c>
      <c r="Z1644" s="188">
        <f>_xll.qlCalendarAdvance(Calendar,Y1644,NDays&amp;"D")</f>
        <v>50608</v>
      </c>
      <c r="AA1644" s="163">
        <v>1.0280219217193862E-2</v>
      </c>
      <c r="AB1644" s="172">
        <v>1.0250955325066258E-2</v>
      </c>
    </row>
    <row r="1645" spans="24:28" x14ac:dyDescent="0.2">
      <c r="X1645" s="176" t="str">
        <f t="shared" si="59"/>
        <v>1w</v>
      </c>
      <c r="Y1645" s="164">
        <f>_xll.qlCalendarAdvance(Calendar,Y1644,X1645,"f",FALSE)</f>
        <v>50613</v>
      </c>
      <c r="Z1645" s="188">
        <f>_xll.qlCalendarAdvance(Calendar,Y1645,NDays&amp;"D")</f>
        <v>50615</v>
      </c>
      <c r="AA1645" s="163">
        <v>1.02804581839366E-2</v>
      </c>
      <c r="AB1645" s="172">
        <v>1.025100118646094E-2</v>
      </c>
    </row>
    <row r="1646" spans="24:28" x14ac:dyDescent="0.2">
      <c r="X1646" s="176" t="str">
        <f t="shared" si="59"/>
        <v>1w</v>
      </c>
      <c r="Y1646" s="164">
        <f>_xll.qlCalendarAdvance(Calendar,Y1645,X1646,"f",FALSE)</f>
        <v>50620</v>
      </c>
      <c r="Z1646" s="188">
        <f>_xll.qlCalendarAdvance(Calendar,Y1646,NDays&amp;"D")</f>
        <v>50622</v>
      </c>
      <c r="AA1646" s="163">
        <v>1.0280711745757601E-2</v>
      </c>
      <c r="AB1646" s="172">
        <v>1.0251061566082242E-2</v>
      </c>
    </row>
    <row r="1647" spans="24:28" x14ac:dyDescent="0.2">
      <c r="X1647" s="176" t="str">
        <f t="shared" si="59"/>
        <v>1w</v>
      </c>
      <c r="Y1647" s="164">
        <f>_xll.qlCalendarAdvance(Calendar,Y1646,X1647,"f",FALSE)</f>
        <v>50627</v>
      </c>
      <c r="Z1647" s="188">
        <f>_xll.qlCalendarAdvance(Calendar,Y1647,NDays&amp;"D")</f>
        <v>50629</v>
      </c>
      <c r="AA1647" s="163">
        <v>1.0280979902661165E-2</v>
      </c>
      <c r="AB1647" s="172">
        <v>1.0251136464169974E-2</v>
      </c>
    </row>
    <row r="1648" spans="24:28" x14ac:dyDescent="0.2">
      <c r="X1648" s="176" t="str">
        <f t="shared" si="59"/>
        <v>1w</v>
      </c>
      <c r="Y1648" s="164">
        <f>_xll.qlCalendarAdvance(Calendar,Y1647,X1648,"f",FALSE)</f>
        <v>50634</v>
      </c>
      <c r="Z1648" s="188">
        <f>_xll.qlCalendarAdvance(Calendar,Y1648,NDays&amp;"D")</f>
        <v>50636</v>
      </c>
      <c r="AA1648" s="163">
        <v>1.0281262654654167E-2</v>
      </c>
      <c r="AB1648" s="172">
        <v>1.0251225880564263E-2</v>
      </c>
    </row>
    <row r="1649" spans="24:28" x14ac:dyDescent="0.2">
      <c r="X1649" s="176" t="str">
        <f t="shared" si="59"/>
        <v>1w</v>
      </c>
      <c r="Y1649" s="164">
        <f>_xll.qlCalendarAdvance(Calendar,Y1648,X1649,"f",FALSE)</f>
        <v>50641</v>
      </c>
      <c r="Z1649" s="188">
        <f>_xll.qlCalendarAdvance(Calendar,Y1649,NDays&amp;"D")</f>
        <v>50643</v>
      </c>
      <c r="AA1649" s="163">
        <v>1.0281560001742624E-2</v>
      </c>
      <c r="AB1649" s="172">
        <v>1.0251329815345045E-2</v>
      </c>
    </row>
    <row r="1650" spans="24:28" x14ac:dyDescent="0.2">
      <c r="X1650" s="176" t="str">
        <f t="shared" si="59"/>
        <v>1w</v>
      </c>
      <c r="Y1650" s="164">
        <f>_xll.qlCalendarAdvance(Calendar,Y1649,X1650,"f",FALSE)</f>
        <v>50648</v>
      </c>
      <c r="Z1650" s="188">
        <f>_xll.qlCalendarAdvance(Calendar,Y1650,NDays&amp;"D")</f>
        <v>50650</v>
      </c>
      <c r="AA1650" s="163">
        <v>1.0281003292440196E-2</v>
      </c>
      <c r="AB1650" s="172">
        <v>1.0251448268432384E-2</v>
      </c>
    </row>
    <row r="1651" spans="24:28" x14ac:dyDescent="0.2">
      <c r="X1651" s="176" t="str">
        <f t="shared" si="59"/>
        <v>1w</v>
      </c>
      <c r="Y1651" s="164">
        <f>_xll.qlCalendarAdvance(Calendar,Y1650,X1651,"f",FALSE)</f>
        <v>50655</v>
      </c>
      <c r="Z1651" s="188">
        <f>_xll.qlCalendarAdvance(Calendar,Y1651,NDays&amp;"D")</f>
        <v>50657</v>
      </c>
      <c r="AA1651" s="163">
        <v>1.0281324571434764E-2</v>
      </c>
      <c r="AB1651" s="172">
        <v>1.0251581239906216E-2</v>
      </c>
    </row>
    <row r="1652" spans="24:28" x14ac:dyDescent="0.2">
      <c r="X1652" s="176" t="str">
        <f t="shared" si="59"/>
        <v>1w</v>
      </c>
      <c r="Y1652" s="164">
        <f>_xll.qlCalendarAdvance(Calendar,Y1651,X1652,"f",FALSE)</f>
        <v>50662</v>
      </c>
      <c r="Z1652" s="188">
        <f>_xll.qlCalendarAdvance(Calendar,Y1652,NDays&amp;"D")</f>
        <v>50664</v>
      </c>
      <c r="AA1652" s="163">
        <v>1.0281660443463297E-2</v>
      </c>
      <c r="AB1652" s="172">
        <v>1.0251728729686604E-2</v>
      </c>
    </row>
    <row r="1653" spans="24:28" x14ac:dyDescent="0.2">
      <c r="X1653" s="176" t="str">
        <f t="shared" si="59"/>
        <v>1w</v>
      </c>
      <c r="Y1653" s="164">
        <f>_xll.qlCalendarAdvance(Calendar,Y1652,X1653,"f",FALSE)</f>
        <v>50669</v>
      </c>
      <c r="Z1653" s="188">
        <f>_xll.qlCalendarAdvance(Calendar,Y1653,NDays&amp;"D")</f>
        <v>50671</v>
      </c>
      <c r="AA1653" s="163">
        <v>1.0282010908532417E-2</v>
      </c>
      <c r="AB1653" s="172">
        <v>1.0251890737853486E-2</v>
      </c>
    </row>
    <row r="1654" spans="24:28" x14ac:dyDescent="0.2">
      <c r="X1654" s="176" t="str">
        <f t="shared" si="59"/>
        <v>1w</v>
      </c>
      <c r="Y1654" s="164">
        <f>_xll.qlCalendarAdvance(Calendar,Y1653,X1654,"f",FALSE)</f>
        <v>50676</v>
      </c>
      <c r="Z1654" s="188">
        <f>_xll.qlCalendarAdvance(Calendar,Y1654,NDays&amp;"D")</f>
        <v>50678</v>
      </c>
      <c r="AA1654" s="163">
        <v>1.0282553698401286E-2</v>
      </c>
      <c r="AB1654" s="172">
        <v>1.0252067264326925E-2</v>
      </c>
    </row>
    <row r="1655" spans="24:28" x14ac:dyDescent="0.2">
      <c r="X1655" s="176" t="str">
        <f t="shared" si="59"/>
        <v>1w</v>
      </c>
      <c r="Y1655" s="164">
        <f>_xll.qlCalendarAdvance(Calendar,Y1654,X1655,"f",FALSE)</f>
        <v>50683</v>
      </c>
      <c r="Z1655" s="188">
        <f>_xll.qlCalendarAdvance(Calendar,Y1655,NDays&amp;"D")</f>
        <v>50685</v>
      </c>
      <c r="AA1655" s="163">
        <v>1.0282934402784468E-2</v>
      </c>
      <c r="AB1655" s="172">
        <v>1.0252258309186857E-2</v>
      </c>
    </row>
    <row r="1656" spans="24:28" x14ac:dyDescent="0.2">
      <c r="X1656" s="176" t="str">
        <f t="shared" si="59"/>
        <v>1w</v>
      </c>
      <c r="Y1656" s="164">
        <f>_xll.qlCalendarAdvance(Calendar,Y1655,X1656,"f",FALSE)</f>
        <v>50690</v>
      </c>
      <c r="Z1656" s="188">
        <f>_xll.qlCalendarAdvance(Calendar,Y1656,NDays&amp;"D")</f>
        <v>50692</v>
      </c>
      <c r="AA1656" s="163">
        <v>1.0283329700649239E-2</v>
      </c>
      <c r="AB1656" s="172">
        <v>1.0252463872353346E-2</v>
      </c>
    </row>
    <row r="1657" spans="24:28" x14ac:dyDescent="0.2">
      <c r="X1657" s="176" t="str">
        <f t="shared" si="59"/>
        <v>1w</v>
      </c>
      <c r="Y1657" s="164">
        <f>_xll.qlCalendarAdvance(Calendar,Y1656,X1657,"f",FALSE)</f>
        <v>50697</v>
      </c>
      <c r="Z1657" s="188">
        <f>_xll.qlCalendarAdvance(Calendar,Y1657,NDays&amp;"D")</f>
        <v>50699</v>
      </c>
      <c r="AA1657" s="163">
        <v>1.0283739592004822E-2</v>
      </c>
      <c r="AB1657" s="172">
        <v>1.0252683953826391E-2</v>
      </c>
    </row>
    <row r="1658" spans="24:28" x14ac:dyDescent="0.2">
      <c r="X1658" s="176" t="str">
        <f t="shared" si="59"/>
        <v>1w</v>
      </c>
      <c r="Y1658" s="164">
        <f>_xll.qlCalendarAdvance(Calendar,Y1657,X1658,"f",FALSE)</f>
        <v>50704</v>
      </c>
      <c r="Z1658" s="188">
        <f>_xll.qlCalendarAdvance(Calendar,Y1658,NDays&amp;"D")</f>
        <v>50706</v>
      </c>
      <c r="AA1658" s="163">
        <v>1.0284164076859999E-2</v>
      </c>
      <c r="AB1658" s="172">
        <v>1.025291855368593E-2</v>
      </c>
    </row>
    <row r="1659" spans="24:28" x14ac:dyDescent="0.2">
      <c r="X1659" s="176" t="str">
        <f t="shared" si="59"/>
        <v>1w</v>
      </c>
      <c r="Y1659" s="164">
        <f>_xll.qlCalendarAdvance(Calendar,Y1658,X1659,"f",FALSE)</f>
        <v>50711</v>
      </c>
      <c r="Z1659" s="188">
        <f>_xll.qlCalendarAdvance(Calendar,Y1659,NDays&amp;"D")</f>
        <v>50713</v>
      </c>
      <c r="AA1659" s="163">
        <v>1.028442015326453E-2</v>
      </c>
      <c r="AB1659" s="172">
        <v>1.0253167671931962E-2</v>
      </c>
    </row>
    <row r="1660" spans="24:28" x14ac:dyDescent="0.2">
      <c r="X1660" s="176" t="str">
        <f t="shared" si="59"/>
        <v>1w</v>
      </c>
      <c r="Y1660" s="164">
        <f>_xll.qlCalendarAdvance(Calendar,Y1659,X1660,"f",FALSE)</f>
        <v>50718</v>
      </c>
      <c r="Z1660" s="188">
        <f>_xll.qlCalendarAdvance(Calendar,Y1660,NDays&amp;"D")</f>
        <v>50720</v>
      </c>
      <c r="AA1660" s="163">
        <v>1.0284872769854042E-2</v>
      </c>
      <c r="AB1660" s="172">
        <v>1.0253431308484551E-2</v>
      </c>
    </row>
    <row r="1661" spans="24:28" x14ac:dyDescent="0.2">
      <c r="X1661" s="176" t="str">
        <f t="shared" si="59"/>
        <v>1w</v>
      </c>
      <c r="Y1661" s="164">
        <f>_xll.qlCalendarAdvance(Calendar,Y1660,X1661,"f",FALSE)</f>
        <v>50725</v>
      </c>
      <c r="Z1661" s="188">
        <f>_xll.qlCalendarAdvance(Calendar,Y1661,NDays&amp;"D")</f>
        <v>50727</v>
      </c>
      <c r="AA1661" s="163">
        <v>1.0285339979555688E-2</v>
      </c>
      <c r="AB1661" s="172">
        <v>1.0253709463423633E-2</v>
      </c>
    </row>
    <row r="1662" spans="24:28" x14ac:dyDescent="0.2">
      <c r="X1662" s="176" t="str">
        <f t="shared" si="59"/>
        <v>1w</v>
      </c>
      <c r="Y1662" s="164">
        <f>_xll.qlCalendarAdvance(Calendar,Y1661,X1662,"f",FALSE)</f>
        <v>50732</v>
      </c>
      <c r="Z1662" s="188">
        <f>_xll.qlCalendarAdvance(Calendar,Y1662,NDays&amp;"D")</f>
        <v>50734</v>
      </c>
      <c r="AA1662" s="163">
        <v>1.0285821782377856E-2</v>
      </c>
      <c r="AB1662" s="172">
        <v>1.0254002136669271E-2</v>
      </c>
    </row>
    <row r="1663" spans="24:28" x14ac:dyDescent="0.2">
      <c r="X1663" s="176" t="str">
        <f t="shared" si="59"/>
        <v>1w</v>
      </c>
      <c r="Y1663" s="164">
        <f>_xll.qlCalendarAdvance(Calendar,Y1662,X1663,"f",FALSE)</f>
        <v>50739</v>
      </c>
      <c r="Z1663" s="188">
        <f>_xll.qlCalendarAdvance(Calendar,Y1663,NDays&amp;"D")</f>
        <v>50741</v>
      </c>
      <c r="AA1663" s="163">
        <v>1.0286505403968015E-2</v>
      </c>
      <c r="AB1663" s="172">
        <v>1.0254309328221467E-2</v>
      </c>
    </row>
    <row r="1664" spans="24:28" x14ac:dyDescent="0.2">
      <c r="X1664" s="176" t="str">
        <f t="shared" si="59"/>
        <v>1w</v>
      </c>
      <c r="Y1664" s="164">
        <f>_xll.qlCalendarAdvance(Calendar,Y1663,X1664,"f",FALSE)</f>
        <v>50746</v>
      </c>
      <c r="Z1664" s="188">
        <f>_xll.qlCalendarAdvance(Calendar,Y1664,NDays&amp;"D")</f>
        <v>50748</v>
      </c>
      <c r="AA1664" s="163">
        <v>1.0287017450028513E-2</v>
      </c>
      <c r="AB1664" s="172">
        <v>1.0254631038240092E-2</v>
      </c>
    </row>
    <row r="1665" spans="24:28" x14ac:dyDescent="0.2">
      <c r="X1665" s="176" t="str">
        <f t="shared" si="59"/>
        <v>1w</v>
      </c>
      <c r="Y1665" s="164">
        <f>_xll.qlCalendarAdvance(Calendar,Y1664,X1665,"f",FALSE)</f>
        <v>50753</v>
      </c>
      <c r="Z1665" s="188">
        <f>_xll.qlCalendarAdvance(Calendar,Y1665,NDays&amp;"D")</f>
        <v>50755</v>
      </c>
      <c r="AA1665" s="163">
        <v>1.0287544089660197E-2</v>
      </c>
      <c r="AB1665" s="172">
        <v>1.0254967266565274E-2</v>
      </c>
    </row>
    <row r="1666" spans="24:28" x14ac:dyDescent="0.2">
      <c r="X1666" s="176" t="str">
        <f t="shared" si="59"/>
        <v>1w</v>
      </c>
      <c r="Y1666" s="164">
        <f>_xll.qlCalendarAdvance(Calendar,Y1665,X1666,"f",FALSE)</f>
        <v>50760</v>
      </c>
      <c r="Z1666" s="188">
        <f>_xll.qlCalendarAdvance(Calendar,Y1666,NDays&amp;"D")</f>
        <v>50762</v>
      </c>
      <c r="AA1666" s="163">
        <v>1.0288085322875366E-2</v>
      </c>
      <c r="AB1666" s="172">
        <v>1.0255318013197012E-2</v>
      </c>
    </row>
    <row r="1667" spans="24:28" x14ac:dyDescent="0.2">
      <c r="X1667" s="176" t="str">
        <f t="shared" si="59"/>
        <v>1w</v>
      </c>
      <c r="Y1667" s="164">
        <f>_xll.qlCalendarAdvance(Calendar,Y1666,X1667,"f",FALSE)</f>
        <v>50767</v>
      </c>
      <c r="Z1667" s="188">
        <f>_xll.qlCalendarAdvance(Calendar,Y1667,NDays&amp;"D")</f>
        <v>50769</v>
      </c>
      <c r="AA1667" s="163">
        <v>1.0288641149686317E-2</v>
      </c>
      <c r="AB1667" s="172">
        <v>1.0255683278135308E-2</v>
      </c>
    </row>
    <row r="1668" spans="24:28" x14ac:dyDescent="0.2">
      <c r="X1668" s="176" t="str">
        <f t="shared" si="59"/>
        <v>1w</v>
      </c>
      <c r="Y1668" s="164">
        <f>_xll.qlCalendarAdvance(Calendar,Y1667,X1668,"f",FALSE)</f>
        <v>50774</v>
      </c>
      <c r="Z1668" s="188">
        <f>_xll.qlCalendarAdvance(Calendar,Y1668,NDays&amp;"D")</f>
        <v>50776</v>
      </c>
      <c r="AA1668" s="163">
        <v>1.0289019055482249E-2</v>
      </c>
      <c r="AB1668" s="172">
        <v>1.0256063061460097E-2</v>
      </c>
    </row>
    <row r="1669" spans="24:28" x14ac:dyDescent="0.2">
      <c r="X1669" s="176" t="str">
        <f t="shared" si="59"/>
        <v>1w</v>
      </c>
      <c r="Y1669" s="164">
        <f>_xll.qlCalendarAdvance(Calendar,Y1668,X1669,"f",FALSE)</f>
        <v>50781</v>
      </c>
      <c r="Z1669" s="188">
        <f>_xll.qlCalendarAdvance(Calendar,Y1669,NDays&amp;"D")</f>
        <v>50783</v>
      </c>
      <c r="AA1669" s="163">
        <v>1.0289603010469599E-2</v>
      </c>
      <c r="AB1669" s="172">
        <v>1.0256457363171378E-2</v>
      </c>
    </row>
    <row r="1670" spans="24:28" x14ac:dyDescent="0.2">
      <c r="X1670" s="176" t="str">
        <f t="shared" si="59"/>
        <v>1w</v>
      </c>
      <c r="Y1670" s="164">
        <f>_xll.qlCalendarAdvance(Calendar,Y1669,X1670,"f",FALSE)</f>
        <v>50788</v>
      </c>
      <c r="Z1670" s="188">
        <f>_xll.qlCalendarAdvance(Calendar,Y1670,NDays&amp;"D")</f>
        <v>50790</v>
      </c>
      <c r="AA1670" s="163">
        <v>1.0290201558672423E-2</v>
      </c>
      <c r="AB1670" s="172">
        <v>1.0256866183269153E-2</v>
      </c>
    </row>
    <row r="1671" spans="24:28" x14ac:dyDescent="0.2">
      <c r="X1671" s="176" t="str">
        <f t="shared" si="59"/>
        <v>1w</v>
      </c>
      <c r="Y1671" s="164">
        <f>_xll.qlCalendarAdvance(Calendar,Y1670,X1671,"f",FALSE)</f>
        <v>50795</v>
      </c>
      <c r="Z1671" s="188">
        <f>_xll.qlCalendarAdvance(Calendar,Y1671,NDays&amp;"D")</f>
        <v>50797</v>
      </c>
      <c r="AA1671" s="163">
        <v>1.0290814700103089E-2</v>
      </c>
      <c r="AB1671" s="172">
        <v>1.0257289521593549E-2</v>
      </c>
    </row>
    <row r="1672" spans="24:28" x14ac:dyDescent="0.2">
      <c r="X1672" s="176" t="str">
        <f t="shared" si="59"/>
        <v>1w</v>
      </c>
      <c r="Y1672" s="164">
        <f>_xll.qlCalendarAdvance(Calendar,Y1671,X1672,"f",FALSE)</f>
        <v>50802</v>
      </c>
      <c r="Z1672" s="188">
        <f>_xll.qlCalendarAdvance(Calendar,Y1672,NDays&amp;"D")</f>
        <v>50804</v>
      </c>
      <c r="AA1672" s="163">
        <v>1.0291442434774846E-2</v>
      </c>
      <c r="AB1672" s="172">
        <v>1.0257727378304438E-2</v>
      </c>
    </row>
    <row r="1673" spans="24:28" x14ac:dyDescent="0.2">
      <c r="X1673" s="176" t="str">
        <f t="shared" si="59"/>
        <v>1w</v>
      </c>
      <c r="Y1673" s="164">
        <f>_xll.qlCalendarAdvance(Calendar,Y1672,X1673,"f",FALSE)</f>
        <v>50809</v>
      </c>
      <c r="Z1673" s="188">
        <f>_xll.qlCalendarAdvance(Calendar,Y1673,NDays&amp;"D")</f>
        <v>50811</v>
      </c>
      <c r="AA1673" s="163">
        <v>1.0292084762702268E-2</v>
      </c>
      <c r="AB1673" s="172">
        <v>1.0258179753401819E-2</v>
      </c>
    </row>
    <row r="1674" spans="24:28" x14ac:dyDescent="0.2">
      <c r="X1674" s="176" t="str">
        <f t="shared" si="59"/>
        <v>1w</v>
      </c>
      <c r="Y1674" s="164">
        <f>_xll.qlCalendarAdvance(Calendar,Y1673,X1674,"f",FALSE)</f>
        <v>50816</v>
      </c>
      <c r="Z1674" s="188">
        <f>_xll.qlCalendarAdvance(Calendar,Y1674,NDays&amp;"D")</f>
        <v>50818</v>
      </c>
      <c r="AA1674" s="163">
        <v>1.0292741683899044E-2</v>
      </c>
      <c r="AB1674" s="172">
        <v>1.0258646646805758E-2</v>
      </c>
    </row>
    <row r="1675" spans="24:28" x14ac:dyDescent="0.2">
      <c r="X1675" s="176" t="str">
        <f t="shared" si="59"/>
        <v>1w</v>
      </c>
      <c r="Y1675" s="164">
        <f>_xll.qlCalendarAdvance(Calendar,Y1674,X1675,"f",FALSE)</f>
        <v>50823</v>
      </c>
      <c r="Z1675" s="188">
        <f>_xll.qlCalendarAdvance(Calendar,Y1675,NDays&amp;"D")</f>
        <v>50825</v>
      </c>
      <c r="AA1675" s="163">
        <v>1.0293413198379309E-2</v>
      </c>
      <c r="AB1675" s="172">
        <v>1.025912805859619E-2</v>
      </c>
    </row>
    <row r="1676" spans="24:28" x14ac:dyDescent="0.2">
      <c r="X1676" s="176" t="str">
        <f t="shared" si="59"/>
        <v>1w</v>
      </c>
      <c r="Y1676" s="164">
        <f>_xll.qlCalendarAdvance(Calendar,Y1675,X1676,"f",FALSE)</f>
        <v>50830</v>
      </c>
      <c r="Z1676" s="188">
        <f>_xll.qlCalendarAdvance(Calendar,Y1676,NDays&amp;"D")</f>
        <v>50832</v>
      </c>
      <c r="AA1676" s="163">
        <v>1.0295105351516062E-2</v>
      </c>
      <c r="AB1676" s="172">
        <v>1.0259623988773114E-2</v>
      </c>
    </row>
    <row r="1677" spans="24:28" x14ac:dyDescent="0.2">
      <c r="X1677" s="176" t="str">
        <f t="shared" si="59"/>
        <v>1w</v>
      </c>
      <c r="Y1677" s="164">
        <f>_xll.qlCalendarAdvance(Calendar,Y1676,X1677,"f",FALSE)</f>
        <v>50837</v>
      </c>
      <c r="Z1677" s="188">
        <f>_xll.qlCalendarAdvance(Calendar,Y1677,NDays&amp;"D")</f>
        <v>50839</v>
      </c>
      <c r="AA1677" s="163">
        <v>1.0295811365197558E-2</v>
      </c>
      <c r="AB1677" s="172">
        <v>1.026013443717666E-2</v>
      </c>
    </row>
    <row r="1678" spans="24:28" x14ac:dyDescent="0.2">
      <c r="X1678" s="176" t="str">
        <f t="shared" si="59"/>
        <v>1w</v>
      </c>
      <c r="Y1678" s="164">
        <f>_xll.qlCalendarAdvance(Calendar,Y1677,X1678,"f",FALSE)</f>
        <v>50844</v>
      </c>
      <c r="Z1678" s="188">
        <f>_xll.qlCalendarAdvance(Calendar,Y1678,NDays&amp;"D")</f>
        <v>50846</v>
      </c>
      <c r="AA1678" s="163">
        <v>1.0296531974301989E-2</v>
      </c>
      <c r="AB1678" s="172">
        <v>1.0260659404046635E-2</v>
      </c>
    </row>
    <row r="1679" spans="24:28" x14ac:dyDescent="0.2">
      <c r="X1679" s="176" t="str">
        <f t="shared" si="59"/>
        <v>1w</v>
      </c>
      <c r="Y1679" s="164">
        <f>_xll.qlCalendarAdvance(Calendar,Y1678,X1679,"f",FALSE)</f>
        <v>50851</v>
      </c>
      <c r="Z1679" s="188">
        <f>_xll.qlCalendarAdvance(Calendar,Y1679,NDays&amp;"D")</f>
        <v>50853</v>
      </c>
      <c r="AA1679" s="163">
        <v>1.0297267178846116E-2</v>
      </c>
      <c r="AB1679" s="172">
        <v>1.0261198889223166E-2</v>
      </c>
    </row>
    <row r="1680" spans="24:28" x14ac:dyDescent="0.2">
      <c r="X1680" s="176" t="str">
        <f t="shared" si="59"/>
        <v>1w</v>
      </c>
      <c r="Y1680" s="164">
        <f>_xll.qlCalendarAdvance(Calendar,Y1679,X1680,"f",FALSE)</f>
        <v>50858</v>
      </c>
      <c r="Z1680" s="188">
        <f>_xll.qlCalendarAdvance(Calendar,Y1680,NDays&amp;"D")</f>
        <v>50860</v>
      </c>
      <c r="AA1680" s="163">
        <v>1.0297400277639108E-2</v>
      </c>
      <c r="AB1680" s="172">
        <v>1.0261752892626319E-2</v>
      </c>
    </row>
    <row r="1681" spans="24:28" x14ac:dyDescent="0.2">
      <c r="X1681" s="176" t="str">
        <f t="shared" si="59"/>
        <v>1w</v>
      </c>
      <c r="Y1681" s="164">
        <f>_xll.qlCalendarAdvance(Calendar,Y1680,X1681,"f",FALSE)</f>
        <v>50865</v>
      </c>
      <c r="Z1681" s="188">
        <f>_xll.qlCalendarAdvance(Calendar,Y1681,NDays&amp;"D")</f>
        <v>50867</v>
      </c>
      <c r="AA1681" s="163">
        <v>1.029816148034828E-2</v>
      </c>
      <c r="AB1681" s="172">
        <v>1.0263071932511636E-2</v>
      </c>
    </row>
    <row r="1682" spans="24:28" x14ac:dyDescent="0.2">
      <c r="X1682" s="176" t="str">
        <f t="shared" si="59"/>
        <v>1w</v>
      </c>
      <c r="Y1682" s="164">
        <f>_xll.qlCalendarAdvance(Calendar,Y1681,X1682,"f",FALSE)</f>
        <v>50872</v>
      </c>
      <c r="Z1682" s="188">
        <f>_xll.qlCalendarAdvance(Calendar,Y1682,NDays&amp;"D")</f>
        <v>50874</v>
      </c>
      <c r="AA1682" s="163">
        <v>1.0298937277289285E-2</v>
      </c>
      <c r="AB1682" s="172">
        <v>1.0262904454672039E-2</v>
      </c>
    </row>
    <row r="1683" spans="24:28" x14ac:dyDescent="0.2">
      <c r="X1683" s="176" t="str">
        <f t="shared" si="59"/>
        <v>1w</v>
      </c>
      <c r="Y1683" s="164">
        <f>_xll.qlCalendarAdvance(Calendar,Y1682,X1683,"f",FALSE)</f>
        <v>50879</v>
      </c>
      <c r="Z1683" s="188">
        <f>_xll.qlCalendarAdvance(Calendar,Y1683,NDays&amp;"D")</f>
        <v>50881</v>
      </c>
      <c r="AA1683" s="163">
        <v>1.0299727668479596E-2</v>
      </c>
      <c r="AB1683" s="172">
        <v>1.0263502013314607E-2</v>
      </c>
    </row>
    <row r="1684" spans="24:28" x14ac:dyDescent="0.2">
      <c r="X1684" s="176" t="str">
        <f t="shared" si="59"/>
        <v>1w</v>
      </c>
      <c r="Y1684" s="164">
        <f>_xll.qlCalendarAdvance(Calendar,Y1683,X1684,"f",FALSE)</f>
        <v>50886</v>
      </c>
      <c r="Z1684" s="188">
        <f>_xll.qlCalendarAdvance(Calendar,Y1684,NDays&amp;"D")</f>
        <v>50888</v>
      </c>
      <c r="AA1684" s="163">
        <v>1.030053265393625E-2</v>
      </c>
      <c r="AB1684" s="172">
        <v>1.0264114090183796E-2</v>
      </c>
    </row>
    <row r="1685" spans="24:28" x14ac:dyDescent="0.2">
      <c r="X1685" s="176" t="str">
        <f t="shared" ref="X1685:X1748" si="60">X1684</f>
        <v>1w</v>
      </c>
      <c r="Y1685" s="164">
        <f>_xll.qlCalendarAdvance(Calendar,Y1684,X1685,"f",FALSE)</f>
        <v>50893</v>
      </c>
      <c r="Z1685" s="188">
        <f>_xll.qlCalendarAdvance(Calendar,Y1685,NDays&amp;"D")</f>
        <v>50895</v>
      </c>
      <c r="AA1685" s="163">
        <v>1.0301984911280504E-2</v>
      </c>
      <c r="AB1685" s="172">
        <v>1.0264740685439477E-2</v>
      </c>
    </row>
    <row r="1686" spans="24:28" x14ac:dyDescent="0.2">
      <c r="X1686" s="176" t="str">
        <f t="shared" si="60"/>
        <v>1w</v>
      </c>
      <c r="Y1686" s="164">
        <f>_xll.qlCalendarAdvance(Calendar,Y1685,X1686,"f",FALSE)</f>
        <v>50900</v>
      </c>
      <c r="Z1686" s="188">
        <f>_xll.qlCalendarAdvance(Calendar,Y1686,NDays&amp;"D")</f>
        <v>50902</v>
      </c>
      <c r="AA1686" s="163">
        <v>1.0302822284380396E-2</v>
      </c>
      <c r="AB1686" s="172">
        <v>1.0265381799081652E-2</v>
      </c>
    </row>
    <row r="1687" spans="24:28" x14ac:dyDescent="0.2">
      <c r="X1687" s="176" t="str">
        <f t="shared" si="60"/>
        <v>1w</v>
      </c>
      <c r="Y1687" s="164">
        <f>_xll.qlCalendarAdvance(Calendar,Y1686,X1687,"f",FALSE)</f>
        <v>50907</v>
      </c>
      <c r="Z1687" s="188">
        <f>_xll.qlCalendarAdvance(Calendar,Y1687,NDays&amp;"D")</f>
        <v>50909</v>
      </c>
      <c r="AA1687" s="163">
        <v>1.0303674253060517E-2</v>
      </c>
      <c r="AB1687" s="172">
        <v>1.0266037431030384E-2</v>
      </c>
    </row>
    <row r="1688" spans="24:28" x14ac:dyDescent="0.2">
      <c r="X1688" s="176" t="str">
        <f t="shared" si="60"/>
        <v>1w</v>
      </c>
      <c r="Y1688" s="164">
        <f>_xll.qlCalendarAdvance(Calendar,Y1687,X1688,"f",FALSE)</f>
        <v>50914</v>
      </c>
      <c r="Z1688" s="188">
        <f>_xll.qlCalendarAdvance(Calendar,Y1688,NDays&amp;"D")</f>
        <v>50916</v>
      </c>
      <c r="AA1688" s="163">
        <v>1.0304540817341066E-2</v>
      </c>
      <c r="AB1688" s="172">
        <v>1.0266707581285672E-2</v>
      </c>
    </row>
    <row r="1689" spans="24:28" x14ac:dyDescent="0.2">
      <c r="X1689" s="176" t="str">
        <f t="shared" si="60"/>
        <v>1w</v>
      </c>
      <c r="Y1689" s="164">
        <f>_xll.qlCalendarAdvance(Calendar,Y1688,X1689,"f",FALSE)</f>
        <v>50921</v>
      </c>
      <c r="Z1689" s="188">
        <f>_xll.qlCalendarAdvance(Calendar,Y1689,NDays&amp;"D")</f>
        <v>50923</v>
      </c>
      <c r="AA1689" s="163">
        <v>1.0304776495851512E-2</v>
      </c>
      <c r="AB1689" s="172">
        <v>1.026739225000739E-2</v>
      </c>
    </row>
    <row r="1690" spans="24:28" x14ac:dyDescent="0.2">
      <c r="X1690" s="176" t="str">
        <f t="shared" si="60"/>
        <v>1w</v>
      </c>
      <c r="Y1690" s="164">
        <f>_xll.qlCalendarAdvance(Calendar,Y1689,X1690,"f",FALSE)</f>
        <v>50928</v>
      </c>
      <c r="Z1690" s="188">
        <f>_xll.qlCalendarAdvance(Calendar,Y1690,NDays&amp;"D")</f>
        <v>50930</v>
      </c>
      <c r="AA1690" s="163">
        <v>1.0305669047292793E-2</v>
      </c>
      <c r="AB1690" s="172">
        <v>1.0268091436955729E-2</v>
      </c>
    </row>
    <row r="1691" spans="24:28" x14ac:dyDescent="0.2">
      <c r="X1691" s="176" t="str">
        <f t="shared" si="60"/>
        <v>1w</v>
      </c>
      <c r="Y1691" s="164">
        <f>_xll.qlCalendarAdvance(Calendar,Y1690,X1691,"f",FALSE)</f>
        <v>50935</v>
      </c>
      <c r="Z1691" s="188">
        <f>_xll.qlCalendarAdvance(Calendar,Y1691,NDays&amp;"D")</f>
        <v>50937</v>
      </c>
      <c r="AA1691" s="163">
        <v>1.0306576193132333E-2</v>
      </c>
      <c r="AB1691" s="172">
        <v>1.026880514229056E-2</v>
      </c>
    </row>
    <row r="1692" spans="24:28" x14ac:dyDescent="0.2">
      <c r="X1692" s="176" t="str">
        <f t="shared" si="60"/>
        <v>1w</v>
      </c>
      <c r="Y1692" s="164">
        <f>_xll.qlCalendarAdvance(Calendar,Y1691,X1692,"f",FALSE)</f>
        <v>50942</v>
      </c>
      <c r="Z1692" s="188">
        <f>_xll.qlCalendarAdvance(Calendar,Y1692,NDays&amp;"D")</f>
        <v>50944</v>
      </c>
      <c r="AA1692" s="163">
        <v>1.0307497933389786E-2</v>
      </c>
      <c r="AB1692" s="172">
        <v>1.0269533366091821E-2</v>
      </c>
    </row>
    <row r="1693" spans="24:28" x14ac:dyDescent="0.2">
      <c r="X1693" s="176" t="str">
        <f t="shared" si="60"/>
        <v>1w</v>
      </c>
      <c r="Y1693" s="164">
        <f>_xll.qlCalendarAdvance(Calendar,Y1692,X1693,"f",FALSE)</f>
        <v>50949</v>
      </c>
      <c r="Z1693" s="188">
        <f>_xll.qlCalendarAdvance(Calendar,Y1693,NDays&amp;"D")</f>
        <v>50951</v>
      </c>
      <c r="AA1693" s="163">
        <v>1.0308434268085684E-2</v>
      </c>
      <c r="AB1693" s="172">
        <v>1.0270276108039766E-2</v>
      </c>
    </row>
    <row r="1694" spans="24:28" x14ac:dyDescent="0.2">
      <c r="X1694" s="176" t="str">
        <f t="shared" si="60"/>
        <v>1w</v>
      </c>
      <c r="Y1694" s="164">
        <f>_xll.qlCalendarAdvance(Calendar,Y1693,X1694,"f",FALSE)</f>
        <v>50956</v>
      </c>
      <c r="Z1694" s="188">
        <f>_xll.qlCalendarAdvance(Calendar,Y1694,NDays&amp;"D")</f>
        <v>50958</v>
      </c>
      <c r="AA1694" s="163">
        <v>1.0310046711736097E-2</v>
      </c>
      <c r="AB1694" s="172">
        <v>1.0271033368454141E-2</v>
      </c>
    </row>
    <row r="1695" spans="24:28" x14ac:dyDescent="0.2">
      <c r="X1695" s="176" t="str">
        <f t="shared" si="60"/>
        <v>1w</v>
      </c>
      <c r="Y1695" s="164">
        <f>_xll.qlCalendarAdvance(Calendar,Y1694,X1695,"f",FALSE)</f>
        <v>50963</v>
      </c>
      <c r="Z1695" s="188">
        <f>_xll.qlCalendarAdvance(Calendar,Y1695,NDays&amp;"D")</f>
        <v>50965</v>
      </c>
      <c r="AA1695" s="163">
        <v>1.0311015445780046E-2</v>
      </c>
      <c r="AB1695" s="172">
        <v>1.0271805147175073E-2</v>
      </c>
    </row>
    <row r="1696" spans="24:28" x14ac:dyDescent="0.2">
      <c r="X1696" s="176" t="str">
        <f t="shared" si="60"/>
        <v>1w</v>
      </c>
      <c r="Y1696" s="164">
        <f>_xll.qlCalendarAdvance(Calendar,Y1695,X1696,"f",FALSE)</f>
        <v>50970</v>
      </c>
      <c r="Z1696" s="188">
        <f>_xll.qlCalendarAdvance(Calendar,Y1696,NDays&amp;"D")</f>
        <v>50972</v>
      </c>
      <c r="AA1696" s="163">
        <v>1.0311998775589453E-2</v>
      </c>
      <c r="AB1696" s="172">
        <v>1.0272591444362433E-2</v>
      </c>
    </row>
    <row r="1697" spans="24:28" x14ac:dyDescent="0.2">
      <c r="X1697" s="176" t="str">
        <f t="shared" si="60"/>
        <v>1w</v>
      </c>
      <c r="Y1697" s="164">
        <f>_xll.qlCalendarAdvance(Calendar,Y1696,X1697,"f",FALSE)</f>
        <v>50977</v>
      </c>
      <c r="Z1697" s="188">
        <f>_xll.qlCalendarAdvance(Calendar,Y1697,NDays&amp;"D")</f>
        <v>50979</v>
      </c>
      <c r="AA1697" s="163">
        <v>1.0312996701186234E-2</v>
      </c>
      <c r="AB1697" s="172">
        <v>1.0273392259696479E-2</v>
      </c>
    </row>
    <row r="1698" spans="24:28" x14ac:dyDescent="0.2">
      <c r="X1698" s="176" t="str">
        <f t="shared" si="60"/>
        <v>1w</v>
      </c>
      <c r="Y1698" s="164">
        <f>_xll.qlCalendarAdvance(Calendar,Y1697,X1698,"f",FALSE)</f>
        <v>50984</v>
      </c>
      <c r="Z1698" s="188">
        <f>_xll.qlCalendarAdvance(Calendar,Y1698,NDays&amp;"D")</f>
        <v>50986</v>
      </c>
      <c r="AA1698" s="163">
        <v>1.0314009222591878E-2</v>
      </c>
      <c r="AB1698" s="172">
        <v>1.0274207593496953E-2</v>
      </c>
    </row>
    <row r="1699" spans="24:28" x14ac:dyDescent="0.2">
      <c r="X1699" s="176" t="str">
        <f t="shared" si="60"/>
        <v>1w</v>
      </c>
      <c r="Y1699" s="164">
        <f>_xll.qlCalendarAdvance(Calendar,Y1698,X1699,"f",FALSE)</f>
        <v>50991</v>
      </c>
      <c r="Z1699" s="188">
        <f>_xll.qlCalendarAdvance(Calendar,Y1699,NDays&amp;"D")</f>
        <v>50993</v>
      </c>
      <c r="AA1699" s="163">
        <v>1.0315036339830452E-2</v>
      </c>
      <c r="AB1699" s="172">
        <v>1.0275037445603985E-2</v>
      </c>
    </row>
    <row r="1700" spans="24:28" x14ac:dyDescent="0.2">
      <c r="X1700" s="176" t="str">
        <f t="shared" si="60"/>
        <v>1w</v>
      </c>
      <c r="Y1700" s="164">
        <f>_xll.qlCalendarAdvance(Calendar,Y1699,X1700,"f",FALSE)</f>
        <v>50998</v>
      </c>
      <c r="Z1700" s="188">
        <f>_xll.qlCalendarAdvance(Calendar,Y1700,NDays&amp;"D")</f>
        <v>51000</v>
      </c>
      <c r="AA1700" s="163">
        <v>1.0316078052924301E-2</v>
      </c>
      <c r="AB1700" s="172">
        <v>1.027588181609751E-2</v>
      </c>
    </row>
    <row r="1701" spans="24:28" x14ac:dyDescent="0.2">
      <c r="X1701" s="176" t="str">
        <f t="shared" si="60"/>
        <v>1w</v>
      </c>
      <c r="Y1701" s="164">
        <f>_xll.qlCalendarAdvance(Calendar,Y1700,X1701,"f",FALSE)</f>
        <v>51005</v>
      </c>
      <c r="Z1701" s="188">
        <f>_xll.qlCalendarAdvance(Calendar,Y1701,NDays&amp;"D")</f>
        <v>51007</v>
      </c>
      <c r="AA1701" s="163">
        <v>1.0317134361898355E-2</v>
      </c>
      <c r="AB1701" s="172">
        <v>1.0276740704977527E-2</v>
      </c>
    </row>
    <row r="1702" spans="24:28" x14ac:dyDescent="0.2">
      <c r="X1702" s="176" t="str">
        <f t="shared" si="60"/>
        <v>1w</v>
      </c>
      <c r="Y1702" s="164">
        <f>_xll.qlCalendarAdvance(Calendar,Y1701,X1702,"f",FALSE)</f>
        <v>51012</v>
      </c>
      <c r="Z1702" s="188">
        <f>_xll.qlCalendarAdvance(Calendar,Y1702,NDays&amp;"D")</f>
        <v>51014</v>
      </c>
      <c r="AA1702" s="163">
        <v>1.0317289169396638E-2</v>
      </c>
      <c r="AB1702" s="172">
        <v>1.0277614112164102E-2</v>
      </c>
    </row>
    <row r="1703" spans="24:28" x14ac:dyDescent="0.2">
      <c r="X1703" s="176" t="str">
        <f t="shared" si="60"/>
        <v>1w</v>
      </c>
      <c r="Y1703" s="164">
        <f>_xll.qlCalendarAdvance(Calendar,Y1702,X1703,"f",FALSE)</f>
        <v>51019</v>
      </c>
      <c r="Z1703" s="188">
        <f>_xll.qlCalendarAdvance(Calendar,Y1703,NDays&amp;"D")</f>
        <v>51021</v>
      </c>
      <c r="AA1703" s="163">
        <v>1.0318370376285054E-2</v>
      </c>
      <c r="AB1703" s="172">
        <v>1.0278502037737169E-2</v>
      </c>
    </row>
    <row r="1704" spans="24:28" x14ac:dyDescent="0.2">
      <c r="X1704" s="176" t="str">
        <f t="shared" si="60"/>
        <v>1w</v>
      </c>
      <c r="Y1704" s="164">
        <f>_xll.qlCalendarAdvance(Calendar,Y1703,X1704,"f",FALSE)</f>
        <v>51026</v>
      </c>
      <c r="Z1704" s="188">
        <f>_xll.qlCalendarAdvance(Calendar,Y1704,NDays&amp;"D")</f>
        <v>51028</v>
      </c>
      <c r="AA1704" s="163">
        <v>1.0319466177435533E-2</v>
      </c>
      <c r="AB1704" s="172">
        <v>1.0279404481616794E-2</v>
      </c>
    </row>
    <row r="1705" spans="24:28" x14ac:dyDescent="0.2">
      <c r="X1705" s="176" t="str">
        <f t="shared" si="60"/>
        <v>1w</v>
      </c>
      <c r="Y1705" s="164">
        <f>_xll.qlCalendarAdvance(Calendar,Y1704,X1705,"f",FALSE)</f>
        <v>51033</v>
      </c>
      <c r="Z1705" s="188">
        <f>_xll.qlCalendarAdvance(Calendar,Y1705,NDays&amp;"D")</f>
        <v>51035</v>
      </c>
      <c r="AA1705" s="163">
        <v>1.0320576572871791E-2</v>
      </c>
      <c r="AB1705" s="172">
        <v>1.0280321443802976E-2</v>
      </c>
    </row>
    <row r="1706" spans="24:28" x14ac:dyDescent="0.2">
      <c r="X1706" s="176" t="str">
        <f t="shared" si="60"/>
        <v>1w</v>
      </c>
      <c r="Y1706" s="164">
        <f>_xll.qlCalendarAdvance(Calendar,Y1705,X1706,"f",FALSE)</f>
        <v>51040</v>
      </c>
      <c r="Z1706" s="188">
        <f>_xll.qlCalendarAdvance(Calendar,Y1706,NDays&amp;"D")</f>
        <v>51042</v>
      </c>
      <c r="AA1706" s="163">
        <v>1.0321701549088149E-2</v>
      </c>
      <c r="AB1706" s="172">
        <v>1.0281252924455586E-2</v>
      </c>
    </row>
    <row r="1707" spans="24:28" x14ac:dyDescent="0.2">
      <c r="X1707" s="176" t="str">
        <f t="shared" si="60"/>
        <v>1w</v>
      </c>
      <c r="Y1707" s="164">
        <f>_xll.qlCalendarAdvance(Calendar,Y1706,X1707,"f",FALSE)</f>
        <v>51047</v>
      </c>
      <c r="Z1707" s="188">
        <f>_xll.qlCalendarAdvance(Calendar,Y1707,NDays&amp;"D")</f>
        <v>51049</v>
      </c>
      <c r="AA1707" s="163">
        <v>1.0323074718667381E-2</v>
      </c>
      <c r="AB1707" s="172">
        <v>1.0282198923254882E-2</v>
      </c>
    </row>
    <row r="1708" spans="24:28" x14ac:dyDescent="0.2">
      <c r="X1708" s="176" t="str">
        <f t="shared" si="60"/>
        <v>1w</v>
      </c>
      <c r="Y1708" s="164">
        <f>_xll.qlCalendarAdvance(Calendar,Y1707,X1708,"f",FALSE)</f>
        <v>51054</v>
      </c>
      <c r="Z1708" s="188">
        <f>_xll.qlCalendarAdvance(Calendar,Y1708,NDays&amp;"D")</f>
        <v>51056</v>
      </c>
      <c r="AA1708" s="163">
        <v>1.0324227729176743E-2</v>
      </c>
      <c r="AB1708" s="172">
        <v>1.0283159440680478E-2</v>
      </c>
    </row>
    <row r="1709" spans="24:28" x14ac:dyDescent="0.2">
      <c r="X1709" s="176" t="str">
        <f t="shared" si="60"/>
        <v>1w</v>
      </c>
      <c r="Y1709" s="164">
        <f>_xll.qlCalendarAdvance(Calendar,Y1708,X1709,"f",FALSE)</f>
        <v>51061</v>
      </c>
      <c r="Z1709" s="188">
        <f>_xll.qlCalendarAdvance(Calendar,Y1709,NDays&amp;"D")</f>
        <v>51063</v>
      </c>
      <c r="AA1709" s="163">
        <v>1.0325392696797693E-2</v>
      </c>
      <c r="AB1709" s="172">
        <v>1.028413447625276E-2</v>
      </c>
    </row>
    <row r="1710" spans="24:28" x14ac:dyDescent="0.2">
      <c r="X1710" s="176" t="str">
        <f t="shared" si="60"/>
        <v>1w</v>
      </c>
      <c r="Y1710" s="164">
        <f>_xll.qlCalendarAdvance(Calendar,Y1709,X1710,"f",FALSE)</f>
        <v>51068</v>
      </c>
      <c r="Z1710" s="188">
        <f>_xll.qlCalendarAdvance(Calendar,Y1710,NDays&amp;"D")</f>
        <v>51070</v>
      </c>
      <c r="AA1710" s="163">
        <v>1.0326568595782872E-2</v>
      </c>
      <c r="AB1710" s="172">
        <v>1.028512403029147E-2</v>
      </c>
    </row>
    <row r="1711" spans="24:28" x14ac:dyDescent="0.2">
      <c r="X1711" s="176" t="str">
        <f t="shared" si="60"/>
        <v>1w</v>
      </c>
      <c r="Y1711" s="164">
        <f>_xll.qlCalendarAdvance(Calendar,Y1710,X1711,"f",FALSE)</f>
        <v>51075</v>
      </c>
      <c r="Z1711" s="188">
        <f>_xll.qlCalendarAdvance(Calendar,Y1711,NDays&amp;"D")</f>
        <v>51077</v>
      </c>
      <c r="AA1711" s="163">
        <v>1.0327517927502656E-2</v>
      </c>
      <c r="AB1711" s="172">
        <v>1.0286128102556802E-2</v>
      </c>
    </row>
    <row r="1712" spans="24:28" x14ac:dyDescent="0.2">
      <c r="X1712" s="176" t="str">
        <f t="shared" si="60"/>
        <v>1w</v>
      </c>
      <c r="Y1712" s="164">
        <f>_xll.qlCalendarAdvance(Calendar,Y1711,X1712,"f",FALSE)</f>
        <v>51082</v>
      </c>
      <c r="Z1712" s="188">
        <f>_xll.qlCalendarAdvance(Calendar,Y1712,NDays&amp;"D")</f>
        <v>51084</v>
      </c>
      <c r="AA1712" s="163">
        <v>1.0328712315235989E-2</v>
      </c>
      <c r="AB1712" s="172">
        <v>1.0287146693208626E-2</v>
      </c>
    </row>
    <row r="1713" spans="24:28" x14ac:dyDescent="0.2">
      <c r="X1713" s="176" t="str">
        <f t="shared" si="60"/>
        <v>1w</v>
      </c>
      <c r="Y1713" s="164">
        <f>_xll.qlCalendarAdvance(Calendar,Y1712,X1713,"f",FALSE)</f>
        <v>51089</v>
      </c>
      <c r="Z1713" s="188">
        <f>_xll.qlCalendarAdvance(Calendar,Y1713,NDays&amp;"D")</f>
        <v>51091</v>
      </c>
      <c r="AA1713" s="163">
        <v>1.0329914667145451E-2</v>
      </c>
      <c r="AB1713" s="172">
        <v>1.0288179802246944E-2</v>
      </c>
    </row>
    <row r="1714" spans="24:28" x14ac:dyDescent="0.2">
      <c r="X1714" s="176" t="str">
        <f t="shared" si="60"/>
        <v>1w</v>
      </c>
      <c r="Y1714" s="164">
        <f>_xll.qlCalendarAdvance(Calendar,Y1713,X1714,"f",FALSE)</f>
        <v>51096</v>
      </c>
      <c r="Z1714" s="188">
        <f>_xll.qlCalendarAdvance(Calendar,Y1714,NDays&amp;"D")</f>
        <v>51098</v>
      </c>
      <c r="AA1714" s="163">
        <v>1.0331123951866163E-2</v>
      </c>
      <c r="AB1714" s="172">
        <v>1.0289227429671755E-2</v>
      </c>
    </row>
    <row r="1715" spans="24:28" x14ac:dyDescent="0.2">
      <c r="X1715" s="176" t="str">
        <f t="shared" si="60"/>
        <v>1w</v>
      </c>
      <c r="Y1715" s="164">
        <f>_xll.qlCalendarAdvance(Calendar,Y1714,X1715,"f",FALSE)</f>
        <v>51103</v>
      </c>
      <c r="Z1715" s="188">
        <f>_xll.qlCalendarAdvance(Calendar,Y1715,NDays&amp;"D")</f>
        <v>51105</v>
      </c>
      <c r="AA1715" s="163">
        <v>1.0332576159776685E-2</v>
      </c>
      <c r="AB1715" s="172">
        <v>1.0290289575483058E-2</v>
      </c>
    </row>
    <row r="1716" spans="24:28" x14ac:dyDescent="0.2">
      <c r="X1716" s="176" t="str">
        <f t="shared" si="60"/>
        <v>1w</v>
      </c>
      <c r="Y1716" s="164">
        <f>_xll.qlCalendarAdvance(Calendar,Y1715,X1716,"f",FALSE)</f>
        <v>51110</v>
      </c>
      <c r="Z1716" s="188">
        <f>_xll.qlCalendarAdvance(Calendar,Y1716,NDays&amp;"D")</f>
        <v>51112</v>
      </c>
      <c r="AA1716" s="163">
        <v>1.0333796106078912E-2</v>
      </c>
      <c r="AB1716" s="172">
        <v>1.0291366239520983E-2</v>
      </c>
    </row>
    <row r="1717" spans="24:28" x14ac:dyDescent="0.2">
      <c r="X1717" s="176" t="str">
        <f t="shared" si="60"/>
        <v>1w</v>
      </c>
      <c r="Y1717" s="164">
        <f>_xll.qlCalendarAdvance(Calendar,Y1716,X1717,"f",FALSE)</f>
        <v>51117</v>
      </c>
      <c r="Z1717" s="188">
        <f>_xll.qlCalendarAdvance(Calendar,Y1717,NDays&amp;"D")</f>
        <v>51119</v>
      </c>
      <c r="AA1717" s="163">
        <v>1.0335019803434381E-2</v>
      </c>
      <c r="AB1717" s="172">
        <v>1.0292457422025336E-2</v>
      </c>
    </row>
    <row r="1718" spans="24:28" x14ac:dyDescent="0.2">
      <c r="X1718" s="176" t="str">
        <f t="shared" si="60"/>
        <v>1w</v>
      </c>
      <c r="Y1718" s="164">
        <f>_xll.qlCalendarAdvance(Calendar,Y1717,X1718,"f",FALSE)</f>
        <v>51124</v>
      </c>
      <c r="Z1718" s="188">
        <f>_xll.qlCalendarAdvance(Calendar,Y1718,NDays&amp;"D")</f>
        <v>51126</v>
      </c>
      <c r="AA1718" s="163">
        <v>1.0336246226074763E-2</v>
      </c>
      <c r="AB1718" s="172">
        <v>1.0293563122756311E-2</v>
      </c>
    </row>
    <row r="1719" spans="24:28" x14ac:dyDescent="0.2">
      <c r="X1719" s="176" t="str">
        <f t="shared" si="60"/>
        <v>1w</v>
      </c>
      <c r="Y1719" s="164">
        <f>_xll.qlCalendarAdvance(Calendar,Y1718,X1719,"f",FALSE)</f>
        <v>51131</v>
      </c>
      <c r="Z1719" s="188">
        <f>_xll.qlCalendarAdvance(Calendar,Y1719,NDays&amp;"D")</f>
        <v>51133</v>
      </c>
      <c r="AA1719" s="163">
        <v>1.033747434822912E-2</v>
      </c>
      <c r="AB1719" s="172">
        <v>1.0294683341953714E-2</v>
      </c>
    </row>
    <row r="1720" spans="24:28" x14ac:dyDescent="0.2">
      <c r="X1720" s="176" t="str">
        <f t="shared" si="60"/>
        <v>1w</v>
      </c>
      <c r="Y1720" s="164">
        <f>_xll.qlCalendarAdvance(Calendar,Y1719,X1720,"f",FALSE)</f>
        <v>51138</v>
      </c>
      <c r="Z1720" s="188">
        <f>_xll.qlCalendarAdvance(Calendar,Y1720,NDays&amp;"D")</f>
        <v>51140</v>
      </c>
      <c r="AA1720" s="163">
        <v>1.0338467492481764E-2</v>
      </c>
      <c r="AB1720" s="172">
        <v>1.0295818079457675E-2</v>
      </c>
    </row>
    <row r="1721" spans="24:28" x14ac:dyDescent="0.2">
      <c r="X1721" s="176" t="str">
        <f t="shared" si="60"/>
        <v>1w</v>
      </c>
      <c r="Y1721" s="164">
        <f>_xll.qlCalendarAdvance(Calendar,Y1720,X1721,"f",FALSE)</f>
        <v>51145</v>
      </c>
      <c r="Z1721" s="188">
        <f>_xll.qlCalendarAdvance(Calendar,Y1721,NDays&amp;"D")</f>
        <v>51147</v>
      </c>
      <c r="AA1721" s="163">
        <v>1.033969642845497E-2</v>
      </c>
      <c r="AB1721" s="172">
        <v>1.0296967335348128E-2</v>
      </c>
    </row>
    <row r="1722" spans="24:28" x14ac:dyDescent="0.2">
      <c r="X1722" s="176" t="str">
        <f t="shared" si="60"/>
        <v>1w</v>
      </c>
      <c r="Y1722" s="164">
        <f>_xll.qlCalendarAdvance(Calendar,Y1721,X1722,"f",FALSE)</f>
        <v>51152</v>
      </c>
      <c r="Z1722" s="188">
        <f>_xll.qlCalendarAdvance(Calendar,Y1722,NDays&amp;"D")</f>
        <v>51154</v>
      </c>
      <c r="AA1722" s="163">
        <v>1.0340924046230316E-2</v>
      </c>
      <c r="AB1722" s="172">
        <v>1.0298131109465203E-2</v>
      </c>
    </row>
    <row r="1723" spans="24:28" x14ac:dyDescent="0.2">
      <c r="X1723" s="176" t="str">
        <f t="shared" si="60"/>
        <v>1w</v>
      </c>
      <c r="Y1723" s="164">
        <f>_xll.qlCalendarAdvance(Calendar,Y1722,X1723,"f",FALSE)</f>
        <v>51159</v>
      </c>
      <c r="Z1723" s="188">
        <f>_xll.qlCalendarAdvance(Calendar,Y1723,NDays&amp;"D")</f>
        <v>51161</v>
      </c>
      <c r="AA1723" s="163">
        <v>1.0342149314420521E-2</v>
      </c>
      <c r="AB1723" s="172">
        <v>1.0299309402048706E-2</v>
      </c>
    </row>
    <row r="1724" spans="24:28" x14ac:dyDescent="0.2">
      <c r="X1724" s="176" t="str">
        <f t="shared" si="60"/>
        <v>1w</v>
      </c>
      <c r="Y1724" s="164">
        <f>_xll.qlCalendarAdvance(Calendar,Y1723,X1724,"f",FALSE)</f>
        <v>51166</v>
      </c>
      <c r="Z1724" s="188">
        <f>_xll.qlCalendarAdvance(Calendar,Y1724,NDays&amp;"D")</f>
        <v>51168</v>
      </c>
      <c r="AA1724" s="163">
        <v>1.0343371201634788E-2</v>
      </c>
      <c r="AB1724" s="172">
        <v>1.0300502212938767E-2</v>
      </c>
    </row>
    <row r="1725" spans="24:28" x14ac:dyDescent="0.2">
      <c r="X1725" s="176" t="str">
        <f t="shared" si="60"/>
        <v>1w</v>
      </c>
      <c r="Y1725" s="164">
        <f>_xll.qlCalendarAdvance(Calendar,Y1724,X1725,"f",FALSE)</f>
        <v>51173</v>
      </c>
      <c r="Z1725" s="188">
        <f>_xll.qlCalendarAdvance(Calendar,Y1725,NDays&amp;"D")</f>
        <v>51175</v>
      </c>
      <c r="AA1725" s="163">
        <v>1.0344588676481439E-2</v>
      </c>
      <c r="AB1725" s="172">
        <v>1.030170954221532E-2</v>
      </c>
    </row>
    <row r="1726" spans="24:28" x14ac:dyDescent="0.2">
      <c r="X1726" s="176" t="str">
        <f t="shared" si="60"/>
        <v>1w</v>
      </c>
      <c r="Y1726" s="164">
        <f>_xll.qlCalendarAdvance(Calendar,Y1725,X1726,"f",FALSE)</f>
        <v>51180</v>
      </c>
      <c r="Z1726" s="188">
        <f>_xll.qlCalendarAdvance(Calendar,Y1726,NDays&amp;"D")</f>
        <v>51182</v>
      </c>
      <c r="AA1726" s="163">
        <v>1.034580070756397E-2</v>
      </c>
      <c r="AB1726" s="172">
        <v>1.0302931389878367E-2</v>
      </c>
    </row>
    <row r="1727" spans="24:28" x14ac:dyDescent="0.2">
      <c r="X1727" s="176" t="str">
        <f t="shared" si="60"/>
        <v>1w</v>
      </c>
      <c r="Y1727" s="164">
        <f>_xll.qlCalendarAdvance(Calendar,Y1726,X1727,"f",FALSE)</f>
        <v>51187</v>
      </c>
      <c r="Z1727" s="188">
        <f>_xll.qlCalendarAdvance(Calendar,Y1727,NDays&amp;"D")</f>
        <v>51189</v>
      </c>
      <c r="AA1727" s="163">
        <v>1.0347006263485873E-2</v>
      </c>
      <c r="AB1727" s="172">
        <v>1.0304167755847971E-2</v>
      </c>
    </row>
    <row r="1728" spans="24:28" x14ac:dyDescent="0.2">
      <c r="X1728" s="176" t="str">
        <f t="shared" si="60"/>
        <v>1w</v>
      </c>
      <c r="Y1728" s="164">
        <f>_xll.qlCalendarAdvance(Calendar,Y1727,X1728,"f",FALSE)</f>
        <v>51194</v>
      </c>
      <c r="Z1728" s="188">
        <f>_xll.qlCalendarAdvance(Calendar,Y1728,NDays&amp;"D")</f>
        <v>51196</v>
      </c>
      <c r="AA1728" s="163">
        <v>1.0349125299616594E-2</v>
      </c>
      <c r="AB1728" s="172">
        <v>1.0305418640124131E-2</v>
      </c>
    </row>
    <row r="1729" spans="24:28" x14ac:dyDescent="0.2">
      <c r="X1729" s="176" t="str">
        <f t="shared" si="60"/>
        <v>1w</v>
      </c>
      <c r="Y1729" s="164">
        <f>_xll.qlCalendarAdvance(Calendar,Y1728,X1729,"f",FALSE)</f>
        <v>51201</v>
      </c>
      <c r="Z1729" s="188">
        <f>_xll.qlCalendarAdvance(Calendar,Y1729,NDays&amp;"D")</f>
        <v>51203</v>
      </c>
      <c r="AA1729" s="163">
        <v>1.0350311560738186E-2</v>
      </c>
      <c r="AB1729" s="172">
        <v>1.0306684042866721E-2</v>
      </c>
    </row>
    <row r="1730" spans="24:28" x14ac:dyDescent="0.2">
      <c r="X1730" s="176" t="str">
        <f t="shared" si="60"/>
        <v>1w</v>
      </c>
      <c r="Y1730" s="164">
        <f>_xll.qlCalendarAdvance(Calendar,Y1729,X1730,"f",FALSE)</f>
        <v>51208</v>
      </c>
      <c r="Z1730" s="188">
        <f>_xll.qlCalendarAdvance(Calendar,Y1730,NDays&amp;"D")</f>
        <v>51210</v>
      </c>
      <c r="AA1730" s="163">
        <v>1.0351488194360978E-2</v>
      </c>
      <c r="AB1730" s="172">
        <v>1.0307963963915867E-2</v>
      </c>
    </row>
    <row r="1731" spans="24:28" x14ac:dyDescent="0.2">
      <c r="X1731" s="176" t="str">
        <f t="shared" si="60"/>
        <v>1w</v>
      </c>
      <c r="Y1731" s="164">
        <f>_xll.qlCalendarAdvance(Calendar,Y1730,X1731,"f",FALSE)</f>
        <v>51215</v>
      </c>
      <c r="Z1731" s="188">
        <f>_xll.qlCalendarAdvance(Calendar,Y1731,NDays&amp;"D")</f>
        <v>51217</v>
      </c>
      <c r="AA1731" s="163">
        <v>1.0352654191143115E-2</v>
      </c>
      <c r="AB1731" s="172">
        <v>1.0309258403271571E-2</v>
      </c>
    </row>
    <row r="1732" spans="24:28" x14ac:dyDescent="0.2">
      <c r="X1732" s="176" t="str">
        <f t="shared" si="60"/>
        <v>1w</v>
      </c>
      <c r="Y1732" s="164">
        <f>_xll.qlCalendarAdvance(Calendar,Y1731,X1732,"f",FALSE)</f>
        <v>51222</v>
      </c>
      <c r="Z1732" s="188">
        <f>_xll.qlCalendarAdvance(Calendar,Y1732,NDays&amp;"D")</f>
        <v>51224</v>
      </c>
      <c r="AA1732" s="163">
        <v>1.0353127875052728E-2</v>
      </c>
      <c r="AB1732" s="172">
        <v>1.0311526168127472E-2</v>
      </c>
    </row>
    <row r="1733" spans="24:28" x14ac:dyDescent="0.2">
      <c r="X1733" s="176" t="str">
        <f t="shared" si="60"/>
        <v>1w</v>
      </c>
      <c r="Y1733" s="164">
        <f>_xll.qlCalendarAdvance(Calendar,Y1732,X1733,"f",FALSE)</f>
        <v>51229</v>
      </c>
      <c r="Z1733" s="188">
        <f>_xll.qlCalendarAdvance(Calendar,Y1733,NDays&amp;"D")</f>
        <v>51231</v>
      </c>
      <c r="AA1733" s="163">
        <v>1.0354272568018279E-2</v>
      </c>
      <c r="AB1733" s="172">
        <v>1.0311860802367789E-2</v>
      </c>
    </row>
    <row r="1734" spans="24:28" x14ac:dyDescent="0.2">
      <c r="X1734" s="176" t="str">
        <f t="shared" si="60"/>
        <v>1w</v>
      </c>
      <c r="Y1734" s="164">
        <f>_xll.qlCalendarAdvance(Calendar,Y1733,X1734,"f",FALSE)</f>
        <v>51236</v>
      </c>
      <c r="Z1734" s="188">
        <f>_xll.qlCalendarAdvance(Calendar,Y1734,NDays&amp;"D")</f>
        <v>51238</v>
      </c>
      <c r="AA1734" s="163">
        <v>1.0355405039042778E-2</v>
      </c>
      <c r="AB1734" s="172">
        <v>1.0313145442282234E-2</v>
      </c>
    </row>
    <row r="1735" spans="24:28" x14ac:dyDescent="0.2">
      <c r="X1735" s="176" t="str">
        <f t="shared" si="60"/>
        <v>1w</v>
      </c>
      <c r="Y1735" s="164">
        <f>_xll.qlCalendarAdvance(Calendar,Y1734,X1735,"f",FALSE)</f>
        <v>51243</v>
      </c>
      <c r="Z1735" s="188">
        <f>_xll.qlCalendarAdvance(Calendar,Y1735,NDays&amp;"D")</f>
        <v>51245</v>
      </c>
      <c r="AA1735" s="163">
        <v>1.0356525288105253E-2</v>
      </c>
      <c r="AB1735" s="172">
        <v>1.0314417923122932E-2</v>
      </c>
    </row>
    <row r="1736" spans="24:28" x14ac:dyDescent="0.2">
      <c r="X1736" s="176" t="str">
        <f t="shared" si="60"/>
        <v>1w</v>
      </c>
      <c r="Y1736" s="164">
        <f>_xll.qlCalendarAdvance(Calendar,Y1735,X1736,"f",FALSE)</f>
        <v>51250</v>
      </c>
      <c r="Z1736" s="188">
        <f>_xll.qlCalendarAdvance(Calendar,Y1736,NDays&amp;"D")</f>
        <v>51252</v>
      </c>
      <c r="AA1736" s="163">
        <v>1.0357633315184304E-2</v>
      </c>
      <c r="AB1736" s="172">
        <v>1.0315678245129689E-2</v>
      </c>
    </row>
    <row r="1737" spans="24:28" x14ac:dyDescent="0.2">
      <c r="X1737" s="176" t="str">
        <f t="shared" si="60"/>
        <v>1w</v>
      </c>
      <c r="Y1737" s="164">
        <f>_xll.qlCalendarAdvance(Calendar,Y1736,X1737,"f",FALSE)</f>
        <v>51258</v>
      </c>
      <c r="Z1737" s="188">
        <f>_xll.qlCalendarAdvance(Calendar,Y1737,NDays&amp;"D")</f>
        <v>51260</v>
      </c>
      <c r="AA1737" s="163">
        <v>1.0359329878965911E-2</v>
      </c>
      <c r="AB1737" s="172">
        <v>1.0317576397111949E-2</v>
      </c>
    </row>
    <row r="1738" spans="24:28" x14ac:dyDescent="0.2">
      <c r="X1738" s="176" t="str">
        <f t="shared" si="60"/>
        <v>1w</v>
      </c>
      <c r="Y1738" s="164">
        <f>_xll.qlCalendarAdvance(Calendar,Y1737,X1738,"f",FALSE)</f>
        <v>51265</v>
      </c>
      <c r="Z1738" s="188">
        <f>_xll.qlCalendarAdvance(Calendar,Y1738,NDays&amp;"D")</f>
        <v>51267</v>
      </c>
      <c r="AA1738" s="163">
        <v>1.0360410032004492E-2</v>
      </c>
      <c r="AB1738" s="172">
        <v>1.0318808997826778E-2</v>
      </c>
    </row>
    <row r="1739" spans="24:28" x14ac:dyDescent="0.2">
      <c r="X1739" s="176" t="str">
        <f t="shared" si="60"/>
        <v>1w</v>
      </c>
      <c r="Y1739" s="164">
        <f>_xll.qlCalendarAdvance(Calendar,Y1738,X1739,"f",FALSE)</f>
        <v>51272</v>
      </c>
      <c r="Z1739" s="188">
        <f>_xll.qlCalendarAdvance(Calendar,Y1739,NDays&amp;"D")</f>
        <v>51274</v>
      </c>
      <c r="AA1739" s="163">
        <v>1.0361477962299174E-2</v>
      </c>
      <c r="AB1739" s="172">
        <v>1.0320029438934952E-2</v>
      </c>
    </row>
    <row r="1740" spans="24:28" x14ac:dyDescent="0.2">
      <c r="X1740" s="176" t="str">
        <f t="shared" si="60"/>
        <v>1w</v>
      </c>
      <c r="Y1740" s="164">
        <f>_xll.qlCalendarAdvance(Calendar,Y1739,X1740,"f",FALSE)</f>
        <v>51279</v>
      </c>
      <c r="Z1740" s="188">
        <f>_xll.qlCalendarAdvance(Calendar,Y1740,NDays&amp;"D")</f>
        <v>51281</v>
      </c>
      <c r="AA1740" s="163">
        <v>1.0362533669827922E-2</v>
      </c>
      <c r="AB1740" s="172">
        <v>1.0321237720409826E-2</v>
      </c>
    </row>
    <row r="1741" spans="24:28" x14ac:dyDescent="0.2">
      <c r="X1741" s="176" t="str">
        <f t="shared" si="60"/>
        <v>1w</v>
      </c>
      <c r="Y1741" s="164">
        <f>_xll.qlCalendarAdvance(Calendar,Y1740,X1741,"f",FALSE)</f>
        <v>51286</v>
      </c>
      <c r="Z1741" s="188">
        <f>_xll.qlCalendarAdvance(Calendar,Y1741,NDays&amp;"D")</f>
        <v>51288</v>
      </c>
      <c r="AA1741" s="163">
        <v>1.036357715457302E-2</v>
      </c>
      <c r="AB1741" s="172">
        <v>1.0322433842224754E-2</v>
      </c>
    </row>
    <row r="1742" spans="24:28" x14ac:dyDescent="0.2">
      <c r="X1742" s="176" t="str">
        <f t="shared" si="60"/>
        <v>1w</v>
      </c>
      <c r="Y1742" s="164">
        <f>_xll.qlCalendarAdvance(Calendar,Y1741,X1742,"f",FALSE)</f>
        <v>51293</v>
      </c>
      <c r="Z1742" s="188">
        <f>_xll.qlCalendarAdvance(Calendar,Y1742,NDays&amp;"D")</f>
        <v>51295</v>
      </c>
      <c r="AA1742" s="163">
        <v>1.0364608416513295E-2</v>
      </c>
      <c r="AB1742" s="172">
        <v>1.0323617804433027E-2</v>
      </c>
    </row>
    <row r="1743" spans="24:28" x14ac:dyDescent="0.2">
      <c r="X1743" s="176" t="str">
        <f t="shared" si="60"/>
        <v>1w</v>
      </c>
      <c r="Y1743" s="164">
        <f>_xll.qlCalendarAdvance(Calendar,Y1742,X1743,"f",FALSE)</f>
        <v>51300</v>
      </c>
      <c r="Z1743" s="188">
        <f>_xll.qlCalendarAdvance(Calendar,Y1743,NDays&amp;"D")</f>
        <v>51302</v>
      </c>
      <c r="AA1743" s="163">
        <v>1.0365627455630601E-2</v>
      </c>
      <c r="AB1743" s="172">
        <v>1.0324789606981355E-2</v>
      </c>
    </row>
    <row r="1744" spans="24:28" x14ac:dyDescent="0.2">
      <c r="X1744" s="176" t="str">
        <f t="shared" si="60"/>
        <v>1w</v>
      </c>
      <c r="Y1744" s="164">
        <f>_xll.qlCalendarAdvance(Calendar,Y1743,X1744,"f",FALSE)</f>
        <v>51307</v>
      </c>
      <c r="Z1744" s="188">
        <f>_xll.qlCalendarAdvance(Calendar,Y1744,NDays&amp;"D")</f>
        <v>51309</v>
      </c>
      <c r="AA1744" s="163">
        <v>1.0366634271905061E-2</v>
      </c>
      <c r="AB1744" s="172">
        <v>1.0325949249949673E-2</v>
      </c>
    </row>
    <row r="1745" spans="24:28" x14ac:dyDescent="0.2">
      <c r="X1745" s="176" t="str">
        <f t="shared" si="60"/>
        <v>1w</v>
      </c>
      <c r="Y1745" s="164">
        <f>_xll.qlCalendarAdvance(Calendar,Y1744,X1745,"f",FALSE)</f>
        <v>51314</v>
      </c>
      <c r="Z1745" s="188">
        <f>_xll.qlCalendarAdvance(Calendar,Y1745,NDays&amp;"D")</f>
        <v>51316</v>
      </c>
      <c r="AA1745" s="163">
        <v>1.0367628865318525E-2</v>
      </c>
      <c r="AB1745" s="172">
        <v>1.03270967332314E-2</v>
      </c>
    </row>
    <row r="1746" spans="24:28" x14ac:dyDescent="0.2">
      <c r="X1746" s="176" t="str">
        <f t="shared" si="60"/>
        <v>1w</v>
      </c>
      <c r="Y1746" s="164">
        <f>_xll.qlCalendarAdvance(Calendar,Y1745,X1746,"f",FALSE)</f>
        <v>51321</v>
      </c>
      <c r="Z1746" s="188">
        <f>_xll.qlCalendarAdvance(Calendar,Y1746,NDays&amp;"D")</f>
        <v>51323</v>
      </c>
      <c r="AA1746" s="163">
        <v>1.0368611235851123E-2</v>
      </c>
      <c r="AB1746" s="172">
        <v>1.0328232056879827E-2</v>
      </c>
    </row>
    <row r="1747" spans="24:28" x14ac:dyDescent="0.2">
      <c r="X1747" s="176" t="str">
        <f t="shared" si="60"/>
        <v>1w</v>
      </c>
      <c r="Y1747" s="164">
        <f>_xll.qlCalendarAdvance(Calendar,Y1746,X1747,"f",FALSE)</f>
        <v>51328</v>
      </c>
      <c r="Z1747" s="188">
        <f>_xll.qlCalendarAdvance(Calendar,Y1747,NDays&amp;"D")</f>
        <v>51330</v>
      </c>
      <c r="AA1747" s="163">
        <v>1.0369581383486429E-2</v>
      </c>
      <c r="AB1747" s="172">
        <v>1.0329355220894954E-2</v>
      </c>
    </row>
    <row r="1748" spans="24:28" x14ac:dyDescent="0.2">
      <c r="X1748" s="176" t="str">
        <f t="shared" si="60"/>
        <v>1w</v>
      </c>
      <c r="Y1748" s="164">
        <f>_xll.qlCalendarAdvance(Calendar,Y1747,X1748,"f",FALSE)</f>
        <v>51335</v>
      </c>
      <c r="Z1748" s="188">
        <f>_xll.qlCalendarAdvance(Calendar,Y1748,NDays&amp;"D")</f>
        <v>51337</v>
      </c>
      <c r="AA1748" s="163">
        <v>1.0370539308203709E-2</v>
      </c>
      <c r="AB1748" s="172">
        <v>1.033046622527678E-2</v>
      </c>
    </row>
    <row r="1749" spans="24:28" x14ac:dyDescent="0.2">
      <c r="X1749" s="176" t="str">
        <f t="shared" ref="X1749:X1812" si="61">X1748</f>
        <v>1w</v>
      </c>
      <c r="Y1749" s="164">
        <f>_xll.qlCalendarAdvance(Calendar,Y1748,X1749,"f",FALSE)</f>
        <v>51342</v>
      </c>
      <c r="Z1749" s="188">
        <f>_xll.qlCalendarAdvance(Calendar,Y1749,NDays&amp;"D")</f>
        <v>51344</v>
      </c>
      <c r="AA1749" s="163">
        <v>1.0371485009986971E-2</v>
      </c>
      <c r="AB1749" s="172">
        <v>1.0331565070025306E-2</v>
      </c>
    </row>
    <row r="1750" spans="24:28" x14ac:dyDescent="0.2">
      <c r="X1750" s="176" t="str">
        <f t="shared" si="61"/>
        <v>1w</v>
      </c>
      <c r="Y1750" s="164">
        <f>_xll.qlCalendarAdvance(Calendar,Y1749,X1750,"f",FALSE)</f>
        <v>51349</v>
      </c>
      <c r="Z1750" s="188">
        <f>_xll.qlCalendarAdvance(Calendar,Y1750,NDays&amp;"D")</f>
        <v>51351</v>
      </c>
      <c r="AA1750" s="163">
        <v>1.0372418488818069E-2</v>
      </c>
      <c r="AB1750" s="172">
        <v>1.0332651755140532E-2</v>
      </c>
    </row>
    <row r="1751" spans="24:28" x14ac:dyDescent="0.2">
      <c r="X1751" s="176" t="str">
        <f t="shared" si="61"/>
        <v>1w</v>
      </c>
      <c r="Y1751" s="164">
        <f>_xll.qlCalendarAdvance(Calendar,Y1750,X1751,"f",FALSE)</f>
        <v>51356</v>
      </c>
      <c r="Z1751" s="188">
        <f>_xll.qlCalendarAdvance(Calendar,Y1751,NDays&amp;"D")</f>
        <v>51358</v>
      </c>
      <c r="AA1751" s="163">
        <v>1.0373339744678856E-2</v>
      </c>
      <c r="AB1751" s="172">
        <v>1.0333726280569167E-2</v>
      </c>
    </row>
    <row r="1752" spans="24:28" x14ac:dyDescent="0.2">
      <c r="X1752" s="176" t="str">
        <f t="shared" si="61"/>
        <v>1w</v>
      </c>
      <c r="Y1752" s="164">
        <f>_xll.qlCalendarAdvance(Calendar,Y1751,X1752,"f",FALSE)</f>
        <v>51363</v>
      </c>
      <c r="Z1752" s="188">
        <f>_xll.qlCalendarAdvance(Calendar,Y1752,NDays&amp;"D")</f>
        <v>51365</v>
      </c>
      <c r="AA1752" s="163">
        <v>1.0374248777552478E-2</v>
      </c>
      <c r="AB1752" s="172">
        <v>1.0334788646444437E-2</v>
      </c>
    </row>
    <row r="1753" spans="24:28" x14ac:dyDescent="0.2">
      <c r="X1753" s="176" t="str">
        <f t="shared" si="61"/>
        <v>1w</v>
      </c>
      <c r="Y1753" s="164">
        <f>_xll.qlCalendarAdvance(Calendar,Y1752,X1753,"f",FALSE)</f>
        <v>51370</v>
      </c>
      <c r="Z1753" s="188">
        <f>_xll.qlCalendarAdvance(Calendar,Y1753,NDays&amp;"D")</f>
        <v>51372</v>
      </c>
      <c r="AA1753" s="163">
        <v>1.0375145587422521E-2</v>
      </c>
      <c r="AB1753" s="172">
        <v>1.0335838852633117E-2</v>
      </c>
    </row>
    <row r="1754" spans="24:28" x14ac:dyDescent="0.2">
      <c r="X1754" s="176" t="str">
        <f t="shared" si="61"/>
        <v>1w</v>
      </c>
      <c r="Y1754" s="164">
        <f>_xll.qlCalendarAdvance(Calendar,Y1753,X1754,"f",FALSE)</f>
        <v>51377</v>
      </c>
      <c r="Z1754" s="188">
        <f>_xll.qlCalendarAdvance(Calendar,Y1754,NDays&amp;"D")</f>
        <v>51379</v>
      </c>
      <c r="AA1754" s="163">
        <v>1.0375196887430792E-2</v>
      </c>
      <c r="AB1754" s="172">
        <v>1.0336876899161851E-2</v>
      </c>
    </row>
    <row r="1755" spans="24:28" x14ac:dyDescent="0.2">
      <c r="X1755" s="176" t="str">
        <f t="shared" si="61"/>
        <v>1w</v>
      </c>
      <c r="Y1755" s="164">
        <f>_xll.qlCalendarAdvance(Calendar,Y1754,X1755,"f",FALSE)</f>
        <v>51384</v>
      </c>
      <c r="Z1755" s="188">
        <f>_xll.qlCalendarAdvance(Calendar,Y1755,NDays&amp;"D")</f>
        <v>51386</v>
      </c>
      <c r="AA1755" s="163">
        <v>1.0376072642842406E-2</v>
      </c>
      <c r="AB1755" s="172">
        <v>1.033790278608393E-2</v>
      </c>
    </row>
    <row r="1756" spans="24:28" x14ac:dyDescent="0.2">
      <c r="X1756" s="176" t="str">
        <f t="shared" si="61"/>
        <v>1w</v>
      </c>
      <c r="Y1756" s="164">
        <f>_xll.qlCalendarAdvance(Calendar,Y1755,X1756,"f",FALSE)</f>
        <v>51391</v>
      </c>
      <c r="Z1756" s="188">
        <f>_xll.qlCalendarAdvance(Calendar,Y1756,NDays&amp;"D")</f>
        <v>51393</v>
      </c>
      <c r="AA1756" s="163">
        <v>1.0376936176601379E-2</v>
      </c>
      <c r="AB1756" s="172">
        <v>1.0338916513346064E-2</v>
      </c>
    </row>
    <row r="1757" spans="24:28" x14ac:dyDescent="0.2">
      <c r="X1757" s="176" t="str">
        <f t="shared" si="61"/>
        <v>1w</v>
      </c>
      <c r="Y1757" s="164">
        <f>_xll.qlCalendarAdvance(Calendar,Y1756,X1757,"f",FALSE)</f>
        <v>51398</v>
      </c>
      <c r="Z1757" s="188">
        <f>_xll.qlCalendarAdvance(Calendar,Y1757,NDays&amp;"D")</f>
        <v>51400</v>
      </c>
      <c r="AA1757" s="163">
        <v>1.0377787488692256E-2</v>
      </c>
      <c r="AB1757" s="172">
        <v>1.0339918080974897E-2</v>
      </c>
    </row>
    <row r="1758" spans="24:28" x14ac:dyDescent="0.2">
      <c r="X1758" s="176" t="str">
        <f t="shared" si="61"/>
        <v>1w</v>
      </c>
      <c r="Y1758" s="164">
        <f>_xll.qlCalendarAdvance(Calendar,Y1757,X1758,"f",FALSE)</f>
        <v>51405</v>
      </c>
      <c r="Z1758" s="188">
        <f>_xll.qlCalendarAdvance(Calendar,Y1758,NDays&amp;"D")</f>
        <v>51407</v>
      </c>
      <c r="AA1758" s="163">
        <v>1.0378831622732286E-2</v>
      </c>
      <c r="AB1758" s="172">
        <v>1.0340907488997075E-2</v>
      </c>
    </row>
    <row r="1759" spans="24:28" x14ac:dyDescent="0.2">
      <c r="X1759" s="176" t="str">
        <f t="shared" si="61"/>
        <v>1w</v>
      </c>
      <c r="Y1759" s="164">
        <f>_xll.qlCalendarAdvance(Calendar,Y1758,X1759,"f",FALSE)</f>
        <v>51412</v>
      </c>
      <c r="Z1759" s="188">
        <f>_xll.qlCalendarAdvance(Calendar,Y1759,NDays&amp;"D")</f>
        <v>51414</v>
      </c>
      <c r="AA1759" s="163">
        <v>1.0379657642212355E-2</v>
      </c>
      <c r="AB1759" s="172">
        <v>1.0341884737332663E-2</v>
      </c>
    </row>
    <row r="1760" spans="24:28" x14ac:dyDescent="0.2">
      <c r="X1760" s="176" t="str">
        <f t="shared" si="61"/>
        <v>1w</v>
      </c>
      <c r="Y1760" s="164">
        <f>_xll.qlCalendarAdvance(Calendar,Y1759,X1760,"f",FALSE)</f>
        <v>51419</v>
      </c>
      <c r="Z1760" s="188">
        <f>_xll.qlCalendarAdvance(Calendar,Y1760,NDays&amp;"D")</f>
        <v>51421</v>
      </c>
      <c r="AA1760" s="163">
        <v>1.0380471439627744E-2</v>
      </c>
      <c r="AB1760" s="172">
        <v>1.0342849826061595E-2</v>
      </c>
    </row>
    <row r="1761" spans="24:28" x14ac:dyDescent="0.2">
      <c r="X1761" s="176" t="str">
        <f t="shared" si="61"/>
        <v>1w</v>
      </c>
      <c r="Y1761" s="164">
        <f>_xll.qlCalendarAdvance(Calendar,Y1760,X1761,"f",FALSE)</f>
        <v>51426</v>
      </c>
      <c r="Z1761" s="188">
        <f>_xll.qlCalendarAdvance(Calendar,Y1761,NDays&amp;"D")</f>
        <v>51428</v>
      </c>
      <c r="AA1761" s="163">
        <v>1.038208222220671E-2</v>
      </c>
      <c r="AB1761" s="172">
        <v>1.0343802755130582E-2</v>
      </c>
    </row>
    <row r="1762" spans="24:28" x14ac:dyDescent="0.2">
      <c r="X1762" s="176" t="str">
        <f t="shared" si="61"/>
        <v>1w</v>
      </c>
      <c r="Y1762" s="164">
        <f>_xll.qlCalendarAdvance(Calendar,Y1761,X1762,"f",FALSE)</f>
        <v>51433</v>
      </c>
      <c r="Z1762" s="188">
        <f>_xll.qlCalendarAdvance(Calendar,Y1762,NDays&amp;"D")</f>
        <v>51435</v>
      </c>
      <c r="AA1762" s="163">
        <v>1.0382062368203436E-2</v>
      </c>
      <c r="AB1762" s="172">
        <v>1.0344743524566269E-2</v>
      </c>
    </row>
    <row r="1763" spans="24:28" x14ac:dyDescent="0.2">
      <c r="X1763" s="176" t="str">
        <f t="shared" si="61"/>
        <v>1w</v>
      </c>
      <c r="Y1763" s="164">
        <f>_xll.qlCalendarAdvance(Calendar,Y1762,X1763,"f",FALSE)</f>
        <v>51440</v>
      </c>
      <c r="Z1763" s="188">
        <f>_xll.qlCalendarAdvance(Calendar,Y1763,NDays&amp;"D")</f>
        <v>51442</v>
      </c>
      <c r="AA1763" s="163">
        <v>1.0382638705349372E-2</v>
      </c>
      <c r="AB1763" s="172">
        <v>1.0345672134315365E-2</v>
      </c>
    </row>
    <row r="1764" spans="24:28" x14ac:dyDescent="0.2">
      <c r="X1764" s="176" t="str">
        <f t="shared" si="61"/>
        <v>1w</v>
      </c>
      <c r="Y1764" s="164">
        <f>_xll.qlCalendarAdvance(Calendar,Y1763,X1764,"f",FALSE)</f>
        <v>51447</v>
      </c>
      <c r="Z1764" s="188">
        <f>_xll.qlCalendarAdvance(Calendar,Y1764,NDays&amp;"D")</f>
        <v>51449</v>
      </c>
      <c r="AA1764" s="163">
        <v>1.0383404465339597E-2</v>
      </c>
      <c r="AB1764" s="172">
        <v>1.0346588584457805E-2</v>
      </c>
    </row>
    <row r="1765" spans="24:28" x14ac:dyDescent="0.2">
      <c r="X1765" s="176" t="str">
        <f t="shared" si="61"/>
        <v>1w</v>
      </c>
      <c r="Y1765" s="164">
        <f>_xll.qlCalendarAdvance(Calendar,Y1764,X1765,"f",FALSE)</f>
        <v>51454</v>
      </c>
      <c r="Z1765" s="188">
        <f>_xll.qlCalendarAdvance(Calendar,Y1765,NDays&amp;"D")</f>
        <v>51456</v>
      </c>
      <c r="AA1765" s="163">
        <v>1.0384158003542482E-2</v>
      </c>
      <c r="AB1765" s="172">
        <v>1.0347492874993591E-2</v>
      </c>
    </row>
    <row r="1766" spans="24:28" x14ac:dyDescent="0.2">
      <c r="X1766" s="176" t="str">
        <f t="shared" si="61"/>
        <v>1w</v>
      </c>
      <c r="Y1766" s="164">
        <f>_xll.qlCalendarAdvance(Calendar,Y1765,X1766,"f",FALSE)</f>
        <v>51461</v>
      </c>
      <c r="Z1766" s="188">
        <f>_xll.qlCalendarAdvance(Calendar,Y1766,NDays&amp;"D")</f>
        <v>51463</v>
      </c>
      <c r="AA1766" s="163">
        <v>1.038489931994478E-2</v>
      </c>
      <c r="AB1766" s="172">
        <v>1.0348385005816141E-2</v>
      </c>
    </row>
    <row r="1767" spans="24:28" x14ac:dyDescent="0.2">
      <c r="X1767" s="176" t="str">
        <f t="shared" si="61"/>
        <v>1w</v>
      </c>
      <c r="Y1767" s="164">
        <f>_xll.qlCalendarAdvance(Calendar,Y1766,X1767,"f",FALSE)</f>
        <v>51468</v>
      </c>
      <c r="Z1767" s="188">
        <f>_xll.qlCalendarAdvance(Calendar,Y1767,NDays&amp;"D")</f>
        <v>51470</v>
      </c>
      <c r="AA1767" s="163">
        <v>1.0385825802483692E-2</v>
      </c>
      <c r="AB1767" s="172">
        <v>1.0349264977085326E-2</v>
      </c>
    </row>
    <row r="1768" spans="24:28" x14ac:dyDescent="0.2">
      <c r="X1768" s="176" t="str">
        <f t="shared" si="61"/>
        <v>1w</v>
      </c>
      <c r="Y1768" s="164">
        <f>_xll.qlCalendarAdvance(Calendar,Y1767,X1768,"f",FALSE)</f>
        <v>51475</v>
      </c>
      <c r="Z1768" s="188">
        <f>_xll.qlCalendarAdvance(Calendar,Y1768,NDays&amp;"D")</f>
        <v>51477</v>
      </c>
      <c r="AA1768" s="163">
        <v>1.0386541822858112E-2</v>
      </c>
      <c r="AB1768" s="172">
        <v>1.035013278861463E-2</v>
      </c>
    </row>
    <row r="1769" spans="24:28" x14ac:dyDescent="0.2">
      <c r="X1769" s="176" t="str">
        <f t="shared" si="61"/>
        <v>1w</v>
      </c>
      <c r="Y1769" s="164">
        <f>_xll.qlCalendarAdvance(Calendar,Y1768,X1769,"f",FALSE)</f>
        <v>51482</v>
      </c>
      <c r="Z1769" s="188">
        <f>_xll.qlCalendarAdvance(Calendar,Y1769,NDays&amp;"D")</f>
        <v>51484</v>
      </c>
      <c r="AA1769" s="163">
        <v>1.0387245621040483E-2</v>
      </c>
      <c r="AB1769" s="172">
        <v>1.0350988440563924E-2</v>
      </c>
    </row>
    <row r="1770" spans="24:28" x14ac:dyDescent="0.2">
      <c r="X1770" s="176" t="str">
        <f t="shared" si="61"/>
        <v>1w</v>
      </c>
      <c r="Y1770" s="164">
        <f>_xll.qlCalendarAdvance(Calendar,Y1769,X1770,"f",FALSE)</f>
        <v>51489</v>
      </c>
      <c r="Z1770" s="188">
        <f>_xll.qlCalendarAdvance(Calendar,Y1770,NDays&amp;"D")</f>
        <v>51491</v>
      </c>
      <c r="AA1770" s="163">
        <v>1.0387937197018507E-2</v>
      </c>
      <c r="AB1770" s="172">
        <v>1.0351831932853273E-2</v>
      </c>
    </row>
    <row r="1771" spans="24:28" x14ac:dyDescent="0.2">
      <c r="X1771" s="176" t="str">
        <f t="shared" si="61"/>
        <v>1w</v>
      </c>
      <c r="Y1771" s="164">
        <f>_xll.qlCalendarAdvance(Calendar,Y1770,X1771,"f",FALSE)</f>
        <v>51497</v>
      </c>
      <c r="Z1771" s="188">
        <f>_xll.qlCalendarAdvance(Calendar,Y1771,NDays&amp;"D")</f>
        <v>51501</v>
      </c>
      <c r="AA1771" s="163">
        <v>1.0388322896397982E-2</v>
      </c>
      <c r="AB1771" s="172">
        <v>1.0352808414229031E-2</v>
      </c>
    </row>
    <row r="1772" spans="24:28" x14ac:dyDescent="0.2">
      <c r="X1772" s="176" t="str">
        <f t="shared" si="61"/>
        <v>1w</v>
      </c>
      <c r="Y1772" s="164">
        <f>_xll.qlCalendarAdvance(Calendar,Y1771,X1772,"f",FALSE)</f>
        <v>51504</v>
      </c>
      <c r="Z1772" s="188">
        <f>_xll.qlCalendarAdvance(Calendar,Y1772,NDays&amp;"D")</f>
        <v>51508</v>
      </c>
      <c r="AA1772" s="163">
        <v>1.0389565854319398E-2</v>
      </c>
      <c r="AB1772" s="172">
        <v>1.035341657543043E-2</v>
      </c>
    </row>
    <row r="1773" spans="24:28" x14ac:dyDescent="0.2">
      <c r="X1773" s="176" t="str">
        <f t="shared" si="61"/>
        <v>1w</v>
      </c>
      <c r="Y1773" s="164">
        <f>_xll.qlCalendarAdvance(Calendar,Y1772,X1773,"f",FALSE)</f>
        <v>51511</v>
      </c>
      <c r="Z1773" s="188">
        <f>_xll.qlCalendarAdvance(Calendar,Y1773,NDays&amp;"D")</f>
        <v>51515</v>
      </c>
      <c r="AA1773" s="163">
        <v>1.0390215525499107E-2</v>
      </c>
      <c r="AB1773" s="172">
        <v>1.0354220068382602E-2</v>
      </c>
    </row>
    <row r="1774" spans="24:28" x14ac:dyDescent="0.2">
      <c r="X1774" s="176" t="str">
        <f t="shared" si="61"/>
        <v>1w</v>
      </c>
      <c r="Y1774" s="164">
        <f>_xll.qlCalendarAdvance(Calendar,Y1773,X1774,"f",FALSE)</f>
        <v>51518</v>
      </c>
      <c r="Z1774" s="188">
        <f>_xll.qlCalendarAdvance(Calendar,Y1774,NDays&amp;"D")</f>
        <v>51522</v>
      </c>
      <c r="AA1774" s="163">
        <v>1.039085297441957E-2</v>
      </c>
      <c r="AB1774" s="172">
        <v>1.0355011402340963E-2</v>
      </c>
    </row>
    <row r="1775" spans="24:28" x14ac:dyDescent="0.2">
      <c r="X1775" s="176" t="str">
        <f t="shared" si="61"/>
        <v>1w</v>
      </c>
      <c r="Y1775" s="164">
        <f>_xll.qlCalendarAdvance(Calendar,Y1774,X1775,"f",FALSE)</f>
        <v>51525</v>
      </c>
      <c r="Z1775" s="188">
        <f>_xll.qlCalendarAdvance(Calendar,Y1775,NDays&amp;"D")</f>
        <v>51529</v>
      </c>
      <c r="AA1775" s="163">
        <v>1.0391478201068045E-2</v>
      </c>
      <c r="AB1775" s="172">
        <v>1.0355790577385449E-2</v>
      </c>
    </row>
    <row r="1776" spans="24:28" x14ac:dyDescent="0.2">
      <c r="X1776" s="176" t="str">
        <f t="shared" si="61"/>
        <v>1w</v>
      </c>
      <c r="Y1776" s="164">
        <f>_xll.qlCalendarAdvance(Calendar,Y1775,X1776,"f",FALSE)</f>
        <v>51532</v>
      </c>
      <c r="Z1776" s="188">
        <f>_xll.qlCalendarAdvance(Calendar,Y1776,NDays&amp;"D")</f>
        <v>51536</v>
      </c>
      <c r="AA1776" s="163">
        <v>1.0392091205434434E-2</v>
      </c>
      <c r="AB1776" s="172">
        <v>1.0356557593516058E-2</v>
      </c>
    </row>
    <row r="1777" spans="24:28" x14ac:dyDescent="0.2">
      <c r="X1777" s="176" t="str">
        <f t="shared" si="61"/>
        <v>1w</v>
      </c>
      <c r="Y1777" s="164">
        <f>_xll.qlCalendarAdvance(Calendar,Y1776,X1777,"f",FALSE)</f>
        <v>51539</v>
      </c>
      <c r="Z1777" s="188">
        <f>_xll.qlCalendarAdvance(Calendar,Y1777,NDays&amp;"D")</f>
        <v>51543</v>
      </c>
      <c r="AA1777" s="163">
        <v>1.0392691987505998E-2</v>
      </c>
      <c r="AB1777" s="172">
        <v>1.0357312450732792E-2</v>
      </c>
    </row>
    <row r="1778" spans="24:28" x14ac:dyDescent="0.2">
      <c r="X1778" s="176" t="str">
        <f t="shared" si="61"/>
        <v>1w</v>
      </c>
      <c r="Y1778" s="164">
        <f>_xll.qlCalendarAdvance(Calendar,Y1777,X1778,"f",FALSE)</f>
        <v>51546</v>
      </c>
      <c r="Z1778" s="188">
        <f>_xll.qlCalendarAdvance(Calendar,Y1778,NDays&amp;"D")</f>
        <v>51550</v>
      </c>
      <c r="AA1778" s="163">
        <v>1.0393280547272636E-2</v>
      </c>
      <c r="AB1778" s="172">
        <v>1.0358055148955714E-2</v>
      </c>
    </row>
    <row r="1779" spans="24:28" x14ac:dyDescent="0.2">
      <c r="X1779" s="176" t="str">
        <f t="shared" si="61"/>
        <v>1w</v>
      </c>
      <c r="Y1779" s="164">
        <f>_xll.qlCalendarAdvance(Calendar,Y1778,X1779,"f",FALSE)</f>
        <v>51553</v>
      </c>
      <c r="Z1779" s="188">
        <f>_xll.qlCalendarAdvance(Calendar,Y1779,NDays&amp;"D")</f>
        <v>51557</v>
      </c>
      <c r="AA1779" s="163">
        <v>1.0393856884722927E-2</v>
      </c>
      <c r="AB1779" s="172">
        <v>1.0358785688184824E-2</v>
      </c>
    </row>
    <row r="1780" spans="24:28" x14ac:dyDescent="0.2">
      <c r="X1780" s="176" t="str">
        <f t="shared" si="61"/>
        <v>1w</v>
      </c>
      <c r="Y1780" s="164">
        <f>_xll.qlCalendarAdvance(Calendar,Y1779,X1780,"f",FALSE)</f>
        <v>51560</v>
      </c>
      <c r="Z1780" s="188">
        <f>_xll.qlCalendarAdvance(Calendar,Y1780,NDays&amp;"D")</f>
        <v>51564</v>
      </c>
      <c r="AA1780" s="163">
        <v>1.0394792589857269E-2</v>
      </c>
      <c r="AB1780" s="172">
        <v>1.0359504068500058E-2</v>
      </c>
    </row>
    <row r="1781" spans="24:28" x14ac:dyDescent="0.2">
      <c r="X1781" s="176" t="str">
        <f t="shared" si="61"/>
        <v>1w</v>
      </c>
      <c r="Y1781" s="164">
        <f>_xll.qlCalendarAdvance(Calendar,Y1780,X1781,"f",FALSE)</f>
        <v>51567</v>
      </c>
      <c r="Z1781" s="188">
        <f>_xll.qlCalendarAdvance(Calendar,Y1781,NDays&amp;"D")</f>
        <v>51571</v>
      </c>
      <c r="AA1781" s="163">
        <v>1.0395342768280089E-2</v>
      </c>
      <c r="AB1781" s="172">
        <v>1.0360210289821481E-2</v>
      </c>
    </row>
    <row r="1782" spans="24:28" x14ac:dyDescent="0.2">
      <c r="X1782" s="176" t="str">
        <f t="shared" si="61"/>
        <v>1w</v>
      </c>
      <c r="Y1782" s="164">
        <f>_xll.qlCalendarAdvance(Calendar,Y1781,X1782,"f",FALSE)</f>
        <v>51574</v>
      </c>
      <c r="Z1782" s="188">
        <f>_xll.qlCalendarAdvance(Calendar,Y1782,NDays&amp;"D")</f>
        <v>51578</v>
      </c>
      <c r="AA1782" s="163">
        <v>1.0395880723652511E-2</v>
      </c>
      <c r="AB1782" s="172">
        <v>1.0360904352229028E-2</v>
      </c>
    </row>
    <row r="1783" spans="24:28" x14ac:dyDescent="0.2">
      <c r="X1783" s="176" t="str">
        <f t="shared" si="61"/>
        <v>1w</v>
      </c>
      <c r="Y1783" s="164">
        <f>_xll.qlCalendarAdvance(Calendar,Y1782,X1783,"f",FALSE)</f>
        <v>51581</v>
      </c>
      <c r="Z1783" s="188">
        <f>_xll.qlCalendarAdvance(Calendar,Y1783,NDays&amp;"D")</f>
        <v>51585</v>
      </c>
      <c r="AA1783" s="163">
        <v>1.039640645596324E-2</v>
      </c>
      <c r="AB1783" s="172">
        <v>1.0361586255642763E-2</v>
      </c>
    </row>
    <row r="1784" spans="24:28" x14ac:dyDescent="0.2">
      <c r="X1784" s="176" t="str">
        <f t="shared" si="61"/>
        <v>1w</v>
      </c>
      <c r="Y1784" s="164">
        <f>_xll.qlCalendarAdvance(Calendar,Y1783,X1784,"f",FALSE)</f>
        <v>51588</v>
      </c>
      <c r="Z1784" s="188">
        <f>_xll.qlCalendarAdvance(Calendar,Y1784,NDays&amp;"D")</f>
        <v>51592</v>
      </c>
      <c r="AA1784" s="163">
        <v>1.0396737640234488E-2</v>
      </c>
      <c r="AB1784" s="172">
        <v>1.0362256000222558E-2</v>
      </c>
    </row>
    <row r="1785" spans="24:28" x14ac:dyDescent="0.2">
      <c r="X1785" s="176" t="str">
        <f t="shared" si="61"/>
        <v>1w</v>
      </c>
      <c r="Y1785" s="164">
        <f>_xll.qlCalendarAdvance(Calendar,Y1784,X1785,"f",FALSE)</f>
        <v>51595</v>
      </c>
      <c r="Z1785" s="188">
        <f>_xll.qlCalendarAdvance(Calendar,Y1785,NDays&amp;"D")</f>
        <v>51599</v>
      </c>
      <c r="AA1785" s="163">
        <v>1.0397239785008339E-2</v>
      </c>
      <c r="AB1785" s="172">
        <v>1.0362913585728606E-2</v>
      </c>
    </row>
    <row r="1786" spans="24:28" x14ac:dyDescent="0.2">
      <c r="X1786" s="176" t="str">
        <f t="shared" si="61"/>
        <v>1w</v>
      </c>
      <c r="Y1786" s="164">
        <f>_xll.qlCalendarAdvance(Calendar,Y1785,X1786,"f",FALSE)</f>
        <v>51602</v>
      </c>
      <c r="Z1786" s="188">
        <f>_xll.qlCalendarAdvance(Calendar,Y1786,NDays&amp;"D")</f>
        <v>51606</v>
      </c>
      <c r="AA1786" s="163">
        <v>1.0397729707044393E-2</v>
      </c>
      <c r="AB1786" s="172">
        <v>1.0363559012320778E-2</v>
      </c>
    </row>
    <row r="1787" spans="24:28" x14ac:dyDescent="0.2">
      <c r="X1787" s="176" t="str">
        <f t="shared" si="61"/>
        <v>1w</v>
      </c>
      <c r="Y1787" s="164">
        <f>_xll.qlCalendarAdvance(Calendar,Y1786,X1787,"f",FALSE)</f>
        <v>51609</v>
      </c>
      <c r="Z1787" s="188">
        <f>_xll.qlCalendarAdvance(Calendar,Y1787,NDays&amp;"D")</f>
        <v>51615</v>
      </c>
      <c r="AA1787" s="163">
        <v>1.0398341646849014E-2</v>
      </c>
      <c r="AB1787" s="172">
        <v>1.0364370980333604E-2</v>
      </c>
    </row>
    <row r="1788" spans="24:28" x14ac:dyDescent="0.2">
      <c r="X1788" s="176" t="str">
        <f t="shared" si="61"/>
        <v>1w</v>
      </c>
      <c r="Y1788" s="164">
        <f>_xll.qlCalendarAdvance(Calendar,Y1787,X1788,"f",FALSE)</f>
        <v>51616</v>
      </c>
      <c r="Z1788" s="188">
        <f>_xll.qlCalendarAdvance(Calendar,Y1788,NDays&amp;"D")</f>
        <v>51620</v>
      </c>
      <c r="AA1788" s="163">
        <v>1.0398672882866427E-2</v>
      </c>
      <c r="AB1788" s="172">
        <v>1.0364813388683558E-2</v>
      </c>
    </row>
    <row r="1789" spans="24:28" x14ac:dyDescent="0.2">
      <c r="X1789" s="176" t="str">
        <f t="shared" si="61"/>
        <v>1w</v>
      </c>
      <c r="Y1789" s="164">
        <f>_xll.qlCalendarAdvance(Calendar,Y1788,X1789,"f",FALSE)</f>
        <v>51623</v>
      </c>
      <c r="Z1789" s="188">
        <f>_xll.qlCalendarAdvance(Calendar,Y1789,NDays&amp;"D")</f>
        <v>51627</v>
      </c>
      <c r="AA1789" s="163">
        <v>1.0399304165012471E-2</v>
      </c>
      <c r="AB1789" s="172">
        <v>1.0365422338534103E-2</v>
      </c>
    </row>
    <row r="1790" spans="24:28" x14ac:dyDescent="0.2">
      <c r="X1790" s="176" t="str">
        <f t="shared" si="61"/>
        <v>1w</v>
      </c>
      <c r="Y1790" s="164">
        <f>_xll.qlCalendarAdvance(Calendar,Y1789,X1790,"f",FALSE)</f>
        <v>51630</v>
      </c>
      <c r="Z1790" s="188">
        <f>_xll.qlCalendarAdvance(Calendar,Y1790,NDays&amp;"D")</f>
        <v>51634</v>
      </c>
      <c r="AA1790" s="163">
        <v>1.0399744335633728E-2</v>
      </c>
      <c r="AB1790" s="172">
        <v>1.0366019129230963E-2</v>
      </c>
    </row>
    <row r="1791" spans="24:28" x14ac:dyDescent="0.2">
      <c r="X1791" s="176" t="str">
        <f t="shared" si="61"/>
        <v>1w</v>
      </c>
      <c r="Y1791" s="164">
        <f>_xll.qlCalendarAdvance(Calendar,Y1790,X1791,"f",FALSE)</f>
        <v>51637</v>
      </c>
      <c r="Z1791" s="188">
        <f>_xll.qlCalendarAdvance(Calendar,Y1791,NDays&amp;"D")</f>
        <v>51641</v>
      </c>
      <c r="AA1791" s="163">
        <v>1.0400172283122044E-2</v>
      </c>
      <c r="AB1791" s="172">
        <v>1.036660376117382E-2</v>
      </c>
    </row>
    <row r="1792" spans="24:28" x14ac:dyDescent="0.2">
      <c r="X1792" s="176" t="str">
        <f t="shared" si="61"/>
        <v>1w</v>
      </c>
      <c r="Y1792" s="164">
        <f>_xll.qlCalendarAdvance(Calendar,Y1791,X1792,"f",FALSE)</f>
        <v>51644</v>
      </c>
      <c r="Z1792" s="188">
        <f>_xll.qlCalendarAdvance(Calendar,Y1792,NDays&amp;"D")</f>
        <v>51648</v>
      </c>
      <c r="AA1792" s="163">
        <v>1.0400588007469165E-2</v>
      </c>
      <c r="AB1792" s="172">
        <v>1.0367176234122866E-2</v>
      </c>
    </row>
    <row r="1793" spans="24:28" x14ac:dyDescent="0.2">
      <c r="X1793" s="176" t="str">
        <f t="shared" si="61"/>
        <v>1w</v>
      </c>
      <c r="Y1793" s="164">
        <f>_xll.qlCalendarAdvance(Calendar,Y1792,X1793,"f",FALSE)</f>
        <v>51651</v>
      </c>
      <c r="Z1793" s="188">
        <f>_xll.qlCalendarAdvance(Calendar,Y1793,NDays&amp;"D")</f>
        <v>51655</v>
      </c>
      <c r="AA1793" s="163">
        <v>1.0400816923902505E-2</v>
      </c>
      <c r="AB1793" s="172">
        <v>1.0367736548078099E-2</v>
      </c>
    </row>
    <row r="1794" spans="24:28" x14ac:dyDescent="0.2">
      <c r="X1794" s="176" t="str">
        <f t="shared" si="61"/>
        <v>1w</v>
      </c>
      <c r="Y1794" s="164">
        <f>_xll.qlCalendarAdvance(Calendar,Y1793,X1794,"f",FALSE)</f>
        <v>51658</v>
      </c>
      <c r="Z1794" s="188">
        <f>_xll.qlCalendarAdvance(Calendar,Y1794,NDays&amp;"D")</f>
        <v>51662</v>
      </c>
      <c r="AA1794" s="163">
        <v>1.0401209063727379E-2</v>
      </c>
      <c r="AB1794" s="172">
        <v>1.0368284703039521E-2</v>
      </c>
    </row>
    <row r="1795" spans="24:28" x14ac:dyDescent="0.2">
      <c r="X1795" s="176" t="str">
        <f t="shared" si="61"/>
        <v>1w</v>
      </c>
      <c r="Y1795" s="164">
        <f>_xll.qlCalendarAdvance(Calendar,Y1794,X1795,"f",FALSE)</f>
        <v>51665</v>
      </c>
      <c r="Z1795" s="188">
        <f>_xll.qlCalendarAdvance(Calendar,Y1795,NDays&amp;"D")</f>
        <v>51669</v>
      </c>
      <c r="AA1795" s="163">
        <v>1.040158898074151E-2</v>
      </c>
      <c r="AB1795" s="172">
        <v>1.0368820699087067E-2</v>
      </c>
    </row>
    <row r="1796" spans="24:28" x14ac:dyDescent="0.2">
      <c r="X1796" s="176" t="str">
        <f t="shared" si="61"/>
        <v>1w</v>
      </c>
      <c r="Y1796" s="164">
        <f>_xll.qlCalendarAdvance(Calendar,Y1795,X1796,"f",FALSE)</f>
        <v>51672</v>
      </c>
      <c r="Z1796" s="188">
        <f>_xll.qlCalendarAdvance(Calendar,Y1796,NDays&amp;"D")</f>
        <v>51676</v>
      </c>
      <c r="AA1796" s="163">
        <v>1.0401956674937039E-2</v>
      </c>
      <c r="AB1796" s="172">
        <v>1.0369344536220737E-2</v>
      </c>
    </row>
    <row r="1797" spans="24:28" x14ac:dyDescent="0.2">
      <c r="X1797" s="176" t="str">
        <f t="shared" si="61"/>
        <v>1w</v>
      </c>
      <c r="Y1797" s="164">
        <f>_xll.qlCalendarAdvance(Calendar,Y1796,X1797,"f",FALSE)</f>
        <v>51679</v>
      </c>
      <c r="Z1797" s="188">
        <f>_xll.qlCalendarAdvance(Calendar,Y1797,NDays&amp;"D")</f>
        <v>51683</v>
      </c>
      <c r="AA1797" s="163">
        <v>1.0402654338286329E-2</v>
      </c>
      <c r="AB1797" s="172">
        <v>1.0369856214440532E-2</v>
      </c>
    </row>
    <row r="1798" spans="24:28" x14ac:dyDescent="0.2">
      <c r="X1798" s="176" t="str">
        <f t="shared" si="61"/>
        <v>1w</v>
      </c>
      <c r="Y1798" s="164">
        <f>_xll.qlCalendarAdvance(Calendar,Y1797,X1798,"f",FALSE)</f>
        <v>51686</v>
      </c>
      <c r="Z1798" s="188">
        <f>_xll.qlCalendarAdvance(Calendar,Y1798,NDays&amp;"D")</f>
        <v>51690</v>
      </c>
      <c r="AA1798" s="163">
        <v>1.0402825667168871E-2</v>
      </c>
      <c r="AB1798" s="172">
        <v>1.0370355733666514E-2</v>
      </c>
    </row>
    <row r="1799" spans="24:28" x14ac:dyDescent="0.2">
      <c r="X1799" s="176" t="str">
        <f t="shared" si="61"/>
        <v>1w</v>
      </c>
      <c r="Y1799" s="164">
        <f>_xll.qlCalendarAdvance(Calendar,Y1798,X1799,"f",FALSE)</f>
        <v>51693</v>
      </c>
      <c r="Z1799" s="188">
        <f>_xll.qlCalendarAdvance(Calendar,Y1799,NDays&amp;"D")</f>
        <v>51697</v>
      </c>
      <c r="AA1799" s="163">
        <v>1.0403155829323009E-2</v>
      </c>
      <c r="AB1799" s="172">
        <v>1.0370843093898685E-2</v>
      </c>
    </row>
    <row r="1800" spans="24:28" x14ac:dyDescent="0.2">
      <c r="X1800" s="176" t="str">
        <f t="shared" si="61"/>
        <v>1w</v>
      </c>
      <c r="Y1800" s="164">
        <f>_xll.qlCalendarAdvance(Calendar,Y1799,X1800,"f",FALSE)</f>
        <v>51700</v>
      </c>
      <c r="Z1800" s="188">
        <f>_xll.qlCalendarAdvance(Calendar,Y1800,NDays&amp;"D")</f>
        <v>51704</v>
      </c>
      <c r="AA1800" s="163">
        <v>1.0403473768281213E-2</v>
      </c>
      <c r="AB1800" s="172">
        <v>1.0371318295137044E-2</v>
      </c>
    </row>
    <row r="1801" spans="24:28" x14ac:dyDescent="0.2">
      <c r="X1801" s="176" t="str">
        <f t="shared" si="61"/>
        <v>1w</v>
      </c>
      <c r="Y1801" s="164">
        <f>_xll.qlCalendarAdvance(Calendar,Y1800,X1801,"f",FALSE)</f>
        <v>51707</v>
      </c>
      <c r="Z1801" s="188">
        <f>_xll.qlCalendarAdvance(Calendar,Y1801,NDays&amp;"D")</f>
        <v>51711</v>
      </c>
      <c r="AA1801" s="163">
        <v>1.0403779484036533E-2</v>
      </c>
      <c r="AB1801" s="172">
        <v>1.0371781337541464E-2</v>
      </c>
    </row>
    <row r="1802" spans="24:28" x14ac:dyDescent="0.2">
      <c r="X1802" s="176" t="str">
        <f t="shared" si="61"/>
        <v>1w</v>
      </c>
      <c r="Y1802" s="164">
        <f>_xll.qlCalendarAdvance(Calendar,Y1801,X1802,"f",FALSE)</f>
        <v>51714</v>
      </c>
      <c r="Z1802" s="188">
        <f>_xll.qlCalendarAdvance(Calendar,Y1802,NDays&amp;"D")</f>
        <v>51718</v>
      </c>
      <c r="AA1802" s="163">
        <v>1.0404072976583321E-2</v>
      </c>
      <c r="AB1802" s="172">
        <v>1.0372232220952071E-2</v>
      </c>
    </row>
    <row r="1803" spans="24:28" x14ac:dyDescent="0.2">
      <c r="X1803" s="176" t="str">
        <f t="shared" si="61"/>
        <v>1w</v>
      </c>
      <c r="Y1803" s="164">
        <f>_xll.qlCalendarAdvance(Calendar,Y1802,X1803,"f",FALSE)</f>
        <v>51721</v>
      </c>
      <c r="Z1803" s="188">
        <f>_xll.qlCalendarAdvance(Calendar,Y1803,NDays&amp;"D")</f>
        <v>51725</v>
      </c>
      <c r="AA1803" s="163">
        <v>1.0404354245915928E-2</v>
      </c>
      <c r="AB1803" s="172">
        <v>1.0372670945448803E-2</v>
      </c>
    </row>
    <row r="1804" spans="24:28" x14ac:dyDescent="0.2">
      <c r="X1804" s="176" t="str">
        <f t="shared" si="61"/>
        <v>1w</v>
      </c>
      <c r="Y1804" s="164">
        <f>_xll.qlCalendarAdvance(Calendar,Y1803,X1804,"f",FALSE)</f>
        <v>51728</v>
      </c>
      <c r="Z1804" s="188">
        <f>_xll.qlCalendarAdvance(Calendar,Y1804,NDays&amp;"D")</f>
        <v>51732</v>
      </c>
      <c r="AA1804" s="163">
        <v>1.0404623292029578E-2</v>
      </c>
      <c r="AB1804" s="172">
        <v>1.0373097510951723E-2</v>
      </c>
    </row>
    <row r="1805" spans="24:28" x14ac:dyDescent="0.2">
      <c r="X1805" s="176" t="str">
        <f t="shared" si="61"/>
        <v>1w</v>
      </c>
      <c r="Y1805" s="164">
        <f>_xll.qlCalendarAdvance(Calendar,Y1804,X1805,"f",FALSE)</f>
        <v>51735</v>
      </c>
      <c r="Z1805" s="188">
        <f>_xll.qlCalendarAdvance(Calendar,Y1805,NDays&amp;"D")</f>
        <v>51739</v>
      </c>
      <c r="AA1805" s="163">
        <v>1.0404880114919489E-2</v>
      </c>
      <c r="AB1805" s="172">
        <v>1.0373511917460831E-2</v>
      </c>
    </row>
    <row r="1806" spans="24:28" x14ac:dyDescent="0.2">
      <c r="X1806" s="176" t="str">
        <f t="shared" si="61"/>
        <v>1w</v>
      </c>
      <c r="Y1806" s="164">
        <f>_xll.qlCalendarAdvance(Calendar,Y1805,X1806,"f",FALSE)</f>
        <v>51742</v>
      </c>
      <c r="Z1806" s="188">
        <f>_xll.qlCalendarAdvance(Calendar,Y1806,NDays&amp;"D")</f>
        <v>51746</v>
      </c>
      <c r="AA1806" s="163">
        <v>1.0404797926899353E-2</v>
      </c>
      <c r="AB1806" s="172">
        <v>1.0373914165056064E-2</v>
      </c>
    </row>
    <row r="1807" spans="24:28" x14ac:dyDescent="0.2">
      <c r="X1807" s="176" t="str">
        <f t="shared" si="61"/>
        <v>1w</v>
      </c>
      <c r="Y1807" s="164">
        <f>_xll.qlCalendarAdvance(Calendar,Y1806,X1807,"f",FALSE)</f>
        <v>51749</v>
      </c>
      <c r="Z1807" s="188">
        <f>_xll.qlCalendarAdvance(Calendar,Y1807,NDays&amp;"D")</f>
        <v>51753</v>
      </c>
      <c r="AA1807" s="163">
        <v>1.0405032036006397E-2</v>
      </c>
      <c r="AB1807" s="172">
        <v>1.0374304253737421E-2</v>
      </c>
    </row>
    <row r="1808" spans="24:28" x14ac:dyDescent="0.2">
      <c r="X1808" s="176" t="str">
        <f t="shared" si="61"/>
        <v>1w</v>
      </c>
      <c r="Y1808" s="164">
        <f>_xll.qlCalendarAdvance(Calendar,Y1807,X1808,"f",FALSE)</f>
        <v>51756</v>
      </c>
      <c r="Z1808" s="188">
        <f>_xll.qlCalendarAdvance(Calendar,Y1808,NDays&amp;"D")</f>
        <v>51760</v>
      </c>
      <c r="AA1808" s="163">
        <v>1.0405253922580567E-2</v>
      </c>
      <c r="AB1808" s="172">
        <v>1.0374682183424966E-2</v>
      </c>
    </row>
    <row r="1809" spans="24:28" x14ac:dyDescent="0.2">
      <c r="X1809" s="176" t="str">
        <f t="shared" si="61"/>
        <v>1w</v>
      </c>
      <c r="Y1809" s="164">
        <f>_xll.qlCalendarAdvance(Calendar,Y1808,X1809,"f",FALSE)</f>
        <v>51763</v>
      </c>
      <c r="Z1809" s="188">
        <f>_xll.qlCalendarAdvance(Calendar,Y1809,NDays&amp;"D")</f>
        <v>51767</v>
      </c>
      <c r="AA1809" s="163">
        <v>1.0405463586617468E-2</v>
      </c>
      <c r="AB1809" s="172">
        <v>1.0375047954198635E-2</v>
      </c>
    </row>
    <row r="1810" spans="24:28" x14ac:dyDescent="0.2">
      <c r="X1810" s="176" t="str">
        <f t="shared" si="61"/>
        <v>1w</v>
      </c>
      <c r="Y1810" s="164">
        <f>_xll.qlCalendarAdvance(Calendar,Y1809,X1810,"f",FALSE)</f>
        <v>51770</v>
      </c>
      <c r="Z1810" s="188">
        <f>_xll.qlCalendarAdvance(Calendar,Y1810,NDays&amp;"D")</f>
        <v>51774</v>
      </c>
      <c r="AA1810" s="163">
        <v>1.0405661028114027E-2</v>
      </c>
      <c r="AB1810" s="172">
        <v>1.0375401566058429E-2</v>
      </c>
    </row>
    <row r="1811" spans="24:28" x14ac:dyDescent="0.2">
      <c r="X1811" s="176" t="str">
        <f t="shared" si="61"/>
        <v>1w</v>
      </c>
      <c r="Y1811" s="164">
        <f>_xll.qlCalendarAdvance(Calendar,Y1810,X1811,"f",FALSE)</f>
        <v>51777</v>
      </c>
      <c r="Z1811" s="188">
        <f>_xll.qlCalendarAdvance(Calendar,Y1811,NDays&amp;"D")</f>
        <v>51781</v>
      </c>
      <c r="AA1811" s="163">
        <v>1.040600534555591E-2</v>
      </c>
      <c r="AB1811" s="172">
        <v>1.0375743018844474E-2</v>
      </c>
    </row>
    <row r="1812" spans="24:28" x14ac:dyDescent="0.2">
      <c r="X1812" s="176" t="str">
        <f t="shared" si="61"/>
        <v>1w</v>
      </c>
      <c r="Y1812" s="164">
        <f>_xll.qlCalendarAdvance(Calendar,Y1811,X1812,"f",FALSE)</f>
        <v>51784</v>
      </c>
      <c r="Z1812" s="188">
        <f>_xll.qlCalendarAdvance(Calendar,Y1812,NDays&amp;"D")</f>
        <v>51788</v>
      </c>
      <c r="AA1812" s="163">
        <v>1.0406019243470305E-2</v>
      </c>
      <c r="AB1812" s="172">
        <v>1.0376072312716644E-2</v>
      </c>
    </row>
    <row r="1813" spans="24:28" x14ac:dyDescent="0.2">
      <c r="X1813" s="176" t="str">
        <f t="shared" ref="X1813:X1876" si="62">X1812</f>
        <v>1w</v>
      </c>
      <c r="Y1813" s="164">
        <f>_xll.qlCalendarAdvance(Calendar,Y1812,X1813,"f",FALSE)</f>
        <v>51791</v>
      </c>
      <c r="Z1813" s="188">
        <f>_xll.qlCalendarAdvance(Calendar,Y1813,NDays&amp;"D")</f>
        <v>51795</v>
      </c>
      <c r="AA1813" s="163">
        <v>1.0406180017323437E-2</v>
      </c>
      <c r="AB1813" s="172">
        <v>1.0376389447834811E-2</v>
      </c>
    </row>
    <row r="1814" spans="24:28" x14ac:dyDescent="0.2">
      <c r="X1814" s="176" t="str">
        <f t="shared" si="62"/>
        <v>1w</v>
      </c>
      <c r="Y1814" s="164">
        <f>_xll.qlCalendarAdvance(Calendar,Y1813,X1814,"f",FALSE)</f>
        <v>51798</v>
      </c>
      <c r="Z1814" s="188">
        <f>_xll.qlCalendarAdvance(Calendar,Y1814,NDays&amp;"D")</f>
        <v>51802</v>
      </c>
      <c r="AA1814" s="163">
        <v>1.0406328568622171E-2</v>
      </c>
      <c r="AB1814" s="172">
        <v>1.0376694423719357E-2</v>
      </c>
    </row>
    <row r="1815" spans="24:28" x14ac:dyDescent="0.2">
      <c r="X1815" s="176" t="str">
        <f t="shared" si="62"/>
        <v>1w</v>
      </c>
      <c r="Y1815" s="164">
        <f>_xll.qlCalendarAdvance(Calendar,Y1814,X1815,"f",FALSE)</f>
        <v>51805</v>
      </c>
      <c r="Z1815" s="188">
        <f>_xll.qlCalendarAdvance(Calendar,Y1815,NDays&amp;"D")</f>
        <v>51809</v>
      </c>
      <c r="AA1815" s="163">
        <v>1.0406464897364753E-2</v>
      </c>
      <c r="AB1815" s="172">
        <v>1.0376987240769964E-2</v>
      </c>
    </row>
    <row r="1816" spans="24:28" x14ac:dyDescent="0.2">
      <c r="X1816" s="176" t="str">
        <f t="shared" si="62"/>
        <v>1w</v>
      </c>
      <c r="Y1816" s="164">
        <f>_xll.qlCalendarAdvance(Calendar,Y1815,X1816,"f",FALSE)</f>
        <v>51812</v>
      </c>
      <c r="Z1816" s="188">
        <f>_xll.qlCalendarAdvance(Calendar,Y1816,NDays&amp;"D")</f>
        <v>51816</v>
      </c>
      <c r="AA1816" s="163">
        <v>1.0406589003547665E-2</v>
      </c>
      <c r="AB1816" s="172">
        <v>1.0377267898906695E-2</v>
      </c>
    </row>
    <row r="1817" spans="24:28" x14ac:dyDescent="0.2">
      <c r="X1817" s="176" t="str">
        <f t="shared" si="62"/>
        <v>1w</v>
      </c>
      <c r="Y1817" s="164">
        <f>_xll.qlCalendarAdvance(Calendar,Y1816,X1817,"f",FALSE)</f>
        <v>51819</v>
      </c>
      <c r="Z1817" s="188">
        <f>_xll.qlCalendarAdvance(Calendar,Y1817,NDays&amp;"D")</f>
        <v>51823</v>
      </c>
      <c r="AA1817" s="163">
        <v>1.0406700887169154E-2</v>
      </c>
      <c r="AB1817" s="172">
        <v>1.0377536398049614E-2</v>
      </c>
    </row>
    <row r="1818" spans="24:28" x14ac:dyDescent="0.2">
      <c r="X1818" s="176" t="str">
        <f t="shared" si="62"/>
        <v>1w</v>
      </c>
      <c r="Y1818" s="164">
        <f>_xll.qlCalendarAdvance(Calendar,Y1817,X1818,"f",FALSE)</f>
        <v>51826</v>
      </c>
      <c r="Z1818" s="188">
        <f>_xll.qlCalendarAdvance(Calendar,Y1818,NDays&amp;"D")</f>
        <v>51830</v>
      </c>
      <c r="AA1818" s="163">
        <v>1.0406800548226583E-2</v>
      </c>
      <c r="AB1818" s="172">
        <v>1.0377792738198721E-2</v>
      </c>
    </row>
    <row r="1819" spans="24:28" x14ac:dyDescent="0.2">
      <c r="X1819" s="176" t="str">
        <f t="shared" si="62"/>
        <v>1w</v>
      </c>
      <c r="Y1819" s="164">
        <f>_xll.qlCalendarAdvance(Calendar,Y1818,X1819,"f",FALSE)</f>
        <v>51833</v>
      </c>
      <c r="Z1819" s="188">
        <f>_xll.qlCalendarAdvance(Calendar,Y1819,NDays&amp;"D")</f>
        <v>51837</v>
      </c>
      <c r="AA1819" s="163">
        <v>1.0406887986719073E-2</v>
      </c>
      <c r="AB1819" s="172">
        <v>1.0378036919513889E-2</v>
      </c>
    </row>
    <row r="1820" spans="24:28" x14ac:dyDescent="0.2">
      <c r="X1820" s="176" t="str">
        <f t="shared" si="62"/>
        <v>1w</v>
      </c>
      <c r="Y1820" s="164">
        <f>_xll.qlCalendarAdvance(Calendar,Y1819,X1820,"f",FALSE)</f>
        <v>51840</v>
      </c>
      <c r="Z1820" s="188">
        <f>_xll.qlCalendarAdvance(Calendar,Y1820,NDays&amp;"D")</f>
        <v>51844</v>
      </c>
      <c r="AA1820" s="163">
        <v>1.0406963202644429E-2</v>
      </c>
      <c r="AB1820" s="172">
        <v>1.0378268941675373E-2</v>
      </c>
    </row>
    <row r="1821" spans="24:28" x14ac:dyDescent="0.2">
      <c r="X1821" s="176" t="str">
        <f t="shared" si="62"/>
        <v>1w</v>
      </c>
      <c r="Y1821" s="164">
        <f>_xll.qlCalendarAdvance(Calendar,Y1820,X1821,"f",FALSE)</f>
        <v>51847</v>
      </c>
      <c r="Z1821" s="188">
        <f>_xll.qlCalendarAdvance(Calendar,Y1821,NDays&amp;"D")</f>
        <v>51851</v>
      </c>
      <c r="AA1821" s="163">
        <v>1.0407026196000894E-2</v>
      </c>
      <c r="AB1821" s="172">
        <v>1.0378488805002917E-2</v>
      </c>
    </row>
    <row r="1822" spans="24:28" x14ac:dyDescent="0.2">
      <c r="X1822" s="176" t="str">
        <f t="shared" si="62"/>
        <v>1w</v>
      </c>
      <c r="Y1822" s="164">
        <f>_xll.qlCalendarAdvance(Calendar,Y1821,X1822,"f",FALSE)</f>
        <v>51854</v>
      </c>
      <c r="Z1822" s="188">
        <f>_xll.qlCalendarAdvance(Calendar,Y1822,NDays&amp;"D")</f>
        <v>51858</v>
      </c>
      <c r="AA1822" s="163">
        <v>1.0407076966788468E-2</v>
      </c>
      <c r="AB1822" s="172">
        <v>1.0378696509496521E-2</v>
      </c>
    </row>
    <row r="1823" spans="24:28" x14ac:dyDescent="0.2">
      <c r="X1823" s="176" t="str">
        <f t="shared" si="62"/>
        <v>1w</v>
      </c>
      <c r="Y1823" s="164">
        <f>_xll.qlCalendarAdvance(Calendar,Y1822,X1823,"f",FALSE)</f>
        <v>51862</v>
      </c>
      <c r="Z1823" s="188">
        <f>_xll.qlCalendarAdvance(Calendar,Y1823,NDays&amp;"D")</f>
        <v>51866</v>
      </c>
      <c r="AA1823" s="163">
        <v>1.0406971410076963E-2</v>
      </c>
      <c r="AB1823" s="172">
        <v>1.0379081958808989E-2</v>
      </c>
    </row>
    <row r="1824" spans="24:28" x14ac:dyDescent="0.2">
      <c r="X1824" s="176" t="str">
        <f t="shared" si="62"/>
        <v>1w</v>
      </c>
      <c r="Y1824" s="164">
        <f>_xll.qlCalendarAdvance(Calendar,Y1823,X1824,"f",FALSE)</f>
        <v>51869</v>
      </c>
      <c r="Z1824" s="188">
        <f>_xll.qlCalendarAdvance(Calendar,Y1824,NDays&amp;"D")</f>
        <v>51873</v>
      </c>
      <c r="AA1824" s="163">
        <v>1.040699686194785E-2</v>
      </c>
      <c r="AB1824" s="172">
        <v>1.0379100646940032E-2</v>
      </c>
    </row>
    <row r="1825" spans="24:28" x14ac:dyDescent="0.2">
      <c r="X1825" s="176" t="str">
        <f t="shared" si="62"/>
        <v>1w</v>
      </c>
      <c r="Y1825" s="164">
        <f>_xll.qlCalendarAdvance(Calendar,Y1824,X1825,"f",FALSE)</f>
        <v>51876</v>
      </c>
      <c r="Z1825" s="188">
        <f>_xll.qlCalendarAdvance(Calendar,Y1825,NDays&amp;"D")</f>
        <v>51880</v>
      </c>
      <c r="AA1825" s="163">
        <v>1.0407010091599035E-2</v>
      </c>
      <c r="AB1825" s="172">
        <v>1.0379270137361729E-2</v>
      </c>
    </row>
    <row r="1826" spans="24:28" x14ac:dyDescent="0.2">
      <c r="X1826" s="176" t="str">
        <f t="shared" si="62"/>
        <v>1w</v>
      </c>
      <c r="Y1826" s="164">
        <f>_xll.qlCalendarAdvance(Calendar,Y1825,X1826,"f",FALSE)</f>
        <v>51883</v>
      </c>
      <c r="Z1826" s="188">
        <f>_xll.qlCalendarAdvance(Calendar,Y1826,NDays&amp;"D")</f>
        <v>51887</v>
      </c>
      <c r="AA1826" s="163">
        <v>1.0407011099030965E-2</v>
      </c>
      <c r="AB1826" s="172">
        <v>1.0379427469029423E-2</v>
      </c>
    </row>
    <row r="1827" spans="24:28" x14ac:dyDescent="0.2">
      <c r="X1827" s="176" t="str">
        <f t="shared" si="62"/>
        <v>1w</v>
      </c>
      <c r="Y1827" s="164">
        <f>_xll.qlCalendarAdvance(Calendar,Y1826,X1827,"f",FALSE)</f>
        <v>51890</v>
      </c>
      <c r="Z1827" s="188">
        <f>_xll.qlCalendarAdvance(Calendar,Y1827,NDays&amp;"D")</f>
        <v>51894</v>
      </c>
      <c r="AA1827" s="163">
        <v>1.0406999884243191E-2</v>
      </c>
      <c r="AB1827" s="172">
        <v>1.0379572641623369E-2</v>
      </c>
    </row>
    <row r="1828" spans="24:28" x14ac:dyDescent="0.2">
      <c r="X1828" s="176" t="str">
        <f t="shared" si="62"/>
        <v>1w</v>
      </c>
      <c r="Y1828" s="164">
        <f>_xll.qlCalendarAdvance(Calendar,Y1827,X1828,"f",FALSE)</f>
        <v>51897</v>
      </c>
      <c r="Z1828" s="188">
        <f>_xll.qlCalendarAdvance(Calendar,Y1828,NDays&amp;"D")</f>
        <v>51901</v>
      </c>
      <c r="AA1828" s="163">
        <v>1.0406976447235277E-2</v>
      </c>
      <c r="AB1828" s="172">
        <v>1.0379705655383376E-2</v>
      </c>
    </row>
    <row r="1829" spans="24:28" x14ac:dyDescent="0.2">
      <c r="X1829" s="176" t="str">
        <f t="shared" si="62"/>
        <v>1w</v>
      </c>
      <c r="Y1829" s="164">
        <f>_xll.qlCalendarAdvance(Calendar,Y1828,X1829,"f",FALSE)</f>
        <v>51904</v>
      </c>
      <c r="Z1829" s="188">
        <f>_xll.qlCalendarAdvance(Calendar,Y1829,NDays&amp;"D")</f>
        <v>51908</v>
      </c>
      <c r="AA1829" s="163">
        <v>1.0406940788009428E-2</v>
      </c>
      <c r="AB1829" s="172">
        <v>1.037982651014957E-2</v>
      </c>
    </row>
    <row r="1830" spans="24:28" x14ac:dyDescent="0.2">
      <c r="X1830" s="176" t="str">
        <f t="shared" si="62"/>
        <v>1w</v>
      </c>
      <c r="Y1830" s="164">
        <f>_xll.qlCalendarAdvance(Calendar,Y1829,X1830,"f",FALSE)</f>
        <v>51911</v>
      </c>
      <c r="Z1830" s="188">
        <f>_xll.qlCalendarAdvance(Calendar,Y1830,NDays&amp;"D")</f>
        <v>51915</v>
      </c>
      <c r="AA1830" s="163">
        <v>1.0406892906564321E-2</v>
      </c>
      <c r="AB1830" s="172">
        <v>1.0379935205921953E-2</v>
      </c>
    </row>
    <row r="1831" spans="24:28" x14ac:dyDescent="0.2">
      <c r="X1831" s="176" t="str">
        <f t="shared" si="62"/>
        <v>1w</v>
      </c>
      <c r="Y1831" s="164">
        <f>_xll.qlCalendarAdvance(Calendar,Y1830,X1831,"f",FALSE)</f>
        <v>51918</v>
      </c>
      <c r="Z1831" s="188">
        <f>_xll.qlCalendarAdvance(Calendar,Y1831,NDays&amp;"D")</f>
        <v>51922</v>
      </c>
      <c r="AA1831" s="163">
        <v>1.0406832802902164E-2</v>
      </c>
      <c r="AB1831" s="172">
        <v>1.0380031742700524E-2</v>
      </c>
    </row>
    <row r="1832" spans="24:28" x14ac:dyDescent="0.2">
      <c r="X1832" s="176" t="str">
        <f t="shared" si="62"/>
        <v>1w</v>
      </c>
      <c r="Y1832" s="164">
        <f>_xll.qlCalendarAdvance(Calendar,Y1831,X1832,"f",FALSE)</f>
        <v>51925</v>
      </c>
      <c r="Z1832" s="188">
        <f>_xll.qlCalendarAdvance(Calendar,Y1832,NDays&amp;"D")</f>
        <v>51929</v>
      </c>
      <c r="AA1832" s="163">
        <v>1.0407182486425109E-2</v>
      </c>
      <c r="AB1832" s="172">
        <v>1.0380116120565219E-2</v>
      </c>
    </row>
    <row r="1833" spans="24:28" x14ac:dyDescent="0.2">
      <c r="X1833" s="176" t="str">
        <f t="shared" si="62"/>
        <v>1w</v>
      </c>
      <c r="Y1833" s="164">
        <f>_xll.qlCalendarAdvance(Calendar,Y1832,X1833,"f",FALSE)</f>
        <v>51932</v>
      </c>
      <c r="Z1833" s="188">
        <f>_xll.qlCalendarAdvance(Calendar,Y1833,NDays&amp;"D")</f>
        <v>51936</v>
      </c>
      <c r="AA1833" s="163">
        <v>1.0407095311746328E-2</v>
      </c>
      <c r="AB1833" s="172">
        <v>1.0380188339516039E-2</v>
      </c>
    </row>
    <row r="1834" spans="24:28" x14ac:dyDescent="0.2">
      <c r="X1834" s="176" t="str">
        <f t="shared" si="62"/>
        <v>1w</v>
      </c>
      <c r="Y1834" s="164">
        <f>_xll.qlCalendarAdvance(Calendar,Y1833,X1834,"f",FALSE)</f>
        <v>51939</v>
      </c>
      <c r="Z1834" s="188">
        <f>_xll.qlCalendarAdvance(Calendar,Y1834,NDays&amp;"D")</f>
        <v>51943</v>
      </c>
      <c r="AA1834" s="163">
        <v>1.0406995913796893E-2</v>
      </c>
      <c r="AB1834" s="172">
        <v>1.0380248399473047E-2</v>
      </c>
    </row>
    <row r="1835" spans="24:28" x14ac:dyDescent="0.2">
      <c r="X1835" s="176" t="str">
        <f t="shared" si="62"/>
        <v>1w</v>
      </c>
      <c r="Y1835" s="164">
        <f>_xll.qlCalendarAdvance(Calendar,Y1834,X1835,"f",FALSE)</f>
        <v>51946</v>
      </c>
      <c r="Z1835" s="188">
        <f>_xll.qlCalendarAdvance(Calendar,Y1835,NDays&amp;"D")</f>
        <v>51950</v>
      </c>
      <c r="AA1835" s="163">
        <v>1.0406884292579407E-2</v>
      </c>
      <c r="AB1835" s="172">
        <v>1.0380296300596115E-2</v>
      </c>
    </row>
    <row r="1836" spans="24:28" x14ac:dyDescent="0.2">
      <c r="X1836" s="176" t="str">
        <f t="shared" si="62"/>
        <v>1w</v>
      </c>
      <c r="Y1836" s="164">
        <f>_xll.qlCalendarAdvance(Calendar,Y1835,X1836,"f",FALSE)</f>
        <v>51953</v>
      </c>
      <c r="Z1836" s="188">
        <f>_xll.qlCalendarAdvance(Calendar,Y1836,NDays&amp;"D")</f>
        <v>51957</v>
      </c>
      <c r="AA1836" s="163">
        <v>1.0406623363532813E-2</v>
      </c>
      <c r="AB1836" s="172">
        <v>1.0380332042645435E-2</v>
      </c>
    </row>
    <row r="1837" spans="24:28" x14ac:dyDescent="0.2">
      <c r="X1837" s="176" t="str">
        <f t="shared" si="62"/>
        <v>1w</v>
      </c>
      <c r="Y1837" s="164">
        <f>_xll.qlCalendarAdvance(Calendar,Y1836,X1837,"f",FALSE)</f>
        <v>51964</v>
      </c>
      <c r="Z1837" s="188">
        <f>_xll.qlCalendarAdvance(Calendar,Y1837,NDays&amp;"D")</f>
        <v>51966</v>
      </c>
      <c r="AA1837" s="163">
        <v>1.0406447301816351E-2</v>
      </c>
      <c r="AB1837" s="172">
        <v>1.0380360130577415E-2</v>
      </c>
    </row>
    <row r="1838" spans="24:28" x14ac:dyDescent="0.2">
      <c r="X1838" s="176" t="str">
        <f t="shared" si="62"/>
        <v>1w</v>
      </c>
      <c r="Y1838" s="164">
        <f>_xll.qlCalendarAdvance(Calendar,Y1837,X1838,"f",FALSE)</f>
        <v>51971</v>
      </c>
      <c r="Z1838" s="188">
        <f>_xll.qlCalendarAdvance(Calendar,Y1838,NDays&amp;"D")</f>
        <v>51973</v>
      </c>
      <c r="AA1838" s="163">
        <v>1.0406296395887724E-2</v>
      </c>
      <c r="AB1838" s="172">
        <v>1.0380368080777913E-2</v>
      </c>
    </row>
    <row r="1839" spans="24:28" x14ac:dyDescent="0.2">
      <c r="X1839" s="176" t="str">
        <f t="shared" si="62"/>
        <v>1w</v>
      </c>
      <c r="Y1839" s="164">
        <f>_xll.qlCalendarAdvance(Calendar,Y1838,X1839,"f",FALSE)</f>
        <v>51978</v>
      </c>
      <c r="Z1839" s="188">
        <f>_xll.qlCalendarAdvance(Calendar,Y1839,NDays&amp;"D")</f>
        <v>51980</v>
      </c>
      <c r="AA1839" s="163">
        <v>1.0406133267052694E-2</v>
      </c>
      <c r="AB1839" s="172">
        <v>1.0380363871904663E-2</v>
      </c>
    </row>
    <row r="1840" spans="24:28" x14ac:dyDescent="0.2">
      <c r="X1840" s="176" t="str">
        <f t="shared" si="62"/>
        <v>1w</v>
      </c>
      <c r="Y1840" s="164">
        <f>_xll.qlCalendarAdvance(Calendar,Y1839,X1840,"f",FALSE)</f>
        <v>51985</v>
      </c>
      <c r="Z1840" s="188">
        <f>_xll.qlCalendarAdvance(Calendar,Y1840,NDays&amp;"D")</f>
        <v>51988</v>
      </c>
      <c r="AA1840" s="163">
        <v>1.0406198182211236E-2</v>
      </c>
      <c r="AB1840" s="172">
        <v>1.0380639824285609E-2</v>
      </c>
    </row>
    <row r="1841" spans="24:28" x14ac:dyDescent="0.2">
      <c r="X1841" s="176" t="str">
        <f t="shared" si="62"/>
        <v>1w</v>
      </c>
      <c r="Y1841" s="164">
        <f>_xll.qlCalendarAdvance(Calendar,Y1840,X1841,"f",FALSE)</f>
        <v>51992</v>
      </c>
      <c r="Z1841" s="188">
        <f>_xll.qlCalendarAdvance(Calendar,Y1841,NDays&amp;"D")</f>
        <v>51994</v>
      </c>
      <c r="AA1841" s="163">
        <v>1.0406167432018221E-2</v>
      </c>
      <c r="AB1841" s="172">
        <v>1.0380318977576408E-2</v>
      </c>
    </row>
    <row r="1842" spans="24:28" x14ac:dyDescent="0.2">
      <c r="X1842" s="176" t="str">
        <f t="shared" si="62"/>
        <v>1w</v>
      </c>
      <c r="Y1842" s="164">
        <f>_xll.qlCalendarAdvance(Calendar,Y1841,X1842,"f",FALSE)</f>
        <v>51999</v>
      </c>
      <c r="Z1842" s="188">
        <f>_xll.qlCalendarAdvance(Calendar,Y1842,NDays&amp;"D")</f>
        <v>52001</v>
      </c>
      <c r="AA1842" s="163">
        <v>1.0405964997787983E-2</v>
      </c>
      <c r="AB1842" s="172">
        <v>1.0380278291881595E-2</v>
      </c>
    </row>
    <row r="1843" spans="24:28" x14ac:dyDescent="0.2">
      <c r="X1843" s="176" t="str">
        <f t="shared" si="62"/>
        <v>1w</v>
      </c>
      <c r="Y1843" s="164">
        <f>_xll.qlCalendarAdvance(Calendar,Y1842,X1843,"f",FALSE)</f>
        <v>52006</v>
      </c>
      <c r="Z1843" s="188">
        <f>_xll.qlCalendarAdvance(Calendar,Y1843,NDays&amp;"D")</f>
        <v>52008</v>
      </c>
      <c r="AA1843" s="163">
        <v>1.0405750339609868E-2</v>
      </c>
      <c r="AB1843" s="172">
        <v>1.0380225447352842E-2</v>
      </c>
    </row>
    <row r="1844" spans="24:28" x14ac:dyDescent="0.2">
      <c r="X1844" s="176" t="str">
        <f t="shared" si="62"/>
        <v>1w</v>
      </c>
      <c r="Y1844" s="164">
        <f>_xll.qlCalendarAdvance(Calendar,Y1843,X1844,"f",FALSE)</f>
        <v>52013</v>
      </c>
      <c r="Z1844" s="188">
        <f>_xll.qlCalendarAdvance(Calendar,Y1844,NDays&amp;"D")</f>
        <v>52015</v>
      </c>
      <c r="AA1844" s="163">
        <v>1.0405134279407299E-2</v>
      </c>
      <c r="AB1844" s="172">
        <v>1.0380160443830277E-2</v>
      </c>
    </row>
    <row r="1845" spans="24:28" x14ac:dyDescent="0.2">
      <c r="X1845" s="176" t="str">
        <f t="shared" si="62"/>
        <v>1w</v>
      </c>
      <c r="Y1845" s="164">
        <f>_xll.qlCalendarAdvance(Calendar,Y1844,X1845,"f",FALSE)</f>
        <v>52020</v>
      </c>
      <c r="Z1845" s="188">
        <f>_xll.qlCalendarAdvance(Calendar,Y1845,NDays&amp;"D")</f>
        <v>52022</v>
      </c>
      <c r="AA1845" s="163">
        <v>1.0404897813209421E-2</v>
      </c>
      <c r="AB1845" s="172">
        <v>1.0380083281313901E-2</v>
      </c>
    </row>
    <row r="1846" spans="24:28" x14ac:dyDescent="0.2">
      <c r="X1846" s="176" t="str">
        <f t="shared" si="62"/>
        <v>1w</v>
      </c>
      <c r="Y1846" s="164">
        <f>_xll.qlCalendarAdvance(Calendar,Y1845,X1846,"f",FALSE)</f>
        <v>52027</v>
      </c>
      <c r="Z1846" s="188">
        <f>_xll.qlCalendarAdvance(Calendar,Y1846,NDays&amp;"D")</f>
        <v>52029</v>
      </c>
      <c r="AA1846" s="163">
        <v>1.040464912413222E-2</v>
      </c>
      <c r="AB1846" s="172">
        <v>1.0379993959963585E-2</v>
      </c>
    </row>
    <row r="1847" spans="24:28" x14ac:dyDescent="0.2">
      <c r="X1847" s="176" t="str">
        <f t="shared" si="62"/>
        <v>1w</v>
      </c>
      <c r="Y1847" s="164">
        <f>_xll.qlCalendarAdvance(Calendar,Y1846,X1847,"f",FALSE)</f>
        <v>52034</v>
      </c>
      <c r="Z1847" s="188">
        <f>_xll.qlCalendarAdvance(Calendar,Y1847,NDays&amp;"D")</f>
        <v>52036</v>
      </c>
      <c r="AA1847" s="163">
        <v>1.0404388212179195E-2</v>
      </c>
      <c r="AB1847" s="172">
        <v>1.0379892479539521E-2</v>
      </c>
    </row>
    <row r="1848" spans="24:28" x14ac:dyDescent="0.2">
      <c r="X1848" s="176" t="str">
        <f t="shared" si="62"/>
        <v>1w</v>
      </c>
      <c r="Y1848" s="164">
        <f>_xll.qlCalendarAdvance(Calendar,Y1847,X1848,"f",FALSE)</f>
        <v>52041</v>
      </c>
      <c r="Z1848" s="188">
        <f>_xll.qlCalendarAdvance(Calendar,Y1848,NDays&amp;"D")</f>
        <v>52043</v>
      </c>
      <c r="AA1848" s="163">
        <v>1.0404493689646854E-2</v>
      </c>
      <c r="AB1848" s="172">
        <v>1.0379778840281517E-2</v>
      </c>
    </row>
    <row r="1849" spans="24:28" x14ac:dyDescent="0.2">
      <c r="X1849" s="176" t="str">
        <f t="shared" si="62"/>
        <v>1w</v>
      </c>
      <c r="Y1849" s="164">
        <f>_xll.qlCalendarAdvance(Calendar,Y1848,X1849,"f",FALSE)</f>
        <v>52048</v>
      </c>
      <c r="Z1849" s="188">
        <f>_xll.qlCalendarAdvance(Calendar,Y1849,NDays&amp;"D")</f>
        <v>52050</v>
      </c>
      <c r="AA1849" s="163">
        <v>1.0404205687872599E-2</v>
      </c>
      <c r="AB1849" s="172">
        <v>1.0379653042029702E-2</v>
      </c>
    </row>
    <row r="1850" spans="24:28" x14ac:dyDescent="0.2">
      <c r="X1850" s="176" t="str">
        <f t="shared" si="62"/>
        <v>1w</v>
      </c>
      <c r="Y1850" s="164">
        <f>_xll.qlCalendarAdvance(Calendar,Y1849,X1850,"f",FALSE)</f>
        <v>52055</v>
      </c>
      <c r="Z1850" s="188">
        <f>_xll.qlCalendarAdvance(Calendar,Y1850,NDays&amp;"D")</f>
        <v>52057</v>
      </c>
      <c r="AA1850" s="163">
        <v>1.0403905462183557E-2</v>
      </c>
      <c r="AB1850" s="172">
        <v>1.0379515084704138E-2</v>
      </c>
    </row>
    <row r="1851" spans="24:28" x14ac:dyDescent="0.2">
      <c r="X1851" s="176" t="str">
        <f t="shared" si="62"/>
        <v>1w</v>
      </c>
      <c r="Y1851" s="164">
        <f>_xll.qlCalendarAdvance(Calendar,Y1850,X1851,"f",FALSE)</f>
        <v>52062</v>
      </c>
      <c r="Z1851" s="188">
        <f>_xll.qlCalendarAdvance(Calendar,Y1851,NDays&amp;"D")</f>
        <v>52064</v>
      </c>
      <c r="AA1851" s="163">
        <v>1.0403593012584891E-2</v>
      </c>
      <c r="AB1851" s="172">
        <v>1.0379364968624571E-2</v>
      </c>
    </row>
    <row r="1852" spans="24:28" x14ac:dyDescent="0.2">
      <c r="X1852" s="176" t="str">
        <f t="shared" si="62"/>
        <v>1w</v>
      </c>
      <c r="Y1852" s="164">
        <f>_xll.qlCalendarAdvance(Calendar,Y1851,X1852,"f",FALSE)</f>
        <v>52069</v>
      </c>
      <c r="Z1852" s="188">
        <f>_xll.qlCalendarAdvance(Calendar,Y1852,NDays&amp;"D")</f>
        <v>52071</v>
      </c>
      <c r="AA1852" s="163">
        <v>1.0403268339083043E-2</v>
      </c>
      <c r="AB1852" s="172">
        <v>1.0379202693391321E-2</v>
      </c>
    </row>
    <row r="1853" spans="24:28" x14ac:dyDescent="0.2">
      <c r="X1853" s="176" t="str">
        <f t="shared" si="62"/>
        <v>1w</v>
      </c>
      <c r="Y1853" s="164">
        <f>_xll.qlCalendarAdvance(Calendar,Y1852,X1853,"f",FALSE)</f>
        <v>52076</v>
      </c>
      <c r="Z1853" s="188">
        <f>_xll.qlCalendarAdvance(Calendar,Y1853,NDays&amp;"D")</f>
        <v>52078</v>
      </c>
      <c r="AA1853" s="163">
        <v>1.040256606037052E-2</v>
      </c>
      <c r="AB1853" s="172">
        <v>1.0379028259404066E-2</v>
      </c>
    </row>
    <row r="1854" spans="24:28" x14ac:dyDescent="0.2">
      <c r="X1854" s="176" t="str">
        <f t="shared" si="62"/>
        <v>1w</v>
      </c>
      <c r="Y1854" s="164">
        <f>_xll.qlCalendarAdvance(Calendar,Y1853,X1854,"f",FALSE)</f>
        <v>52083</v>
      </c>
      <c r="Z1854" s="188">
        <f>_xll.qlCalendarAdvance(Calendar,Y1854,NDays&amp;"D")</f>
        <v>52085</v>
      </c>
      <c r="AA1854" s="163">
        <v>1.0402582320393016E-2</v>
      </c>
      <c r="AB1854" s="172">
        <v>1.0378841666343064E-2</v>
      </c>
    </row>
    <row r="1855" spans="24:28" x14ac:dyDescent="0.2">
      <c r="X1855" s="176" t="str">
        <f t="shared" si="62"/>
        <v>1w</v>
      </c>
      <c r="Y1855" s="164">
        <f>_xll.qlCalendarAdvance(Calendar,Y1854,X1855,"f",FALSE)</f>
        <v>52090</v>
      </c>
      <c r="Z1855" s="188">
        <f>_xll.qlCalendarAdvance(Calendar,Y1855,NDays&amp;"D")</f>
        <v>52092</v>
      </c>
      <c r="AA1855" s="163">
        <v>1.0402220975218588E-2</v>
      </c>
      <c r="AB1855" s="172">
        <v>1.0378642914368186E-2</v>
      </c>
    </row>
    <row r="1856" spans="24:28" x14ac:dyDescent="0.2">
      <c r="X1856" s="176" t="str">
        <f t="shared" si="62"/>
        <v>1w</v>
      </c>
      <c r="Y1856" s="164">
        <f>_xll.qlCalendarAdvance(Calendar,Y1855,X1856,"f",FALSE)</f>
        <v>52097</v>
      </c>
      <c r="Z1856" s="188">
        <f>_xll.qlCalendarAdvance(Calendar,Y1856,NDays&amp;"D")</f>
        <v>52099</v>
      </c>
      <c r="AA1856" s="163">
        <v>1.0401847406166337E-2</v>
      </c>
      <c r="AB1856" s="172">
        <v>1.0378432003399496E-2</v>
      </c>
    </row>
    <row r="1857" spans="24:28" x14ac:dyDescent="0.2">
      <c r="X1857" s="176" t="str">
        <f t="shared" si="62"/>
        <v>1w</v>
      </c>
      <c r="Y1857" s="164">
        <f>_xll.qlCalendarAdvance(Calendar,Y1856,X1857,"f",FALSE)</f>
        <v>52104</v>
      </c>
      <c r="Z1857" s="188">
        <f>_xll.qlCalendarAdvance(Calendar,Y1857,NDays&amp;"D")</f>
        <v>52106</v>
      </c>
      <c r="AA1857" s="163">
        <v>1.0401106835691943E-2</v>
      </c>
      <c r="AB1857" s="172">
        <v>1.037820893351693E-2</v>
      </c>
    </row>
    <row r="1858" spans="24:28" x14ac:dyDescent="0.2">
      <c r="X1858" s="176" t="str">
        <f t="shared" si="62"/>
        <v>1w</v>
      </c>
      <c r="Y1858" s="164">
        <f>_xll.qlCalendarAdvance(Calendar,Y1857,X1858,"f",FALSE)</f>
        <v>52111</v>
      </c>
      <c r="Z1858" s="188">
        <f>_xll.qlCalendarAdvance(Calendar,Y1858,NDays&amp;"D")</f>
        <v>52113</v>
      </c>
      <c r="AA1858" s="163">
        <v>1.0400476312462742E-2</v>
      </c>
      <c r="AB1858" s="172">
        <v>1.0377973704640553E-2</v>
      </c>
    </row>
    <row r="1859" spans="24:28" x14ac:dyDescent="0.2">
      <c r="X1859" s="176" t="str">
        <f t="shared" si="62"/>
        <v>1w</v>
      </c>
      <c r="Y1859" s="164">
        <f>_xll.qlCalendarAdvance(Calendar,Y1858,X1859,"f",FALSE)</f>
        <v>52118</v>
      </c>
      <c r="Z1859" s="188">
        <f>_xll.qlCalendarAdvance(Calendar,Y1859,NDays&amp;"D")</f>
        <v>52120</v>
      </c>
      <c r="AA1859" s="163">
        <v>1.0400070495949531E-2</v>
      </c>
      <c r="AB1859" s="172">
        <v>1.0377726316930236E-2</v>
      </c>
    </row>
    <row r="1860" spans="24:28" x14ac:dyDescent="0.2">
      <c r="X1860" s="176" t="str">
        <f t="shared" si="62"/>
        <v>1w</v>
      </c>
      <c r="Y1860" s="164">
        <f>_xll.qlCalendarAdvance(Calendar,Y1859,X1860,"f",FALSE)</f>
        <v>52125</v>
      </c>
      <c r="Z1860" s="188">
        <f>_xll.qlCalendarAdvance(Calendar,Y1860,NDays&amp;"D")</f>
        <v>52127</v>
      </c>
      <c r="AA1860" s="163">
        <v>1.0399652457344252E-2</v>
      </c>
      <c r="AB1860" s="172">
        <v>1.0377466770146171E-2</v>
      </c>
    </row>
    <row r="1861" spans="24:28" x14ac:dyDescent="0.2">
      <c r="X1861" s="176" t="str">
        <f t="shared" si="62"/>
        <v>1w</v>
      </c>
      <c r="Y1861" s="164">
        <f>_xll.qlCalendarAdvance(Calendar,Y1860,X1861,"f",FALSE)</f>
        <v>52132</v>
      </c>
      <c r="Z1861" s="188">
        <f>_xll.qlCalendarAdvance(Calendar,Y1861,NDays&amp;"D")</f>
        <v>52134</v>
      </c>
      <c r="AA1861" s="163">
        <v>1.0399222196653971E-2</v>
      </c>
      <c r="AB1861" s="172">
        <v>1.037719506444823E-2</v>
      </c>
    </row>
    <row r="1862" spans="24:28" x14ac:dyDescent="0.2">
      <c r="X1862" s="176" t="str">
        <f t="shared" si="62"/>
        <v>1w</v>
      </c>
      <c r="Y1862" s="164">
        <f>_xll.qlCalendarAdvance(Calendar,Y1861,X1862,"f",FALSE)</f>
        <v>52139</v>
      </c>
      <c r="Z1862" s="188">
        <f>_xll.qlCalendarAdvance(Calendar,Y1862,NDays&amp;"D")</f>
        <v>52141</v>
      </c>
      <c r="AA1862" s="163">
        <v>1.0398893793956367E-2</v>
      </c>
      <c r="AB1862" s="172">
        <v>1.037691119991635E-2</v>
      </c>
    </row>
    <row r="1863" spans="24:28" x14ac:dyDescent="0.2">
      <c r="X1863" s="176" t="str">
        <f t="shared" si="62"/>
        <v>1w</v>
      </c>
      <c r="Y1863" s="164">
        <f>_xll.qlCalendarAdvance(Calendar,Y1862,X1863,"f",FALSE)</f>
        <v>52146</v>
      </c>
      <c r="Z1863" s="188">
        <f>_xll.qlCalendarAdvance(Calendar,Y1863,NDays&amp;"D")</f>
        <v>52148</v>
      </c>
      <c r="AA1863" s="163">
        <v>1.0398438202991413E-2</v>
      </c>
      <c r="AB1863" s="172">
        <v>1.037661517615085E-2</v>
      </c>
    </row>
    <row r="1864" spans="24:28" x14ac:dyDescent="0.2">
      <c r="X1864" s="176" t="str">
        <f t="shared" si="62"/>
        <v>1w</v>
      </c>
      <c r="Y1864" s="164">
        <f>_xll.qlCalendarAdvance(Calendar,Y1863,X1864,"f",FALSE)</f>
        <v>52153</v>
      </c>
      <c r="Z1864" s="188">
        <f>_xll.qlCalendarAdvance(Calendar,Y1864,NDays&amp;"D")</f>
        <v>52155</v>
      </c>
      <c r="AA1864" s="163">
        <v>1.0397970389615683E-2</v>
      </c>
      <c r="AB1864" s="172">
        <v>1.0376306993711282E-2</v>
      </c>
    </row>
    <row r="1865" spans="24:28" x14ac:dyDescent="0.2">
      <c r="X1865" s="176" t="str">
        <f t="shared" si="62"/>
        <v>1w</v>
      </c>
      <c r="Y1865" s="164">
        <f>_xll.qlCalendarAdvance(Calendar,Y1864,X1865,"f",FALSE)</f>
        <v>52160</v>
      </c>
      <c r="Z1865" s="188">
        <f>_xll.qlCalendarAdvance(Calendar,Y1865,NDays&amp;"D")</f>
        <v>52162</v>
      </c>
      <c r="AA1865" s="163">
        <v>1.0397490353837083E-2</v>
      </c>
      <c r="AB1865" s="172">
        <v>1.0375986652197966E-2</v>
      </c>
    </row>
    <row r="1866" spans="24:28" x14ac:dyDescent="0.2">
      <c r="X1866" s="176" t="str">
        <f t="shared" si="62"/>
        <v>1w</v>
      </c>
      <c r="Y1866" s="164">
        <f>_xll.qlCalendarAdvance(Calendar,Y1865,X1866,"f",FALSE)</f>
        <v>52167</v>
      </c>
      <c r="Z1866" s="188">
        <f>_xll.qlCalendarAdvance(Calendar,Y1866,NDays&amp;"D")</f>
        <v>52169</v>
      </c>
      <c r="AA1866" s="163">
        <v>1.0396998095664836E-2</v>
      </c>
      <c r="AB1866" s="172">
        <v>1.0375654151770775E-2</v>
      </c>
    </row>
    <row r="1867" spans="24:28" x14ac:dyDescent="0.2">
      <c r="X1867" s="176" t="str">
        <f t="shared" si="62"/>
        <v>1w</v>
      </c>
      <c r="Y1867" s="164">
        <f>_xll.qlCalendarAdvance(Calendar,Y1866,X1867,"f",FALSE)</f>
        <v>52174</v>
      </c>
      <c r="Z1867" s="188">
        <f>_xll.qlCalendarAdvance(Calendar,Y1867,NDays&amp;"D")</f>
        <v>52176</v>
      </c>
      <c r="AA1867" s="163">
        <v>1.0396383969191413E-2</v>
      </c>
      <c r="AB1867" s="172">
        <v>1.0375309492269835E-2</v>
      </c>
    </row>
    <row r="1868" spans="24:28" x14ac:dyDescent="0.2">
      <c r="X1868" s="176" t="str">
        <f t="shared" si="62"/>
        <v>1w</v>
      </c>
      <c r="Y1868" s="164">
        <f>_xll.qlCalendarAdvance(Calendar,Y1867,X1868,"f",FALSE)</f>
        <v>52181</v>
      </c>
      <c r="Z1868" s="188">
        <f>_xll.qlCalendarAdvance(Calendar,Y1868,NDays&amp;"D")</f>
        <v>52183</v>
      </c>
      <c r="AA1868" s="163">
        <v>1.0395868154141957E-2</v>
      </c>
      <c r="AB1868" s="172">
        <v>1.0374952673934956E-2</v>
      </c>
    </row>
    <row r="1869" spans="24:28" x14ac:dyDescent="0.2">
      <c r="X1869" s="176" t="str">
        <f t="shared" si="62"/>
        <v>1w</v>
      </c>
      <c r="Y1869" s="164">
        <f>_xll.qlCalendarAdvance(Calendar,Y1868,X1869,"f",FALSE)</f>
        <v>52188</v>
      </c>
      <c r="Z1869" s="188">
        <f>_xll.qlCalendarAdvance(Calendar,Y1869,NDays&amp;"D")</f>
        <v>52190</v>
      </c>
      <c r="AA1869" s="163">
        <v>1.0395340117077276E-2</v>
      </c>
      <c r="AB1869" s="172">
        <v>1.0374583696766138E-2</v>
      </c>
    </row>
    <row r="1870" spans="24:28" x14ac:dyDescent="0.2">
      <c r="X1870" s="176" t="str">
        <f t="shared" si="62"/>
        <v>1w</v>
      </c>
      <c r="Y1870" s="164">
        <f>_xll.qlCalendarAdvance(Calendar,Y1869,X1870,"f",FALSE)</f>
        <v>52195</v>
      </c>
      <c r="Z1870" s="188">
        <f>_xll.qlCalendarAdvance(Calendar,Y1870,NDays&amp;"D")</f>
        <v>52197</v>
      </c>
      <c r="AA1870" s="163">
        <v>1.0394799858006204E-2</v>
      </c>
      <c r="AB1870" s="172">
        <v>1.0374202560443635E-2</v>
      </c>
    </row>
    <row r="1871" spans="24:28" x14ac:dyDescent="0.2">
      <c r="X1871" s="176" t="str">
        <f t="shared" si="62"/>
        <v>1w</v>
      </c>
      <c r="Y1871" s="164">
        <f>_xll.qlCalendarAdvance(Calendar,Y1870,X1871,"f",FALSE)</f>
        <v>52202</v>
      </c>
      <c r="Z1871" s="188">
        <f>_xll.qlCalendarAdvance(Calendar,Y1871,NDays&amp;"D")</f>
        <v>52204</v>
      </c>
      <c r="AA1871" s="163">
        <v>1.0394353469222602E-2</v>
      </c>
      <c r="AB1871" s="172">
        <v>1.0373809265207257E-2</v>
      </c>
    </row>
    <row r="1872" spans="24:28" x14ac:dyDescent="0.2">
      <c r="X1872" s="176" t="str">
        <f t="shared" si="62"/>
        <v>1w</v>
      </c>
      <c r="Y1872" s="164">
        <f>_xll.qlCalendarAdvance(Calendar,Y1871,X1872,"f",FALSE)</f>
        <v>52209</v>
      </c>
      <c r="Z1872" s="188">
        <f>_xll.qlCalendarAdvance(Calendar,Y1872,NDays&amp;"D")</f>
        <v>52211</v>
      </c>
      <c r="AA1872" s="163">
        <v>1.0393787876886121E-2</v>
      </c>
      <c r="AB1872" s="172">
        <v>1.0373403811057003E-2</v>
      </c>
    </row>
    <row r="1873" spans="24:28" x14ac:dyDescent="0.2">
      <c r="X1873" s="176" t="str">
        <f t="shared" si="62"/>
        <v>1w</v>
      </c>
      <c r="Y1873" s="164">
        <f>_xll.qlCalendarAdvance(Calendar,Y1872,X1873,"f",FALSE)</f>
        <v>52216</v>
      </c>
      <c r="Z1873" s="188">
        <f>_xll.qlCalendarAdvance(Calendar,Y1873,NDays&amp;"D")</f>
        <v>52218</v>
      </c>
      <c r="AA1873" s="163">
        <v>1.039321006222407E-2</v>
      </c>
      <c r="AB1873" s="172">
        <v>1.0372986197992873E-2</v>
      </c>
    </row>
    <row r="1874" spans="24:28" x14ac:dyDescent="0.2">
      <c r="X1874" s="176" t="str">
        <f t="shared" si="62"/>
        <v>1w</v>
      </c>
      <c r="Y1874" s="164">
        <f>_xll.qlCalendarAdvance(Calendar,Y1873,X1874,"f",FALSE)</f>
        <v>52223</v>
      </c>
      <c r="Z1874" s="188">
        <f>_xll.qlCalendarAdvance(Calendar,Y1874,NDays&amp;"D")</f>
        <v>52229</v>
      </c>
      <c r="AA1874" s="163">
        <v>1.0392277373695021E-2</v>
      </c>
      <c r="AB1874" s="172">
        <v>1.0372305382748692E-2</v>
      </c>
    </row>
    <row r="1875" spans="24:28" x14ac:dyDescent="0.2">
      <c r="X1875" s="176" t="str">
        <f t="shared" si="62"/>
        <v>1w</v>
      </c>
      <c r="Y1875" s="164">
        <f>_xll.qlCalendarAdvance(Calendar,Y1874,X1875,"f",FALSE)</f>
        <v>52230</v>
      </c>
      <c r="Z1875" s="188">
        <f>_xll.qlCalendarAdvance(Calendar,Y1875,NDays&amp;"D")</f>
        <v>52233</v>
      </c>
      <c r="AA1875" s="163">
        <v>1.0391828325364597E-2</v>
      </c>
      <c r="AB1875" s="172">
        <v>1.0372284743844773E-2</v>
      </c>
    </row>
    <row r="1876" spans="24:28" x14ac:dyDescent="0.2">
      <c r="X1876" s="176" t="str">
        <f t="shared" si="62"/>
        <v>1w</v>
      </c>
      <c r="Y1876" s="164">
        <f>_xll.qlCalendarAdvance(Calendar,Y1875,X1876,"f",FALSE)</f>
        <v>52237</v>
      </c>
      <c r="Z1876" s="188">
        <f>_xll.qlCalendarAdvance(Calendar,Y1876,NDays&amp;"D")</f>
        <v>52239</v>
      </c>
      <c r="AA1876" s="163">
        <v>1.0391301642035604E-2</v>
      </c>
      <c r="AB1876" s="172">
        <v>1.0371660404997485E-2</v>
      </c>
    </row>
    <row r="1877" spans="24:28" x14ac:dyDescent="0.2">
      <c r="X1877" s="176" t="str">
        <f t="shared" ref="X1877:X1940" si="63">X1876</f>
        <v>1w</v>
      </c>
      <c r="Y1877" s="164">
        <f>_xll.qlCalendarAdvance(Calendar,Y1876,X1877,"f",FALSE)</f>
        <v>52244</v>
      </c>
      <c r="Z1877" s="188">
        <f>_xll.qlCalendarAdvance(Calendar,Y1877,NDays&amp;"D")</f>
        <v>52246</v>
      </c>
      <c r="AA1877" s="163">
        <v>1.0390675829215696E-2</v>
      </c>
      <c r="AB1877" s="172">
        <v>1.037119415611798E-2</v>
      </c>
    </row>
    <row r="1878" spans="24:28" x14ac:dyDescent="0.2">
      <c r="X1878" s="176" t="str">
        <f t="shared" si="63"/>
        <v>1w</v>
      </c>
      <c r="Y1878" s="164">
        <f>_xll.qlCalendarAdvance(Calendar,Y1877,X1878,"f",FALSE)</f>
        <v>52251</v>
      </c>
      <c r="Z1878" s="188">
        <f>_xll.qlCalendarAdvance(Calendar,Y1878,NDays&amp;"D")</f>
        <v>52253</v>
      </c>
      <c r="AA1878" s="163">
        <v>1.0390037794475959E-2</v>
      </c>
      <c r="AB1878" s="172">
        <v>1.0370715748244663E-2</v>
      </c>
    </row>
    <row r="1879" spans="24:28" x14ac:dyDescent="0.2">
      <c r="X1879" s="176" t="str">
        <f t="shared" si="63"/>
        <v>1w</v>
      </c>
      <c r="Y1879" s="164">
        <f>_xll.qlCalendarAdvance(Calendar,Y1878,X1879,"f",FALSE)</f>
        <v>52258</v>
      </c>
      <c r="Z1879" s="188">
        <f>_xll.qlCalendarAdvance(Calendar,Y1879,NDays&amp;"D")</f>
        <v>52260</v>
      </c>
      <c r="AA1879" s="163">
        <v>1.0389387537827432E-2</v>
      </c>
      <c r="AB1879" s="172">
        <v>1.0370225181457471E-2</v>
      </c>
    </row>
    <row r="1880" spans="24:28" x14ac:dyDescent="0.2">
      <c r="X1880" s="176" t="str">
        <f t="shared" si="63"/>
        <v>1w</v>
      </c>
      <c r="Y1880" s="164">
        <f>_xll.qlCalendarAdvance(Calendar,Y1879,X1880,"f",FALSE)</f>
        <v>52265</v>
      </c>
      <c r="Z1880" s="188">
        <f>_xll.qlCalendarAdvance(Calendar,Y1880,NDays&amp;"D")</f>
        <v>52267</v>
      </c>
      <c r="AA1880" s="163">
        <v>1.0388725059282481E-2</v>
      </c>
      <c r="AB1880" s="172">
        <v>1.0369722455676467E-2</v>
      </c>
    </row>
    <row r="1881" spans="24:28" x14ac:dyDescent="0.2">
      <c r="X1881" s="176" t="str">
        <f t="shared" si="63"/>
        <v>1w</v>
      </c>
      <c r="Y1881" s="164">
        <f>_xll.qlCalendarAdvance(Calendar,Y1880,X1881,"f",FALSE)</f>
        <v>52272</v>
      </c>
      <c r="Z1881" s="188">
        <f>_xll.qlCalendarAdvance(Calendar,Y1881,NDays&amp;"D")</f>
        <v>52274</v>
      </c>
      <c r="AA1881" s="163">
        <v>1.0388050358853474E-2</v>
      </c>
      <c r="AB1881" s="172">
        <v>1.0369207570981587E-2</v>
      </c>
    </row>
    <row r="1882" spans="24:28" x14ac:dyDescent="0.2">
      <c r="X1882" s="176" t="str">
        <f t="shared" si="63"/>
        <v>1w</v>
      </c>
      <c r="Y1882" s="164">
        <f>_xll.qlCalendarAdvance(Calendar,Y1881,X1882,"f",FALSE)</f>
        <v>52279</v>
      </c>
      <c r="Z1882" s="188">
        <f>_xll.qlCalendarAdvance(Calendar,Y1882,NDays&amp;"D")</f>
        <v>52281</v>
      </c>
      <c r="AA1882" s="163">
        <v>1.0387363436552334E-2</v>
      </c>
      <c r="AB1882" s="172">
        <v>1.0368680527292895E-2</v>
      </c>
    </row>
    <row r="1883" spans="24:28" x14ac:dyDescent="0.2">
      <c r="X1883" s="176" t="str">
        <f t="shared" si="63"/>
        <v>1w</v>
      </c>
      <c r="Y1883" s="164">
        <f>_xll.qlCalendarAdvance(Calendar,Y1882,X1883,"f",FALSE)</f>
        <v>52286</v>
      </c>
      <c r="Z1883" s="188">
        <f>_xll.qlCalendarAdvance(Calendar,Y1883,NDays&amp;"D")</f>
        <v>52288</v>
      </c>
      <c r="AA1883" s="163">
        <v>1.038666429239231E-2</v>
      </c>
      <c r="AB1883" s="172">
        <v>1.0368141324690328E-2</v>
      </c>
    </row>
    <row r="1884" spans="24:28" x14ac:dyDescent="0.2">
      <c r="X1884" s="176" t="str">
        <f t="shared" si="63"/>
        <v>1w</v>
      </c>
      <c r="Y1884" s="164">
        <f>_xll.qlCalendarAdvance(Calendar,Y1883,X1884,"f",FALSE)</f>
        <v>52293</v>
      </c>
      <c r="Z1884" s="188">
        <f>_xll.qlCalendarAdvance(Calendar,Y1884,NDays&amp;"D")</f>
        <v>52295</v>
      </c>
      <c r="AA1884" s="163">
        <v>1.0386424613286115E-2</v>
      </c>
      <c r="AB1884" s="172">
        <v>1.0367589963093948E-2</v>
      </c>
    </row>
    <row r="1885" spans="24:28" x14ac:dyDescent="0.2">
      <c r="X1885" s="176" t="str">
        <f t="shared" si="63"/>
        <v>1w</v>
      </c>
      <c r="Y1885" s="164">
        <f>_xll.qlCalendarAdvance(Calendar,Y1884,X1885,"f",FALSE)</f>
        <v>52300</v>
      </c>
      <c r="Z1885" s="188">
        <f>_xll.qlCalendarAdvance(Calendar,Y1885,NDays&amp;"D")</f>
        <v>52302</v>
      </c>
      <c r="AA1885" s="163">
        <v>1.0385696555780647E-2</v>
      </c>
      <c r="AB1885" s="172">
        <v>1.0367026442663629E-2</v>
      </c>
    </row>
    <row r="1886" spans="24:28" x14ac:dyDescent="0.2">
      <c r="X1886" s="176" t="str">
        <f t="shared" si="63"/>
        <v>1w</v>
      </c>
      <c r="Y1886" s="164">
        <f>_xll.qlCalendarAdvance(Calendar,Y1885,X1886,"f",FALSE)</f>
        <v>52307</v>
      </c>
      <c r="Z1886" s="188">
        <f>_xll.qlCalendarAdvance(Calendar,Y1886,NDays&amp;"D")</f>
        <v>52309</v>
      </c>
      <c r="AA1886" s="163">
        <v>1.0384956274709365E-2</v>
      </c>
      <c r="AB1886" s="172">
        <v>1.0366450763159563E-2</v>
      </c>
    </row>
    <row r="1887" spans="24:28" x14ac:dyDescent="0.2">
      <c r="X1887" s="176" t="str">
        <f t="shared" si="63"/>
        <v>1w</v>
      </c>
      <c r="Y1887" s="164">
        <f>_xll.qlCalendarAdvance(Calendar,Y1886,X1887,"f",FALSE)</f>
        <v>52314</v>
      </c>
      <c r="Z1887" s="188">
        <f>_xll.qlCalendarAdvance(Calendar,Y1887,NDays&amp;"D")</f>
        <v>52316</v>
      </c>
      <c r="AA1887" s="163">
        <v>1.0384203770085591E-2</v>
      </c>
      <c r="AB1887" s="172">
        <v>1.0366289437678589E-2</v>
      </c>
    </row>
    <row r="1888" spans="24:28" x14ac:dyDescent="0.2">
      <c r="X1888" s="176" t="str">
        <f t="shared" si="63"/>
        <v>1w</v>
      </c>
      <c r="Y1888" s="164">
        <f>_xll.qlCalendarAdvance(Calendar,Y1887,X1888,"f",FALSE)</f>
        <v>52321</v>
      </c>
      <c r="Z1888" s="188">
        <f>_xll.qlCalendarAdvance(Calendar,Y1888,NDays&amp;"D")</f>
        <v>52323</v>
      </c>
      <c r="AA1888" s="163">
        <v>1.0383167014233193E-2</v>
      </c>
      <c r="AB1888" s="172">
        <v>1.0365262927409802E-2</v>
      </c>
    </row>
    <row r="1889" spans="24:28" x14ac:dyDescent="0.2">
      <c r="X1889" s="176" t="str">
        <f t="shared" si="63"/>
        <v>1w</v>
      </c>
      <c r="Y1889" s="164">
        <f>_xll.qlCalendarAdvance(Calendar,Y1888,X1889,"f",FALSE)</f>
        <v>52328</v>
      </c>
      <c r="Z1889" s="188">
        <f>_xll.qlCalendarAdvance(Calendar,Y1889,NDays&amp;"D")</f>
        <v>52330</v>
      </c>
      <c r="AA1889" s="163">
        <v>1.0382392748687089E-2</v>
      </c>
      <c r="AB1889" s="172">
        <v>1.0364650771084172E-2</v>
      </c>
    </row>
    <row r="1890" spans="24:28" x14ac:dyDescent="0.2">
      <c r="X1890" s="176" t="str">
        <f t="shared" si="63"/>
        <v>1w</v>
      </c>
      <c r="Y1890" s="164">
        <f>_xll.qlCalendarAdvance(Calendar,Y1889,X1890,"f",FALSE)</f>
        <v>52335</v>
      </c>
      <c r="Z1890" s="188">
        <f>_xll.qlCalendarAdvance(Calendar,Y1890,NDays&amp;"D")</f>
        <v>52337</v>
      </c>
      <c r="AA1890" s="163">
        <v>1.0381606260678381E-2</v>
      </c>
      <c r="AB1890" s="172">
        <v>1.0364026455844666E-2</v>
      </c>
    </row>
    <row r="1891" spans="24:28" x14ac:dyDescent="0.2">
      <c r="X1891" s="176" t="str">
        <f t="shared" si="63"/>
        <v>1w</v>
      </c>
      <c r="Y1891" s="164">
        <f>_xll.qlCalendarAdvance(Calendar,Y1890,X1891,"f",FALSE)</f>
        <v>52342</v>
      </c>
      <c r="Z1891" s="188">
        <f>_xll.qlCalendarAdvance(Calendar,Y1891,NDays&amp;"D")</f>
        <v>52344</v>
      </c>
      <c r="AA1891" s="163">
        <v>1.0380807550221919E-2</v>
      </c>
      <c r="AB1891" s="172">
        <v>1.0363389981611348E-2</v>
      </c>
    </row>
    <row r="1892" spans="24:28" x14ac:dyDescent="0.2">
      <c r="X1892" s="176" t="str">
        <f t="shared" si="63"/>
        <v>1w</v>
      </c>
      <c r="Y1892" s="164">
        <f>_xll.qlCalendarAdvance(Calendar,Y1891,X1892,"f",FALSE)</f>
        <v>52349</v>
      </c>
      <c r="Z1892" s="188">
        <f>_xll.qlCalendarAdvance(Calendar,Y1892,NDays&amp;"D")</f>
        <v>52351</v>
      </c>
      <c r="AA1892" s="163">
        <v>1.0379996617331681E-2</v>
      </c>
      <c r="AB1892" s="172">
        <v>1.0363048058441571E-2</v>
      </c>
    </row>
    <row r="1893" spans="24:28" x14ac:dyDescent="0.2">
      <c r="X1893" s="176" t="str">
        <f t="shared" si="63"/>
        <v>1w</v>
      </c>
      <c r="Y1893" s="164">
        <f>_xll.qlCalendarAdvance(Calendar,Y1892,X1893,"f",FALSE)</f>
        <v>52356</v>
      </c>
      <c r="Z1893" s="188">
        <f>_xll.qlCalendarAdvance(Calendar,Y1893,NDays&amp;"D")</f>
        <v>52358</v>
      </c>
      <c r="AA1893" s="163">
        <v>1.0379432048555858E-2</v>
      </c>
      <c r="AB1893" s="172">
        <v>1.036208055632315E-2</v>
      </c>
    </row>
    <row r="1894" spans="24:28" x14ac:dyDescent="0.2">
      <c r="X1894" s="176" t="str">
        <f t="shared" si="63"/>
        <v>1w</v>
      </c>
      <c r="Y1894" s="164">
        <f>_xll.qlCalendarAdvance(Calendar,Y1893,X1894,"f",FALSE)</f>
        <v>52363</v>
      </c>
      <c r="Z1894" s="188">
        <f>_xll.qlCalendarAdvance(Calendar,Y1894,NDays&amp;"D")</f>
        <v>52365</v>
      </c>
      <c r="AA1894" s="163">
        <v>1.0378593979476347E-2</v>
      </c>
      <c r="AB1894" s="172">
        <v>1.0361407605268269E-2</v>
      </c>
    </row>
    <row r="1895" spans="24:28" x14ac:dyDescent="0.2">
      <c r="X1895" s="176" t="str">
        <f t="shared" si="63"/>
        <v>1w</v>
      </c>
      <c r="Y1895" s="164">
        <f>_xll.qlCalendarAdvance(Calendar,Y1894,X1895,"f",FALSE)</f>
        <v>52370</v>
      </c>
      <c r="Z1895" s="188">
        <f>_xll.qlCalendarAdvance(Calendar,Y1895,NDays&amp;"D")</f>
        <v>52372</v>
      </c>
      <c r="AA1895" s="163">
        <v>1.0377743686964678E-2</v>
      </c>
      <c r="AB1895" s="172">
        <v>1.0360722495299513E-2</v>
      </c>
    </row>
    <row r="1896" spans="24:28" x14ac:dyDescent="0.2">
      <c r="X1896" s="176" t="str">
        <f t="shared" si="63"/>
        <v>1w</v>
      </c>
      <c r="Y1896" s="164">
        <f>_xll.qlCalendarAdvance(Calendar,Y1895,X1896,"f",FALSE)</f>
        <v>52377</v>
      </c>
      <c r="Z1896" s="188">
        <f>_xll.qlCalendarAdvance(Calendar,Y1896,NDays&amp;"D")</f>
        <v>52379</v>
      </c>
      <c r="AA1896" s="163">
        <v>1.0376881171036322E-2</v>
      </c>
      <c r="AB1896" s="172">
        <v>1.0360025226336944E-2</v>
      </c>
    </row>
    <row r="1897" spans="24:28" x14ac:dyDescent="0.2">
      <c r="X1897" s="176" t="str">
        <f t="shared" si="63"/>
        <v>1w</v>
      </c>
      <c r="Y1897" s="164">
        <f>_xll.qlCalendarAdvance(Calendar,Y1896,X1897,"f",FALSE)</f>
        <v>52384</v>
      </c>
      <c r="Z1897" s="188">
        <f>_xll.qlCalendarAdvance(Calendar,Y1897,NDays&amp;"D")</f>
        <v>52386</v>
      </c>
      <c r="AA1897" s="163">
        <v>1.0375758616919875E-2</v>
      </c>
      <c r="AB1897" s="172">
        <v>1.03593157984605E-2</v>
      </c>
    </row>
    <row r="1898" spans="24:28" x14ac:dyDescent="0.2">
      <c r="X1898" s="176" t="str">
        <f t="shared" si="63"/>
        <v>1w</v>
      </c>
      <c r="Y1898" s="164">
        <f>_xll.qlCalendarAdvance(Calendar,Y1897,X1898,"f",FALSE)</f>
        <v>52391</v>
      </c>
      <c r="Z1898" s="188">
        <f>_xll.qlCalendarAdvance(Calendar,Y1898,NDays&amp;"D")</f>
        <v>52393</v>
      </c>
      <c r="AA1898" s="163">
        <v>1.0374874349754591E-2</v>
      </c>
      <c r="AB1898" s="172">
        <v>1.0358594211590244E-2</v>
      </c>
    </row>
    <row r="1899" spans="24:28" x14ac:dyDescent="0.2">
      <c r="X1899" s="176" t="str">
        <f t="shared" si="63"/>
        <v>1w</v>
      </c>
      <c r="Y1899" s="164">
        <f>_xll.qlCalendarAdvance(Calendar,Y1898,X1899,"f",FALSE)</f>
        <v>52398</v>
      </c>
      <c r="Z1899" s="188">
        <f>_xll.qlCalendarAdvance(Calendar,Y1899,NDays&amp;"D")</f>
        <v>52400</v>
      </c>
      <c r="AA1899" s="163">
        <v>1.037397786026692E-2</v>
      </c>
      <c r="AB1899" s="172">
        <v>1.0357860465806112E-2</v>
      </c>
    </row>
    <row r="1900" spans="24:28" x14ac:dyDescent="0.2">
      <c r="X1900" s="176" t="str">
        <f t="shared" si="63"/>
        <v>1w</v>
      </c>
      <c r="Y1900" s="164">
        <f>_xll.qlCalendarAdvance(Calendar,Y1899,X1900,"f",FALSE)</f>
        <v>52405</v>
      </c>
      <c r="Z1900" s="188">
        <f>_xll.qlCalendarAdvance(Calendar,Y1900,NDays&amp;"D")</f>
        <v>52407</v>
      </c>
      <c r="AA1900" s="163">
        <v>1.0373308873489086E-2</v>
      </c>
      <c r="AB1900" s="172">
        <v>1.0357114561028169E-2</v>
      </c>
    </row>
    <row r="1901" spans="24:28" x14ac:dyDescent="0.2">
      <c r="X1901" s="176" t="str">
        <f t="shared" si="63"/>
        <v>1w</v>
      </c>
      <c r="Y1901" s="164">
        <f>_xll.qlCalendarAdvance(Calendar,Y1900,X1901,"f",FALSE)</f>
        <v>52412</v>
      </c>
      <c r="Z1901" s="188">
        <f>_xll.qlCalendarAdvance(Calendar,Y1901,NDays&amp;"D")</f>
        <v>52414</v>
      </c>
      <c r="AA1901" s="163">
        <v>1.0372385240727845E-2</v>
      </c>
      <c r="AB1901" s="172">
        <v>1.035635649733635E-2</v>
      </c>
    </row>
    <row r="1902" spans="24:28" x14ac:dyDescent="0.2">
      <c r="X1902" s="176" t="str">
        <f t="shared" si="63"/>
        <v>1w</v>
      </c>
      <c r="Y1902" s="164">
        <f>_xll.qlCalendarAdvance(Calendar,Y1901,X1902,"f",FALSE)</f>
        <v>52419</v>
      </c>
      <c r="Z1902" s="188">
        <f>_xll.qlCalendarAdvance(Calendar,Y1902,NDays&amp;"D")</f>
        <v>52421</v>
      </c>
      <c r="AA1902" s="163">
        <v>1.0371449384650481E-2</v>
      </c>
      <c r="AB1902" s="172">
        <v>1.0355586274650719E-2</v>
      </c>
    </row>
    <row r="1903" spans="24:28" x14ac:dyDescent="0.2">
      <c r="X1903" s="176" t="str">
        <f t="shared" si="63"/>
        <v>1w</v>
      </c>
      <c r="Y1903" s="164">
        <f>_xll.qlCalendarAdvance(Calendar,Y1902,X1903,"f",FALSE)</f>
        <v>52426</v>
      </c>
      <c r="Z1903" s="188">
        <f>_xll.qlCalendarAdvance(Calendar,Y1903,NDays&amp;"D")</f>
        <v>52428</v>
      </c>
      <c r="AA1903" s="163">
        <v>1.0370501305276763E-2</v>
      </c>
      <c r="AB1903" s="172">
        <v>1.0354803893131148E-2</v>
      </c>
    </row>
    <row r="1904" spans="24:28" x14ac:dyDescent="0.2">
      <c r="X1904" s="176" t="str">
        <f t="shared" si="63"/>
        <v>1w</v>
      </c>
      <c r="Y1904" s="164">
        <f>_xll.qlCalendarAdvance(Calendar,Y1903,X1904,"f",FALSE)</f>
        <v>52433</v>
      </c>
      <c r="Z1904" s="188">
        <f>_xll.qlCalendarAdvance(Calendar,Y1904,NDays&amp;"D")</f>
        <v>52435</v>
      </c>
      <c r="AA1904" s="163">
        <v>1.0369541002622593E-2</v>
      </c>
      <c r="AB1904" s="172">
        <v>1.035400935253783E-2</v>
      </c>
    </row>
    <row r="1905" spans="24:28" x14ac:dyDescent="0.2">
      <c r="X1905" s="176" t="str">
        <f t="shared" si="63"/>
        <v>1w</v>
      </c>
      <c r="Y1905" s="164">
        <f>_xll.qlCalendarAdvance(Calendar,Y1904,X1905,"f",FALSE)</f>
        <v>52440</v>
      </c>
      <c r="Z1905" s="188">
        <f>_xll.qlCalendarAdvance(Calendar,Y1905,NDays&amp;"D")</f>
        <v>52442</v>
      </c>
      <c r="AA1905" s="163">
        <v>1.0368342255498932E-2</v>
      </c>
      <c r="AB1905" s="172">
        <v>1.0353202653030635E-2</v>
      </c>
    </row>
    <row r="1906" spans="24:28" x14ac:dyDescent="0.2">
      <c r="X1906" s="176" t="str">
        <f t="shared" si="63"/>
        <v>1w</v>
      </c>
      <c r="Y1906" s="164">
        <f>_xll.qlCalendarAdvance(Calendar,Y1905,X1906,"f",FALSE)</f>
        <v>52447</v>
      </c>
      <c r="Z1906" s="188">
        <f>_xll.qlCalendarAdvance(Calendar,Y1906,NDays&amp;"D")</f>
        <v>52449</v>
      </c>
      <c r="AA1906" s="163">
        <v>1.0367583727546814E-2</v>
      </c>
      <c r="AB1906" s="172">
        <v>1.0352383794609565E-2</v>
      </c>
    </row>
    <row r="1907" spans="24:28" x14ac:dyDescent="0.2">
      <c r="X1907" s="176" t="str">
        <f t="shared" si="63"/>
        <v>1w</v>
      </c>
      <c r="Y1907" s="164">
        <f>_xll.qlCalendarAdvance(Calendar,Y1906,X1907,"f",FALSE)</f>
        <v>52454</v>
      </c>
      <c r="Z1907" s="188">
        <f>_xll.qlCalendarAdvance(Calendar,Y1907,NDays&amp;"D")</f>
        <v>52456</v>
      </c>
      <c r="AA1907" s="163">
        <v>1.0366586755162596E-2</v>
      </c>
      <c r="AB1907" s="172">
        <v>1.0351552777194684E-2</v>
      </c>
    </row>
    <row r="1908" spans="24:28" x14ac:dyDescent="0.2">
      <c r="X1908" s="176" t="str">
        <f t="shared" si="63"/>
        <v>1w</v>
      </c>
      <c r="Y1908" s="164">
        <f>_xll.qlCalendarAdvance(Calendar,Y1907,X1908,"f",FALSE)</f>
        <v>52461</v>
      </c>
      <c r="Z1908" s="188">
        <f>_xll.qlCalendarAdvance(Calendar,Y1908,NDays&amp;"D")</f>
        <v>52463</v>
      </c>
      <c r="AA1908" s="163">
        <v>1.0365577559572275E-2</v>
      </c>
      <c r="AB1908" s="172">
        <v>1.035070960078599E-2</v>
      </c>
    </row>
    <row r="1909" spans="24:28" x14ac:dyDescent="0.2">
      <c r="X1909" s="176" t="str">
        <f t="shared" si="63"/>
        <v>1w</v>
      </c>
      <c r="Y1909" s="164">
        <f>_xll.qlCalendarAdvance(Calendar,Y1908,X1909,"f",FALSE)</f>
        <v>52468</v>
      </c>
      <c r="Z1909" s="188">
        <f>_xll.qlCalendarAdvance(Calendar,Y1909,NDays&amp;"D")</f>
        <v>52470</v>
      </c>
      <c r="AA1909" s="163">
        <v>1.036455614079519E-2</v>
      </c>
      <c r="AB1909" s="172">
        <v>1.0349854265543357E-2</v>
      </c>
    </row>
    <row r="1910" spans="24:28" x14ac:dyDescent="0.2">
      <c r="X1910" s="176" t="str">
        <f t="shared" si="63"/>
        <v>1w</v>
      </c>
      <c r="Y1910" s="164">
        <f>_xll.qlCalendarAdvance(Calendar,Y1909,X1910,"f",FALSE)</f>
        <v>52475</v>
      </c>
      <c r="Z1910" s="188">
        <f>_xll.qlCalendarAdvance(Calendar,Y1910,NDays&amp;"D")</f>
        <v>52477</v>
      </c>
      <c r="AA1910" s="163">
        <v>1.036323874082574E-2</v>
      </c>
      <c r="AB1910" s="172">
        <v>1.0348986771306912E-2</v>
      </c>
    </row>
    <row r="1911" spans="24:28" x14ac:dyDescent="0.2">
      <c r="X1911" s="176" t="str">
        <f t="shared" si="63"/>
        <v>1w</v>
      </c>
      <c r="Y1911" s="164">
        <f>_xll.qlCalendarAdvance(Calendar,Y1910,X1911,"f",FALSE)</f>
        <v>52482</v>
      </c>
      <c r="Z1911" s="188">
        <f>_xll.qlCalendarAdvance(Calendar,Y1911,NDays&amp;"D")</f>
        <v>52484</v>
      </c>
      <c r="AA1911" s="163">
        <v>1.0362196487749806E-2</v>
      </c>
      <c r="AB1911" s="172">
        <v>1.0348107118156591E-2</v>
      </c>
    </row>
    <row r="1912" spans="24:28" x14ac:dyDescent="0.2">
      <c r="X1912" s="176" t="str">
        <f t="shared" si="63"/>
        <v>1w</v>
      </c>
      <c r="Y1912" s="164">
        <f>_xll.qlCalendarAdvance(Calendar,Y1911,X1912,"f",FALSE)</f>
        <v>52489</v>
      </c>
      <c r="Z1912" s="188">
        <f>_xll.qlCalendarAdvance(Calendar,Y1912,NDays&amp;"D")</f>
        <v>52491</v>
      </c>
      <c r="AA1912" s="163">
        <v>1.0361142012931136E-2</v>
      </c>
      <c r="AB1912" s="172">
        <v>1.0347215305932522E-2</v>
      </c>
    </row>
    <row r="1913" spans="24:28" x14ac:dyDescent="0.2">
      <c r="X1913" s="176" t="str">
        <f t="shared" si="63"/>
        <v>1w</v>
      </c>
      <c r="Y1913" s="164">
        <f>_xll.qlCalendarAdvance(Calendar,Y1912,X1913,"f",FALSE)</f>
        <v>52496</v>
      </c>
      <c r="Z1913" s="188">
        <f>_xll.qlCalendarAdvance(Calendar,Y1913,NDays&amp;"D")</f>
        <v>52498</v>
      </c>
      <c r="AA1913" s="163">
        <v>1.036007531638905E-2</v>
      </c>
      <c r="AB1913" s="172">
        <v>1.034631133495445E-2</v>
      </c>
    </row>
    <row r="1914" spans="24:28" x14ac:dyDescent="0.2">
      <c r="X1914" s="176" t="str">
        <f t="shared" si="63"/>
        <v>1w</v>
      </c>
      <c r="Y1914" s="164">
        <f>_xll.qlCalendarAdvance(Calendar,Y1913,X1914,"f",FALSE)</f>
        <v>52503</v>
      </c>
      <c r="Z1914" s="188">
        <f>_xll.qlCalendarAdvance(Calendar,Y1914,NDays&amp;"D")</f>
        <v>52505</v>
      </c>
      <c r="AA1914" s="163">
        <v>1.035906385101093E-2</v>
      </c>
      <c r="AB1914" s="172">
        <v>1.0345395204822694E-2</v>
      </c>
    </row>
    <row r="1915" spans="24:28" x14ac:dyDescent="0.2">
      <c r="X1915" s="176" t="str">
        <f t="shared" si="63"/>
        <v>1w</v>
      </c>
      <c r="Y1915" s="164">
        <f>_xll.qlCalendarAdvance(Calendar,Y1914,X1915,"f",FALSE)</f>
        <v>52510</v>
      </c>
      <c r="Z1915" s="188">
        <f>_xll.qlCalendarAdvance(Calendar,Y1915,NDays&amp;"D")</f>
        <v>52512</v>
      </c>
      <c r="AA1915" s="163">
        <v>1.0357971806767044E-2</v>
      </c>
      <c r="AB1915" s="172">
        <v>1.0344466915936934E-2</v>
      </c>
    </row>
    <row r="1916" spans="24:28" x14ac:dyDescent="0.2">
      <c r="X1916" s="176" t="str">
        <f t="shared" si="63"/>
        <v>1w</v>
      </c>
      <c r="Y1916" s="164">
        <f>_xll.qlCalendarAdvance(Calendar,Y1915,X1916,"f",FALSE)</f>
        <v>52517</v>
      </c>
      <c r="Z1916" s="188">
        <f>_xll.qlCalendarAdvance(Calendar,Y1916,NDays&amp;"D")</f>
        <v>52519</v>
      </c>
      <c r="AA1916" s="163">
        <v>1.0357129265343367E-2</v>
      </c>
      <c r="AB1916" s="172">
        <v>1.034352646789749E-2</v>
      </c>
    </row>
    <row r="1917" spans="24:28" x14ac:dyDescent="0.2">
      <c r="X1917" s="176" t="str">
        <f t="shared" si="63"/>
        <v>1w</v>
      </c>
      <c r="Y1917" s="164">
        <f>_xll.qlCalendarAdvance(Calendar,Y1916,X1917,"f",FALSE)</f>
        <v>52524</v>
      </c>
      <c r="Z1917" s="188">
        <f>_xll.qlCalendarAdvance(Calendar,Y1917,NDays&amp;"D")</f>
        <v>52526</v>
      </c>
      <c r="AA1917" s="163">
        <v>1.0355751052271338E-2</v>
      </c>
      <c r="AB1917" s="172">
        <v>1.0342573861104043E-2</v>
      </c>
    </row>
    <row r="1918" spans="24:28" x14ac:dyDescent="0.2">
      <c r="X1918" s="176" t="str">
        <f t="shared" si="63"/>
        <v>1w</v>
      </c>
      <c r="Y1918" s="164">
        <f>_xll.qlCalendarAdvance(Calendar,Y1917,X1918,"f",FALSE)</f>
        <v>52531</v>
      </c>
      <c r="Z1918" s="188">
        <f>_xll.qlCalendarAdvance(Calendar,Y1918,NDays&amp;"D")</f>
        <v>52533</v>
      </c>
      <c r="AA1918" s="163">
        <v>1.0354622342060141E-2</v>
      </c>
      <c r="AB1918" s="172">
        <v>1.0341609095316784E-2</v>
      </c>
    </row>
    <row r="1919" spans="24:28" x14ac:dyDescent="0.2">
      <c r="X1919" s="176" t="str">
        <f t="shared" si="63"/>
        <v>1w</v>
      </c>
      <c r="Y1919" s="164">
        <f>_xll.qlCalendarAdvance(Calendar,Y1918,X1919,"f",FALSE)</f>
        <v>52538</v>
      </c>
      <c r="Z1919" s="188">
        <f>_xll.qlCalendarAdvance(Calendar,Y1919,NDays&amp;"D")</f>
        <v>52540</v>
      </c>
      <c r="AA1919" s="163">
        <v>1.0353418482061328E-2</v>
      </c>
      <c r="AB1919" s="172">
        <v>1.0340632170535713E-2</v>
      </c>
    </row>
    <row r="1920" spans="24:28" x14ac:dyDescent="0.2">
      <c r="X1920" s="176" t="str">
        <f t="shared" si="63"/>
        <v>1w</v>
      </c>
      <c r="Y1920" s="164">
        <f>_xll.qlCalendarAdvance(Calendar,Y1919,X1920,"f",FALSE)</f>
        <v>52545</v>
      </c>
      <c r="Z1920" s="188">
        <f>_xll.qlCalendarAdvance(Calendar,Y1920,NDays&amp;"D")</f>
        <v>52547</v>
      </c>
      <c r="AA1920" s="163">
        <v>1.0352266234017974E-2</v>
      </c>
      <c r="AB1920" s="172">
        <v>1.033964308676083E-2</v>
      </c>
    </row>
    <row r="1921" spans="24:28" x14ac:dyDescent="0.2">
      <c r="X1921" s="176" t="str">
        <f t="shared" si="63"/>
        <v>1w</v>
      </c>
      <c r="Y1921" s="164">
        <f>_xll.qlCalendarAdvance(Calendar,Y1920,X1921,"f",FALSE)</f>
        <v>52552</v>
      </c>
      <c r="Z1921" s="188">
        <f>_xll.qlCalendarAdvance(Calendar,Y1921,NDays&amp;"D")</f>
        <v>52554</v>
      </c>
      <c r="AA1921" s="163">
        <v>1.0351101764415033E-2</v>
      </c>
      <c r="AB1921" s="172">
        <v>1.0338641844072072E-2</v>
      </c>
    </row>
    <row r="1922" spans="24:28" x14ac:dyDescent="0.2">
      <c r="X1922" s="176" t="str">
        <f t="shared" si="63"/>
        <v>1w</v>
      </c>
      <c r="Y1922" s="164">
        <f>_xll.qlCalendarAdvance(Calendar,Y1921,X1922,"f",FALSE)</f>
        <v>52559</v>
      </c>
      <c r="Z1922" s="188">
        <f>_xll.qlCalendarAdvance(Calendar,Y1922,NDays&amp;"D")</f>
        <v>52561</v>
      </c>
      <c r="AA1922" s="163">
        <v>1.0349925073274025E-2</v>
      </c>
      <c r="AB1922" s="172">
        <v>1.0337628442549374E-2</v>
      </c>
    </row>
    <row r="1923" spans="24:28" x14ac:dyDescent="0.2">
      <c r="X1923" s="176" t="str">
        <f t="shared" si="63"/>
        <v>1w</v>
      </c>
      <c r="Y1923" s="164">
        <f>_xll.qlCalendarAdvance(Calendar,Y1922,X1923,"f",FALSE)</f>
        <v>52566</v>
      </c>
      <c r="Z1923" s="188">
        <f>_xll.qlCalendarAdvance(Calendar,Y1923,NDays&amp;"D")</f>
        <v>52568</v>
      </c>
      <c r="AA1923" s="163">
        <v>1.0348795462216813E-2</v>
      </c>
      <c r="AB1923" s="172">
        <v>1.0336602881952928E-2</v>
      </c>
    </row>
    <row r="1924" spans="24:28" x14ac:dyDescent="0.2">
      <c r="X1924" s="176" t="str">
        <f t="shared" si="63"/>
        <v>1w</v>
      </c>
      <c r="Y1924" s="164">
        <f>_xll.qlCalendarAdvance(Calendar,Y1923,X1924,"f",FALSE)</f>
        <v>52573</v>
      </c>
      <c r="Z1924" s="188">
        <f>_xll.qlCalendarAdvance(Calendar,Y1924,NDays&amp;"D")</f>
        <v>52575</v>
      </c>
      <c r="AA1924" s="163">
        <v>1.0347593420641465E-2</v>
      </c>
      <c r="AB1924" s="172">
        <v>1.033556516236267E-2</v>
      </c>
    </row>
    <row r="1925" spans="24:28" x14ac:dyDescent="0.2">
      <c r="X1925" s="176" t="str">
        <f t="shared" si="63"/>
        <v>1w</v>
      </c>
      <c r="Y1925" s="164">
        <f>_xll.qlCalendarAdvance(Calendar,Y1924,X1925,"f",FALSE)</f>
        <v>52580</v>
      </c>
      <c r="Z1925" s="188">
        <f>_xll.qlCalendarAdvance(Calendar,Y1925,NDays&amp;"D")</f>
        <v>52582</v>
      </c>
      <c r="AA1925" s="163">
        <v>1.0346379157249553E-2</v>
      </c>
      <c r="AB1925" s="172">
        <v>1.0334515284018408E-2</v>
      </c>
    </row>
    <row r="1926" spans="24:28" x14ac:dyDescent="0.2">
      <c r="X1926" s="176" t="str">
        <f t="shared" si="63"/>
        <v>1w</v>
      </c>
      <c r="Y1926" s="164">
        <f>_xll.qlCalendarAdvance(Calendar,Y1925,X1926,"f",FALSE)</f>
        <v>52587</v>
      </c>
      <c r="Z1926" s="188">
        <f>_xll.qlCalendarAdvance(Calendar,Y1926,NDays&amp;"D")</f>
        <v>52589</v>
      </c>
      <c r="AA1926" s="163">
        <v>1.0345152672062043E-2</v>
      </c>
      <c r="AB1926" s="172">
        <v>1.0333668836626231E-2</v>
      </c>
    </row>
    <row r="1927" spans="24:28" x14ac:dyDescent="0.2">
      <c r="X1927" s="176" t="str">
        <f t="shared" si="63"/>
        <v>1w</v>
      </c>
      <c r="Y1927" s="164">
        <f>_xll.qlCalendarAdvance(Calendar,Y1926,X1927,"f",FALSE)</f>
        <v>52594</v>
      </c>
      <c r="Z1927" s="188">
        <f>_xll.qlCalendarAdvance(Calendar,Y1927,NDays&amp;"D")</f>
        <v>52596</v>
      </c>
      <c r="AA1927" s="163">
        <v>1.0343858295259563E-2</v>
      </c>
      <c r="AB1927" s="172">
        <v>1.03325919420727E-2</v>
      </c>
    </row>
    <row r="1928" spans="24:28" x14ac:dyDescent="0.2">
      <c r="X1928" s="176" t="str">
        <f t="shared" si="63"/>
        <v>1w</v>
      </c>
      <c r="Y1928" s="164">
        <f>_xll.qlCalendarAdvance(Calendar,Y1927,X1928,"f",FALSE)</f>
        <v>52601</v>
      </c>
      <c r="Z1928" s="188">
        <f>_xll.qlCalendarAdvance(Calendar,Y1928,NDays&amp;"D")</f>
        <v>52603</v>
      </c>
      <c r="AA1928" s="163">
        <v>1.0342608275351758E-2</v>
      </c>
      <c r="AB1928" s="172">
        <v>1.0331292694942817E-2</v>
      </c>
    </row>
    <row r="1929" spans="24:28" x14ac:dyDescent="0.2">
      <c r="X1929" s="176" t="str">
        <f t="shared" si="63"/>
        <v>1w</v>
      </c>
      <c r="Y1929" s="164">
        <f>_xll.qlCalendarAdvance(Calendar,Y1928,X1929,"f",FALSE)</f>
        <v>52608</v>
      </c>
      <c r="Z1929" s="188">
        <f>_xll.qlCalendarAdvance(Calendar,Y1929,NDays&amp;"D")</f>
        <v>52610</v>
      </c>
      <c r="AA1929" s="163">
        <v>1.0341346034062246E-2</v>
      </c>
      <c r="AB1929" s="172">
        <v>1.0330194180703245E-2</v>
      </c>
    </row>
    <row r="1930" spans="24:28" x14ac:dyDescent="0.2">
      <c r="X1930" s="176" t="str">
        <f t="shared" si="63"/>
        <v>1w</v>
      </c>
      <c r="Y1930" s="164">
        <f>_xll.qlCalendarAdvance(Calendar,Y1929,X1930,"f",FALSE)</f>
        <v>52615</v>
      </c>
      <c r="Z1930" s="188">
        <f>_xll.qlCalendarAdvance(Calendar,Y1930,NDays&amp;"D")</f>
        <v>52617</v>
      </c>
      <c r="AA1930" s="163">
        <v>1.0340071571413863E-2</v>
      </c>
      <c r="AB1930" s="172">
        <v>1.0329083507469861E-2</v>
      </c>
    </row>
    <row r="1931" spans="24:28" x14ac:dyDescent="0.2">
      <c r="X1931" s="176" t="str">
        <f t="shared" si="63"/>
        <v>1w</v>
      </c>
      <c r="Y1931" s="164">
        <f>_xll.qlCalendarAdvance(Calendar,Y1930,X1931,"f",FALSE)</f>
        <v>52622</v>
      </c>
      <c r="Z1931" s="188">
        <f>_xll.qlCalendarAdvance(Calendar,Y1931,NDays&amp;"D")</f>
        <v>52624</v>
      </c>
      <c r="AA1931" s="163">
        <v>1.0338784887431647E-2</v>
      </c>
      <c r="AB1931" s="172">
        <v>1.0327960675402537E-2</v>
      </c>
    </row>
    <row r="1932" spans="24:28" x14ac:dyDescent="0.2">
      <c r="X1932" s="176" t="str">
        <f t="shared" si="63"/>
        <v>1w</v>
      </c>
      <c r="Y1932" s="164">
        <f>_xll.qlCalendarAdvance(Calendar,Y1931,X1932,"f",FALSE)</f>
        <v>52629</v>
      </c>
      <c r="Z1932" s="188">
        <f>_xll.qlCalendarAdvance(Calendar,Y1932,NDays&amp;"D")</f>
        <v>52631</v>
      </c>
      <c r="AA1932" s="163">
        <v>1.0337485982137115E-2</v>
      </c>
      <c r="AB1932" s="172">
        <v>1.0326825684261465E-2</v>
      </c>
    </row>
    <row r="1933" spans="24:28" x14ac:dyDescent="0.2">
      <c r="X1933" s="176" t="str">
        <f t="shared" si="63"/>
        <v>1w</v>
      </c>
      <c r="Y1933" s="164">
        <f>_xll.qlCalendarAdvance(Calendar,Y1932,X1933,"f",FALSE)</f>
        <v>52636</v>
      </c>
      <c r="Z1933" s="188">
        <f>_xll.qlCalendarAdvance(Calendar,Y1933,NDays&amp;"D")</f>
        <v>52638</v>
      </c>
      <c r="AA1933" s="163">
        <v>1.0336174855555305E-2</v>
      </c>
      <c r="AB1933" s="172">
        <v>1.0325678534286453E-2</v>
      </c>
    </row>
    <row r="1934" spans="24:28" x14ac:dyDescent="0.2">
      <c r="X1934" s="176" t="str">
        <f t="shared" si="63"/>
        <v>1w</v>
      </c>
      <c r="Y1934" s="164">
        <f>_xll.qlCalendarAdvance(Calendar,Y1933,X1934,"f",FALSE)</f>
        <v>52643</v>
      </c>
      <c r="Z1934" s="188">
        <f>_xll.qlCalendarAdvance(Calendar,Y1934,NDays&amp;"D")</f>
        <v>52645</v>
      </c>
      <c r="AA1934" s="163">
        <v>1.0334851507711252E-2</v>
      </c>
      <c r="AB1934" s="172">
        <v>1.032451922531763E-2</v>
      </c>
    </row>
    <row r="1935" spans="24:28" x14ac:dyDescent="0.2">
      <c r="X1935" s="176" t="str">
        <f t="shared" si="63"/>
        <v>1w</v>
      </c>
      <c r="Y1935" s="164">
        <f>_xll.qlCalendarAdvance(Calendar,Y1934,X1935,"f",FALSE)</f>
        <v>52650</v>
      </c>
      <c r="Z1935" s="188">
        <f>_xll.qlCalendarAdvance(Calendar,Y1935,NDays&amp;"D")</f>
        <v>52652</v>
      </c>
      <c r="AA1935" s="163">
        <v>1.0333515938627354E-2</v>
      </c>
      <c r="AB1935" s="172">
        <v>1.0323347757354995E-2</v>
      </c>
    </row>
    <row r="1936" spans="24:28" x14ac:dyDescent="0.2">
      <c r="X1936" s="176" t="str">
        <f t="shared" si="63"/>
        <v>1w</v>
      </c>
      <c r="Y1936" s="164">
        <f>_xll.qlCalendarAdvance(Calendar,Y1935,X1936,"f",FALSE)</f>
        <v>52657</v>
      </c>
      <c r="Z1936" s="188">
        <f>_xll.qlCalendarAdvance(Calendar,Y1936,NDays&amp;"D")</f>
        <v>52659</v>
      </c>
      <c r="AA1936" s="163">
        <v>1.0332357544911448E-2</v>
      </c>
      <c r="AB1936" s="172">
        <v>1.0322164130478484E-2</v>
      </c>
    </row>
    <row r="1937" spans="24:28" x14ac:dyDescent="0.2">
      <c r="X1937" s="176" t="str">
        <f t="shared" si="63"/>
        <v>1w</v>
      </c>
      <c r="Y1937" s="164">
        <f>_xll.qlCalendarAdvance(Calendar,Y1936,X1937,"f",FALSE)</f>
        <v>52664</v>
      </c>
      <c r="Z1937" s="188">
        <f>_xll.qlCalendarAdvance(Calendar,Y1937,NDays&amp;"D")</f>
        <v>52666</v>
      </c>
      <c r="AA1937" s="163">
        <v>1.0330993885553971E-2</v>
      </c>
      <c r="AB1937" s="172">
        <v>1.0320968344688097E-2</v>
      </c>
    </row>
    <row r="1938" spans="24:28" x14ac:dyDescent="0.2">
      <c r="X1938" s="176" t="str">
        <f t="shared" si="63"/>
        <v>1w</v>
      </c>
      <c r="Y1938" s="164">
        <f>_xll.qlCalendarAdvance(Calendar,Y1937,X1938,"f",FALSE)</f>
        <v>52671</v>
      </c>
      <c r="Z1938" s="188">
        <f>_xll.qlCalendarAdvance(Calendar,Y1938,NDays&amp;"D")</f>
        <v>52673</v>
      </c>
      <c r="AA1938" s="163">
        <v>1.0329618003661252E-2</v>
      </c>
      <c r="AB1938" s="172">
        <v>1.0319760399983835E-2</v>
      </c>
    </row>
    <row r="1939" spans="24:28" x14ac:dyDescent="0.2">
      <c r="X1939" s="176" t="str">
        <f t="shared" si="63"/>
        <v>1w</v>
      </c>
      <c r="Y1939" s="164">
        <f>_xll.qlCalendarAdvance(Calendar,Y1938,X1939,"f",FALSE)</f>
        <v>52678</v>
      </c>
      <c r="Z1939" s="188">
        <f>_xll.qlCalendarAdvance(Calendar,Y1939,NDays&amp;"D")</f>
        <v>52680</v>
      </c>
      <c r="AA1939" s="163">
        <v>1.0328229899259076E-2</v>
      </c>
      <c r="AB1939" s="172">
        <v>1.0318540296285761E-2</v>
      </c>
    </row>
    <row r="1940" spans="24:28" x14ac:dyDescent="0.2">
      <c r="X1940" s="176" t="str">
        <f t="shared" si="63"/>
        <v>1w</v>
      </c>
      <c r="Y1940" s="164">
        <f>_xll.qlCalendarAdvance(Calendar,Y1939,X1940,"f",FALSE)</f>
        <v>52685</v>
      </c>
      <c r="Z1940" s="188">
        <f>_xll.qlCalendarAdvance(Calendar,Y1940,NDays&amp;"D")</f>
        <v>52687</v>
      </c>
      <c r="AA1940" s="163">
        <v>1.0326698604137118E-2</v>
      </c>
      <c r="AB1940" s="172">
        <v>1.0317308033673811E-2</v>
      </c>
    </row>
    <row r="1941" spans="24:28" x14ac:dyDescent="0.2">
      <c r="X1941" s="176" t="str">
        <f t="shared" ref="X1941:X2004" si="64">X1940</f>
        <v>1w</v>
      </c>
      <c r="Y1941" s="164">
        <f>_xll.qlCalendarAdvance(Calendar,Y1940,X1941,"f",FALSE)</f>
        <v>52692</v>
      </c>
      <c r="Z1941" s="188">
        <f>_xll.qlCalendarAdvance(Calendar,Y1941,NDays&amp;"D")</f>
        <v>52694</v>
      </c>
      <c r="AA1941" s="163">
        <v>1.0325288794883735E-2</v>
      </c>
      <c r="AB1941" s="172">
        <v>1.0316063611988113E-2</v>
      </c>
    </row>
    <row r="1942" spans="24:28" x14ac:dyDescent="0.2">
      <c r="X1942" s="176" t="str">
        <f t="shared" si="64"/>
        <v>1w</v>
      </c>
      <c r="Y1942" s="164">
        <f>_xll.qlCalendarAdvance(Calendar,Y1941,X1942,"f",FALSE)</f>
        <v>52699</v>
      </c>
      <c r="Z1942" s="188">
        <f>_xll.qlCalendarAdvance(Calendar,Y1942,NDays&amp;"D")</f>
        <v>52701</v>
      </c>
      <c r="AA1942" s="163">
        <v>1.0323866764227448E-2</v>
      </c>
      <c r="AB1942" s="172">
        <v>1.0315036587250859E-2</v>
      </c>
    </row>
    <row r="1943" spans="24:28" x14ac:dyDescent="0.2">
      <c r="X1943" s="176" t="str">
        <f t="shared" si="64"/>
        <v>1w</v>
      </c>
      <c r="Y1943" s="164">
        <f>_xll.qlCalendarAdvance(Calendar,Y1942,X1943,"f",FALSE)</f>
        <v>52706</v>
      </c>
      <c r="Z1943" s="188">
        <f>_xll.qlCalendarAdvance(Calendar,Y1943,NDays&amp;"D")</f>
        <v>52708</v>
      </c>
      <c r="AA1943" s="163">
        <v>1.0322432512192278E-2</v>
      </c>
      <c r="AB1943" s="172">
        <v>1.0313538291955027E-2</v>
      </c>
    </row>
    <row r="1944" spans="24:28" x14ac:dyDescent="0.2">
      <c r="X1944" s="176" t="str">
        <f t="shared" si="64"/>
        <v>1w</v>
      </c>
      <c r="Y1944" s="164">
        <f>_xll.qlCalendarAdvance(Calendar,Y1943,X1944,"f",FALSE)</f>
        <v>52713</v>
      </c>
      <c r="Z1944" s="188">
        <f>_xll.qlCalendarAdvance(Calendar,Y1944,NDays&amp;"D")</f>
        <v>52715</v>
      </c>
      <c r="AA1944" s="163">
        <v>1.0320986038807491E-2</v>
      </c>
      <c r="AB1944" s="172">
        <v>1.0312257393527702E-2</v>
      </c>
    </row>
    <row r="1945" spans="24:28" x14ac:dyDescent="0.2">
      <c r="X1945" s="176" t="str">
        <f t="shared" si="64"/>
        <v>1w</v>
      </c>
      <c r="Y1945" s="164">
        <f>_xll.qlCalendarAdvance(Calendar,Y1944,X1945,"f",FALSE)</f>
        <v>52720</v>
      </c>
      <c r="Z1945" s="188">
        <f>_xll.qlCalendarAdvance(Calendar,Y1945,NDays&amp;"D")</f>
        <v>52722</v>
      </c>
      <c r="AA1945" s="163">
        <v>1.0319644601628843E-2</v>
      </c>
      <c r="AB1945" s="172">
        <v>1.0310964336186501E-2</v>
      </c>
    </row>
    <row r="1946" spans="24:28" x14ac:dyDescent="0.2">
      <c r="X1946" s="176" t="str">
        <f t="shared" si="64"/>
        <v>1w</v>
      </c>
      <c r="Y1946" s="164">
        <f>_xll.qlCalendarAdvance(Calendar,Y1945,X1946,"f",FALSE)</f>
        <v>52727</v>
      </c>
      <c r="Z1946" s="188">
        <f>_xll.qlCalendarAdvance(Calendar,Y1946,NDays&amp;"D")</f>
        <v>52729</v>
      </c>
      <c r="AA1946" s="163">
        <v>1.0318170940406544E-2</v>
      </c>
      <c r="AB1946" s="172">
        <v>1.0309659119851489E-2</v>
      </c>
    </row>
    <row r="1947" spans="24:28" x14ac:dyDescent="0.2">
      <c r="X1947" s="176" t="str">
        <f t="shared" si="64"/>
        <v>1w</v>
      </c>
      <c r="Y1947" s="164">
        <f>_xll.qlCalendarAdvance(Calendar,Y1946,X1947,"f",FALSE)</f>
        <v>52734</v>
      </c>
      <c r="Z1947" s="188">
        <f>_xll.qlCalendarAdvance(Calendar,Y1947,NDays&amp;"D")</f>
        <v>52736</v>
      </c>
      <c r="AA1947" s="163">
        <v>1.0316685056890103E-2</v>
      </c>
      <c r="AB1947" s="172">
        <v>1.03083417446026E-2</v>
      </c>
    </row>
    <row r="1948" spans="24:28" x14ac:dyDescent="0.2">
      <c r="X1948" s="176" t="str">
        <f t="shared" si="64"/>
        <v>1w</v>
      </c>
      <c r="Y1948" s="164">
        <f>_xll.qlCalendarAdvance(Calendar,Y1947,X1948,"f",FALSE)</f>
        <v>52741</v>
      </c>
      <c r="Z1948" s="188">
        <f>_xll.qlCalendarAdvance(Calendar,Y1948,NDays&amp;"D")</f>
        <v>52743</v>
      </c>
      <c r="AA1948" s="163">
        <v>1.0315186951108309E-2</v>
      </c>
      <c r="AB1948" s="172">
        <v>1.0307012210439837E-2</v>
      </c>
    </row>
    <row r="1949" spans="24:28" x14ac:dyDescent="0.2">
      <c r="X1949" s="176" t="str">
        <f t="shared" si="64"/>
        <v>1w</v>
      </c>
      <c r="Y1949" s="164">
        <f>_xll.qlCalendarAdvance(Calendar,Y1948,X1949,"f",FALSE)</f>
        <v>52748</v>
      </c>
      <c r="Z1949" s="188">
        <f>_xll.qlCalendarAdvance(Calendar,Y1949,NDays&amp;"D")</f>
        <v>52750</v>
      </c>
      <c r="AA1949" s="163">
        <v>1.0313570352567115E-2</v>
      </c>
      <c r="AB1949" s="172">
        <v>1.0305670517203325E-2</v>
      </c>
    </row>
    <row r="1950" spans="24:28" x14ac:dyDescent="0.2">
      <c r="X1950" s="176" t="str">
        <f t="shared" si="64"/>
        <v>1w</v>
      </c>
      <c r="Y1950" s="164">
        <f>_xll.qlCalendarAdvance(Calendar,Y1949,X1950,"f",FALSE)</f>
        <v>52755</v>
      </c>
      <c r="Z1950" s="188">
        <f>_xll.qlCalendarAdvance(Calendar,Y1950,NDays&amp;"D")</f>
        <v>52757</v>
      </c>
      <c r="AA1950" s="163">
        <v>1.0312050551648123E-2</v>
      </c>
      <c r="AB1950" s="172">
        <v>1.0304316665132873E-2</v>
      </c>
    </row>
    <row r="1951" spans="24:28" x14ac:dyDescent="0.2">
      <c r="X1951" s="176" t="str">
        <f t="shared" si="64"/>
        <v>1w</v>
      </c>
      <c r="Y1951" s="164">
        <f>_xll.qlCalendarAdvance(Calendar,Y1950,X1951,"f",FALSE)</f>
        <v>52762</v>
      </c>
      <c r="Z1951" s="188">
        <f>_xll.qlCalendarAdvance(Calendar,Y1951,NDays&amp;"D")</f>
        <v>52764</v>
      </c>
      <c r="AA1951" s="163">
        <v>1.0310518529571272E-2</v>
      </c>
      <c r="AB1951" s="172">
        <v>1.0302950654148546E-2</v>
      </c>
    </row>
    <row r="1952" spans="24:28" x14ac:dyDescent="0.2">
      <c r="X1952" s="176" t="str">
        <f t="shared" si="64"/>
        <v>1w</v>
      </c>
      <c r="Y1952" s="164">
        <f>_xll.qlCalendarAdvance(Calendar,Y1951,X1952,"f",FALSE)</f>
        <v>52769</v>
      </c>
      <c r="Z1952" s="188">
        <f>_xll.qlCalendarAdvance(Calendar,Y1952,NDays&amp;"D")</f>
        <v>52771</v>
      </c>
      <c r="AA1952" s="163">
        <v>1.0308974286364958E-2</v>
      </c>
      <c r="AB1952" s="172">
        <v>1.0301572484170407E-2</v>
      </c>
    </row>
    <row r="1953" spans="24:28" x14ac:dyDescent="0.2">
      <c r="X1953" s="176" t="str">
        <f t="shared" si="64"/>
        <v>1w</v>
      </c>
      <c r="Y1953" s="164">
        <f>_xll.qlCalendarAdvance(Calendar,Y1952,X1953,"f",FALSE)</f>
        <v>52776</v>
      </c>
      <c r="Z1953" s="188">
        <f>_xll.qlCalendarAdvance(Calendar,Y1953,NDays&amp;"D")</f>
        <v>52778</v>
      </c>
      <c r="AA1953" s="163">
        <v>1.03074178220567E-2</v>
      </c>
      <c r="AB1953" s="172">
        <v>1.0300182155278392E-2</v>
      </c>
    </row>
    <row r="1954" spans="24:28" x14ac:dyDescent="0.2">
      <c r="X1954" s="176" t="str">
        <f t="shared" si="64"/>
        <v>1w</v>
      </c>
      <c r="Y1954" s="164">
        <f>_xll.qlCalendarAdvance(Calendar,Y1953,X1954,"f",FALSE)</f>
        <v>52783</v>
      </c>
      <c r="Z1954" s="188">
        <f>_xll.qlCalendarAdvance(Calendar,Y1954,NDays&amp;"D")</f>
        <v>52785</v>
      </c>
      <c r="AA1954" s="163">
        <v>1.0305941650435319E-2</v>
      </c>
      <c r="AB1954" s="172">
        <v>1.0298779667472502E-2</v>
      </c>
    </row>
    <row r="1955" spans="24:28" x14ac:dyDescent="0.2">
      <c r="X1955" s="176" t="str">
        <f t="shared" si="64"/>
        <v>1w</v>
      </c>
      <c r="Y1955" s="164">
        <f>_xll.qlCalendarAdvance(Calendar,Y1954,X1955,"f",FALSE)</f>
        <v>52790</v>
      </c>
      <c r="Z1955" s="188">
        <f>_xll.qlCalendarAdvance(Calendar,Y1955,NDays&amp;"D")</f>
        <v>52792</v>
      </c>
      <c r="AA1955" s="163">
        <v>1.0304357989597153E-2</v>
      </c>
      <c r="AB1955" s="172">
        <v>1.0297365020592864E-2</v>
      </c>
    </row>
    <row r="1956" spans="24:28" x14ac:dyDescent="0.2">
      <c r="X1956" s="176" t="str">
        <f t="shared" si="64"/>
        <v>1w</v>
      </c>
      <c r="Y1956" s="164">
        <f>_xll.qlCalendarAdvance(Calendar,Y1955,X1956,"f",FALSE)</f>
        <v>52797</v>
      </c>
      <c r="Z1956" s="188">
        <f>_xll.qlCalendarAdvance(Calendar,Y1956,NDays&amp;"D")</f>
        <v>52799</v>
      </c>
      <c r="AA1956" s="163">
        <v>1.0302762106726138E-2</v>
      </c>
      <c r="AB1956" s="172">
        <v>1.0295938214959222E-2</v>
      </c>
    </row>
    <row r="1957" spans="24:28" x14ac:dyDescent="0.2">
      <c r="X1957" s="176" t="str">
        <f t="shared" si="64"/>
        <v>1w</v>
      </c>
      <c r="Y1957" s="164">
        <f>_xll.qlCalendarAdvance(Calendar,Y1956,X1957,"f",FALSE)</f>
        <v>52804</v>
      </c>
      <c r="Z1957" s="188">
        <f>_xll.qlCalendarAdvance(Calendar,Y1957,NDays&amp;"D")</f>
        <v>52806</v>
      </c>
      <c r="AA1957" s="163">
        <v>1.0301154001851071E-2</v>
      </c>
      <c r="AB1957" s="172">
        <v>1.029449925009196E-2</v>
      </c>
    </row>
    <row r="1958" spans="24:28" x14ac:dyDescent="0.2">
      <c r="X1958" s="176" t="str">
        <f t="shared" si="64"/>
        <v>1w</v>
      </c>
      <c r="Y1958" s="164">
        <f>_xll.qlCalendarAdvance(Calendar,Y1957,X1958,"f",FALSE)</f>
        <v>52811</v>
      </c>
      <c r="Z1958" s="188">
        <f>_xll.qlCalendarAdvance(Calendar,Y1958,NDays&amp;"D")</f>
        <v>52813</v>
      </c>
      <c r="AA1958" s="163">
        <v>1.0299533675003752E-2</v>
      </c>
      <c r="AB1958" s="172">
        <v>1.0293048126470694E-2</v>
      </c>
    </row>
    <row r="1959" spans="24:28" x14ac:dyDescent="0.2">
      <c r="X1959" s="176" t="str">
        <f t="shared" si="64"/>
        <v>1w</v>
      </c>
      <c r="Y1959" s="164">
        <f>_xll.qlCalendarAdvance(Calendar,Y1958,X1959,"f",FALSE)</f>
        <v>52818</v>
      </c>
      <c r="Z1959" s="188">
        <f>_xll.qlCalendarAdvance(Calendar,Y1959,NDays&amp;"D")</f>
        <v>52820</v>
      </c>
      <c r="AA1959" s="163">
        <v>1.0297901126213834E-2</v>
      </c>
      <c r="AB1959" s="172">
        <v>1.0291584843935553E-2</v>
      </c>
    </row>
    <row r="1960" spans="24:28" x14ac:dyDescent="0.2">
      <c r="X1960" s="176" t="str">
        <f t="shared" si="64"/>
        <v>1w</v>
      </c>
      <c r="Y1960" s="164">
        <f>_xll.qlCalendarAdvance(Calendar,Y1959,X1960,"f",FALSE)</f>
        <v>52825</v>
      </c>
      <c r="Z1960" s="188">
        <f>_xll.qlCalendarAdvance(Calendar,Y1960,NDays&amp;"D")</f>
        <v>52827</v>
      </c>
      <c r="AA1960" s="163">
        <v>1.0296256355512262E-2</v>
      </c>
      <c r="AB1960" s="172">
        <v>1.02901094024066E-2</v>
      </c>
    </row>
    <row r="1961" spans="24:28" x14ac:dyDescent="0.2">
      <c r="X1961" s="176" t="str">
        <f t="shared" si="64"/>
        <v>1w</v>
      </c>
      <c r="Y1961" s="164">
        <f>_xll.qlCalendarAdvance(Calendar,Y1960,X1961,"f",FALSE)</f>
        <v>52832</v>
      </c>
      <c r="Z1961" s="188">
        <f>_xll.qlCalendarAdvance(Calendar,Y1961,NDays&amp;"D")</f>
        <v>52834</v>
      </c>
      <c r="AA1961" s="163">
        <v>1.0294599362929978E-2</v>
      </c>
      <c r="AB1961" s="172">
        <v>1.0288621801963771E-2</v>
      </c>
    </row>
    <row r="1962" spans="24:28" x14ac:dyDescent="0.2">
      <c r="X1962" s="176" t="str">
        <f t="shared" si="64"/>
        <v>1w</v>
      </c>
      <c r="Y1962" s="164">
        <f>_xll.qlCalendarAdvance(Calendar,Y1961,X1962,"f",FALSE)</f>
        <v>52839</v>
      </c>
      <c r="Z1962" s="188">
        <f>_xll.qlCalendarAdvance(Calendar,Y1962,NDays&amp;"D")</f>
        <v>52841</v>
      </c>
      <c r="AA1962" s="163">
        <v>1.0292812295061486E-2</v>
      </c>
      <c r="AB1962" s="172">
        <v>1.028712204252713E-2</v>
      </c>
    </row>
    <row r="1963" spans="24:28" x14ac:dyDescent="0.2">
      <c r="X1963" s="176" t="str">
        <f t="shared" si="64"/>
        <v>1w</v>
      </c>
      <c r="Y1963" s="164">
        <f>_xll.qlCalendarAdvance(Calendar,Y1962,X1963,"f",FALSE)</f>
        <v>52846</v>
      </c>
      <c r="Z1963" s="188">
        <f>_xll.qlCalendarAdvance(Calendar,Y1963,NDays&amp;"D")</f>
        <v>52848</v>
      </c>
      <c r="AA1963" s="163">
        <v>1.0291135462818925E-2</v>
      </c>
      <c r="AB1963" s="172">
        <v>1.028561012425655E-2</v>
      </c>
    </row>
    <row r="1964" spans="24:28" x14ac:dyDescent="0.2">
      <c r="X1964" s="176" t="str">
        <f t="shared" si="64"/>
        <v>1w</v>
      </c>
      <c r="Y1964" s="164">
        <f>_xll.qlCalendarAdvance(Calendar,Y1963,X1964,"f",FALSE)</f>
        <v>52853</v>
      </c>
      <c r="Z1964" s="188">
        <f>_xll.qlCalendarAdvance(Calendar,Y1964,NDays&amp;"D")</f>
        <v>52855</v>
      </c>
      <c r="AA1964" s="163">
        <v>1.0289446410482257E-2</v>
      </c>
      <c r="AB1964" s="172">
        <v>1.0284086046912222E-2</v>
      </c>
    </row>
    <row r="1965" spans="24:28" x14ac:dyDescent="0.2">
      <c r="X1965" s="176" t="str">
        <f t="shared" si="64"/>
        <v>1w</v>
      </c>
      <c r="Y1965" s="164">
        <f>_xll.qlCalendarAdvance(Calendar,Y1964,X1965,"f",FALSE)</f>
        <v>52860</v>
      </c>
      <c r="Z1965" s="188">
        <f>_xll.qlCalendarAdvance(Calendar,Y1965,NDays&amp;"D")</f>
        <v>52862</v>
      </c>
      <c r="AA1965" s="163">
        <v>1.0287745138081511E-2</v>
      </c>
      <c r="AB1965" s="172">
        <v>1.0282549810733954E-2</v>
      </c>
    </row>
    <row r="1966" spans="24:28" x14ac:dyDescent="0.2">
      <c r="X1966" s="176" t="str">
        <f t="shared" si="64"/>
        <v>1w</v>
      </c>
      <c r="Y1966" s="164">
        <f>_xll.qlCalendarAdvance(Calendar,Y1965,X1966,"f",FALSE)</f>
        <v>52867</v>
      </c>
      <c r="Z1966" s="188">
        <f>_xll.qlCalendarAdvance(Calendar,Y1966,NDays&amp;"D")</f>
        <v>52869</v>
      </c>
      <c r="AA1966" s="163">
        <v>1.0286031686853095E-2</v>
      </c>
      <c r="AB1966" s="172">
        <v>1.0281001415561875E-2</v>
      </c>
    </row>
    <row r="1967" spans="24:28" x14ac:dyDescent="0.2">
      <c r="X1967" s="176" t="str">
        <f t="shared" si="64"/>
        <v>1w</v>
      </c>
      <c r="Y1967" s="164">
        <f>_xll.qlCalendarAdvance(Calendar,Y1966,X1967,"f",FALSE)</f>
        <v>52874</v>
      </c>
      <c r="Z1967" s="188">
        <f>_xll.qlCalendarAdvance(Calendar,Y1967,NDays&amp;"D")</f>
        <v>52876</v>
      </c>
      <c r="AA1967" s="163">
        <v>1.0284325792020823E-2</v>
      </c>
      <c r="AB1967" s="172">
        <v>1.0279440861475919E-2</v>
      </c>
    </row>
    <row r="1968" spans="24:28" x14ac:dyDescent="0.2">
      <c r="X1968" s="176" t="str">
        <f t="shared" si="64"/>
        <v>1w</v>
      </c>
      <c r="Y1968" s="164">
        <f>_xll.qlCalendarAdvance(Calendar,Y1967,X1968,"f",FALSE)</f>
        <v>52881</v>
      </c>
      <c r="Z1968" s="188">
        <f>_xll.qlCalendarAdvance(Calendar,Y1968,NDays&amp;"D")</f>
        <v>52883</v>
      </c>
      <c r="AA1968" s="163">
        <v>1.0282588839675791E-2</v>
      </c>
      <c r="AB1968" s="172">
        <v>1.0277868148396152E-2</v>
      </c>
    </row>
    <row r="1969" spans="24:28" x14ac:dyDescent="0.2">
      <c r="X1969" s="176" t="str">
        <f t="shared" si="64"/>
        <v>1w</v>
      </c>
      <c r="Y1969" s="164">
        <f>_xll.qlCalendarAdvance(Calendar,Y1968,X1969,"f",FALSE)</f>
        <v>52888</v>
      </c>
      <c r="Z1969" s="188">
        <f>_xll.qlCalendarAdvance(Calendar,Y1969,NDays&amp;"D")</f>
        <v>52890</v>
      </c>
      <c r="AA1969" s="163">
        <v>1.0280841594745514E-2</v>
      </c>
      <c r="AB1969" s="172">
        <v>1.0276283276402509E-2</v>
      </c>
    </row>
    <row r="1970" spans="24:28" x14ac:dyDescent="0.2">
      <c r="X1970" s="176" t="str">
        <f t="shared" si="64"/>
        <v>1w</v>
      </c>
      <c r="Y1970" s="164">
        <f>_xll.qlCalendarAdvance(Calendar,Y1969,X1970,"f",FALSE)</f>
        <v>52895</v>
      </c>
      <c r="Z1970" s="188">
        <f>_xll.qlCalendarAdvance(Calendar,Y1970,NDays&amp;"D")</f>
        <v>52897</v>
      </c>
      <c r="AA1970" s="163">
        <v>1.0279084731948733E-2</v>
      </c>
      <c r="AB1970" s="172">
        <v>1.0274686245494991E-2</v>
      </c>
    </row>
    <row r="1971" spans="24:28" x14ac:dyDescent="0.2">
      <c r="X1971" s="176" t="str">
        <f t="shared" si="64"/>
        <v>1w</v>
      </c>
      <c r="Y1971" s="164">
        <f>_xll.qlCalendarAdvance(Calendar,Y1970,X1971,"f",FALSE)</f>
        <v>52902</v>
      </c>
      <c r="Z1971" s="188">
        <f>_xll.qlCalendarAdvance(Calendar,Y1971,NDays&amp;"D")</f>
        <v>52904</v>
      </c>
      <c r="AA1971" s="163">
        <v>1.0277301981078483E-2</v>
      </c>
      <c r="AB1971" s="172">
        <v>1.0273077055513724E-2</v>
      </c>
    </row>
    <row r="1972" spans="24:28" x14ac:dyDescent="0.2">
      <c r="X1972" s="176" t="str">
        <f t="shared" si="64"/>
        <v>1w</v>
      </c>
      <c r="Y1972" s="164">
        <f>_xll.qlCalendarAdvance(Calendar,Y1971,X1972,"f",FALSE)</f>
        <v>52909</v>
      </c>
      <c r="Z1972" s="188">
        <f>_xll.qlCalendarAdvance(Calendar,Y1972,NDays&amp;"D")</f>
        <v>52911</v>
      </c>
      <c r="AA1972" s="163">
        <v>1.0275528296350553E-2</v>
      </c>
      <c r="AB1972" s="172">
        <v>1.0271455706698518E-2</v>
      </c>
    </row>
    <row r="1973" spans="24:28" x14ac:dyDescent="0.2">
      <c r="X1973" s="176" t="str">
        <f t="shared" si="64"/>
        <v>1w</v>
      </c>
      <c r="Y1973" s="164">
        <f>_xll.qlCalendarAdvance(Calendar,Y1972,X1973,"f",FALSE)</f>
        <v>52916</v>
      </c>
      <c r="Z1973" s="188">
        <f>_xll.qlCalendarAdvance(Calendar,Y1973,NDays&amp;"D")</f>
        <v>52918</v>
      </c>
      <c r="AA1973" s="163">
        <v>1.0273746946753221E-2</v>
      </c>
      <c r="AB1973" s="172">
        <v>1.0269822198969436E-2</v>
      </c>
    </row>
    <row r="1974" spans="24:28" x14ac:dyDescent="0.2">
      <c r="X1974" s="176" t="str">
        <f t="shared" si="64"/>
        <v>1w</v>
      </c>
      <c r="Y1974" s="164">
        <f>_xll.qlCalendarAdvance(Calendar,Y1973,X1974,"f",FALSE)</f>
        <v>52923</v>
      </c>
      <c r="Z1974" s="188">
        <f>_xll.qlCalendarAdvance(Calendar,Y1974,NDays&amp;"D")</f>
        <v>52925</v>
      </c>
      <c r="AA1974" s="163">
        <v>1.0271958610702925E-2</v>
      </c>
      <c r="AB1974" s="172">
        <v>1.0268176532246542E-2</v>
      </c>
    </row>
    <row r="1975" spans="24:28" x14ac:dyDescent="0.2">
      <c r="X1975" s="176" t="str">
        <f t="shared" si="64"/>
        <v>1w</v>
      </c>
      <c r="Y1975" s="164">
        <f>_xll.qlCalendarAdvance(Calendar,Y1974,X1975,"f",FALSE)</f>
        <v>52930</v>
      </c>
      <c r="Z1975" s="188">
        <f>_xll.qlCalendarAdvance(Calendar,Y1975,NDays&amp;"D")</f>
        <v>52932</v>
      </c>
      <c r="AA1975" s="163">
        <v>1.0270179764979643E-2</v>
      </c>
      <c r="AB1975" s="172">
        <v>1.0266518706689709E-2</v>
      </c>
    </row>
    <row r="1976" spans="24:28" x14ac:dyDescent="0.2">
      <c r="X1976" s="176" t="str">
        <f t="shared" si="64"/>
        <v>1w</v>
      </c>
      <c r="Y1976" s="164">
        <f>_xll.qlCalendarAdvance(Calendar,Y1975,X1976,"f",FALSE)</f>
        <v>52937</v>
      </c>
      <c r="Z1976" s="188">
        <f>_xll.qlCalendarAdvance(Calendar,Y1976,NDays&amp;"D")</f>
        <v>52939</v>
      </c>
      <c r="AA1976" s="163">
        <v>1.0268379363957969E-2</v>
      </c>
      <c r="AB1976" s="172">
        <v>1.0264848722059128E-2</v>
      </c>
    </row>
    <row r="1977" spans="24:28" x14ac:dyDescent="0.2">
      <c r="X1977" s="176" t="str">
        <f t="shared" si="64"/>
        <v>1w</v>
      </c>
      <c r="Y1977" s="164">
        <f>_xll.qlCalendarAdvance(Calendar,Y1976,X1977,"f",FALSE)</f>
        <v>52944</v>
      </c>
      <c r="Z1977" s="188">
        <f>_xll.qlCalendarAdvance(Calendar,Y1977,NDays&amp;"D")</f>
        <v>52946</v>
      </c>
      <c r="AA1977" s="163">
        <v>1.0266574068039061E-2</v>
      </c>
      <c r="AB1977" s="172">
        <v>1.0263166578514671E-2</v>
      </c>
    </row>
    <row r="1978" spans="24:28" x14ac:dyDescent="0.2">
      <c r="X1978" s="176" t="str">
        <f t="shared" si="64"/>
        <v>1w</v>
      </c>
      <c r="Y1978" s="164">
        <f>_xll.qlCalendarAdvance(Calendar,Y1977,X1978,"f",FALSE)</f>
        <v>52951</v>
      </c>
      <c r="Z1978" s="188">
        <f>_xll.qlCalendarAdvance(Calendar,Y1978,NDays&amp;"D")</f>
        <v>52953</v>
      </c>
      <c r="AA1978" s="163">
        <v>1.0264764551924091E-2</v>
      </c>
      <c r="AB1978" s="172">
        <v>1.0261472276136274E-2</v>
      </c>
    </row>
    <row r="1979" spans="24:28" x14ac:dyDescent="0.2">
      <c r="X1979" s="176" t="str">
        <f t="shared" si="64"/>
        <v>1w</v>
      </c>
      <c r="Y1979" s="164">
        <f>_xll.qlCalendarAdvance(Calendar,Y1978,X1979,"f",FALSE)</f>
        <v>52958</v>
      </c>
      <c r="Z1979" s="188">
        <f>_xll.qlCalendarAdvance(Calendar,Y1979,NDays&amp;"D")</f>
        <v>52960</v>
      </c>
      <c r="AA1979" s="163">
        <v>1.0262951490309842E-2</v>
      </c>
      <c r="AB1979" s="172">
        <v>1.025976581468413E-2</v>
      </c>
    </row>
    <row r="1980" spans="24:28" x14ac:dyDescent="0.2">
      <c r="X1980" s="176" t="str">
        <f t="shared" si="64"/>
        <v>1w</v>
      </c>
      <c r="Y1980" s="164">
        <f>_xll.qlCalendarAdvance(Calendar,Y1979,X1980,"f",FALSE)</f>
        <v>52965</v>
      </c>
      <c r="Z1980" s="188">
        <f>_xll.qlCalendarAdvance(Calendar,Y1980,NDays&amp;"D")</f>
        <v>52967</v>
      </c>
      <c r="AA1980" s="163">
        <v>1.0261119870030651E-2</v>
      </c>
      <c r="AB1980" s="172">
        <v>1.025804719431811E-2</v>
      </c>
    </row>
    <row r="1981" spans="24:28" x14ac:dyDescent="0.2">
      <c r="X1981" s="176" t="str">
        <f t="shared" si="64"/>
        <v>1w</v>
      </c>
      <c r="Y1981" s="164">
        <f>_xll.qlCalendarAdvance(Calendar,Y1980,X1981,"f",FALSE)</f>
        <v>52972</v>
      </c>
      <c r="Z1981" s="188">
        <f>_xll.qlCalendarAdvance(Calendar,Y1981,NDays&amp;"D")</f>
        <v>52974</v>
      </c>
      <c r="AA1981" s="163">
        <v>1.0259301624327258E-2</v>
      </c>
      <c r="AB1981" s="172">
        <v>1.025631641511815E-2</v>
      </c>
    </row>
    <row r="1982" spans="24:28" x14ac:dyDescent="0.2">
      <c r="X1982" s="176" t="str">
        <f t="shared" si="64"/>
        <v>1w</v>
      </c>
      <c r="Y1982" s="164">
        <f>_xll.qlCalendarAdvance(Calendar,Y1981,X1982,"f",FALSE)</f>
        <v>52979</v>
      </c>
      <c r="Z1982" s="188">
        <f>_xll.qlCalendarAdvance(Calendar,Y1982,NDays&amp;"D")</f>
        <v>52981</v>
      </c>
      <c r="AA1982" s="163">
        <v>1.0257481819431754E-2</v>
      </c>
      <c r="AB1982" s="172">
        <v>1.0254573476924378E-2</v>
      </c>
    </row>
    <row r="1983" spans="24:28" x14ac:dyDescent="0.2">
      <c r="X1983" s="176" t="str">
        <f t="shared" si="64"/>
        <v>1w</v>
      </c>
      <c r="Y1983" s="164">
        <f>_xll.qlCalendarAdvance(Calendar,Y1982,X1983,"f",FALSE)</f>
        <v>52986</v>
      </c>
      <c r="Z1983" s="188">
        <f>_xll.qlCalendarAdvance(Calendar,Y1983,NDays&amp;"D")</f>
        <v>52988</v>
      </c>
      <c r="AA1983" s="163">
        <v>1.0255661133740704E-2</v>
      </c>
      <c r="AB1983" s="172">
        <v>1.0252818379656858E-2</v>
      </c>
    </row>
    <row r="1984" spans="24:28" x14ac:dyDescent="0.2">
      <c r="X1984" s="176" t="str">
        <f t="shared" si="64"/>
        <v>1w</v>
      </c>
      <c r="Y1984" s="164">
        <f>_xll.qlCalendarAdvance(Calendar,Y1983,X1984,"f",FALSE)</f>
        <v>52993</v>
      </c>
      <c r="Z1984" s="188">
        <f>_xll.qlCalendarAdvance(Calendar,Y1984,NDays&amp;"D")</f>
        <v>52995</v>
      </c>
      <c r="AA1984" s="163">
        <v>1.0253840245648902E-2</v>
      </c>
      <c r="AB1984" s="172">
        <v>1.0251051123635335E-2</v>
      </c>
    </row>
    <row r="1985" spans="24:28" x14ac:dyDescent="0.2">
      <c r="X1985" s="176" t="str">
        <f t="shared" si="64"/>
        <v>1w</v>
      </c>
      <c r="Y1985" s="164">
        <f>_xll.qlCalendarAdvance(Calendar,Y1984,X1985,"f",FALSE)</f>
        <v>53000</v>
      </c>
      <c r="Z1985" s="188">
        <f>_xll.qlCalendarAdvance(Calendar,Y1985,NDays&amp;"D")</f>
        <v>53002</v>
      </c>
      <c r="AA1985" s="163">
        <v>1.0252019833546738E-2</v>
      </c>
      <c r="AB1985" s="172">
        <v>1.024927170862E-2</v>
      </c>
    </row>
    <row r="1986" spans="24:28" x14ac:dyDescent="0.2">
      <c r="X1986" s="176" t="str">
        <f t="shared" si="64"/>
        <v>1w</v>
      </c>
      <c r="Y1986" s="164">
        <f>_xll.qlCalendarAdvance(Calendar,Y1985,X1986,"f",FALSE)</f>
        <v>53007</v>
      </c>
      <c r="Z1986" s="188">
        <f>_xll.qlCalendarAdvance(Calendar,Y1986,NDays&amp;"D")</f>
        <v>53009</v>
      </c>
      <c r="AA1986" s="163">
        <v>1.0250200575824148E-2</v>
      </c>
      <c r="AB1986" s="172">
        <v>1.024748013469079E-2</v>
      </c>
    </row>
    <row r="1987" spans="24:28" x14ac:dyDescent="0.2">
      <c r="X1987" s="176" t="str">
        <f t="shared" si="64"/>
        <v>1w</v>
      </c>
      <c r="Y1987" s="164">
        <f>_xll.qlCalendarAdvance(Calendar,Y1986,X1987,"f",FALSE)</f>
        <v>53014</v>
      </c>
      <c r="Z1987" s="188">
        <f>_xll.qlCalendarAdvance(Calendar,Y1987,NDays&amp;"D")</f>
        <v>53016</v>
      </c>
      <c r="AA1987" s="163">
        <v>1.02483831508671E-2</v>
      </c>
      <c r="AB1987" s="172">
        <v>1.0245676401767767E-2</v>
      </c>
    </row>
    <row r="1988" spans="24:28" x14ac:dyDescent="0.2">
      <c r="X1988" s="176" t="str">
        <f t="shared" si="64"/>
        <v>1w</v>
      </c>
      <c r="Y1988" s="164">
        <f>_xll.qlCalendarAdvance(Calendar,Y1987,X1988,"f",FALSE)</f>
        <v>53021</v>
      </c>
      <c r="Z1988" s="188">
        <f>_xll.qlCalendarAdvance(Calendar,Y1988,NDays&amp;"D")</f>
        <v>53023</v>
      </c>
      <c r="AA1988" s="163">
        <v>1.0246655928005522E-2</v>
      </c>
      <c r="AB1988" s="172">
        <v>1.0243860509850933E-2</v>
      </c>
    </row>
    <row r="1989" spans="24:28" x14ac:dyDescent="0.2">
      <c r="X1989" s="176" t="str">
        <f t="shared" si="64"/>
        <v>1w</v>
      </c>
      <c r="Y1989" s="164">
        <f>_xll.qlCalendarAdvance(Calendar,Y1988,X1989,"f",FALSE)</f>
        <v>53028</v>
      </c>
      <c r="Z1989" s="188">
        <f>_xll.qlCalendarAdvance(Calendar,Y1989,NDays&amp;"D")</f>
        <v>53030</v>
      </c>
      <c r="AA1989" s="163">
        <v>1.0244845782960484E-2</v>
      </c>
      <c r="AB1989" s="172">
        <v>1.0242032459100159E-2</v>
      </c>
    </row>
    <row r="1990" spans="24:28" x14ac:dyDescent="0.2">
      <c r="X1990" s="176" t="str">
        <f t="shared" si="64"/>
        <v>1w</v>
      </c>
      <c r="Y1990" s="164">
        <f>_xll.qlCalendarAdvance(Calendar,Y1989,X1990,"f",FALSE)</f>
        <v>53035</v>
      </c>
      <c r="Z1990" s="188">
        <f>_xll.qlCalendarAdvance(Calendar,Y1990,NDays&amp;"D")</f>
        <v>53037</v>
      </c>
      <c r="AA1990" s="163">
        <v>1.0243039545498519E-2</v>
      </c>
      <c r="AB1990" s="172">
        <v>1.0240192249435509E-2</v>
      </c>
    </row>
    <row r="1991" spans="24:28" x14ac:dyDescent="0.2">
      <c r="X1991" s="176" t="str">
        <f t="shared" si="64"/>
        <v>1w</v>
      </c>
      <c r="Y1991" s="164">
        <f>_xll.qlCalendarAdvance(Calendar,Y1990,X1991,"f",FALSE)</f>
        <v>53042</v>
      </c>
      <c r="Z1991" s="188">
        <f>_xll.qlCalendarAdvance(Calendar,Y1991,NDays&amp;"D")</f>
        <v>53044</v>
      </c>
      <c r="AA1991" s="163">
        <v>1.0241237875855366E-2</v>
      </c>
      <c r="AB1991" s="172">
        <v>1.0238339880697112E-2</v>
      </c>
    </row>
    <row r="1992" spans="24:28" x14ac:dyDescent="0.2">
      <c r="X1992" s="176" t="str">
        <f t="shared" si="64"/>
        <v>1w</v>
      </c>
      <c r="Y1992" s="164">
        <f>_xll.qlCalendarAdvance(Calendar,Y1991,X1992,"f",FALSE)</f>
        <v>53049</v>
      </c>
      <c r="Z1992" s="188">
        <f>_xll.qlCalendarAdvance(Calendar,Y1992,NDays&amp;"D")</f>
        <v>53051</v>
      </c>
      <c r="AA1992" s="163">
        <v>1.0239384764511557E-2</v>
      </c>
      <c r="AB1992" s="172">
        <v>1.0236482891894383E-2</v>
      </c>
    </row>
    <row r="1993" spans="24:28" x14ac:dyDescent="0.2">
      <c r="X1993" s="176" t="str">
        <f t="shared" si="64"/>
        <v>1w</v>
      </c>
      <c r="Y1993" s="164">
        <f>_xll.qlCalendarAdvance(Calendar,Y1992,X1993,"f",FALSE)</f>
        <v>53056</v>
      </c>
      <c r="Z1993" s="188">
        <f>_xll.qlCalendarAdvance(Calendar,Y1993,NDays&amp;"D")</f>
        <v>53058</v>
      </c>
      <c r="AA1993" s="163">
        <v>1.0237592587676205E-2</v>
      </c>
      <c r="AB1993" s="172">
        <v>1.0234685031697666E-2</v>
      </c>
    </row>
    <row r="1994" spans="24:28" x14ac:dyDescent="0.2">
      <c r="X1994" s="176" t="str">
        <f t="shared" si="64"/>
        <v>1w</v>
      </c>
      <c r="Y1994" s="164">
        <f>_xll.qlCalendarAdvance(Calendar,Y1993,X1994,"f",FALSE)</f>
        <v>53063</v>
      </c>
      <c r="Z1994" s="188">
        <f>_xll.qlCalendarAdvance(Calendar,Y1994,NDays&amp;"D")</f>
        <v>53065</v>
      </c>
      <c r="AA1994" s="163">
        <v>1.023580573270446E-2</v>
      </c>
      <c r="AB1994" s="172">
        <v>1.0232784673922524E-2</v>
      </c>
    </row>
    <row r="1995" spans="24:28" x14ac:dyDescent="0.2">
      <c r="X1995" s="176" t="str">
        <f t="shared" si="64"/>
        <v>1w</v>
      </c>
      <c r="Y1995" s="164">
        <f>_xll.qlCalendarAdvance(Calendar,Y1994,X1995,"f",FALSE)</f>
        <v>53070</v>
      </c>
      <c r="Z1995" s="188">
        <f>_xll.qlCalendarAdvance(Calendar,Y1995,NDays&amp;"D")</f>
        <v>53072</v>
      </c>
      <c r="AA1995" s="163">
        <v>1.0234024199582342E-2</v>
      </c>
      <c r="AB1995" s="172">
        <v>1.023094350422582E-2</v>
      </c>
    </row>
    <row r="1996" spans="24:28" x14ac:dyDescent="0.2">
      <c r="X1996" s="176" t="str">
        <f t="shared" si="64"/>
        <v>1w</v>
      </c>
      <c r="Y1996" s="164">
        <f>_xll.qlCalendarAdvance(Calendar,Y1995,X1996,"f",FALSE)</f>
        <v>53077</v>
      </c>
      <c r="Z1996" s="188">
        <f>_xll.qlCalendarAdvance(Calendar,Y1996,NDays&amp;"D")</f>
        <v>53079</v>
      </c>
      <c r="AA1996" s="163">
        <v>1.0232247988296311E-2</v>
      </c>
      <c r="AB1996" s="172">
        <v>1.0229107627495182E-2</v>
      </c>
    </row>
    <row r="1997" spans="24:28" x14ac:dyDescent="0.2">
      <c r="X1997" s="176" t="str">
        <f t="shared" si="64"/>
        <v>1w</v>
      </c>
      <c r="Y1997" s="164">
        <f>_xll.qlCalendarAdvance(Calendar,Y1996,X1997,"f",FALSE)</f>
        <v>53084</v>
      </c>
      <c r="Z1997" s="188">
        <f>_xll.qlCalendarAdvance(Calendar,Y1997,NDays&amp;"D")</f>
        <v>53086</v>
      </c>
      <c r="AA1997" s="163">
        <v>1.0230538643939018E-2</v>
      </c>
      <c r="AB1997" s="172">
        <v>1.0227277043490801E-2</v>
      </c>
    </row>
    <row r="1998" spans="24:28" x14ac:dyDescent="0.2">
      <c r="X1998" s="176" t="str">
        <f t="shared" si="64"/>
        <v>1w</v>
      </c>
      <c r="Y1998" s="164">
        <f>_xll.qlCalendarAdvance(Calendar,Y1997,X1998,"f",FALSE)</f>
        <v>53091</v>
      </c>
      <c r="Z1998" s="188">
        <f>_xll.qlCalendarAdvance(Calendar,Y1998,NDays&amp;"D")</f>
        <v>53093</v>
      </c>
      <c r="AA1998" s="163">
        <v>1.0228774066639256E-2</v>
      </c>
      <c r="AB1998" s="172">
        <v>1.0225451752452486E-2</v>
      </c>
    </row>
    <row r="1999" spans="24:28" x14ac:dyDescent="0.2">
      <c r="X1999" s="176" t="str">
        <f t="shared" si="64"/>
        <v>1w</v>
      </c>
      <c r="Y1999" s="164">
        <f>_xll.qlCalendarAdvance(Calendar,Y1998,X1999,"f",FALSE)</f>
        <v>53098</v>
      </c>
      <c r="Z1999" s="188">
        <f>_xll.qlCalendarAdvance(Calendar,Y1999,NDays&amp;"D")</f>
        <v>53100</v>
      </c>
      <c r="AA1999" s="163">
        <v>1.0227014811605992E-2</v>
      </c>
      <c r="AB1999" s="172">
        <v>1.0223631754140428E-2</v>
      </c>
    </row>
    <row r="2000" spans="24:28" x14ac:dyDescent="0.2">
      <c r="X2000" s="176" t="str">
        <f t="shared" si="64"/>
        <v>1w</v>
      </c>
      <c r="Y2000" s="164">
        <f>_xll.qlCalendarAdvance(Calendar,Y1999,X2000,"f",FALSE)</f>
        <v>53105</v>
      </c>
      <c r="Z2000" s="188">
        <f>_xll.qlCalendarAdvance(Calendar,Y2000,NDays&amp;"D")</f>
        <v>53107</v>
      </c>
      <c r="AA2000" s="163">
        <v>1.0225260878827191E-2</v>
      </c>
      <c r="AB2000" s="172">
        <v>1.0221817048874371E-2</v>
      </c>
    </row>
    <row r="2001" spans="24:28" x14ac:dyDescent="0.2">
      <c r="X2001" s="176" t="str">
        <f t="shared" si="64"/>
        <v>1w</v>
      </c>
      <c r="Y2001" s="164">
        <f>_xll.qlCalendarAdvance(Calendar,Y2000,X2001,"f",FALSE)</f>
        <v>53112</v>
      </c>
      <c r="Z2001" s="188">
        <f>_xll.qlCalendarAdvance(Calendar,Y2001,NDays&amp;"D")</f>
        <v>53114</v>
      </c>
      <c r="AA2001" s="163">
        <v>1.0223446758894639E-2</v>
      </c>
      <c r="AB2001" s="172">
        <v>1.0220007636254635E-2</v>
      </c>
    </row>
    <row r="2002" spans="24:28" x14ac:dyDescent="0.2">
      <c r="X2002" s="176" t="str">
        <f t="shared" si="64"/>
        <v>1w</v>
      </c>
      <c r="Y2002" s="164">
        <f>_xll.qlCalendarAdvance(Calendar,Y2001,X2002,"f",FALSE)</f>
        <v>53119</v>
      </c>
      <c r="Z2002" s="188">
        <f>_xll.qlCalendarAdvance(Calendar,Y2002,NDays&amp;"D")</f>
        <v>53121</v>
      </c>
      <c r="AA2002" s="163">
        <v>1.0221702478321108E-2</v>
      </c>
      <c r="AB2002" s="172">
        <v>1.0218203516680902E-2</v>
      </c>
    </row>
    <row r="2003" spans="24:28" x14ac:dyDescent="0.2">
      <c r="X2003" s="176" t="str">
        <f t="shared" si="64"/>
        <v>1w</v>
      </c>
      <c r="Y2003" s="164">
        <f>_xll.qlCalendarAdvance(Calendar,Y2002,X2003,"f",FALSE)</f>
        <v>53126</v>
      </c>
      <c r="Z2003" s="188">
        <f>_xll.qlCalendarAdvance(Calendar,Y2003,NDays&amp;"D")</f>
        <v>53128</v>
      </c>
      <c r="AA2003" s="163">
        <v>1.0219963519483635E-2</v>
      </c>
      <c r="AB2003" s="172">
        <v>1.0216404689833425E-2</v>
      </c>
    </row>
    <row r="2004" spans="24:28" x14ac:dyDescent="0.2">
      <c r="X2004" s="176" t="str">
        <f t="shared" si="64"/>
        <v>1w</v>
      </c>
      <c r="Y2004" s="164">
        <f>_xll.qlCalendarAdvance(Calendar,Y2003,X2004,"f",FALSE)</f>
        <v>53133</v>
      </c>
      <c r="Z2004" s="188">
        <f>_xll.qlCalendarAdvance(Calendar,Y2004,NDays&amp;"D")</f>
        <v>53135</v>
      </c>
      <c r="AA2004" s="163">
        <v>1.0218229882367804E-2</v>
      </c>
      <c r="AB2004" s="172">
        <v>1.0214611155952014E-2</v>
      </c>
    </row>
    <row r="2005" spans="24:28" x14ac:dyDescent="0.2">
      <c r="X2005" s="176" t="str">
        <f t="shared" ref="X2005:X2068" si="65">X2004</f>
        <v>1w</v>
      </c>
      <c r="Y2005" s="164">
        <f>_xll.qlCalendarAdvance(Calendar,Y2004,X2005,"f",FALSE)</f>
        <v>53140</v>
      </c>
      <c r="Z2005" s="188">
        <f>_xll.qlCalendarAdvance(Calendar,Y2005,NDays&amp;"D")</f>
        <v>53142</v>
      </c>
      <c r="AA2005" s="163">
        <v>1.0216501566959637E-2</v>
      </c>
      <c r="AB2005" s="172">
        <v>1.0212822914876796E-2</v>
      </c>
    </row>
    <row r="2006" spans="24:28" x14ac:dyDescent="0.2">
      <c r="X2006" s="176" t="str">
        <f t="shared" si="65"/>
        <v>1w</v>
      </c>
      <c r="Y2006" s="164">
        <f>_xll.qlCalendarAdvance(Calendar,Y2005,X2006,"f",FALSE)</f>
        <v>53147</v>
      </c>
      <c r="Z2006" s="188">
        <f>_xll.qlCalendarAdvance(Calendar,Y2006,NDays&amp;"D")</f>
        <v>53149</v>
      </c>
      <c r="AA2006" s="163">
        <v>1.0214849048664853E-2</v>
      </c>
      <c r="AB2006" s="172">
        <v>1.0211039966767643E-2</v>
      </c>
    </row>
    <row r="2007" spans="24:28" x14ac:dyDescent="0.2">
      <c r="X2007" s="176" t="str">
        <f t="shared" si="65"/>
        <v>1w</v>
      </c>
      <c r="Y2007" s="164">
        <f>_xll.qlCalendarAdvance(Calendar,Y2006,X2007,"f",FALSE)</f>
        <v>53154</v>
      </c>
      <c r="Z2007" s="188">
        <f>_xll.qlCalendarAdvance(Calendar,Y2007,NDays&amp;"D")</f>
        <v>53156</v>
      </c>
      <c r="AA2007" s="163">
        <v>1.0213132371257315E-2</v>
      </c>
      <c r="AB2007" s="172">
        <v>1.0209262311384748E-2</v>
      </c>
    </row>
    <row r="2008" spans="24:28" x14ac:dyDescent="0.2">
      <c r="X2008" s="176" t="str">
        <f t="shared" si="65"/>
        <v>1w</v>
      </c>
      <c r="Y2008" s="164">
        <f>_xll.qlCalendarAdvance(Calendar,Y2007,X2008,"f",FALSE)</f>
        <v>53161</v>
      </c>
      <c r="Z2008" s="188">
        <f>_xll.qlCalendarAdvance(Calendar,Y2008,NDays&amp;"D")</f>
        <v>53163</v>
      </c>
      <c r="AA2008" s="163">
        <v>1.0211421015989496E-2</v>
      </c>
      <c r="AB2008" s="172">
        <v>1.0207489948887982E-2</v>
      </c>
    </row>
    <row r="2009" spans="24:28" x14ac:dyDescent="0.2">
      <c r="X2009" s="176" t="str">
        <f t="shared" si="65"/>
        <v>1w</v>
      </c>
      <c r="Y2009" s="164">
        <f>_xll.qlCalendarAdvance(Calendar,Y2008,X2009,"f",FALSE)</f>
        <v>53168</v>
      </c>
      <c r="Z2009" s="188">
        <f>_xll.qlCalendarAdvance(Calendar,Y2009,NDays&amp;"D")</f>
        <v>53170</v>
      </c>
      <c r="AA2009" s="163">
        <v>1.0209714982846781E-2</v>
      </c>
      <c r="AB2009" s="172">
        <v>1.0205722879277346E-2</v>
      </c>
    </row>
    <row r="2010" spans="24:28" x14ac:dyDescent="0.2">
      <c r="X2010" s="176" t="str">
        <f t="shared" si="65"/>
        <v>1w</v>
      </c>
      <c r="Y2010" s="164">
        <f>_xll.qlCalendarAdvance(Calendar,Y2009,X2010,"f",FALSE)</f>
        <v>53175</v>
      </c>
      <c r="Z2010" s="188">
        <f>_xll.qlCalendarAdvance(Calendar,Y2010,NDays&amp;"D")</f>
        <v>53177</v>
      </c>
      <c r="AA2010" s="163">
        <v>1.0208014271815422E-2</v>
      </c>
      <c r="AB2010" s="172">
        <v>1.0203961102472903E-2</v>
      </c>
    </row>
    <row r="2011" spans="24:28" x14ac:dyDescent="0.2">
      <c r="X2011" s="176" t="str">
        <f t="shared" si="65"/>
        <v>1w</v>
      </c>
      <c r="Y2011" s="164">
        <f>_xll.qlCalendarAdvance(Calendar,Y2010,X2011,"f",FALSE)</f>
        <v>53182</v>
      </c>
      <c r="Z2011" s="188">
        <f>_xll.qlCalendarAdvance(Calendar,Y2011,NDays&amp;"D")</f>
        <v>53184</v>
      </c>
      <c r="AA2011" s="163">
        <v>1.0206318882881234E-2</v>
      </c>
      <c r="AB2011" s="172">
        <v>1.0202204618554589E-2</v>
      </c>
    </row>
    <row r="2012" spans="24:28" x14ac:dyDescent="0.2">
      <c r="X2012" s="176" t="str">
        <f t="shared" si="65"/>
        <v>1w</v>
      </c>
      <c r="Y2012" s="164">
        <f>_xll.qlCalendarAdvance(Calendar,Y2011,X2012,"f",FALSE)</f>
        <v>53189</v>
      </c>
      <c r="Z2012" s="188">
        <f>_xll.qlCalendarAdvance(Calendar,Y2012,NDays&amp;"D")</f>
        <v>53191</v>
      </c>
      <c r="AA2012" s="163">
        <v>1.0204628816030466E-2</v>
      </c>
      <c r="AB2012" s="172">
        <v>1.0200453427522405E-2</v>
      </c>
    </row>
    <row r="2013" spans="24:28" x14ac:dyDescent="0.2">
      <c r="X2013" s="176" t="str">
        <f t="shared" si="65"/>
        <v>1w</v>
      </c>
      <c r="Y2013" s="164">
        <f>_xll.qlCalendarAdvance(Calendar,Y2012,X2013,"f",FALSE)</f>
        <v>53196</v>
      </c>
      <c r="Z2013" s="188">
        <f>_xll.qlCalendarAdvance(Calendar,Y2013,NDays&amp;"D")</f>
        <v>53198</v>
      </c>
      <c r="AA2013" s="163">
        <v>1.0202944071249793E-2</v>
      </c>
      <c r="AB2013" s="172">
        <v>1.019870752937635E-2</v>
      </c>
    </row>
    <row r="2014" spans="24:28" x14ac:dyDescent="0.2">
      <c r="X2014" s="176" t="str">
        <f t="shared" si="65"/>
        <v>1w</v>
      </c>
      <c r="Y2014" s="164">
        <f>_xll.qlCalendarAdvance(Calendar,Y2013,X2014,"f",FALSE)</f>
        <v>53203</v>
      </c>
      <c r="Z2014" s="188">
        <f>_xll.qlCalendarAdvance(Calendar,Y2014,NDays&amp;"D")</f>
        <v>53205</v>
      </c>
      <c r="AA2014" s="163">
        <v>1.0201134066939939E-2</v>
      </c>
      <c r="AB2014" s="172">
        <v>1.0196966924036488E-2</v>
      </c>
    </row>
    <row r="2015" spans="24:28" x14ac:dyDescent="0.2">
      <c r="X2015" s="176" t="str">
        <f t="shared" si="65"/>
        <v>1w</v>
      </c>
      <c r="Y2015" s="164">
        <f>_xll.qlCalendarAdvance(Calendar,Y2014,X2015,"f",FALSE)</f>
        <v>53210</v>
      </c>
      <c r="Z2015" s="188">
        <f>_xll.qlCalendarAdvance(Calendar,Y2015,NDays&amp;"D")</f>
        <v>53212</v>
      </c>
      <c r="AA2015" s="163">
        <v>1.0199458302352955E-2</v>
      </c>
      <c r="AB2015" s="172">
        <v>1.0195231611582756E-2</v>
      </c>
    </row>
    <row r="2016" spans="24:28" x14ac:dyDescent="0.2">
      <c r="X2016" s="176" t="str">
        <f t="shared" si="65"/>
        <v>1w</v>
      </c>
      <c r="Y2016" s="164">
        <f>_xll.qlCalendarAdvance(Calendar,Y2015,X2016,"f",FALSE)</f>
        <v>53217</v>
      </c>
      <c r="Z2016" s="188">
        <f>_xll.qlCalendarAdvance(Calendar,Y2016,NDays&amp;"D")</f>
        <v>53219</v>
      </c>
      <c r="AA2016" s="163">
        <v>1.0197787859008203E-2</v>
      </c>
      <c r="AB2016" s="172">
        <v>1.0193501591935217E-2</v>
      </c>
    </row>
    <row r="2017" spans="24:28" x14ac:dyDescent="0.2">
      <c r="X2017" s="176" t="str">
        <f t="shared" si="65"/>
        <v>1w</v>
      </c>
      <c r="Y2017" s="164">
        <f>_xll.qlCalendarAdvance(Calendar,Y2016,X2017,"f",FALSE)</f>
        <v>53224</v>
      </c>
      <c r="Z2017" s="188">
        <f>_xll.qlCalendarAdvance(Calendar,Y2017,NDays&amp;"D")</f>
        <v>53226</v>
      </c>
      <c r="AA2017" s="163">
        <v>1.0196122736892873E-2</v>
      </c>
      <c r="AB2017" s="172">
        <v>1.0191776865173807E-2</v>
      </c>
    </row>
    <row r="2018" spans="24:28" x14ac:dyDescent="0.2">
      <c r="X2018" s="176" t="str">
        <f t="shared" si="65"/>
        <v>1w</v>
      </c>
      <c r="Y2018" s="164">
        <f>_xll.qlCalendarAdvance(Calendar,Y2017,X2018,"f",FALSE)</f>
        <v>53231</v>
      </c>
      <c r="Z2018" s="188">
        <f>_xll.qlCalendarAdvance(Calendar,Y2018,NDays&amp;"D")</f>
        <v>53233</v>
      </c>
      <c r="AA2018" s="163">
        <v>1.019446293599372E-2</v>
      </c>
      <c r="AB2018" s="172">
        <v>1.0190057431298527E-2</v>
      </c>
    </row>
    <row r="2019" spans="24:28" x14ac:dyDescent="0.2">
      <c r="X2019" s="176" t="str">
        <f t="shared" si="65"/>
        <v>1w</v>
      </c>
      <c r="Y2019" s="164">
        <f>_xll.qlCalendarAdvance(Calendar,Y2018,X2019,"f",FALSE)</f>
        <v>53238</v>
      </c>
      <c r="Z2019" s="188">
        <f>_xll.qlCalendarAdvance(Calendar,Y2019,NDays&amp;"D")</f>
        <v>53240</v>
      </c>
      <c r="AA2019" s="163">
        <v>1.0192836173400438E-2</v>
      </c>
      <c r="AB2019" s="172">
        <v>1.0188343290309376E-2</v>
      </c>
    </row>
    <row r="2020" spans="24:28" x14ac:dyDescent="0.2">
      <c r="X2020" s="176" t="str">
        <f t="shared" si="65"/>
        <v>1w</v>
      </c>
      <c r="Y2020" s="164">
        <f>_xll.qlCalendarAdvance(Calendar,Y2019,X2020,"f",FALSE)</f>
        <v>53245</v>
      </c>
      <c r="Z2020" s="188">
        <f>_xll.qlCalendarAdvance(Calendar,Y2020,NDays&amp;"D")</f>
        <v>53247</v>
      </c>
      <c r="AA2020" s="163">
        <v>1.0191187348416638E-2</v>
      </c>
      <c r="AB2020" s="172">
        <v>1.0186634442126419E-2</v>
      </c>
    </row>
    <row r="2021" spans="24:28" x14ac:dyDescent="0.2">
      <c r="X2021" s="176" t="str">
        <f t="shared" si="65"/>
        <v>1w</v>
      </c>
      <c r="Y2021" s="164">
        <f>_xll.qlCalendarAdvance(Calendar,Y2020,X2021,"f",FALSE)</f>
        <v>53252</v>
      </c>
      <c r="Z2021" s="188">
        <f>_xll.qlCalendarAdvance(Calendar,Y2021,NDays&amp;"D")</f>
        <v>53254</v>
      </c>
      <c r="AA2021" s="163">
        <v>1.0189543844765664E-2</v>
      </c>
      <c r="AB2021" s="172">
        <v>1.0184930886749655E-2</v>
      </c>
    </row>
    <row r="2022" spans="24:28" x14ac:dyDescent="0.2">
      <c r="X2022" s="176" t="str">
        <f t="shared" si="65"/>
        <v>1w</v>
      </c>
      <c r="Y2022" s="164">
        <f>_xll.qlCalendarAdvance(Calendar,Y2021,X2022,"f",FALSE)</f>
        <v>53259</v>
      </c>
      <c r="Z2022" s="188">
        <f>_xll.qlCalendarAdvance(Calendar,Y2022,NDays&amp;"D")</f>
        <v>53261</v>
      </c>
      <c r="AA2022" s="163">
        <v>1.0187905662434339E-2</v>
      </c>
      <c r="AB2022" s="172">
        <v>1.0183232624338956E-2</v>
      </c>
    </row>
    <row r="2023" spans="24:28" x14ac:dyDescent="0.2">
      <c r="X2023" s="176" t="str">
        <f t="shared" si="65"/>
        <v>1w</v>
      </c>
      <c r="Y2023" s="164">
        <f>_xll.qlCalendarAdvance(Calendar,Y2022,X2023,"f",FALSE)</f>
        <v>53266</v>
      </c>
      <c r="Z2023" s="188">
        <f>_xll.qlCalendarAdvance(Calendar,Y2023,NDays&amp;"D")</f>
        <v>53268</v>
      </c>
      <c r="AA2023" s="163">
        <v>1.0186243749271556E-2</v>
      </c>
      <c r="AB2023" s="172">
        <v>1.0181539654734451E-2</v>
      </c>
    </row>
    <row r="2024" spans="24:28" x14ac:dyDescent="0.2">
      <c r="X2024" s="176" t="str">
        <f t="shared" si="65"/>
        <v>1w</v>
      </c>
      <c r="Y2024" s="164">
        <f>_xll.qlCalendarAdvance(Calendar,Y2023,X2024,"f",FALSE)</f>
        <v>53273</v>
      </c>
      <c r="Z2024" s="188">
        <f>_xll.qlCalendarAdvance(Calendar,Y2024,NDays&amp;"D")</f>
        <v>53275</v>
      </c>
      <c r="AA2024" s="163">
        <v>1.0184615875390338E-2</v>
      </c>
      <c r="AB2024" s="172">
        <v>1.0179851977936138E-2</v>
      </c>
    </row>
    <row r="2025" spans="24:28" x14ac:dyDescent="0.2">
      <c r="X2025" s="176" t="str">
        <f t="shared" si="65"/>
        <v>1w</v>
      </c>
      <c r="Y2025" s="164">
        <f>_xll.qlCalendarAdvance(Calendar,Y2024,X2025,"f",FALSE)</f>
        <v>53280</v>
      </c>
      <c r="Z2025" s="188">
        <f>_xll.qlCalendarAdvance(Calendar,Y2025,NDays&amp;"D")</f>
        <v>53282</v>
      </c>
      <c r="AA2025" s="163">
        <v>1.0182993322633433E-2</v>
      </c>
      <c r="AB2025" s="172">
        <v>1.0178169594103892E-2</v>
      </c>
    </row>
    <row r="2026" spans="24:28" x14ac:dyDescent="0.2">
      <c r="X2026" s="176" t="str">
        <f t="shared" si="65"/>
        <v>1w</v>
      </c>
      <c r="Y2026" s="164">
        <f>_xll.qlCalendarAdvance(Calendar,Y2025,X2026,"f",FALSE)</f>
        <v>53287</v>
      </c>
      <c r="Z2026" s="188">
        <f>_xll.qlCalendarAdvance(Calendar,Y2026,NDays&amp;"D")</f>
        <v>53289</v>
      </c>
      <c r="AA2026" s="163">
        <v>1.0181376090987595E-2</v>
      </c>
      <c r="AB2026" s="172">
        <v>1.0176492503157775E-2</v>
      </c>
    </row>
    <row r="2027" spans="24:28" x14ac:dyDescent="0.2">
      <c r="X2027" s="176" t="str">
        <f t="shared" si="65"/>
        <v>1w</v>
      </c>
      <c r="Y2027" s="164">
        <f>_xll.qlCalendarAdvance(Calendar,Y2026,X2027,"f",FALSE)</f>
        <v>53294</v>
      </c>
      <c r="Z2027" s="188">
        <f>_xll.qlCalendarAdvance(Calendar,Y2027,NDays&amp;"D")</f>
        <v>53296</v>
      </c>
      <c r="AA2027" s="163">
        <v>1.0179794570118299E-2</v>
      </c>
      <c r="AB2027" s="172">
        <v>1.0174820704937915E-2</v>
      </c>
    </row>
    <row r="2028" spans="24:28" x14ac:dyDescent="0.2">
      <c r="X2028" s="176" t="str">
        <f t="shared" si="65"/>
        <v>1w</v>
      </c>
      <c r="Y2028" s="164">
        <f>_xll.qlCalendarAdvance(Calendar,Y2027,X2028,"f",FALSE)</f>
        <v>53301</v>
      </c>
      <c r="Z2028" s="188">
        <f>_xll.qlCalendarAdvance(Calendar,Y2028,NDays&amp;"D")</f>
        <v>53303</v>
      </c>
      <c r="AA2028" s="163">
        <v>1.0178188315431238E-2</v>
      </c>
      <c r="AB2028" s="172">
        <v>1.0173154199604184E-2</v>
      </c>
    </row>
    <row r="2029" spans="24:28" x14ac:dyDescent="0.2">
      <c r="X2029" s="176" t="str">
        <f t="shared" si="65"/>
        <v>1w</v>
      </c>
      <c r="Y2029" s="164">
        <f>_xll.qlCalendarAdvance(Calendar,Y2028,X2029,"f",FALSE)</f>
        <v>53308</v>
      </c>
      <c r="Z2029" s="188">
        <f>_xll.qlCalendarAdvance(Calendar,Y2029,NDays&amp;"D")</f>
        <v>53310</v>
      </c>
      <c r="AA2029" s="163">
        <v>1.0176587381973348E-2</v>
      </c>
      <c r="AB2029" s="172">
        <v>1.0171492987236519E-2</v>
      </c>
    </row>
    <row r="2030" spans="24:28" x14ac:dyDescent="0.2">
      <c r="X2030" s="176" t="str">
        <f t="shared" si="65"/>
        <v>1w</v>
      </c>
      <c r="Y2030" s="164">
        <f>_xll.qlCalendarAdvance(Calendar,Y2029,X2030,"f",FALSE)</f>
        <v>53315</v>
      </c>
      <c r="Z2030" s="188">
        <f>_xll.qlCalendarAdvance(Calendar,Y2030,NDays&amp;"D")</f>
        <v>53317</v>
      </c>
      <c r="AA2030" s="163">
        <v>1.0174991769731015E-2</v>
      </c>
      <c r="AB2030" s="172">
        <v>1.0169837067595111E-2</v>
      </c>
    </row>
    <row r="2031" spans="24:28" x14ac:dyDescent="0.2">
      <c r="X2031" s="176" t="str">
        <f t="shared" si="65"/>
        <v>1w</v>
      </c>
      <c r="Y2031" s="164">
        <f>_xll.qlCalendarAdvance(Calendar,Y2030,X2031,"f",FALSE)</f>
        <v>53323</v>
      </c>
      <c r="Z2031" s="188">
        <f>_xll.qlCalendarAdvance(Calendar,Y2031,NDays&amp;"D")</f>
        <v>53325</v>
      </c>
      <c r="AA2031" s="163">
        <v>1.0173174728641116E-2</v>
      </c>
      <c r="AB2031" s="172">
        <v>1.0168029039887561E-2</v>
      </c>
    </row>
    <row r="2032" spans="24:28" x14ac:dyDescent="0.2">
      <c r="X2032" s="176" t="str">
        <f t="shared" si="65"/>
        <v>1w</v>
      </c>
      <c r="Y2032" s="164">
        <f>_xll.qlCalendarAdvance(Calendar,Y2031,X2032,"f",FALSE)</f>
        <v>53330</v>
      </c>
      <c r="Z2032" s="188">
        <f>_xll.qlCalendarAdvance(Calendar,Y2032,NDays&amp;"D")</f>
        <v>53332</v>
      </c>
      <c r="AA2032" s="163">
        <v>1.0171558405913404E-2</v>
      </c>
      <c r="AB2032" s="172">
        <v>1.0166359103092049E-2</v>
      </c>
    </row>
    <row r="2033" spans="24:28" x14ac:dyDescent="0.2">
      <c r="X2033" s="176" t="str">
        <f t="shared" si="65"/>
        <v>1w</v>
      </c>
      <c r="Y2033" s="164">
        <f>_xll.qlCalendarAdvance(Calendar,Y2032,X2033,"f",FALSE)</f>
        <v>53337</v>
      </c>
      <c r="Z2033" s="188">
        <f>_xll.qlCalendarAdvance(Calendar,Y2033,NDays&amp;"D")</f>
        <v>53339</v>
      </c>
      <c r="AA2033" s="163">
        <v>1.0169979181830187E-2</v>
      </c>
      <c r="AB2033" s="172">
        <v>1.016472048180006E-2</v>
      </c>
    </row>
    <row r="2034" spans="24:28" x14ac:dyDescent="0.2">
      <c r="X2034" s="176" t="str">
        <f t="shared" si="65"/>
        <v>1w</v>
      </c>
      <c r="Y2034" s="164">
        <f>_xll.qlCalendarAdvance(Calendar,Y2033,X2034,"f",FALSE)</f>
        <v>53344</v>
      </c>
      <c r="Z2034" s="188">
        <f>_xll.qlCalendarAdvance(Calendar,Y2034,NDays&amp;"D")</f>
        <v>53346</v>
      </c>
      <c r="AA2034" s="163">
        <v>1.0168405278754252E-2</v>
      </c>
      <c r="AB2034" s="172">
        <v>1.0163087153634009E-2</v>
      </c>
    </row>
    <row r="2035" spans="24:28" x14ac:dyDescent="0.2">
      <c r="X2035" s="176" t="str">
        <f t="shared" si="65"/>
        <v>1w</v>
      </c>
      <c r="Y2035" s="164">
        <f>_xll.qlCalendarAdvance(Calendar,Y2034,X2035,"f",FALSE)</f>
        <v>53351</v>
      </c>
      <c r="Z2035" s="188">
        <f>_xll.qlCalendarAdvance(Calendar,Y2035,NDays&amp;"D")</f>
        <v>53353</v>
      </c>
      <c r="AA2035" s="163">
        <v>1.0166836696672791E-2</v>
      </c>
      <c r="AB2035" s="172">
        <v>1.0161459118673832E-2</v>
      </c>
    </row>
    <row r="2036" spans="24:28" x14ac:dyDescent="0.2">
      <c r="X2036" s="176" t="str">
        <f t="shared" si="65"/>
        <v>1w</v>
      </c>
      <c r="Y2036" s="164">
        <f>_xll.qlCalendarAdvance(Calendar,Y2035,X2036,"f",FALSE)</f>
        <v>53358</v>
      </c>
      <c r="Z2036" s="188">
        <f>_xll.qlCalendarAdvance(Calendar,Y2036,NDays&amp;"D")</f>
        <v>53360</v>
      </c>
      <c r="AA2036" s="163">
        <v>1.0165273435573437E-2</v>
      </c>
      <c r="AB2036" s="172">
        <v>1.0159836376919529E-2</v>
      </c>
    </row>
    <row r="2037" spans="24:28" x14ac:dyDescent="0.2">
      <c r="X2037" s="176" t="str">
        <f t="shared" si="65"/>
        <v>1w</v>
      </c>
      <c r="Y2037" s="164">
        <f>_xll.qlCalendarAdvance(Calendar,Y2036,X2037,"f",FALSE)</f>
        <v>53365</v>
      </c>
      <c r="Z2037" s="188">
        <f>_xll.qlCalendarAdvance(Calendar,Y2037,NDays&amp;"D")</f>
        <v>53367</v>
      </c>
      <c r="AA2037" s="163">
        <v>1.0163715495443827E-2</v>
      </c>
      <c r="AB2037" s="172">
        <v>1.0158218928264517E-2</v>
      </c>
    </row>
    <row r="2038" spans="24:28" x14ac:dyDescent="0.2">
      <c r="X2038" s="176" t="str">
        <f t="shared" si="65"/>
        <v>1w</v>
      </c>
      <c r="Y2038" s="164">
        <f>_xll.qlCalendarAdvance(Calendar,Y2037,X2038,"f",FALSE)</f>
        <v>53372</v>
      </c>
      <c r="Z2038" s="188">
        <f>_xll.qlCalendarAdvance(Calendar,Y2038,NDays&amp;"D")</f>
        <v>53374</v>
      </c>
      <c r="AA2038" s="163">
        <v>1.0162162876270708E-2</v>
      </c>
      <c r="AB2038" s="172">
        <v>1.015660677281538E-2</v>
      </c>
    </row>
    <row r="2039" spans="24:28" x14ac:dyDescent="0.2">
      <c r="X2039" s="176" t="str">
        <f t="shared" si="65"/>
        <v>1w</v>
      </c>
      <c r="Y2039" s="164">
        <f>_xll.qlCalendarAdvance(Calendar,Y2038,X2039,"f",FALSE)</f>
        <v>53379</v>
      </c>
      <c r="Z2039" s="188">
        <f>_xll.qlCalendarAdvance(Calendar,Y2039,NDays&amp;"D")</f>
        <v>53381</v>
      </c>
      <c r="AA2039" s="163">
        <v>1.0160615578043042E-2</v>
      </c>
      <c r="AB2039" s="172">
        <v>1.0154999910572116E-2</v>
      </c>
    </row>
    <row r="2040" spans="24:28" x14ac:dyDescent="0.2">
      <c r="X2040" s="176" t="str">
        <f t="shared" si="65"/>
        <v>1w</v>
      </c>
      <c r="Y2040" s="164">
        <f>_xll.qlCalendarAdvance(Calendar,Y2039,X2040,"f",FALSE)</f>
        <v>53386</v>
      </c>
      <c r="Z2040" s="188">
        <f>_xll.qlCalendarAdvance(Calendar,Y2040,NDays&amp;"D")</f>
        <v>53388</v>
      </c>
      <c r="AA2040" s="163">
        <v>1.015921300563888E-2</v>
      </c>
      <c r="AB2040" s="172">
        <v>1.0153398341454789E-2</v>
      </c>
    </row>
    <row r="2041" spans="24:28" x14ac:dyDescent="0.2">
      <c r="X2041" s="176" t="str">
        <f t="shared" si="65"/>
        <v>1w</v>
      </c>
      <c r="Y2041" s="164">
        <f>_xll.qlCalendarAdvance(Calendar,Y2040,X2041,"f",FALSE)</f>
        <v>53393</v>
      </c>
      <c r="Z2041" s="188">
        <f>_xll.qlCalendarAdvance(Calendar,Y2041,NDays&amp;"D")</f>
        <v>53395</v>
      </c>
      <c r="AA2041" s="163">
        <v>1.0157677696686476E-2</v>
      </c>
      <c r="AB2041" s="172">
        <v>1.0151802065490045E-2</v>
      </c>
    </row>
    <row r="2042" spans="24:28" x14ac:dyDescent="0.2">
      <c r="X2042" s="176" t="str">
        <f t="shared" si="65"/>
        <v>1w</v>
      </c>
      <c r="Y2042" s="164">
        <f>_xll.qlCalendarAdvance(Calendar,Y2041,X2042,"f",FALSE)</f>
        <v>53400</v>
      </c>
      <c r="Z2042" s="188">
        <f>_xll.qlCalendarAdvance(Calendar,Y2042,NDays&amp;"D")</f>
        <v>53402</v>
      </c>
      <c r="AA2042" s="163">
        <v>1.0156147709263668E-2</v>
      </c>
      <c r="AB2042" s="172">
        <v>1.0150211082757821E-2</v>
      </c>
    </row>
    <row r="2043" spans="24:28" x14ac:dyDescent="0.2">
      <c r="X2043" s="176" t="str">
        <f t="shared" si="65"/>
        <v>1w</v>
      </c>
      <c r="Y2043" s="164">
        <f>_xll.qlCalendarAdvance(Calendar,Y2042,X2043,"f",FALSE)</f>
        <v>53407</v>
      </c>
      <c r="Z2043" s="188">
        <f>_xll.qlCalendarAdvance(Calendar,Y2043,NDays&amp;"D")</f>
        <v>53413</v>
      </c>
      <c r="AA2043" s="163">
        <v>1.0153718090654082E-2</v>
      </c>
      <c r="AB2043" s="172">
        <v>1.0147661351851411E-2</v>
      </c>
    </row>
    <row r="2044" spans="24:28" x14ac:dyDescent="0.2">
      <c r="X2044" s="176" t="str">
        <f t="shared" si="65"/>
        <v>1w</v>
      </c>
      <c r="Y2044" s="164">
        <f>_xll.qlCalendarAdvance(Calendar,Y2043,X2044,"f",FALSE)</f>
        <v>53414</v>
      </c>
      <c r="Z2044" s="188">
        <f>_xll.qlCalendarAdvance(Calendar,Y2044,NDays&amp;"D")</f>
        <v>53416</v>
      </c>
      <c r="AA2044" s="163">
        <v>1.0152995050913168E-2</v>
      </c>
      <c r="AB2044" s="172">
        <v>1.0147044996724475E-2</v>
      </c>
    </row>
    <row r="2045" spans="24:28" x14ac:dyDescent="0.2">
      <c r="X2045" s="176" t="str">
        <f t="shared" si="65"/>
        <v>1w</v>
      </c>
      <c r="Y2045" s="164">
        <f>_xll.qlCalendarAdvance(Calendar,Y2044,X2045,"f",FALSE)</f>
        <v>53421</v>
      </c>
      <c r="Z2045" s="188">
        <f>_xll.qlCalendarAdvance(Calendar,Y2045,NDays&amp;"D")</f>
        <v>53423</v>
      </c>
      <c r="AA2045" s="163">
        <v>1.0151589676045781E-2</v>
      </c>
      <c r="AB2045" s="172">
        <v>1.0145469893476644E-2</v>
      </c>
    </row>
    <row r="2046" spans="24:28" x14ac:dyDescent="0.2">
      <c r="X2046" s="176" t="str">
        <f t="shared" si="65"/>
        <v>1w</v>
      </c>
      <c r="Y2046" s="164">
        <f>_xll.qlCalendarAdvance(Calendar,Y2045,X2046,"f",FALSE)</f>
        <v>53428</v>
      </c>
      <c r="Z2046" s="188">
        <f>_xll.qlCalendarAdvance(Calendar,Y2046,NDays&amp;"D")</f>
        <v>53430</v>
      </c>
      <c r="AA2046" s="163">
        <v>1.0150080974615616E-2</v>
      </c>
      <c r="AB2046" s="172">
        <v>1.0143900083381396E-2</v>
      </c>
    </row>
    <row r="2047" spans="24:28" x14ac:dyDescent="0.2">
      <c r="X2047" s="176" t="str">
        <f t="shared" si="65"/>
        <v>1w</v>
      </c>
      <c r="Y2047" s="164">
        <f>_xll.qlCalendarAdvance(Calendar,Y2046,X2047,"f",FALSE)</f>
        <v>53435</v>
      </c>
      <c r="Z2047" s="188">
        <f>_xll.qlCalendarAdvance(Calendar,Y2047,NDays&amp;"D")</f>
        <v>53437</v>
      </c>
      <c r="AA2047" s="163">
        <v>1.0148577594652394E-2</v>
      </c>
      <c r="AB2047" s="172">
        <v>1.0142335566438732E-2</v>
      </c>
    </row>
    <row r="2048" spans="24:28" x14ac:dyDescent="0.2">
      <c r="X2048" s="176" t="str">
        <f t="shared" si="65"/>
        <v>1w</v>
      </c>
      <c r="Y2048" s="164">
        <f>_xll.qlCalendarAdvance(Calendar,Y2047,X2048,"f",FALSE)</f>
        <v>53442</v>
      </c>
      <c r="Z2048" s="188">
        <f>_xll.qlCalendarAdvance(Calendar,Y2048,NDays&amp;"D")</f>
        <v>53444</v>
      </c>
      <c r="AA2048" s="163">
        <v>1.014707953614488E-2</v>
      </c>
      <c r="AB2048" s="172">
        <v>1.0140776342728586E-2</v>
      </c>
    </row>
    <row r="2049" spans="24:28" x14ac:dyDescent="0.2">
      <c r="X2049" s="176" t="str">
        <f t="shared" si="65"/>
        <v>1w</v>
      </c>
      <c r="Y2049" s="164">
        <f>_xll.qlCalendarAdvance(Calendar,Y2048,X2049,"f",FALSE)</f>
        <v>53449</v>
      </c>
      <c r="Z2049" s="188">
        <f>_xll.qlCalendarAdvance(Calendar,Y2049,NDays&amp;"D")</f>
        <v>53451</v>
      </c>
      <c r="AA2049" s="163">
        <v>1.0145586799079681E-2</v>
      </c>
      <c r="AB2049" s="172">
        <v>1.0139222412117732E-2</v>
      </c>
    </row>
    <row r="2050" spans="24:28" x14ac:dyDescent="0.2">
      <c r="X2050" s="176" t="str">
        <f t="shared" si="65"/>
        <v>1w</v>
      </c>
      <c r="Y2050" s="164">
        <f>_xll.qlCalendarAdvance(Calendar,Y2049,X2050,"f",FALSE)</f>
        <v>53456</v>
      </c>
      <c r="Z2050" s="188">
        <f>_xll.qlCalendarAdvance(Calendar,Y2050,NDays&amp;"D")</f>
        <v>53458</v>
      </c>
      <c r="AA2050" s="163">
        <v>1.0144099383445562E-2</v>
      </c>
      <c r="AB2050" s="172">
        <v>1.0137673774712752E-2</v>
      </c>
    </row>
    <row r="2051" spans="24:28" x14ac:dyDescent="0.2">
      <c r="X2051" s="176" t="str">
        <f t="shared" si="65"/>
        <v>1w</v>
      </c>
      <c r="Y2051" s="164">
        <f>_xll.qlCalendarAdvance(Calendar,Y2050,X2051,"f",FALSE)</f>
        <v>53463</v>
      </c>
      <c r="Z2051" s="188">
        <f>_xll.qlCalendarAdvance(Calendar,Y2051,NDays&amp;"D")</f>
        <v>53465</v>
      </c>
      <c r="AA2051" s="163">
        <v>1.0142617289229558E-2</v>
      </c>
      <c r="AB2051" s="172">
        <v>1.0136130430460355E-2</v>
      </c>
    </row>
    <row r="2052" spans="24:28" x14ac:dyDescent="0.2">
      <c r="X2052" s="176" t="str">
        <f t="shared" si="65"/>
        <v>1w</v>
      </c>
      <c r="Y2052" s="164">
        <f>_xll.qlCalendarAdvance(Calendar,Y2051,X2052,"f",FALSE)</f>
        <v>53470</v>
      </c>
      <c r="Z2052" s="188">
        <f>_xll.qlCalendarAdvance(Calendar,Y2052,NDays&amp;"D")</f>
        <v>53472</v>
      </c>
      <c r="AA2052" s="163">
        <v>1.0141140516420006E-2</v>
      </c>
      <c r="AB2052" s="172">
        <v>1.0134592379387186E-2</v>
      </c>
    </row>
    <row r="2053" spans="24:28" x14ac:dyDescent="0.2">
      <c r="X2053" s="176" t="str">
        <f t="shared" si="65"/>
        <v>1w</v>
      </c>
      <c r="Y2053" s="164">
        <f>_xll.qlCalendarAdvance(Calendar,Y2052,X2053,"f",FALSE)</f>
        <v>53477</v>
      </c>
      <c r="Z2053" s="188">
        <f>_xll.qlCalendarAdvance(Calendar,Y2053,NDays&amp;"D")</f>
        <v>53479</v>
      </c>
      <c r="AA2053" s="163">
        <v>1.0139669065004806E-2</v>
      </c>
      <c r="AB2053" s="172">
        <v>1.01330596214666E-2</v>
      </c>
    </row>
    <row r="2054" spans="24:28" x14ac:dyDescent="0.2">
      <c r="X2054" s="176" t="str">
        <f t="shared" si="65"/>
        <v>1w</v>
      </c>
      <c r="Y2054" s="164">
        <f>_xll.qlCalendarAdvance(Calendar,Y2053,X2054,"f",FALSE)</f>
        <v>53484</v>
      </c>
      <c r="Z2054" s="188">
        <f>_xll.qlCalendarAdvance(Calendar,Y2054,NDays&amp;"D")</f>
        <v>53486</v>
      </c>
      <c r="AA2054" s="163">
        <v>1.0138202934971859E-2</v>
      </c>
      <c r="AB2054" s="172">
        <v>1.0131532156725243E-2</v>
      </c>
    </row>
    <row r="2055" spans="24:28" x14ac:dyDescent="0.2">
      <c r="X2055" s="176" t="str">
        <f t="shared" si="65"/>
        <v>1w</v>
      </c>
      <c r="Y2055" s="164">
        <f>_xll.qlCalendarAdvance(Calendar,Y2054,X2055,"f",FALSE)</f>
        <v>53491</v>
      </c>
      <c r="Z2055" s="188">
        <f>_xll.qlCalendarAdvance(Calendar,Y2055,NDays&amp;"D")</f>
        <v>53493</v>
      </c>
      <c r="AA2055" s="163">
        <v>1.0136742126309068E-2</v>
      </c>
      <c r="AB2055" s="172">
        <v>1.0130009985136468E-2</v>
      </c>
    </row>
    <row r="2056" spans="24:28" x14ac:dyDescent="0.2">
      <c r="X2056" s="176" t="str">
        <f t="shared" si="65"/>
        <v>1w</v>
      </c>
      <c r="Y2056" s="164">
        <f>_xll.qlCalendarAdvance(Calendar,Y2055,X2056,"f",FALSE)</f>
        <v>53498</v>
      </c>
      <c r="Z2056" s="188">
        <f>_xll.qlCalendarAdvance(Calendar,Y2056,NDays&amp;"D")</f>
        <v>53500</v>
      </c>
      <c r="AA2056" s="163">
        <v>1.013528663900563E-2</v>
      </c>
      <c r="AB2056" s="172">
        <v>1.0128493106726921E-2</v>
      </c>
    </row>
    <row r="2057" spans="24:28" x14ac:dyDescent="0.2">
      <c r="X2057" s="176" t="str">
        <f t="shared" si="65"/>
        <v>1w</v>
      </c>
      <c r="Y2057" s="164">
        <f>_xll.qlCalendarAdvance(Calendar,Y2056,X2057,"f",FALSE)</f>
        <v>53505</v>
      </c>
      <c r="Z2057" s="188">
        <f>_xll.qlCalendarAdvance(Calendar,Y2057,NDays&amp;"D")</f>
        <v>53507</v>
      </c>
      <c r="AA2057" s="163">
        <v>1.0133836473047719E-2</v>
      </c>
      <c r="AB2057" s="172">
        <v>1.0126981521496603E-2</v>
      </c>
    </row>
    <row r="2058" spans="24:28" x14ac:dyDescent="0.2">
      <c r="X2058" s="176" t="str">
        <f t="shared" si="65"/>
        <v>1w</v>
      </c>
      <c r="Y2058" s="164">
        <f>_xll.qlCalendarAdvance(Calendar,Y2057,X2058,"f",FALSE)</f>
        <v>53512</v>
      </c>
      <c r="Z2058" s="188">
        <f>_xll.qlCalendarAdvance(Calendar,Y2058,NDays&amp;"D")</f>
        <v>53514</v>
      </c>
      <c r="AA2058" s="163">
        <v>1.0132391628424964E-2</v>
      </c>
      <c r="AB2058" s="172">
        <v>1.0125475229418868E-2</v>
      </c>
    </row>
    <row r="2059" spans="24:28" x14ac:dyDescent="0.2">
      <c r="X2059" s="176" t="str">
        <f t="shared" si="65"/>
        <v>1w</v>
      </c>
      <c r="Y2059" s="164">
        <f>_xll.qlCalendarAdvance(Calendar,Y2058,X2059,"f",FALSE)</f>
        <v>53519</v>
      </c>
      <c r="Z2059" s="188">
        <f>_xll.qlCalendarAdvance(Calendar,Y2059,NDays&amp;"D")</f>
        <v>53521</v>
      </c>
      <c r="AA2059" s="163">
        <v>1.0130952105125266E-2</v>
      </c>
      <c r="AB2059" s="172">
        <v>1.0123974230493715E-2</v>
      </c>
    </row>
    <row r="2060" spans="24:28" x14ac:dyDescent="0.2">
      <c r="X2060" s="176" t="str">
        <f t="shared" si="65"/>
        <v>1w</v>
      </c>
      <c r="Y2060" s="164">
        <f>_xll.qlCalendarAdvance(Calendar,Y2059,X2060,"f",FALSE)</f>
        <v>53526</v>
      </c>
      <c r="Z2060" s="188">
        <f>_xll.qlCalendarAdvance(Calendar,Y2060,NDays&amp;"D")</f>
        <v>53528</v>
      </c>
      <c r="AA2060" s="163">
        <v>1.012951790313696E-2</v>
      </c>
      <c r="AB2060" s="172">
        <v>1.0122478524747791E-2</v>
      </c>
    </row>
    <row r="2061" spans="24:28" x14ac:dyDescent="0.2">
      <c r="X2061" s="176" t="str">
        <f t="shared" si="65"/>
        <v>1w</v>
      </c>
      <c r="Y2061" s="164">
        <f>_xll.qlCalendarAdvance(Calendar,Y2060,X2061,"f",FALSE)</f>
        <v>53533</v>
      </c>
      <c r="Z2061" s="188">
        <f>_xll.qlCalendarAdvance(Calendar,Y2061,NDays&amp;"D")</f>
        <v>53535</v>
      </c>
      <c r="AA2061" s="163">
        <v>1.0128089022447516E-2</v>
      </c>
      <c r="AB2061" s="172">
        <v>1.0120988112181095E-2</v>
      </c>
    </row>
    <row r="2062" spans="24:28" x14ac:dyDescent="0.2">
      <c r="X2062" s="176" t="str">
        <f t="shared" si="65"/>
        <v>1w</v>
      </c>
      <c r="Y2062" s="164">
        <f>_xll.qlCalendarAdvance(Calendar,Y2061,X2062,"f",FALSE)</f>
        <v>53540</v>
      </c>
      <c r="Z2062" s="188">
        <f>_xll.qlCalendarAdvance(Calendar,Y2062,NDays&amp;"D")</f>
        <v>53542</v>
      </c>
      <c r="AA2062" s="163">
        <v>1.0126665463046129E-2</v>
      </c>
      <c r="AB2062" s="172">
        <v>1.0119502992766982E-2</v>
      </c>
    </row>
    <row r="2063" spans="24:28" x14ac:dyDescent="0.2">
      <c r="X2063" s="176" t="str">
        <f t="shared" si="65"/>
        <v>1w</v>
      </c>
      <c r="Y2063" s="164">
        <f>_xll.qlCalendarAdvance(Calendar,Y2062,X2063,"f",FALSE)</f>
        <v>53547</v>
      </c>
      <c r="Z2063" s="188">
        <f>_xll.qlCalendarAdvance(Calendar,Y2063,NDays&amp;"D")</f>
        <v>53549</v>
      </c>
      <c r="AA2063" s="163">
        <v>1.0125247224921568E-2</v>
      </c>
      <c r="AB2063" s="172">
        <v>1.0118023166532097E-2</v>
      </c>
    </row>
    <row r="2064" spans="24:28" x14ac:dyDescent="0.2">
      <c r="X2064" s="176" t="str">
        <f t="shared" si="65"/>
        <v>1w</v>
      </c>
      <c r="Y2064" s="164">
        <f>_xll.qlCalendarAdvance(Calendar,Y2063,X2064,"f",FALSE)</f>
        <v>53554</v>
      </c>
      <c r="Z2064" s="188">
        <f>_xll.qlCalendarAdvance(Calendar,Y2064,NDays&amp;"D")</f>
        <v>53556</v>
      </c>
      <c r="AA2064" s="163">
        <v>1.0123834308060868E-2</v>
      </c>
      <c r="AB2064" s="172">
        <v>1.0116548633449796E-2</v>
      </c>
    </row>
    <row r="2065" spans="24:28" x14ac:dyDescent="0.2">
      <c r="X2065" s="176" t="str">
        <f t="shared" si="65"/>
        <v>1w</v>
      </c>
      <c r="Y2065" s="164">
        <f>_xll.qlCalendarAdvance(Calendar,Y2064,X2065,"f",FALSE)</f>
        <v>53561</v>
      </c>
      <c r="Z2065" s="188">
        <f>_xll.qlCalendarAdvance(Calendar,Y2065,NDays&amp;"D")</f>
        <v>53563</v>
      </c>
      <c r="AA2065" s="163">
        <v>1.0122426712453661E-2</v>
      </c>
      <c r="AB2065" s="172">
        <v>1.0115079393520077E-2</v>
      </c>
    </row>
    <row r="2066" spans="24:28" x14ac:dyDescent="0.2">
      <c r="X2066" s="176" t="str">
        <f t="shared" si="65"/>
        <v>1w</v>
      </c>
      <c r="Y2066" s="164">
        <f>_xll.qlCalendarAdvance(Calendar,Y2065,X2066,"f",FALSE)</f>
        <v>53568</v>
      </c>
      <c r="Z2066" s="188">
        <f>_xll.qlCalendarAdvance(Calendar,Y2066,NDays&amp;"D")</f>
        <v>53570</v>
      </c>
      <c r="AA2066" s="163">
        <v>1.0120849798868764E-2</v>
      </c>
      <c r="AB2066" s="172">
        <v>1.0113615446769586E-2</v>
      </c>
    </row>
    <row r="2067" spans="24:28" x14ac:dyDescent="0.2">
      <c r="X2067" s="176" t="str">
        <f t="shared" si="65"/>
        <v>1w</v>
      </c>
      <c r="Y2067" s="164">
        <f>_xll.qlCalendarAdvance(Calendar,Y2066,X2067,"f",FALSE)</f>
        <v>53575</v>
      </c>
      <c r="Z2067" s="188">
        <f>_xll.qlCalendarAdvance(Calendar,Y2067,NDays&amp;"D")</f>
        <v>53577</v>
      </c>
      <c r="AA2067" s="163">
        <v>1.0119451482233243E-2</v>
      </c>
      <c r="AB2067" s="172">
        <v>1.0112156793171678E-2</v>
      </c>
    </row>
    <row r="2068" spans="24:28" x14ac:dyDescent="0.2">
      <c r="X2068" s="176" t="str">
        <f t="shared" si="65"/>
        <v>1w</v>
      </c>
      <c r="Y2068" s="164">
        <f>_xll.qlCalendarAdvance(Calendar,Y2067,X2068,"f",FALSE)</f>
        <v>53582</v>
      </c>
      <c r="Z2068" s="188">
        <f>_xll.qlCalendarAdvance(Calendar,Y2068,NDays&amp;"D")</f>
        <v>53584</v>
      </c>
      <c r="AA2068" s="163">
        <v>1.0118058486201349E-2</v>
      </c>
      <c r="AB2068" s="172">
        <v>1.0110703432779644E-2</v>
      </c>
    </row>
    <row r="2069" spans="24:28" x14ac:dyDescent="0.2">
      <c r="X2069" s="176" t="str">
        <f t="shared" ref="X2069:X2132" si="66">X2068</f>
        <v>1w</v>
      </c>
      <c r="Y2069" s="164">
        <f>_xll.qlCalendarAdvance(Calendar,Y2068,X2069,"f",FALSE)</f>
        <v>53589</v>
      </c>
      <c r="Z2069" s="188">
        <f>_xll.qlCalendarAdvance(Calendar,Y2069,NDays&amp;"D")</f>
        <v>53591</v>
      </c>
      <c r="AA2069" s="163">
        <v>1.0116670810762483E-2</v>
      </c>
      <c r="AB2069" s="172">
        <v>1.0109255365540193E-2</v>
      </c>
    </row>
    <row r="2070" spans="24:28" x14ac:dyDescent="0.2">
      <c r="X2070" s="176" t="str">
        <f t="shared" si="66"/>
        <v>1w</v>
      </c>
      <c r="Y2070" s="164">
        <f>_xll.qlCalendarAdvance(Calendar,Y2069,X2070,"f",FALSE)</f>
        <v>53596</v>
      </c>
      <c r="Z2070" s="188">
        <f>_xll.qlCalendarAdvance(Calendar,Y2070,NDays&amp;"D")</f>
        <v>53598</v>
      </c>
      <c r="AA2070" s="163">
        <v>1.0115333430006429E-2</v>
      </c>
      <c r="AB2070" s="172">
        <v>1.0107812591400034E-2</v>
      </c>
    </row>
    <row r="2071" spans="24:28" x14ac:dyDescent="0.2">
      <c r="X2071" s="176" t="str">
        <f t="shared" si="66"/>
        <v>1w</v>
      </c>
      <c r="Y2071" s="164">
        <f>_xll.qlCalendarAdvance(Calendar,Y2070,X2071,"f",FALSE)</f>
        <v>53603</v>
      </c>
      <c r="Z2071" s="188">
        <f>_xll.qlCalendarAdvance(Calendar,Y2071,NDays&amp;"D")</f>
        <v>53605</v>
      </c>
      <c r="AA2071" s="163">
        <v>1.0113956737177682E-2</v>
      </c>
      <c r="AB2071" s="172">
        <v>1.0106375110492394E-2</v>
      </c>
    </row>
    <row r="2072" spans="24:28" x14ac:dyDescent="0.2">
      <c r="X2072" s="176" t="str">
        <f t="shared" si="66"/>
        <v>1w</v>
      </c>
      <c r="Y2072" s="164">
        <f>_xll.qlCalendarAdvance(Calendar,Y2071,X2072,"f",FALSE)</f>
        <v>53610</v>
      </c>
      <c r="Z2072" s="188">
        <f>_xll.qlCalendarAdvance(Calendar,Y2072,NDays&amp;"D")</f>
        <v>53612</v>
      </c>
      <c r="AA2072" s="163">
        <v>1.0112768328349014E-2</v>
      </c>
      <c r="AB2072" s="172">
        <v>1.0104942922710691E-2</v>
      </c>
    </row>
    <row r="2073" spans="24:28" x14ac:dyDescent="0.2">
      <c r="X2073" s="176" t="str">
        <f t="shared" si="66"/>
        <v>1w</v>
      </c>
      <c r="Y2073" s="164">
        <f>_xll.qlCalendarAdvance(Calendar,Y2072,X2073,"f",FALSE)</f>
        <v>53617</v>
      </c>
      <c r="Z2073" s="188">
        <f>_xll.qlCalendarAdvance(Calendar,Y2073,NDays&amp;"D")</f>
        <v>53619</v>
      </c>
      <c r="AA2073" s="163">
        <v>1.011121931364807E-2</v>
      </c>
      <c r="AB2073" s="172">
        <v>1.0103516028108217E-2</v>
      </c>
    </row>
    <row r="2074" spans="24:28" x14ac:dyDescent="0.2">
      <c r="X2074" s="176" t="str">
        <f t="shared" si="66"/>
        <v>1w</v>
      </c>
      <c r="Y2074" s="164">
        <f>_xll.qlCalendarAdvance(Calendar,Y2073,X2074,"f",FALSE)</f>
        <v>53624</v>
      </c>
      <c r="Z2074" s="188">
        <f>_xll.qlCalendarAdvance(Calendar,Y2074,NDays&amp;"D")</f>
        <v>53626</v>
      </c>
      <c r="AA2074" s="163">
        <v>1.0109858582925247E-2</v>
      </c>
      <c r="AB2074" s="172">
        <v>1.0102094426684971E-2</v>
      </c>
    </row>
    <row r="2075" spans="24:28" x14ac:dyDescent="0.2">
      <c r="X2075" s="176" t="str">
        <f t="shared" si="66"/>
        <v>1w</v>
      </c>
      <c r="Y2075" s="164">
        <f>_xll.qlCalendarAdvance(Calendar,Y2074,X2075,"f",FALSE)</f>
        <v>53631</v>
      </c>
      <c r="Z2075" s="188">
        <f>_xll.qlCalendarAdvance(Calendar,Y2075,NDays&amp;"D")</f>
        <v>53633</v>
      </c>
      <c r="AA2075" s="163">
        <v>1.0108456489954398E-2</v>
      </c>
      <c r="AB2075" s="172">
        <v>1.0100678118414308E-2</v>
      </c>
    </row>
    <row r="2076" spans="24:28" x14ac:dyDescent="0.2">
      <c r="X2076" s="176" t="str">
        <f t="shared" si="66"/>
        <v>1w</v>
      </c>
      <c r="Y2076" s="164">
        <f>_xll.qlCalendarAdvance(Calendar,Y2075,X2076,"f",FALSE)</f>
        <v>53638</v>
      </c>
      <c r="Z2076" s="188">
        <f>_xll.qlCalendarAdvance(Calendar,Y2076,NDays&amp;"D")</f>
        <v>53640</v>
      </c>
      <c r="AA2076" s="163">
        <v>1.0107106058355809E-2</v>
      </c>
      <c r="AB2076" s="172">
        <v>1.0099267103296228E-2</v>
      </c>
    </row>
    <row r="2077" spans="24:28" x14ac:dyDescent="0.2">
      <c r="X2077" s="176" t="str">
        <f t="shared" si="66"/>
        <v>1w</v>
      </c>
      <c r="Y2077" s="164">
        <f>_xll.qlCalendarAdvance(Calendar,Y2076,X2077,"f",FALSE)</f>
        <v>53645</v>
      </c>
      <c r="Z2077" s="188">
        <f>_xll.qlCalendarAdvance(Calendar,Y2077,NDays&amp;"D")</f>
        <v>53647</v>
      </c>
      <c r="AA2077" s="163">
        <v>1.0105760947261918E-2</v>
      </c>
      <c r="AB2077" s="172">
        <v>1.0097861381357376E-2</v>
      </c>
    </row>
    <row r="2078" spans="24:28" x14ac:dyDescent="0.2">
      <c r="X2078" s="176" t="str">
        <f t="shared" si="66"/>
        <v>1w</v>
      </c>
      <c r="Y2078" s="164">
        <f>_xll.qlCalendarAdvance(Calendar,Y2077,X2078,"f",FALSE)</f>
        <v>53652</v>
      </c>
      <c r="Z2078" s="188">
        <f>_xll.qlCalendarAdvance(Calendar,Y2078,NDays&amp;"D")</f>
        <v>53654</v>
      </c>
      <c r="AA2078" s="163">
        <v>1.0104421156663013E-2</v>
      </c>
      <c r="AB2078" s="172">
        <v>1.0096460952571107E-2</v>
      </c>
    </row>
    <row r="2079" spans="24:28" x14ac:dyDescent="0.2">
      <c r="X2079" s="176" t="str">
        <f t="shared" si="66"/>
        <v>1w</v>
      </c>
      <c r="Y2079" s="164">
        <f>_xll.qlCalendarAdvance(Calendar,Y2078,X2079,"f",FALSE)</f>
        <v>53659</v>
      </c>
      <c r="Z2079" s="188">
        <f>_xll.qlCalendarAdvance(Calendar,Y2079,NDays&amp;"D")</f>
        <v>53661</v>
      </c>
      <c r="AA2079" s="163">
        <v>1.0103134739297876E-2</v>
      </c>
      <c r="AB2079" s="172">
        <v>1.0095065816964066E-2</v>
      </c>
    </row>
    <row r="2080" spans="24:28" x14ac:dyDescent="0.2">
      <c r="X2080" s="176" t="str">
        <f t="shared" si="66"/>
        <v>1w</v>
      </c>
      <c r="Y2080" s="164">
        <f>_xll.qlCalendarAdvance(Calendar,Y2079,X2080,"f",FALSE)</f>
        <v>53666</v>
      </c>
      <c r="Z2080" s="188">
        <f>_xll.qlCalendarAdvance(Calendar,Y2080,NDays&amp;"D")</f>
        <v>53668</v>
      </c>
      <c r="AA2080" s="163">
        <v>1.0101805932493066E-2</v>
      </c>
      <c r="AB2080" s="172">
        <v>1.0093675974482963E-2</v>
      </c>
    </row>
    <row r="2081" spans="24:28" x14ac:dyDescent="0.2">
      <c r="X2081" s="176" t="str">
        <f t="shared" si="66"/>
        <v>1w</v>
      </c>
      <c r="Y2081" s="164">
        <f>_xll.qlCalendarAdvance(Calendar,Y2080,X2081,"f",FALSE)</f>
        <v>53673</v>
      </c>
      <c r="Z2081" s="188">
        <f>_xll.qlCalendarAdvance(Calendar,Y2081,NDays&amp;"D")</f>
        <v>53675</v>
      </c>
      <c r="AA2081" s="163">
        <v>1.010048244630473E-2</v>
      </c>
      <c r="AB2081" s="172">
        <v>1.0092291425181088E-2</v>
      </c>
    </row>
    <row r="2082" spans="24:28" x14ac:dyDescent="0.2">
      <c r="X2082" s="176" t="str">
        <f t="shared" si="66"/>
        <v>1w</v>
      </c>
      <c r="Y2082" s="164">
        <f>_xll.qlCalendarAdvance(Calendar,Y2081,X2082,"f",FALSE)</f>
        <v>53680</v>
      </c>
      <c r="Z2082" s="188">
        <f>_xll.qlCalendarAdvance(Calendar,Y2082,NDays&amp;"D")</f>
        <v>53682</v>
      </c>
      <c r="AA2082" s="163">
        <v>1.0099164280720573E-2</v>
      </c>
      <c r="AB2082" s="172">
        <v>1.0090912169031796E-2</v>
      </c>
    </row>
    <row r="2083" spans="24:28" x14ac:dyDescent="0.2">
      <c r="X2083" s="176" t="str">
        <f t="shared" si="66"/>
        <v>1w</v>
      </c>
      <c r="Y2083" s="164">
        <f>_xll.qlCalendarAdvance(Calendar,Y2082,X2083,"f",FALSE)</f>
        <v>53688</v>
      </c>
      <c r="Z2083" s="188">
        <f>_xll.qlCalendarAdvance(Calendar,Y2083,NDays&amp;"D")</f>
        <v>53692</v>
      </c>
      <c r="AA2083" s="163">
        <v>1.0097141801120042E-2</v>
      </c>
      <c r="AB2083" s="172">
        <v>1.0088907397109992E-2</v>
      </c>
    </row>
    <row r="2084" spans="24:28" x14ac:dyDescent="0.2">
      <c r="X2084" s="176" t="str">
        <f t="shared" si="66"/>
        <v>1w</v>
      </c>
      <c r="Y2084" s="164">
        <f>_xll.qlCalendarAdvance(Calendar,Y2083,X2084,"f",FALSE)</f>
        <v>53695</v>
      </c>
      <c r="Z2084" s="188">
        <f>_xll.qlCalendarAdvance(Calendar,Y2084,NDays&amp;"D")</f>
        <v>53699</v>
      </c>
      <c r="AA2084" s="163">
        <v>1.0095985172471393E-2</v>
      </c>
      <c r="AB2084" s="172">
        <v>1.0087496761341797E-2</v>
      </c>
    </row>
    <row r="2085" spans="24:28" x14ac:dyDescent="0.2">
      <c r="X2085" s="176" t="str">
        <f t="shared" si="66"/>
        <v>1w</v>
      </c>
      <c r="Y2085" s="164">
        <f>_xll.qlCalendarAdvance(Calendar,Y2084,X2085,"f",FALSE)</f>
        <v>53702</v>
      </c>
      <c r="Z2085" s="188">
        <f>_xll.qlCalendarAdvance(Calendar,Y2085,NDays&amp;"D")</f>
        <v>53706</v>
      </c>
      <c r="AA2085" s="163">
        <v>1.0094685248881085E-2</v>
      </c>
      <c r="AB2085" s="172">
        <v>1.0086134973299465E-2</v>
      </c>
    </row>
    <row r="2086" spans="24:28" x14ac:dyDescent="0.2">
      <c r="X2086" s="176" t="str">
        <f t="shared" si="66"/>
        <v>1w</v>
      </c>
      <c r="Y2086" s="164">
        <f>_xll.qlCalendarAdvance(Calendar,Y2085,X2086,"f",FALSE)</f>
        <v>53709</v>
      </c>
      <c r="Z2086" s="188">
        <f>_xll.qlCalendarAdvance(Calendar,Y2086,NDays&amp;"D")</f>
        <v>53713</v>
      </c>
      <c r="AA2086" s="163">
        <v>1.0093390645849276E-2</v>
      </c>
      <c r="AB2086" s="172">
        <v>1.0084778478143264E-2</v>
      </c>
    </row>
    <row r="2087" spans="24:28" x14ac:dyDescent="0.2">
      <c r="X2087" s="176" t="str">
        <f t="shared" si="66"/>
        <v>1w</v>
      </c>
      <c r="Y2087" s="164">
        <f>_xll.qlCalendarAdvance(Calendar,Y2086,X2087,"f",FALSE)</f>
        <v>53716</v>
      </c>
      <c r="Z2087" s="188">
        <f>_xll.qlCalendarAdvance(Calendar,Y2087,NDays&amp;"D")</f>
        <v>53720</v>
      </c>
      <c r="AA2087" s="163">
        <v>1.0092101363365864E-2</v>
      </c>
      <c r="AB2087" s="172">
        <v>1.0083427275793255E-2</v>
      </c>
    </row>
    <row r="2088" spans="24:28" x14ac:dyDescent="0.2">
      <c r="X2088" s="176" t="str">
        <f t="shared" si="66"/>
        <v>1w</v>
      </c>
      <c r="Y2088" s="164">
        <f>_xll.qlCalendarAdvance(Calendar,Y2087,X2088,"f",FALSE)</f>
        <v>53723</v>
      </c>
      <c r="Z2088" s="188">
        <f>_xll.qlCalendarAdvance(Calendar,Y2088,NDays&amp;"D")</f>
        <v>53727</v>
      </c>
      <c r="AA2088" s="163">
        <v>1.009081740141987E-2</v>
      </c>
      <c r="AB2088" s="172">
        <v>1.0082081366409312E-2</v>
      </c>
    </row>
    <row r="2089" spans="24:28" x14ac:dyDescent="0.2">
      <c r="X2089" s="176" t="str">
        <f t="shared" si="66"/>
        <v>1w</v>
      </c>
      <c r="Y2089" s="164">
        <f>_xll.qlCalendarAdvance(Calendar,Y2088,X2089,"f",FALSE)</f>
        <v>53730</v>
      </c>
      <c r="Z2089" s="188">
        <f>_xll.qlCalendarAdvance(Calendar,Y2089,NDays&amp;"D")</f>
        <v>53734</v>
      </c>
      <c r="AA2089" s="163">
        <v>1.0089538760001191E-2</v>
      </c>
      <c r="AB2089" s="172">
        <v>1.0080740749831563E-2</v>
      </c>
    </row>
    <row r="2090" spans="24:28" x14ac:dyDescent="0.2">
      <c r="X2090" s="176" t="str">
        <f t="shared" si="66"/>
        <v>1w</v>
      </c>
      <c r="Y2090" s="164">
        <f>_xll.qlCalendarAdvance(Calendar,Y2089,X2090,"f",FALSE)</f>
        <v>53737</v>
      </c>
      <c r="Z2090" s="188">
        <f>_xll.qlCalendarAdvance(Calendar,Y2090,NDays&amp;"D")</f>
        <v>53741</v>
      </c>
      <c r="AA2090" s="163">
        <v>1.0088265439099287E-2</v>
      </c>
      <c r="AB2090" s="172">
        <v>1.0079405426139942E-2</v>
      </c>
    </row>
    <row r="2091" spans="24:28" x14ac:dyDescent="0.2">
      <c r="X2091" s="176" t="str">
        <f t="shared" si="66"/>
        <v>1w</v>
      </c>
      <c r="Y2091" s="164">
        <f>_xll.qlCalendarAdvance(Calendar,Y2090,X2091,"f",FALSE)</f>
        <v>53744</v>
      </c>
      <c r="Z2091" s="188">
        <f>_xll.qlCalendarAdvance(Calendar,Y2091,NDays&amp;"D")</f>
        <v>53748</v>
      </c>
      <c r="AA2091" s="163">
        <v>1.0086997438704493E-2</v>
      </c>
      <c r="AB2091" s="172">
        <v>1.0078075395254515E-2</v>
      </c>
    </row>
    <row r="2092" spans="24:28" x14ac:dyDescent="0.2">
      <c r="X2092" s="176" t="str">
        <f t="shared" si="66"/>
        <v>1w</v>
      </c>
      <c r="Y2092" s="164">
        <f>_xll.qlCalendarAdvance(Calendar,Y2091,X2092,"f",FALSE)</f>
        <v>53751</v>
      </c>
      <c r="Z2092" s="188">
        <f>_xll.qlCalendarAdvance(Calendar,Y2092,NDays&amp;"D")</f>
        <v>53755</v>
      </c>
      <c r="AA2092" s="163">
        <v>1.0085840199116142E-2</v>
      </c>
      <c r="AB2092" s="172">
        <v>1.0076750657175282E-2</v>
      </c>
    </row>
    <row r="2093" spans="24:28" x14ac:dyDescent="0.2">
      <c r="X2093" s="176" t="str">
        <f t="shared" si="66"/>
        <v>1w</v>
      </c>
      <c r="Y2093" s="164">
        <f>_xll.qlCalendarAdvance(Calendar,Y2092,X2093,"f",FALSE)</f>
        <v>53758</v>
      </c>
      <c r="Z2093" s="188">
        <f>_xll.qlCalendarAdvance(Calendar,Y2093,NDays&amp;"D")</f>
        <v>53762</v>
      </c>
      <c r="AA2093" s="163">
        <v>1.0084583529543827E-2</v>
      </c>
      <c r="AB2093" s="172">
        <v>1.0075431211982178E-2</v>
      </c>
    </row>
    <row r="2094" spans="24:28" x14ac:dyDescent="0.2">
      <c r="X2094" s="176" t="str">
        <f t="shared" si="66"/>
        <v>1w</v>
      </c>
      <c r="Y2094" s="164">
        <f>_xll.qlCalendarAdvance(Calendar,Y2093,X2094,"f",FALSE)</f>
        <v>53765</v>
      </c>
      <c r="Z2094" s="188">
        <f>_xll.qlCalendarAdvance(Calendar,Y2094,NDays&amp;"D")</f>
        <v>53769</v>
      </c>
      <c r="AA2094" s="163">
        <v>1.0083332180752283E-2</v>
      </c>
      <c r="AB2094" s="172">
        <v>1.0074117059755139E-2</v>
      </c>
    </row>
    <row r="2095" spans="24:28" x14ac:dyDescent="0.2">
      <c r="X2095" s="176" t="str">
        <f t="shared" si="66"/>
        <v>1w</v>
      </c>
      <c r="Y2095" s="164">
        <f>_xll.qlCalendarAdvance(Calendar,Y2094,X2095,"f",FALSE)</f>
        <v>53772</v>
      </c>
      <c r="Z2095" s="188">
        <f>_xll.qlCalendarAdvance(Calendar,Y2095,NDays&amp;"D")</f>
        <v>53776</v>
      </c>
      <c r="AA2095" s="163">
        <v>1.0082086152731956E-2</v>
      </c>
      <c r="AB2095" s="172">
        <v>1.0072808200254357E-2</v>
      </c>
    </row>
    <row r="2096" spans="24:28" x14ac:dyDescent="0.2">
      <c r="X2096" s="176" t="str">
        <f t="shared" si="66"/>
        <v>1w</v>
      </c>
      <c r="Y2096" s="164">
        <f>_xll.qlCalendarAdvance(Calendar,Y2095,X2096,"f",FALSE)</f>
        <v>53779</v>
      </c>
      <c r="Z2096" s="188">
        <f>_xll.qlCalendarAdvance(Calendar,Y2096,NDays&amp;"D")</f>
        <v>53783</v>
      </c>
      <c r="AA2096" s="163">
        <v>1.0080791327739763E-2</v>
      </c>
      <c r="AB2096" s="172">
        <v>1.0071504633639705E-2</v>
      </c>
    </row>
    <row r="2097" spans="24:28" x14ac:dyDescent="0.2">
      <c r="X2097" s="176" t="str">
        <f t="shared" si="66"/>
        <v>1w</v>
      </c>
      <c r="Y2097" s="164">
        <f>_xll.qlCalendarAdvance(Calendar,Y2096,X2097,"f",FALSE)</f>
        <v>53786</v>
      </c>
      <c r="Z2097" s="188">
        <f>_xll.qlCalendarAdvance(Calendar,Y2097,NDays&amp;"D")</f>
        <v>53790</v>
      </c>
      <c r="AA2097" s="163">
        <v>1.0079555595691491E-2</v>
      </c>
      <c r="AB2097" s="172">
        <v>1.0070206359831246E-2</v>
      </c>
    </row>
    <row r="2098" spans="24:28" x14ac:dyDescent="0.2">
      <c r="X2098" s="176" t="str">
        <f t="shared" si="66"/>
        <v>1w</v>
      </c>
      <c r="Y2098" s="164">
        <f>_xll.qlCalendarAdvance(Calendar,Y2097,X2098,"f",FALSE)</f>
        <v>53793</v>
      </c>
      <c r="Z2098" s="188">
        <f>_xll.qlCalendarAdvance(Calendar,Y2098,NDays&amp;"D")</f>
        <v>53799</v>
      </c>
      <c r="AA2098" s="163">
        <v>1.0077974615349875E-2</v>
      </c>
      <c r="AB2098" s="172">
        <v>1.0068544928039103E-2</v>
      </c>
    </row>
    <row r="2099" spans="24:28" x14ac:dyDescent="0.2">
      <c r="X2099" s="176" t="str">
        <f t="shared" si="66"/>
        <v>1w</v>
      </c>
      <c r="Y2099" s="164">
        <f>_xll.qlCalendarAdvance(Calendar,Y2098,X2099,"f",FALSE)</f>
        <v>53800</v>
      </c>
      <c r="Z2099" s="188">
        <f>_xll.qlCalendarAdvance(Calendar,Y2099,NDays&amp;"D")</f>
        <v>53804</v>
      </c>
      <c r="AA2099" s="163">
        <v>1.0077100093350578E-2</v>
      </c>
      <c r="AB2099" s="172">
        <v>1.0067625690872717E-2</v>
      </c>
    </row>
    <row r="2100" spans="24:28" x14ac:dyDescent="0.2">
      <c r="X2100" s="176" t="str">
        <f t="shared" si="66"/>
        <v>1w</v>
      </c>
      <c r="Y2100" s="164">
        <f>_xll.qlCalendarAdvance(Calendar,Y2099,X2100,"f",FALSE)</f>
        <v>53807</v>
      </c>
      <c r="Z2100" s="188">
        <f>_xll.qlCalendarAdvance(Calendar,Y2100,NDays&amp;"D")</f>
        <v>53811</v>
      </c>
      <c r="AA2100" s="163">
        <v>1.007588032303872E-2</v>
      </c>
      <c r="AB2100" s="172">
        <v>1.0066343295722646E-2</v>
      </c>
    </row>
    <row r="2101" spans="24:28" x14ac:dyDescent="0.2">
      <c r="X2101" s="176" t="str">
        <f t="shared" si="66"/>
        <v>1w</v>
      </c>
      <c r="Y2101" s="164">
        <f>_xll.qlCalendarAdvance(Calendar,Y2100,X2101,"f",FALSE)</f>
        <v>53814</v>
      </c>
      <c r="Z2101" s="188">
        <f>_xll.qlCalendarAdvance(Calendar,Y2101,NDays&amp;"D")</f>
        <v>53818</v>
      </c>
      <c r="AA2101" s="163">
        <v>1.0074721720232915E-2</v>
      </c>
      <c r="AB2101" s="172">
        <v>1.0065066193378769E-2</v>
      </c>
    </row>
    <row r="2102" spans="24:28" x14ac:dyDescent="0.2">
      <c r="X2102" s="176" t="str">
        <f t="shared" si="66"/>
        <v>1w</v>
      </c>
      <c r="Y2102" s="164">
        <f>_xll.qlCalendarAdvance(Calendar,Y2101,X2102,"f",FALSE)</f>
        <v>53821</v>
      </c>
      <c r="Z2102" s="188">
        <f>_xll.qlCalendarAdvance(Calendar,Y2102,NDays&amp;"D")</f>
        <v>53825</v>
      </c>
      <c r="AA2102" s="163">
        <v>1.0073512937327405E-2</v>
      </c>
      <c r="AB2102" s="172">
        <v>1.0063794383921021E-2</v>
      </c>
    </row>
    <row r="2103" spans="24:28" x14ac:dyDescent="0.2">
      <c r="X2103" s="176" t="str">
        <f t="shared" si="66"/>
        <v>1w</v>
      </c>
      <c r="Y2103" s="164">
        <f>_xll.qlCalendarAdvance(Calendar,Y2102,X2103,"f",FALSE)</f>
        <v>53828</v>
      </c>
      <c r="Z2103" s="188">
        <f>_xll.qlCalendarAdvance(Calendar,Y2103,NDays&amp;"D")</f>
        <v>53832</v>
      </c>
      <c r="AA2103" s="163">
        <v>1.0072309475112739E-2</v>
      </c>
      <c r="AB2103" s="172">
        <v>1.0062527867269466E-2</v>
      </c>
    </row>
    <row r="2104" spans="24:28" x14ac:dyDescent="0.2">
      <c r="X2104" s="176" t="str">
        <f t="shared" si="66"/>
        <v>1w</v>
      </c>
      <c r="Y2104" s="164">
        <f>_xll.qlCalendarAdvance(Calendar,Y2103,X2104,"f",FALSE)</f>
        <v>53835</v>
      </c>
      <c r="Z2104" s="188">
        <f>_xll.qlCalendarAdvance(Calendar,Y2104,NDays&amp;"D")</f>
        <v>53839</v>
      </c>
      <c r="AA2104" s="163">
        <v>1.0071111333579795E-2</v>
      </c>
      <c r="AB2104" s="172">
        <v>1.0061266643504041E-2</v>
      </c>
    </row>
    <row r="2105" spans="24:28" x14ac:dyDescent="0.2">
      <c r="X2105" s="176" t="str">
        <f t="shared" si="66"/>
        <v>1w</v>
      </c>
      <c r="Y2105" s="164">
        <f>_xll.qlCalendarAdvance(Calendar,Y2104,X2105,"f",FALSE)</f>
        <v>53842</v>
      </c>
      <c r="Z2105" s="188">
        <f>_xll.qlCalendarAdvance(Calendar,Y2105,NDays&amp;"D")</f>
        <v>53846</v>
      </c>
      <c r="AA2105" s="163">
        <v>1.0069861279663965E-2</v>
      </c>
      <c r="AB2105" s="172">
        <v>1.0060010712464873E-2</v>
      </c>
    </row>
    <row r="2106" spans="24:28" x14ac:dyDescent="0.2">
      <c r="X2106" s="176" t="str">
        <f t="shared" si="66"/>
        <v>1w</v>
      </c>
      <c r="Y2106" s="164">
        <f>_xll.qlCalendarAdvance(Calendar,Y2105,X2106,"f",FALSE)</f>
        <v>53849</v>
      </c>
      <c r="Z2106" s="188">
        <f>_xll.qlCalendarAdvance(Calendar,Y2106,NDays&amp;"D")</f>
        <v>53853</v>
      </c>
      <c r="AA2106" s="163">
        <v>1.0068673432558916E-2</v>
      </c>
      <c r="AB2106" s="172">
        <v>1.005876007439177E-2</v>
      </c>
    </row>
    <row r="2107" spans="24:28" x14ac:dyDescent="0.2">
      <c r="X2107" s="176" t="str">
        <f t="shared" si="66"/>
        <v>1w</v>
      </c>
      <c r="Y2107" s="164">
        <f>_xll.qlCalendarAdvance(Calendar,Y2106,X2107,"f",FALSE)</f>
        <v>53856</v>
      </c>
      <c r="Z2107" s="188">
        <f>_xll.qlCalendarAdvance(Calendar,Y2107,NDays&amp;"D")</f>
        <v>53860</v>
      </c>
      <c r="AA2107" s="163">
        <v>1.006749090595419E-2</v>
      </c>
      <c r="AB2107" s="172">
        <v>1.0057514729124861E-2</v>
      </c>
    </row>
    <row r="2108" spans="24:28" x14ac:dyDescent="0.2">
      <c r="X2108" s="176" t="str">
        <f t="shared" si="66"/>
        <v>1w</v>
      </c>
      <c r="Y2108" s="164">
        <f>_xll.qlCalendarAdvance(Calendar,Y2107,X2108,"f",FALSE)</f>
        <v>53863</v>
      </c>
      <c r="Z2108" s="188">
        <f>_xll.qlCalendarAdvance(Calendar,Y2108,NDays&amp;"D")</f>
        <v>53867</v>
      </c>
      <c r="AA2108" s="163">
        <v>1.0066313699841054E-2</v>
      </c>
      <c r="AB2108" s="172">
        <v>1.0056274676903953E-2</v>
      </c>
    </row>
    <row r="2109" spans="24:28" x14ac:dyDescent="0.2">
      <c r="X2109" s="176" t="str">
        <f t="shared" si="66"/>
        <v>1w</v>
      </c>
      <c r="Y2109" s="164">
        <f>_xll.qlCalendarAdvance(Calendar,Y2108,X2109,"f",FALSE)</f>
        <v>53870</v>
      </c>
      <c r="Z2109" s="188">
        <f>_xll.qlCalendarAdvance(Calendar,Y2109,NDays&amp;"D")</f>
        <v>53874</v>
      </c>
      <c r="AA2109" s="163">
        <v>1.0065259091625768E-2</v>
      </c>
      <c r="AB2109" s="172">
        <v>1.0055039917409303E-2</v>
      </c>
    </row>
    <row r="2110" spans="24:28" x14ac:dyDescent="0.2">
      <c r="X2110" s="176" t="str">
        <f t="shared" si="66"/>
        <v>1w</v>
      </c>
      <c r="Y2110" s="164">
        <f>_xll.qlCalendarAdvance(Calendar,Y2109,X2110,"f",FALSE)</f>
        <v>53877</v>
      </c>
      <c r="Z2110" s="188">
        <f>_xll.qlCalendarAdvance(Calendar,Y2110,NDays&amp;"D")</f>
        <v>53881</v>
      </c>
      <c r="AA2110" s="163">
        <v>1.0064034218148717E-2</v>
      </c>
      <c r="AB2110" s="172">
        <v>1.0053810450560974E-2</v>
      </c>
    </row>
    <row r="2111" spans="24:28" x14ac:dyDescent="0.2">
      <c r="X2111" s="176" t="str">
        <f t="shared" si="66"/>
        <v>1w</v>
      </c>
      <c r="Y2111" s="164">
        <f>_xll.qlCalendarAdvance(Calendar,Y2110,X2111,"f",FALSE)</f>
        <v>53884</v>
      </c>
      <c r="Z2111" s="188">
        <f>_xll.qlCalendarAdvance(Calendar,Y2111,NDays&amp;"D")</f>
        <v>53888</v>
      </c>
      <c r="AA2111" s="163">
        <v>1.0062873321115431E-2</v>
      </c>
      <c r="AB2111" s="172">
        <v>1.0052586276838582E-2</v>
      </c>
    </row>
    <row r="2112" spans="24:28" x14ac:dyDescent="0.2">
      <c r="X2112" s="176" t="str">
        <f t="shared" si="66"/>
        <v>1w</v>
      </c>
      <c r="Y2112" s="164">
        <f>_xll.qlCalendarAdvance(Calendar,Y2111,X2112,"f",FALSE)</f>
        <v>53891</v>
      </c>
      <c r="Z2112" s="188">
        <f>_xll.qlCalendarAdvance(Calendar,Y2112,NDays&amp;"D")</f>
        <v>53895</v>
      </c>
      <c r="AA2112" s="163">
        <v>1.0061717744686971E-2</v>
      </c>
      <c r="AB2112" s="172">
        <v>1.0051367395842448E-2</v>
      </c>
    </row>
    <row r="2113" spans="24:28" x14ac:dyDescent="0.2">
      <c r="X2113" s="176" t="str">
        <f t="shared" si="66"/>
        <v>1w</v>
      </c>
      <c r="Y2113" s="164">
        <f>_xll.qlCalendarAdvance(Calendar,Y2112,X2113,"f",FALSE)</f>
        <v>53898</v>
      </c>
      <c r="Z2113" s="188">
        <f>_xll.qlCalendarAdvance(Calendar,Y2113,NDays&amp;"D")</f>
        <v>53902</v>
      </c>
      <c r="AA2113" s="163">
        <v>1.006056748885378E-2</v>
      </c>
      <c r="AB2113" s="172">
        <v>1.0050153807732443E-2</v>
      </c>
    </row>
    <row r="2114" spans="24:28" x14ac:dyDescent="0.2">
      <c r="X2114" s="176" t="str">
        <f t="shared" si="66"/>
        <v>1w</v>
      </c>
      <c r="Y2114" s="164">
        <f>_xll.qlCalendarAdvance(Calendar,Y2113,X2114,"f",FALSE)</f>
        <v>53905</v>
      </c>
      <c r="Z2114" s="188">
        <f>_xll.qlCalendarAdvance(Calendar,Y2114,NDays&amp;"D")</f>
        <v>53909</v>
      </c>
      <c r="AA2114" s="163">
        <v>1.0059422553606735E-2</v>
      </c>
      <c r="AB2114" s="172">
        <v>1.0048945512508567E-2</v>
      </c>
    </row>
    <row r="2115" spans="24:28" x14ac:dyDescent="0.2">
      <c r="X2115" s="176" t="str">
        <f t="shared" si="66"/>
        <v>1w</v>
      </c>
      <c r="Y2115" s="164">
        <f>_xll.qlCalendarAdvance(Calendar,Y2114,X2115,"f",FALSE)</f>
        <v>53912</v>
      </c>
      <c r="Z2115" s="188">
        <f>_xll.qlCalendarAdvance(Calendar,Y2115,NDays&amp;"D")</f>
        <v>53916</v>
      </c>
      <c r="AA2115" s="163">
        <v>1.0058282938936713E-2</v>
      </c>
      <c r="AB2115" s="172">
        <v>1.0047742510090885E-2</v>
      </c>
    </row>
    <row r="2116" spans="24:28" x14ac:dyDescent="0.2">
      <c r="X2116" s="176" t="str">
        <f t="shared" si="66"/>
        <v>1w</v>
      </c>
      <c r="Y2116" s="164">
        <f>_xll.qlCalendarAdvance(Calendar,Y2115,X2116,"f",FALSE)</f>
        <v>53919</v>
      </c>
      <c r="Z2116" s="188">
        <f>_xll.qlCalendarAdvance(Calendar,Y2116,NDays&amp;"D")</f>
        <v>53923</v>
      </c>
      <c r="AA2116" s="163">
        <v>1.005714864483372E-2</v>
      </c>
      <c r="AB2116" s="172">
        <v>1.0046544800559332E-2</v>
      </c>
    </row>
    <row r="2117" spans="24:28" x14ac:dyDescent="0.2">
      <c r="X2117" s="176" t="str">
        <f t="shared" si="66"/>
        <v>1w</v>
      </c>
      <c r="Y2117" s="164">
        <f>_xll.qlCalendarAdvance(Calendar,Y2116,X2117,"f",FALSE)</f>
        <v>53926</v>
      </c>
      <c r="Z2117" s="188">
        <f>_xll.qlCalendarAdvance(Calendar,Y2117,NDays&amp;"D")</f>
        <v>53930</v>
      </c>
      <c r="AA2117" s="163">
        <v>1.0056019671289504E-2</v>
      </c>
      <c r="AB2117" s="172">
        <v>1.0045352383913908E-2</v>
      </c>
    </row>
    <row r="2118" spans="24:28" x14ac:dyDescent="0.2">
      <c r="X2118" s="176" t="str">
        <f t="shared" si="66"/>
        <v>1w</v>
      </c>
      <c r="Y2118" s="164">
        <f>_xll.qlCalendarAdvance(Calendar,Y2117,X2118,"f",FALSE)</f>
        <v>53933</v>
      </c>
      <c r="Z2118" s="188">
        <f>_xll.qlCalendarAdvance(Calendar,Y2118,NDays&amp;"D")</f>
        <v>53937</v>
      </c>
      <c r="AA2118" s="163">
        <v>1.0054772543431401E-2</v>
      </c>
      <c r="AB2118" s="172">
        <v>1.0044165260074678E-2</v>
      </c>
    </row>
    <row r="2119" spans="24:28" x14ac:dyDescent="0.2">
      <c r="X2119" s="176" t="str">
        <f t="shared" si="66"/>
        <v>1w</v>
      </c>
      <c r="Y2119" s="164">
        <f>_xll.qlCalendarAdvance(Calendar,Y2118,X2119,"f",FALSE)</f>
        <v>53940</v>
      </c>
      <c r="Z2119" s="188">
        <f>_xll.qlCalendarAdvance(Calendar,Y2119,NDays&amp;"D")</f>
        <v>53944</v>
      </c>
      <c r="AA2119" s="163">
        <v>1.0053653513250793E-2</v>
      </c>
      <c r="AB2119" s="172">
        <v>1.0042983429041641E-2</v>
      </c>
    </row>
    <row r="2120" spans="24:28" x14ac:dyDescent="0.2">
      <c r="X2120" s="176" t="str">
        <f t="shared" si="66"/>
        <v>1w</v>
      </c>
      <c r="Y2120" s="164">
        <f>_xll.qlCalendarAdvance(Calendar,Y2119,X2120,"f",FALSE)</f>
        <v>53947</v>
      </c>
      <c r="Z2120" s="188">
        <f>_xll.qlCalendarAdvance(Calendar,Y2120,NDays&amp;"D")</f>
        <v>53951</v>
      </c>
      <c r="AA2120" s="163">
        <v>1.0052539803298401E-2</v>
      </c>
      <c r="AB2120" s="172">
        <v>1.0041806890894733E-2</v>
      </c>
    </row>
    <row r="2121" spans="24:28" x14ac:dyDescent="0.2">
      <c r="X2121" s="176" t="str">
        <f t="shared" si="66"/>
        <v>1w</v>
      </c>
      <c r="Y2121" s="164">
        <f>_xll.qlCalendarAdvance(Calendar,Y2120,X2121,"f",FALSE)</f>
        <v>53954</v>
      </c>
      <c r="Z2121" s="188">
        <f>_xll.qlCalendarAdvance(Calendar,Y2121,NDays&amp;"D")</f>
        <v>53958</v>
      </c>
      <c r="AA2121" s="163">
        <v>1.0051431413566318E-2</v>
      </c>
      <c r="AB2121" s="172">
        <v>1.0040635645554019E-2</v>
      </c>
    </row>
    <row r="2122" spans="24:28" x14ac:dyDescent="0.2">
      <c r="X2122" s="176" t="str">
        <f t="shared" si="66"/>
        <v>1w</v>
      </c>
      <c r="Y2122" s="164">
        <f>_xll.qlCalendarAdvance(Calendar,Y2121,X2122,"f",FALSE)</f>
        <v>53961</v>
      </c>
      <c r="Z2122" s="188">
        <f>_xll.qlCalendarAdvance(Calendar,Y2122,NDays&amp;"D")</f>
        <v>53965</v>
      </c>
      <c r="AA2122" s="163">
        <v>1.005039146057979E-2</v>
      </c>
      <c r="AB2122" s="172">
        <v>1.003946969317937E-2</v>
      </c>
    </row>
    <row r="2123" spans="24:28" x14ac:dyDescent="0.2">
      <c r="X2123" s="176" t="str">
        <f t="shared" si="66"/>
        <v>1w</v>
      </c>
      <c r="Y2123" s="164">
        <f>_xll.qlCalendarAdvance(Calendar,Y2122,X2123,"f",FALSE)</f>
        <v>53968</v>
      </c>
      <c r="Z2123" s="188">
        <f>_xll.qlCalendarAdvance(Calendar,Y2123,NDays&amp;"D")</f>
        <v>53972</v>
      </c>
      <c r="AA2123" s="163">
        <v>1.0049294060717005E-2</v>
      </c>
      <c r="AB2123" s="172">
        <v>1.0038309033610915E-2</v>
      </c>
    </row>
    <row r="2124" spans="24:28" x14ac:dyDescent="0.2">
      <c r="X2124" s="176" t="str">
        <f t="shared" si="66"/>
        <v>1w</v>
      </c>
      <c r="Y2124" s="164">
        <f>_xll.qlCalendarAdvance(Calendar,Y2123,X2124,"f",FALSE)</f>
        <v>53975</v>
      </c>
      <c r="Z2124" s="188">
        <f>_xll.qlCalendarAdvance(Calendar,Y2124,NDays&amp;"D")</f>
        <v>53979</v>
      </c>
      <c r="AA2124" s="163">
        <v>1.004820198119904E-2</v>
      </c>
      <c r="AB2124" s="172">
        <v>1.0037153666848653E-2</v>
      </c>
    </row>
    <row r="2125" spans="24:28" x14ac:dyDescent="0.2">
      <c r="X2125" s="176" t="str">
        <f t="shared" si="66"/>
        <v>1w</v>
      </c>
      <c r="Y2125" s="164">
        <f>_xll.qlCalendarAdvance(Calendar,Y2124,X2125,"f",FALSE)</f>
        <v>53982</v>
      </c>
      <c r="Z2125" s="188">
        <f>_xll.qlCalendarAdvance(Calendar,Y2125,NDays&amp;"D")</f>
        <v>53986</v>
      </c>
      <c r="AA2125" s="163">
        <v>1.0047115222016286E-2</v>
      </c>
      <c r="AB2125" s="172">
        <v>1.0036003593052456E-2</v>
      </c>
    </row>
    <row r="2126" spans="24:28" x14ac:dyDescent="0.2">
      <c r="X2126" s="176" t="str">
        <f t="shared" si="66"/>
        <v>1w</v>
      </c>
      <c r="Y2126" s="164">
        <f>_xll.qlCalendarAdvance(Calendar,Y2125,X2126,"f",FALSE)</f>
        <v>53989</v>
      </c>
      <c r="Z2126" s="188">
        <f>_xll.qlCalendarAdvance(Calendar,Y2126,NDays&amp;"D")</f>
        <v>53993</v>
      </c>
      <c r="AA2126" s="163">
        <v>1.0046033783160007E-2</v>
      </c>
      <c r="AB2126" s="172">
        <v>1.0034858811982517E-2</v>
      </c>
    </row>
    <row r="2127" spans="24:28" x14ac:dyDescent="0.2">
      <c r="X2127" s="176" t="str">
        <f t="shared" si="66"/>
        <v>1w</v>
      </c>
      <c r="Y2127" s="164">
        <f>_xll.qlCalendarAdvance(Calendar,Y2126,X2127,"f",FALSE)</f>
        <v>53996</v>
      </c>
      <c r="Z2127" s="188">
        <f>_xll.qlCalendarAdvance(Calendar,Y2127,NDays&amp;"D")</f>
        <v>54000</v>
      </c>
      <c r="AA2127" s="163">
        <v>1.0044892799297831E-2</v>
      </c>
      <c r="AB2127" s="172">
        <v>1.0033719323798707E-2</v>
      </c>
    </row>
    <row r="2128" spans="24:28" x14ac:dyDescent="0.2">
      <c r="X2128" s="176" t="str">
        <f t="shared" si="66"/>
        <v>1w</v>
      </c>
      <c r="Y2128" s="164">
        <f>_xll.qlCalendarAdvance(Calendar,Y2127,X2128,"f",FALSE)</f>
        <v>54003</v>
      </c>
      <c r="Z2128" s="188">
        <f>_xll.qlCalendarAdvance(Calendar,Y2128,NDays&amp;"D")</f>
        <v>54007</v>
      </c>
      <c r="AA2128" s="163">
        <v>1.0043821650859312E-2</v>
      </c>
      <c r="AB2128" s="172">
        <v>1.0032585128501026E-2</v>
      </c>
    </row>
    <row r="2129" spans="24:28" x14ac:dyDescent="0.2">
      <c r="X2129" s="176" t="str">
        <f t="shared" si="66"/>
        <v>1w</v>
      </c>
      <c r="Y2129" s="164">
        <f>_xll.qlCalendarAdvance(Calendar,Y2128,X2129,"f",FALSE)</f>
        <v>54010</v>
      </c>
      <c r="Z2129" s="188">
        <f>_xll.qlCalendarAdvance(Calendar,Y2129,NDays&amp;"D")</f>
        <v>54014</v>
      </c>
      <c r="AA2129" s="163">
        <v>1.0042755822570389E-2</v>
      </c>
      <c r="AB2129" s="172">
        <v>1.0031456226009539E-2</v>
      </c>
    </row>
    <row r="2130" spans="24:28" x14ac:dyDescent="0.2">
      <c r="X2130" s="176" t="str">
        <f t="shared" si="66"/>
        <v>1w</v>
      </c>
      <c r="Y2130" s="164">
        <f>_xll.qlCalendarAdvance(Calendar,Y2129,X2130,"f",FALSE)</f>
        <v>54017</v>
      </c>
      <c r="Z2130" s="188">
        <f>_xll.qlCalendarAdvance(Calendar,Y2130,NDays&amp;"D")</f>
        <v>54021</v>
      </c>
      <c r="AA2130" s="163">
        <v>1.0041695314423156E-2</v>
      </c>
      <c r="AB2130" s="172">
        <v>1.0030332616404181E-2</v>
      </c>
    </row>
    <row r="2131" spans="24:28" x14ac:dyDescent="0.2">
      <c r="X2131" s="176" t="str">
        <f t="shared" si="66"/>
        <v>1w</v>
      </c>
      <c r="Y2131" s="164">
        <f>_xll.qlCalendarAdvance(Calendar,Y2130,X2131,"f",FALSE)</f>
        <v>54024</v>
      </c>
      <c r="Z2131" s="188">
        <f>_xll.qlCalendarAdvance(Calendar,Y2131,NDays&amp;"D")</f>
        <v>54028</v>
      </c>
      <c r="AA2131" s="163">
        <v>1.0040706393476076E-2</v>
      </c>
      <c r="AB2131" s="172">
        <v>1.0029214299605016E-2</v>
      </c>
    </row>
    <row r="2132" spans="24:28" x14ac:dyDescent="0.2">
      <c r="X2132" s="176" t="str">
        <f t="shared" si="66"/>
        <v>1w</v>
      </c>
      <c r="Y2132" s="164">
        <f>_xll.qlCalendarAdvance(Calendar,Y2131,X2132,"f",FALSE)</f>
        <v>54031</v>
      </c>
      <c r="Z2132" s="188">
        <f>_xll.qlCalendarAdvance(Calendar,Y2132,NDays&amp;"D")</f>
        <v>54035</v>
      </c>
      <c r="AA2132" s="163">
        <v>1.0039656876398241E-2</v>
      </c>
      <c r="AB2132" s="172">
        <v>1.0028101275691981E-2</v>
      </c>
    </row>
    <row r="2133" spans="24:28" x14ac:dyDescent="0.2">
      <c r="X2133" s="176" t="str">
        <f t="shared" ref="X2133:X2196" si="67">X2132</f>
        <v>1w</v>
      </c>
      <c r="Y2133" s="164">
        <f>_xll.qlCalendarAdvance(Calendar,Y2132,X2133,"f",FALSE)</f>
        <v>54038</v>
      </c>
      <c r="Z2133" s="188">
        <f>_xll.qlCalendarAdvance(Calendar,Y2133,NDays&amp;"D")</f>
        <v>54042</v>
      </c>
      <c r="AA2133" s="163">
        <v>1.0038612679587038E-2</v>
      </c>
      <c r="AB2133" s="172">
        <v>1.0026993544665075E-2</v>
      </c>
    </row>
    <row r="2134" spans="24:28" x14ac:dyDescent="0.2">
      <c r="X2134" s="176" t="str">
        <f t="shared" si="67"/>
        <v>1w</v>
      </c>
      <c r="Y2134" s="164">
        <f>_xll.qlCalendarAdvance(Calendar,Y2133,X2134,"f",FALSE)</f>
        <v>54045</v>
      </c>
      <c r="Z2134" s="188">
        <f>_xll.qlCalendarAdvance(Calendar,Y2134,NDays&amp;"D")</f>
        <v>54049</v>
      </c>
      <c r="AA2134" s="163">
        <v>1.0037573803033731E-2</v>
      </c>
      <c r="AB2134" s="172">
        <v>1.0025891106444362E-2</v>
      </c>
    </row>
    <row r="2135" spans="24:28" x14ac:dyDescent="0.2">
      <c r="X2135" s="176" t="str">
        <f t="shared" si="67"/>
        <v>1w</v>
      </c>
      <c r="Y2135" s="164">
        <f>_xll.qlCalendarAdvance(Calendar,Y2134,X2135,"f",FALSE)</f>
        <v>54053</v>
      </c>
      <c r="Z2135" s="188">
        <f>_xll.qlCalendarAdvance(Calendar,Y2135,NDays&amp;"D")</f>
        <v>54057</v>
      </c>
      <c r="AA2135" s="163">
        <v>1.0036325308724581E-2</v>
      </c>
      <c r="AB2135" s="172">
        <v>1.0024699132564763E-2</v>
      </c>
    </row>
    <row r="2136" spans="24:28" x14ac:dyDescent="0.2">
      <c r="X2136" s="176" t="str">
        <f t="shared" si="67"/>
        <v>1w</v>
      </c>
      <c r="Y2136" s="164">
        <f>_xll.qlCalendarAdvance(Calendar,Y2135,X2136,"f",FALSE)</f>
        <v>54060</v>
      </c>
      <c r="Z2136" s="188">
        <f>_xll.qlCalendarAdvance(Calendar,Y2136,NDays&amp;"D")</f>
        <v>54064</v>
      </c>
      <c r="AA2136" s="163">
        <v>1.0035297481260563E-2</v>
      </c>
      <c r="AB2136" s="172">
        <v>1.0023546561725993E-2</v>
      </c>
    </row>
    <row r="2137" spans="24:28" x14ac:dyDescent="0.2">
      <c r="X2137" s="176" t="str">
        <f t="shared" si="67"/>
        <v>1w</v>
      </c>
      <c r="Y2137" s="164">
        <f>_xll.qlCalendarAdvance(Calendar,Y2136,X2137,"f",FALSE)</f>
        <v>54067</v>
      </c>
      <c r="Z2137" s="188">
        <f>_xll.qlCalendarAdvance(Calendar,Y2137,NDays&amp;"D")</f>
        <v>54071</v>
      </c>
      <c r="AA2137" s="163">
        <v>1.0034274973878501E-2</v>
      </c>
      <c r="AB2137" s="172">
        <v>1.0022460758198903E-2</v>
      </c>
    </row>
    <row r="2138" spans="24:28" x14ac:dyDescent="0.2">
      <c r="X2138" s="176" t="str">
        <f t="shared" si="67"/>
        <v>1w</v>
      </c>
      <c r="Y2138" s="164">
        <f>_xll.qlCalendarAdvance(Calendar,Y2137,X2138,"f",FALSE)</f>
        <v>54074</v>
      </c>
      <c r="Z2138" s="188">
        <f>_xll.qlCalendarAdvance(Calendar,Y2138,NDays&amp;"D")</f>
        <v>54078</v>
      </c>
      <c r="AA2138" s="163">
        <v>1.0033257786570052E-2</v>
      </c>
      <c r="AB2138" s="172">
        <v>1.0021380247557943E-2</v>
      </c>
    </row>
    <row r="2139" spans="24:28" x14ac:dyDescent="0.2">
      <c r="X2139" s="176" t="str">
        <f t="shared" si="67"/>
        <v>1w</v>
      </c>
      <c r="Y2139" s="164">
        <f>_xll.qlCalendarAdvance(Calendar,Y2138,X2139,"f",FALSE)</f>
        <v>54081</v>
      </c>
      <c r="Z2139" s="188">
        <f>_xll.qlCalendarAdvance(Calendar,Y2139,NDays&amp;"D")</f>
        <v>54085</v>
      </c>
      <c r="AA2139" s="163">
        <v>1.003224591932687E-2</v>
      </c>
      <c r="AB2139" s="172">
        <v>1.0020305029723175E-2</v>
      </c>
    </row>
    <row r="2140" spans="24:28" x14ac:dyDescent="0.2">
      <c r="X2140" s="176" t="str">
        <f t="shared" si="67"/>
        <v>1w</v>
      </c>
      <c r="Y2140" s="164">
        <f>_xll.qlCalendarAdvance(Calendar,Y2139,X2140,"f",FALSE)</f>
        <v>54088</v>
      </c>
      <c r="Z2140" s="188">
        <f>_xll.qlCalendarAdvance(Calendar,Y2140,NDays&amp;"D")</f>
        <v>54092</v>
      </c>
      <c r="AA2140" s="163">
        <v>1.0031239372140611E-2</v>
      </c>
      <c r="AB2140" s="172">
        <v>1.0019235104694602E-2</v>
      </c>
    </row>
    <row r="2141" spans="24:28" x14ac:dyDescent="0.2">
      <c r="X2141" s="176" t="str">
        <f t="shared" si="67"/>
        <v>1w</v>
      </c>
      <c r="Y2141" s="164">
        <f>_xll.qlCalendarAdvance(Calendar,Y2140,X2141,"f",FALSE)</f>
        <v>54095</v>
      </c>
      <c r="Z2141" s="188">
        <f>_xll.qlCalendarAdvance(Calendar,Y2141,NDays&amp;"D")</f>
        <v>54099</v>
      </c>
      <c r="AA2141" s="163">
        <v>1.0030238145003369E-2</v>
      </c>
      <c r="AB2141" s="172">
        <v>1.0018170472552157E-2</v>
      </c>
    </row>
    <row r="2142" spans="24:28" x14ac:dyDescent="0.2">
      <c r="X2142" s="176" t="str">
        <f t="shared" si="67"/>
        <v>1w</v>
      </c>
      <c r="Y2142" s="164">
        <f>_xll.qlCalendarAdvance(Calendar,Y2141,X2142,"f",FALSE)</f>
        <v>54102</v>
      </c>
      <c r="Z2142" s="188">
        <f>_xll.qlCalendarAdvance(Calendar,Y2142,NDays&amp;"D")</f>
        <v>54106</v>
      </c>
      <c r="AA2142" s="163">
        <v>1.0029242237907238E-2</v>
      </c>
      <c r="AB2142" s="172">
        <v>1.0017111133375778E-2</v>
      </c>
    </row>
    <row r="2143" spans="24:28" x14ac:dyDescent="0.2">
      <c r="X2143" s="176" t="str">
        <f t="shared" si="67"/>
        <v>1w</v>
      </c>
      <c r="Y2143" s="164">
        <f>_xll.qlCalendarAdvance(Calendar,Y2142,X2143,"f",FALSE)</f>
        <v>54109</v>
      </c>
      <c r="Z2143" s="188">
        <f>_xll.qlCalendarAdvance(Calendar,Y2143,NDays&amp;"D")</f>
        <v>54113</v>
      </c>
      <c r="AA2143" s="163">
        <v>1.002825165084475E-2</v>
      </c>
      <c r="AB2143" s="172">
        <v>1.0016057086925656E-2</v>
      </c>
    </row>
    <row r="2144" spans="24:28" x14ac:dyDescent="0.2">
      <c r="X2144" s="176" t="str">
        <f t="shared" si="67"/>
        <v>1w</v>
      </c>
      <c r="Y2144" s="164">
        <f>_xll.qlCalendarAdvance(Calendar,Y2143,X2144,"f",FALSE)</f>
        <v>54116</v>
      </c>
      <c r="Z2144" s="188">
        <f>_xll.qlCalendarAdvance(Calendar,Y2144,NDays&amp;"D")</f>
        <v>54120</v>
      </c>
      <c r="AA2144" s="163">
        <v>1.0027408198237423E-2</v>
      </c>
      <c r="AB2144" s="172">
        <v>1.0015008333281727E-2</v>
      </c>
    </row>
    <row r="2145" spans="24:28" x14ac:dyDescent="0.2">
      <c r="X2145" s="176" t="str">
        <f t="shared" si="67"/>
        <v>1w</v>
      </c>
      <c r="Y2145" s="164">
        <f>_xll.qlCalendarAdvance(Calendar,Y2144,X2145,"f",FALSE)</f>
        <v>54123</v>
      </c>
      <c r="Z2145" s="188">
        <f>_xll.qlCalendarAdvance(Calendar,Y2145,NDays&amp;"D")</f>
        <v>54127</v>
      </c>
      <c r="AA2145" s="163">
        <v>1.0026428956809044E-2</v>
      </c>
      <c r="AB2145" s="172">
        <v>1.00139648726838E-2</v>
      </c>
    </row>
    <row r="2146" spans="24:28" x14ac:dyDescent="0.2">
      <c r="X2146" s="176" t="str">
        <f t="shared" si="67"/>
        <v>1w</v>
      </c>
      <c r="Y2146" s="164">
        <f>_xll.qlCalendarAdvance(Calendar,Y2145,X2146,"f",FALSE)</f>
        <v>54130</v>
      </c>
      <c r="Z2146" s="188">
        <f>_xll.qlCalendarAdvance(Calendar,Y2146,NDays&amp;"D")</f>
        <v>54134</v>
      </c>
      <c r="AA2146" s="163">
        <v>1.0025455035689206E-2</v>
      </c>
      <c r="AB2146" s="172">
        <v>1.0012926704732195E-2</v>
      </c>
    </row>
    <row r="2147" spans="24:28" x14ac:dyDescent="0.2">
      <c r="X2147" s="176" t="str">
        <f t="shared" si="67"/>
        <v>1w</v>
      </c>
      <c r="Y2147" s="164">
        <f>_xll.qlCalendarAdvance(Calendar,Y2146,X2147,"f",FALSE)</f>
        <v>54137</v>
      </c>
      <c r="Z2147" s="188">
        <f>_xll.qlCalendarAdvance(Calendar,Y2147,NDays&amp;"D")</f>
        <v>54141</v>
      </c>
      <c r="AA2147" s="163">
        <v>1.0024486434870524E-2</v>
      </c>
      <c r="AB2147" s="172">
        <v>1.0011893829666718E-2</v>
      </c>
    </row>
    <row r="2148" spans="24:28" x14ac:dyDescent="0.2">
      <c r="X2148" s="176" t="str">
        <f t="shared" si="67"/>
        <v>1w</v>
      </c>
      <c r="Y2148" s="164">
        <f>_xll.qlCalendarAdvance(Calendar,Y2147,X2148,"f",FALSE)</f>
        <v>54144</v>
      </c>
      <c r="Z2148" s="188">
        <f>_xll.qlCalendarAdvance(Calendar,Y2148,NDays&amp;"D")</f>
        <v>54148</v>
      </c>
      <c r="AA2148" s="163">
        <v>1.0023450817520424E-2</v>
      </c>
      <c r="AB2148" s="172">
        <v>1.0010866247487371E-2</v>
      </c>
    </row>
    <row r="2149" spans="24:28" x14ac:dyDescent="0.2">
      <c r="X2149" s="176" t="str">
        <f t="shared" si="67"/>
        <v>1w</v>
      </c>
      <c r="Y2149" s="164">
        <f>_xll.qlCalendarAdvance(Calendar,Y2148,X2149,"f",FALSE)</f>
        <v>54155</v>
      </c>
      <c r="Z2149" s="188">
        <f>_xll.qlCalendarAdvance(Calendar,Y2149,NDays&amp;"D")</f>
        <v>54157</v>
      </c>
      <c r="AA2149" s="163">
        <v>1.0022219677142584E-2</v>
      </c>
      <c r="AB2149" s="172">
        <v>1.000955284777838E-2</v>
      </c>
    </row>
    <row r="2150" spans="24:28" x14ac:dyDescent="0.2">
      <c r="X2150" s="176" t="str">
        <f t="shared" si="67"/>
        <v>1w</v>
      </c>
      <c r="Y2150" s="164">
        <f>_xll.qlCalendarAdvance(Calendar,Y2149,X2150,"f",FALSE)</f>
        <v>54162</v>
      </c>
      <c r="Z2150" s="188">
        <f>_xll.qlCalendarAdvance(Calendar,Y2150,NDays&amp;"D")</f>
        <v>54164</v>
      </c>
      <c r="AA2150" s="163">
        <v>1.0021268203659849E-2</v>
      </c>
      <c r="AB2150" s="172">
        <v>1.0008537363441761E-2</v>
      </c>
    </row>
    <row r="2151" spans="24:28" x14ac:dyDescent="0.2">
      <c r="X2151" s="176" t="str">
        <f t="shared" si="67"/>
        <v>1w</v>
      </c>
      <c r="Y2151" s="164">
        <f>_xll.qlCalendarAdvance(Calendar,Y2150,X2151,"f",FALSE)</f>
        <v>54169</v>
      </c>
      <c r="Z2151" s="188">
        <f>_xll.qlCalendarAdvance(Calendar,Y2151,NDays&amp;"D")</f>
        <v>54171</v>
      </c>
      <c r="AA2151" s="163">
        <v>1.0020322050295231E-2</v>
      </c>
      <c r="AB2151" s="172">
        <v>1.0007527172071207E-2</v>
      </c>
    </row>
    <row r="2152" spans="24:28" x14ac:dyDescent="0.2">
      <c r="X2152" s="176" t="str">
        <f t="shared" si="67"/>
        <v>1w</v>
      </c>
      <c r="Y2152" s="164">
        <f>_xll.qlCalendarAdvance(Calendar,Y2151,X2152,"f",FALSE)</f>
        <v>54176</v>
      </c>
      <c r="Z2152" s="188">
        <f>_xll.qlCalendarAdvance(Calendar,Y2152,NDays&amp;"D")</f>
        <v>54178</v>
      </c>
      <c r="AA2152" s="163">
        <v>1.0019381217041304E-2</v>
      </c>
      <c r="AB2152" s="172">
        <v>1.0006724894526808E-2</v>
      </c>
    </row>
    <row r="2153" spans="24:28" x14ac:dyDescent="0.2">
      <c r="X2153" s="176" t="str">
        <f t="shared" si="67"/>
        <v>1w</v>
      </c>
      <c r="Y2153" s="164">
        <f>_xll.qlCalendarAdvance(Calendar,Y2152,X2153,"f",FALSE)</f>
        <v>54183</v>
      </c>
      <c r="Z2153" s="188">
        <f>_xll.qlCalendarAdvance(Calendar,Y2153,NDays&amp;"D")</f>
        <v>54185</v>
      </c>
      <c r="AA2153" s="163">
        <v>1.0018668428943975E-2</v>
      </c>
      <c r="AB2153" s="172">
        <v>1.0005522667908551E-2</v>
      </c>
    </row>
    <row r="2154" spans="24:28" x14ac:dyDescent="0.2">
      <c r="X2154" s="176" t="str">
        <f t="shared" si="67"/>
        <v>1w</v>
      </c>
      <c r="Y2154" s="164">
        <f>_xll.qlCalendarAdvance(Calendar,Y2153,X2154,"f",FALSE)</f>
        <v>54190</v>
      </c>
      <c r="Z2154" s="188">
        <f>_xll.qlCalendarAdvance(Calendar,Y2154,NDays&amp;"D")</f>
        <v>54192</v>
      </c>
      <c r="AA2154" s="163">
        <v>1.0017739298539963E-2</v>
      </c>
      <c r="AB2154" s="172">
        <v>1.0004528355116449E-2</v>
      </c>
    </row>
    <row r="2155" spans="24:28" x14ac:dyDescent="0.2">
      <c r="X2155" s="176" t="str">
        <f t="shared" si="67"/>
        <v>1w</v>
      </c>
      <c r="Y2155" s="164">
        <f>_xll.qlCalendarAdvance(Calendar,Y2154,X2155,"f",FALSE)</f>
        <v>54197</v>
      </c>
      <c r="Z2155" s="188">
        <f>_xll.qlCalendarAdvance(Calendar,Y2155,NDays&amp;"D")</f>
        <v>54199</v>
      </c>
      <c r="AA2155" s="163">
        <v>1.0016815488671791E-2</v>
      </c>
      <c r="AB2155" s="172">
        <v>1.000353933513054E-2</v>
      </c>
    </row>
    <row r="2156" spans="24:28" x14ac:dyDescent="0.2">
      <c r="X2156" s="176" t="str">
        <f t="shared" si="67"/>
        <v>1w</v>
      </c>
      <c r="Y2156" s="164">
        <f>_xll.qlCalendarAdvance(Calendar,Y2155,X2156,"f",FALSE)</f>
        <v>54204</v>
      </c>
      <c r="Z2156" s="188">
        <f>_xll.qlCalendarAdvance(Calendar,Y2156,NDays&amp;"D")</f>
        <v>54206</v>
      </c>
      <c r="AA2156" s="163">
        <v>1.001589699933258E-2</v>
      </c>
      <c r="AB2156" s="172">
        <v>1.0002555608110697E-2</v>
      </c>
    </row>
    <row r="2157" spans="24:28" x14ac:dyDescent="0.2">
      <c r="X2157" s="176" t="str">
        <f t="shared" si="67"/>
        <v>1w</v>
      </c>
      <c r="Y2157" s="164">
        <f>_xll.qlCalendarAdvance(Calendar,Y2156,X2157,"f",FALSE)</f>
        <v>54211</v>
      </c>
      <c r="Z2157" s="188">
        <f>_xll.qlCalendarAdvance(Calendar,Y2157,NDays&amp;"D")</f>
        <v>54213</v>
      </c>
      <c r="AA2157" s="163">
        <v>1.0014756852162521E-2</v>
      </c>
      <c r="AB2157" s="172">
        <v>1.0001577173737175E-2</v>
      </c>
    </row>
    <row r="2158" spans="24:28" x14ac:dyDescent="0.2">
      <c r="X2158" s="176" t="str">
        <f t="shared" si="67"/>
        <v>1w</v>
      </c>
      <c r="Y2158" s="164">
        <f>_xll.qlCalendarAdvance(Calendar,Y2157,X2158,"f",FALSE)</f>
        <v>54218</v>
      </c>
      <c r="Z2158" s="188">
        <f>_xll.qlCalendarAdvance(Calendar,Y2158,NDays&amp;"D")</f>
        <v>54220</v>
      </c>
      <c r="AA2158" s="163">
        <v>1.0013847939412866E-2</v>
      </c>
      <c r="AB2158" s="172">
        <v>1.0000604032409655E-2</v>
      </c>
    </row>
    <row r="2159" spans="24:28" x14ac:dyDescent="0.2">
      <c r="X2159" s="176" t="str">
        <f t="shared" si="67"/>
        <v>1w</v>
      </c>
      <c r="Y2159" s="164">
        <f>_xll.qlCalendarAdvance(Calendar,Y2158,X2159,"f",FALSE)</f>
        <v>54225</v>
      </c>
      <c r="Z2159" s="188">
        <f>_xll.qlCalendarAdvance(Calendar,Y2159,NDays&amp;"D")</f>
        <v>54227</v>
      </c>
      <c r="AA2159" s="163">
        <v>1.0012944346721486E-2</v>
      </c>
      <c r="AB2159" s="172">
        <v>9.9996361838883274E-3</v>
      </c>
    </row>
    <row r="2160" spans="24:28" x14ac:dyDescent="0.2">
      <c r="X2160" s="176" t="str">
        <f t="shared" si="67"/>
        <v>1w</v>
      </c>
      <c r="Y2160" s="164">
        <f>_xll.qlCalendarAdvance(Calendar,Y2159,X2160,"f",FALSE)</f>
        <v>54232</v>
      </c>
      <c r="Z2160" s="188">
        <f>_xll.qlCalendarAdvance(Calendar,Y2160,NDays&amp;"D")</f>
        <v>54234</v>
      </c>
      <c r="AA2160" s="163">
        <v>1.0012276247113244E-2</v>
      </c>
      <c r="AB2160" s="172">
        <v>9.9986736280932575E-3</v>
      </c>
    </row>
    <row r="2161" spans="24:28" x14ac:dyDescent="0.2">
      <c r="X2161" s="176" t="str">
        <f t="shared" si="67"/>
        <v>1w</v>
      </c>
      <c r="Y2161" s="164">
        <f>_xll.qlCalendarAdvance(Calendar,Y2160,X2161,"f",FALSE)</f>
        <v>54239</v>
      </c>
      <c r="Z2161" s="188">
        <f>_xll.qlCalendarAdvance(Calendar,Y2161,NDays&amp;"D")</f>
        <v>54241</v>
      </c>
      <c r="AA2161" s="163">
        <v>1.0011384360304965E-2</v>
      </c>
      <c r="AB2161" s="172">
        <v>9.9977163651843171E-3</v>
      </c>
    </row>
    <row r="2162" spans="24:28" x14ac:dyDescent="0.2">
      <c r="X2162" s="176" t="str">
        <f t="shared" si="67"/>
        <v>1w</v>
      </c>
      <c r="Y2162" s="164">
        <f>_xll.qlCalendarAdvance(Calendar,Y2161,X2162,"f",FALSE)</f>
        <v>54246</v>
      </c>
      <c r="Z2162" s="188">
        <f>_xll.qlCalendarAdvance(Calendar,Y2162,NDays&amp;"D")</f>
        <v>54248</v>
      </c>
      <c r="AA2162" s="163">
        <v>1.0010497793981384E-2</v>
      </c>
      <c r="AB2162" s="172">
        <v>9.996764395241442E-3</v>
      </c>
    </row>
    <row r="2163" spans="24:28" x14ac:dyDescent="0.2">
      <c r="X2163" s="176" t="str">
        <f t="shared" si="67"/>
        <v>1w</v>
      </c>
      <c r="Y2163" s="164">
        <f>_xll.qlCalendarAdvance(Calendar,Y2162,X2163,"f",FALSE)</f>
        <v>54253</v>
      </c>
      <c r="Z2163" s="188">
        <f>_xll.qlCalendarAdvance(Calendar,Y2163,NDays&amp;"D")</f>
        <v>54255</v>
      </c>
      <c r="AA2163" s="163">
        <v>1.0009616548134767E-2</v>
      </c>
      <c r="AB2163" s="172">
        <v>9.9958177180248242E-3</v>
      </c>
    </row>
    <row r="2164" spans="24:28" x14ac:dyDescent="0.2">
      <c r="X2164" s="176" t="str">
        <f t="shared" si="67"/>
        <v>1w</v>
      </c>
      <c r="Y2164" s="164">
        <f>_xll.qlCalendarAdvance(Calendar,Y2163,X2164,"f",FALSE)</f>
        <v>54260</v>
      </c>
      <c r="Z2164" s="188">
        <f>_xll.qlCalendarAdvance(Calendar,Y2164,NDays&amp;"D")</f>
        <v>54262</v>
      </c>
      <c r="AA2164" s="163">
        <v>1.0008740622757804E-2</v>
      </c>
      <c r="AB2164" s="172">
        <v>9.9948763337742719E-3</v>
      </c>
    </row>
    <row r="2165" spans="24:28" x14ac:dyDescent="0.2">
      <c r="X2165" s="176" t="str">
        <f t="shared" si="67"/>
        <v>1w</v>
      </c>
      <c r="Y2165" s="164">
        <f>_xll.qlCalendarAdvance(Calendar,Y2164,X2165,"f",FALSE)</f>
        <v>54267</v>
      </c>
      <c r="Z2165" s="188">
        <f>_xll.qlCalendarAdvance(Calendar,Y2165,NDays&amp;"D")</f>
        <v>54269</v>
      </c>
      <c r="AA2165" s="163">
        <v>1.0007634511388096E-2</v>
      </c>
      <c r="AB2165" s="172">
        <v>9.9939402422499768E-3</v>
      </c>
    </row>
    <row r="2166" spans="24:28" x14ac:dyDescent="0.2">
      <c r="X2166" s="176" t="str">
        <f t="shared" si="67"/>
        <v>1w</v>
      </c>
      <c r="Y2166" s="164">
        <f>_xll.qlCalendarAdvance(Calendar,Y2165,X2166,"f",FALSE)</f>
        <v>54274</v>
      </c>
      <c r="Z2166" s="188">
        <f>_xll.qlCalendarAdvance(Calendar,Y2166,NDays&amp;"D")</f>
        <v>54276</v>
      </c>
      <c r="AA2166" s="163">
        <v>1.0007004733384055E-2</v>
      </c>
      <c r="AB2166" s="172">
        <v>9.9930094436917472E-3</v>
      </c>
    </row>
    <row r="2167" spans="24:28" x14ac:dyDescent="0.2">
      <c r="X2167" s="176" t="str">
        <f t="shared" si="67"/>
        <v>1w</v>
      </c>
      <c r="Y2167" s="164">
        <f>_xll.qlCalendarAdvance(Calendar,Y2166,X2167,"f",FALSE)</f>
        <v>54281</v>
      </c>
      <c r="Z2167" s="188">
        <f>_xll.qlCalendarAdvance(Calendar,Y2167,NDays&amp;"D")</f>
        <v>54283</v>
      </c>
      <c r="AA2167" s="163">
        <v>1.0006144769372656E-2</v>
      </c>
      <c r="AB2167" s="172">
        <v>9.9920839378597748E-3</v>
      </c>
    </row>
    <row r="2168" spans="24:28" x14ac:dyDescent="0.2">
      <c r="X2168" s="176" t="str">
        <f t="shared" si="67"/>
        <v>1w</v>
      </c>
      <c r="Y2168" s="164">
        <f>_xll.qlCalendarAdvance(Calendar,Y2167,X2168,"f",FALSE)</f>
        <v>54288</v>
      </c>
      <c r="Z2168" s="188">
        <f>_xll.qlCalendarAdvance(Calendar,Y2168,NDays&amp;"D")</f>
        <v>54290</v>
      </c>
      <c r="AA2168" s="163">
        <v>1.0005290125802549E-2</v>
      </c>
      <c r="AB2168" s="172">
        <v>9.9911637249139318E-3</v>
      </c>
    </row>
    <row r="2169" spans="24:28" x14ac:dyDescent="0.2">
      <c r="X2169" s="176" t="str">
        <f t="shared" si="67"/>
        <v>1w</v>
      </c>
      <c r="Y2169" s="164">
        <f>_xll.qlCalendarAdvance(Calendar,Y2168,X2169,"f",FALSE)</f>
        <v>54295</v>
      </c>
      <c r="Z2169" s="188">
        <f>_xll.qlCalendarAdvance(Calendar,Y2169,NDays&amp;"D")</f>
        <v>54297</v>
      </c>
      <c r="AA2169" s="163">
        <v>1.0004201021421874E-2</v>
      </c>
      <c r="AB2169" s="172">
        <v>9.9902488049341542E-3</v>
      </c>
    </row>
    <row r="2170" spans="24:28" x14ac:dyDescent="0.2">
      <c r="X2170" s="176" t="str">
        <f t="shared" si="67"/>
        <v>1w</v>
      </c>
      <c r="Y2170" s="164">
        <f>_xll.qlCalendarAdvance(Calendar,Y2169,X2170,"f",FALSE)</f>
        <v>54302</v>
      </c>
      <c r="Z2170" s="188">
        <f>_xll.qlCalendarAdvance(Calendar,Y2170,NDays&amp;"D")</f>
        <v>54304</v>
      </c>
      <c r="AA2170" s="163">
        <v>1.0003195559083354E-2</v>
      </c>
      <c r="AB2170" s="172">
        <v>9.98933917776057E-3</v>
      </c>
    </row>
    <row r="2171" spans="24:28" x14ac:dyDescent="0.2">
      <c r="X2171" s="176" t="str">
        <f t="shared" si="67"/>
        <v>1w</v>
      </c>
      <c r="Y2171" s="164">
        <f>_xll.qlCalendarAdvance(Calendar,Y2170,X2171,"f",FALSE)</f>
        <v>54309</v>
      </c>
      <c r="Z2171" s="188">
        <f>_xll.qlCalendarAdvance(Calendar,Y2171,NDays&amp;"D")</f>
        <v>54311</v>
      </c>
      <c r="AA2171" s="163">
        <v>1.0002355093127958E-2</v>
      </c>
      <c r="AB2171" s="172">
        <v>9.9884348433132431E-3</v>
      </c>
    </row>
    <row r="2172" spans="24:28" x14ac:dyDescent="0.2">
      <c r="X2172" s="176" t="str">
        <f t="shared" si="67"/>
        <v>1w</v>
      </c>
      <c r="Y2172" s="164">
        <f>_xll.qlCalendarAdvance(Calendar,Y2171,X2172,"f",FALSE)</f>
        <v>54316</v>
      </c>
      <c r="Z2172" s="188">
        <f>_xll.qlCalendarAdvance(Calendar,Y2172,NDays&amp;"D")</f>
        <v>54318</v>
      </c>
      <c r="AA2172" s="163">
        <v>1.0001519946842572E-2</v>
      </c>
      <c r="AB2172" s="172">
        <v>9.9875358018319815E-3</v>
      </c>
    </row>
    <row r="2173" spans="24:28" x14ac:dyDescent="0.2">
      <c r="X2173" s="176" t="str">
        <f t="shared" si="67"/>
        <v>1w</v>
      </c>
      <c r="Y2173" s="164">
        <f>_xll.qlCalendarAdvance(Calendar,Y2172,X2173,"f",FALSE)</f>
        <v>54323</v>
      </c>
      <c r="Z2173" s="188">
        <f>_xll.qlCalendarAdvance(Calendar,Y2173,NDays&amp;"D")</f>
        <v>54325</v>
      </c>
      <c r="AA2173" s="163">
        <v>1.0000690120218802E-2</v>
      </c>
      <c r="AB2173" s="172">
        <v>9.9866420531569133E-3</v>
      </c>
    </row>
    <row r="2174" spans="24:28" x14ac:dyDescent="0.2">
      <c r="X2174" s="176" t="str">
        <f t="shared" si="67"/>
        <v>1w</v>
      </c>
      <c r="Y2174" s="164">
        <f>_xll.qlCalendarAdvance(Calendar,Y2173,X2174,"f",FALSE)</f>
        <v>54330</v>
      </c>
      <c r="Z2174" s="188">
        <f>_xll.qlCalendarAdvance(Calendar,Y2174,NDays&amp;"D")</f>
        <v>54332</v>
      </c>
      <c r="AA2174" s="163">
        <v>9.9999472180660812E-3</v>
      </c>
      <c r="AB2174" s="172">
        <v>9.9857535973679745E-3</v>
      </c>
    </row>
    <row r="2175" spans="24:28" x14ac:dyDescent="0.2">
      <c r="X2175" s="176" t="str">
        <f t="shared" si="67"/>
        <v>1w</v>
      </c>
      <c r="Y2175" s="164">
        <f>_xll.qlCalendarAdvance(Calendar,Y2174,X2175,"f",FALSE)</f>
        <v>54337</v>
      </c>
      <c r="Z2175" s="188">
        <f>_xll.qlCalendarAdvance(Calendar,Y2175,NDays&amp;"D")</f>
        <v>54339</v>
      </c>
      <c r="AA2175" s="163">
        <v>9.9991283880341703E-3</v>
      </c>
      <c r="AB2175" s="172">
        <v>9.984870434385229E-3</v>
      </c>
    </row>
    <row r="2176" spans="24:28" x14ac:dyDescent="0.2">
      <c r="X2176" s="176" t="str">
        <f t="shared" si="67"/>
        <v>1w</v>
      </c>
      <c r="Y2176" s="164">
        <f>_xll.qlCalendarAdvance(Calendar,Y2175,X2176,"f",FALSE)</f>
        <v>54344</v>
      </c>
      <c r="Z2176" s="188">
        <f>_xll.qlCalendarAdvance(Calendar,Y2176,NDays&amp;"D")</f>
        <v>54346</v>
      </c>
      <c r="AA2176" s="163">
        <v>9.9983148777939013E-3</v>
      </c>
      <c r="AB2176" s="172">
        <v>9.9839925642886129E-3</v>
      </c>
    </row>
    <row r="2177" spans="24:28" x14ac:dyDescent="0.2">
      <c r="X2177" s="176" t="str">
        <f t="shared" si="67"/>
        <v>1w</v>
      </c>
      <c r="Y2177" s="164">
        <f>_xll.qlCalendarAdvance(Calendar,Y2176,X2177,"f",FALSE)</f>
        <v>54351</v>
      </c>
      <c r="Z2177" s="188">
        <f>_xll.qlCalendarAdvance(Calendar,Y2177,NDays&amp;"D")</f>
        <v>54353</v>
      </c>
      <c r="AA2177" s="163">
        <v>9.9975066873378027E-3</v>
      </c>
      <c r="AB2177" s="172">
        <v>9.9831199869981901E-3</v>
      </c>
    </row>
    <row r="2178" spans="24:28" x14ac:dyDescent="0.2">
      <c r="X2178" s="176" t="str">
        <f t="shared" si="67"/>
        <v>1w</v>
      </c>
      <c r="Y2178" s="164">
        <f>_xll.qlCalendarAdvance(Calendar,Y2177,X2178,"f",FALSE)</f>
        <v>54358</v>
      </c>
      <c r="Z2178" s="188">
        <f>_xll.qlCalendarAdvance(Calendar,Y2178,NDays&amp;"D")</f>
        <v>54360</v>
      </c>
      <c r="AA2178" s="163">
        <v>9.9967038166606098E-3</v>
      </c>
      <c r="AB2178" s="172">
        <v>9.9822527025938967E-3</v>
      </c>
    </row>
    <row r="2179" spans="24:28" x14ac:dyDescent="0.2">
      <c r="X2179" s="176" t="str">
        <f t="shared" si="67"/>
        <v>1w</v>
      </c>
      <c r="Y2179" s="164">
        <f>_xll.qlCalendarAdvance(Calendar,Y2178,X2179,"f",FALSE)</f>
        <v>54365</v>
      </c>
      <c r="Z2179" s="188">
        <f>_xll.qlCalendarAdvance(Calendar,Y2179,NDays&amp;"D")</f>
        <v>54367</v>
      </c>
      <c r="AA2179" s="163">
        <v>9.995822873015512E-3</v>
      </c>
      <c r="AB2179" s="172">
        <v>9.9813907109957967E-3</v>
      </c>
    </row>
    <row r="2180" spans="24:28" x14ac:dyDescent="0.2">
      <c r="X2180" s="176" t="str">
        <f t="shared" si="67"/>
        <v>1w</v>
      </c>
      <c r="Y2180" s="164">
        <f>_xll.qlCalendarAdvance(Calendar,Y2179,X2180,"f",FALSE)</f>
        <v>54372</v>
      </c>
      <c r="Z2180" s="188">
        <f>_xll.qlCalendarAdvance(Calendar,Y2180,NDays&amp;"D")</f>
        <v>54374</v>
      </c>
      <c r="AA2180" s="163">
        <v>9.9950302838442018E-3</v>
      </c>
      <c r="AB2180" s="172">
        <v>9.980534012283826E-3</v>
      </c>
    </row>
    <row r="2181" spans="24:28" x14ac:dyDescent="0.2">
      <c r="X2181" s="176" t="str">
        <f t="shared" si="67"/>
        <v>1w</v>
      </c>
      <c r="Y2181" s="164">
        <f>_xll.qlCalendarAdvance(Calendar,Y2180,X2181,"f",FALSE)</f>
        <v>54379</v>
      </c>
      <c r="Z2181" s="188">
        <f>_xll.qlCalendarAdvance(Calendar,Y2181,NDays&amp;"D")</f>
        <v>54381</v>
      </c>
      <c r="AA2181" s="163">
        <v>9.9942430142837199E-3</v>
      </c>
      <c r="AB2181" s="172">
        <v>9.9796826064579847E-3</v>
      </c>
    </row>
    <row r="2182" spans="24:28" x14ac:dyDescent="0.2">
      <c r="X2182" s="176" t="str">
        <f t="shared" si="67"/>
        <v>1w</v>
      </c>
      <c r="Y2182" s="164">
        <f>_xll.qlCalendarAdvance(Calendar,Y2181,X2182,"f",FALSE)</f>
        <v>54386</v>
      </c>
      <c r="Z2182" s="188">
        <f>_xll.qlCalendarAdvance(Calendar,Y2182,NDays&amp;"D")</f>
        <v>54388</v>
      </c>
      <c r="AA2182" s="163">
        <v>9.9934610643270007E-3</v>
      </c>
      <c r="AB2182" s="172">
        <v>9.9788364934383367E-3</v>
      </c>
    </row>
    <row r="2183" spans="24:28" x14ac:dyDescent="0.2">
      <c r="X2183" s="176" t="str">
        <f t="shared" si="67"/>
        <v>1w</v>
      </c>
      <c r="Y2183" s="164">
        <f>_xll.qlCalendarAdvance(Calendar,Y2182,X2183,"f",FALSE)</f>
        <v>54393</v>
      </c>
      <c r="Z2183" s="188">
        <f>_xll.qlCalendarAdvance(Calendar,Y2183,NDays&amp;"D")</f>
        <v>54395</v>
      </c>
      <c r="AA2183" s="163">
        <v>9.9927692597227696E-3</v>
      </c>
      <c r="AB2183" s="172">
        <v>9.9779956733048181E-3</v>
      </c>
    </row>
    <row r="2184" spans="24:28" x14ac:dyDescent="0.2">
      <c r="X2184" s="176" t="str">
        <f t="shared" si="67"/>
        <v>1w</v>
      </c>
      <c r="Y2184" s="164">
        <f>_xll.qlCalendarAdvance(Calendar,Y2183,X2184,"f",FALSE)</f>
        <v>54400</v>
      </c>
      <c r="Z2184" s="188">
        <f>_xll.qlCalendarAdvance(Calendar,Y2184,NDays&amp;"D")</f>
        <v>54402</v>
      </c>
      <c r="AA2184" s="163">
        <v>9.9919983075810823E-3</v>
      </c>
      <c r="AB2184" s="172">
        <v>9.9771601460574288E-3</v>
      </c>
    </row>
    <row r="2185" spans="24:28" x14ac:dyDescent="0.2">
      <c r="X2185" s="176" t="str">
        <f t="shared" si="67"/>
        <v>1w</v>
      </c>
      <c r="Y2185" s="164">
        <f>_xll.qlCalendarAdvance(Calendar,Y2184,X2185,"f",FALSE)</f>
        <v>54407</v>
      </c>
      <c r="Z2185" s="188">
        <f>_xll.qlCalendarAdvance(Calendar,Y2185,NDays&amp;"D")</f>
        <v>54409</v>
      </c>
      <c r="AA2185" s="163">
        <v>9.9912326751730608E-3</v>
      </c>
      <c r="AB2185" s="172">
        <v>9.9763299115362969E-3</v>
      </c>
    </row>
    <row r="2186" spans="24:28" x14ac:dyDescent="0.2">
      <c r="X2186" s="176" t="str">
        <f t="shared" si="67"/>
        <v>1w</v>
      </c>
      <c r="Y2186" s="164">
        <f>_xll.qlCalendarAdvance(Calendar,Y2185,X2186,"f",FALSE)</f>
        <v>54414</v>
      </c>
      <c r="Z2186" s="188">
        <f>_xll.qlCalendarAdvance(Calendar,Y2186,NDays&amp;"D")</f>
        <v>54416</v>
      </c>
      <c r="AA2186" s="163">
        <v>9.9904723624929925E-3</v>
      </c>
      <c r="AB2186" s="172">
        <v>9.9757435737579669E-3</v>
      </c>
    </row>
    <row r="2187" spans="24:28" x14ac:dyDescent="0.2">
      <c r="X2187" s="176" t="str">
        <f t="shared" si="67"/>
        <v>1w</v>
      </c>
      <c r="Y2187" s="164">
        <f>_xll.qlCalendarAdvance(Calendar,Y2186,X2187,"f",FALSE)</f>
        <v>54421</v>
      </c>
      <c r="Z2187" s="188">
        <f>_xll.qlCalendarAdvance(Calendar,Y2187,NDays&amp;"D")</f>
        <v>54423</v>
      </c>
      <c r="AA2187" s="163">
        <v>9.9896311083887499E-3</v>
      </c>
      <c r="AB2187" s="172">
        <v>9.9749249911162963E-3</v>
      </c>
    </row>
    <row r="2188" spans="24:28" x14ac:dyDescent="0.2">
      <c r="X2188" s="176" t="str">
        <f t="shared" si="67"/>
        <v>1w</v>
      </c>
      <c r="Y2188" s="164">
        <f>_xll.qlCalendarAdvance(Calendar,Y2187,X2188,"f",FALSE)</f>
        <v>54428</v>
      </c>
      <c r="Z2188" s="188">
        <f>_xll.qlCalendarAdvance(Calendar,Y2188,NDays&amp;"D")</f>
        <v>54430</v>
      </c>
      <c r="AA2188" s="163">
        <v>9.9888810759283016E-3</v>
      </c>
      <c r="AB2188" s="172">
        <v>9.9738709652097413E-3</v>
      </c>
    </row>
    <row r="2189" spans="24:28" x14ac:dyDescent="0.2">
      <c r="X2189" s="176" t="str">
        <f t="shared" si="67"/>
        <v>1w</v>
      </c>
      <c r="Y2189" s="164">
        <f>_xll.qlCalendarAdvance(Calendar,Y2188,X2189,"f",FALSE)</f>
        <v>54435</v>
      </c>
      <c r="Z2189" s="188">
        <f>_xll.qlCalendarAdvance(Calendar,Y2189,NDays&amp;"D")</f>
        <v>54437</v>
      </c>
      <c r="AA2189" s="163">
        <v>9.9881363630278941E-3</v>
      </c>
      <c r="AB2189" s="172">
        <v>9.9730619021531908E-3</v>
      </c>
    </row>
    <row r="2190" spans="24:28" x14ac:dyDescent="0.2">
      <c r="X2190" s="176" t="str">
        <f t="shared" si="67"/>
        <v>1w</v>
      </c>
      <c r="Y2190" s="164">
        <f>_xll.qlCalendarAdvance(Calendar,Y2189,X2190,"f",FALSE)</f>
        <v>54442</v>
      </c>
      <c r="Z2190" s="188">
        <f>_xll.qlCalendarAdvance(Calendar,Y2190,NDays&amp;"D")</f>
        <v>54444</v>
      </c>
      <c r="AA2190" s="163">
        <v>9.9873969696826683E-3</v>
      </c>
      <c r="AB2190" s="172">
        <v>9.9722581319028336E-3</v>
      </c>
    </row>
    <row r="2191" spans="24:28" x14ac:dyDescent="0.2">
      <c r="X2191" s="176" t="str">
        <f t="shared" si="67"/>
        <v>1w</v>
      </c>
      <c r="Y2191" s="164">
        <f>_xll.qlCalendarAdvance(Calendar,Y2190,X2191,"f",FALSE)</f>
        <v>54449</v>
      </c>
      <c r="Z2191" s="188">
        <f>_xll.qlCalendarAdvance(Calendar,Y2191,NDays&amp;"D")</f>
        <v>54451</v>
      </c>
      <c r="AA2191" s="163">
        <v>9.9866628958877705E-3</v>
      </c>
      <c r="AB2191" s="172">
        <v>9.9714596546185419E-3</v>
      </c>
    </row>
    <row r="2192" spans="24:28" x14ac:dyDescent="0.2">
      <c r="X2192" s="176" t="str">
        <f t="shared" si="67"/>
        <v>1w</v>
      </c>
      <c r="Y2192" s="164">
        <f>_xll.qlCalendarAdvance(Calendar,Y2191,X2192,"f",FALSE)</f>
        <v>54456</v>
      </c>
      <c r="Z2192" s="188">
        <f>_xll.qlCalendarAdvance(Calendar,Y2192,NDays&amp;"D")</f>
        <v>54458</v>
      </c>
      <c r="AA2192" s="163">
        <v>9.9859341416365707E-3</v>
      </c>
      <c r="AB2192" s="172">
        <v>9.9706664700605074E-3</v>
      </c>
    </row>
    <row r="2193" spans="24:28" x14ac:dyDescent="0.2">
      <c r="X2193" s="176" t="str">
        <f t="shared" si="67"/>
        <v>1w</v>
      </c>
      <c r="Y2193" s="164">
        <f>_xll.qlCalendarAdvance(Calendar,Y2192,X2193,"f",FALSE)</f>
        <v>54463</v>
      </c>
      <c r="Z2193" s="188">
        <f>_xll.qlCalendarAdvance(Calendar,Y2193,NDays&amp;"D")</f>
        <v>54465</v>
      </c>
      <c r="AA2193" s="163">
        <v>9.9852107069228896E-3</v>
      </c>
      <c r="AB2193" s="172">
        <v>9.9698785783886024E-3</v>
      </c>
    </row>
    <row r="2194" spans="24:28" x14ac:dyDescent="0.2">
      <c r="X2194" s="176" t="str">
        <f t="shared" si="67"/>
        <v>1w</v>
      </c>
      <c r="Y2194" s="164">
        <f>_xll.qlCalendarAdvance(Calendar,Y2193,X2194,"f",FALSE)</f>
        <v>54470</v>
      </c>
      <c r="Z2194" s="188">
        <f>_xll.qlCalendarAdvance(Calendar,Y2194,NDays&amp;"D")</f>
        <v>54472</v>
      </c>
      <c r="AA2194" s="163">
        <v>9.9844925917409854E-3</v>
      </c>
      <c r="AB2194" s="172">
        <v>9.9690959795228906E-3</v>
      </c>
    </row>
    <row r="2195" spans="24:28" x14ac:dyDescent="0.2">
      <c r="X2195" s="176" t="str">
        <f t="shared" si="67"/>
        <v>1w</v>
      </c>
      <c r="Y2195" s="164">
        <f>_xll.qlCalendarAdvance(Calendar,Y2194,X2195,"f",FALSE)</f>
        <v>54477</v>
      </c>
      <c r="Z2195" s="188">
        <f>_xll.qlCalendarAdvance(Calendar,Y2195,NDays&amp;"D")</f>
        <v>54479</v>
      </c>
      <c r="AA2195" s="163">
        <v>9.9837797960859991E-3</v>
      </c>
      <c r="AB2195" s="172">
        <v>9.9683186736232443E-3</v>
      </c>
    </row>
    <row r="2196" spans="24:28" x14ac:dyDescent="0.2">
      <c r="X2196" s="176" t="str">
        <f t="shared" si="67"/>
        <v>1w</v>
      </c>
      <c r="Y2196" s="164">
        <f>_xll.qlCalendarAdvance(Calendar,Y2195,X2196,"f",FALSE)</f>
        <v>54484</v>
      </c>
      <c r="Z2196" s="188">
        <f>_xll.qlCalendarAdvance(Calendar,Y2196,NDays&amp;"D")</f>
        <v>54486</v>
      </c>
      <c r="AA2196" s="163">
        <v>9.9835201776908161E-3</v>
      </c>
      <c r="AB2196" s="172">
        <v>9.9675466605297913E-3</v>
      </c>
    </row>
    <row r="2197" spans="24:28" x14ac:dyDescent="0.2">
      <c r="X2197" s="176" t="str">
        <f t="shared" ref="X2197:X2260" si="68">X2196</f>
        <v>1w</v>
      </c>
      <c r="Y2197" s="164">
        <f>_xll.qlCalendarAdvance(Calendar,Y2196,X2197,"f",FALSE)</f>
        <v>54491</v>
      </c>
      <c r="Z2197" s="188">
        <f>_xll.qlCalendarAdvance(Calendar,Y2197,NDays&amp;"D")</f>
        <v>54493</v>
      </c>
      <c r="AA2197" s="163">
        <v>9.9828198240417641E-3</v>
      </c>
      <c r="AB2197" s="172">
        <v>9.9667799401625956E-3</v>
      </c>
    </row>
    <row r="2198" spans="24:28" x14ac:dyDescent="0.2">
      <c r="X2198" s="176" t="str">
        <f t="shared" si="68"/>
        <v>1w</v>
      </c>
      <c r="Y2198" s="164">
        <f>_xll.qlCalendarAdvance(Calendar,Y2197,X2198,"f",FALSE)</f>
        <v>54498</v>
      </c>
      <c r="Z2198" s="188">
        <f>_xll.qlCalendarAdvance(Calendar,Y2198,NDays&amp;"D")</f>
        <v>54500</v>
      </c>
      <c r="AA2198" s="163">
        <v>9.9821247906427563E-3</v>
      </c>
      <c r="AB2198" s="172">
        <v>9.9660185127614653E-3</v>
      </c>
    </row>
    <row r="2199" spans="24:28" x14ac:dyDescent="0.2">
      <c r="X2199" s="176" t="str">
        <f t="shared" si="68"/>
        <v>1w</v>
      </c>
      <c r="Y2199" s="164">
        <f>_xll.qlCalendarAdvance(Calendar,Y2198,X2199,"f",FALSE)</f>
        <v>54505</v>
      </c>
      <c r="Z2199" s="188">
        <f>_xll.qlCalendarAdvance(Calendar,Y2199,NDays&amp;"D")</f>
        <v>54507</v>
      </c>
      <c r="AA2199" s="163">
        <v>9.9814350774877821E-3</v>
      </c>
      <c r="AB2199" s="172">
        <v>9.9652623781665284E-3</v>
      </c>
    </row>
    <row r="2200" spans="24:28" x14ac:dyDescent="0.2">
      <c r="X2200" s="176" t="str">
        <f t="shared" si="68"/>
        <v>1w</v>
      </c>
      <c r="Y2200" s="164">
        <f>_xll.qlCalendarAdvance(Calendar,Y2199,X2200,"f",FALSE)</f>
        <v>54512</v>
      </c>
      <c r="Z2200" s="188">
        <f>_xll.qlCalendarAdvance(Calendar,Y2200,NDays&amp;"D")</f>
        <v>54514</v>
      </c>
      <c r="AA2200" s="163">
        <v>9.9804775317385592E-3</v>
      </c>
      <c r="AB2200" s="172">
        <v>9.9645115364577208E-3</v>
      </c>
    </row>
    <row r="2201" spans="24:28" x14ac:dyDescent="0.2">
      <c r="X2201" s="176" t="str">
        <f t="shared" si="68"/>
        <v>1w</v>
      </c>
      <c r="Y2201" s="164">
        <f>_xll.qlCalendarAdvance(Calendar,Y2200,X2201,"f",FALSE)</f>
        <v>54519</v>
      </c>
      <c r="Z2201" s="188">
        <f>_xll.qlCalendarAdvance(Calendar,Y2201,NDays&amp;"D")</f>
        <v>54521</v>
      </c>
      <c r="AA2201" s="163">
        <v>9.9797973754339481E-3</v>
      </c>
      <c r="AB2201" s="172">
        <v>9.9637659875551066E-3</v>
      </c>
    </row>
    <row r="2202" spans="24:28" x14ac:dyDescent="0.2">
      <c r="X2202" s="176" t="str">
        <f t="shared" si="68"/>
        <v>1w</v>
      </c>
      <c r="Y2202" s="164">
        <f>_xll.qlCalendarAdvance(Calendar,Y2201,X2202,"f",FALSE)</f>
        <v>54526</v>
      </c>
      <c r="Z2202" s="188">
        <f>_xll.qlCalendarAdvance(Calendar,Y2202,NDays&amp;"D")</f>
        <v>54528</v>
      </c>
      <c r="AA2202" s="163">
        <v>9.979122538912857E-3</v>
      </c>
      <c r="AB2202" s="172">
        <v>9.9633667568745921E-3</v>
      </c>
    </row>
    <row r="2203" spans="24:28" x14ac:dyDescent="0.2">
      <c r="X2203" s="176" t="str">
        <f t="shared" si="68"/>
        <v>1w</v>
      </c>
      <c r="Y2203" s="164">
        <f>_xll.qlCalendarAdvance(Calendar,Y2202,X2203,"f",FALSE)</f>
        <v>54533</v>
      </c>
      <c r="Z2203" s="188">
        <f>_xll.qlCalendarAdvance(Calendar,Y2203,NDays&amp;"D")</f>
        <v>54535</v>
      </c>
      <c r="AA2203" s="163">
        <v>9.9784530221696099E-3</v>
      </c>
      <c r="AB2203" s="172">
        <v>9.9622907684882023E-3</v>
      </c>
    </row>
    <row r="2204" spans="24:28" x14ac:dyDescent="0.2">
      <c r="X2204" s="176" t="str">
        <f t="shared" si="68"/>
        <v>1w</v>
      </c>
      <c r="Y2204" s="164">
        <f>_xll.qlCalendarAdvance(Calendar,Y2203,X2204,"f",FALSE)</f>
        <v>54540</v>
      </c>
      <c r="Z2204" s="188">
        <f>_xll.qlCalendarAdvance(Calendar,Y2204,NDays&amp;"D")</f>
        <v>54542</v>
      </c>
      <c r="AA2204" s="163">
        <v>9.9777888251985254E-3</v>
      </c>
      <c r="AB2204" s="172">
        <v>9.9615610980841041E-3</v>
      </c>
    </row>
    <row r="2205" spans="24:28" x14ac:dyDescent="0.2">
      <c r="X2205" s="176" t="str">
        <f t="shared" si="68"/>
        <v>1w</v>
      </c>
      <c r="Y2205" s="164">
        <f>_xll.qlCalendarAdvance(Calendar,Y2204,X2205,"f",FALSE)</f>
        <v>54547</v>
      </c>
      <c r="Z2205" s="188">
        <f>_xll.qlCalendarAdvance(Calendar,Y2205,NDays&amp;"D")</f>
        <v>54549</v>
      </c>
      <c r="AA2205" s="163">
        <v>9.9774085233718425E-3</v>
      </c>
      <c r="AB2205" s="172">
        <v>9.9608367206460713E-3</v>
      </c>
    </row>
    <row r="2206" spans="24:28" x14ac:dyDescent="0.2">
      <c r="X2206" s="176" t="str">
        <f t="shared" si="68"/>
        <v>1w</v>
      </c>
      <c r="Y2206" s="164">
        <f>_xll.qlCalendarAdvance(Calendar,Y2205,X2206,"f",FALSE)</f>
        <v>54554</v>
      </c>
      <c r="Z2206" s="188">
        <f>_xll.qlCalendarAdvance(Calendar,Y2206,NDays&amp;"D")</f>
        <v>54556</v>
      </c>
      <c r="AA2206" s="163">
        <v>9.9767560517703639E-3</v>
      </c>
      <c r="AB2206" s="172">
        <v>9.9601176359342958E-3</v>
      </c>
    </row>
    <row r="2207" spans="24:28" x14ac:dyDescent="0.2">
      <c r="X2207" s="176" t="str">
        <f t="shared" si="68"/>
        <v>1w</v>
      </c>
      <c r="Y2207" s="164">
        <f>_xll.qlCalendarAdvance(Calendar,Y2206,X2207,"f",FALSE)</f>
        <v>54561</v>
      </c>
      <c r="Z2207" s="188">
        <f>_xll.qlCalendarAdvance(Calendar,Y2207,NDays&amp;"D")</f>
        <v>54563</v>
      </c>
      <c r="AA2207" s="163">
        <v>9.9761089003682201E-3</v>
      </c>
      <c r="AB2207" s="172">
        <v>9.9594038441885857E-3</v>
      </c>
    </row>
    <row r="2208" spans="24:28" x14ac:dyDescent="0.2">
      <c r="X2208" s="176" t="str">
        <f t="shared" si="68"/>
        <v>1w</v>
      </c>
      <c r="Y2208" s="164">
        <f>_xll.qlCalendarAdvance(Calendar,Y2207,X2208,"f",FALSE)</f>
        <v>54568</v>
      </c>
      <c r="Z2208" s="188">
        <f>_xll.qlCalendarAdvance(Calendar,Y2208,NDays&amp;"D")</f>
        <v>54570</v>
      </c>
      <c r="AA2208" s="163">
        <v>9.9754670691611126E-3</v>
      </c>
      <c r="AB2208" s="172">
        <v>9.958695345249069E-3</v>
      </c>
    </row>
    <row r="2209" spans="24:28" x14ac:dyDescent="0.2">
      <c r="X2209" s="176" t="str">
        <f t="shared" si="68"/>
        <v>1w</v>
      </c>
      <c r="Y2209" s="164">
        <f>_xll.qlCalendarAdvance(Calendar,Y2208,X2209,"f",FALSE)</f>
        <v>54575</v>
      </c>
      <c r="Z2209" s="188">
        <f>_xll.qlCalendarAdvance(Calendar,Y2209,NDays&amp;"D")</f>
        <v>54577</v>
      </c>
      <c r="AA2209" s="163">
        <v>9.9745476367442843E-3</v>
      </c>
      <c r="AB2209" s="172">
        <v>9.9579921391956816E-3</v>
      </c>
    </row>
    <row r="2210" spans="24:28" x14ac:dyDescent="0.2">
      <c r="X2210" s="176" t="str">
        <f t="shared" si="68"/>
        <v>1w</v>
      </c>
      <c r="Y2210" s="164">
        <f>_xll.qlCalendarAdvance(Calendar,Y2209,X2210,"f",FALSE)</f>
        <v>54582</v>
      </c>
      <c r="Z2210" s="188">
        <f>_xll.qlCalendarAdvance(Calendar,Y2210,NDays&amp;"D")</f>
        <v>54584</v>
      </c>
      <c r="AA2210" s="163">
        <v>9.9739153582969805E-3</v>
      </c>
      <c r="AB2210" s="172">
        <v>9.9572942260284236E-3</v>
      </c>
    </row>
    <row r="2211" spans="24:28" x14ac:dyDescent="0.2">
      <c r="X2211" s="176" t="str">
        <f t="shared" si="68"/>
        <v>1w</v>
      </c>
      <c r="Y2211" s="164">
        <f>_xll.qlCalendarAdvance(Calendar,Y2210,X2211,"f",FALSE)</f>
        <v>54589</v>
      </c>
      <c r="Z2211" s="188">
        <f>_xll.qlCalendarAdvance(Calendar,Y2211,NDays&amp;"D")</f>
        <v>54591</v>
      </c>
      <c r="AA2211" s="163">
        <v>9.9732883995855854E-3</v>
      </c>
      <c r="AB2211" s="172">
        <v>9.9566016055074869E-3</v>
      </c>
    </row>
    <row r="2212" spans="24:28" x14ac:dyDescent="0.2">
      <c r="X2212" s="176" t="str">
        <f t="shared" si="68"/>
        <v>1w</v>
      </c>
      <c r="Y2212" s="164">
        <f>_xll.qlCalendarAdvance(Calendar,Y2211,X2212,"f",FALSE)</f>
        <v>54596</v>
      </c>
      <c r="Z2212" s="188">
        <f>_xll.qlCalendarAdvance(Calendar,Y2212,NDays&amp;"D")</f>
        <v>54598</v>
      </c>
      <c r="AA2212" s="163">
        <v>9.9726667606048567E-3</v>
      </c>
      <c r="AB2212" s="172">
        <v>9.9559142779526155E-3</v>
      </c>
    </row>
    <row r="2213" spans="24:28" x14ac:dyDescent="0.2">
      <c r="X2213" s="176" t="str">
        <f t="shared" si="68"/>
        <v>1w</v>
      </c>
      <c r="Y2213" s="164">
        <f>_xll.qlCalendarAdvance(Calendar,Y2212,X2213,"f",FALSE)</f>
        <v>54603</v>
      </c>
      <c r="Z2213" s="188">
        <f>_xll.qlCalendarAdvance(Calendar,Y2213,NDays&amp;"D")</f>
        <v>54605</v>
      </c>
      <c r="AA2213" s="163">
        <v>9.9723377158637602E-3</v>
      </c>
      <c r="AB2213" s="172">
        <v>9.9552322433638096E-3</v>
      </c>
    </row>
    <row r="2214" spans="24:28" x14ac:dyDescent="0.2">
      <c r="X2214" s="176" t="str">
        <f t="shared" si="68"/>
        <v>1w</v>
      </c>
      <c r="Y2214" s="164">
        <f>_xll.qlCalendarAdvance(Calendar,Y2213,X2214,"f",FALSE)</f>
        <v>54610</v>
      </c>
      <c r="Z2214" s="188">
        <f>_xll.qlCalendarAdvance(Calendar,Y2214,NDays&amp;"D")</f>
        <v>54612</v>
      </c>
      <c r="AA2214" s="163">
        <v>9.9717278057168558E-3</v>
      </c>
      <c r="AB2214" s="172">
        <v>9.954555501501261E-3</v>
      </c>
    </row>
    <row r="2215" spans="24:28" x14ac:dyDescent="0.2">
      <c r="X2215" s="176" t="str">
        <f t="shared" si="68"/>
        <v>1w</v>
      </c>
      <c r="Y2215" s="164">
        <f>_xll.qlCalendarAdvance(Calendar,Y2214,X2215,"f",FALSE)</f>
        <v>54617</v>
      </c>
      <c r="Z2215" s="188">
        <f>_xll.qlCalendarAdvance(Calendar,Y2215,NDays&amp;"D")</f>
        <v>54619</v>
      </c>
      <c r="AA2215" s="163">
        <v>9.9711232157276009E-3</v>
      </c>
      <c r="AB2215" s="172">
        <v>9.9538840524449057E-3</v>
      </c>
    </row>
    <row r="2216" spans="24:28" x14ac:dyDescent="0.2">
      <c r="X2216" s="176" t="str">
        <f t="shared" si="68"/>
        <v>1w</v>
      </c>
      <c r="Y2216" s="164">
        <f>_xll.qlCalendarAdvance(Calendar,Y2215,X2216,"f",FALSE)</f>
        <v>54624</v>
      </c>
      <c r="Z2216" s="188">
        <f>_xll.qlCalendarAdvance(Calendar,Y2216,NDays&amp;"D")</f>
        <v>54626</v>
      </c>
      <c r="AA2216" s="163">
        <v>9.970523945892984E-3</v>
      </c>
      <c r="AB2216" s="172">
        <v>9.9532178962746798E-3</v>
      </c>
    </row>
    <row r="2217" spans="24:28" x14ac:dyDescent="0.2">
      <c r="X2217" s="176" t="str">
        <f t="shared" si="68"/>
        <v>1w</v>
      </c>
      <c r="Y2217" s="164">
        <f>_xll.qlCalendarAdvance(Calendar,Y2216,X2217,"f",FALSE)</f>
        <v>54631</v>
      </c>
      <c r="Z2217" s="188">
        <f>_xll.qlCalendarAdvance(Calendar,Y2217,NDays&amp;"D")</f>
        <v>54633</v>
      </c>
      <c r="AA2217" s="163">
        <v>9.9699299962065623E-3</v>
      </c>
      <c r="AB2217" s="172">
        <v>9.9525570330705193E-3</v>
      </c>
    </row>
    <row r="2218" spans="24:28" x14ac:dyDescent="0.2">
      <c r="X2218" s="176" t="str">
        <f t="shared" si="68"/>
        <v>1w</v>
      </c>
      <c r="Y2218" s="164">
        <f>_xll.qlCalendarAdvance(Calendar,Y2217,X2218,"f",FALSE)</f>
        <v>54638</v>
      </c>
      <c r="Z2218" s="188">
        <f>_xll.qlCalendarAdvance(Calendar,Y2218,NDays&amp;"D")</f>
        <v>54640</v>
      </c>
      <c r="AA2218" s="163">
        <v>9.969341366664464E-3</v>
      </c>
      <c r="AB2218" s="172">
        <v>9.95190146251268E-3</v>
      </c>
    </row>
    <row r="2219" spans="24:28" x14ac:dyDescent="0.2">
      <c r="X2219" s="176" t="str">
        <f t="shared" si="68"/>
        <v>1w</v>
      </c>
      <c r="Y2219" s="164">
        <f>_xll.qlCalendarAdvance(Calendar,Y2218,X2219,"f",FALSE)</f>
        <v>54645</v>
      </c>
      <c r="Z2219" s="188">
        <f>_xll.qlCalendarAdvance(Calendar,Y2219,NDays&amp;"D")</f>
        <v>54647</v>
      </c>
      <c r="AA2219" s="163">
        <v>9.9687580572619637E-3</v>
      </c>
      <c r="AB2219" s="172">
        <v>9.9512511849209062E-3</v>
      </c>
    </row>
    <row r="2220" spans="24:28" x14ac:dyDescent="0.2">
      <c r="X2220" s="176" t="str">
        <f t="shared" si="68"/>
        <v>1w</v>
      </c>
      <c r="Y2220" s="164">
        <f>_xll.qlCalendarAdvance(Calendar,Y2219,X2220,"f",FALSE)</f>
        <v>54652</v>
      </c>
      <c r="Z2220" s="188">
        <f>_xll.qlCalendarAdvance(Calendar,Y2220,NDays&amp;"D")</f>
        <v>54654</v>
      </c>
      <c r="AA2220" s="163">
        <v>9.968180067993904E-3</v>
      </c>
      <c r="AB2220" s="172">
        <v>9.9506062002152618E-3</v>
      </c>
    </row>
    <row r="2221" spans="24:28" x14ac:dyDescent="0.2">
      <c r="X2221" s="176" t="str">
        <f t="shared" si="68"/>
        <v>1w</v>
      </c>
      <c r="Y2221" s="164">
        <f>_xll.qlCalendarAdvance(Calendar,Y2220,X2221,"f",FALSE)</f>
        <v>54659</v>
      </c>
      <c r="Z2221" s="188">
        <f>_xll.qlCalendarAdvance(Calendar,Y2221,NDays&amp;"D")</f>
        <v>54661</v>
      </c>
      <c r="AA2221" s="163">
        <v>9.9676073988555578E-3</v>
      </c>
      <c r="AB2221" s="172">
        <v>9.9499665083158106E-3</v>
      </c>
    </row>
    <row r="2222" spans="24:28" x14ac:dyDescent="0.2">
      <c r="X2222" s="176" t="str">
        <f t="shared" si="68"/>
        <v>1w</v>
      </c>
      <c r="Y2222" s="164">
        <f>_xll.qlCalendarAdvance(Calendar,Y2221,X2222,"f",FALSE)</f>
        <v>54666</v>
      </c>
      <c r="Z2222" s="188">
        <f>_xll.qlCalendarAdvance(Calendar,Y2222,NDays&amp;"D")</f>
        <v>54668</v>
      </c>
      <c r="AA2222" s="163">
        <v>9.9665450745461386E-3</v>
      </c>
      <c r="AB2222" s="172">
        <v>9.9493321093024889E-3</v>
      </c>
    </row>
    <row r="2223" spans="24:28" x14ac:dyDescent="0.2">
      <c r="X2223" s="176" t="str">
        <f t="shared" si="68"/>
        <v>1w</v>
      </c>
      <c r="Y2223" s="164">
        <f>_xll.qlCalendarAdvance(Calendar,Y2222,X2223,"f",FALSE)</f>
        <v>54673</v>
      </c>
      <c r="Z2223" s="188">
        <f>_xll.qlCalendarAdvance(Calendar,Y2223,NDays&amp;"D")</f>
        <v>54675</v>
      </c>
      <c r="AA2223" s="163">
        <v>9.9659812234715768E-3</v>
      </c>
      <c r="AB2223" s="172">
        <v>9.9487030030953605E-3</v>
      </c>
    </row>
    <row r="2224" spans="24:28" x14ac:dyDescent="0.2">
      <c r="X2224" s="176" t="str">
        <f t="shared" si="68"/>
        <v>1w</v>
      </c>
      <c r="Y2224" s="164">
        <f>_xll.qlCalendarAdvance(Calendar,Y2223,X2224,"f",FALSE)</f>
        <v>54680</v>
      </c>
      <c r="Z2224" s="188">
        <f>_xll.qlCalendarAdvance(Calendar,Y2224,NDays&amp;"D")</f>
        <v>54682</v>
      </c>
      <c r="AA2224" s="163">
        <v>9.9654226917755464E-3</v>
      </c>
      <c r="AB2224" s="172">
        <v>9.9480791897743615E-3</v>
      </c>
    </row>
    <row r="2225" spans="24:28" x14ac:dyDescent="0.2">
      <c r="X2225" s="176" t="str">
        <f t="shared" si="68"/>
        <v>1w</v>
      </c>
      <c r="Y2225" s="164">
        <f>_xll.qlCalendarAdvance(Calendar,Y2224,X2225,"f",FALSE)</f>
        <v>54687</v>
      </c>
      <c r="Z2225" s="188">
        <f>_xll.qlCalendarAdvance(Calendar,Y2225,NDays&amp;"D")</f>
        <v>54689</v>
      </c>
      <c r="AA2225" s="163">
        <v>9.9648694794540697E-3</v>
      </c>
      <c r="AB2225" s="172">
        <v>9.9474606692595557E-3</v>
      </c>
    </row>
    <row r="2226" spans="24:28" x14ac:dyDescent="0.2">
      <c r="X2226" s="176" t="str">
        <f t="shared" si="68"/>
        <v>1w</v>
      </c>
      <c r="Y2226" s="164">
        <f>_xll.qlCalendarAdvance(Calendar,Y2225,X2226,"f",FALSE)</f>
        <v>54694</v>
      </c>
      <c r="Z2226" s="188">
        <f>_xll.qlCalendarAdvance(Calendar,Y2226,NDays&amp;"D")</f>
        <v>54696</v>
      </c>
      <c r="AA2226" s="163">
        <v>9.9644216837851667E-3</v>
      </c>
      <c r="AB2226" s="172">
        <v>9.9468474414710073E-3</v>
      </c>
    </row>
    <row r="2227" spans="24:28" x14ac:dyDescent="0.2">
      <c r="X2227" s="176" t="str">
        <f t="shared" si="68"/>
        <v>1w</v>
      </c>
      <c r="Y2227" s="164">
        <f>_xll.qlCalendarAdvance(Calendar,Y2226,X2227,"f",FALSE)</f>
        <v>54701</v>
      </c>
      <c r="Z2227" s="188">
        <f>_xll.qlCalendarAdvance(Calendar,Y2227,NDays&amp;"D")</f>
        <v>54703</v>
      </c>
      <c r="AA2227" s="163">
        <v>9.96387749368032E-3</v>
      </c>
      <c r="AB2227" s="172">
        <v>9.9462395067284604E-3</v>
      </c>
    </row>
    <row r="2228" spans="24:28" x14ac:dyDescent="0.2">
      <c r="X2228" s="176" t="str">
        <f t="shared" si="68"/>
        <v>1w</v>
      </c>
      <c r="Y2228" s="164">
        <f>_xll.qlCalendarAdvance(Calendar,Y2227,X2228,"f",FALSE)</f>
        <v>54708</v>
      </c>
      <c r="Z2228" s="188">
        <f>_xll.qlCalendarAdvance(Calendar,Y2228,NDays&amp;"D")</f>
        <v>54710</v>
      </c>
      <c r="AA2228" s="163">
        <v>9.9633352262230076E-3</v>
      </c>
      <c r="AB2228" s="172">
        <v>9.9456368647921067E-3</v>
      </c>
    </row>
    <row r="2229" spans="24:28" x14ac:dyDescent="0.2">
      <c r="X2229" s="176" t="str">
        <f t="shared" si="68"/>
        <v>1w</v>
      </c>
      <c r="Y2229" s="164">
        <f>_xll.qlCalendarAdvance(Calendar,Y2228,X2229,"f",FALSE)</f>
        <v>54715</v>
      </c>
      <c r="Z2229" s="188">
        <f>_xll.qlCalendarAdvance(Calendar,Y2229,NDays&amp;"D")</f>
        <v>54717</v>
      </c>
      <c r="AA2229" s="163">
        <v>9.9627931829819466E-3</v>
      </c>
      <c r="AB2229" s="172">
        <v>9.9450395156619464E-3</v>
      </c>
    </row>
    <row r="2230" spans="24:28" x14ac:dyDescent="0.2">
      <c r="X2230" s="176" t="str">
        <f t="shared" si="68"/>
        <v>1w</v>
      </c>
      <c r="Y2230" s="164">
        <f>_xll.qlCalendarAdvance(Calendar,Y2229,X2230,"f",FALSE)</f>
        <v>54722</v>
      </c>
      <c r="Z2230" s="188">
        <f>_xll.qlCalendarAdvance(Calendar,Y2230,NDays&amp;"D")</f>
        <v>54724</v>
      </c>
      <c r="AA2230" s="163">
        <v>9.9622496655276064E-3</v>
      </c>
      <c r="AB2230" s="172">
        <v>9.9444474594179155E-3</v>
      </c>
    </row>
    <row r="2231" spans="24:28" x14ac:dyDescent="0.2">
      <c r="X2231" s="176" t="str">
        <f t="shared" si="68"/>
        <v>1w</v>
      </c>
      <c r="Y2231" s="164">
        <f>_xll.qlCalendarAdvance(Calendar,Y2230,X2231,"f",FALSE)</f>
        <v>54729</v>
      </c>
      <c r="Z2231" s="188">
        <f>_xll.qlCalendarAdvance(Calendar,Y2231,NDays&amp;"D")</f>
        <v>54731</v>
      </c>
      <c r="AA2231" s="163">
        <v>9.9616047202370651E-3</v>
      </c>
      <c r="AB2231" s="172">
        <v>9.9438606959800779E-3</v>
      </c>
    </row>
    <row r="2232" spans="24:28" x14ac:dyDescent="0.2">
      <c r="X2232" s="176" t="str">
        <f t="shared" si="68"/>
        <v>1w</v>
      </c>
      <c r="Y2232" s="164">
        <f>_xll.qlCalendarAdvance(Calendar,Y2231,X2232,"f",FALSE)</f>
        <v>54736</v>
      </c>
      <c r="Z2232" s="188">
        <f>_xll.qlCalendarAdvance(Calendar,Y2232,NDays&amp;"D")</f>
        <v>54738</v>
      </c>
      <c r="AA2232" s="163">
        <v>9.9610541640843542E-3</v>
      </c>
      <c r="AB2232" s="172">
        <v>9.9432792254283697E-3</v>
      </c>
    </row>
    <row r="2233" spans="24:28" x14ac:dyDescent="0.2">
      <c r="X2233" s="176" t="str">
        <f t="shared" si="68"/>
        <v>1w</v>
      </c>
      <c r="Y2233" s="164">
        <f>_xll.qlCalendarAdvance(Calendar,Y2232,X2233,"f",FALSE)</f>
        <v>54743</v>
      </c>
      <c r="Z2233" s="188">
        <f>_xll.qlCalendarAdvance(Calendar,Y2233,NDays&amp;"D")</f>
        <v>54745</v>
      </c>
      <c r="AA2233" s="163">
        <v>9.9604972169024999E-3</v>
      </c>
      <c r="AB2233" s="172">
        <v>9.9427030476029188E-3</v>
      </c>
    </row>
    <row r="2234" spans="24:28" x14ac:dyDescent="0.2">
      <c r="X2234" s="176" t="str">
        <f t="shared" si="68"/>
        <v>1w</v>
      </c>
      <c r="Y2234" s="164">
        <f>_xll.qlCalendarAdvance(Calendar,Y2233,X2234,"f",FALSE)</f>
        <v>54750</v>
      </c>
      <c r="Z2234" s="188">
        <f>_xll.qlCalendarAdvance(Calendar,Y2234,NDays&amp;"D")</f>
        <v>54752</v>
      </c>
      <c r="AA2234" s="163">
        <v>9.9599321709318237E-3</v>
      </c>
      <c r="AB2234" s="172">
        <v>9.9421321627435333E-3</v>
      </c>
    </row>
    <row r="2235" spans="24:28" x14ac:dyDescent="0.2">
      <c r="X2235" s="176" t="str">
        <f t="shared" si="68"/>
        <v>1w</v>
      </c>
      <c r="Y2235" s="164">
        <f>_xll.qlCalendarAdvance(Calendar,Y2234,X2235,"f",FALSE)</f>
        <v>54757</v>
      </c>
      <c r="Z2235" s="188">
        <f>_xll.qlCalendarAdvance(Calendar,Y2235,NDays&amp;"D")</f>
        <v>54759</v>
      </c>
      <c r="AA2235" s="163">
        <v>9.9594505201338925E-3</v>
      </c>
      <c r="AB2235" s="172">
        <v>9.9415665707702772E-3</v>
      </c>
    </row>
    <row r="2236" spans="24:28" x14ac:dyDescent="0.2">
      <c r="X2236" s="176" t="str">
        <f t="shared" si="68"/>
        <v>1w</v>
      </c>
      <c r="Y2236" s="164">
        <f>_xll.qlCalendarAdvance(Calendar,Y2235,X2236,"f",FALSE)</f>
        <v>54764</v>
      </c>
      <c r="Z2236" s="188">
        <f>_xll.qlCalendarAdvance(Calendar,Y2236,NDays&amp;"D")</f>
        <v>54766</v>
      </c>
      <c r="AA2236" s="163">
        <v>9.9588624904755202E-3</v>
      </c>
      <c r="AB2236" s="172">
        <v>9.9410062716032144E-3</v>
      </c>
    </row>
    <row r="2237" spans="24:28" x14ac:dyDescent="0.2">
      <c r="X2237" s="176" t="str">
        <f t="shared" si="68"/>
        <v>1w</v>
      </c>
      <c r="Y2237" s="164">
        <f>_xll.qlCalendarAdvance(Calendar,Y2236,X2237,"f",FALSE)</f>
        <v>54771</v>
      </c>
      <c r="Z2237" s="188">
        <f>_xll.qlCalendarAdvance(Calendar,Y2237,NDays&amp;"D")</f>
        <v>54773</v>
      </c>
      <c r="AA2237" s="163">
        <v>9.9582610976476759E-3</v>
      </c>
      <c r="AB2237" s="172">
        <v>9.940451265322281E-3</v>
      </c>
    </row>
    <row r="2238" spans="24:28" x14ac:dyDescent="0.2">
      <c r="X2238" s="176" t="str">
        <f t="shared" si="68"/>
        <v>1w</v>
      </c>
      <c r="Y2238" s="164">
        <f>_xll.qlCalendarAdvance(Calendar,Y2237,X2238,"f",FALSE)</f>
        <v>54778</v>
      </c>
      <c r="Z2238" s="188">
        <f>_xll.qlCalendarAdvance(Calendar,Y2238,NDays&amp;"D")</f>
        <v>54780</v>
      </c>
      <c r="AA2238" s="163">
        <v>9.9576446432375204E-3</v>
      </c>
      <c r="AB2238" s="172">
        <v>9.9399015517676048E-3</v>
      </c>
    </row>
    <row r="2239" spans="24:28" x14ac:dyDescent="0.2">
      <c r="X2239" s="176" t="str">
        <f t="shared" si="68"/>
        <v>1w</v>
      </c>
      <c r="Y2239" s="164">
        <f>_xll.qlCalendarAdvance(Calendar,Y2238,X2239,"f",FALSE)</f>
        <v>54785</v>
      </c>
      <c r="Z2239" s="188">
        <f>_xll.qlCalendarAdvance(Calendar,Y2239,NDays&amp;"D")</f>
        <v>54787</v>
      </c>
      <c r="AA2239" s="163">
        <v>9.9570114288330923E-3</v>
      </c>
      <c r="AB2239" s="172">
        <v>9.9393571311789941E-3</v>
      </c>
    </row>
    <row r="2240" spans="24:28" x14ac:dyDescent="0.2">
      <c r="X2240" s="176" t="str">
        <f t="shared" si="68"/>
        <v>1w</v>
      </c>
      <c r="Y2240" s="164">
        <f>_xll.qlCalendarAdvance(Calendar,Y2239,X2240,"f",FALSE)</f>
        <v>54792</v>
      </c>
      <c r="Z2240" s="188">
        <f>_xll.qlCalendarAdvance(Calendar,Y2240,NDays&amp;"D")</f>
        <v>54794</v>
      </c>
      <c r="AA2240" s="163">
        <v>9.9562761863175499E-3</v>
      </c>
      <c r="AB2240" s="172">
        <v>9.9388180033965767E-3</v>
      </c>
    </row>
    <row r="2241" spans="24:28" x14ac:dyDescent="0.2">
      <c r="X2241" s="176" t="str">
        <f t="shared" si="68"/>
        <v>1w</v>
      </c>
      <c r="Y2241" s="164">
        <f>_xll.qlCalendarAdvance(Calendar,Y2240,X2241,"f",FALSE)</f>
        <v>54799</v>
      </c>
      <c r="Z2241" s="188">
        <f>_xll.qlCalendarAdvance(Calendar,Y2241,NDays&amp;"D")</f>
        <v>54801</v>
      </c>
      <c r="AA2241" s="163">
        <v>9.9556066317585713E-3</v>
      </c>
      <c r="AB2241" s="172">
        <v>9.9382841684203527E-3</v>
      </c>
    </row>
    <row r="2242" spans="24:28" x14ac:dyDescent="0.2">
      <c r="X2242" s="176" t="str">
        <f t="shared" si="68"/>
        <v>1w</v>
      </c>
      <c r="Y2242" s="164">
        <f>_xll.qlCalendarAdvance(Calendar,Y2241,X2242,"f",FALSE)</f>
        <v>54806</v>
      </c>
      <c r="Z2242" s="188">
        <f>_xll.qlCalendarAdvance(Calendar,Y2242,NDays&amp;"D")</f>
        <v>54808</v>
      </c>
      <c r="AA2242" s="163">
        <v>9.9549153164203361E-3</v>
      </c>
      <c r="AB2242" s="172">
        <v>9.937755626330258E-3</v>
      </c>
    </row>
    <row r="2243" spans="24:28" x14ac:dyDescent="0.2">
      <c r="X2243" s="176" t="str">
        <f t="shared" si="68"/>
        <v>1w</v>
      </c>
      <c r="Y2243" s="164">
        <f>_xll.qlCalendarAdvance(Calendar,Y2242,X2243,"f",FALSE)</f>
        <v>54813</v>
      </c>
      <c r="Z2243" s="188">
        <f>_xll.qlCalendarAdvance(Calendar,Y2243,NDays&amp;"D")</f>
        <v>54815</v>
      </c>
      <c r="AA2243" s="163">
        <v>9.9542005325656893E-3</v>
      </c>
      <c r="AB2243" s="172">
        <v>9.9372323771262927E-3</v>
      </c>
    </row>
    <row r="2244" spans="24:28" x14ac:dyDescent="0.2">
      <c r="X2244" s="176" t="str">
        <f t="shared" si="68"/>
        <v>1w</v>
      </c>
      <c r="Y2244" s="164">
        <f>_xll.qlCalendarAdvance(Calendar,Y2243,X2244,"f",FALSE)</f>
        <v>54820</v>
      </c>
      <c r="Z2244" s="188">
        <f>_xll.qlCalendarAdvance(Calendar,Y2244,NDays&amp;"D")</f>
        <v>54822</v>
      </c>
      <c r="AA2244" s="163">
        <v>9.9534605724610082E-3</v>
      </c>
      <c r="AB2244" s="172">
        <v>9.9367144207285207E-3</v>
      </c>
    </row>
    <row r="2245" spans="24:28" x14ac:dyDescent="0.2">
      <c r="X2245" s="176" t="str">
        <f t="shared" si="68"/>
        <v>1w</v>
      </c>
      <c r="Y2245" s="164">
        <f>_xll.qlCalendarAdvance(Calendar,Y2244,X2245,"f",FALSE)</f>
        <v>54827</v>
      </c>
      <c r="Z2245" s="188">
        <f>_xll.qlCalendarAdvance(Calendar,Y2245,NDays&amp;"D")</f>
        <v>54829</v>
      </c>
      <c r="AA2245" s="163">
        <v>9.952693728376644E-3</v>
      </c>
      <c r="AB2245" s="172">
        <v>9.9362017571369421E-3</v>
      </c>
    </row>
    <row r="2246" spans="24:28" x14ac:dyDescent="0.2">
      <c r="X2246" s="176" t="str">
        <f t="shared" si="68"/>
        <v>1w</v>
      </c>
      <c r="Y2246" s="164">
        <f>_xll.qlCalendarAdvance(Calendar,Y2245,X2246,"f",FALSE)</f>
        <v>54834</v>
      </c>
      <c r="Z2246" s="188">
        <f>_xll.qlCalendarAdvance(Calendar,Y2246,NDays&amp;"D")</f>
        <v>54836</v>
      </c>
      <c r="AA2246" s="163">
        <v>9.9518982925860394E-3</v>
      </c>
      <c r="AB2246" s="172">
        <v>9.9356943864314928E-3</v>
      </c>
    </row>
    <row r="2247" spans="24:28" x14ac:dyDescent="0.2">
      <c r="X2247" s="176" t="str">
        <f t="shared" si="68"/>
        <v>1w</v>
      </c>
      <c r="Y2247" s="164">
        <f>_xll.qlCalendarAdvance(Calendar,Y2246,X2247,"f",FALSE)</f>
        <v>54841</v>
      </c>
      <c r="Z2247" s="188">
        <f>_xll.qlCalendarAdvance(Calendar,Y2247,NDays&amp;"D")</f>
        <v>54843</v>
      </c>
      <c r="AA2247" s="163">
        <v>9.9510725573661689E-3</v>
      </c>
      <c r="AB2247" s="172">
        <v>9.935192308612173E-3</v>
      </c>
    </row>
    <row r="2248" spans="24:28" x14ac:dyDescent="0.2">
      <c r="X2248" s="176" t="str">
        <f t="shared" si="68"/>
        <v>1w</v>
      </c>
      <c r="Y2248" s="164">
        <f>_xll.qlCalendarAdvance(Calendar,Y2247,X2248,"f",FALSE)</f>
        <v>54848</v>
      </c>
      <c r="Z2248" s="188">
        <f>_xll.qlCalendarAdvance(Calendar,Y2248,NDays&amp;"D")</f>
        <v>54850</v>
      </c>
      <c r="AA2248" s="163">
        <v>9.9505284016064149E-3</v>
      </c>
      <c r="AB2248" s="172">
        <v>9.9346955235191103E-3</v>
      </c>
    </row>
    <row r="2249" spans="24:28" x14ac:dyDescent="0.2">
      <c r="X2249" s="176" t="str">
        <f t="shared" si="68"/>
        <v>1w</v>
      </c>
      <c r="Y2249" s="164">
        <f>_xll.qlCalendarAdvance(Calendar,Y2248,X2249,"f",FALSE)</f>
        <v>54855</v>
      </c>
      <c r="Z2249" s="188">
        <f>_xll.qlCalendarAdvance(Calendar,Y2249,NDays&amp;"D")</f>
        <v>54857</v>
      </c>
      <c r="AA2249" s="163">
        <v>9.9496230942483048E-3</v>
      </c>
      <c r="AB2249" s="172">
        <v>9.9342040313921132E-3</v>
      </c>
    </row>
    <row r="2250" spans="24:28" x14ac:dyDescent="0.2">
      <c r="X2250" s="176" t="str">
        <f t="shared" si="68"/>
        <v>1w</v>
      </c>
      <c r="Y2250" s="164">
        <f>_xll.qlCalendarAdvance(Calendar,Y2249,X2250,"f",FALSE)</f>
        <v>54862</v>
      </c>
      <c r="Z2250" s="188">
        <f>_xll.qlCalendarAdvance(Calendar,Y2250,NDays&amp;"D")</f>
        <v>54864</v>
      </c>
      <c r="AA2250" s="163">
        <v>9.9486822676402853E-3</v>
      </c>
      <c r="AB2250" s="172">
        <v>9.9337178321512454E-3</v>
      </c>
    </row>
    <row r="2251" spans="24:28" x14ac:dyDescent="0.2">
      <c r="X2251" s="176" t="str">
        <f t="shared" si="68"/>
        <v>1w</v>
      </c>
      <c r="Y2251" s="164">
        <f>_xll.qlCalendarAdvance(Calendar,Y2250,X2251,"f",FALSE)</f>
        <v>54869</v>
      </c>
      <c r="Z2251" s="188">
        <f>_xll.qlCalendarAdvance(Calendar,Y2251,NDays&amp;"D")</f>
        <v>54871</v>
      </c>
      <c r="AA2251" s="163">
        <v>9.9477042597578644E-3</v>
      </c>
      <c r="AB2251" s="172">
        <v>9.9332367761562068E-3</v>
      </c>
    </row>
    <row r="2252" spans="24:28" x14ac:dyDescent="0.2">
      <c r="X2252" s="176" t="str">
        <f t="shared" si="68"/>
        <v>1w</v>
      </c>
      <c r="Y2252" s="164">
        <f>_xll.qlCalendarAdvance(Calendar,Y2251,X2252,"f",FALSE)</f>
        <v>54876</v>
      </c>
      <c r="Z2252" s="188">
        <f>_xll.qlCalendarAdvance(Calendar,Y2252,NDays&amp;"D")</f>
        <v>54878</v>
      </c>
      <c r="AA2252" s="163">
        <v>9.9465338161677935E-3</v>
      </c>
      <c r="AB2252" s="172">
        <v>9.9327360544521071E-3</v>
      </c>
    </row>
    <row r="2253" spans="24:28" x14ac:dyDescent="0.2">
      <c r="X2253" s="176" t="str">
        <f t="shared" si="68"/>
        <v>1w</v>
      </c>
      <c r="Y2253" s="164">
        <f>_xll.qlCalendarAdvance(Calendar,Y2252,X2253,"f",FALSE)</f>
        <v>54883</v>
      </c>
      <c r="Z2253" s="188">
        <f>_xll.qlCalendarAdvance(Calendar,Y2253,NDays&amp;"D")</f>
        <v>54885</v>
      </c>
      <c r="AA2253" s="163">
        <v>9.9454868088646418E-3</v>
      </c>
      <c r="AB2253" s="172">
        <v>9.9325827391396615E-3</v>
      </c>
    </row>
    <row r="2254" spans="24:28" x14ac:dyDescent="0.2">
      <c r="X2254" s="176" t="str">
        <f t="shared" si="68"/>
        <v>1w</v>
      </c>
      <c r="Y2254" s="164">
        <f>_xll.qlCalendarAdvance(Calendar,Y2253,X2254,"f",FALSE)</f>
        <v>54890</v>
      </c>
      <c r="Z2254" s="188">
        <f>_xll.qlCalendarAdvance(Calendar,Y2254,NDays&amp;"D")</f>
        <v>54892</v>
      </c>
      <c r="AA2254" s="163">
        <v>9.9444009615815149E-3</v>
      </c>
      <c r="AB2254" s="172">
        <v>9.9316186725051381E-3</v>
      </c>
    </row>
    <row r="2255" spans="24:28" x14ac:dyDescent="0.2">
      <c r="X2255" s="176" t="str">
        <f t="shared" si="68"/>
        <v>1w</v>
      </c>
      <c r="Y2255" s="164">
        <f>_xll.qlCalendarAdvance(Calendar,Y2254,X2255,"f",FALSE)</f>
        <v>54897</v>
      </c>
      <c r="Z2255" s="188">
        <f>_xll.qlCalendarAdvance(Calendar,Y2255,NDays&amp;"D")</f>
        <v>54899</v>
      </c>
      <c r="AA2255" s="163">
        <v>9.9432762743813137E-3</v>
      </c>
      <c r="AB2255" s="172">
        <v>9.9310020121023967E-3</v>
      </c>
    </row>
    <row r="2256" spans="24:28" x14ac:dyDescent="0.2">
      <c r="X2256" s="176" t="str">
        <f t="shared" si="68"/>
        <v>1w</v>
      </c>
      <c r="Y2256" s="164">
        <f>_xll.qlCalendarAdvance(Calendar,Y2255,X2256,"f",FALSE)</f>
        <v>54904</v>
      </c>
      <c r="Z2256" s="188">
        <f>_xll.qlCalendarAdvance(Calendar,Y2256,NDays&amp;"D")</f>
        <v>54906</v>
      </c>
      <c r="AA2256" s="163">
        <v>9.9421127473308685E-3</v>
      </c>
      <c r="AB2256" s="172">
        <v>9.9303467053335481E-3</v>
      </c>
    </row>
    <row r="2257" spans="24:28" x14ac:dyDescent="0.2">
      <c r="X2257" s="176" t="str">
        <f t="shared" si="68"/>
        <v>1w</v>
      </c>
      <c r="Y2257" s="164">
        <f>_xll.qlCalendarAdvance(Calendar,Y2256,X2257,"f",FALSE)</f>
        <v>54911</v>
      </c>
      <c r="Z2257" s="188">
        <f>_xll.qlCalendarAdvance(Calendar,Y2257,NDays&amp;"D")</f>
        <v>54913</v>
      </c>
      <c r="AA2257" s="163">
        <v>9.9410221676279244E-3</v>
      </c>
      <c r="AB2257" s="172">
        <v>9.9296527525982725E-3</v>
      </c>
    </row>
    <row r="2258" spans="24:28" x14ac:dyDescent="0.2">
      <c r="X2258" s="176" t="str">
        <f t="shared" si="68"/>
        <v>1w</v>
      </c>
      <c r="Y2258" s="164">
        <f>_xll.qlCalendarAdvance(Calendar,Y2257,X2258,"f",FALSE)</f>
        <v>54918</v>
      </c>
      <c r="Z2258" s="188">
        <f>_xll.qlCalendarAdvance(Calendar,Y2258,NDays&amp;"D")</f>
        <v>54920</v>
      </c>
      <c r="AA2258" s="163">
        <v>9.9397725350760802E-3</v>
      </c>
      <c r="AB2258" s="172">
        <v>9.9289201534169536E-3</v>
      </c>
    </row>
    <row r="2259" spans="24:28" x14ac:dyDescent="0.2">
      <c r="X2259" s="176" t="str">
        <f t="shared" si="68"/>
        <v>1w</v>
      </c>
      <c r="Y2259" s="164">
        <f>_xll.qlCalendarAdvance(Calendar,Y2258,X2259,"f",FALSE)</f>
        <v>54925</v>
      </c>
      <c r="Z2259" s="188">
        <f>_xll.qlCalendarAdvance(Calendar,Y2259,NDays&amp;"D")</f>
        <v>54927</v>
      </c>
      <c r="AA2259" s="163">
        <v>9.9384840597075298E-3</v>
      </c>
      <c r="AB2259" s="172">
        <v>9.9281489080293994E-3</v>
      </c>
    </row>
    <row r="2260" spans="24:28" x14ac:dyDescent="0.2">
      <c r="X2260" s="176" t="str">
        <f t="shared" si="68"/>
        <v>1w</v>
      </c>
      <c r="Y2260" s="164">
        <f>_xll.qlCalendarAdvance(Calendar,Y2259,X2260,"f",FALSE)</f>
        <v>54932</v>
      </c>
      <c r="Z2260" s="188">
        <f>_xll.qlCalendarAdvance(Calendar,Y2260,NDays&amp;"D")</f>
        <v>54934</v>
      </c>
      <c r="AA2260" s="163">
        <v>9.9371567415996332E-3</v>
      </c>
      <c r="AB2260" s="172">
        <v>9.9273390163556741E-3</v>
      </c>
    </row>
    <row r="2261" spans="24:28" x14ac:dyDescent="0.2">
      <c r="X2261" s="176" t="str">
        <f t="shared" ref="X2261:X2324" si="69">X2260</f>
        <v>1w</v>
      </c>
      <c r="Y2261" s="164">
        <f>_xll.qlCalendarAdvance(Calendar,Y2260,X2261,"f",FALSE)</f>
        <v>54939</v>
      </c>
      <c r="Z2261" s="188">
        <f>_xll.qlCalendarAdvance(Calendar,Y2261,NDays&amp;"D")</f>
        <v>54941</v>
      </c>
      <c r="AA2261" s="163">
        <v>9.9357125168056358E-3</v>
      </c>
      <c r="AB2261" s="172">
        <v>9.9264904784757135E-3</v>
      </c>
    </row>
    <row r="2262" spans="24:28" x14ac:dyDescent="0.2">
      <c r="X2262" s="176" t="str">
        <f t="shared" si="69"/>
        <v>1w</v>
      </c>
      <c r="Y2262" s="164">
        <f>_xll.qlCalendarAdvance(Calendar,Y2261,X2262,"f",FALSE)</f>
        <v>54946</v>
      </c>
      <c r="Z2262" s="188">
        <f>_xll.qlCalendarAdvance(Calendar,Y2262,NDays&amp;"D")</f>
        <v>54948</v>
      </c>
      <c r="AA2262" s="163">
        <v>9.9343159521733896E-3</v>
      </c>
      <c r="AB2262" s="172">
        <v>9.9256032943095818E-3</v>
      </c>
    </row>
    <row r="2263" spans="24:28" x14ac:dyDescent="0.2">
      <c r="X2263" s="176" t="str">
        <f t="shared" si="69"/>
        <v>1w</v>
      </c>
      <c r="Y2263" s="164">
        <f>_xll.qlCalendarAdvance(Calendar,Y2262,X2263,"f",FALSE)</f>
        <v>54953</v>
      </c>
      <c r="Z2263" s="188">
        <f>_xll.qlCalendarAdvance(Calendar,Y2263,NDays&amp;"D")</f>
        <v>54955</v>
      </c>
      <c r="AA2263" s="163">
        <v>9.9328805482194419E-3</v>
      </c>
      <c r="AB2263" s="172">
        <v>9.9246774639372148E-3</v>
      </c>
    </row>
    <row r="2264" spans="24:28" x14ac:dyDescent="0.2">
      <c r="X2264" s="176" t="str">
        <f t="shared" si="69"/>
        <v>1w</v>
      </c>
      <c r="Y2264" s="164">
        <f>_xll.qlCalendarAdvance(Calendar,Y2263,X2264,"f",FALSE)</f>
        <v>54960</v>
      </c>
      <c r="Z2264" s="188">
        <f>_xll.qlCalendarAdvance(Calendar,Y2264,NDays&amp;"D")</f>
        <v>54962</v>
      </c>
      <c r="AA2264" s="163">
        <v>9.9314063050276562E-3</v>
      </c>
      <c r="AB2264" s="172">
        <v>9.9237129873586127E-3</v>
      </c>
    </row>
    <row r="2265" spans="24:28" x14ac:dyDescent="0.2">
      <c r="X2265" s="176" t="str">
        <f t="shared" si="69"/>
        <v>1w</v>
      </c>
      <c r="Y2265" s="164">
        <f>_xll.qlCalendarAdvance(Calendar,Y2264,X2265,"f",FALSE)</f>
        <v>54967</v>
      </c>
      <c r="Z2265" s="188">
        <f>_xll.qlCalendarAdvance(Calendar,Y2265,NDays&amp;"D")</f>
        <v>54969</v>
      </c>
      <c r="AA2265" s="163">
        <v>9.9298932226849577E-3</v>
      </c>
      <c r="AB2265" s="172">
        <v>9.9227098644938394E-3</v>
      </c>
    </row>
    <row r="2266" spans="24:28" x14ac:dyDescent="0.2">
      <c r="X2266" s="176" t="str">
        <f t="shared" si="69"/>
        <v>1w</v>
      </c>
      <c r="Y2266" s="164">
        <f>_xll.qlCalendarAdvance(Calendar,Y2265,X2266,"f",FALSE)</f>
        <v>54974</v>
      </c>
      <c r="Z2266" s="188">
        <f>_xll.qlCalendarAdvance(Calendar,Y2266,NDays&amp;"D")</f>
        <v>54976</v>
      </c>
      <c r="AA2266" s="163">
        <v>9.9283771400377439E-3</v>
      </c>
      <c r="AB2266" s="172">
        <v>9.921668095502767E-3</v>
      </c>
    </row>
    <row r="2267" spans="24:28" x14ac:dyDescent="0.2">
      <c r="X2267" s="176" t="str">
        <f t="shared" si="69"/>
        <v>1w</v>
      </c>
      <c r="Y2267" s="164">
        <f>_xll.qlCalendarAdvance(Calendar,Y2266,X2267,"f",FALSE)</f>
        <v>54981</v>
      </c>
      <c r="Z2267" s="188">
        <f>_xll.qlCalendarAdvance(Calendar,Y2267,NDays&amp;"D")</f>
        <v>54983</v>
      </c>
      <c r="AA2267" s="163">
        <v>9.9267779251095197E-3</v>
      </c>
      <c r="AB2267" s="172">
        <v>9.9205876801455872E-3</v>
      </c>
    </row>
    <row r="2268" spans="24:28" x14ac:dyDescent="0.2">
      <c r="X2268" s="176" t="str">
        <f t="shared" si="69"/>
        <v>1w</v>
      </c>
      <c r="Y2268" s="164">
        <f>_xll.qlCalendarAdvance(Calendar,Y2267,X2268,"f",FALSE)</f>
        <v>54988</v>
      </c>
      <c r="Z2268" s="188">
        <f>_xll.qlCalendarAdvance(Calendar,Y2268,NDays&amp;"D")</f>
        <v>54990</v>
      </c>
      <c r="AA2268" s="163">
        <v>9.9251398681433223E-3</v>
      </c>
      <c r="AB2268" s="172">
        <v>9.9194686185821723E-3</v>
      </c>
    </row>
    <row r="2269" spans="24:28" x14ac:dyDescent="0.2">
      <c r="X2269" s="176" t="str">
        <f t="shared" si="69"/>
        <v>1w</v>
      </c>
      <c r="Y2269" s="164">
        <f>_xll.qlCalendarAdvance(Calendar,Y2268,X2269,"f",FALSE)</f>
        <v>54995</v>
      </c>
      <c r="Z2269" s="188">
        <f>_xll.qlCalendarAdvance(Calendar,Y2269,NDays&amp;"D")</f>
        <v>54997</v>
      </c>
      <c r="AA2269" s="163">
        <v>9.9234629692362773E-3</v>
      </c>
      <c r="AB2269" s="172">
        <v>9.9183109106526501E-3</v>
      </c>
    </row>
    <row r="2270" spans="24:28" x14ac:dyDescent="0.2">
      <c r="X2270" s="176" t="str">
        <f t="shared" si="69"/>
        <v>1w</v>
      </c>
      <c r="Y2270" s="164">
        <f>_xll.qlCalendarAdvance(Calendar,Y2269,X2270,"f",FALSE)</f>
        <v>55002</v>
      </c>
      <c r="Z2270" s="188">
        <f>_xll.qlCalendarAdvance(Calendar,Y2270,NDays&amp;"D")</f>
        <v>55004</v>
      </c>
      <c r="AA2270" s="163">
        <v>9.9217472284902405E-3</v>
      </c>
      <c r="AB2270" s="172">
        <v>9.9171145566767649E-3</v>
      </c>
    </row>
    <row r="2271" spans="24:28" x14ac:dyDescent="0.2">
      <c r="X2271" s="176" t="str">
        <f t="shared" si="69"/>
        <v>1w</v>
      </c>
      <c r="Y2271" s="164">
        <f>_xll.qlCalendarAdvance(Calendar,Y2270,X2271,"f",FALSE)</f>
        <v>55009</v>
      </c>
      <c r="Z2271" s="188">
        <f>_xll.qlCalendarAdvance(Calendar,Y2271,NDays&amp;"D")</f>
        <v>55011</v>
      </c>
      <c r="AA2271" s="163">
        <v>9.9199926460066361E-3</v>
      </c>
      <c r="AB2271" s="172">
        <v>9.9158795563347724E-3</v>
      </c>
    </row>
    <row r="2272" spans="24:28" x14ac:dyDescent="0.2">
      <c r="X2272" s="176" t="str">
        <f t="shared" si="69"/>
        <v>1w</v>
      </c>
      <c r="Y2272" s="164">
        <f>_xll.qlCalendarAdvance(Calendar,Y2271,X2272,"f",FALSE)</f>
        <v>55016</v>
      </c>
      <c r="Z2272" s="188">
        <f>_xll.qlCalendarAdvance(Calendar,Y2272,NDays&amp;"D")</f>
        <v>55018</v>
      </c>
      <c r="AA2272" s="163">
        <v>9.9181992218911833E-3</v>
      </c>
      <c r="AB2272" s="172">
        <v>9.9146059098664807E-3</v>
      </c>
    </row>
    <row r="2273" spans="24:28" x14ac:dyDescent="0.2">
      <c r="X2273" s="176" t="str">
        <f t="shared" si="69"/>
        <v>1w</v>
      </c>
      <c r="Y2273" s="164">
        <f>_xll.qlCalendarAdvance(Calendar,Y2272,X2273,"f",FALSE)</f>
        <v>55023</v>
      </c>
      <c r="Z2273" s="188">
        <f>_xll.qlCalendarAdvance(Calendar,Y2273,NDays&amp;"D")</f>
        <v>55025</v>
      </c>
      <c r="AA2273" s="163">
        <v>9.916366956251756E-3</v>
      </c>
      <c r="AB2273" s="172">
        <v>9.9132936170320818E-3</v>
      </c>
    </row>
    <row r="2274" spans="24:28" x14ac:dyDescent="0.2">
      <c r="X2274" s="176" t="str">
        <f t="shared" si="69"/>
        <v>1w</v>
      </c>
      <c r="Y2274" s="164">
        <f>_xll.qlCalendarAdvance(Calendar,Y2273,X2274,"f",FALSE)</f>
        <v>55030</v>
      </c>
      <c r="Z2274" s="188">
        <f>_xll.qlCalendarAdvance(Calendar,Y2274,NDays&amp;"D")</f>
        <v>55032</v>
      </c>
      <c r="AA2274" s="163">
        <v>9.9145476438481719E-3</v>
      </c>
      <c r="AB2274" s="172">
        <v>9.9119426779914477E-3</v>
      </c>
    </row>
    <row r="2275" spans="24:28" x14ac:dyDescent="0.2">
      <c r="X2275" s="176" t="str">
        <f t="shared" si="69"/>
        <v>1w</v>
      </c>
      <c r="Y2275" s="164">
        <f>_xll.qlCalendarAdvance(Calendar,Y2274,X2275,"f",FALSE)</f>
        <v>55037</v>
      </c>
      <c r="Z2275" s="188">
        <f>_xll.qlCalendarAdvance(Calendar,Y2275,NDays&amp;"D")</f>
        <v>55039</v>
      </c>
      <c r="AA2275" s="163">
        <v>9.9126518277151427E-3</v>
      </c>
      <c r="AB2275" s="172">
        <v>9.9105530927445784E-3</v>
      </c>
    </row>
    <row r="2276" spans="24:28" x14ac:dyDescent="0.2">
      <c r="X2276" s="176" t="str">
        <f t="shared" si="69"/>
        <v>1w</v>
      </c>
      <c r="Y2276" s="164">
        <f>_xll.qlCalendarAdvance(Calendar,Y2275,X2276,"f",FALSE)</f>
        <v>55044</v>
      </c>
      <c r="Z2276" s="188">
        <f>_xll.qlCalendarAdvance(Calendar,Y2276,NDays&amp;"D")</f>
        <v>55046</v>
      </c>
      <c r="AA2276" s="163">
        <v>9.9107171756346157E-3</v>
      </c>
      <c r="AB2276" s="172">
        <v>9.9091248612115379E-3</v>
      </c>
    </row>
    <row r="2277" spans="24:28" x14ac:dyDescent="0.2">
      <c r="X2277" s="176" t="str">
        <f t="shared" si="69"/>
        <v>1w</v>
      </c>
      <c r="Y2277" s="164">
        <f>_xll.qlCalendarAdvance(Calendar,Y2276,X2277,"f",FALSE)</f>
        <v>55051</v>
      </c>
      <c r="Z2277" s="188">
        <f>_xll.qlCalendarAdvance(Calendar,Y2277,NDays&amp;"D")</f>
        <v>55053</v>
      </c>
      <c r="AA2277" s="163">
        <v>9.9087436877196514E-3</v>
      </c>
      <c r="AB2277" s="172">
        <v>9.9076579834722622E-3</v>
      </c>
    </row>
    <row r="2278" spans="24:28" x14ac:dyDescent="0.2">
      <c r="X2278" s="176" t="str">
        <f t="shared" si="69"/>
        <v>1w</v>
      </c>
      <c r="Y2278" s="164">
        <f>_xll.qlCalendarAdvance(Calendar,Y2277,X2278,"f",FALSE)</f>
        <v>55058</v>
      </c>
      <c r="Z2278" s="188">
        <f>_xll.qlCalendarAdvance(Calendar,Y2278,NDays&amp;"D")</f>
        <v>55060</v>
      </c>
      <c r="AA2278" s="163">
        <v>9.9067313640850748E-3</v>
      </c>
      <c r="AB2278" s="172">
        <v>9.9061524595267514E-3</v>
      </c>
    </row>
    <row r="2279" spans="24:28" x14ac:dyDescent="0.2">
      <c r="X2279" s="176" t="str">
        <f t="shared" si="69"/>
        <v>1w</v>
      </c>
      <c r="Y2279" s="164">
        <f>_xll.qlCalendarAdvance(Calendar,Y2278,X2279,"f",FALSE)</f>
        <v>55065</v>
      </c>
      <c r="Z2279" s="188">
        <f>_xll.qlCalendarAdvance(Calendar,Y2279,NDays&amp;"D")</f>
        <v>55067</v>
      </c>
      <c r="AA2279" s="163">
        <v>9.904656244253315E-3</v>
      </c>
      <c r="AB2279" s="172">
        <v>9.9046082893750054E-3</v>
      </c>
    </row>
    <row r="2280" spans="24:28" x14ac:dyDescent="0.2">
      <c r="X2280" s="176" t="str">
        <f t="shared" si="69"/>
        <v>1w</v>
      </c>
      <c r="Y2280" s="164">
        <f>_xll.qlCalendarAdvance(Calendar,Y2279,X2280,"f",FALSE)</f>
        <v>55072</v>
      </c>
      <c r="Z2280" s="188">
        <f>_xll.qlCalendarAdvance(Calendar,Y2280,NDays&amp;"D")</f>
        <v>55074</v>
      </c>
      <c r="AA2280" s="163">
        <v>9.9025634181584745E-3</v>
      </c>
      <c r="AB2280" s="172">
        <v>9.9030254728571521E-3</v>
      </c>
    </row>
    <row r="2281" spans="24:28" x14ac:dyDescent="0.2">
      <c r="X2281" s="176" t="str">
        <f t="shared" si="69"/>
        <v>1w</v>
      </c>
      <c r="Y2281" s="164">
        <f>_xll.qlCalendarAdvance(Calendar,Y2280,X2281,"f",FALSE)</f>
        <v>55079</v>
      </c>
      <c r="Z2281" s="188">
        <f>_xll.qlCalendarAdvance(Calendar,Y2281,NDays&amp;"D")</f>
        <v>55081</v>
      </c>
      <c r="AA2281" s="163">
        <v>9.9004317556583323E-3</v>
      </c>
      <c r="AB2281" s="172">
        <v>9.9014040101330636E-3</v>
      </c>
    </row>
    <row r="2282" spans="24:28" x14ac:dyDescent="0.2">
      <c r="X2282" s="176" t="str">
        <f t="shared" si="69"/>
        <v>1w</v>
      </c>
      <c r="Y2282" s="164">
        <f>_xll.qlCalendarAdvance(Calendar,Y2281,X2282,"f",FALSE)</f>
        <v>55086</v>
      </c>
      <c r="Z2282" s="188">
        <f>_xll.qlCalendarAdvance(Calendar,Y2282,NDays&amp;"D")</f>
        <v>55088</v>
      </c>
      <c r="AA2282" s="163">
        <v>9.8982612568780642E-3</v>
      </c>
      <c r="AB2282" s="172">
        <v>9.899743901282676E-3</v>
      </c>
    </row>
    <row r="2283" spans="24:28" x14ac:dyDescent="0.2">
      <c r="X2283" s="176" t="str">
        <f t="shared" si="69"/>
        <v>1w</v>
      </c>
      <c r="Y2283" s="164">
        <f>_xll.qlCalendarAdvance(Calendar,Y2282,X2283,"f",FALSE)</f>
        <v>55093</v>
      </c>
      <c r="Z2283" s="188">
        <f>_xll.qlCalendarAdvance(Calendar,Y2283,NDays&amp;"D")</f>
        <v>55095</v>
      </c>
      <c r="AA2283" s="163">
        <v>9.8960872143011771E-3</v>
      </c>
      <c r="AB2283" s="172">
        <v>9.8980451460661811E-3</v>
      </c>
    </row>
    <row r="2284" spans="24:28" x14ac:dyDescent="0.2">
      <c r="X2284" s="176" t="str">
        <f t="shared" si="69"/>
        <v>1w</v>
      </c>
      <c r="Y2284" s="164">
        <f>_xll.qlCalendarAdvance(Calendar,Y2283,X2284,"f",FALSE)</f>
        <v>55100</v>
      </c>
      <c r="Z2284" s="188">
        <f>_xll.qlCalendarAdvance(Calendar,Y2284,NDays&amp;"D")</f>
        <v>55102</v>
      </c>
      <c r="AA2284" s="163">
        <v>9.8938418788914219E-3</v>
      </c>
      <c r="AB2284" s="172">
        <v>9.8963077448033232E-3</v>
      </c>
    </row>
    <row r="2285" spans="24:28" x14ac:dyDescent="0.2">
      <c r="X2285" s="176" t="str">
        <f t="shared" si="69"/>
        <v>1w</v>
      </c>
      <c r="Y2285" s="164">
        <f>_xll.qlCalendarAdvance(Calendar,Y2284,X2285,"f",FALSE)</f>
        <v>55107</v>
      </c>
      <c r="Z2285" s="188">
        <f>_xll.qlCalendarAdvance(Calendar,Y2285,NDays&amp;"D")</f>
        <v>55109</v>
      </c>
      <c r="AA2285" s="163">
        <v>9.8915577086298671E-3</v>
      </c>
      <c r="AB2285" s="172">
        <v>9.8945316970944219E-3</v>
      </c>
    </row>
    <row r="2286" spans="24:28" x14ac:dyDescent="0.2">
      <c r="X2286" s="176" t="str">
        <f t="shared" si="69"/>
        <v>1w</v>
      </c>
      <c r="Y2286" s="164">
        <f>_xll.qlCalendarAdvance(Calendar,Y2285,X2286,"f",FALSE)</f>
        <v>55114</v>
      </c>
      <c r="Z2286" s="188">
        <f>_xll.qlCalendarAdvance(Calendar,Y2286,NDays&amp;"D")</f>
        <v>55116</v>
      </c>
      <c r="AA2286" s="163">
        <v>9.8892347036512139E-3</v>
      </c>
      <c r="AB2286" s="172">
        <v>9.8927170032592215E-3</v>
      </c>
    </row>
    <row r="2287" spans="24:28" x14ac:dyDescent="0.2">
      <c r="X2287" s="176" t="str">
        <f t="shared" si="69"/>
        <v>1w</v>
      </c>
      <c r="Y2287" s="164">
        <f>_xll.qlCalendarAdvance(Calendar,Y2286,X2287,"f",FALSE)</f>
        <v>55121</v>
      </c>
      <c r="Z2287" s="188">
        <f>_xll.qlCalendarAdvance(Calendar,Y2287,NDays&amp;"D")</f>
        <v>55123</v>
      </c>
      <c r="AA2287" s="163">
        <v>9.8868262233039617E-3</v>
      </c>
      <c r="AB2287" s="172">
        <v>9.8908636631378499E-3</v>
      </c>
    </row>
    <row r="2288" spans="24:28" x14ac:dyDescent="0.2">
      <c r="X2288" s="176" t="str">
        <f t="shared" si="69"/>
        <v>1w</v>
      </c>
      <c r="Y2288" s="164">
        <f>_xll.qlCalendarAdvance(Calendar,Y2287,X2288,"f",FALSE)</f>
        <v>55128</v>
      </c>
      <c r="Z2288" s="188">
        <f>_xll.qlCalendarAdvance(Calendar,Y2288,NDays&amp;"D")</f>
        <v>55130</v>
      </c>
      <c r="AA2288" s="163">
        <v>9.8844227095937053E-3</v>
      </c>
      <c r="AB2288" s="172">
        <v>9.8889716768102431E-3</v>
      </c>
    </row>
    <row r="2289" spans="24:28" x14ac:dyDescent="0.2">
      <c r="X2289" s="176" t="str">
        <f t="shared" si="69"/>
        <v>1w</v>
      </c>
      <c r="Y2289" s="164">
        <f>_xll.qlCalendarAdvance(Calendar,Y2288,X2289,"f",FALSE)</f>
        <v>55135</v>
      </c>
      <c r="Z2289" s="188">
        <f>_xll.qlCalendarAdvance(Calendar,Y2289,NDays&amp;"D")</f>
        <v>55137</v>
      </c>
      <c r="AA2289" s="163">
        <v>9.881980360540157E-3</v>
      </c>
      <c r="AB2289" s="172">
        <v>9.8870410441964651E-3</v>
      </c>
    </row>
    <row r="2290" spans="24:28" x14ac:dyDescent="0.2">
      <c r="X2290" s="176" t="str">
        <f t="shared" si="69"/>
        <v>1w</v>
      </c>
      <c r="Y2290" s="164">
        <f>_xll.qlCalendarAdvance(Calendar,Y2289,X2290,"f",FALSE)</f>
        <v>55142</v>
      </c>
      <c r="Z2290" s="188">
        <f>_xll.qlCalendarAdvance(Calendar,Y2290,NDays&amp;"D")</f>
        <v>55144</v>
      </c>
      <c r="AA2290" s="163">
        <v>9.8794991762891325E-3</v>
      </c>
      <c r="AB2290" s="172">
        <v>9.885071765456388E-3</v>
      </c>
    </row>
    <row r="2291" spans="24:28" x14ac:dyDescent="0.2">
      <c r="X2291" s="176" t="str">
        <f t="shared" si="69"/>
        <v>1w</v>
      </c>
      <c r="Y2291" s="164">
        <f>_xll.qlCalendarAdvance(Calendar,Y2290,X2291,"f",FALSE)</f>
        <v>55149</v>
      </c>
      <c r="Z2291" s="188">
        <f>_xll.qlCalendarAdvance(Calendar,Y2291,NDays&amp;"D")</f>
        <v>55151</v>
      </c>
      <c r="AA2291" s="163">
        <v>9.876979156984253E-3</v>
      </c>
      <c r="AB2291" s="172">
        <v>9.8830638404301396E-3</v>
      </c>
    </row>
    <row r="2292" spans="24:28" x14ac:dyDescent="0.2">
      <c r="X2292" s="176" t="str">
        <f t="shared" si="69"/>
        <v>1w</v>
      </c>
      <c r="Y2292" s="164">
        <f>_xll.qlCalendarAdvance(Calendar,Y2291,X2292,"f",FALSE)</f>
        <v>55156</v>
      </c>
      <c r="Z2292" s="188">
        <f>_xll.qlCalendarAdvance(Calendar,Y2292,NDays&amp;"D")</f>
        <v>55158</v>
      </c>
      <c r="AA2292" s="163">
        <v>9.8744811524435275E-3</v>
      </c>
      <c r="AB2292" s="172">
        <v>9.8810172692775922E-3</v>
      </c>
    </row>
    <row r="2293" spans="24:28" x14ac:dyDescent="0.2">
      <c r="X2293" s="176" t="str">
        <f t="shared" si="69"/>
        <v>1w</v>
      </c>
      <c r="Y2293" s="164">
        <f>_xll.qlCalendarAdvance(Calendar,Y2292,X2293,"f",FALSE)</f>
        <v>55163</v>
      </c>
      <c r="Z2293" s="188">
        <f>_xll.qlCalendarAdvance(Calendar,Y2293,NDays&amp;"D")</f>
        <v>55165</v>
      </c>
      <c r="AA2293" s="163">
        <v>9.8718863083571869E-3</v>
      </c>
      <c r="AB2293" s="172">
        <v>9.8789320516790013E-3</v>
      </c>
    </row>
    <row r="2294" spans="24:28" x14ac:dyDescent="0.2">
      <c r="X2294" s="176" t="str">
        <f t="shared" si="69"/>
        <v>1w</v>
      </c>
      <c r="Y2294" s="164">
        <f>_xll.qlCalendarAdvance(Calendar,Y2293,X2294,"f",FALSE)</f>
        <v>55170</v>
      </c>
      <c r="Z2294" s="188">
        <f>_xll.qlCalendarAdvance(Calendar,Y2294,NDays&amp;"D")</f>
        <v>55172</v>
      </c>
      <c r="AA2294" s="163">
        <v>9.8692526306997895E-3</v>
      </c>
      <c r="AB2294" s="172">
        <v>9.8768081880340475E-3</v>
      </c>
    </row>
    <row r="2295" spans="24:28" x14ac:dyDescent="0.2">
      <c r="X2295" s="176" t="str">
        <f t="shared" si="69"/>
        <v>1w</v>
      </c>
      <c r="Y2295" s="164">
        <f>_xll.qlCalendarAdvance(Calendar,Y2294,X2295,"f",FALSE)</f>
        <v>55177</v>
      </c>
      <c r="Z2295" s="188">
        <f>_xll.qlCalendarAdvance(Calendar,Y2295,NDays&amp;"D")</f>
        <v>55179</v>
      </c>
      <c r="AA2295" s="163">
        <v>9.8665801196245861E-3</v>
      </c>
      <c r="AB2295" s="172">
        <v>9.8746456780229863E-3</v>
      </c>
    </row>
    <row r="2296" spans="24:28" x14ac:dyDescent="0.2">
      <c r="X2296" s="176" t="str">
        <f t="shared" si="69"/>
        <v>1w</v>
      </c>
      <c r="Y2296" s="164">
        <f>_xll.qlCalendarAdvance(Calendar,Y2295,X2296,"f",FALSE)</f>
        <v>55184</v>
      </c>
      <c r="Z2296" s="188">
        <f>_xll.qlCalendarAdvance(Calendar,Y2296,NDays&amp;"D")</f>
        <v>55186</v>
      </c>
      <c r="AA2296" s="163">
        <v>9.8638687752879151E-3</v>
      </c>
      <c r="AB2296" s="172">
        <v>9.872444521885626E-3</v>
      </c>
    </row>
    <row r="2297" spans="24:28" x14ac:dyDescent="0.2">
      <c r="X2297" s="176" t="str">
        <f t="shared" si="69"/>
        <v>1w</v>
      </c>
      <c r="Y2297" s="164">
        <f>_xll.qlCalendarAdvance(Calendar,Y2296,X2297,"f",FALSE)</f>
        <v>55191</v>
      </c>
      <c r="Z2297" s="188">
        <f>_xll.qlCalendarAdvance(Calendar,Y2297,NDays&amp;"D")</f>
        <v>55193</v>
      </c>
      <c r="AA2297" s="163">
        <v>9.8611185978469962E-3</v>
      </c>
      <c r="AB2297" s="172">
        <v>9.8702047195420306E-3</v>
      </c>
    </row>
    <row r="2298" spans="24:28" x14ac:dyDescent="0.2">
      <c r="X2298" s="176" t="str">
        <f t="shared" si="69"/>
        <v>1w</v>
      </c>
      <c r="Y2298" s="164">
        <f>_xll.qlCalendarAdvance(Calendar,Y2297,X2298,"f",FALSE)</f>
        <v>55198</v>
      </c>
      <c r="Z2298" s="188">
        <f>_xll.qlCalendarAdvance(Calendar,Y2298,NDays&amp;"D")</f>
        <v>55200</v>
      </c>
      <c r="AA2298" s="163">
        <v>9.858329587462588E-3</v>
      </c>
      <c r="AB2298" s="172">
        <v>9.8679262709122639E-3</v>
      </c>
    </row>
    <row r="2299" spans="24:28" x14ac:dyDescent="0.2">
      <c r="X2299" s="176" t="str">
        <f t="shared" si="69"/>
        <v>1w</v>
      </c>
      <c r="Y2299" s="164">
        <f>_xll.qlCalendarAdvance(Calendar,Y2298,X2299,"f",FALSE)</f>
        <v>55205</v>
      </c>
      <c r="Z2299" s="188">
        <f>_xll.qlCalendarAdvance(Calendar,Y2299,NDays&amp;"D")</f>
        <v>55207</v>
      </c>
      <c r="AA2299" s="163">
        <v>9.8555017442967692E-3</v>
      </c>
      <c r="AB2299" s="172">
        <v>9.865609175996326E-3</v>
      </c>
    </row>
    <row r="2300" spans="24:28" x14ac:dyDescent="0.2">
      <c r="X2300" s="176" t="str">
        <f t="shared" si="69"/>
        <v>1w</v>
      </c>
      <c r="Y2300" s="164">
        <f>_xll.qlCalendarAdvance(Calendar,Y2299,X2300,"f",FALSE)</f>
        <v>55212</v>
      </c>
      <c r="Z2300" s="188">
        <f>_xll.qlCalendarAdvance(Calendar,Y2300,NDays&amp;"D")</f>
        <v>55214</v>
      </c>
      <c r="AA2300" s="163">
        <v>9.8522141440159378E-3</v>
      </c>
      <c r="AB2300" s="172">
        <v>9.8632534350340251E-3</v>
      </c>
    </row>
    <row r="2301" spans="24:28" x14ac:dyDescent="0.2">
      <c r="X2301" s="176" t="str">
        <f t="shared" si="69"/>
        <v>1w</v>
      </c>
      <c r="Y2301" s="164">
        <f>_xll.qlCalendarAdvance(Calendar,Y2300,X2301,"f",FALSE)</f>
        <v>55219</v>
      </c>
      <c r="Z2301" s="188">
        <f>_xll.qlCalendarAdvance(Calendar,Y2301,NDays&amp;"D")</f>
        <v>55221</v>
      </c>
      <c r="AA2301" s="163">
        <v>9.8492943687505038E-3</v>
      </c>
      <c r="AB2301" s="172">
        <v>9.8608590477855529E-3</v>
      </c>
    </row>
    <row r="2302" spans="24:28" x14ac:dyDescent="0.2">
      <c r="X2302" s="176" t="str">
        <f t="shared" si="69"/>
        <v>1w</v>
      </c>
      <c r="Y2302" s="164">
        <f>_xll.qlCalendarAdvance(Calendar,Y2301,X2302,"f",FALSE)</f>
        <v>55226</v>
      </c>
      <c r="Z2302" s="188">
        <f>_xll.qlCalendarAdvance(Calendar,Y2302,NDays&amp;"D")</f>
        <v>55228</v>
      </c>
      <c r="AA2302" s="163">
        <v>9.8463357560881135E-3</v>
      </c>
      <c r="AB2302" s="172">
        <v>9.8584260141709734E-3</v>
      </c>
    </row>
    <row r="2303" spans="24:28" x14ac:dyDescent="0.2">
      <c r="X2303" s="176" t="str">
        <f t="shared" si="69"/>
        <v>1w</v>
      </c>
      <c r="Y2303" s="164">
        <f>_xll.qlCalendarAdvance(Calendar,Y2302,X2303,"f",FALSE)</f>
        <v>55233</v>
      </c>
      <c r="Z2303" s="188">
        <f>_xll.qlCalendarAdvance(Calendar,Y2303,NDays&amp;"D")</f>
        <v>55235</v>
      </c>
      <c r="AA2303" s="163">
        <v>9.8433383062062618E-3</v>
      </c>
      <c r="AB2303" s="172">
        <v>9.8559543344300948E-3</v>
      </c>
    </row>
    <row r="2304" spans="24:28" x14ac:dyDescent="0.2">
      <c r="X2304" s="176" t="str">
        <f t="shared" si="69"/>
        <v>1w</v>
      </c>
      <c r="Y2304" s="164">
        <f>_xll.qlCalendarAdvance(Calendar,Y2303,X2304,"f",FALSE)</f>
        <v>55240</v>
      </c>
      <c r="Z2304" s="188">
        <f>_xll.qlCalendarAdvance(Calendar,Y2304,NDays&amp;"D")</f>
        <v>55242</v>
      </c>
      <c r="AA2304" s="163">
        <v>9.840589656097843E-3</v>
      </c>
      <c r="AB2304" s="172">
        <v>9.8532582117929479E-3</v>
      </c>
    </row>
    <row r="2305" spans="24:28" x14ac:dyDescent="0.2">
      <c r="X2305" s="176" t="str">
        <f t="shared" si="69"/>
        <v>1w</v>
      </c>
      <c r="Y2305" s="164">
        <f>_xll.qlCalendarAdvance(Calendar,Y2304,X2305,"f",FALSE)</f>
        <v>55247</v>
      </c>
      <c r="Z2305" s="188">
        <f>_xll.qlCalendarAdvance(Calendar,Y2305,NDays&amp;"D")</f>
        <v>55249</v>
      </c>
      <c r="AA2305" s="163">
        <v>9.8375231052445951E-3</v>
      </c>
      <c r="AB2305" s="172">
        <v>9.8508950364095682E-3</v>
      </c>
    </row>
    <row r="2306" spans="24:28" x14ac:dyDescent="0.2">
      <c r="X2306" s="176" t="str">
        <f t="shared" si="69"/>
        <v>1w</v>
      </c>
      <c r="Y2306" s="164">
        <f>_xll.qlCalendarAdvance(Calendar,Y2305,X2306,"f",FALSE)</f>
        <v>55254</v>
      </c>
      <c r="Z2306" s="188">
        <f>_xll.qlCalendarAdvance(Calendar,Y2306,NDays&amp;"D")</f>
        <v>55256</v>
      </c>
      <c r="AA2306" s="163">
        <v>9.8344177207721848E-3</v>
      </c>
      <c r="AB2306" s="172">
        <v>9.848307417970048E-3</v>
      </c>
    </row>
    <row r="2307" spans="24:28" x14ac:dyDescent="0.2">
      <c r="X2307" s="176" t="str">
        <f t="shared" si="69"/>
        <v>1w</v>
      </c>
      <c r="Y2307" s="164">
        <f>_xll.qlCalendarAdvance(Calendar,Y2306,X2307,"f",FALSE)</f>
        <v>55261</v>
      </c>
      <c r="Z2307" s="188">
        <f>_xll.qlCalendarAdvance(Calendar,Y2307,NDays&amp;"D")</f>
        <v>55263</v>
      </c>
      <c r="AA2307" s="163">
        <v>9.8312735028653828E-3</v>
      </c>
      <c r="AB2307" s="172">
        <v>9.8456811533242927E-3</v>
      </c>
    </row>
    <row r="2308" spans="24:28" x14ac:dyDescent="0.2">
      <c r="X2308" s="176" t="str">
        <f t="shared" si="69"/>
        <v>1w</v>
      </c>
      <c r="Y2308" s="164">
        <f>_xll.qlCalendarAdvance(Calendar,Y2307,X2308,"f",FALSE)</f>
        <v>55268</v>
      </c>
      <c r="Z2308" s="188">
        <f>_xll.qlCalendarAdvance(Calendar,Y2308,NDays&amp;"D")</f>
        <v>55270</v>
      </c>
      <c r="AA2308" s="163">
        <v>9.8280904517089596E-3</v>
      </c>
      <c r="AB2308" s="172">
        <v>9.8430162424723022E-3</v>
      </c>
    </row>
    <row r="2309" spans="24:28" x14ac:dyDescent="0.2">
      <c r="X2309" s="176" t="str">
        <f t="shared" si="69"/>
        <v>1w</v>
      </c>
      <c r="Y2309" s="164">
        <f>_xll.qlCalendarAdvance(Calendar,Y2308,X2309,"f",FALSE)</f>
        <v>55275</v>
      </c>
      <c r="Z2309" s="188">
        <f>_xll.qlCalendarAdvance(Calendar,Y2309,NDays&amp;"D")</f>
        <v>55277</v>
      </c>
      <c r="AA2309" s="163">
        <v>9.8245380355099048E-3</v>
      </c>
      <c r="AB2309" s="172">
        <v>9.8403126854940126E-3</v>
      </c>
    </row>
    <row r="2310" spans="24:28" x14ac:dyDescent="0.2">
      <c r="X2310" s="176" t="str">
        <f t="shared" si="69"/>
        <v>1w</v>
      </c>
      <c r="Y2310" s="164">
        <f>_xll.qlCalendarAdvance(Calendar,Y2309,X2310,"f",FALSE)</f>
        <v>55282</v>
      </c>
      <c r="Z2310" s="188">
        <f>_xll.qlCalendarAdvance(Calendar,Y2310,NDays&amp;"D")</f>
        <v>55284</v>
      </c>
      <c r="AA2310" s="163">
        <v>9.8212687302451172E-3</v>
      </c>
      <c r="AB2310" s="172">
        <v>9.8375704821496157E-3</v>
      </c>
    </row>
    <row r="2311" spans="24:28" x14ac:dyDescent="0.2">
      <c r="X2311" s="176" t="str">
        <f t="shared" si="69"/>
        <v>1w</v>
      </c>
      <c r="Y2311" s="164">
        <f>_xll.qlCalendarAdvance(Calendar,Y2310,X2311,"f",FALSE)</f>
        <v>55289</v>
      </c>
      <c r="Z2311" s="188">
        <f>_xll.qlCalendarAdvance(Calendar,Y2311,NDays&amp;"D")</f>
        <v>55291</v>
      </c>
      <c r="AA2311" s="163">
        <v>9.8179605892620321E-3</v>
      </c>
      <c r="AB2311" s="172">
        <v>9.8347896327588558E-3</v>
      </c>
    </row>
    <row r="2312" spans="24:28" x14ac:dyDescent="0.2">
      <c r="X2312" s="176" t="str">
        <f t="shared" si="69"/>
        <v>1w</v>
      </c>
      <c r="Y2312" s="164">
        <f>_xll.qlCalendarAdvance(Calendar,Y2311,X2312,"f",FALSE)</f>
        <v>55296</v>
      </c>
      <c r="Z2312" s="188">
        <f>_xll.qlCalendarAdvance(Calendar,Y2312,NDays&amp;"D")</f>
        <v>55298</v>
      </c>
      <c r="AA2312" s="163">
        <v>9.8146136127583421E-3</v>
      </c>
      <c r="AB2312" s="172">
        <v>9.8319701370019885E-3</v>
      </c>
    </row>
    <row r="2313" spans="24:28" x14ac:dyDescent="0.2">
      <c r="X2313" s="176" t="str">
        <f t="shared" si="69"/>
        <v>1w</v>
      </c>
      <c r="Y2313" s="164">
        <f>_xll.qlCalendarAdvance(Calendar,Y2312,X2313,"f",FALSE)</f>
        <v>55303</v>
      </c>
      <c r="Z2313" s="188">
        <f>_xll.qlCalendarAdvance(Calendar,Y2313,NDays&amp;"D")</f>
        <v>55305</v>
      </c>
      <c r="AA2313" s="163">
        <v>9.8115927038272648E-3</v>
      </c>
      <c r="AB2313" s="172">
        <v>9.8291119951188222E-3</v>
      </c>
    </row>
    <row r="2314" spans="24:28" x14ac:dyDescent="0.2">
      <c r="X2314" s="176" t="str">
        <f t="shared" si="69"/>
        <v>1w</v>
      </c>
      <c r="Y2314" s="164">
        <f>_xll.qlCalendarAdvance(Calendar,Y2313,X2314,"f",FALSE)</f>
        <v>55310</v>
      </c>
      <c r="Z2314" s="188">
        <f>_xll.qlCalendarAdvance(Calendar,Y2314,NDays&amp;"D")</f>
        <v>55312</v>
      </c>
      <c r="AA2314" s="163">
        <v>9.8081766571921931E-3</v>
      </c>
      <c r="AB2314" s="172">
        <v>9.8262152069494846E-3</v>
      </c>
    </row>
    <row r="2315" spans="24:28" x14ac:dyDescent="0.2">
      <c r="X2315" s="176" t="str">
        <f t="shared" si="69"/>
        <v>1w</v>
      </c>
      <c r="Y2315" s="164">
        <f>_xll.qlCalendarAdvance(Calendar,Y2314,X2315,"f",FALSE)</f>
        <v>55317</v>
      </c>
      <c r="Z2315" s="188">
        <f>_xll.qlCalendarAdvance(Calendar,Y2315,NDays&amp;"D")</f>
        <v>55319</v>
      </c>
      <c r="AA2315" s="163">
        <v>9.8047217786690344E-3</v>
      </c>
      <c r="AB2315" s="172">
        <v>9.8232797726538479E-3</v>
      </c>
    </row>
    <row r="2316" spans="24:28" x14ac:dyDescent="0.2">
      <c r="X2316" s="176" t="str">
        <f t="shared" si="69"/>
        <v>1w</v>
      </c>
      <c r="Y2316" s="164">
        <f>_xll.qlCalendarAdvance(Calendar,Y2315,X2316,"f",FALSE)</f>
        <v>55324</v>
      </c>
      <c r="Z2316" s="188">
        <f>_xll.qlCalendarAdvance(Calendar,Y2316,NDays&amp;"D")</f>
        <v>55326</v>
      </c>
      <c r="AA2316" s="163">
        <v>9.8012280684600297E-3</v>
      </c>
      <c r="AB2316" s="172">
        <v>9.820305692151976E-3</v>
      </c>
    </row>
    <row r="2317" spans="24:28" x14ac:dyDescent="0.2">
      <c r="X2317" s="176" t="str">
        <f t="shared" si="69"/>
        <v>1w</v>
      </c>
      <c r="Y2317" s="164">
        <f>_xll.qlCalendarAdvance(Calendar,Y2316,X2317,"f",FALSE)</f>
        <v>55331</v>
      </c>
      <c r="Z2317" s="188">
        <f>_xll.qlCalendarAdvance(Calendar,Y2317,NDays&amp;"D")</f>
        <v>55333</v>
      </c>
      <c r="AA2317" s="163">
        <v>9.7976955267717915E-3</v>
      </c>
      <c r="AB2317" s="172">
        <v>9.8172929652839969E-3</v>
      </c>
    </row>
    <row r="2318" spans="24:28" x14ac:dyDescent="0.2">
      <c r="X2318" s="176" t="str">
        <f t="shared" si="69"/>
        <v>1w</v>
      </c>
      <c r="Y2318" s="164">
        <f>_xll.qlCalendarAdvance(Calendar,Y2317,X2318,"f",FALSE)</f>
        <v>55338</v>
      </c>
      <c r="Z2318" s="188">
        <f>_xll.qlCalendarAdvance(Calendar,Y2318,NDays&amp;"D")</f>
        <v>55340</v>
      </c>
      <c r="AA2318" s="163">
        <v>9.7937162191990921E-3</v>
      </c>
      <c r="AB2318" s="172">
        <v>9.8142415923696547E-3</v>
      </c>
    </row>
    <row r="2319" spans="24:28" x14ac:dyDescent="0.2">
      <c r="X2319" s="176" t="str">
        <f t="shared" si="69"/>
        <v>1w</v>
      </c>
      <c r="Y2319" s="164">
        <f>_xll.qlCalendarAdvance(Calendar,Y2318,X2319,"f",FALSE)</f>
        <v>55345</v>
      </c>
      <c r="Z2319" s="188">
        <f>_xll.qlCalendarAdvance(Calendar,Y2319,NDays&amp;"D")</f>
        <v>55347</v>
      </c>
      <c r="AA2319" s="163">
        <v>9.7900973997966725E-3</v>
      </c>
      <c r="AB2319" s="172">
        <v>9.8111515732490773E-3</v>
      </c>
    </row>
    <row r="2320" spans="24:28" x14ac:dyDescent="0.2">
      <c r="X2320" s="176" t="str">
        <f t="shared" si="69"/>
        <v>1w</v>
      </c>
      <c r="Y2320" s="164">
        <f>_xll.qlCalendarAdvance(Calendar,Y2319,X2320,"f",FALSE)</f>
        <v>55352</v>
      </c>
      <c r="Z2320" s="188">
        <f>_xll.qlCalendarAdvance(Calendar,Y2320,NDays&amp;"D")</f>
        <v>55354</v>
      </c>
      <c r="AA2320" s="163">
        <v>9.7864397465424191E-3</v>
      </c>
      <c r="AB2320" s="172">
        <v>9.8080229078423287E-3</v>
      </c>
    </row>
    <row r="2321" spans="24:28" x14ac:dyDescent="0.2">
      <c r="X2321" s="176" t="str">
        <f t="shared" si="69"/>
        <v>1w</v>
      </c>
      <c r="Y2321" s="164">
        <f>_xll.qlCalendarAdvance(Calendar,Y2320,X2321,"f",FALSE)</f>
        <v>55359</v>
      </c>
      <c r="Z2321" s="188">
        <f>_xll.qlCalendarAdvance(Calendar,Y2321,NDays&amp;"D")</f>
        <v>55361</v>
      </c>
      <c r="AA2321" s="163">
        <v>9.782743259656803E-3</v>
      </c>
      <c r="AB2321" s="172">
        <v>9.8048555963092809E-3</v>
      </c>
    </row>
    <row r="2322" spans="24:28" x14ac:dyDescent="0.2">
      <c r="X2322" s="176" t="str">
        <f t="shared" si="69"/>
        <v>1w</v>
      </c>
      <c r="Y2322" s="164">
        <f>_xll.qlCalendarAdvance(Calendar,Y2321,X2322,"f",FALSE)</f>
        <v>55366</v>
      </c>
      <c r="Z2322" s="188">
        <f>_xll.qlCalendarAdvance(Calendar,Y2322,NDays&amp;"D")</f>
        <v>55368</v>
      </c>
      <c r="AA2322" s="163">
        <v>9.7790079393590013E-3</v>
      </c>
      <c r="AB2322" s="172">
        <v>9.801649638490062E-3</v>
      </c>
    </row>
    <row r="2323" spans="24:28" x14ac:dyDescent="0.2">
      <c r="X2323" s="176" t="str">
        <f t="shared" si="69"/>
        <v>1w</v>
      </c>
      <c r="Y2323" s="164">
        <f>_xll.qlCalendarAdvance(Calendar,Y2322,X2323,"f",FALSE)</f>
        <v>55373</v>
      </c>
      <c r="Z2323" s="188">
        <f>_xll.qlCalendarAdvance(Calendar,Y2323,NDays&amp;"D")</f>
        <v>55375</v>
      </c>
      <c r="AA2323" s="163">
        <v>9.7752337858746392E-3</v>
      </c>
      <c r="AB2323" s="172">
        <v>9.7984050344646079E-3</v>
      </c>
    </row>
    <row r="2324" spans="24:28" x14ac:dyDescent="0.2">
      <c r="X2324" s="176" t="str">
        <f t="shared" si="69"/>
        <v>1w</v>
      </c>
      <c r="Y2324" s="164">
        <f>_xll.qlCalendarAdvance(Calendar,Y2323,X2324,"f",FALSE)</f>
        <v>55380</v>
      </c>
      <c r="Z2324" s="188">
        <f>_xll.qlCalendarAdvance(Calendar,Y2324,NDays&amp;"D")</f>
        <v>55382</v>
      </c>
      <c r="AA2324" s="163">
        <v>9.7714207994284864E-3</v>
      </c>
      <c r="AB2324" s="172">
        <v>9.7951217842329186E-3</v>
      </c>
    </row>
    <row r="2325" spans="24:28" x14ac:dyDescent="0.2">
      <c r="X2325" s="176" t="str">
        <f t="shared" ref="X2325:X2388" si="70">X2324</f>
        <v>1w</v>
      </c>
      <c r="Y2325" s="164">
        <f>_xll.qlCalendarAdvance(Calendar,Y2324,X2325,"f",FALSE)</f>
        <v>55387</v>
      </c>
      <c r="Z2325" s="188">
        <f>_xll.qlCalendarAdvance(Calendar,Y2325,NDays&amp;"D")</f>
        <v>55389</v>
      </c>
      <c r="AA2325" s="163">
        <v>9.7675689802500347E-3</v>
      </c>
      <c r="AB2325" s="172">
        <v>9.7917998878749302E-3</v>
      </c>
    </row>
    <row r="2326" spans="24:28" x14ac:dyDescent="0.2">
      <c r="X2326" s="176" t="str">
        <f t="shared" si="70"/>
        <v>1w</v>
      </c>
      <c r="Y2326" s="164">
        <f>_xll.qlCalendarAdvance(Calendar,Y2325,X2326,"f",FALSE)</f>
        <v>55394</v>
      </c>
      <c r="Z2326" s="188">
        <f>_xll.qlCalendarAdvance(Calendar,Y2326,NDays&amp;"D")</f>
        <v>55396</v>
      </c>
      <c r="AA2326" s="163">
        <v>9.7643136956133622E-3</v>
      </c>
      <c r="AB2326" s="172">
        <v>9.7884393452307705E-3</v>
      </c>
    </row>
    <row r="2327" spans="24:28" x14ac:dyDescent="0.2">
      <c r="X2327" s="176" t="str">
        <f t="shared" si="70"/>
        <v>1w</v>
      </c>
      <c r="Y2327" s="164">
        <f>_xll.qlCalendarAdvance(Calendar,Y2326,X2327,"f",FALSE)</f>
        <v>55401</v>
      </c>
      <c r="Z2327" s="188">
        <f>_xll.qlCalendarAdvance(Calendar,Y2327,NDays&amp;"D")</f>
        <v>55403</v>
      </c>
      <c r="AA2327" s="163">
        <v>9.7603957304377726E-3</v>
      </c>
      <c r="AB2327" s="172">
        <v>9.7850401564603118E-3</v>
      </c>
    </row>
    <row r="2328" spans="24:28" x14ac:dyDescent="0.2">
      <c r="X2328" s="176" t="str">
        <f t="shared" si="70"/>
        <v>1w</v>
      </c>
      <c r="Y2328" s="164">
        <f>_xll.qlCalendarAdvance(Calendar,Y2327,X2328,"f",FALSE)</f>
        <v>55408</v>
      </c>
      <c r="Z2328" s="188">
        <f>_xll.qlCalendarAdvance(Calendar,Y2328,NDays&amp;"D")</f>
        <v>55410</v>
      </c>
      <c r="AA2328" s="163">
        <v>9.7564389371895578E-3</v>
      </c>
      <c r="AB2328" s="172">
        <v>9.7816023214836179E-3</v>
      </c>
    </row>
    <row r="2329" spans="24:28" x14ac:dyDescent="0.2">
      <c r="X2329" s="176" t="str">
        <f t="shared" si="70"/>
        <v>1w</v>
      </c>
      <c r="Y2329" s="164">
        <f>_xll.qlCalendarAdvance(Calendar,Y2328,X2329,"f",FALSE)</f>
        <v>55415</v>
      </c>
      <c r="Z2329" s="188">
        <f>_xll.qlCalendarAdvance(Calendar,Y2329,NDays&amp;"D")</f>
        <v>55417</v>
      </c>
      <c r="AA2329" s="163">
        <v>9.7524433160997414E-3</v>
      </c>
      <c r="AB2329" s="172">
        <v>9.7781258403006888E-3</v>
      </c>
    </row>
    <row r="2330" spans="24:28" x14ac:dyDescent="0.2">
      <c r="X2330" s="176" t="str">
        <f t="shared" si="70"/>
        <v>1w</v>
      </c>
      <c r="Y2330" s="164">
        <f>_xll.qlCalendarAdvance(Calendar,Y2329,X2330,"f",FALSE)</f>
        <v>55422</v>
      </c>
      <c r="Z2330" s="188">
        <f>_xll.qlCalendarAdvance(Calendar,Y2330,NDays&amp;"D")</f>
        <v>55424</v>
      </c>
      <c r="AA2330" s="163">
        <v>9.7484088674037409E-3</v>
      </c>
      <c r="AB2330" s="172">
        <v>9.7746107129115245E-3</v>
      </c>
    </row>
    <row r="2331" spans="24:28" x14ac:dyDescent="0.2">
      <c r="X2331" s="176" t="str">
        <f t="shared" si="70"/>
        <v>1w</v>
      </c>
      <c r="Y2331" s="164">
        <f>_xll.qlCalendarAdvance(Calendar,Y2330,X2331,"f",FALSE)</f>
        <v>55429</v>
      </c>
      <c r="Z2331" s="188">
        <f>_xll.qlCalendarAdvance(Calendar,Y2331,NDays&amp;"D")</f>
        <v>55431</v>
      </c>
      <c r="AA2331" s="163">
        <v>9.7441627585823313E-3</v>
      </c>
      <c r="AB2331" s="172">
        <v>9.7710569393960611E-3</v>
      </c>
    </row>
    <row r="2332" spans="24:28" x14ac:dyDescent="0.2">
      <c r="X2332" s="176" t="str">
        <f t="shared" si="70"/>
        <v>1w</v>
      </c>
      <c r="Y2332" s="164">
        <f>_xll.qlCalendarAdvance(Calendar,Y2331,X2332,"f",FALSE)</f>
        <v>55436</v>
      </c>
      <c r="Z2332" s="188">
        <f>_xll.qlCalendarAdvance(Calendar,Y2332,NDays&amp;"D")</f>
        <v>55438</v>
      </c>
      <c r="AA2332" s="163">
        <v>9.7400477709709086E-3</v>
      </c>
      <c r="AB2332" s="172">
        <v>9.7674645195144905E-3</v>
      </c>
    </row>
    <row r="2333" spans="24:28" x14ac:dyDescent="0.2">
      <c r="X2333" s="176" t="str">
        <f t="shared" si="70"/>
        <v>1w</v>
      </c>
      <c r="Y2333" s="164">
        <f>_xll.qlCalendarAdvance(Calendar,Y2332,X2333,"f",FALSE)</f>
        <v>55443</v>
      </c>
      <c r="Z2333" s="188">
        <f>_xll.qlCalendarAdvance(Calendar,Y2333,NDays&amp;"D")</f>
        <v>55445</v>
      </c>
      <c r="AA2333" s="163">
        <v>9.73517675986269E-3</v>
      </c>
      <c r="AB2333" s="172">
        <v>9.7638334535865567E-3</v>
      </c>
    </row>
    <row r="2334" spans="24:28" x14ac:dyDescent="0.2">
      <c r="X2334" s="176" t="str">
        <f t="shared" si="70"/>
        <v>1w</v>
      </c>
      <c r="Y2334" s="164">
        <f>_xll.qlCalendarAdvance(Calendar,Y2333,X2334,"f",FALSE)</f>
        <v>55450</v>
      </c>
      <c r="Z2334" s="188">
        <f>_xll.qlCalendarAdvance(Calendar,Y2334,NDays&amp;"D")</f>
        <v>55452</v>
      </c>
      <c r="AA2334" s="163">
        <v>9.7317013123712371E-3</v>
      </c>
      <c r="AB2334" s="172">
        <v>9.7601637414523879E-3</v>
      </c>
    </row>
    <row r="2335" spans="24:28" x14ac:dyDescent="0.2">
      <c r="X2335" s="176" t="str">
        <f t="shared" si="70"/>
        <v>1w</v>
      </c>
      <c r="Y2335" s="164">
        <f>_xll.qlCalendarAdvance(Calendar,Y2334,X2335,"f",FALSE)</f>
        <v>55457</v>
      </c>
      <c r="Z2335" s="188">
        <f>_xll.qlCalendarAdvance(Calendar,Y2335,NDays&amp;"D")</f>
        <v>55459</v>
      </c>
      <c r="AA2335" s="163">
        <v>9.7276542181763698E-3</v>
      </c>
      <c r="AB2335" s="172">
        <v>9.7564553831119838E-3</v>
      </c>
    </row>
    <row r="2336" spans="24:28" x14ac:dyDescent="0.2">
      <c r="X2336" s="176" t="str">
        <f t="shared" si="70"/>
        <v>1w</v>
      </c>
      <c r="Y2336" s="164">
        <f>_xll.qlCalendarAdvance(Calendar,Y2335,X2336,"f",FALSE)</f>
        <v>55464</v>
      </c>
      <c r="Z2336" s="188">
        <f>_xll.qlCalendarAdvance(Calendar,Y2336,NDays&amp;"D")</f>
        <v>55466</v>
      </c>
      <c r="AA2336" s="163">
        <v>9.7233868088849387E-3</v>
      </c>
      <c r="AB2336" s="172">
        <v>9.7527083785653446E-3</v>
      </c>
    </row>
    <row r="2337" spans="24:28" x14ac:dyDescent="0.2">
      <c r="X2337" s="176" t="str">
        <f t="shared" si="70"/>
        <v>1w</v>
      </c>
      <c r="Y2337" s="164">
        <f>_xll.qlCalendarAdvance(Calendar,Y2336,X2337,"f",FALSE)</f>
        <v>55471</v>
      </c>
      <c r="Z2337" s="188">
        <f>_xll.qlCalendarAdvance(Calendar,Y2337,NDays&amp;"D")</f>
        <v>55473</v>
      </c>
      <c r="AA2337" s="163">
        <v>9.7190805736883795E-3</v>
      </c>
      <c r="AB2337" s="172">
        <v>9.7489227278124702E-3</v>
      </c>
    </row>
    <row r="2338" spans="24:28" x14ac:dyDescent="0.2">
      <c r="X2338" s="176" t="str">
        <f t="shared" si="70"/>
        <v>1w</v>
      </c>
      <c r="Y2338" s="164">
        <f>_xll.qlCalendarAdvance(Calendar,Y2337,X2338,"f",FALSE)</f>
        <v>55478</v>
      </c>
      <c r="Z2338" s="188">
        <f>_xll.qlCalendarAdvance(Calendar,Y2338,NDays&amp;"D")</f>
        <v>55480</v>
      </c>
      <c r="AA2338" s="163">
        <v>9.7147355128418735E-3</v>
      </c>
      <c r="AB2338" s="172">
        <v>9.7450984308533606E-3</v>
      </c>
    </row>
    <row r="2339" spans="24:28" x14ac:dyDescent="0.2">
      <c r="X2339" s="176" t="str">
        <f t="shared" si="70"/>
        <v>1w</v>
      </c>
      <c r="Y2339" s="164">
        <f>_xll.qlCalendarAdvance(Calendar,Y2338,X2339,"f",FALSE)</f>
        <v>55485</v>
      </c>
      <c r="Z2339" s="188">
        <f>_xll.qlCalendarAdvance(Calendar,Y2339,NDays&amp;"D")</f>
        <v>55487</v>
      </c>
      <c r="AA2339" s="163">
        <v>9.7101556910941939E-3</v>
      </c>
      <c r="AB2339" s="172">
        <v>9.7412354877679519E-3</v>
      </c>
    </row>
    <row r="2340" spans="24:28" x14ac:dyDescent="0.2">
      <c r="X2340" s="176" t="str">
        <f t="shared" si="70"/>
        <v>1w</v>
      </c>
      <c r="Y2340" s="164">
        <f>_xll.qlCalendarAdvance(Calendar,Y2339,X2340,"f",FALSE)</f>
        <v>55492</v>
      </c>
      <c r="Z2340" s="188">
        <f>_xll.qlCalendarAdvance(Calendar,Y2340,NDays&amp;"D")</f>
        <v>55494</v>
      </c>
      <c r="AA2340" s="163">
        <v>9.7057300874746639E-3</v>
      </c>
      <c r="AB2340" s="172">
        <v>9.737333898476308E-3</v>
      </c>
    </row>
    <row r="2341" spans="24:28" x14ac:dyDescent="0.2">
      <c r="X2341" s="176" t="str">
        <f t="shared" si="70"/>
        <v>1w</v>
      </c>
      <c r="Y2341" s="164">
        <f>_xll.qlCalendarAdvance(Calendar,Y2340,X2341,"f",FALSE)</f>
        <v>55499</v>
      </c>
      <c r="Z2341" s="188">
        <f>_xll.qlCalendarAdvance(Calendar,Y2341,NDays&amp;"D")</f>
        <v>55501</v>
      </c>
      <c r="AA2341" s="163">
        <v>9.7012656580037493E-3</v>
      </c>
      <c r="AB2341" s="172">
        <v>9.7333936630583651E-3</v>
      </c>
    </row>
    <row r="2342" spans="24:28" x14ac:dyDescent="0.2">
      <c r="X2342" s="176" t="str">
        <f t="shared" si="70"/>
        <v>1w</v>
      </c>
      <c r="Y2342" s="164">
        <f>_xll.qlCalendarAdvance(Calendar,Y2341,X2342,"f",FALSE)</f>
        <v>55506</v>
      </c>
      <c r="Z2342" s="188">
        <f>_xll.qlCalendarAdvance(Calendar,Y2342,NDays&amp;"D")</f>
        <v>55508</v>
      </c>
      <c r="AA2342" s="163">
        <v>9.6967624029448418E-3</v>
      </c>
      <c r="AB2342" s="172">
        <v>9.7294147813542509E-3</v>
      </c>
    </row>
    <row r="2343" spans="24:28" x14ac:dyDescent="0.2">
      <c r="X2343" s="176" t="str">
        <f t="shared" si="70"/>
        <v>1w</v>
      </c>
      <c r="Y2343" s="164">
        <f>_xll.qlCalendarAdvance(Calendar,Y2342,X2343,"f",FALSE)</f>
        <v>55514</v>
      </c>
      <c r="Z2343" s="188">
        <f>_xll.qlCalendarAdvance(Calendar,Y2343,NDays&amp;"D")</f>
        <v>55516</v>
      </c>
      <c r="AA2343" s="163">
        <v>9.6917762084734183E-3</v>
      </c>
      <c r="AB2343" s="172">
        <v>9.7243465507790283E-3</v>
      </c>
    </row>
    <row r="2344" spans="24:28" x14ac:dyDescent="0.2">
      <c r="X2344" s="176" t="str">
        <f t="shared" si="70"/>
        <v>1w</v>
      </c>
      <c r="Y2344" s="164">
        <f>_xll.qlCalendarAdvance(Calendar,Y2343,X2344,"f",FALSE)</f>
        <v>55521</v>
      </c>
      <c r="Z2344" s="188">
        <f>_xll.qlCalendarAdvance(Calendar,Y2344,NDays&amp;"D")</f>
        <v>55523</v>
      </c>
      <c r="AA2344" s="163">
        <v>9.6871926528684631E-3</v>
      </c>
      <c r="AB2344" s="172">
        <v>9.7204372633186154E-3</v>
      </c>
    </row>
    <row r="2345" spans="24:28" x14ac:dyDescent="0.2">
      <c r="X2345" s="176" t="str">
        <f t="shared" si="70"/>
        <v>1w</v>
      </c>
      <c r="Y2345" s="164">
        <f>_xll.qlCalendarAdvance(Calendar,Y2344,X2345,"f",FALSE)</f>
        <v>55528</v>
      </c>
      <c r="Z2345" s="188">
        <f>_xll.qlCalendarAdvance(Calendar,Y2345,NDays&amp;"D")</f>
        <v>55530</v>
      </c>
      <c r="AA2345" s="163">
        <v>9.6825702734802E-3</v>
      </c>
      <c r="AB2345" s="172">
        <v>9.7163311796588658E-3</v>
      </c>
    </row>
    <row r="2346" spans="24:28" x14ac:dyDescent="0.2">
      <c r="X2346" s="176" t="str">
        <f t="shared" si="70"/>
        <v>1w</v>
      </c>
      <c r="Y2346" s="164">
        <f>_xll.qlCalendarAdvance(Calendar,Y2345,X2346,"f",FALSE)</f>
        <v>55535</v>
      </c>
      <c r="Z2346" s="188">
        <f>_xll.qlCalendarAdvance(Calendar,Y2346,NDays&amp;"D")</f>
        <v>55537</v>
      </c>
      <c r="AA2346" s="163">
        <v>9.677909070581376E-3</v>
      </c>
      <c r="AB2346" s="172">
        <v>9.7121864478477704E-3</v>
      </c>
    </row>
    <row r="2347" spans="24:28" x14ac:dyDescent="0.2">
      <c r="X2347" s="176" t="str">
        <f t="shared" si="70"/>
        <v>1w</v>
      </c>
      <c r="Y2347" s="164">
        <f>_xll.qlCalendarAdvance(Calendar,Y2346,X2347,"f",FALSE)</f>
        <v>55542</v>
      </c>
      <c r="Z2347" s="188">
        <f>_xll.qlCalendarAdvance(Calendar,Y2347,NDays&amp;"D")</f>
        <v>55544</v>
      </c>
      <c r="AA2347" s="163">
        <v>9.6732090444434232E-3</v>
      </c>
      <c r="AB2347" s="172">
        <v>9.7080030679119744E-3</v>
      </c>
    </row>
    <row r="2348" spans="24:28" x14ac:dyDescent="0.2">
      <c r="X2348" s="176" t="str">
        <f t="shared" si="70"/>
        <v>1w</v>
      </c>
      <c r="Y2348" s="164">
        <f>_xll.qlCalendarAdvance(Calendar,Y2347,X2348,"f",FALSE)</f>
        <v>55549</v>
      </c>
      <c r="Z2348" s="188">
        <f>_xll.qlCalendarAdvance(Calendar,Y2348,NDays&amp;"D")</f>
        <v>55551</v>
      </c>
      <c r="AA2348" s="163">
        <v>9.6684701953421645E-3</v>
      </c>
      <c r="AB2348" s="172">
        <v>9.7037810397715418E-3</v>
      </c>
    </row>
    <row r="2349" spans="24:28" x14ac:dyDescent="0.2">
      <c r="X2349" s="176" t="str">
        <f t="shared" si="70"/>
        <v>1w</v>
      </c>
      <c r="Y2349" s="164">
        <f>_xll.qlCalendarAdvance(Calendar,Y2348,X2349,"f",FALSE)</f>
        <v>55556</v>
      </c>
      <c r="Z2349" s="188">
        <f>_xll.qlCalendarAdvance(Calendar,Y2349,NDays&amp;"D")</f>
        <v>55558</v>
      </c>
      <c r="AA2349" s="163">
        <v>9.6636925235556188E-3</v>
      </c>
      <c r="AB2349" s="172">
        <v>9.6995203635064087E-3</v>
      </c>
    </row>
    <row r="2350" spans="24:28" x14ac:dyDescent="0.2">
      <c r="X2350" s="176" t="str">
        <f t="shared" si="70"/>
        <v>1w</v>
      </c>
      <c r="Y2350" s="164">
        <f>_xll.qlCalendarAdvance(Calendar,Y2349,X2350,"f",FALSE)</f>
        <v>55563</v>
      </c>
      <c r="Z2350" s="188">
        <f>_xll.qlCalendarAdvance(Calendar,Y2350,NDays&amp;"D")</f>
        <v>55565</v>
      </c>
      <c r="AA2350" s="163">
        <v>9.6588760293640028E-3</v>
      </c>
      <c r="AB2350" s="172">
        <v>9.6952210390632843E-3</v>
      </c>
    </row>
    <row r="2351" spans="24:28" x14ac:dyDescent="0.2">
      <c r="X2351" s="176" t="str">
        <f t="shared" si="70"/>
        <v>1w</v>
      </c>
      <c r="Y2351" s="164">
        <f>_xll.qlCalendarAdvance(Calendar,Y2350,X2351,"f",FALSE)</f>
        <v>55570</v>
      </c>
      <c r="Z2351" s="188">
        <f>_xll.qlCalendarAdvance(Calendar,Y2351,NDays&amp;"D")</f>
        <v>55572</v>
      </c>
      <c r="AA2351" s="163">
        <v>9.6540207130488501E-3</v>
      </c>
      <c r="AB2351" s="172">
        <v>9.6908830664688139E-3</v>
      </c>
    </row>
    <row r="2352" spans="24:28" x14ac:dyDescent="0.2">
      <c r="X2352" s="176" t="str">
        <f t="shared" si="70"/>
        <v>1w</v>
      </c>
      <c r="Y2352" s="164">
        <f>_xll.qlCalendarAdvance(Calendar,Y2351,X2352,"f",FALSE)</f>
        <v>55577</v>
      </c>
      <c r="Z2352" s="188">
        <f>_xll.qlCalendarAdvance(Calendar,Y2352,NDays&amp;"D")</f>
        <v>55579</v>
      </c>
      <c r="AA2352" s="163">
        <v>9.6484236570126419E-3</v>
      </c>
      <c r="AB2352" s="172">
        <v>9.6865064457762884E-3</v>
      </c>
    </row>
    <row r="2353" spans="24:28" x14ac:dyDescent="0.2">
      <c r="X2353" s="176" t="str">
        <f t="shared" si="70"/>
        <v>1w</v>
      </c>
      <c r="Y2353" s="164">
        <f>_xll.qlCalendarAdvance(Calendar,Y2352,X2353,"f",FALSE)</f>
        <v>55584</v>
      </c>
      <c r="Z2353" s="188">
        <f>_xll.qlCalendarAdvance(Calendar,Y2353,NDays&amp;"D")</f>
        <v>55586</v>
      </c>
      <c r="AA2353" s="163">
        <v>9.6434819823025594E-3</v>
      </c>
      <c r="AB2353" s="172">
        <v>9.6820911769324169E-3</v>
      </c>
    </row>
    <row r="2354" spans="24:28" x14ac:dyDescent="0.2">
      <c r="X2354" s="176" t="str">
        <f t="shared" si="70"/>
        <v>1w</v>
      </c>
      <c r="Y2354" s="164">
        <f>_xll.qlCalendarAdvance(Calendar,Y2353,X2354,"f",FALSE)</f>
        <v>55591</v>
      </c>
      <c r="Z2354" s="188">
        <f>_xll.qlCalendarAdvance(Calendar,Y2354,NDays&amp;"D")</f>
        <v>55593</v>
      </c>
      <c r="AA2354" s="163">
        <v>9.638501483484439E-3</v>
      </c>
      <c r="AB2354" s="172">
        <v>9.6776372599371996E-3</v>
      </c>
    </row>
    <row r="2355" spans="24:28" x14ac:dyDescent="0.2">
      <c r="X2355" s="176" t="str">
        <f t="shared" si="70"/>
        <v>1w</v>
      </c>
      <c r="Y2355" s="164">
        <f>_xll.qlCalendarAdvance(Calendar,Y2354,X2355,"f",FALSE)</f>
        <v>55598</v>
      </c>
      <c r="Z2355" s="188">
        <f>_xll.qlCalendarAdvance(Calendar,Y2355,NDays&amp;"D")</f>
        <v>55600</v>
      </c>
      <c r="AA2355" s="163">
        <v>9.6334821608559905E-3</v>
      </c>
      <c r="AB2355" s="172">
        <v>9.6731446948172817E-3</v>
      </c>
    </row>
    <row r="2356" spans="24:28" x14ac:dyDescent="0.2">
      <c r="X2356" s="176" t="str">
        <f t="shared" si="70"/>
        <v>1w</v>
      </c>
      <c r="Y2356" s="164">
        <f>_xll.qlCalendarAdvance(Calendar,Y2355,X2356,"f",FALSE)</f>
        <v>55605</v>
      </c>
      <c r="Z2356" s="188">
        <f>_xll.qlCalendarAdvance(Calendar,Y2356,NDays&amp;"D")</f>
        <v>55607</v>
      </c>
      <c r="AA2356" s="163">
        <v>9.6284240147140564E-3</v>
      </c>
      <c r="AB2356" s="172">
        <v>9.6686134815460179E-3</v>
      </c>
    </row>
    <row r="2357" spans="24:28" x14ac:dyDescent="0.2">
      <c r="X2357" s="176" t="str">
        <f t="shared" si="70"/>
        <v>1w</v>
      </c>
      <c r="Y2357" s="164">
        <f>_xll.qlCalendarAdvance(Calendar,Y2356,X2357,"f",FALSE)</f>
        <v>55612</v>
      </c>
      <c r="Z2357" s="188">
        <f>_xll.qlCalendarAdvance(Calendar,Y2357,NDays&amp;"D")</f>
        <v>55614</v>
      </c>
      <c r="AA2357" s="163">
        <v>9.6233270453628256E-3</v>
      </c>
      <c r="AB2357" s="172">
        <v>9.6640436202033442E-3</v>
      </c>
    </row>
    <row r="2358" spans="24:28" x14ac:dyDescent="0.2">
      <c r="X2358" s="176" t="str">
        <f t="shared" si="70"/>
        <v>1w</v>
      </c>
      <c r="Y2358" s="164">
        <f>_xll.qlCalendarAdvance(Calendar,Y2357,X2358,"f",FALSE)</f>
        <v>55619</v>
      </c>
      <c r="Z2358" s="188">
        <f>_xll.qlCalendarAdvance(Calendar,Y2358,NDays&amp;"D")</f>
        <v>55621</v>
      </c>
      <c r="AA2358" s="163">
        <v>9.6181912531038954E-3</v>
      </c>
      <c r="AB2358" s="172">
        <v>9.6594351107093246E-3</v>
      </c>
    </row>
    <row r="2359" spans="24:28" x14ac:dyDescent="0.2">
      <c r="X2359" s="176" t="str">
        <f t="shared" si="70"/>
        <v>1w</v>
      </c>
      <c r="Y2359" s="164">
        <f>_xll.qlCalendarAdvance(Calendar,Y2358,X2359,"f",FALSE)</f>
        <v>55626</v>
      </c>
      <c r="Z2359" s="188">
        <f>_xll.qlCalendarAdvance(Calendar,Y2359,NDays&amp;"D")</f>
        <v>55632</v>
      </c>
      <c r="AA2359" s="163">
        <v>9.6105552163001182E-3</v>
      </c>
      <c r="AB2359" s="172">
        <v>9.6525259347046699E-3</v>
      </c>
    </row>
    <row r="2360" spans="24:28" x14ac:dyDescent="0.2">
      <c r="X2360" s="176" t="str">
        <f t="shared" si="70"/>
        <v>1w</v>
      </c>
      <c r="Y2360" s="164">
        <f>_xll.qlCalendarAdvance(Calendar,Y2359,X2360,"f",FALSE)</f>
        <v>55633</v>
      </c>
      <c r="Z2360" s="188">
        <f>_xll.qlCalendarAdvance(Calendar,Y2360,NDays&amp;"D")</f>
        <v>55635</v>
      </c>
      <c r="AA2360" s="163">
        <v>9.6078032010913604E-3</v>
      </c>
      <c r="AB2360" s="172">
        <v>9.6501021474004745E-3</v>
      </c>
    </row>
    <row r="2361" spans="24:28" x14ac:dyDescent="0.2">
      <c r="X2361" s="176" t="str">
        <f t="shared" si="70"/>
        <v>1w</v>
      </c>
      <c r="Y2361" s="164">
        <f>_xll.qlCalendarAdvance(Calendar,Y2360,X2361,"f",FALSE)</f>
        <v>55641</v>
      </c>
      <c r="Z2361" s="188">
        <f>_xll.qlCalendarAdvance(Calendar,Y2361,NDays&amp;"D")</f>
        <v>55645</v>
      </c>
      <c r="AA2361" s="163">
        <v>9.6005501056005364E-3</v>
      </c>
      <c r="AB2361" s="172">
        <v>9.6437626722689629E-3</v>
      </c>
    </row>
    <row r="2362" spans="24:28" x14ac:dyDescent="0.2">
      <c r="X2362" s="176" t="str">
        <f t="shared" si="70"/>
        <v>1w</v>
      </c>
      <c r="Y2362" s="164">
        <f>_xll.qlCalendarAdvance(Calendar,Y2361,X2362,"f",FALSE)</f>
        <v>55648</v>
      </c>
      <c r="Z2362" s="188">
        <f>_xll.qlCalendarAdvance(Calendar,Y2362,NDays&amp;"D")</f>
        <v>55652</v>
      </c>
      <c r="AA2362" s="163">
        <v>9.5952453010436055E-3</v>
      </c>
      <c r="AB2362" s="172">
        <v>9.6389887837045052E-3</v>
      </c>
    </row>
    <row r="2363" spans="24:28" x14ac:dyDescent="0.2">
      <c r="X2363" s="176" t="str">
        <f t="shared" si="70"/>
        <v>1w</v>
      </c>
      <c r="Y2363" s="164">
        <f>_xll.qlCalendarAdvance(Calendar,Y2362,X2363,"f",FALSE)</f>
        <v>55655</v>
      </c>
      <c r="Z2363" s="188">
        <f>_xll.qlCalendarAdvance(Calendar,Y2363,NDays&amp;"D")</f>
        <v>55659</v>
      </c>
      <c r="AA2363" s="163">
        <v>9.5899016761992542E-3</v>
      </c>
      <c r="AB2363" s="172">
        <v>9.6341762490936844E-3</v>
      </c>
    </row>
    <row r="2364" spans="24:28" x14ac:dyDescent="0.2">
      <c r="X2364" s="176" t="str">
        <f t="shared" si="70"/>
        <v>1w</v>
      </c>
      <c r="Y2364" s="164">
        <f>_xll.qlCalendarAdvance(Calendar,Y2363,X2364,"f",FALSE)</f>
        <v>55662</v>
      </c>
      <c r="Z2364" s="188">
        <f>_xll.qlCalendarAdvance(Calendar,Y2364,NDays&amp;"D")</f>
        <v>55666</v>
      </c>
      <c r="AA2364" s="163">
        <v>9.5845192313846212E-3</v>
      </c>
      <c r="AB2364" s="172">
        <v>9.6293250682766285E-3</v>
      </c>
    </row>
    <row r="2365" spans="24:28" x14ac:dyDescent="0.2">
      <c r="X2365" s="176" t="str">
        <f t="shared" si="70"/>
        <v>1w</v>
      </c>
      <c r="Y2365" s="164">
        <f>_xll.qlCalendarAdvance(Calendar,Y2364,X2365,"f",FALSE)</f>
        <v>55669</v>
      </c>
      <c r="Z2365" s="188">
        <f>_xll.qlCalendarAdvance(Calendar,Y2365,NDays&amp;"D")</f>
        <v>55673</v>
      </c>
      <c r="AA2365" s="163">
        <v>9.5793713614614334E-3</v>
      </c>
      <c r="AB2365" s="172">
        <v>9.6244352413332734E-3</v>
      </c>
    </row>
    <row r="2366" spans="24:28" x14ac:dyDescent="0.2">
      <c r="X2366" s="176" t="str">
        <f t="shared" si="70"/>
        <v>1w</v>
      </c>
      <c r="Y2366" s="164">
        <f>_xll.qlCalendarAdvance(Calendar,Y2365,X2366,"f",FALSE)</f>
        <v>55676</v>
      </c>
      <c r="Z2366" s="188">
        <f>_xll.qlCalendarAdvance(Calendar,Y2366,NDays&amp;"D")</f>
        <v>55680</v>
      </c>
      <c r="AA2366" s="163">
        <v>9.5739141952483082E-3</v>
      </c>
      <c r="AB2366" s="172">
        <v>9.6195067681836832E-3</v>
      </c>
    </row>
    <row r="2367" spans="24:28" x14ac:dyDescent="0.2">
      <c r="X2367" s="176" t="str">
        <f t="shared" si="70"/>
        <v>1w</v>
      </c>
      <c r="Y2367" s="164">
        <f>_xll.qlCalendarAdvance(Calendar,Y2366,X2367,"f",FALSE)</f>
        <v>55683</v>
      </c>
      <c r="Z2367" s="188">
        <f>_xll.qlCalendarAdvance(Calendar,Y2367,NDays&amp;"D")</f>
        <v>55687</v>
      </c>
      <c r="AA2367" s="163">
        <v>9.5684182109520063E-3</v>
      </c>
      <c r="AB2367" s="172">
        <v>9.6145396489877299E-3</v>
      </c>
    </row>
    <row r="2368" spans="24:28" x14ac:dyDescent="0.2">
      <c r="X2368" s="176" t="str">
        <f t="shared" si="70"/>
        <v>1w</v>
      </c>
      <c r="Y2368" s="164">
        <f>_xll.qlCalendarAdvance(Calendar,Y2367,X2368,"f",FALSE)</f>
        <v>55690</v>
      </c>
      <c r="Z2368" s="188">
        <f>_xll.qlCalendarAdvance(Calendar,Y2368,NDays&amp;"D")</f>
        <v>55694</v>
      </c>
      <c r="AA2368" s="163">
        <v>9.5628834088953337E-3</v>
      </c>
      <c r="AB2368" s="172">
        <v>9.6095338835855415E-3</v>
      </c>
    </row>
    <row r="2369" spans="24:28" x14ac:dyDescent="0.2">
      <c r="X2369" s="176" t="str">
        <f t="shared" si="70"/>
        <v>1w</v>
      </c>
      <c r="Y2369" s="164">
        <f>_xll.qlCalendarAdvance(Calendar,Y2368,X2369,"f",FALSE)</f>
        <v>55697</v>
      </c>
      <c r="Z2369" s="188">
        <f>_xll.qlCalendarAdvance(Calendar,Y2369,NDays&amp;"D")</f>
        <v>55701</v>
      </c>
      <c r="AA2369" s="163">
        <v>9.5567393649009739E-3</v>
      </c>
      <c r="AB2369" s="172">
        <v>9.6044894719771179E-3</v>
      </c>
    </row>
    <row r="2370" spans="24:28" x14ac:dyDescent="0.2">
      <c r="X2370" s="176" t="str">
        <f t="shared" si="70"/>
        <v>1w</v>
      </c>
      <c r="Y2370" s="164">
        <f>_xll.qlCalendarAdvance(Calendar,Y2369,X2370,"f",FALSE)</f>
        <v>55704</v>
      </c>
      <c r="Z2370" s="188">
        <f>_xll.qlCalendarAdvance(Calendar,Y2370,NDays&amp;"D")</f>
        <v>55708</v>
      </c>
      <c r="AA2370" s="163">
        <v>9.5514093611230293E-3</v>
      </c>
      <c r="AB2370" s="172">
        <v>9.5994064142423952E-3</v>
      </c>
    </row>
    <row r="2371" spans="24:28" x14ac:dyDescent="0.2">
      <c r="X2371" s="176" t="str">
        <f t="shared" si="70"/>
        <v>1w</v>
      </c>
      <c r="Y2371" s="164">
        <f>_xll.qlCalendarAdvance(Calendar,Y2370,X2371,"f",FALSE)</f>
        <v>55711</v>
      </c>
      <c r="Z2371" s="188">
        <f>_xll.qlCalendarAdvance(Calendar,Y2371,NDays&amp;"D")</f>
        <v>55715</v>
      </c>
      <c r="AA2371" s="163">
        <v>9.5457551855696165E-3</v>
      </c>
      <c r="AB2371" s="172">
        <v>9.5942847104613094E-3</v>
      </c>
    </row>
    <row r="2372" spans="24:28" x14ac:dyDescent="0.2">
      <c r="X2372" s="176" t="str">
        <f t="shared" si="70"/>
        <v>1w</v>
      </c>
      <c r="Y2372" s="164">
        <f>_xll.qlCalendarAdvance(Calendar,Y2371,X2372,"f",FALSE)</f>
        <v>55718</v>
      </c>
      <c r="Z2372" s="188">
        <f>_xll.qlCalendarAdvance(Calendar,Y2372,NDays&amp;"D")</f>
        <v>55722</v>
      </c>
      <c r="AA2372" s="163">
        <v>9.5400621926607886E-3</v>
      </c>
      <c r="AB2372" s="172">
        <v>9.5891243605539245E-3</v>
      </c>
    </row>
    <row r="2373" spans="24:28" x14ac:dyDescent="0.2">
      <c r="X2373" s="176" t="str">
        <f t="shared" si="70"/>
        <v>1w</v>
      </c>
      <c r="Y2373" s="164">
        <f>_xll.qlCalendarAdvance(Calendar,Y2372,X2373,"f",FALSE)</f>
        <v>55725</v>
      </c>
      <c r="Z2373" s="188">
        <f>_xll.qlCalendarAdvance(Calendar,Y2373,NDays&amp;"D")</f>
        <v>55729</v>
      </c>
      <c r="AA2373" s="163">
        <v>9.5343303827336631E-3</v>
      </c>
      <c r="AB2373" s="172">
        <v>9.5839253643603683E-3</v>
      </c>
    </row>
    <row r="2374" spans="24:28" x14ac:dyDescent="0.2">
      <c r="X2374" s="176" t="str">
        <f t="shared" si="70"/>
        <v>1w</v>
      </c>
      <c r="Y2374" s="164">
        <f>_xll.qlCalendarAdvance(Calendar,Y2373,X2374,"f",FALSE)</f>
        <v>55732</v>
      </c>
      <c r="Z2374" s="188">
        <f>_xll.qlCalendarAdvance(Calendar,Y2374,NDays&amp;"D")</f>
        <v>55736</v>
      </c>
      <c r="AA2374" s="163">
        <v>9.5285597561279717E-3</v>
      </c>
      <c r="AB2374" s="172">
        <v>9.5786877221204492E-3</v>
      </c>
    </row>
    <row r="2375" spans="24:28" x14ac:dyDescent="0.2">
      <c r="X2375" s="176" t="str">
        <f t="shared" si="70"/>
        <v>1w</v>
      </c>
      <c r="Y2375" s="164">
        <f>_xll.qlCalendarAdvance(Calendar,Y2374,X2375,"f",FALSE)</f>
        <v>55739</v>
      </c>
      <c r="Z2375" s="188">
        <f>_xll.qlCalendarAdvance(Calendar,Y2375,NDays&amp;"D")</f>
        <v>55743</v>
      </c>
      <c r="AA2375" s="163">
        <v>9.5227503131860482E-3</v>
      </c>
      <c r="AB2375" s="172">
        <v>9.5734114337542309E-3</v>
      </c>
    </row>
    <row r="2376" spans="24:28" x14ac:dyDescent="0.2">
      <c r="X2376" s="176" t="str">
        <f t="shared" si="70"/>
        <v>1w</v>
      </c>
      <c r="Y2376" s="164">
        <f>_xll.qlCalendarAdvance(Calendar,Y2375,X2376,"f",FALSE)</f>
        <v>55746</v>
      </c>
      <c r="Z2376" s="188">
        <f>_xll.qlCalendarAdvance(Calendar,Y2376,NDays&amp;"D")</f>
        <v>55750</v>
      </c>
      <c r="AA2376" s="163">
        <v>9.5169020542519647E-3</v>
      </c>
      <c r="AB2376" s="172">
        <v>9.5680964993416495E-3</v>
      </c>
    </row>
    <row r="2377" spans="24:28" x14ac:dyDescent="0.2">
      <c r="X2377" s="176" t="str">
        <f t="shared" si="70"/>
        <v>1w</v>
      </c>
      <c r="Y2377" s="164">
        <f>_xll.qlCalendarAdvance(Calendar,Y2376,X2377,"f",FALSE)</f>
        <v>55753</v>
      </c>
      <c r="Z2377" s="188">
        <f>_xll.qlCalendarAdvance(Calendar,Y2377,NDays&amp;"D")</f>
        <v>55757</v>
      </c>
      <c r="AA2377" s="163">
        <v>9.5110149796710976E-3</v>
      </c>
      <c r="AB2377" s="172">
        <v>9.5627429186428969E-3</v>
      </c>
    </row>
    <row r="2378" spans="24:28" x14ac:dyDescent="0.2">
      <c r="X2378" s="176" t="str">
        <f t="shared" si="70"/>
        <v>1w</v>
      </c>
      <c r="Y2378" s="164">
        <f>_xll.qlCalendarAdvance(Calendar,Y2377,X2378,"f",FALSE)</f>
        <v>55760</v>
      </c>
      <c r="Z2378" s="188">
        <f>_xll.qlCalendarAdvance(Calendar,Y2378,NDays&amp;"D")</f>
        <v>55764</v>
      </c>
      <c r="AA2378" s="163">
        <v>9.5057115941711151E-3</v>
      </c>
      <c r="AB2378" s="172">
        <v>9.5573506919777174E-3</v>
      </c>
    </row>
    <row r="2379" spans="24:28" x14ac:dyDescent="0.2">
      <c r="X2379" s="176" t="str">
        <f t="shared" si="70"/>
        <v>1w</v>
      </c>
      <c r="Y2379" s="164">
        <f>_xll.qlCalendarAdvance(Calendar,Y2378,X2379,"f",FALSE)</f>
        <v>55767</v>
      </c>
      <c r="Z2379" s="188">
        <f>_xll.qlCalendarAdvance(Calendar,Y2379,NDays&amp;"D")</f>
        <v>55771</v>
      </c>
      <c r="AA2379" s="163">
        <v>9.4997527480851027E-3</v>
      </c>
      <c r="AB2379" s="172">
        <v>9.5519198191862387E-3</v>
      </c>
    </row>
    <row r="2380" spans="24:28" x14ac:dyDescent="0.2">
      <c r="X2380" s="176" t="str">
        <f t="shared" si="70"/>
        <v>1w</v>
      </c>
      <c r="Y2380" s="164">
        <f>_xll.qlCalendarAdvance(Calendar,Y2379,X2380,"f",FALSE)</f>
        <v>55774</v>
      </c>
      <c r="Z2380" s="188">
        <f>_xll.qlCalendarAdvance(Calendar,Y2380,NDays&amp;"D")</f>
        <v>55778</v>
      </c>
      <c r="AA2380" s="163">
        <v>9.4937550892017185E-3</v>
      </c>
      <c r="AB2380" s="172">
        <v>9.5464503000286527E-3</v>
      </c>
    </row>
    <row r="2381" spans="24:28" x14ac:dyDescent="0.2">
      <c r="X2381" s="176" t="str">
        <f t="shared" si="70"/>
        <v>1w</v>
      </c>
      <c r="Y2381" s="164">
        <f>_xll.qlCalendarAdvance(Calendar,Y2380,X2381,"f",FALSE)</f>
        <v>55781</v>
      </c>
      <c r="Z2381" s="188">
        <f>_xll.qlCalendarAdvance(Calendar,Y2381,NDays&amp;"D")</f>
        <v>55785</v>
      </c>
      <c r="AA2381" s="163">
        <v>9.48771861787189E-3</v>
      </c>
      <c r="AB2381" s="172">
        <v>9.5409421349845758E-3</v>
      </c>
    </row>
    <row r="2382" spans="24:28" x14ac:dyDescent="0.2">
      <c r="X2382" s="176" t="str">
        <f t="shared" si="70"/>
        <v>1w</v>
      </c>
      <c r="Y2382" s="164">
        <f>_xll.qlCalendarAdvance(Calendar,Y2381,X2382,"f",FALSE)</f>
        <v>55788</v>
      </c>
      <c r="Z2382" s="188">
        <f>_xll.qlCalendarAdvance(Calendar,Y2382,NDays&amp;"D")</f>
        <v>55792</v>
      </c>
      <c r="AA2382" s="163">
        <v>9.4816433344500593E-3</v>
      </c>
      <c r="AB2382" s="172">
        <v>9.5353953238141997E-3</v>
      </c>
    </row>
    <row r="2383" spans="24:28" x14ac:dyDescent="0.2">
      <c r="X2383" s="176" t="str">
        <f t="shared" si="70"/>
        <v>1w</v>
      </c>
      <c r="Y2383" s="164">
        <f>_xll.qlCalendarAdvance(Calendar,Y2382,X2383,"f",FALSE)</f>
        <v>55795</v>
      </c>
      <c r="Z2383" s="188">
        <f>_xll.qlCalendarAdvance(Calendar,Y2383,NDays&amp;"D")</f>
        <v>55799</v>
      </c>
      <c r="AA2383" s="163">
        <v>9.4752034740697155E-3</v>
      </c>
      <c r="AB2383" s="172">
        <v>9.5298098664375885E-3</v>
      </c>
    </row>
    <row r="2384" spans="24:28" x14ac:dyDescent="0.2">
      <c r="X2384" s="176" t="str">
        <f t="shared" si="70"/>
        <v>1w</v>
      </c>
      <c r="Y2384" s="164">
        <f>_xll.qlCalendarAdvance(Calendar,Y2383,X2384,"f",FALSE)</f>
        <v>55802</v>
      </c>
      <c r="Z2384" s="188">
        <f>_xll.qlCalendarAdvance(Calendar,Y2384,NDays&amp;"D")</f>
        <v>55806</v>
      </c>
      <c r="AA2384" s="163">
        <v>9.4693763327538694E-3</v>
      </c>
      <c r="AB2384" s="172">
        <v>9.5241857628547422E-3</v>
      </c>
    </row>
    <row r="2385" spans="24:28" x14ac:dyDescent="0.2">
      <c r="X2385" s="176" t="str">
        <f t="shared" si="70"/>
        <v>1w</v>
      </c>
      <c r="Y2385" s="164">
        <f>_xll.qlCalendarAdvance(Calendar,Y2384,X2385,"f",FALSE)</f>
        <v>55809</v>
      </c>
      <c r="Z2385" s="188">
        <f>_xll.qlCalendarAdvance(Calendar,Y2385,NDays&amp;"D")</f>
        <v>55813</v>
      </c>
      <c r="AA2385" s="163">
        <v>9.4631846151989347E-3</v>
      </c>
      <c r="AB2385" s="172">
        <v>9.5185230133054688E-3</v>
      </c>
    </row>
    <row r="2386" spans="24:28" x14ac:dyDescent="0.2">
      <c r="X2386" s="176" t="str">
        <f t="shared" si="70"/>
        <v>1w</v>
      </c>
      <c r="Y2386" s="164">
        <f>_xll.qlCalendarAdvance(Calendar,Y2385,X2386,"f",FALSE)</f>
        <v>55816</v>
      </c>
      <c r="Z2386" s="188">
        <f>_xll.qlCalendarAdvance(Calendar,Y2386,NDays&amp;"D")</f>
        <v>55820</v>
      </c>
      <c r="AA2386" s="163">
        <v>9.4569540869899691E-3</v>
      </c>
      <c r="AB2386" s="172">
        <v>9.5128216176298963E-3</v>
      </c>
    </row>
    <row r="2387" spans="24:28" x14ac:dyDescent="0.2">
      <c r="X2387" s="176" t="str">
        <f t="shared" si="70"/>
        <v>1w</v>
      </c>
      <c r="Y2387" s="164">
        <f>_xll.qlCalendarAdvance(Calendar,Y2386,X2387,"f",FALSE)</f>
        <v>55823</v>
      </c>
      <c r="Z2387" s="188">
        <f>_xll.qlCalendarAdvance(Calendar,Y2387,NDays&amp;"D")</f>
        <v>55827</v>
      </c>
      <c r="AA2387" s="163">
        <v>9.4506847484906367E-3</v>
      </c>
      <c r="AB2387" s="172">
        <v>9.5070815758280247E-3</v>
      </c>
    </row>
    <row r="2388" spans="24:28" x14ac:dyDescent="0.2">
      <c r="X2388" s="176" t="str">
        <f t="shared" si="70"/>
        <v>1w</v>
      </c>
      <c r="Y2388" s="164">
        <f>_xll.qlCalendarAdvance(Calendar,Y2387,X2388,"f",FALSE)</f>
        <v>55830</v>
      </c>
      <c r="Z2388" s="188">
        <f>_xll.qlCalendarAdvance(Calendar,Y2388,NDays&amp;"D")</f>
        <v>55834</v>
      </c>
      <c r="AA2388" s="163">
        <v>9.4443766000689971E-3</v>
      </c>
      <c r="AB2388" s="172">
        <v>9.5013028878199179E-3</v>
      </c>
    </row>
    <row r="2389" spans="24:28" x14ac:dyDescent="0.2">
      <c r="X2389" s="176" t="str">
        <f t="shared" ref="X2389:X2452" si="71">X2388</f>
        <v>1w</v>
      </c>
      <c r="Y2389" s="164">
        <f>_xll.qlCalendarAdvance(Calendar,Y2388,X2389,"f",FALSE)</f>
        <v>55837</v>
      </c>
      <c r="Z2389" s="188">
        <f>_xll.qlCalendarAdvance(Calendar,Y2389,NDays&amp;"D")</f>
        <v>55841</v>
      </c>
      <c r="AA2389" s="163">
        <v>9.43802964209574E-3</v>
      </c>
      <c r="AB2389" s="172">
        <v>9.4954855539253202E-3</v>
      </c>
    </row>
    <row r="2390" spans="24:28" x14ac:dyDescent="0.2">
      <c r="X2390" s="176" t="str">
        <f t="shared" si="71"/>
        <v>1w</v>
      </c>
      <c r="Y2390" s="164">
        <f>_xll.qlCalendarAdvance(Calendar,Y2389,X2390,"f",FALSE)</f>
        <v>55844</v>
      </c>
      <c r="Z2390" s="188">
        <f>_xll.qlCalendarAdvance(Calendar,Y2390,NDays&amp;"D")</f>
        <v>55848</v>
      </c>
      <c r="AA2390" s="163">
        <v>9.4316438749411195E-3</v>
      </c>
      <c r="AB2390" s="172">
        <v>9.4896295738244874E-3</v>
      </c>
    </row>
    <row r="2391" spans="24:28" x14ac:dyDescent="0.2">
      <c r="X2391" s="176" t="str">
        <f t="shared" si="71"/>
        <v>1w</v>
      </c>
      <c r="Y2391" s="164">
        <f>_xll.qlCalendarAdvance(Calendar,Y2390,X2391,"f",FALSE)</f>
        <v>55851</v>
      </c>
      <c r="Z2391" s="188">
        <f>_xll.qlCalendarAdvance(Calendar,Y2391,NDays&amp;"D")</f>
        <v>55855</v>
      </c>
      <c r="AA2391" s="163">
        <v>9.4252192989802211E-3</v>
      </c>
      <c r="AB2391" s="172">
        <v>9.4837349474374832E-3</v>
      </c>
    </row>
    <row r="2392" spans="24:28" x14ac:dyDescent="0.2">
      <c r="X2392" s="176" t="str">
        <f t="shared" si="71"/>
        <v>1w</v>
      </c>
      <c r="Y2392" s="164">
        <f>_xll.qlCalendarAdvance(Calendar,Y2391,X2392,"f",FALSE)</f>
        <v>55858</v>
      </c>
      <c r="Z2392" s="188">
        <f>_xll.qlCalendarAdvance(Calendar,Y2392,NDays&amp;"D")</f>
        <v>55862</v>
      </c>
      <c r="AA2392" s="163">
        <v>9.418755914589445E-3</v>
      </c>
      <c r="AB2392" s="172">
        <v>9.4778016751639882E-3</v>
      </c>
    </row>
    <row r="2393" spans="24:28" x14ac:dyDescent="0.2">
      <c r="X2393" s="176" t="str">
        <f t="shared" si="71"/>
        <v>1w</v>
      </c>
      <c r="Y2393" s="164">
        <f>_xll.qlCalendarAdvance(Calendar,Y2392,X2393,"f",FALSE)</f>
        <v>55865</v>
      </c>
      <c r="Z2393" s="188">
        <f>_xll.qlCalendarAdvance(Calendar,Y2393,NDays&amp;"D")</f>
        <v>55869</v>
      </c>
      <c r="AA2393" s="163">
        <v>9.4122537221473929E-3</v>
      </c>
      <c r="AB2393" s="172">
        <v>9.471829756764194E-3</v>
      </c>
    </row>
    <row r="2394" spans="24:28" x14ac:dyDescent="0.2">
      <c r="X2394" s="176" t="str">
        <f t="shared" si="71"/>
        <v>1w</v>
      </c>
      <c r="Y2394" s="164">
        <f>_xll.qlCalendarAdvance(Calendar,Y2393,X2394,"f",FALSE)</f>
        <v>55872</v>
      </c>
      <c r="Z2394" s="188">
        <f>_xll.qlCalendarAdvance(Calendar,Y2394,NDays&amp;"D")</f>
        <v>55876</v>
      </c>
      <c r="AA2394" s="163">
        <v>9.4057127220352945E-3</v>
      </c>
      <c r="AB2394" s="172">
        <v>9.4658191922381008E-3</v>
      </c>
    </row>
    <row r="2395" spans="24:28" x14ac:dyDescent="0.2">
      <c r="X2395" s="176" t="str">
        <f t="shared" si="71"/>
        <v>1w</v>
      </c>
      <c r="Y2395" s="164">
        <f>_xll.qlCalendarAdvance(Calendar,Y2394,X2395,"f",FALSE)</f>
        <v>55880</v>
      </c>
      <c r="Z2395" s="188">
        <f>_xll.qlCalendarAdvance(Calendar,Y2395,NDays&amp;"D")</f>
        <v>55884</v>
      </c>
      <c r="AA2395" s="163">
        <v>9.3985509361884899E-3</v>
      </c>
      <c r="AB2395" s="172">
        <v>9.4585928492740834E-3</v>
      </c>
    </row>
    <row r="2396" spans="24:28" x14ac:dyDescent="0.2">
      <c r="X2396" s="176" t="str">
        <f t="shared" si="71"/>
        <v>1w</v>
      </c>
      <c r="Y2396" s="164">
        <f>_xll.qlCalendarAdvance(Calendar,Y2395,X2396,"f",FALSE)</f>
        <v>55887</v>
      </c>
      <c r="Z2396" s="188">
        <f>_xll.qlCalendarAdvance(Calendar,Y2396,NDays&amp;"D")</f>
        <v>55891</v>
      </c>
      <c r="AA2396" s="163">
        <v>9.3919297223363733E-3</v>
      </c>
      <c r="AB2396" s="172">
        <v>9.452809276213614E-3</v>
      </c>
    </row>
    <row r="2397" spans="24:28" x14ac:dyDescent="0.2">
      <c r="X2397" s="176" t="str">
        <f t="shared" si="71"/>
        <v>1w</v>
      </c>
      <c r="Y2397" s="164">
        <f>_xll.qlCalendarAdvance(Calendar,Y2396,X2397,"f",FALSE)</f>
        <v>55894</v>
      </c>
      <c r="Z2397" s="188">
        <f>_xll.qlCalendarAdvance(Calendar,Y2397,NDays&amp;"D")</f>
        <v>55898</v>
      </c>
      <c r="AA2397" s="163">
        <v>9.3852697028872899E-3</v>
      </c>
      <c r="AB2397" s="172">
        <v>9.4466772526846654E-3</v>
      </c>
    </row>
    <row r="2398" spans="24:28" x14ac:dyDescent="0.2">
      <c r="X2398" s="176" t="str">
        <f t="shared" si="71"/>
        <v>1w</v>
      </c>
      <c r="Y2398" s="164">
        <f>_xll.qlCalendarAdvance(Calendar,Y2397,X2398,"f",FALSE)</f>
        <v>55901</v>
      </c>
      <c r="Z2398" s="188">
        <f>_xll.qlCalendarAdvance(Calendar,Y2398,NDays&amp;"D")</f>
        <v>55905</v>
      </c>
      <c r="AA2398" s="163">
        <v>9.3785708782281128E-3</v>
      </c>
      <c r="AB2398" s="172">
        <v>9.4405065828695456E-3</v>
      </c>
    </row>
    <row r="2399" spans="24:28" x14ac:dyDescent="0.2">
      <c r="X2399" s="176" t="str">
        <f t="shared" si="71"/>
        <v>1w</v>
      </c>
      <c r="Y2399" s="164">
        <f>_xll.qlCalendarAdvance(Calendar,Y2398,X2399,"f",FALSE)</f>
        <v>55908</v>
      </c>
      <c r="Z2399" s="188">
        <f>_xll.qlCalendarAdvance(Calendar,Y2399,NDays&amp;"D")</f>
        <v>55912</v>
      </c>
      <c r="AA2399" s="163">
        <v>9.3718332487496871E-3</v>
      </c>
      <c r="AB2399" s="172">
        <v>9.4342972669281266E-3</v>
      </c>
    </row>
    <row r="2400" spans="24:28" x14ac:dyDescent="0.2">
      <c r="X2400" s="176" t="str">
        <f t="shared" si="71"/>
        <v>1w</v>
      </c>
      <c r="Y2400" s="164">
        <f>_xll.qlCalendarAdvance(Calendar,Y2399,X2400,"f",FALSE)</f>
        <v>55915</v>
      </c>
      <c r="Z2400" s="188">
        <f>_xll.qlCalendarAdvance(Calendar,Y2400,NDays&amp;"D")</f>
        <v>55919</v>
      </c>
      <c r="AA2400" s="163">
        <v>9.3650568148446276E-3</v>
      </c>
      <c r="AB2400" s="172">
        <v>9.4280493050202807E-3</v>
      </c>
    </row>
    <row r="2401" spans="24:28" x14ac:dyDescent="0.2">
      <c r="X2401" s="176" t="str">
        <f t="shared" si="71"/>
        <v>1w</v>
      </c>
      <c r="Y2401" s="164">
        <f>_xll.qlCalendarAdvance(Calendar,Y2400,X2401,"f",FALSE)</f>
        <v>55922</v>
      </c>
      <c r="Z2401" s="188">
        <f>_xll.qlCalendarAdvance(Calendar,Y2401,NDays&amp;"D")</f>
        <v>55926</v>
      </c>
      <c r="AA2401" s="163">
        <v>9.3582415769077575E-3</v>
      </c>
      <c r="AB2401" s="172">
        <v>9.4217626969861357E-3</v>
      </c>
    </row>
    <row r="2402" spans="24:28" x14ac:dyDescent="0.2">
      <c r="X2402" s="176" t="str">
        <f t="shared" si="71"/>
        <v>1w</v>
      </c>
      <c r="Y2402" s="164">
        <f>_xll.qlCalendarAdvance(Calendar,Y2401,X2402,"f",FALSE)</f>
        <v>55929</v>
      </c>
      <c r="Z2402" s="188">
        <f>_xll.qlCalendarAdvance(Calendar,Y2402,NDays&amp;"D")</f>
        <v>55933</v>
      </c>
      <c r="AA2402" s="163">
        <v>9.3513875353369909E-3</v>
      </c>
      <c r="AB2402" s="172">
        <v>9.4154374429056276E-3</v>
      </c>
    </row>
    <row r="2403" spans="24:28" x14ac:dyDescent="0.2">
      <c r="X2403" s="176" t="str">
        <f t="shared" si="71"/>
        <v>1w</v>
      </c>
      <c r="Y2403" s="164">
        <f>_xll.qlCalendarAdvance(Calendar,Y2402,X2403,"f",FALSE)</f>
        <v>55936</v>
      </c>
      <c r="Z2403" s="188">
        <f>_xll.qlCalendarAdvance(Calendar,Y2403,NDays&amp;"D")</f>
        <v>55940</v>
      </c>
      <c r="AA2403" s="163">
        <v>9.344494690530683E-3</v>
      </c>
      <c r="AB2403" s="172">
        <v>9.4090735426988203E-3</v>
      </c>
    </row>
    <row r="2404" spans="24:28" x14ac:dyDescent="0.2">
      <c r="X2404" s="176" t="str">
        <f t="shared" si="71"/>
        <v>1w</v>
      </c>
      <c r="Y2404" s="164">
        <f>_xll.qlCalendarAdvance(Calendar,Y2403,X2404,"f",FALSE)</f>
        <v>55943</v>
      </c>
      <c r="Z2404" s="188">
        <f>_xll.qlCalendarAdvance(Calendar,Y2404,NDays&amp;"D")</f>
        <v>55947</v>
      </c>
      <c r="AA2404" s="163">
        <v>9.3363991049524031E-3</v>
      </c>
      <c r="AB2404" s="172">
        <v>9.4026709964456501E-3</v>
      </c>
    </row>
    <row r="2405" spans="24:28" x14ac:dyDescent="0.2">
      <c r="X2405" s="176" t="str">
        <f t="shared" si="71"/>
        <v>1w</v>
      </c>
      <c r="Y2405" s="164">
        <f>_xll.qlCalendarAdvance(Calendar,Y2404,X2405,"f",FALSE)</f>
        <v>55950</v>
      </c>
      <c r="Z2405" s="188">
        <f>_xll.qlCalendarAdvance(Calendar,Y2405,NDays&amp;"D")</f>
        <v>55954</v>
      </c>
      <c r="AA2405" s="163">
        <v>9.3294197987572533E-3</v>
      </c>
      <c r="AB2405" s="172">
        <v>9.3962298040661807E-3</v>
      </c>
    </row>
    <row r="2406" spans="24:28" x14ac:dyDescent="0.2">
      <c r="X2406" s="176" t="str">
        <f t="shared" si="71"/>
        <v>1w</v>
      </c>
      <c r="Y2406" s="164">
        <f>_xll.qlCalendarAdvance(Calendar,Y2405,X2406,"f",FALSE)</f>
        <v>55957</v>
      </c>
      <c r="Z2406" s="188">
        <f>_xll.qlCalendarAdvance(Calendar,Y2406,NDays&amp;"D")</f>
        <v>55961</v>
      </c>
      <c r="AA2406" s="163">
        <v>9.3224016880246938E-3</v>
      </c>
      <c r="AB2406" s="172">
        <v>9.3897499657202843E-3</v>
      </c>
    </row>
    <row r="2407" spans="24:28" x14ac:dyDescent="0.2">
      <c r="X2407" s="176" t="str">
        <f t="shared" si="71"/>
        <v>1w</v>
      </c>
      <c r="Y2407" s="164">
        <f>_xll.qlCalendarAdvance(Calendar,Y2406,X2407,"f",FALSE)</f>
        <v>55964</v>
      </c>
      <c r="Z2407" s="188">
        <f>_xll.qlCalendarAdvance(Calendar,Y2407,NDays&amp;"D")</f>
        <v>55968</v>
      </c>
      <c r="AA2407" s="163">
        <v>9.3153447731683069E-3</v>
      </c>
      <c r="AB2407" s="172">
        <v>9.3832314811681528E-3</v>
      </c>
    </row>
    <row r="2408" spans="24:28" x14ac:dyDescent="0.2">
      <c r="X2408" s="176" t="str">
        <f t="shared" si="71"/>
        <v>1w</v>
      </c>
      <c r="Y2408" s="164">
        <f>_xll.qlCalendarAdvance(Calendar,Y2407,X2408,"f",FALSE)</f>
        <v>55971</v>
      </c>
      <c r="Z2408" s="188">
        <f>_xll.qlCalendarAdvance(Calendar,Y2408,NDays&amp;"D")</f>
        <v>55975</v>
      </c>
      <c r="AA2408" s="163">
        <v>9.308649135869141E-3</v>
      </c>
      <c r="AB2408" s="172">
        <v>9.3766743505696581E-3</v>
      </c>
    </row>
    <row r="2409" spans="24:28" x14ac:dyDescent="0.2">
      <c r="X2409" s="176" t="str">
        <f t="shared" si="71"/>
        <v>1w</v>
      </c>
      <c r="Y2409" s="164">
        <f>_xll.qlCalendarAdvance(Calendar,Y2408,X2409,"f",FALSE)</f>
        <v>55982</v>
      </c>
      <c r="Z2409" s="188">
        <f>_xll.qlCalendarAdvance(Calendar,Y2409,NDays&amp;"D")</f>
        <v>55984</v>
      </c>
      <c r="AA2409" s="163">
        <v>9.2994728522253801E-3</v>
      </c>
      <c r="AB2409" s="172">
        <v>9.3681869680928287E-3</v>
      </c>
    </row>
    <row r="2410" spans="24:28" x14ac:dyDescent="0.2">
      <c r="X2410" s="176" t="str">
        <f t="shared" si="71"/>
        <v>1w</v>
      </c>
      <c r="Y2410" s="164">
        <f>_xll.qlCalendarAdvance(Calendar,Y2409,X2410,"f",FALSE)</f>
        <v>55989</v>
      </c>
      <c r="Z2410" s="188">
        <f>_xll.qlCalendarAdvance(Calendar,Y2410,NDays&amp;"D")</f>
        <v>55991</v>
      </c>
      <c r="AA2410" s="163">
        <v>9.2922913976359097E-3</v>
      </c>
      <c r="AB2410" s="172">
        <v>9.3615415036740757E-3</v>
      </c>
    </row>
    <row r="2411" spans="24:28" x14ac:dyDescent="0.2">
      <c r="X2411" s="176" t="str">
        <f t="shared" si="71"/>
        <v>1w</v>
      </c>
      <c r="Y2411" s="164">
        <f>_xll.qlCalendarAdvance(Calendar,Y2410,X2411,"f",FALSE)</f>
        <v>55996</v>
      </c>
      <c r="Z2411" s="188">
        <f>_xll.qlCalendarAdvance(Calendar,Y2411,NDays&amp;"D")</f>
        <v>55998</v>
      </c>
      <c r="AA2411" s="163">
        <v>9.2850711415563315E-3</v>
      </c>
      <c r="AB2411" s="172">
        <v>9.3548573932888957E-3</v>
      </c>
    </row>
    <row r="2412" spans="24:28" x14ac:dyDescent="0.2">
      <c r="X2412" s="176" t="str">
        <f t="shared" si="71"/>
        <v>1w</v>
      </c>
      <c r="Y2412" s="164">
        <f>_xll.qlCalendarAdvance(Calendar,Y2411,X2412,"f",FALSE)</f>
        <v>56003</v>
      </c>
      <c r="Z2412" s="188">
        <f>_xll.qlCalendarAdvance(Calendar,Y2412,NDays&amp;"D")</f>
        <v>56006</v>
      </c>
      <c r="AA2412" s="163">
        <v>9.2759452671010278E-3</v>
      </c>
      <c r="AB2412" s="172">
        <v>9.3464491333072885E-3</v>
      </c>
    </row>
    <row r="2413" spans="24:28" x14ac:dyDescent="0.2">
      <c r="X2413" s="176" t="str">
        <f t="shared" si="71"/>
        <v>1w</v>
      </c>
      <c r="Y2413" s="164">
        <f>_xll.qlCalendarAdvance(Calendar,Y2412,X2413,"f",FALSE)</f>
        <v>56010</v>
      </c>
      <c r="Z2413" s="188">
        <f>_xll.qlCalendarAdvance(Calendar,Y2413,NDays&amp;"D")</f>
        <v>56012</v>
      </c>
      <c r="AA2413" s="163">
        <v>9.2692662205808418E-3</v>
      </c>
      <c r="AB2413" s="172">
        <v>9.3413732340597022E-3</v>
      </c>
    </row>
    <row r="2414" spans="24:28" x14ac:dyDescent="0.2">
      <c r="X2414" s="176" t="str">
        <f t="shared" si="71"/>
        <v>1w</v>
      </c>
      <c r="Y2414" s="164">
        <f>_xll.qlCalendarAdvance(Calendar,Y2413,X2414,"f",FALSE)</f>
        <v>56017</v>
      </c>
      <c r="Z2414" s="188">
        <f>_xll.qlCalendarAdvance(Calendar,Y2414,NDays&amp;"D")</f>
        <v>56019</v>
      </c>
      <c r="AA2414" s="163">
        <v>9.2619206826579752E-3</v>
      </c>
      <c r="AB2414" s="172">
        <v>9.3345731853755609E-3</v>
      </c>
    </row>
    <row r="2415" spans="24:28" x14ac:dyDescent="0.2">
      <c r="X2415" s="176" t="str">
        <f t="shared" si="71"/>
        <v>1w</v>
      </c>
      <c r="Y2415" s="164">
        <f>_xll.qlCalendarAdvance(Calendar,Y2414,X2415,"f",FALSE)</f>
        <v>56024</v>
      </c>
      <c r="Z2415" s="188">
        <f>_xll.qlCalendarAdvance(Calendar,Y2415,NDays&amp;"D")</f>
        <v>56026</v>
      </c>
      <c r="AA2415" s="163">
        <v>9.2545363425173242E-3</v>
      </c>
      <c r="AB2415" s="172">
        <v>9.3277344907249926E-3</v>
      </c>
    </row>
    <row r="2416" spans="24:28" x14ac:dyDescent="0.2">
      <c r="X2416" s="176" t="str">
        <f t="shared" si="71"/>
        <v>1w</v>
      </c>
      <c r="Y2416" s="164">
        <f>_xll.qlCalendarAdvance(Calendar,Y2415,X2416,"f",FALSE)</f>
        <v>56031</v>
      </c>
      <c r="Z2416" s="188">
        <f>_xll.qlCalendarAdvance(Calendar,Y2416,NDays&amp;"D")</f>
        <v>56033</v>
      </c>
      <c r="AA2416" s="163">
        <v>9.2483878537849978E-3</v>
      </c>
      <c r="AB2416" s="172">
        <v>9.3208571499481252E-3</v>
      </c>
    </row>
    <row r="2417" spans="24:28" x14ac:dyDescent="0.2">
      <c r="X2417" s="176" t="str">
        <f t="shared" si="71"/>
        <v>1w</v>
      </c>
      <c r="Y2417" s="164">
        <f>_xll.qlCalendarAdvance(Calendar,Y2416,X2417,"f",FALSE)</f>
        <v>56038</v>
      </c>
      <c r="Z2417" s="188">
        <f>_xll.qlCalendarAdvance(Calendar,Y2417,NDays&amp;"D")</f>
        <v>56040</v>
      </c>
      <c r="AA2417" s="163">
        <v>9.2409347977813819E-3</v>
      </c>
      <c r="AB2417" s="172">
        <v>9.3139411631248947E-3</v>
      </c>
    </row>
    <row r="2418" spans="24:28" x14ac:dyDescent="0.2">
      <c r="X2418" s="176" t="str">
        <f t="shared" si="71"/>
        <v>1w</v>
      </c>
      <c r="Y2418" s="164">
        <f>_xll.qlCalendarAdvance(Calendar,Y2417,X2418,"f",FALSE)</f>
        <v>56045</v>
      </c>
      <c r="Z2418" s="188">
        <f>_xll.qlCalendarAdvance(Calendar,Y2418,NDays&amp;"D")</f>
        <v>56047</v>
      </c>
      <c r="AA2418" s="163">
        <v>9.2334429433143083E-3</v>
      </c>
      <c r="AB2418" s="172">
        <v>9.3069865303352373E-3</v>
      </c>
    </row>
    <row r="2419" spans="24:28" x14ac:dyDescent="0.2">
      <c r="X2419" s="176" t="str">
        <f t="shared" si="71"/>
        <v>1w</v>
      </c>
      <c r="Y2419" s="164">
        <f>_xll.qlCalendarAdvance(Calendar,Y2418,X2419,"f",FALSE)</f>
        <v>56052</v>
      </c>
      <c r="Z2419" s="188">
        <f>_xll.qlCalendarAdvance(Calendar,Y2419,NDays&amp;"D")</f>
        <v>56054</v>
      </c>
      <c r="AA2419" s="163">
        <v>9.225912290824952E-3</v>
      </c>
      <c r="AB2419" s="172">
        <v>9.2999932513393446E-3</v>
      </c>
    </row>
    <row r="2420" spans="24:28" x14ac:dyDescent="0.2">
      <c r="X2420" s="176" t="str">
        <f t="shared" si="71"/>
        <v>1w</v>
      </c>
      <c r="Y2420" s="164">
        <f>_xll.qlCalendarAdvance(Calendar,Y2419,X2420,"f",FALSE)</f>
        <v>56059</v>
      </c>
      <c r="Z2420" s="188">
        <f>_xll.qlCalendarAdvance(Calendar,Y2420,NDays&amp;"D")</f>
        <v>56061</v>
      </c>
      <c r="AA2420" s="163">
        <v>9.217032624095756E-3</v>
      </c>
      <c r="AB2420" s="172">
        <v>9.292961326377025E-3</v>
      </c>
    </row>
    <row r="2421" spans="24:28" x14ac:dyDescent="0.2">
      <c r="X2421" s="176" t="str">
        <f t="shared" si="71"/>
        <v>1w</v>
      </c>
      <c r="Y2421" s="164">
        <f>_xll.qlCalendarAdvance(Calendar,Y2420,X2421,"f",FALSE)</f>
        <v>56066</v>
      </c>
      <c r="Z2421" s="188">
        <f>_xll.qlCalendarAdvance(Calendar,Y2421,NDays&amp;"D")</f>
        <v>56068</v>
      </c>
      <c r="AA2421" s="163">
        <v>9.2094154800125318E-3</v>
      </c>
      <c r="AB2421" s="172">
        <v>9.2858907553683423E-3</v>
      </c>
    </row>
    <row r="2422" spans="24:28" x14ac:dyDescent="0.2">
      <c r="X2422" s="176" t="str">
        <f t="shared" si="71"/>
        <v>1w</v>
      </c>
      <c r="Y2422" s="164">
        <f>_xll.qlCalendarAdvance(Calendar,Y2421,X2422,"f",FALSE)</f>
        <v>56073</v>
      </c>
      <c r="Z2422" s="188">
        <f>_xll.qlCalendarAdvance(Calendar,Y2422,NDays&amp;"D")</f>
        <v>56075</v>
      </c>
      <c r="AA2422" s="163">
        <v>9.2017595368552446E-3</v>
      </c>
      <c r="AB2422" s="172">
        <v>9.2787815384731687E-3</v>
      </c>
    </row>
    <row r="2423" spans="24:28" x14ac:dyDescent="0.2">
      <c r="X2423" s="176" t="str">
        <f t="shared" si="71"/>
        <v>1w</v>
      </c>
      <c r="Y2423" s="164">
        <f>_xll.qlCalendarAdvance(Calendar,Y2422,X2423,"f",FALSE)</f>
        <v>56080</v>
      </c>
      <c r="Z2423" s="188">
        <f>_xll.qlCalendarAdvance(Calendar,Y2423,NDays&amp;"D")</f>
        <v>56082</v>
      </c>
      <c r="AA2423" s="163">
        <v>9.1940647950824565E-3</v>
      </c>
      <c r="AB2423" s="172">
        <v>9.2716336754516959E-3</v>
      </c>
    </row>
    <row r="2424" spans="24:28" x14ac:dyDescent="0.2">
      <c r="X2424" s="176" t="str">
        <f t="shared" si="71"/>
        <v>1w</v>
      </c>
      <c r="Y2424" s="164">
        <f>_xll.qlCalendarAdvance(Calendar,Y2423,X2424,"f",FALSE)</f>
        <v>56087</v>
      </c>
      <c r="Z2424" s="188">
        <f>_xll.qlCalendarAdvance(Calendar,Y2424,NDays&amp;"D")</f>
        <v>56089</v>
      </c>
      <c r="AA2424" s="163">
        <v>9.1863312551544399E-3</v>
      </c>
      <c r="AB2424" s="172">
        <v>9.264447166223988E-3</v>
      </c>
    </row>
    <row r="2425" spans="24:28" x14ac:dyDescent="0.2">
      <c r="X2425" s="176" t="str">
        <f t="shared" si="71"/>
        <v>1w</v>
      </c>
      <c r="Y2425" s="164">
        <f>_xll.qlCalendarAdvance(Calendar,Y2424,X2425,"f",FALSE)</f>
        <v>56094</v>
      </c>
      <c r="Z2425" s="188">
        <f>_xll.qlCalendarAdvance(Calendar,Y2425,NDays&amp;"D")</f>
        <v>56096</v>
      </c>
      <c r="AA2425" s="163">
        <v>9.1799136424286689E-3</v>
      </c>
      <c r="AB2425" s="172">
        <v>9.2572220111897252E-3</v>
      </c>
    </row>
    <row r="2426" spans="24:28" x14ac:dyDescent="0.2">
      <c r="X2426" s="176" t="str">
        <f t="shared" si="71"/>
        <v>1w</v>
      </c>
      <c r="Y2426" s="164">
        <f>_xll.qlCalendarAdvance(Calendar,Y2425,X2426,"f",FALSE)</f>
        <v>56101</v>
      </c>
      <c r="Z2426" s="188">
        <f>_xll.qlCalendarAdvance(Calendar,Y2426,NDays&amp;"D")</f>
        <v>56103</v>
      </c>
      <c r="AA2426" s="163">
        <v>9.1707477826893109E-3</v>
      </c>
      <c r="AB2426" s="172">
        <v>9.2499582100291633E-3</v>
      </c>
    </row>
    <row r="2427" spans="24:28" x14ac:dyDescent="0.2">
      <c r="X2427" s="176" t="str">
        <f t="shared" si="71"/>
        <v>1w</v>
      </c>
      <c r="Y2427" s="164">
        <f>_xll.qlCalendarAdvance(Calendar,Y2426,X2427,"f",FALSE)</f>
        <v>56108</v>
      </c>
      <c r="Z2427" s="188">
        <f>_xll.qlCalendarAdvance(Calendar,Y2427,NDays&amp;"D")</f>
        <v>56110</v>
      </c>
      <c r="AA2427" s="163">
        <v>9.1628978510852142E-3</v>
      </c>
      <c r="AB2427" s="172">
        <v>9.2426557628222383E-3</v>
      </c>
    </row>
    <row r="2428" spans="24:28" x14ac:dyDescent="0.2">
      <c r="X2428" s="176" t="str">
        <f t="shared" si="71"/>
        <v>1w</v>
      </c>
      <c r="Y2428" s="164">
        <f>_xll.qlCalendarAdvance(Calendar,Y2427,X2428,"f",FALSE)</f>
        <v>56115</v>
      </c>
      <c r="Z2428" s="188">
        <f>_xll.qlCalendarAdvance(Calendar,Y2428,NDays&amp;"D")</f>
        <v>56117</v>
      </c>
      <c r="AA2428" s="163">
        <v>9.1550091231927845E-3</v>
      </c>
      <c r="AB2428" s="172">
        <v>9.2353146696488864E-3</v>
      </c>
    </row>
    <row r="2429" spans="24:28" x14ac:dyDescent="0.2">
      <c r="X2429" s="176" t="str">
        <f t="shared" si="71"/>
        <v>1w</v>
      </c>
      <c r="Y2429" s="164">
        <f>_xll.qlCalendarAdvance(Calendar,Y2428,X2429,"f",FALSE)</f>
        <v>56122</v>
      </c>
      <c r="Z2429" s="188">
        <f>_xll.qlCalendarAdvance(Calendar,Y2429,NDays&amp;"D")</f>
        <v>56124</v>
      </c>
      <c r="AA2429" s="163">
        <v>9.1484719734518591E-3</v>
      </c>
      <c r="AB2429" s="172">
        <v>9.2279349305091074E-3</v>
      </c>
    </row>
    <row r="2430" spans="24:28" x14ac:dyDescent="0.2">
      <c r="X2430" s="176" t="str">
        <f t="shared" si="71"/>
        <v>1w</v>
      </c>
      <c r="Y2430" s="164">
        <f>_xll.qlCalendarAdvance(Calendar,Y2429,X2430,"f",FALSE)</f>
        <v>56129</v>
      </c>
      <c r="Z2430" s="188">
        <f>_xll.qlCalendarAdvance(Calendar,Y2430,NDays&amp;"D")</f>
        <v>56131</v>
      </c>
      <c r="AA2430" s="163">
        <v>9.1414459765356264E-3</v>
      </c>
      <c r="AB2430" s="172">
        <v>9.2205165451630933E-3</v>
      </c>
    </row>
    <row r="2431" spans="24:28" x14ac:dyDescent="0.2">
      <c r="X2431" s="176" t="str">
        <f t="shared" si="71"/>
        <v>1w</v>
      </c>
      <c r="Y2431" s="164">
        <f>_xll.qlCalendarAdvance(Calendar,Y2430,X2431,"f",FALSE)</f>
        <v>56136</v>
      </c>
      <c r="Z2431" s="188">
        <f>_xll.qlCalendarAdvance(Calendar,Y2431,NDays&amp;"D")</f>
        <v>56138</v>
      </c>
      <c r="AA2431" s="163">
        <v>9.1334557294025179E-3</v>
      </c>
      <c r="AB2431" s="172">
        <v>9.2130595140105243E-3</v>
      </c>
    </row>
    <row r="2432" spans="24:28" x14ac:dyDescent="0.2">
      <c r="X2432" s="176" t="str">
        <f t="shared" si="71"/>
        <v>1w</v>
      </c>
      <c r="Y2432" s="164">
        <f>_xll.qlCalendarAdvance(Calendar,Y2431,X2432,"f",FALSE)</f>
        <v>56143</v>
      </c>
      <c r="Z2432" s="188">
        <f>_xll.qlCalendarAdvance(Calendar,Y2432,NDays&amp;"D")</f>
        <v>56145</v>
      </c>
      <c r="AA2432" s="163">
        <v>9.1254266917348663E-3</v>
      </c>
      <c r="AB2432" s="172">
        <v>9.2055638366517201E-3</v>
      </c>
    </row>
    <row r="2433" spans="24:28" x14ac:dyDescent="0.2">
      <c r="X2433" s="176" t="str">
        <f t="shared" si="71"/>
        <v>1w</v>
      </c>
      <c r="Y2433" s="164">
        <f>_xll.qlCalendarAdvance(Calendar,Y2432,X2433,"f",FALSE)</f>
        <v>56150</v>
      </c>
      <c r="Z2433" s="188">
        <f>_xll.qlCalendarAdvance(Calendar,Y2433,NDays&amp;"D")</f>
        <v>56152</v>
      </c>
      <c r="AA2433" s="163">
        <v>9.1173588640003668E-3</v>
      </c>
      <c r="AB2433" s="172">
        <v>9.1980295134064249E-3</v>
      </c>
    </row>
    <row r="2434" spans="24:28" x14ac:dyDescent="0.2">
      <c r="X2434" s="176" t="str">
        <f t="shared" si="71"/>
        <v>1w</v>
      </c>
      <c r="Y2434" s="164">
        <f>_xll.qlCalendarAdvance(Calendar,Y2433,X2434,"f",FALSE)</f>
        <v>56157</v>
      </c>
      <c r="Z2434" s="188">
        <f>_xll.qlCalendarAdvance(Calendar,Y2434,NDays&amp;"D")</f>
        <v>56159</v>
      </c>
      <c r="AA2434" s="163">
        <v>9.108774793273414E-3</v>
      </c>
      <c r="AB2434" s="172">
        <v>9.1904565440348307E-3</v>
      </c>
    </row>
    <row r="2435" spans="24:28" x14ac:dyDescent="0.2">
      <c r="X2435" s="176" t="str">
        <f t="shared" si="71"/>
        <v>1w</v>
      </c>
      <c r="Y2435" s="164">
        <f>_xll.qlCalendarAdvance(Calendar,Y2434,X2435,"f",FALSE)</f>
        <v>56164</v>
      </c>
      <c r="Z2435" s="188">
        <f>_xll.qlCalendarAdvance(Calendar,Y2435,NDays&amp;"D")</f>
        <v>56166</v>
      </c>
      <c r="AA2435" s="163">
        <v>9.1006264106287468E-3</v>
      </c>
      <c r="AB2435" s="172">
        <v>9.1828449287767455E-3</v>
      </c>
    </row>
    <row r="2436" spans="24:28" x14ac:dyDescent="0.2">
      <c r="X2436" s="176" t="str">
        <f t="shared" si="71"/>
        <v>1w</v>
      </c>
      <c r="Y2436" s="164">
        <f>_xll.qlCalendarAdvance(Calendar,Y2435,X2436,"f",FALSE)</f>
        <v>56171</v>
      </c>
      <c r="Z2436" s="188">
        <f>_xll.qlCalendarAdvance(Calendar,Y2436,NDays&amp;"D")</f>
        <v>56173</v>
      </c>
      <c r="AA2436" s="163">
        <v>9.0924392385745914E-3</v>
      </c>
      <c r="AB2436" s="172">
        <v>9.1751946675522333E-3</v>
      </c>
    </row>
    <row r="2437" spans="24:28" x14ac:dyDescent="0.2">
      <c r="X2437" s="176" t="str">
        <f t="shared" si="71"/>
        <v>1w</v>
      </c>
      <c r="Y2437" s="164">
        <f>_xll.qlCalendarAdvance(Calendar,Y2436,X2437,"f",FALSE)</f>
        <v>56178</v>
      </c>
      <c r="Z2437" s="188">
        <f>_xll.qlCalendarAdvance(Calendar,Y2437,NDays&amp;"D")</f>
        <v>56180</v>
      </c>
      <c r="AA2437" s="163">
        <v>9.0842132775905676E-3</v>
      </c>
      <c r="AB2437" s="172">
        <v>9.167505760201422E-3</v>
      </c>
    </row>
    <row r="2438" spans="24:28" x14ac:dyDescent="0.2">
      <c r="X2438" s="176" t="str">
        <f t="shared" si="71"/>
        <v>1w</v>
      </c>
      <c r="Y2438" s="164">
        <f>_xll.qlCalendarAdvance(Calendar,Y2437,X2438,"f",FALSE)</f>
        <v>56185</v>
      </c>
      <c r="Z2438" s="188">
        <f>_xll.qlCalendarAdvance(Calendar,Y2438,NDays&amp;"D")</f>
        <v>56187</v>
      </c>
      <c r="AA2438" s="163">
        <v>9.0759485281593638E-3</v>
      </c>
      <c r="AB2438" s="172">
        <v>9.1597782069641198E-3</v>
      </c>
    </row>
    <row r="2439" spans="24:28" x14ac:dyDescent="0.2">
      <c r="X2439" s="176" t="str">
        <f t="shared" si="71"/>
        <v>1w</v>
      </c>
      <c r="Y2439" s="164">
        <f>_xll.qlCalendarAdvance(Calendar,Y2438,X2439,"f",FALSE)</f>
        <v>56192</v>
      </c>
      <c r="Z2439" s="188">
        <f>_xll.qlCalendarAdvance(Calendar,Y2439,NDays&amp;"D")</f>
        <v>56194</v>
      </c>
      <c r="AA2439" s="163">
        <v>9.0681373326717742E-3</v>
      </c>
      <c r="AB2439" s="172">
        <v>9.1520120076005185E-3</v>
      </c>
    </row>
    <row r="2440" spans="24:28" x14ac:dyDescent="0.2">
      <c r="X2440" s="176" t="str">
        <f t="shared" si="71"/>
        <v>1w</v>
      </c>
      <c r="Y2440" s="164">
        <f>_xll.qlCalendarAdvance(Calendar,Y2439,X2440,"f",FALSE)</f>
        <v>56199</v>
      </c>
      <c r="Z2440" s="188">
        <f>_xll.qlCalendarAdvance(Calendar,Y2440,NDays&amp;"D")</f>
        <v>56201</v>
      </c>
      <c r="AA2440" s="163">
        <v>9.0597979877590305E-3</v>
      </c>
      <c r="AB2440" s="172">
        <v>9.1442071622704901E-3</v>
      </c>
    </row>
    <row r="2441" spans="24:28" x14ac:dyDescent="0.2">
      <c r="X2441" s="176" t="str">
        <f t="shared" si="71"/>
        <v>1w</v>
      </c>
      <c r="Y2441" s="164">
        <f>_xll.qlCalendarAdvance(Calendar,Y2440,X2441,"f",FALSE)</f>
        <v>56206</v>
      </c>
      <c r="Z2441" s="188">
        <f>_xll.qlCalendarAdvance(Calendar,Y2441,NDays&amp;"D")</f>
        <v>56208</v>
      </c>
      <c r="AA2441" s="163">
        <v>9.0514198566035604E-3</v>
      </c>
      <c r="AB2441" s="172">
        <v>9.1363636710539708E-3</v>
      </c>
    </row>
    <row r="2442" spans="24:28" x14ac:dyDescent="0.2">
      <c r="X2442" s="176" t="str">
        <f t="shared" si="71"/>
        <v>1w</v>
      </c>
      <c r="Y2442" s="164">
        <f>_xll.qlCalendarAdvance(Calendar,Y2441,X2442,"f",FALSE)</f>
        <v>56213</v>
      </c>
      <c r="Z2442" s="188">
        <f>_xll.qlCalendarAdvance(Calendar,Y2442,NDays&amp;"D")</f>
        <v>56215</v>
      </c>
      <c r="AA2442" s="163">
        <v>9.0430029396929307E-3</v>
      </c>
      <c r="AB2442" s="172">
        <v>9.1284815337111525E-3</v>
      </c>
    </row>
    <row r="2443" spans="24:28" x14ac:dyDescent="0.2">
      <c r="X2443" s="176" t="str">
        <f t="shared" si="71"/>
        <v>1w</v>
      </c>
      <c r="Y2443" s="164">
        <f>_xll.qlCalendarAdvance(Calendar,Y2442,X2443,"f",FALSE)</f>
        <v>56220</v>
      </c>
      <c r="Z2443" s="188">
        <f>_xll.qlCalendarAdvance(Calendar,Y2443,NDays&amp;"D")</f>
        <v>56222</v>
      </c>
      <c r="AA2443" s="163">
        <v>9.0340429713163216E-3</v>
      </c>
      <c r="AB2443" s="172">
        <v>9.1205607504818431E-3</v>
      </c>
    </row>
    <row r="2444" spans="24:28" x14ac:dyDescent="0.2">
      <c r="X2444" s="176" t="str">
        <f t="shared" si="71"/>
        <v>1w</v>
      </c>
      <c r="Y2444" s="164">
        <f>_xll.qlCalendarAdvance(Calendar,Y2443,X2444,"f",FALSE)</f>
        <v>56227</v>
      </c>
      <c r="Z2444" s="188">
        <f>_xll.qlCalendarAdvance(Calendar,Y2444,NDays&amp;"D")</f>
        <v>56229</v>
      </c>
      <c r="AA2444" s="163">
        <v>9.0255455014479104E-3</v>
      </c>
      <c r="AB2444" s="172">
        <v>9.1126013212061707E-3</v>
      </c>
    </row>
    <row r="2445" spans="24:28" x14ac:dyDescent="0.2">
      <c r="X2445" s="176" t="str">
        <f t="shared" si="71"/>
        <v>1w</v>
      </c>
      <c r="Y2445" s="164">
        <f>_xll.qlCalendarAdvance(Calendar,Y2444,X2445,"f",FALSE)</f>
        <v>56234</v>
      </c>
      <c r="Z2445" s="188">
        <f>_xll.qlCalendarAdvance(Calendar,Y2445,NDays&amp;"D")</f>
        <v>56236</v>
      </c>
      <c r="AA2445" s="163">
        <v>9.0170092465700104E-3</v>
      </c>
      <c r="AB2445" s="172">
        <v>9.1046032460440074E-3</v>
      </c>
    </row>
    <row r="2446" spans="24:28" x14ac:dyDescent="0.2">
      <c r="X2446" s="176" t="str">
        <f t="shared" si="71"/>
        <v>1w</v>
      </c>
      <c r="Y2446" s="164">
        <f>_xll.qlCalendarAdvance(Calendar,Y2445,X2446,"f",FALSE)</f>
        <v>56241</v>
      </c>
      <c r="Z2446" s="188">
        <f>_xll.qlCalendarAdvance(Calendar,Y2446,NDays&amp;"D")</f>
        <v>56247</v>
      </c>
      <c r="AA2446" s="163">
        <v>9.0035167714135281E-3</v>
      </c>
      <c r="AB2446" s="172">
        <v>9.0919567613845231E-3</v>
      </c>
    </row>
    <row r="2447" spans="24:28" x14ac:dyDescent="0.2">
      <c r="X2447" s="176" t="str">
        <f t="shared" si="71"/>
        <v>1w</v>
      </c>
      <c r="Y2447" s="164">
        <f>_xll.qlCalendarAdvance(Calendar,Y2446,X2447,"f",FALSE)</f>
        <v>56248</v>
      </c>
      <c r="Z2447" s="188">
        <f>_xll.qlCalendarAdvance(Calendar,Y2447,NDays&amp;"D")</f>
        <v>56251</v>
      </c>
      <c r="AA2447" s="163">
        <v>8.9991033003663408E-3</v>
      </c>
      <c r="AB2447" s="172">
        <v>9.0864058800566028E-3</v>
      </c>
    </row>
    <row r="2448" spans="24:28" x14ac:dyDescent="0.2">
      <c r="X2448" s="176" t="str">
        <f t="shared" si="71"/>
        <v>1w</v>
      </c>
      <c r="Y2448" s="164">
        <f>_xll.qlCalendarAdvance(Calendar,Y2447,X2448,"f",FALSE)</f>
        <v>56255</v>
      </c>
      <c r="Z2448" s="188">
        <f>_xll.qlCalendarAdvance(Calendar,Y2448,NDays&amp;"D")</f>
        <v>56257</v>
      </c>
      <c r="AA2448" s="163">
        <v>8.9916869650163017E-3</v>
      </c>
      <c r="AB2448" s="172">
        <v>9.0803771444392112E-3</v>
      </c>
    </row>
    <row r="2449" spans="24:28" x14ac:dyDescent="0.2">
      <c r="X2449" s="176" t="str">
        <f t="shared" si="71"/>
        <v>1w</v>
      </c>
      <c r="Y2449" s="164">
        <f>_xll.qlCalendarAdvance(Calendar,Y2448,X2449,"f",FALSE)</f>
        <v>56262</v>
      </c>
      <c r="Z2449" s="188">
        <f>_xll.qlCalendarAdvance(Calendar,Y2449,NDays&amp;"D")</f>
        <v>56264</v>
      </c>
      <c r="AA2449" s="163">
        <v>8.9829985616851436E-3</v>
      </c>
      <c r="AB2449" s="172">
        <v>9.0722244852514677E-3</v>
      </c>
    </row>
    <row r="2450" spans="24:28" x14ac:dyDescent="0.2">
      <c r="X2450" s="176" t="str">
        <f t="shared" si="71"/>
        <v>1w</v>
      </c>
      <c r="Y2450" s="164">
        <f>_xll.qlCalendarAdvance(Calendar,Y2449,X2450,"f",FALSE)</f>
        <v>56269</v>
      </c>
      <c r="Z2450" s="188">
        <f>_xll.qlCalendarAdvance(Calendar,Y2450,NDays&amp;"D")</f>
        <v>56271</v>
      </c>
      <c r="AA2450" s="163">
        <v>8.9742713765876819E-3</v>
      </c>
      <c r="AB2450" s="172">
        <v>9.0640331801772334E-3</v>
      </c>
    </row>
    <row r="2451" spans="24:28" x14ac:dyDescent="0.2">
      <c r="X2451" s="176" t="str">
        <f t="shared" si="71"/>
        <v>1w</v>
      </c>
      <c r="Y2451" s="164">
        <f>_xll.qlCalendarAdvance(Calendar,Y2450,X2451,"f",FALSE)</f>
        <v>56276</v>
      </c>
      <c r="Z2451" s="188">
        <f>_xll.qlCalendarAdvance(Calendar,Y2451,NDays&amp;"D")</f>
        <v>56278</v>
      </c>
      <c r="AA2451" s="163">
        <v>8.9655054102300256E-3</v>
      </c>
      <c r="AB2451" s="172">
        <v>9.055803229216508E-3</v>
      </c>
    </row>
    <row r="2452" spans="24:28" x14ac:dyDescent="0.2">
      <c r="X2452" s="176" t="str">
        <f t="shared" si="71"/>
        <v>1w</v>
      </c>
      <c r="Y2452" s="164">
        <f>_xll.qlCalendarAdvance(Calendar,Y2451,X2452,"f",FALSE)</f>
        <v>56283</v>
      </c>
      <c r="Z2452" s="188">
        <f>_xll.qlCalendarAdvance(Calendar,Y2452,NDays&amp;"D")</f>
        <v>56285</v>
      </c>
      <c r="AA2452" s="163">
        <v>8.9567006631253599E-3</v>
      </c>
      <c r="AB2452" s="172">
        <v>9.0475346321294836E-3</v>
      </c>
    </row>
    <row r="2453" spans="24:28" x14ac:dyDescent="0.2">
      <c r="X2453" s="176" t="str">
        <f t="shared" ref="X2453:X2516" si="72">X2452</f>
        <v>1w</v>
      </c>
      <c r="Y2453" s="164">
        <f>_xll.qlCalendarAdvance(Calendar,Y2452,X2453,"f",FALSE)</f>
        <v>56290</v>
      </c>
      <c r="Z2453" s="188">
        <f>_xll.qlCalendarAdvance(Calendar,Y2453,NDays&amp;"D")</f>
        <v>56292</v>
      </c>
      <c r="AA2453" s="163">
        <v>8.947857135785095E-3</v>
      </c>
      <c r="AB2453" s="172">
        <v>9.0392273890760322E-3</v>
      </c>
    </row>
    <row r="2454" spans="24:28" x14ac:dyDescent="0.2">
      <c r="X2454" s="176" t="str">
        <f t="shared" si="72"/>
        <v>1w</v>
      </c>
      <c r="Y2454" s="164">
        <f>_xll.qlCalendarAdvance(Calendar,Y2453,X2454,"f",FALSE)</f>
        <v>56297</v>
      </c>
      <c r="Z2454" s="188">
        <f>_xll.qlCalendarAdvance(Calendar,Y2454,NDays&amp;"D")</f>
        <v>56299</v>
      </c>
      <c r="AA2454" s="163">
        <v>8.9389748287250648E-3</v>
      </c>
      <c r="AB2454" s="172">
        <v>9.0308815001360898E-3</v>
      </c>
    </row>
    <row r="2455" spans="24:28" x14ac:dyDescent="0.2">
      <c r="X2455" s="176" t="str">
        <f t="shared" si="72"/>
        <v>1w</v>
      </c>
      <c r="Y2455" s="164">
        <f>_xll.qlCalendarAdvance(Calendar,Y2454,X2455,"f",FALSE)</f>
        <v>56304</v>
      </c>
      <c r="Z2455" s="188">
        <f>_xll.qlCalendarAdvance(Calendar,Y2455,NDays&amp;"D")</f>
        <v>56306</v>
      </c>
      <c r="AA2455" s="163">
        <v>8.9300537424633047E-3</v>
      </c>
      <c r="AB2455" s="172">
        <v>9.0224969652297204E-3</v>
      </c>
    </row>
    <row r="2456" spans="24:28" x14ac:dyDescent="0.2">
      <c r="X2456" s="176" t="str">
        <f t="shared" si="72"/>
        <v>1w</v>
      </c>
      <c r="Y2456" s="164">
        <f>_xll.qlCalendarAdvance(Calendar,Y2455,X2456,"f",FALSE)</f>
        <v>56311</v>
      </c>
      <c r="Z2456" s="188">
        <f>_xll.qlCalendarAdvance(Calendar,Y2456,NDays&amp;"D")</f>
        <v>56313</v>
      </c>
      <c r="AA2456" s="163">
        <v>8.9183754306986253E-3</v>
      </c>
      <c r="AB2456" s="172">
        <v>9.0140737843569241E-3</v>
      </c>
    </row>
    <row r="2457" spans="24:28" x14ac:dyDescent="0.2">
      <c r="X2457" s="176" t="str">
        <f t="shared" si="72"/>
        <v>1w</v>
      </c>
      <c r="Y2457" s="164">
        <f>_xll.qlCalendarAdvance(Calendar,Y2456,X2457,"f",FALSE)</f>
        <v>56318</v>
      </c>
      <c r="Z2457" s="188">
        <f>_xll.qlCalendarAdvance(Calendar,Y2457,NDays&amp;"D")</f>
        <v>56320</v>
      </c>
      <c r="AA2457" s="163">
        <v>8.9093618253638183E-3</v>
      </c>
      <c r="AB2457" s="172">
        <v>9.0056119575976368E-3</v>
      </c>
    </row>
    <row r="2458" spans="24:28" x14ac:dyDescent="0.2">
      <c r="X2458" s="176" t="str">
        <f t="shared" si="72"/>
        <v>1w</v>
      </c>
      <c r="Y2458" s="164">
        <f>_xll.qlCalendarAdvance(Calendar,Y2457,X2458,"f",FALSE)</f>
        <v>56325</v>
      </c>
      <c r="Z2458" s="188">
        <f>_xll.qlCalendarAdvance(Calendar,Y2458,NDays&amp;"D")</f>
        <v>56327</v>
      </c>
      <c r="AA2458" s="163">
        <v>8.9003094389233737E-3</v>
      </c>
      <c r="AB2458" s="172">
        <v>8.9971114848719225E-3</v>
      </c>
    </row>
    <row r="2459" spans="24:28" x14ac:dyDescent="0.2">
      <c r="X2459" s="176" t="str">
        <f t="shared" si="72"/>
        <v>1w</v>
      </c>
      <c r="Y2459" s="164">
        <f>_xll.qlCalendarAdvance(Calendar,Y2458,X2459,"f",FALSE)</f>
        <v>56332</v>
      </c>
      <c r="Z2459" s="188">
        <f>_xll.qlCalendarAdvance(Calendar,Y2459,NDays&amp;"D")</f>
        <v>56334</v>
      </c>
      <c r="AA2459" s="163">
        <v>8.8912182719183639E-3</v>
      </c>
      <c r="AB2459" s="172">
        <v>8.9865733557505934E-3</v>
      </c>
    </row>
    <row r="2460" spans="24:28" x14ac:dyDescent="0.2">
      <c r="X2460" s="176" t="str">
        <f t="shared" si="72"/>
        <v>1w</v>
      </c>
      <c r="Y2460" s="164">
        <f>_xll.qlCalendarAdvance(Calendar,Y2459,X2460,"f",FALSE)</f>
        <v>56339</v>
      </c>
      <c r="Z2460" s="188">
        <f>_xll.qlCalendarAdvance(Calendar,Y2460,NDays&amp;"D")</f>
        <v>56341</v>
      </c>
      <c r="AA2460" s="163">
        <v>8.8837561992220794E-3</v>
      </c>
      <c r="AB2460" s="172">
        <v>8.9799946013613408E-3</v>
      </c>
    </row>
    <row r="2461" spans="24:28" x14ac:dyDescent="0.2">
      <c r="X2461" s="176" t="str">
        <f t="shared" si="72"/>
        <v>1w</v>
      </c>
      <c r="Y2461" s="164">
        <f>_xll.qlCalendarAdvance(Calendar,Y2460,X2461,"f",FALSE)</f>
        <v>56346</v>
      </c>
      <c r="Z2461" s="188">
        <f>_xll.qlCalendarAdvance(Calendar,Y2461,NDays&amp;"D")</f>
        <v>56348</v>
      </c>
      <c r="AA2461" s="163">
        <v>8.8745964586503662E-3</v>
      </c>
      <c r="AB2461" s="172">
        <v>8.9713781908962176E-3</v>
      </c>
    </row>
    <row r="2462" spans="24:28" x14ac:dyDescent="0.2">
      <c r="X2462" s="176" t="str">
        <f t="shared" si="72"/>
        <v>1w</v>
      </c>
      <c r="Y2462" s="164">
        <f>_xll.qlCalendarAdvance(Calendar,Y2461,X2462,"f",FALSE)</f>
        <v>56353</v>
      </c>
      <c r="Z2462" s="188">
        <f>_xll.qlCalendarAdvance(Calendar,Y2462,NDays&amp;"D")</f>
        <v>56355</v>
      </c>
      <c r="AA2462" s="163">
        <v>8.8653979411983681E-3</v>
      </c>
      <c r="AB2462" s="172">
        <v>8.9627231343847313E-3</v>
      </c>
    </row>
    <row r="2463" spans="24:28" x14ac:dyDescent="0.2">
      <c r="X2463" s="176" t="str">
        <f t="shared" si="72"/>
        <v>1w</v>
      </c>
      <c r="Y2463" s="164">
        <f>_xll.qlCalendarAdvance(Calendar,Y2462,X2463,"f",FALSE)</f>
        <v>56360</v>
      </c>
      <c r="Z2463" s="188">
        <f>_xll.qlCalendarAdvance(Calendar,Y2463,NDays&amp;"D")</f>
        <v>56362</v>
      </c>
      <c r="AA2463" s="163">
        <v>8.856160647407291E-3</v>
      </c>
      <c r="AB2463" s="172">
        <v>8.9540294319867542E-3</v>
      </c>
    </row>
    <row r="2464" spans="24:28" x14ac:dyDescent="0.2">
      <c r="X2464" s="176" t="str">
        <f t="shared" si="72"/>
        <v>1w</v>
      </c>
      <c r="Y2464" s="164">
        <f>_xll.qlCalendarAdvance(Calendar,Y2463,X2464,"f",FALSE)</f>
        <v>56367</v>
      </c>
      <c r="Z2464" s="188">
        <f>_xll.qlCalendarAdvance(Calendar,Y2464,NDays&amp;"D")</f>
        <v>56369</v>
      </c>
      <c r="AA2464" s="163">
        <v>8.8468845778227074E-3</v>
      </c>
      <c r="AB2464" s="172">
        <v>8.943753620564987E-3</v>
      </c>
    </row>
    <row r="2465" spans="24:28" x14ac:dyDescent="0.2">
      <c r="X2465" s="176" t="str">
        <f t="shared" si="72"/>
        <v>1w</v>
      </c>
      <c r="Y2465" s="164">
        <f>_xll.qlCalendarAdvance(Calendar,Y2464,X2465,"f",FALSE)</f>
        <v>56374</v>
      </c>
      <c r="Z2465" s="188">
        <f>_xll.qlCalendarAdvance(Calendar,Y2465,NDays&amp;"D")</f>
        <v>56376</v>
      </c>
      <c r="AA2465" s="163">
        <v>8.8358569086827328E-3</v>
      </c>
      <c r="AB2465" s="172">
        <v>8.9365260892115828E-3</v>
      </c>
    </row>
    <row r="2466" spans="24:28" x14ac:dyDescent="0.2">
      <c r="X2466" s="176" t="str">
        <f t="shared" si="72"/>
        <v>1w</v>
      </c>
      <c r="Y2466" s="164">
        <f>_xll.qlCalendarAdvance(Calendar,Y2465,X2466,"f",FALSE)</f>
        <v>56381</v>
      </c>
      <c r="Z2466" s="188">
        <f>_xll.qlCalendarAdvance(Calendar,Y2466,NDays&amp;"D")</f>
        <v>56383</v>
      </c>
      <c r="AA2466" s="163">
        <v>8.8264942930992678E-3</v>
      </c>
      <c r="AB2466" s="172">
        <v>8.9277164489942606E-3</v>
      </c>
    </row>
    <row r="2467" spans="24:28" x14ac:dyDescent="0.2">
      <c r="X2467" s="176" t="str">
        <f t="shared" si="72"/>
        <v>1w</v>
      </c>
      <c r="Y2467" s="164">
        <f>_xll.qlCalendarAdvance(Calendar,Y2466,X2467,"f",FALSE)</f>
        <v>56388</v>
      </c>
      <c r="Z2467" s="188">
        <f>_xll.qlCalendarAdvance(Calendar,Y2467,NDays&amp;"D")</f>
        <v>56390</v>
      </c>
      <c r="AA2467" s="163">
        <v>8.8170929013709279E-3</v>
      </c>
      <c r="AB2467" s="172">
        <v>8.9188681628105115E-3</v>
      </c>
    </row>
    <row r="2468" spans="24:28" x14ac:dyDescent="0.2">
      <c r="X2468" s="176" t="str">
        <f t="shared" si="72"/>
        <v>1w</v>
      </c>
      <c r="Y2468" s="164">
        <f>_xll.qlCalendarAdvance(Calendar,Y2467,X2468,"f",FALSE)</f>
        <v>56395</v>
      </c>
      <c r="Z2468" s="188">
        <f>_xll.qlCalendarAdvance(Calendar,Y2468,NDays&amp;"D")</f>
        <v>56397</v>
      </c>
      <c r="AA2468" s="163">
        <v>8.8076527340615624E-3</v>
      </c>
      <c r="AB2468" s="172">
        <v>8.9099812308202075E-3</v>
      </c>
    </row>
    <row r="2469" spans="24:28" x14ac:dyDescent="0.2">
      <c r="X2469" s="176" t="str">
        <f t="shared" si="72"/>
        <v>1w</v>
      </c>
      <c r="Y2469" s="164">
        <f>_xll.qlCalendarAdvance(Calendar,Y2468,X2469,"f",FALSE)</f>
        <v>56402</v>
      </c>
      <c r="Z2469" s="188">
        <f>_xll.qlCalendarAdvance(Calendar,Y2469,NDays&amp;"D")</f>
        <v>56404</v>
      </c>
      <c r="AA2469" s="163">
        <v>8.7999226121862392E-3</v>
      </c>
      <c r="AB2469" s="172">
        <v>8.9010556527835405E-3</v>
      </c>
    </row>
    <row r="2470" spans="24:28" x14ac:dyDescent="0.2">
      <c r="X2470" s="176" t="str">
        <f t="shared" si="72"/>
        <v>1w</v>
      </c>
      <c r="Y2470" s="164">
        <f>_xll.qlCalendarAdvance(Calendar,Y2469,X2470,"f",FALSE)</f>
        <v>56409</v>
      </c>
      <c r="Z2470" s="188">
        <f>_xll.qlCalendarAdvance(Calendar,Y2470,NDays&amp;"D")</f>
        <v>56411</v>
      </c>
      <c r="AA2470" s="163">
        <v>8.7904138993902953E-3</v>
      </c>
      <c r="AB2470" s="172">
        <v>8.8920914289403186E-3</v>
      </c>
    </row>
    <row r="2471" spans="24:28" x14ac:dyDescent="0.2">
      <c r="X2471" s="176" t="str">
        <f t="shared" si="72"/>
        <v>1w</v>
      </c>
      <c r="Y2471" s="164">
        <f>_xll.qlCalendarAdvance(Calendar,Y2470,X2471,"f",FALSE)</f>
        <v>56416</v>
      </c>
      <c r="Z2471" s="188">
        <f>_xll.qlCalendarAdvance(Calendar,Y2471,NDays&amp;"D")</f>
        <v>56418</v>
      </c>
      <c r="AA2471" s="163">
        <v>8.7808664146727198E-3</v>
      </c>
      <c r="AB2471" s="172">
        <v>8.8830885590507336E-3</v>
      </c>
    </row>
    <row r="2472" spans="24:28" x14ac:dyDescent="0.2">
      <c r="X2472" s="176" t="str">
        <f t="shared" si="72"/>
        <v>1w</v>
      </c>
      <c r="Y2472" s="164">
        <f>_xll.qlCalendarAdvance(Calendar,Y2471,X2472,"f",FALSE)</f>
        <v>56423</v>
      </c>
      <c r="Z2472" s="188">
        <f>_xll.qlCalendarAdvance(Calendar,Y2472,NDays&amp;"D")</f>
        <v>56425</v>
      </c>
      <c r="AA2472" s="163">
        <v>8.7695043203471438E-3</v>
      </c>
      <c r="AB2472" s="172">
        <v>8.8740470433545937E-3</v>
      </c>
    </row>
    <row r="2473" spans="24:28" x14ac:dyDescent="0.2">
      <c r="X2473" s="176" t="str">
        <f t="shared" si="72"/>
        <v>1w</v>
      </c>
      <c r="Y2473" s="164">
        <f>_xll.qlCalendarAdvance(Calendar,Y2472,X2473,"f",FALSE)</f>
        <v>56430</v>
      </c>
      <c r="Z2473" s="188">
        <f>_xll.qlCalendarAdvance(Calendar,Y2473,NDays&amp;"D")</f>
        <v>56432</v>
      </c>
      <c r="AA2473" s="163">
        <v>8.7598702836548647E-3</v>
      </c>
      <c r="AB2473" s="172">
        <v>8.8649668816920268E-3</v>
      </c>
    </row>
    <row r="2474" spans="24:28" x14ac:dyDescent="0.2">
      <c r="X2474" s="176" t="str">
        <f t="shared" si="72"/>
        <v>1w</v>
      </c>
      <c r="Y2474" s="164">
        <f>_xll.qlCalendarAdvance(Calendar,Y2473,X2474,"f",FALSE)</f>
        <v>56437</v>
      </c>
      <c r="Z2474" s="188">
        <f>_xll.qlCalendarAdvance(Calendar,Y2474,NDays&amp;"D")</f>
        <v>56439</v>
      </c>
      <c r="AA2474" s="163">
        <v>8.7501974748067785E-3</v>
      </c>
      <c r="AB2474" s="172">
        <v>8.855848074142969E-3</v>
      </c>
    </row>
    <row r="2475" spans="24:28" x14ac:dyDescent="0.2">
      <c r="X2475" s="176" t="str">
        <f t="shared" si="72"/>
        <v>1w</v>
      </c>
      <c r="Y2475" s="164">
        <f>_xll.qlCalendarAdvance(Calendar,Y2474,X2475,"f",FALSE)</f>
        <v>56444</v>
      </c>
      <c r="Z2475" s="188">
        <f>_xll.qlCalendarAdvance(Calendar,Y2475,NDays&amp;"D")</f>
        <v>56446</v>
      </c>
      <c r="AA2475" s="163">
        <v>8.7404858943826332E-3</v>
      </c>
      <c r="AB2475" s="172">
        <v>8.8466906206274842E-3</v>
      </c>
    </row>
    <row r="2476" spans="24:28" x14ac:dyDescent="0.2">
      <c r="X2476" s="176" t="str">
        <f t="shared" si="72"/>
        <v>1w</v>
      </c>
      <c r="Y2476" s="164">
        <f>_xll.qlCalendarAdvance(Calendar,Y2475,X2476,"f",FALSE)</f>
        <v>56451</v>
      </c>
      <c r="Z2476" s="188">
        <f>_xll.qlCalendarAdvance(Calendar,Y2476,NDays&amp;"D")</f>
        <v>56453</v>
      </c>
      <c r="AA2476" s="163">
        <v>8.7307355429643331E-3</v>
      </c>
      <c r="AB2476" s="172">
        <v>8.8374945214653167E-3</v>
      </c>
    </row>
    <row r="2477" spans="24:28" x14ac:dyDescent="0.2">
      <c r="X2477" s="176" t="str">
        <f t="shared" si="72"/>
        <v>1w</v>
      </c>
      <c r="Y2477" s="164">
        <f>_xll.qlCalendarAdvance(Calendar,Y2476,X2477,"f",FALSE)</f>
        <v>56458</v>
      </c>
      <c r="Z2477" s="188">
        <f>_xll.qlCalendarAdvance(Calendar,Y2477,NDays&amp;"D")</f>
        <v>56460</v>
      </c>
      <c r="AA2477" s="163">
        <v>8.7227673276812738E-3</v>
      </c>
      <c r="AB2477" s="172">
        <v>8.82825977617685E-3</v>
      </c>
    </row>
    <row r="2478" spans="24:28" x14ac:dyDescent="0.2">
      <c r="X2478" s="176" t="str">
        <f t="shared" si="72"/>
        <v>1w</v>
      </c>
      <c r="Y2478" s="164">
        <f>_xll.qlCalendarAdvance(Calendar,Y2477,X2478,"f",FALSE)</f>
        <v>56465</v>
      </c>
      <c r="Z2478" s="188">
        <f>_xll.qlCalendarAdvance(Calendar,Y2478,NDays&amp;"D")</f>
        <v>56467</v>
      </c>
      <c r="AA2478" s="163">
        <v>8.7111185294810236E-3</v>
      </c>
      <c r="AB2478" s="172">
        <v>8.8189863850818284E-3</v>
      </c>
    </row>
    <row r="2479" spans="24:28" x14ac:dyDescent="0.2">
      <c r="X2479" s="176" t="str">
        <f t="shared" si="72"/>
        <v>1w</v>
      </c>
      <c r="Y2479" s="164">
        <f>_xll.qlCalendarAdvance(Calendar,Y2478,X2479,"f",FALSE)</f>
        <v>56472</v>
      </c>
      <c r="Z2479" s="188">
        <f>_xll.qlCalendarAdvance(Calendar,Y2479,NDays&amp;"D")</f>
        <v>56474</v>
      </c>
      <c r="AA2479" s="163">
        <v>8.7012518685905624E-3</v>
      </c>
      <c r="AB2479" s="172">
        <v>8.8096743480203799E-3</v>
      </c>
    </row>
    <row r="2480" spans="24:28" x14ac:dyDescent="0.2">
      <c r="X2480" s="176" t="str">
        <f t="shared" si="72"/>
        <v>1w</v>
      </c>
      <c r="Y2480" s="164">
        <f>_xll.qlCalendarAdvance(Calendar,Y2479,X2480,"f",FALSE)</f>
        <v>56479</v>
      </c>
      <c r="Z2480" s="188">
        <f>_xll.qlCalendarAdvance(Calendar,Y2480,NDays&amp;"D")</f>
        <v>56481</v>
      </c>
      <c r="AA2480" s="163">
        <v>8.6913464390541723E-3</v>
      </c>
      <c r="AB2480" s="172">
        <v>8.8003236651523764E-3</v>
      </c>
    </row>
    <row r="2481" spans="24:28" x14ac:dyDescent="0.2">
      <c r="X2481" s="176" t="str">
        <f t="shared" si="72"/>
        <v>1w</v>
      </c>
      <c r="Y2481" s="164">
        <f>_xll.qlCalendarAdvance(Calendar,Y2480,X2481,"f",FALSE)</f>
        <v>56486</v>
      </c>
      <c r="Z2481" s="188">
        <f>_xll.qlCalendarAdvance(Calendar,Y2481,NDays&amp;"D")</f>
        <v>56488</v>
      </c>
      <c r="AA2481" s="163">
        <v>8.6832592367028557E-3</v>
      </c>
      <c r="AB2481" s="172">
        <v>8.7909343364778181E-3</v>
      </c>
    </row>
    <row r="2482" spans="24:28" x14ac:dyDescent="0.2">
      <c r="X2482" s="176" t="str">
        <f t="shared" si="72"/>
        <v>1w</v>
      </c>
      <c r="Y2482" s="164">
        <f>_xll.qlCalendarAdvance(Calendar,Y2481,X2482,"f",FALSE)</f>
        <v>56493</v>
      </c>
      <c r="Z2482" s="188">
        <f>_xll.qlCalendarAdvance(Calendar,Y2482,NDays&amp;"D")</f>
        <v>56495</v>
      </c>
      <c r="AA2482" s="163">
        <v>8.6745278280925976E-3</v>
      </c>
      <c r="AB2482" s="172">
        <v>8.7815063617568967E-3</v>
      </c>
    </row>
    <row r="2483" spans="24:28" x14ac:dyDescent="0.2">
      <c r="X2483" s="176" t="str">
        <f t="shared" si="72"/>
        <v>1w</v>
      </c>
      <c r="Y2483" s="164">
        <f>_xll.qlCalendarAdvance(Calendar,Y2482,X2483,"f",FALSE)</f>
        <v>56500</v>
      </c>
      <c r="Z2483" s="188">
        <f>_xll.qlCalendarAdvance(Calendar,Y2483,NDays&amp;"D")</f>
        <v>56502</v>
      </c>
      <c r="AA2483" s="163">
        <v>8.6645211434735522E-3</v>
      </c>
      <c r="AB2483" s="172">
        <v>8.7720397413093565E-3</v>
      </c>
    </row>
    <row r="2484" spans="24:28" x14ac:dyDescent="0.2">
      <c r="X2484" s="176" t="str">
        <f t="shared" si="72"/>
        <v>1w</v>
      </c>
      <c r="Y2484" s="164">
        <f>_xll.qlCalendarAdvance(Calendar,Y2483,X2484,"f",FALSE)</f>
        <v>56507</v>
      </c>
      <c r="Z2484" s="188">
        <f>_xll.qlCalendarAdvance(Calendar,Y2484,NDays&amp;"D")</f>
        <v>56509</v>
      </c>
      <c r="AA2484" s="163">
        <v>8.6544756956439643E-3</v>
      </c>
      <c r="AB2484" s="172">
        <v>8.7625344748953893E-3</v>
      </c>
    </row>
    <row r="2485" spans="24:28" x14ac:dyDescent="0.2">
      <c r="X2485" s="176" t="str">
        <f t="shared" si="72"/>
        <v>1w</v>
      </c>
      <c r="Y2485" s="164">
        <f>_xll.qlCalendarAdvance(Calendar,Y2484,X2485,"f",FALSE)</f>
        <v>56514</v>
      </c>
      <c r="Z2485" s="188">
        <f>_xll.qlCalendarAdvance(Calendar,Y2485,NDays&amp;"D")</f>
        <v>56516</v>
      </c>
      <c r="AA2485" s="163">
        <v>8.6443914851894437E-3</v>
      </c>
      <c r="AB2485" s="172">
        <v>8.7529905625949311E-3</v>
      </c>
    </row>
    <row r="2486" spans="24:28" x14ac:dyDescent="0.2">
      <c r="X2486" s="176" t="str">
        <f t="shared" si="72"/>
        <v>1w</v>
      </c>
      <c r="Y2486" s="164">
        <f>_xll.qlCalendarAdvance(Calendar,Y2485,X2486,"f",FALSE)</f>
        <v>56521</v>
      </c>
      <c r="Z2486" s="188">
        <f>_xll.qlCalendarAdvance(Calendar,Y2486,NDays&amp;"D")</f>
        <v>56523</v>
      </c>
      <c r="AA2486" s="163">
        <v>8.6336359695056205E-3</v>
      </c>
      <c r="AB2486" s="172">
        <v>8.743408004407982E-3</v>
      </c>
    </row>
    <row r="2487" spans="24:28" x14ac:dyDescent="0.2">
      <c r="X2487" s="176" t="str">
        <f t="shared" si="72"/>
        <v>1w</v>
      </c>
      <c r="Y2487" s="164">
        <f>_xll.qlCalendarAdvance(Calendar,Y2486,X2487,"f",FALSE)</f>
        <v>56528</v>
      </c>
      <c r="Z2487" s="188">
        <f>_xll.qlCalendarAdvance(Calendar,Y2487,NDays&amp;"D")</f>
        <v>56530</v>
      </c>
      <c r="AA2487" s="163">
        <v>8.6234746563033302E-3</v>
      </c>
      <c r="AB2487" s="172">
        <v>8.7337868004944141E-3</v>
      </c>
    </row>
    <row r="2488" spans="24:28" x14ac:dyDescent="0.2">
      <c r="X2488" s="176" t="str">
        <f t="shared" si="72"/>
        <v>1w</v>
      </c>
      <c r="Y2488" s="164">
        <f>_xll.qlCalendarAdvance(Calendar,Y2487,X2488,"f",FALSE)</f>
        <v>56535</v>
      </c>
      <c r="Z2488" s="188">
        <f>_xll.qlCalendarAdvance(Calendar,Y2488,NDays&amp;"D")</f>
        <v>56537</v>
      </c>
      <c r="AA2488" s="163">
        <v>8.6132798687041604E-3</v>
      </c>
      <c r="AB2488" s="172">
        <v>8.7241269506144192E-3</v>
      </c>
    </row>
    <row r="2489" spans="24:28" x14ac:dyDescent="0.2">
      <c r="X2489" s="176" t="str">
        <f t="shared" si="72"/>
        <v>1w</v>
      </c>
      <c r="Y2489" s="164">
        <f>_xll.qlCalendarAdvance(Calendar,Y2488,X2489,"f",FALSE)</f>
        <v>56542</v>
      </c>
      <c r="Z2489" s="188">
        <f>_xll.qlCalendarAdvance(Calendar,Y2489,NDays&amp;"D")</f>
        <v>56544</v>
      </c>
      <c r="AA2489" s="163">
        <v>8.6030540745199967E-3</v>
      </c>
      <c r="AB2489" s="172">
        <v>8.7144284548479334E-3</v>
      </c>
    </row>
    <row r="2490" spans="24:28" x14ac:dyDescent="0.2">
      <c r="X2490" s="176" t="str">
        <f t="shared" si="72"/>
        <v>1w</v>
      </c>
      <c r="Y2490" s="164">
        <f>_xll.qlCalendarAdvance(Calendar,Y2489,X2490,"f",FALSE)</f>
        <v>56549</v>
      </c>
      <c r="Z2490" s="188">
        <f>_xll.qlCalendarAdvance(Calendar,Y2490,NDays&amp;"D")</f>
        <v>56551</v>
      </c>
      <c r="AA2490" s="163">
        <v>8.5927997415131008E-3</v>
      </c>
      <c r="AB2490" s="172">
        <v>8.7046913133548287E-3</v>
      </c>
    </row>
    <row r="2491" spans="24:28" x14ac:dyDescent="0.2">
      <c r="X2491" s="176" t="str">
        <f t="shared" si="72"/>
        <v>1w</v>
      </c>
      <c r="Y2491" s="164">
        <f>_xll.qlCalendarAdvance(Calendar,Y2490,X2491,"f",FALSE)</f>
        <v>56556</v>
      </c>
      <c r="Z2491" s="188">
        <f>_xll.qlCalendarAdvance(Calendar,Y2491,NDays&amp;"D")</f>
        <v>56558</v>
      </c>
      <c r="AA2491" s="163">
        <v>8.5831615507770097E-3</v>
      </c>
      <c r="AB2491" s="172">
        <v>8.694915525895297E-3</v>
      </c>
    </row>
    <row r="2492" spans="24:28" x14ac:dyDescent="0.2">
      <c r="X2492" s="176" t="str">
        <f t="shared" si="72"/>
        <v>1w</v>
      </c>
      <c r="Y2492" s="164">
        <f>_xll.qlCalendarAdvance(Calendar,Y2491,X2492,"f",FALSE)</f>
        <v>56563</v>
      </c>
      <c r="Z2492" s="188">
        <f>_xll.qlCalendarAdvance(Calendar,Y2492,NDays&amp;"D")</f>
        <v>56565</v>
      </c>
      <c r="AA2492" s="163">
        <v>8.5728585289879134E-3</v>
      </c>
      <c r="AB2492" s="172">
        <v>8.6851010927091465E-3</v>
      </c>
    </row>
    <row r="2493" spans="24:28" x14ac:dyDescent="0.2">
      <c r="X2493" s="176" t="str">
        <f t="shared" si="72"/>
        <v>1w</v>
      </c>
      <c r="Y2493" s="164">
        <f>_xll.qlCalendarAdvance(Calendar,Y2492,X2493,"f",FALSE)</f>
        <v>56570</v>
      </c>
      <c r="Z2493" s="188">
        <f>_xll.qlCalendarAdvance(Calendar,Y2493,NDays&amp;"D")</f>
        <v>56572</v>
      </c>
      <c r="AA2493" s="163">
        <v>8.5625341145193663E-3</v>
      </c>
      <c r="AB2493" s="172">
        <v>8.675248013556569E-3</v>
      </c>
    </row>
    <row r="2494" spans="24:28" x14ac:dyDescent="0.2">
      <c r="X2494" s="176" t="str">
        <f t="shared" si="72"/>
        <v>1w</v>
      </c>
      <c r="Y2494" s="164">
        <f>_xll.qlCalendarAdvance(Calendar,Y2493,X2494,"f",FALSE)</f>
        <v>56577</v>
      </c>
      <c r="Z2494" s="188">
        <f>_xll.qlCalendarAdvance(Calendar,Y2494,NDays&amp;"D")</f>
        <v>56579</v>
      </c>
      <c r="AA2494" s="163">
        <v>8.5521907885093146E-3</v>
      </c>
      <c r="AB2494" s="172">
        <v>8.6653562887573088E-3</v>
      </c>
    </row>
    <row r="2495" spans="24:28" x14ac:dyDescent="0.2">
      <c r="X2495" s="176" t="str">
        <f t="shared" si="72"/>
        <v>1w</v>
      </c>
      <c r="Y2495" s="164">
        <f>_xll.qlCalendarAdvance(Calendar,Y2494,X2495,"f",FALSE)</f>
        <v>56584</v>
      </c>
      <c r="Z2495" s="188">
        <f>_xll.qlCalendarAdvance(Calendar,Y2495,NDays&amp;"D")</f>
        <v>56586</v>
      </c>
      <c r="AA2495" s="163">
        <v>8.5411863623543697E-3</v>
      </c>
      <c r="AB2495" s="172">
        <v>8.6554259179116855E-3</v>
      </c>
    </row>
    <row r="2496" spans="24:28" x14ac:dyDescent="0.2">
      <c r="X2496" s="176" t="str">
        <f t="shared" si="72"/>
        <v>1w</v>
      </c>
      <c r="Y2496" s="164">
        <f>_xll.qlCalendarAdvance(Calendar,Y2495,X2496,"f",FALSE)</f>
        <v>56591</v>
      </c>
      <c r="Z2496" s="188">
        <f>_xll.qlCalendarAdvance(Calendar,Y2496,NDays&amp;"D")</f>
        <v>56593</v>
      </c>
      <c r="AA2496" s="163">
        <v>8.5308126166330316E-3</v>
      </c>
      <c r="AB2496" s="172">
        <v>8.6454569012595073E-3</v>
      </c>
    </row>
    <row r="2497" spans="24:28" x14ac:dyDescent="0.2">
      <c r="X2497" s="176" t="str">
        <f t="shared" si="72"/>
        <v>1w</v>
      </c>
      <c r="Y2497" s="164">
        <f>_xll.qlCalendarAdvance(Calendar,Y2496,X2497,"f",FALSE)</f>
        <v>56598</v>
      </c>
      <c r="Z2497" s="188">
        <f>_xll.qlCalendarAdvance(Calendar,Y2497,NDays&amp;"D")</f>
        <v>56600</v>
      </c>
      <c r="AA2497" s="163">
        <v>8.5204276050228119E-3</v>
      </c>
      <c r="AB2497" s="172">
        <v>8.6354492388007742E-3</v>
      </c>
    </row>
    <row r="2498" spans="24:28" x14ac:dyDescent="0.2">
      <c r="X2498" s="176" t="str">
        <f t="shared" si="72"/>
        <v>1w</v>
      </c>
      <c r="Y2498" s="164">
        <f>_xll.qlCalendarAdvance(Calendar,Y2497,X2498,"f",FALSE)</f>
        <v>56605</v>
      </c>
      <c r="Z2498" s="188">
        <f>_xll.qlCalendarAdvance(Calendar,Y2498,NDays&amp;"D")</f>
        <v>56607</v>
      </c>
      <c r="AA2498" s="163">
        <v>8.5100337948823372E-3</v>
      </c>
      <c r="AB2498" s="172">
        <v>8.6235544690715926E-3</v>
      </c>
    </row>
    <row r="2499" spans="24:28" x14ac:dyDescent="0.2">
      <c r="X2499" s="176" t="str">
        <f t="shared" si="72"/>
        <v>1w</v>
      </c>
      <c r="Y2499" s="164">
        <f>_xll.qlCalendarAdvance(Calendar,Y2498,X2499,"f",FALSE)</f>
        <v>56612</v>
      </c>
      <c r="Z2499" s="188">
        <f>_xll.qlCalendarAdvance(Calendar,Y2499,NDays&amp;"D")</f>
        <v>56614</v>
      </c>
      <c r="AA2499" s="163">
        <v>8.5002773215851826E-3</v>
      </c>
      <c r="AB2499" s="172">
        <v>8.6134605088439287E-3</v>
      </c>
    </row>
    <row r="2500" spans="24:28" x14ac:dyDescent="0.2">
      <c r="X2500" s="176" t="str">
        <f t="shared" si="72"/>
        <v>1w</v>
      </c>
      <c r="Y2500" s="164">
        <f>_xll.qlCalendarAdvance(Calendar,Y2499,X2500,"f",FALSE)</f>
        <v>56619</v>
      </c>
      <c r="Z2500" s="188">
        <f>_xll.qlCalendarAdvance(Calendar,Y2500,NDays&amp;"D")</f>
        <v>56621</v>
      </c>
      <c r="AA2500" s="163">
        <v>8.489872627359429E-3</v>
      </c>
      <c r="AB2500" s="172">
        <v>8.6051943765053096E-3</v>
      </c>
    </row>
    <row r="2501" spans="24:28" x14ac:dyDescent="0.2">
      <c r="X2501" s="176" t="str">
        <f t="shared" si="72"/>
        <v>1w</v>
      </c>
      <c r="Y2501" s="164">
        <f>_xll.qlCalendarAdvance(Calendar,Y2500,X2501,"f",FALSE)</f>
        <v>56626</v>
      </c>
      <c r="Z2501" s="188">
        <f>_xll.qlCalendarAdvance(Calendar,Y2501,NDays&amp;"D")</f>
        <v>56628</v>
      </c>
      <c r="AA2501" s="163">
        <v>8.4794663881246918E-3</v>
      </c>
      <c r="AB2501" s="172">
        <v>8.5950321307404209E-3</v>
      </c>
    </row>
    <row r="2502" spans="24:28" x14ac:dyDescent="0.2">
      <c r="X2502" s="176" t="str">
        <f t="shared" si="72"/>
        <v>1w</v>
      </c>
      <c r="Y2502" s="164">
        <f>_xll.qlCalendarAdvance(Calendar,Y2501,X2502,"f",FALSE)</f>
        <v>56633</v>
      </c>
      <c r="Z2502" s="188">
        <f>_xll.qlCalendarAdvance(Calendar,Y2502,NDays&amp;"D")</f>
        <v>56635</v>
      </c>
      <c r="AA2502" s="163">
        <v>8.4690610846064312E-3</v>
      </c>
      <c r="AB2502" s="172">
        <v>8.5848312391689774E-3</v>
      </c>
    </row>
    <row r="2503" spans="24:28" x14ac:dyDescent="0.2">
      <c r="X2503" s="176" t="str">
        <f t="shared" si="72"/>
        <v>1w</v>
      </c>
      <c r="Y2503" s="164">
        <f>_xll.qlCalendarAdvance(Calendar,Y2502,X2503,"f",FALSE)</f>
        <v>56640</v>
      </c>
      <c r="Z2503" s="188">
        <f>_xll.qlCalendarAdvance(Calendar,Y2503,NDays&amp;"D")</f>
        <v>56642</v>
      </c>
      <c r="AA2503" s="163">
        <v>8.4586591974815262E-3</v>
      </c>
      <c r="AB2503" s="172">
        <v>8.574591701790979E-3</v>
      </c>
    </row>
    <row r="2504" spans="24:28" x14ac:dyDescent="0.2">
      <c r="X2504" s="176" t="str">
        <f t="shared" si="72"/>
        <v>1w</v>
      </c>
      <c r="Y2504" s="164">
        <f>_xll.qlCalendarAdvance(Calendar,Y2503,X2504,"f",FALSE)</f>
        <v>56647</v>
      </c>
      <c r="Z2504" s="188">
        <f>_xll.qlCalendarAdvance(Calendar,Y2504,NDays&amp;"D")</f>
        <v>56649</v>
      </c>
      <c r="AA2504" s="163">
        <v>8.4482632073725368E-3</v>
      </c>
      <c r="AB2504" s="172">
        <v>8.5643135186064256E-3</v>
      </c>
    </row>
    <row r="2505" spans="24:28" x14ac:dyDescent="0.2">
      <c r="X2505" s="176" t="str">
        <f t="shared" si="72"/>
        <v>1w</v>
      </c>
      <c r="Y2505" s="164">
        <f>_xll.qlCalendarAdvance(Calendar,Y2504,X2505,"f",FALSE)</f>
        <v>56654</v>
      </c>
      <c r="Z2505" s="188">
        <f>_xll.qlCalendarAdvance(Calendar,Y2505,NDays&amp;"D")</f>
        <v>56656</v>
      </c>
      <c r="AA2505" s="163">
        <v>8.437875594852557E-3</v>
      </c>
      <c r="AB2505" s="172">
        <v>8.5539966896952535E-3</v>
      </c>
    </row>
    <row r="2506" spans="24:28" x14ac:dyDescent="0.2">
      <c r="X2506" s="176" t="str">
        <f t="shared" si="72"/>
        <v>1w</v>
      </c>
      <c r="Y2506" s="164">
        <f>_xll.qlCalendarAdvance(Calendar,Y2505,X2506,"f",FALSE)</f>
        <v>56661</v>
      </c>
      <c r="Z2506" s="188">
        <f>_xll.qlCalendarAdvance(Calendar,Y2506,NDays&amp;"D")</f>
        <v>56663</v>
      </c>
      <c r="AA2506" s="163">
        <v>8.4274988404412412E-3</v>
      </c>
      <c r="AB2506" s="172">
        <v>8.5436412148975904E-3</v>
      </c>
    </row>
    <row r="2507" spans="24:28" x14ac:dyDescent="0.2">
      <c r="X2507" s="176" t="str">
        <f t="shared" si="72"/>
        <v>1w</v>
      </c>
      <c r="Y2507" s="164">
        <f>_xll.qlCalendarAdvance(Calendar,Y2506,X2507,"f",FALSE)</f>
        <v>56668</v>
      </c>
      <c r="Z2507" s="188">
        <f>_xll.qlCalendarAdvance(Calendar,Y2507,NDays&amp;"D")</f>
        <v>56670</v>
      </c>
      <c r="AA2507" s="163">
        <v>8.4171354246087883E-3</v>
      </c>
      <c r="AB2507" s="172">
        <v>8.5332470942933725E-3</v>
      </c>
    </row>
    <row r="2508" spans="24:28" x14ac:dyDescent="0.2">
      <c r="X2508" s="176" t="str">
        <f t="shared" si="72"/>
        <v>1w</v>
      </c>
      <c r="Y2508" s="164">
        <f>_xll.qlCalendarAdvance(Calendar,Y2507,X2508,"f",FALSE)</f>
        <v>56675</v>
      </c>
      <c r="Z2508" s="188">
        <f>_xll.qlCalendarAdvance(Calendar,Y2508,NDays&amp;"D")</f>
        <v>56677</v>
      </c>
      <c r="AA2508" s="163">
        <v>8.4036228647119023E-3</v>
      </c>
      <c r="AB2508" s="172">
        <v>8.5228143279625357E-3</v>
      </c>
    </row>
    <row r="2509" spans="24:28" x14ac:dyDescent="0.2">
      <c r="X2509" s="176" t="str">
        <f t="shared" si="72"/>
        <v>1w</v>
      </c>
      <c r="Y2509" s="164">
        <f>_xll.qlCalendarAdvance(Calendar,Y2508,X2509,"f",FALSE)</f>
        <v>56682</v>
      </c>
      <c r="Z2509" s="188">
        <f>_xll.qlCalendarAdvance(Calendar,Y2509,NDays&amp;"D")</f>
        <v>56684</v>
      </c>
      <c r="AA2509" s="163">
        <v>8.3933012443775587E-3</v>
      </c>
      <c r="AB2509" s="172">
        <v>8.5123429156652719E-3</v>
      </c>
    </row>
    <row r="2510" spans="24:28" x14ac:dyDescent="0.2">
      <c r="X2510" s="176" t="str">
        <f t="shared" si="72"/>
        <v>1w</v>
      </c>
      <c r="Y2510" s="164">
        <f>_xll.qlCalendarAdvance(Calendar,Y2509,X2510,"f",FALSE)</f>
        <v>56689</v>
      </c>
      <c r="Z2510" s="188">
        <f>_xll.qlCalendarAdvance(Calendar,Y2510,NDays&amp;"D")</f>
        <v>56691</v>
      </c>
      <c r="AA2510" s="163">
        <v>8.3830005313345959E-3</v>
      </c>
      <c r="AB2510" s="172">
        <v>8.5018328578012614E-3</v>
      </c>
    </row>
    <row r="2511" spans="24:28" x14ac:dyDescent="0.2">
      <c r="X2511" s="176" t="str">
        <f t="shared" si="72"/>
        <v>1w</v>
      </c>
      <c r="Y2511" s="164">
        <f>_xll.qlCalendarAdvance(Calendar,Y2510,X2511,"f",FALSE)</f>
        <v>56696</v>
      </c>
      <c r="Z2511" s="188">
        <f>_xll.qlCalendarAdvance(Calendar,Y2511,NDays&amp;"D")</f>
        <v>56698</v>
      </c>
      <c r="AA2511" s="163">
        <v>8.3727231382565177E-3</v>
      </c>
      <c r="AB2511" s="172">
        <v>8.4912856747543231E-3</v>
      </c>
    </row>
    <row r="2512" spans="24:28" x14ac:dyDescent="0.2">
      <c r="X2512" s="176" t="str">
        <f t="shared" si="72"/>
        <v>1w</v>
      </c>
      <c r="Y2512" s="164">
        <f>_xll.qlCalendarAdvance(Calendar,Y2511,X2512,"f",FALSE)</f>
        <v>56703</v>
      </c>
      <c r="Z2512" s="188">
        <f>_xll.qlCalendarAdvance(Calendar,Y2512,NDays&amp;"D")</f>
        <v>56705</v>
      </c>
      <c r="AA2512" s="163">
        <v>8.3643507030027528E-3</v>
      </c>
      <c r="AB2512" s="172">
        <v>8.480743949181857E-3</v>
      </c>
    </row>
    <row r="2513" spans="24:28" x14ac:dyDescent="0.2">
      <c r="X2513" s="176" t="str">
        <f t="shared" si="72"/>
        <v>1w</v>
      </c>
      <c r="Y2513" s="164">
        <f>_xll.qlCalendarAdvance(Calendar,Y2512,X2513,"f",FALSE)</f>
        <v>56710</v>
      </c>
      <c r="Z2513" s="188">
        <f>_xll.qlCalendarAdvance(Calendar,Y2513,NDays&amp;"D")</f>
        <v>56712</v>
      </c>
      <c r="AA2513" s="163">
        <v>8.3541191070248613E-3</v>
      </c>
      <c r="AB2513" s="172">
        <v>8.470227451189416E-3</v>
      </c>
    </row>
    <row r="2514" spans="24:28" x14ac:dyDescent="0.2">
      <c r="X2514" s="176" t="str">
        <f t="shared" si="72"/>
        <v>1w</v>
      </c>
      <c r="Y2514" s="164">
        <f>_xll.qlCalendarAdvance(Calendar,Y2513,X2514,"f",FALSE)</f>
        <v>56717</v>
      </c>
      <c r="Z2514" s="188">
        <f>_xll.qlCalendarAdvance(Calendar,Y2514,NDays&amp;"D")</f>
        <v>56719</v>
      </c>
      <c r="AA2514" s="163">
        <v>8.3439128977591537E-3</v>
      </c>
      <c r="AB2514" s="172">
        <v>8.4571411466853874E-3</v>
      </c>
    </row>
    <row r="2515" spans="24:28" x14ac:dyDescent="0.2">
      <c r="X2515" s="176" t="str">
        <f t="shared" si="72"/>
        <v>1w</v>
      </c>
      <c r="Y2515" s="164">
        <f>_xll.qlCalendarAdvance(Calendar,Y2514,X2515,"f",FALSE)</f>
        <v>56724</v>
      </c>
      <c r="Z2515" s="188">
        <f>_xll.qlCalendarAdvance(Calendar,Y2515,NDays&amp;"D")</f>
        <v>56726</v>
      </c>
      <c r="AA2515" s="163">
        <v>8.3337320748120679E-3</v>
      </c>
      <c r="AB2515" s="172">
        <v>8.4492701379446089E-3</v>
      </c>
    </row>
    <row r="2516" spans="24:28" x14ac:dyDescent="0.2">
      <c r="X2516" s="176" t="str">
        <f t="shared" si="72"/>
        <v>1w</v>
      </c>
      <c r="Y2516" s="164">
        <f>_xll.qlCalendarAdvance(Calendar,Y2515,X2516,"f",FALSE)</f>
        <v>56731</v>
      </c>
      <c r="Z2516" s="188">
        <f>_xll.qlCalendarAdvance(Calendar,Y2516,NDays&amp;"D")</f>
        <v>56733</v>
      </c>
      <c r="AA2516" s="163">
        <v>8.3235766377926599E-3</v>
      </c>
      <c r="AB2516" s="172">
        <v>8.4388293227721789E-3</v>
      </c>
    </row>
    <row r="2517" spans="24:28" x14ac:dyDescent="0.2">
      <c r="X2517" s="176" t="str">
        <f t="shared" ref="X2517:X2580" si="73">X2516</f>
        <v>1w</v>
      </c>
      <c r="Y2517" s="164">
        <f>_xll.qlCalendarAdvance(Calendar,Y2516,X2517,"f",FALSE)</f>
        <v>56738</v>
      </c>
      <c r="Z2517" s="188">
        <f>_xll.qlCalendarAdvance(Calendar,Y2517,NDays&amp;"D")</f>
        <v>56740</v>
      </c>
      <c r="AA2517" s="163">
        <v>8.3115904366996615E-3</v>
      </c>
      <c r="AB2517" s="172">
        <v>8.4284137351797739E-3</v>
      </c>
    </row>
    <row r="2518" spans="24:28" x14ac:dyDescent="0.2">
      <c r="X2518" s="176" t="str">
        <f t="shared" si="73"/>
        <v>1w</v>
      </c>
      <c r="Y2518" s="164">
        <f>_xll.qlCalendarAdvance(Calendar,Y2517,X2518,"f",FALSE)</f>
        <v>56745</v>
      </c>
      <c r="Z2518" s="188">
        <f>_xll.qlCalendarAdvance(Calendar,Y2518,NDays&amp;"D")</f>
        <v>56747</v>
      </c>
      <c r="AA2518" s="163">
        <v>8.3014905122553492E-3</v>
      </c>
      <c r="AB2518" s="172">
        <v>8.4180233752473299E-3</v>
      </c>
    </row>
    <row r="2519" spans="24:28" x14ac:dyDescent="0.2">
      <c r="X2519" s="176" t="str">
        <f t="shared" si="73"/>
        <v>1w</v>
      </c>
      <c r="Y2519" s="164">
        <f>_xll.qlCalendarAdvance(Calendar,Y2518,X2519,"f",FALSE)</f>
        <v>56752</v>
      </c>
      <c r="Z2519" s="188">
        <f>_xll.qlCalendarAdvance(Calendar,Y2519,NDays&amp;"D")</f>
        <v>56754</v>
      </c>
      <c r="AA2519" s="163">
        <v>8.2914159750822475E-3</v>
      </c>
      <c r="AB2519" s="172">
        <v>8.407658242974847E-3</v>
      </c>
    </row>
    <row r="2520" spans="24:28" x14ac:dyDescent="0.2">
      <c r="X2520" s="176" t="str">
        <f t="shared" si="73"/>
        <v>1w</v>
      </c>
      <c r="Y2520" s="164">
        <f>_xll.qlCalendarAdvance(Calendar,Y2519,X2520,"f",FALSE)</f>
        <v>56759</v>
      </c>
      <c r="Z2520" s="188">
        <f>_xll.qlCalendarAdvance(Calendar,Y2520,NDays&amp;"D")</f>
        <v>56761</v>
      </c>
      <c r="AA2520" s="163">
        <v>8.2813668247854032E-3</v>
      </c>
      <c r="AB2520" s="172">
        <v>8.397318338202453E-3</v>
      </c>
    </row>
    <row r="2521" spans="24:28" x14ac:dyDescent="0.2">
      <c r="X2521" s="176" t="str">
        <f t="shared" si="73"/>
        <v>1w</v>
      </c>
      <c r="Y2521" s="164">
        <f>_xll.qlCalendarAdvance(Calendar,Y2520,X2521,"f",FALSE)</f>
        <v>56766</v>
      </c>
      <c r="Z2521" s="188">
        <f>_xll.qlCalendarAdvance(Calendar,Y2521,NDays&amp;"D")</f>
        <v>56768</v>
      </c>
      <c r="AA2521" s="163">
        <v>8.2731802279508767E-3</v>
      </c>
      <c r="AB2521" s="172">
        <v>8.38700366109002E-3</v>
      </c>
    </row>
    <row r="2522" spans="24:28" x14ac:dyDescent="0.2">
      <c r="X2522" s="176" t="str">
        <f t="shared" si="73"/>
        <v>1w</v>
      </c>
      <c r="Y2522" s="164">
        <f>_xll.qlCalendarAdvance(Calendar,Y2521,X2522,"f",FALSE)</f>
        <v>56773</v>
      </c>
      <c r="Z2522" s="188">
        <f>_xll.qlCalendarAdvance(Calendar,Y2522,NDays&amp;"D")</f>
        <v>56775</v>
      </c>
      <c r="AA2522" s="163">
        <v>8.2631770983178435E-3</v>
      </c>
      <c r="AB2522" s="172">
        <v>8.3767142115576121E-3</v>
      </c>
    </row>
    <row r="2523" spans="24:28" x14ac:dyDescent="0.2">
      <c r="X2523" s="176" t="str">
        <f t="shared" si="73"/>
        <v>1w</v>
      </c>
      <c r="Y2523" s="164">
        <f>_xll.qlCalendarAdvance(Calendar,Y2522,X2523,"f",FALSE)</f>
        <v>56780</v>
      </c>
      <c r="Z2523" s="188">
        <f>_xll.qlCalendarAdvance(Calendar,Y2523,NDays&amp;"D")</f>
        <v>56782</v>
      </c>
      <c r="AA2523" s="163">
        <v>8.2531993518964088E-3</v>
      </c>
      <c r="AB2523" s="172">
        <v>8.3664499896851652E-3</v>
      </c>
    </row>
    <row r="2524" spans="24:28" x14ac:dyDescent="0.2">
      <c r="X2524" s="176" t="str">
        <f t="shared" si="73"/>
        <v>1w</v>
      </c>
      <c r="Y2524" s="164">
        <f>_xll.qlCalendarAdvance(Calendar,Y2523,X2524,"f",FALSE)</f>
        <v>56787</v>
      </c>
      <c r="Z2524" s="188">
        <f>_xll.qlCalendarAdvance(Calendar,Y2524,NDays&amp;"D")</f>
        <v>56789</v>
      </c>
      <c r="AA2524" s="163">
        <v>8.2432469883013063E-3</v>
      </c>
      <c r="AB2524" s="172">
        <v>8.3562109953927433E-3</v>
      </c>
    </row>
    <row r="2525" spans="24:28" x14ac:dyDescent="0.2">
      <c r="X2525" s="176" t="str">
        <f t="shared" si="73"/>
        <v>1w</v>
      </c>
      <c r="Y2525" s="164">
        <f>_xll.qlCalendarAdvance(Calendar,Y2524,X2525,"f",FALSE)</f>
        <v>56794</v>
      </c>
      <c r="Z2525" s="188">
        <f>_xll.qlCalendarAdvance(Calendar,Y2525,NDays&amp;"D")</f>
        <v>56796</v>
      </c>
      <c r="AA2525" s="163">
        <v>8.2315018627265504E-3</v>
      </c>
      <c r="AB2525" s="172">
        <v>8.3459972286803463E-3</v>
      </c>
    </row>
    <row r="2526" spans="24:28" x14ac:dyDescent="0.2">
      <c r="X2526" s="176" t="str">
        <f t="shared" si="73"/>
        <v>1w</v>
      </c>
      <c r="Y2526" s="164">
        <f>_xll.qlCalendarAdvance(Calendar,Y2525,X2526,"f",FALSE)</f>
        <v>56801</v>
      </c>
      <c r="Z2526" s="188">
        <f>_xll.qlCalendarAdvance(Calendar,Y2526,NDays&amp;"D")</f>
        <v>56803</v>
      </c>
      <c r="AA2526" s="163">
        <v>8.2216050254680165E-3</v>
      </c>
      <c r="AB2526" s="172">
        <v>8.3358086895479744E-3</v>
      </c>
    </row>
    <row r="2527" spans="24:28" x14ac:dyDescent="0.2">
      <c r="X2527" s="176" t="str">
        <f t="shared" si="73"/>
        <v>1w</v>
      </c>
      <c r="Y2527" s="164">
        <f>_xll.qlCalendarAdvance(Calendar,Y2526,X2527,"f",FALSE)</f>
        <v>56808</v>
      </c>
      <c r="Z2527" s="188">
        <f>_xll.qlCalendarAdvance(Calendar,Y2527,NDays&amp;"D")</f>
        <v>56810</v>
      </c>
      <c r="AA2527" s="163">
        <v>8.2117335723550216E-3</v>
      </c>
      <c r="AB2527" s="172">
        <v>8.3256453780755635E-3</v>
      </c>
    </row>
    <row r="2528" spans="24:28" x14ac:dyDescent="0.2">
      <c r="X2528" s="176" t="str">
        <f t="shared" si="73"/>
        <v>1w</v>
      </c>
      <c r="Y2528" s="164">
        <f>_xll.qlCalendarAdvance(Calendar,Y2527,X2528,"f",FALSE)</f>
        <v>56815</v>
      </c>
      <c r="Z2528" s="188">
        <f>_xll.qlCalendarAdvance(Calendar,Y2528,NDays&amp;"D")</f>
        <v>56817</v>
      </c>
      <c r="AA2528" s="163">
        <v>8.2018875030007779E-3</v>
      </c>
      <c r="AB2528" s="172">
        <v>8.3155072941831776E-3</v>
      </c>
    </row>
    <row r="2529" spans="24:28" x14ac:dyDescent="0.2">
      <c r="X2529" s="176" t="str">
        <f t="shared" si="73"/>
        <v>1w</v>
      </c>
      <c r="Y2529" s="164">
        <f>_xll.qlCalendarAdvance(Calendar,Y2528,X2529,"f",FALSE)</f>
        <v>56822</v>
      </c>
      <c r="Z2529" s="188">
        <f>_xll.qlCalendarAdvance(Calendar,Y2529,NDays&amp;"D")</f>
        <v>56824</v>
      </c>
      <c r="AA2529" s="163">
        <v>8.192066817020215E-3</v>
      </c>
      <c r="AB2529" s="172">
        <v>8.3053944377908806E-3</v>
      </c>
    </row>
    <row r="2530" spans="24:28" x14ac:dyDescent="0.2">
      <c r="X2530" s="176" t="str">
        <f t="shared" si="73"/>
        <v>1w</v>
      </c>
      <c r="Y2530" s="164">
        <f>_xll.qlCalendarAdvance(Calendar,Y2529,X2530,"f",FALSE)</f>
        <v>56829</v>
      </c>
      <c r="Z2530" s="188">
        <f>_xll.qlCalendarAdvance(Calendar,Y2530,NDays&amp;"D")</f>
        <v>56831</v>
      </c>
      <c r="AA2530" s="163">
        <v>8.1822715140291279E-3</v>
      </c>
      <c r="AB2530" s="172">
        <v>8.2953068090585447E-3</v>
      </c>
    </row>
    <row r="2531" spans="24:28" x14ac:dyDescent="0.2">
      <c r="X2531" s="176" t="str">
        <f t="shared" si="73"/>
        <v>1w</v>
      </c>
      <c r="Y2531" s="164">
        <f>_xll.qlCalendarAdvance(Calendar,Y2530,X2531,"f",FALSE)</f>
        <v>56836</v>
      </c>
      <c r="Z2531" s="188">
        <f>_xll.qlCalendarAdvance(Calendar,Y2531,NDays&amp;"D")</f>
        <v>56838</v>
      </c>
      <c r="AA2531" s="163">
        <v>8.1725015936441638E-3</v>
      </c>
      <c r="AB2531" s="172">
        <v>8.2852444079062337E-3</v>
      </c>
    </row>
    <row r="2532" spans="24:28" x14ac:dyDescent="0.2">
      <c r="X2532" s="176" t="str">
        <f t="shared" si="73"/>
        <v>1w</v>
      </c>
      <c r="Y2532" s="164">
        <f>_xll.qlCalendarAdvance(Calendar,Y2531,X2532,"f",FALSE)</f>
        <v>56843</v>
      </c>
      <c r="Z2532" s="188">
        <f>_xll.qlCalendarAdvance(Calendar,Y2532,NDays&amp;"D")</f>
        <v>56845</v>
      </c>
      <c r="AA2532" s="163">
        <v>8.1627570554836954E-3</v>
      </c>
      <c r="AB2532" s="172">
        <v>8.2752072344138838E-3</v>
      </c>
    </row>
    <row r="2533" spans="24:28" x14ac:dyDescent="0.2">
      <c r="X2533" s="176" t="str">
        <f t="shared" si="73"/>
        <v>1w</v>
      </c>
      <c r="Y2533" s="164">
        <f>_xll.qlCalendarAdvance(Calendar,Y2532,X2533,"f",FALSE)</f>
        <v>56850</v>
      </c>
      <c r="Z2533" s="188">
        <f>_xll.qlCalendarAdvance(Calendar,Y2533,NDays&amp;"D")</f>
        <v>56852</v>
      </c>
      <c r="AA2533" s="163">
        <v>8.1530378991652303E-3</v>
      </c>
      <c r="AB2533" s="172">
        <v>8.2651952884216229E-3</v>
      </c>
    </row>
    <row r="2534" spans="24:28" x14ac:dyDescent="0.2">
      <c r="X2534" s="176" t="str">
        <f t="shared" si="73"/>
        <v>1w</v>
      </c>
      <c r="Y2534" s="164">
        <f>_xll.qlCalendarAdvance(Calendar,Y2533,X2534,"f",FALSE)</f>
        <v>56857</v>
      </c>
      <c r="Z2534" s="188">
        <f>_xll.qlCalendarAdvance(Calendar,Y2534,NDays&amp;"D")</f>
        <v>56859</v>
      </c>
      <c r="AA2534" s="163">
        <v>8.1457113433974354E-3</v>
      </c>
      <c r="AB2534" s="172">
        <v>8.2552085700093869E-3</v>
      </c>
    </row>
    <row r="2535" spans="24:28" x14ac:dyDescent="0.2">
      <c r="X2535" s="176" t="str">
        <f t="shared" si="73"/>
        <v>1w</v>
      </c>
      <c r="Y2535" s="164">
        <f>_xll.qlCalendarAdvance(Calendar,Y2534,X2535,"f",FALSE)</f>
        <v>56864</v>
      </c>
      <c r="Z2535" s="188">
        <f>_xll.qlCalendarAdvance(Calendar,Y2535,NDays&amp;"D")</f>
        <v>56866</v>
      </c>
      <c r="AA2535" s="163">
        <v>8.1360365714503412E-3</v>
      </c>
      <c r="AB2535" s="172">
        <v>8.2452470791771759E-3</v>
      </c>
    </row>
    <row r="2536" spans="24:28" x14ac:dyDescent="0.2">
      <c r="X2536" s="176" t="str">
        <f t="shared" si="73"/>
        <v>1w</v>
      </c>
      <c r="Y2536" s="164">
        <f>_xll.qlCalendarAdvance(Calendar,Y2535,X2536,"f",FALSE)</f>
        <v>56871</v>
      </c>
      <c r="Z2536" s="188">
        <f>_xll.qlCalendarAdvance(Calendar,Y2536,NDays&amp;"D")</f>
        <v>56873</v>
      </c>
      <c r="AA2536" s="163">
        <v>8.1263871769923692E-3</v>
      </c>
      <c r="AB2536" s="172">
        <v>8.2353108159249899E-3</v>
      </c>
    </row>
    <row r="2537" spans="24:28" x14ac:dyDescent="0.2">
      <c r="X2537" s="176" t="str">
        <f t="shared" si="73"/>
        <v>1w</v>
      </c>
      <c r="Y2537" s="164">
        <f>_xll.qlCalendarAdvance(Calendar,Y2536,X2537,"f",FALSE)</f>
        <v>56878</v>
      </c>
      <c r="Z2537" s="188">
        <f>_xll.qlCalendarAdvance(Calendar,Y2537,NDays&amp;"D")</f>
        <v>56880</v>
      </c>
      <c r="AA2537" s="163">
        <v>8.1167631596554615E-3</v>
      </c>
      <c r="AB2537" s="172">
        <v>8.2253997802528289E-3</v>
      </c>
    </row>
    <row r="2538" spans="24:28" x14ac:dyDescent="0.2">
      <c r="X2538" s="176" t="str">
        <f t="shared" si="73"/>
        <v>1w</v>
      </c>
      <c r="Y2538" s="164">
        <f>_xll.qlCalendarAdvance(Calendar,Y2537,X2538,"f",FALSE)</f>
        <v>56885</v>
      </c>
      <c r="Z2538" s="188">
        <f>_xll.qlCalendarAdvance(Calendar,Y2538,NDays&amp;"D")</f>
        <v>56887</v>
      </c>
      <c r="AA2538" s="163">
        <v>8.1071645190702417E-3</v>
      </c>
      <c r="AB2538" s="172">
        <v>8.2155139721606929E-3</v>
      </c>
    </row>
    <row r="2539" spans="24:28" x14ac:dyDescent="0.2">
      <c r="X2539" s="176" t="str">
        <f t="shared" si="73"/>
        <v>1w</v>
      </c>
      <c r="Y2539" s="164">
        <f>_xll.qlCalendarAdvance(Calendar,Y2538,X2539,"f",FALSE)</f>
        <v>56892</v>
      </c>
      <c r="Z2539" s="188">
        <f>_xll.qlCalendarAdvance(Calendar,Y2539,NDays&amp;"D")</f>
        <v>56894</v>
      </c>
      <c r="AA2539" s="163">
        <v>8.0970072154023624E-3</v>
      </c>
      <c r="AB2539" s="172">
        <v>8.2056533915686458E-3</v>
      </c>
    </row>
    <row r="2540" spans="24:28" x14ac:dyDescent="0.2">
      <c r="X2540" s="176" t="str">
        <f t="shared" si="73"/>
        <v>1w</v>
      </c>
      <c r="Y2540" s="164">
        <f>_xll.qlCalendarAdvance(Calendar,Y2539,X2540,"f",FALSE)</f>
        <v>56899</v>
      </c>
      <c r="Z2540" s="188">
        <f>_xll.qlCalendarAdvance(Calendar,Y2540,NDays&amp;"D")</f>
        <v>56901</v>
      </c>
      <c r="AA2540" s="163">
        <v>8.0874609255969353E-3</v>
      </c>
      <c r="AB2540" s="172">
        <v>8.1958180386365598E-3</v>
      </c>
    </row>
    <row r="2541" spans="24:28" x14ac:dyDescent="0.2">
      <c r="X2541" s="176" t="str">
        <f t="shared" si="73"/>
        <v>1w</v>
      </c>
      <c r="Y2541" s="164">
        <f>_xll.qlCalendarAdvance(Calendar,Y2540,X2541,"f",FALSE)</f>
        <v>56906</v>
      </c>
      <c r="Z2541" s="188">
        <f>_xll.qlCalendarAdvance(Calendar,Y2541,NDays&amp;"D")</f>
        <v>56908</v>
      </c>
      <c r="AA2541" s="163">
        <v>8.077940012238681E-3</v>
      </c>
      <c r="AB2541" s="172">
        <v>8.1860079132844987E-3</v>
      </c>
    </row>
    <row r="2542" spans="24:28" x14ac:dyDescent="0.2">
      <c r="X2542" s="176" t="str">
        <f t="shared" si="73"/>
        <v>1w</v>
      </c>
      <c r="Y2542" s="164">
        <f>_xll.qlCalendarAdvance(Calendar,Y2541,X2542,"f",FALSE)</f>
        <v>56913</v>
      </c>
      <c r="Z2542" s="188">
        <f>_xll.qlCalendarAdvance(Calendar,Y2542,NDays&amp;"D")</f>
        <v>56915</v>
      </c>
      <c r="AA2542" s="163">
        <v>8.068444474960244E-3</v>
      </c>
      <c r="AB2542" s="172">
        <v>8.1762230154325266E-3</v>
      </c>
    </row>
    <row r="2543" spans="24:28" x14ac:dyDescent="0.2">
      <c r="X2543" s="176" t="str">
        <f t="shared" si="73"/>
        <v>1w</v>
      </c>
      <c r="Y2543" s="164">
        <f>_xll.qlCalendarAdvance(Calendar,Y2542,X2543,"f",FALSE)</f>
        <v>56920</v>
      </c>
      <c r="Z2543" s="188">
        <f>_xll.qlCalendarAdvance(Calendar,Y2543,NDays&amp;"D")</f>
        <v>56922</v>
      </c>
      <c r="AA2543" s="163">
        <v>8.0595519545941345E-3</v>
      </c>
      <c r="AB2543" s="172">
        <v>8.1664633451605795E-3</v>
      </c>
    </row>
    <row r="2544" spans="24:28" x14ac:dyDescent="0.2">
      <c r="X2544" s="176" t="str">
        <f t="shared" si="73"/>
        <v>1w</v>
      </c>
      <c r="Y2544" s="164">
        <f>_xll.qlCalendarAdvance(Calendar,Y2543,X2544,"f",FALSE)</f>
        <v>56927</v>
      </c>
      <c r="Z2544" s="188">
        <f>_xll.qlCalendarAdvance(Calendar,Y2544,NDays&amp;"D")</f>
        <v>56929</v>
      </c>
      <c r="AA2544" s="163">
        <v>8.0501055668368432E-3</v>
      </c>
      <c r="AB2544" s="172">
        <v>8.1567289023887213E-3</v>
      </c>
    </row>
    <row r="2545" spans="24:28" x14ac:dyDescent="0.2">
      <c r="X2545" s="176" t="str">
        <f t="shared" si="73"/>
        <v>1w</v>
      </c>
      <c r="Y2545" s="164">
        <f>_xll.qlCalendarAdvance(Calendar,Y2544,X2545,"f",FALSE)</f>
        <v>56934</v>
      </c>
      <c r="Z2545" s="188">
        <f>_xll.qlCalendarAdvance(Calendar,Y2545,NDays&amp;"D")</f>
        <v>56936</v>
      </c>
      <c r="AA2545" s="163">
        <v>8.0406845532803133E-3</v>
      </c>
      <c r="AB2545" s="172">
        <v>8.1470196872768241E-3</v>
      </c>
    </row>
    <row r="2546" spans="24:28" x14ac:dyDescent="0.2">
      <c r="X2546" s="176" t="str">
        <f t="shared" si="73"/>
        <v>1w</v>
      </c>
      <c r="Y2546" s="164">
        <f>_xll.qlCalendarAdvance(Calendar,Y2545,X2546,"f",FALSE)</f>
        <v>56941</v>
      </c>
      <c r="Z2546" s="188">
        <f>_xll.qlCalendarAdvance(Calendar,Y2546,NDays&amp;"D")</f>
        <v>56943</v>
      </c>
      <c r="AA2546" s="163">
        <v>8.031288913562638E-3</v>
      </c>
      <c r="AB2546" s="172">
        <v>8.137335699744952E-3</v>
      </c>
    </row>
    <row r="2547" spans="24:28" x14ac:dyDescent="0.2">
      <c r="X2547" s="176" t="str">
        <f t="shared" si="73"/>
        <v>1w</v>
      </c>
      <c r="Y2547" s="164">
        <f>_xll.qlCalendarAdvance(Calendar,Y2546,X2547,"f",FALSE)</f>
        <v>56948</v>
      </c>
      <c r="Z2547" s="188">
        <f>_xll.qlCalendarAdvance(Calendar,Y2547,NDays&amp;"D")</f>
        <v>56950</v>
      </c>
      <c r="AA2547" s="163">
        <v>8.0213474170148531E-3</v>
      </c>
      <c r="AB2547" s="172">
        <v>8.1276769395532966E-3</v>
      </c>
    </row>
    <row r="2548" spans="24:28" x14ac:dyDescent="0.2">
      <c r="X2548" s="176" t="str">
        <f t="shared" si="73"/>
        <v>1w</v>
      </c>
      <c r="Y2548" s="164">
        <f>_xll.qlCalendarAdvance(Calendar,Y2547,X2548,"f",FALSE)</f>
        <v>56955</v>
      </c>
      <c r="Z2548" s="188">
        <f>_xll.qlCalendarAdvance(Calendar,Y2548,NDays&amp;"D")</f>
        <v>56957</v>
      </c>
      <c r="AA2548" s="163">
        <v>8.0120041285768346E-3</v>
      </c>
      <c r="AB2548" s="172">
        <v>8.1180434071814744E-3</v>
      </c>
    </row>
    <row r="2549" spans="24:28" x14ac:dyDescent="0.2">
      <c r="X2549" s="176" t="str">
        <f t="shared" si="73"/>
        <v>1w</v>
      </c>
      <c r="Y2549" s="164">
        <f>_xll.qlCalendarAdvance(Calendar,Y2548,X2549,"f",FALSE)</f>
        <v>56962</v>
      </c>
      <c r="Z2549" s="188">
        <f>_xll.qlCalendarAdvance(Calendar,Y2549,NDays&amp;"D")</f>
        <v>56964</v>
      </c>
      <c r="AA2549" s="163">
        <v>8.0026862136803375E-3</v>
      </c>
      <c r="AB2549" s="172">
        <v>8.1084351022298051E-3</v>
      </c>
    </row>
    <row r="2550" spans="24:28" x14ac:dyDescent="0.2">
      <c r="X2550" s="176" t="str">
        <f t="shared" si="73"/>
        <v>1w</v>
      </c>
      <c r="Y2550" s="164">
        <f>_xll.qlCalendarAdvance(Calendar,Y2549,X2550,"f",FALSE)</f>
        <v>56969</v>
      </c>
      <c r="Z2550" s="188">
        <f>_xll.qlCalendarAdvance(Calendar,Y2550,NDays&amp;"D")</f>
        <v>56971</v>
      </c>
      <c r="AA2550" s="163">
        <v>7.9933936719676114E-3</v>
      </c>
      <c r="AB2550" s="172">
        <v>8.0988520247782247E-3</v>
      </c>
    </row>
    <row r="2551" spans="24:28" x14ac:dyDescent="0.2">
      <c r="X2551" s="176" t="str">
        <f t="shared" si="73"/>
        <v>1w</v>
      </c>
      <c r="Y2551" s="164">
        <f>_xll.qlCalendarAdvance(Calendar,Y2550,X2551,"f",FALSE)</f>
        <v>56976</v>
      </c>
      <c r="Z2551" s="188">
        <f>_xll.qlCalendarAdvance(Calendar,Y2551,NDays&amp;"D")</f>
        <v>56978</v>
      </c>
      <c r="AA2551" s="163">
        <v>7.9841265030809131E-3</v>
      </c>
      <c r="AB2551" s="172">
        <v>8.0892941749866054E-3</v>
      </c>
    </row>
    <row r="2552" spans="24:28" x14ac:dyDescent="0.2">
      <c r="X2552" s="176" t="str">
        <f t="shared" si="73"/>
        <v>1w</v>
      </c>
      <c r="Y2552" s="164">
        <f>_xll.qlCalendarAdvance(Calendar,Y2551,X2552,"f",FALSE)</f>
        <v>56983</v>
      </c>
      <c r="Z2552" s="188">
        <f>_xll.qlCalendarAdvance(Calendar,Y2552,NDays&amp;"D")</f>
        <v>56985</v>
      </c>
      <c r="AA2552" s="163">
        <v>7.975447905807698E-3</v>
      </c>
      <c r="AB2552" s="172">
        <v>8.079761552615139E-3</v>
      </c>
    </row>
    <row r="2553" spans="24:28" x14ac:dyDescent="0.2">
      <c r="X2553" s="176" t="str">
        <f t="shared" si="73"/>
        <v>1w</v>
      </c>
      <c r="Y2553" s="164">
        <f>_xll.qlCalendarAdvance(Calendar,Y2552,X2553,"f",FALSE)</f>
        <v>56990</v>
      </c>
      <c r="Z2553" s="188">
        <f>_xll.qlCalendarAdvance(Calendar,Y2553,NDays&amp;"D")</f>
        <v>56992</v>
      </c>
      <c r="AA2553" s="163">
        <v>7.9662298729489128E-3</v>
      </c>
      <c r="AB2553" s="172">
        <v>8.0702541578236975E-3</v>
      </c>
    </row>
    <row r="2554" spans="24:28" x14ac:dyDescent="0.2">
      <c r="X2554" s="176" t="str">
        <f t="shared" si="73"/>
        <v>1w</v>
      </c>
      <c r="Y2554" s="164">
        <f>_xll.qlCalendarAdvance(Calendar,Y2553,X2554,"f",FALSE)</f>
        <v>56997</v>
      </c>
      <c r="Z2554" s="188">
        <f>_xll.qlCalendarAdvance(Calendar,Y2554,NDays&amp;"D")</f>
        <v>56999</v>
      </c>
      <c r="AA2554" s="163">
        <v>7.9570372110785159E-3</v>
      </c>
      <c r="AB2554" s="172">
        <v>8.0607719906922171E-3</v>
      </c>
    </row>
    <row r="2555" spans="24:28" x14ac:dyDescent="0.2">
      <c r="X2555" s="176" t="str">
        <f t="shared" si="73"/>
        <v>1w</v>
      </c>
      <c r="Y2555" s="164">
        <f>_xll.qlCalendarAdvance(Calendar,Y2554,X2555,"f",FALSE)</f>
        <v>57004</v>
      </c>
      <c r="Z2555" s="188">
        <f>_xll.qlCalendarAdvance(Calendar,Y2555,NDays&amp;"D")</f>
        <v>57006</v>
      </c>
      <c r="AA2555" s="163">
        <v>7.9478699198451373E-3</v>
      </c>
      <c r="AB2555" s="172">
        <v>8.0513150509808895E-3</v>
      </c>
    </row>
    <row r="2556" spans="24:28" x14ac:dyDescent="0.2">
      <c r="X2556" s="176" t="str">
        <f t="shared" si="73"/>
        <v>1w</v>
      </c>
      <c r="Y2556" s="164">
        <f>_xll.qlCalendarAdvance(Calendar,Y2555,X2556,"f",FALSE)</f>
        <v>57011</v>
      </c>
      <c r="Z2556" s="188">
        <f>_xll.qlCalendarAdvance(Calendar,Y2556,NDays&amp;"D")</f>
        <v>57013</v>
      </c>
      <c r="AA2556" s="163">
        <v>7.9387279988982918E-3</v>
      </c>
      <c r="AB2556" s="172">
        <v>8.0418833387696509E-3</v>
      </c>
    </row>
    <row r="2557" spans="24:28" x14ac:dyDescent="0.2">
      <c r="X2557" s="176" t="str">
        <f t="shared" si="73"/>
        <v>1w</v>
      </c>
      <c r="Y2557" s="164">
        <f>_xll.qlCalendarAdvance(Calendar,Y2556,X2557,"f",FALSE)</f>
        <v>57018</v>
      </c>
      <c r="Z2557" s="188">
        <f>_xll.qlCalendarAdvance(Calendar,Y2557,NDays&amp;"D")</f>
        <v>57020</v>
      </c>
      <c r="AA2557" s="163">
        <v>7.929611447887926E-3</v>
      </c>
      <c r="AB2557" s="172">
        <v>8.0324768541384373E-3</v>
      </c>
    </row>
    <row r="2558" spans="24:28" x14ac:dyDescent="0.2">
      <c r="X2558" s="176" t="str">
        <f t="shared" si="73"/>
        <v>1w</v>
      </c>
      <c r="Y2558" s="164">
        <f>_xll.qlCalendarAdvance(Calendar,Y2557,X2558,"f",FALSE)</f>
        <v>57025</v>
      </c>
      <c r="Z2558" s="188">
        <f>_xll.qlCalendarAdvance(Calendar,Y2558,NDays&amp;"D")</f>
        <v>57027</v>
      </c>
      <c r="AA2558" s="163">
        <v>7.9205202664639918E-3</v>
      </c>
      <c r="AB2558" s="172">
        <v>8.0230955970872486E-3</v>
      </c>
    </row>
    <row r="2559" spans="24:28" x14ac:dyDescent="0.2">
      <c r="X2559" s="176" t="str">
        <f t="shared" si="73"/>
        <v>1w</v>
      </c>
      <c r="Y2559" s="164">
        <f>_xll.qlCalendarAdvance(Calendar,Y2558,X2559,"f",FALSE)</f>
        <v>57032</v>
      </c>
      <c r="Z2559" s="188">
        <f>_xll.qlCalendarAdvance(Calendar,Y2559,NDays&amp;"D")</f>
        <v>57034</v>
      </c>
      <c r="AA2559" s="163">
        <v>7.9114544542799523E-3</v>
      </c>
      <c r="AB2559" s="172">
        <v>8.0137395675361489E-3</v>
      </c>
    </row>
    <row r="2560" spans="24:28" x14ac:dyDescent="0.2">
      <c r="X2560" s="176" t="str">
        <f t="shared" si="73"/>
        <v>1w</v>
      </c>
      <c r="Y2560" s="164">
        <f>_xll.qlCalendarAdvance(Calendar,Y2559,X2560,"f",FALSE)</f>
        <v>57039</v>
      </c>
      <c r="Z2560" s="188">
        <f>_xll.qlCalendarAdvance(Calendar,Y2560,NDays&amp;"D")</f>
        <v>57041</v>
      </c>
      <c r="AA2560" s="163">
        <v>7.9002136491995896E-3</v>
      </c>
      <c r="AB2560" s="172">
        <v>8.0044087654851381E-3</v>
      </c>
    </row>
    <row r="2561" spans="24:28" x14ac:dyDescent="0.2">
      <c r="X2561" s="176" t="str">
        <f t="shared" si="73"/>
        <v>1w</v>
      </c>
      <c r="Y2561" s="164">
        <f>_xll.qlCalendarAdvance(Calendar,Y2560,X2561,"f",FALSE)</f>
        <v>57046</v>
      </c>
      <c r="Z2561" s="188">
        <f>_xll.qlCalendarAdvance(Calendar,Y2561,NDays&amp;"D")</f>
        <v>57048</v>
      </c>
      <c r="AA2561" s="163">
        <v>7.8912050337171854E-3</v>
      </c>
      <c r="AB2561" s="172">
        <v>7.9951031909342163E-3</v>
      </c>
    </row>
    <row r="2562" spans="24:28" x14ac:dyDescent="0.2">
      <c r="X2562" s="176" t="str">
        <f t="shared" si="73"/>
        <v>1w</v>
      </c>
      <c r="Y2562" s="164">
        <f>_xll.qlCalendarAdvance(Calendar,Y2561,X2562,"f",FALSE)</f>
        <v>57053</v>
      </c>
      <c r="Z2562" s="188">
        <f>_xll.qlCalendarAdvance(Calendar,Y2562,NDays&amp;"D")</f>
        <v>57055</v>
      </c>
      <c r="AA2562" s="163">
        <v>7.882221789453886E-3</v>
      </c>
      <c r="AB2562" s="172">
        <v>7.9858228440432555E-3</v>
      </c>
    </row>
    <row r="2563" spans="24:28" x14ac:dyDescent="0.2">
      <c r="X2563" s="176" t="str">
        <f t="shared" si="73"/>
        <v>1w</v>
      </c>
      <c r="Y2563" s="164">
        <f>_xll.qlCalendarAdvance(Calendar,Y2562,X2563,"f",FALSE)</f>
        <v>57060</v>
      </c>
      <c r="Z2563" s="188">
        <f>_xll.qlCalendarAdvance(Calendar,Y2563,NDays&amp;"D")</f>
        <v>57062</v>
      </c>
      <c r="AA2563" s="163">
        <v>7.873263916057284E-3</v>
      </c>
      <c r="AB2563" s="172">
        <v>7.9765677245724476E-3</v>
      </c>
    </row>
    <row r="2564" spans="24:28" x14ac:dyDescent="0.2">
      <c r="X2564" s="176" t="str">
        <f t="shared" si="73"/>
        <v>1w</v>
      </c>
      <c r="Y2564" s="164">
        <f>_xll.qlCalendarAdvance(Calendar,Y2563,X2564,"f",FALSE)</f>
        <v>57067</v>
      </c>
      <c r="Z2564" s="188">
        <f>_xll.qlCalendarAdvance(Calendar,Y2564,NDays&amp;"D")</f>
        <v>57069</v>
      </c>
      <c r="AA2564" s="163">
        <v>7.8659620737248533E-3</v>
      </c>
      <c r="AB2564" s="172">
        <v>7.9650583021013688E-3</v>
      </c>
    </row>
    <row r="2565" spans="24:28" x14ac:dyDescent="0.2">
      <c r="X2565" s="176" t="str">
        <f t="shared" si="73"/>
        <v>1w</v>
      </c>
      <c r="Y2565" s="164">
        <f>_xll.qlCalendarAdvance(Calendar,Y2564,X2565,"f",FALSE)</f>
        <v>57074</v>
      </c>
      <c r="Z2565" s="188">
        <f>_xll.qlCalendarAdvance(Calendar,Y2565,NDays&amp;"D")</f>
        <v>57076</v>
      </c>
      <c r="AA2565" s="163">
        <v>7.857050087388193E-3</v>
      </c>
      <c r="AB2565" s="172">
        <v>7.9581331681310985E-3</v>
      </c>
    </row>
    <row r="2566" spans="24:28" x14ac:dyDescent="0.2">
      <c r="X2566" s="176" t="str">
        <f t="shared" si="73"/>
        <v>1w</v>
      </c>
      <c r="Y2566" s="164">
        <f>_xll.qlCalendarAdvance(Calendar,Y2565,X2566,"f",FALSE)</f>
        <v>57081</v>
      </c>
      <c r="Z2566" s="188">
        <f>_xll.qlCalendarAdvance(Calendar,Y2566,NDays&amp;"D")</f>
        <v>57083</v>
      </c>
      <c r="AA2566" s="163">
        <v>7.8481634686288597E-3</v>
      </c>
      <c r="AB2566" s="172">
        <v>7.9489537312404934E-3</v>
      </c>
    </row>
    <row r="2567" spans="24:28" x14ac:dyDescent="0.2">
      <c r="X2567" s="176" t="str">
        <f t="shared" si="73"/>
        <v>1w</v>
      </c>
      <c r="Y2567" s="164">
        <f>_xll.qlCalendarAdvance(Calendar,Y2566,X2567,"f",FALSE)</f>
        <v>57088</v>
      </c>
      <c r="Z2567" s="188">
        <f>_xll.qlCalendarAdvance(Calendar,Y2567,NDays&amp;"D")</f>
        <v>57090</v>
      </c>
      <c r="AA2567" s="163">
        <v>7.8393022171057078E-3</v>
      </c>
      <c r="AB2567" s="172">
        <v>7.9397995218499773E-3</v>
      </c>
    </row>
    <row r="2568" spans="24:28" x14ac:dyDescent="0.2">
      <c r="X2568" s="176" t="str">
        <f t="shared" si="73"/>
        <v>1w</v>
      </c>
      <c r="Y2568" s="164">
        <f>_xll.qlCalendarAdvance(Calendar,Y2567,X2568,"f",FALSE)</f>
        <v>57095</v>
      </c>
      <c r="Z2568" s="188">
        <f>_xll.qlCalendarAdvance(Calendar,Y2568,NDays&amp;"D")</f>
        <v>57097</v>
      </c>
      <c r="AA2568" s="163">
        <v>7.8304663324771512E-3</v>
      </c>
      <c r="AB2568" s="172">
        <v>7.9306705399595501E-3</v>
      </c>
    </row>
    <row r="2569" spans="24:28" x14ac:dyDescent="0.2">
      <c r="X2569" s="176" t="str">
        <f t="shared" si="73"/>
        <v>1w</v>
      </c>
      <c r="Y2569" s="164">
        <f>_xll.qlCalendarAdvance(Calendar,Y2568,X2569,"f",FALSE)</f>
        <v>57102</v>
      </c>
      <c r="Z2569" s="188">
        <f>_xll.qlCalendarAdvance(Calendar,Y2569,NDays&amp;"D")</f>
        <v>57104</v>
      </c>
      <c r="AA2569" s="163">
        <v>7.8200494443236481E-3</v>
      </c>
      <c r="AB2569" s="172">
        <v>7.9215667855692118E-3</v>
      </c>
    </row>
    <row r="2570" spans="24:28" x14ac:dyDescent="0.2">
      <c r="X2570" s="176" t="str">
        <f t="shared" si="73"/>
        <v>1w</v>
      </c>
      <c r="Y2570" s="164">
        <f>_xll.qlCalendarAdvance(Calendar,Y2569,X2570,"f",FALSE)</f>
        <v>57109</v>
      </c>
      <c r="Z2570" s="188">
        <f>_xll.qlCalendarAdvance(Calendar,Y2570,NDays&amp;"D")</f>
        <v>57111</v>
      </c>
      <c r="AA2570" s="163">
        <v>7.8112691572378642E-3</v>
      </c>
      <c r="AB2570" s="172">
        <v>7.9124882587588985E-3</v>
      </c>
    </row>
    <row r="2571" spans="24:28" x14ac:dyDescent="0.2">
      <c r="X2571" s="176" t="str">
        <f t="shared" si="73"/>
        <v>1w</v>
      </c>
      <c r="Y2571" s="164">
        <f>_xll.qlCalendarAdvance(Calendar,Y2570,X2571,"f",FALSE)</f>
        <v>57116</v>
      </c>
      <c r="Z2571" s="188">
        <f>_xll.qlCalendarAdvance(Calendar,Y2571,NDays&amp;"D")</f>
        <v>57118</v>
      </c>
      <c r="AA2571" s="163">
        <v>7.8025142382433643E-3</v>
      </c>
      <c r="AB2571" s="172">
        <v>7.903434959288802E-3</v>
      </c>
    </row>
    <row r="2572" spans="24:28" x14ac:dyDescent="0.2">
      <c r="X2572" s="176" t="str">
        <f t="shared" si="73"/>
        <v>1w</v>
      </c>
      <c r="Y2572" s="164">
        <f>_xll.qlCalendarAdvance(Calendar,Y2571,X2572,"f",FALSE)</f>
        <v>57123</v>
      </c>
      <c r="Z2572" s="188">
        <f>_xll.qlCalendarAdvance(Calendar,Y2572,NDays&amp;"D")</f>
        <v>57125</v>
      </c>
      <c r="AA2572" s="163">
        <v>7.7937846869971959E-3</v>
      </c>
      <c r="AB2572" s="172">
        <v>7.8944068875586026E-3</v>
      </c>
    </row>
    <row r="2573" spans="24:28" x14ac:dyDescent="0.2">
      <c r="X2573" s="176" t="str">
        <f t="shared" si="73"/>
        <v>1w</v>
      </c>
      <c r="Y2573" s="164">
        <f>_xll.qlCalendarAdvance(Calendar,Y2572,X2573,"f",FALSE)</f>
        <v>57130</v>
      </c>
      <c r="Z2573" s="188">
        <f>_xll.qlCalendarAdvance(Calendar,Y2573,NDays&amp;"D")</f>
        <v>57132</v>
      </c>
      <c r="AA2573" s="163">
        <v>7.7866674008808361E-3</v>
      </c>
      <c r="AB2573" s="172">
        <v>7.8854040431686201E-3</v>
      </c>
    </row>
    <row r="2574" spans="24:28" x14ac:dyDescent="0.2">
      <c r="X2574" s="176" t="str">
        <f t="shared" si="73"/>
        <v>1w</v>
      </c>
      <c r="Y2574" s="164">
        <f>_xll.qlCalendarAdvance(Calendar,Y2573,X2574,"f",FALSE)</f>
        <v>57137</v>
      </c>
      <c r="Z2574" s="188">
        <f>_xll.qlCalendarAdvance(Calendar,Y2574,NDays&amp;"D")</f>
        <v>57139</v>
      </c>
      <c r="AA2574" s="163">
        <v>7.7779837105112232E-3</v>
      </c>
      <c r="AB2574" s="172">
        <v>7.8764264262787265E-3</v>
      </c>
    </row>
    <row r="2575" spans="24:28" x14ac:dyDescent="0.2">
      <c r="X2575" s="176" t="str">
        <f t="shared" si="73"/>
        <v>1w</v>
      </c>
      <c r="Y2575" s="164">
        <f>_xll.qlCalendarAdvance(Calendar,Y2574,X2575,"f",FALSE)</f>
        <v>57144</v>
      </c>
      <c r="Z2575" s="188">
        <f>_xll.qlCalendarAdvance(Calendar,Y2575,NDays&amp;"D")</f>
        <v>57146</v>
      </c>
      <c r="AA2575" s="163">
        <v>7.7693253846761274E-3</v>
      </c>
      <c r="AB2575" s="172">
        <v>7.8674740369688578E-3</v>
      </c>
    </row>
    <row r="2576" spans="24:28" x14ac:dyDescent="0.2">
      <c r="X2576" s="176" t="str">
        <f t="shared" si="73"/>
        <v>1w</v>
      </c>
      <c r="Y2576" s="164">
        <f>_xll.qlCalendarAdvance(Calendar,Y2575,X2576,"f",FALSE)</f>
        <v>57151</v>
      </c>
      <c r="Z2576" s="188">
        <f>_xll.qlCalendarAdvance(Calendar,Y2576,NDays&amp;"D")</f>
        <v>57153</v>
      </c>
      <c r="AA2576" s="163">
        <v>7.760692423041826E-3</v>
      </c>
      <c r="AB2576" s="172">
        <v>7.8585468750791421E-3</v>
      </c>
    </row>
    <row r="2577" spans="24:28" x14ac:dyDescent="0.2">
      <c r="X2577" s="176" t="str">
        <f t="shared" si="73"/>
        <v>1w</v>
      </c>
      <c r="Y2577" s="164">
        <f>_xll.qlCalendarAdvance(Calendar,Y2576,X2577,"f",FALSE)</f>
        <v>57158</v>
      </c>
      <c r="Z2577" s="188">
        <f>_xll.qlCalendarAdvance(Calendar,Y2577,NDays&amp;"D")</f>
        <v>57160</v>
      </c>
      <c r="AA2577" s="163">
        <v>7.7520848252767803E-3</v>
      </c>
      <c r="AB2577" s="172">
        <v>7.8496449407694513E-3</v>
      </c>
    </row>
    <row r="2578" spans="24:28" x14ac:dyDescent="0.2">
      <c r="X2578" s="176" t="str">
        <f t="shared" si="73"/>
        <v>1w</v>
      </c>
      <c r="Y2578" s="164">
        <f>_xll.qlCalendarAdvance(Calendar,Y2577,X2578,"f",FALSE)</f>
        <v>57165</v>
      </c>
      <c r="Z2578" s="188">
        <f>_xll.qlCalendarAdvance(Calendar,Y2578,NDays&amp;"D")</f>
        <v>57167</v>
      </c>
      <c r="AA2578" s="163">
        <v>7.7419400831824428E-3</v>
      </c>
      <c r="AB2578" s="172">
        <v>7.8407682338799134E-3</v>
      </c>
    </row>
    <row r="2579" spans="24:28" x14ac:dyDescent="0.2">
      <c r="X2579" s="176" t="str">
        <f t="shared" si="73"/>
        <v>1w</v>
      </c>
      <c r="Y2579" s="164">
        <f>_xll.qlCalendarAdvance(Calendar,Y2578,X2579,"f",FALSE)</f>
        <v>57172</v>
      </c>
      <c r="Z2579" s="188">
        <f>_xll.qlCalendarAdvance(Calendar,Y2579,NDays&amp;"D")</f>
        <v>57174</v>
      </c>
      <c r="AA2579" s="163">
        <v>7.7333880966686547E-3</v>
      </c>
      <c r="AB2579" s="172">
        <v>7.8319167544105284E-3</v>
      </c>
    </row>
    <row r="2580" spans="24:28" x14ac:dyDescent="0.2">
      <c r="X2580" s="176" t="str">
        <f t="shared" si="73"/>
        <v>1w</v>
      </c>
      <c r="Y2580" s="164">
        <f>_xll.qlCalendarAdvance(Calendar,Y2579,X2580,"f",FALSE)</f>
        <v>57179</v>
      </c>
      <c r="Z2580" s="188">
        <f>_xll.qlCalendarAdvance(Calendar,Y2580,NDays&amp;"D")</f>
        <v>57181</v>
      </c>
      <c r="AA2580" s="163">
        <v>7.7248614751995546E-3</v>
      </c>
      <c r="AB2580" s="172">
        <v>7.8230905026810404E-3</v>
      </c>
    </row>
    <row r="2581" spans="24:28" x14ac:dyDescent="0.2">
      <c r="X2581" s="176" t="str">
        <f t="shared" ref="X2581:X2644" si="74">X2580</f>
        <v>1w</v>
      </c>
      <c r="Y2581" s="164">
        <f>_xll.qlCalendarAdvance(Calendar,Y2580,X2581,"f",FALSE)</f>
        <v>57186</v>
      </c>
      <c r="Z2581" s="188">
        <f>_xll.qlCalendarAdvance(Calendar,Y2581,NDays&amp;"D")</f>
        <v>57188</v>
      </c>
      <c r="AA2581" s="163">
        <v>7.7163602184407874E-3</v>
      </c>
      <c r="AB2581" s="172">
        <v>7.8142894781318972E-3</v>
      </c>
    </row>
    <row r="2582" spans="24:28" x14ac:dyDescent="0.2">
      <c r="X2582" s="176" t="str">
        <f t="shared" si="74"/>
        <v>1w</v>
      </c>
      <c r="Y2582" s="164">
        <f>_xll.qlCalendarAdvance(Calendar,Y2581,X2582,"f",FALSE)</f>
        <v>57193</v>
      </c>
      <c r="Z2582" s="188">
        <f>_xll.qlCalendarAdvance(Calendar,Y2582,NDays&amp;"D")</f>
        <v>57195</v>
      </c>
      <c r="AA2582" s="163">
        <v>7.7078843260610036E-3</v>
      </c>
      <c r="AB2582" s="172">
        <v>7.8055136813226511E-3</v>
      </c>
    </row>
    <row r="2583" spans="24:28" x14ac:dyDescent="0.2">
      <c r="X2583" s="176" t="str">
        <f t="shared" si="74"/>
        <v>1w</v>
      </c>
      <c r="Y2583" s="164">
        <f>_xll.qlCalendarAdvance(Calendar,Y2582,X2583,"f",FALSE)</f>
        <v>57200</v>
      </c>
      <c r="Z2583" s="188">
        <f>_xll.qlCalendarAdvance(Calendar,Y2583,NDays&amp;"D")</f>
        <v>57202</v>
      </c>
      <c r="AA2583" s="163">
        <v>7.6994337977262777E-3</v>
      </c>
      <c r="AB2583" s="172">
        <v>7.7967631118536218E-3</v>
      </c>
    </row>
    <row r="2584" spans="24:28" x14ac:dyDescent="0.2">
      <c r="X2584" s="176" t="str">
        <f t="shared" si="74"/>
        <v>1w</v>
      </c>
      <c r="Y2584" s="164">
        <f>_xll.qlCalendarAdvance(Calendar,Y2583,X2584,"f",FALSE)</f>
        <v>57207</v>
      </c>
      <c r="Z2584" s="188">
        <f>_xll.qlCalendarAdvance(Calendar,Y2584,NDays&amp;"D")</f>
        <v>57209</v>
      </c>
      <c r="AA2584" s="163">
        <v>7.6910086331082707E-3</v>
      </c>
      <c r="AB2584" s="172">
        <v>7.7880377698846814E-3</v>
      </c>
    </row>
    <row r="2585" spans="24:28" x14ac:dyDescent="0.2">
      <c r="X2585" s="176" t="str">
        <f t="shared" si="74"/>
        <v>1w</v>
      </c>
      <c r="Y2585" s="164">
        <f>_xll.qlCalendarAdvance(Calendar,Y2584,X2585,"f",FALSE)</f>
        <v>57214</v>
      </c>
      <c r="Z2585" s="188">
        <f>_xll.qlCalendarAdvance(Calendar,Y2585,NDays&amp;"D")</f>
        <v>57216</v>
      </c>
      <c r="AA2585" s="163">
        <v>7.6826088318764927E-3</v>
      </c>
      <c r="AB2585" s="172">
        <v>7.77933765541583E-3</v>
      </c>
    </row>
    <row r="2586" spans="24:28" x14ac:dyDescent="0.2">
      <c r="X2586" s="176" t="str">
        <f t="shared" si="74"/>
        <v>1w</v>
      </c>
      <c r="Y2586" s="164">
        <f>_xll.qlCalendarAdvance(Calendar,Y2585,X2586,"f",FALSE)</f>
        <v>57221</v>
      </c>
      <c r="Z2586" s="188">
        <f>_xll.qlCalendarAdvance(Calendar,Y2586,NDays&amp;"D")</f>
        <v>57223</v>
      </c>
      <c r="AA2586" s="163">
        <v>7.6767740887053234E-3</v>
      </c>
      <c r="AB2586" s="172">
        <v>7.7706627684470675E-3</v>
      </c>
    </row>
    <row r="2587" spans="24:28" x14ac:dyDescent="0.2">
      <c r="X2587" s="176" t="str">
        <f t="shared" si="74"/>
        <v>1w</v>
      </c>
      <c r="Y2587" s="164">
        <f>_xll.qlCalendarAdvance(Calendar,Y2586,X2587,"f",FALSE)</f>
        <v>57228</v>
      </c>
      <c r="Z2587" s="188">
        <f>_xll.qlCalendarAdvance(Calendar,Y2587,NDays&amp;"D")</f>
        <v>57230</v>
      </c>
      <c r="AA2587" s="163">
        <v>7.6684168442645324E-3</v>
      </c>
      <c r="AB2587" s="172">
        <v>7.7620131088984579E-3</v>
      </c>
    </row>
    <row r="2588" spans="24:28" x14ac:dyDescent="0.2">
      <c r="X2588" s="176" t="str">
        <f t="shared" si="74"/>
        <v>1w</v>
      </c>
      <c r="Y2588" s="164">
        <f>_xll.qlCalendarAdvance(Calendar,Y2587,X2588,"f",FALSE)</f>
        <v>57235</v>
      </c>
      <c r="Z2588" s="188">
        <f>_xll.qlCalendarAdvance(Calendar,Y2588,NDays&amp;"D")</f>
        <v>57237</v>
      </c>
      <c r="AA2588" s="163">
        <v>7.6600849586848287E-3</v>
      </c>
      <c r="AB2588" s="172">
        <v>7.7533886768499372E-3</v>
      </c>
    </row>
    <row r="2589" spans="24:28" x14ac:dyDescent="0.2">
      <c r="X2589" s="176" t="str">
        <f t="shared" si="74"/>
        <v>1w</v>
      </c>
      <c r="Y2589" s="164">
        <f>_xll.qlCalendarAdvance(Calendar,Y2588,X2589,"f",FALSE)</f>
        <v>57242</v>
      </c>
      <c r="Z2589" s="188">
        <f>_xll.qlCalendarAdvance(Calendar,Y2589,NDays&amp;"D")</f>
        <v>57244</v>
      </c>
      <c r="AA2589" s="163">
        <v>7.6517784316473538E-3</v>
      </c>
      <c r="AB2589" s="172">
        <v>7.7447894723015054E-3</v>
      </c>
    </row>
    <row r="2590" spans="24:28" x14ac:dyDescent="0.2">
      <c r="X2590" s="176" t="str">
        <f t="shared" si="74"/>
        <v>1w</v>
      </c>
      <c r="Y2590" s="164">
        <f>_xll.qlCalendarAdvance(Calendar,Y2589,X2590,"f",FALSE)</f>
        <v>57249</v>
      </c>
      <c r="Z2590" s="188">
        <f>_xll.qlCalendarAdvance(Calendar,Y2590,NDays&amp;"D")</f>
        <v>57251</v>
      </c>
      <c r="AA2590" s="163">
        <v>7.643497262837219E-3</v>
      </c>
      <c r="AB2590" s="172">
        <v>7.7362154952531625E-3</v>
      </c>
    </row>
    <row r="2591" spans="24:28" x14ac:dyDescent="0.2">
      <c r="X2591" s="176" t="str">
        <f t="shared" si="74"/>
        <v>1w</v>
      </c>
      <c r="Y2591" s="164">
        <f>_xll.qlCalendarAdvance(Calendar,Y2590,X2591,"f",FALSE)</f>
        <v>57256</v>
      </c>
      <c r="Z2591" s="188">
        <f>_xll.qlCalendarAdvance(Calendar,Y2591,NDays&amp;"D")</f>
        <v>57258</v>
      </c>
      <c r="AA2591" s="163">
        <v>7.6347413909879196E-3</v>
      </c>
      <c r="AB2591" s="172">
        <v>7.7276667455450365E-3</v>
      </c>
    </row>
    <row r="2592" spans="24:28" x14ac:dyDescent="0.2">
      <c r="X2592" s="176" t="str">
        <f t="shared" si="74"/>
        <v>1w</v>
      </c>
      <c r="Y2592" s="164">
        <f>_xll.qlCalendarAdvance(Calendar,Y2591,X2592,"f",FALSE)</f>
        <v>57263</v>
      </c>
      <c r="Z2592" s="188">
        <f>_xll.qlCalendarAdvance(Calendar,Y2592,NDays&amp;"D")</f>
        <v>57265</v>
      </c>
      <c r="AA2592" s="163">
        <v>7.6265125748174786E-3</v>
      </c>
      <c r="AB2592" s="172">
        <v>7.7191432233369994E-3</v>
      </c>
    </row>
    <row r="2593" spans="24:28" x14ac:dyDescent="0.2">
      <c r="X2593" s="176" t="str">
        <f t="shared" si="74"/>
        <v>1w</v>
      </c>
      <c r="Y2593" s="164">
        <f>_xll.qlCalendarAdvance(Calendar,Y2592,X2593,"f",FALSE)</f>
        <v>57270</v>
      </c>
      <c r="Z2593" s="188">
        <f>_xll.qlCalendarAdvance(Calendar,Y2593,NDays&amp;"D")</f>
        <v>57272</v>
      </c>
      <c r="AA2593" s="163">
        <v>7.6183091166308814E-3</v>
      </c>
      <c r="AB2593" s="172">
        <v>7.7106449287089873E-3</v>
      </c>
    </row>
    <row r="2594" spans="24:28" x14ac:dyDescent="0.2">
      <c r="X2594" s="176" t="str">
        <f t="shared" si="74"/>
        <v>1w</v>
      </c>
      <c r="Y2594" s="164">
        <f>_xll.qlCalendarAdvance(Calendar,Y2593,X2594,"f",FALSE)</f>
        <v>57277</v>
      </c>
      <c r="Z2594" s="188">
        <f>_xll.qlCalendarAdvance(Calendar,Y2594,NDays&amp;"D")</f>
        <v>57279</v>
      </c>
      <c r="AA2594" s="163">
        <v>7.6101310161158509E-3</v>
      </c>
      <c r="AB2594" s="172">
        <v>7.7021718615011281E-3</v>
      </c>
    </row>
    <row r="2595" spans="24:28" x14ac:dyDescent="0.2">
      <c r="X2595" s="176" t="str">
        <f t="shared" si="74"/>
        <v>1w</v>
      </c>
      <c r="Y2595" s="164">
        <f>_xll.qlCalendarAdvance(Calendar,Y2594,X2595,"f",FALSE)</f>
        <v>57284</v>
      </c>
      <c r="Z2595" s="188">
        <f>_xll.qlCalendarAdvance(Calendar,Y2595,NDays&amp;"D")</f>
        <v>57286</v>
      </c>
      <c r="AA2595" s="163">
        <v>7.6024717811871284E-3</v>
      </c>
      <c r="AB2595" s="172">
        <v>7.6937240217134217E-3</v>
      </c>
    </row>
    <row r="2596" spans="24:28" x14ac:dyDescent="0.2">
      <c r="X2596" s="176" t="str">
        <f t="shared" si="74"/>
        <v>1w</v>
      </c>
      <c r="Y2596" s="164">
        <f>_xll.qlCalendarAdvance(Calendar,Y2595,X2596,"f",FALSE)</f>
        <v>57291</v>
      </c>
      <c r="Z2596" s="188">
        <f>_xll.qlCalendarAdvance(Calendar,Y2596,NDays&amp;"D")</f>
        <v>57293</v>
      </c>
      <c r="AA2596" s="163">
        <v>7.5943427551518365E-3</v>
      </c>
      <c r="AB2596" s="172">
        <v>7.6853014094258043E-3</v>
      </c>
    </row>
    <row r="2597" spans="24:28" x14ac:dyDescent="0.2">
      <c r="X2597" s="176" t="str">
        <f t="shared" si="74"/>
        <v>1w</v>
      </c>
      <c r="Y2597" s="164">
        <f>_xll.qlCalendarAdvance(Calendar,Y2596,X2597,"f",FALSE)</f>
        <v>57298</v>
      </c>
      <c r="Z2597" s="188">
        <f>_xll.qlCalendarAdvance(Calendar,Y2597,NDays&amp;"D")</f>
        <v>57300</v>
      </c>
      <c r="AA2597" s="163">
        <v>7.5862390851560227E-3</v>
      </c>
      <c r="AB2597" s="172">
        <v>7.6769040244784037E-3</v>
      </c>
    </row>
    <row r="2598" spans="24:28" x14ac:dyDescent="0.2">
      <c r="X2598" s="176" t="str">
        <f t="shared" si="74"/>
        <v>1w</v>
      </c>
      <c r="Y2598" s="164">
        <f>_xll.qlCalendarAdvance(Calendar,Y2597,X2598,"f",FALSE)</f>
        <v>57305</v>
      </c>
      <c r="Z2598" s="188">
        <f>_xll.qlCalendarAdvance(Calendar,Y2598,NDays&amp;"D")</f>
        <v>57307</v>
      </c>
      <c r="AA2598" s="163">
        <v>7.5781607708931917E-3</v>
      </c>
      <c r="AB2598" s="172">
        <v>7.6685318671110281E-3</v>
      </c>
    </row>
    <row r="2599" spans="24:28" x14ac:dyDescent="0.2">
      <c r="X2599" s="176" t="str">
        <f t="shared" si="74"/>
        <v>1w</v>
      </c>
      <c r="Y2599" s="164">
        <f>_xll.qlCalendarAdvance(Calendar,Y2598,X2599,"f",FALSE)</f>
        <v>57312</v>
      </c>
      <c r="Z2599" s="188">
        <f>_xll.qlCalendarAdvance(Calendar,Y2599,NDays&amp;"D")</f>
        <v>57314</v>
      </c>
      <c r="AA2599" s="163">
        <v>7.569620867676141E-3</v>
      </c>
      <c r="AB2599" s="172">
        <v>7.6601849371638053E-3</v>
      </c>
    </row>
    <row r="2600" spans="24:28" x14ac:dyDescent="0.2">
      <c r="X2600" s="176" t="str">
        <f t="shared" si="74"/>
        <v>1w</v>
      </c>
      <c r="Y2600" s="164">
        <f>_xll.qlCalendarAdvance(Calendar,Y2599,X2600,"f",FALSE)</f>
        <v>57319</v>
      </c>
      <c r="Z2600" s="188">
        <f>_xll.qlCalendarAdvance(Calendar,Y2600,NDays&amp;"D")</f>
        <v>57321</v>
      </c>
      <c r="AA2600" s="163">
        <v>7.5615949066449792E-3</v>
      </c>
      <c r="AB2600" s="172">
        <v>7.6518632347166715E-3</v>
      </c>
    </row>
    <row r="2601" spans="24:28" x14ac:dyDescent="0.2">
      <c r="X2601" s="176" t="str">
        <f t="shared" si="74"/>
        <v>1w</v>
      </c>
      <c r="Y2601" s="164">
        <f>_xll.qlCalendarAdvance(Calendar,Y2600,X2601,"f",FALSE)</f>
        <v>57326</v>
      </c>
      <c r="Z2601" s="188">
        <f>_xll.qlCalendarAdvance(Calendar,Y2601,NDays&amp;"D")</f>
        <v>57328</v>
      </c>
      <c r="AA2601" s="163">
        <v>7.5535943011139344E-3</v>
      </c>
      <c r="AB2601" s="172">
        <v>7.6435667596896906E-3</v>
      </c>
    </row>
    <row r="2602" spans="24:28" x14ac:dyDescent="0.2">
      <c r="X2602" s="176" t="str">
        <f t="shared" si="74"/>
        <v>1w</v>
      </c>
      <c r="Y2602" s="164">
        <f>_xll.qlCalendarAdvance(Calendar,Y2601,X2602,"f",FALSE)</f>
        <v>57333</v>
      </c>
      <c r="Z2602" s="188">
        <f>_xll.qlCalendarAdvance(Calendar,Y2602,NDays&amp;"D")</f>
        <v>57335</v>
      </c>
      <c r="AA2602" s="163">
        <v>7.5456190507755599E-3</v>
      </c>
      <c r="AB2602" s="172">
        <v>7.6352955120828625E-3</v>
      </c>
    </row>
    <row r="2603" spans="24:28" x14ac:dyDescent="0.2">
      <c r="X2603" s="176" t="str">
        <f t="shared" si="74"/>
        <v>1w</v>
      </c>
      <c r="Y2603" s="164">
        <f>_xll.qlCalendarAdvance(Calendar,Y2602,X2603,"f",FALSE)</f>
        <v>57341</v>
      </c>
      <c r="Z2603" s="188">
        <f>_xll.qlCalendarAdvance(Calendar,Y2603,NDays&amp;"D")</f>
        <v>57343</v>
      </c>
      <c r="AA2603" s="163">
        <v>7.5365355257458258E-3</v>
      </c>
      <c r="AB2603" s="172">
        <v>7.6243531198505465E-3</v>
      </c>
    </row>
    <row r="2604" spans="24:28" x14ac:dyDescent="0.2">
      <c r="X2604" s="176" t="str">
        <f t="shared" si="74"/>
        <v>1w</v>
      </c>
      <c r="Y2604" s="164">
        <f>_xll.qlCalendarAdvance(Calendar,Y2603,X2604,"f",FALSE)</f>
        <v>57348</v>
      </c>
      <c r="Z2604" s="188">
        <f>_xll.qlCalendarAdvance(Calendar,Y2604,NDays&amp;"D")</f>
        <v>57350</v>
      </c>
      <c r="AA2604" s="163">
        <v>7.5290930958898479E-3</v>
      </c>
      <c r="AB2604" s="172">
        <v>7.6166458489090871E-3</v>
      </c>
    </row>
    <row r="2605" spans="24:28" x14ac:dyDescent="0.2">
      <c r="X2605" s="176" t="str">
        <f t="shared" si="74"/>
        <v>1w</v>
      </c>
      <c r="Y2605" s="164">
        <f>_xll.qlCalendarAdvance(Calendar,Y2604,X2605,"f",FALSE)</f>
        <v>57355</v>
      </c>
      <c r="Z2605" s="188">
        <f>_xll.qlCalendarAdvance(Calendar,Y2605,NDays&amp;"D")</f>
        <v>57357</v>
      </c>
      <c r="AA2605" s="163">
        <v>7.521195885111933E-3</v>
      </c>
      <c r="AB2605" s="172">
        <v>7.6084571452206262E-3</v>
      </c>
    </row>
    <row r="2606" spans="24:28" x14ac:dyDescent="0.2">
      <c r="X2606" s="176" t="str">
        <f t="shared" si="74"/>
        <v>1w</v>
      </c>
      <c r="Y2606" s="164">
        <f>_xll.qlCalendarAdvance(Calendar,Y2605,X2606,"f",FALSE)</f>
        <v>57362</v>
      </c>
      <c r="Z2606" s="188">
        <f>_xll.qlCalendarAdvance(Calendar,Y2606,NDays&amp;"D")</f>
        <v>57364</v>
      </c>
      <c r="AA2606" s="163">
        <v>7.5133240275894247E-3</v>
      </c>
      <c r="AB2606" s="172">
        <v>7.6002936703645219E-3</v>
      </c>
    </row>
    <row r="2607" spans="24:28" x14ac:dyDescent="0.2">
      <c r="X2607" s="176" t="str">
        <f t="shared" si="74"/>
        <v>1w</v>
      </c>
      <c r="Y2607" s="164">
        <f>_xll.qlCalendarAdvance(Calendar,Y2606,X2607,"f",FALSE)</f>
        <v>57369</v>
      </c>
      <c r="Z2607" s="188">
        <f>_xll.qlCalendarAdvance(Calendar,Y2607,NDays&amp;"D")</f>
        <v>57371</v>
      </c>
      <c r="AA2607" s="163">
        <v>7.505477523023777E-3</v>
      </c>
      <c r="AB2607" s="172">
        <v>7.5921554244207101E-3</v>
      </c>
    </row>
    <row r="2608" spans="24:28" x14ac:dyDescent="0.2">
      <c r="X2608" s="176" t="str">
        <f t="shared" si="74"/>
        <v>1w</v>
      </c>
      <c r="Y2608" s="164">
        <f>_xll.qlCalendarAdvance(Calendar,Y2607,X2608,"f",FALSE)</f>
        <v>57376</v>
      </c>
      <c r="Z2608" s="188">
        <f>_xll.qlCalendarAdvance(Calendar,Y2608,NDays&amp;"D")</f>
        <v>57378</v>
      </c>
      <c r="AA2608" s="163">
        <v>7.4976563711160026E-3</v>
      </c>
      <c r="AB2608" s="172">
        <v>7.584042407389191E-3</v>
      </c>
    </row>
    <row r="2609" spans="24:28" x14ac:dyDescent="0.2">
      <c r="X2609" s="176" t="str">
        <f t="shared" si="74"/>
        <v>1w</v>
      </c>
      <c r="Y2609" s="164">
        <f>_xll.qlCalendarAdvance(Calendar,Y2608,X2609,"f",FALSE)</f>
        <v>57383</v>
      </c>
      <c r="Z2609" s="188">
        <f>_xll.qlCalendarAdvance(Calendar,Y2609,NDays&amp;"D")</f>
        <v>57385</v>
      </c>
      <c r="AA2609" s="163">
        <v>7.4898605715679988E-3</v>
      </c>
      <c r="AB2609" s="172">
        <v>7.5759546191367377E-3</v>
      </c>
    </row>
    <row r="2610" spans="24:28" x14ac:dyDescent="0.2">
      <c r="X2610" s="176" t="str">
        <f t="shared" si="74"/>
        <v>1w</v>
      </c>
      <c r="Y2610" s="164">
        <f>_xll.qlCalendarAdvance(Calendar,Y2609,X2610,"f",FALSE)</f>
        <v>57390</v>
      </c>
      <c r="Z2610" s="188">
        <f>_xll.qlCalendarAdvance(Calendar,Y2610,NDays&amp;"D")</f>
        <v>57392</v>
      </c>
      <c r="AA2610" s="163">
        <v>7.4820901240825431E-3</v>
      </c>
      <c r="AB2610" s="172">
        <v>7.5678920597699317E-3</v>
      </c>
    </row>
    <row r="2611" spans="24:28" x14ac:dyDescent="0.2">
      <c r="X2611" s="176" t="str">
        <f t="shared" si="74"/>
        <v>1w</v>
      </c>
      <c r="Y2611" s="164">
        <f>_xll.qlCalendarAdvance(Calendar,Y2610,X2611,"f",FALSE)</f>
        <v>57397</v>
      </c>
      <c r="Z2611" s="188">
        <f>_xll.qlCalendarAdvance(Calendar,Y2611,NDays&amp;"D")</f>
        <v>57399</v>
      </c>
      <c r="AA2611" s="163">
        <v>7.4743450283650649E-3</v>
      </c>
      <c r="AB2611" s="172">
        <v>7.559854729288773E-3</v>
      </c>
    </row>
    <row r="2612" spans="24:28" x14ac:dyDescent="0.2">
      <c r="X2612" s="176" t="str">
        <f t="shared" si="74"/>
        <v>1w</v>
      </c>
      <c r="Y2612" s="164">
        <f>_xll.qlCalendarAdvance(Calendar,Y2611,X2612,"f",FALSE)</f>
        <v>57404</v>
      </c>
      <c r="Z2612" s="188">
        <f>_xll.qlCalendarAdvance(Calendar,Y2612,NDays&amp;"D")</f>
        <v>57406</v>
      </c>
      <c r="AA2612" s="163">
        <v>7.4647649888413842E-3</v>
      </c>
      <c r="AB2612" s="172">
        <v>7.5518426275866801E-3</v>
      </c>
    </row>
    <row r="2613" spans="24:28" x14ac:dyDescent="0.2">
      <c r="X2613" s="176" t="str">
        <f t="shared" si="74"/>
        <v>1w</v>
      </c>
      <c r="Y2613" s="164">
        <f>_xll.qlCalendarAdvance(Calendar,Y2612,X2613,"f",FALSE)</f>
        <v>57411</v>
      </c>
      <c r="Z2613" s="188">
        <f>_xll.qlCalendarAdvance(Calendar,Y2613,NDays&amp;"D")</f>
        <v>57413</v>
      </c>
      <c r="AA2613" s="163">
        <v>7.4570772027281618E-3</v>
      </c>
      <c r="AB2613" s="172">
        <v>7.5438557548235252E-3</v>
      </c>
    </row>
    <row r="2614" spans="24:28" x14ac:dyDescent="0.2">
      <c r="X2614" s="176" t="str">
        <f t="shared" si="74"/>
        <v>1w</v>
      </c>
      <c r="Y2614" s="164">
        <f>_xll.qlCalendarAdvance(Calendar,Y2613,X2614,"f",FALSE)</f>
        <v>57418</v>
      </c>
      <c r="Z2614" s="188">
        <f>_xll.qlCalendarAdvance(Calendar,Y2614,NDays&amp;"D")</f>
        <v>57420</v>
      </c>
      <c r="AA2614" s="163">
        <v>7.449414770165118E-3</v>
      </c>
      <c r="AB2614" s="172">
        <v>7.5358941108394362E-3</v>
      </c>
    </row>
    <row r="2615" spans="24:28" x14ac:dyDescent="0.2">
      <c r="X2615" s="176" t="str">
        <f t="shared" si="74"/>
        <v>1w</v>
      </c>
      <c r="Y2615" s="164">
        <f>_xll.qlCalendarAdvance(Calendar,Y2614,X2615,"f",FALSE)</f>
        <v>57425</v>
      </c>
      <c r="Z2615" s="188">
        <f>_xll.qlCalendarAdvance(Calendar,Y2615,NDays&amp;"D")</f>
        <v>57427</v>
      </c>
      <c r="AA2615" s="163">
        <v>7.4417776908567053E-3</v>
      </c>
      <c r="AB2615" s="172">
        <v>7.527957695714349E-3</v>
      </c>
    </row>
    <row r="2616" spans="24:28" x14ac:dyDescent="0.2">
      <c r="X2616" s="176" t="str">
        <f t="shared" si="74"/>
        <v>1w</v>
      </c>
      <c r="Y2616" s="164">
        <f>_xll.qlCalendarAdvance(Calendar,Y2615,X2616,"f",FALSE)</f>
        <v>57432</v>
      </c>
      <c r="Z2616" s="188">
        <f>_xll.qlCalendarAdvance(Calendar,Y2616,NDays&amp;"D")</f>
        <v>57434</v>
      </c>
      <c r="AA2616" s="163">
        <v>7.4355411260414919E-3</v>
      </c>
      <c r="AB2616" s="172">
        <v>7.5200465094216185E-3</v>
      </c>
    </row>
    <row r="2617" spans="24:28" x14ac:dyDescent="0.2">
      <c r="X2617" s="176" t="str">
        <f t="shared" si="74"/>
        <v>1w</v>
      </c>
      <c r="Y2617" s="164">
        <f>_xll.qlCalendarAdvance(Calendar,Y2616,X2617,"f",FALSE)</f>
        <v>57439</v>
      </c>
      <c r="Z2617" s="188">
        <f>_xll.qlCalendarAdvance(Calendar,Y2617,NDays&amp;"D")</f>
        <v>57441</v>
      </c>
      <c r="AA2617" s="163">
        <v>7.4265795908107805E-3</v>
      </c>
      <c r="AB2617" s="172">
        <v>7.5121605519079537E-3</v>
      </c>
    </row>
    <row r="2618" spans="24:28" x14ac:dyDescent="0.2">
      <c r="X2618" s="176" t="str">
        <f t="shared" si="74"/>
        <v>1w</v>
      </c>
      <c r="Y2618" s="164">
        <f>_xll.qlCalendarAdvance(Calendar,Y2617,X2618,"f",FALSE)</f>
        <v>57446</v>
      </c>
      <c r="Z2618" s="188">
        <f>_xll.qlCalendarAdvance(Calendar,Y2618,NDays&amp;"D")</f>
        <v>57448</v>
      </c>
      <c r="AA2618" s="163">
        <v>7.4190185694821735E-3</v>
      </c>
      <c r="AB2618" s="172">
        <v>7.5042998232532909E-3</v>
      </c>
    </row>
    <row r="2619" spans="24:28" x14ac:dyDescent="0.2">
      <c r="X2619" s="176" t="str">
        <f t="shared" si="74"/>
        <v>1w</v>
      </c>
      <c r="Y2619" s="164">
        <f>_xll.qlCalendarAdvance(Calendar,Y2618,X2619,"f",FALSE)</f>
        <v>57453</v>
      </c>
      <c r="Z2619" s="188">
        <f>_xll.qlCalendarAdvance(Calendar,Y2619,NDays&amp;"D")</f>
        <v>57459</v>
      </c>
      <c r="AA2619" s="163">
        <v>7.4080929850986786E-3</v>
      </c>
      <c r="AB2619" s="172">
        <v>7.4929578457894053E-3</v>
      </c>
    </row>
    <row r="2620" spans="24:28" x14ac:dyDescent="0.2">
      <c r="X2620" s="176" t="str">
        <f t="shared" si="74"/>
        <v>1w</v>
      </c>
      <c r="Y2620" s="164">
        <f>_xll.qlCalendarAdvance(Calendar,Y2619,X2620,"f",FALSE)</f>
        <v>57460</v>
      </c>
      <c r="Z2620" s="188">
        <f>_xll.qlCalendarAdvance(Calendar,Y2620,NDays&amp;"D")</f>
        <v>57462</v>
      </c>
      <c r="AA2620" s="163">
        <v>7.4039725827441437E-3</v>
      </c>
      <c r="AB2620" s="172">
        <v>7.4886540523610989E-3</v>
      </c>
    </row>
    <row r="2621" spans="24:28" x14ac:dyDescent="0.2">
      <c r="X2621" s="176" t="str">
        <f t="shared" si="74"/>
        <v>1w</v>
      </c>
      <c r="Y2621" s="164">
        <f>_xll.qlCalendarAdvance(Calendar,Y2620,X2621,"f",FALSE)</f>
        <v>57467</v>
      </c>
      <c r="Z2621" s="188">
        <f>_xll.qlCalendarAdvance(Calendar,Y2621,NDays&amp;"D")</f>
        <v>57469</v>
      </c>
      <c r="AA2621" s="163">
        <v>7.3964876167488119E-3</v>
      </c>
      <c r="AB2621" s="172">
        <v>7.4808690101235698E-3</v>
      </c>
    </row>
    <row r="2622" spans="24:28" x14ac:dyDescent="0.2">
      <c r="X2622" s="176" t="str">
        <f t="shared" si="74"/>
        <v>1w</v>
      </c>
      <c r="Y2622" s="164">
        <f>_xll.qlCalendarAdvance(Calendar,Y2621,X2622,"f",FALSE)</f>
        <v>57474</v>
      </c>
      <c r="Z2622" s="188">
        <f>_xll.qlCalendarAdvance(Calendar,Y2622,NDays&amp;"D")</f>
        <v>57476</v>
      </c>
      <c r="AA2622" s="163">
        <v>7.3890280019474879E-3</v>
      </c>
      <c r="AB2622" s="172">
        <v>7.4731091966917518E-3</v>
      </c>
    </row>
    <row r="2623" spans="24:28" x14ac:dyDescent="0.2">
      <c r="X2623" s="176" t="str">
        <f t="shared" si="74"/>
        <v>1w</v>
      </c>
      <c r="Y2623" s="164">
        <f>_xll.qlCalendarAdvance(Calendar,Y2622,X2623,"f",FALSE)</f>
        <v>57481</v>
      </c>
      <c r="Z2623" s="188">
        <f>_xll.qlCalendarAdvance(Calendar,Y2623,NDays&amp;"D")</f>
        <v>57483</v>
      </c>
      <c r="AA2623" s="163">
        <v>7.381593738049811E-3</v>
      </c>
      <c r="AB2623" s="172">
        <v>7.465374612065645E-3</v>
      </c>
    </row>
    <row r="2624" spans="24:28" x14ac:dyDescent="0.2">
      <c r="X2624" s="176" t="str">
        <f t="shared" si="74"/>
        <v>1w</v>
      </c>
      <c r="Y2624" s="164">
        <f>_xll.qlCalendarAdvance(Calendar,Y2623,X2624,"f",FALSE)</f>
        <v>57488</v>
      </c>
      <c r="Z2624" s="188">
        <f>_xll.qlCalendarAdvance(Calendar,Y2624,NDays&amp;"D")</f>
        <v>57490</v>
      </c>
      <c r="AA2624" s="163">
        <v>7.3741848247671467E-3</v>
      </c>
      <c r="AB2624" s="172">
        <v>7.4576652561653134E-3</v>
      </c>
    </row>
    <row r="2625" spans="24:28" x14ac:dyDescent="0.2">
      <c r="X2625" s="176" t="str">
        <f t="shared" si="74"/>
        <v>1w</v>
      </c>
      <c r="Y2625" s="164">
        <f>_xll.qlCalendarAdvance(Calendar,Y2624,X2625,"f",FALSE)</f>
        <v>57495</v>
      </c>
      <c r="Z2625" s="188">
        <f>_xll.qlCalendarAdvance(Calendar,Y2625,NDays&amp;"D")</f>
        <v>57497</v>
      </c>
      <c r="AA2625" s="163">
        <v>7.3668012618104293E-3</v>
      </c>
      <c r="AB2625" s="172">
        <v>7.4499811291239837E-3</v>
      </c>
    </row>
    <row r="2626" spans="24:28" x14ac:dyDescent="0.2">
      <c r="X2626" s="176" t="str">
        <f t="shared" si="74"/>
        <v>1w</v>
      </c>
      <c r="Y2626" s="164">
        <f>_xll.qlCalendarAdvance(Calendar,Y2625,X2626,"f",FALSE)</f>
        <v>57502</v>
      </c>
      <c r="Z2626" s="188">
        <f>_xll.qlCalendarAdvance(Calendar,Y2626,NDays&amp;"D")</f>
        <v>57504</v>
      </c>
      <c r="AA2626" s="163">
        <v>7.3594430488927521E-3</v>
      </c>
      <c r="AB2626" s="172">
        <v>7.4423222308617198E-3</v>
      </c>
    </row>
    <row r="2627" spans="24:28" x14ac:dyDescent="0.2">
      <c r="X2627" s="176" t="str">
        <f t="shared" si="74"/>
        <v>1w</v>
      </c>
      <c r="Y2627" s="164">
        <f>_xll.qlCalendarAdvance(Calendar,Y2626,X2627,"f",FALSE)</f>
        <v>57509</v>
      </c>
      <c r="Z2627" s="188">
        <f>_xll.qlCalendarAdvance(Calendar,Y2627,NDays&amp;"D")</f>
        <v>57511</v>
      </c>
      <c r="AA2627" s="163">
        <v>7.3521101857276427E-3</v>
      </c>
      <c r="AB2627" s="172">
        <v>7.4346885613252311E-3</v>
      </c>
    </row>
    <row r="2628" spans="24:28" x14ac:dyDescent="0.2">
      <c r="X2628" s="176" t="str">
        <f t="shared" si="74"/>
        <v>1w</v>
      </c>
      <c r="Y2628" s="164">
        <f>_xll.qlCalendarAdvance(Calendar,Y2627,X2628,"f",FALSE)</f>
        <v>57516</v>
      </c>
      <c r="Z2628" s="188">
        <f>_xll.qlCalendarAdvance(Calendar,Y2628,NDays&amp;"D")</f>
        <v>57518</v>
      </c>
      <c r="AA2628" s="163">
        <v>7.3448026720307879E-3</v>
      </c>
      <c r="AB2628" s="172">
        <v>7.4270801205944537E-3</v>
      </c>
    </row>
    <row r="2629" spans="24:28" x14ac:dyDescent="0.2">
      <c r="X2629" s="176" t="str">
        <f t="shared" si="74"/>
        <v>1w</v>
      </c>
      <c r="Y2629" s="164">
        <f>_xll.qlCalendarAdvance(Calendar,Y2628,X2629,"f",FALSE)</f>
        <v>57523</v>
      </c>
      <c r="Z2629" s="188">
        <f>_xll.qlCalendarAdvance(Calendar,Y2629,NDays&amp;"D")</f>
        <v>57525</v>
      </c>
      <c r="AA2629" s="163">
        <v>7.3375205075157128E-3</v>
      </c>
      <c r="AB2629" s="172">
        <v>7.4194969086160967E-3</v>
      </c>
    </row>
    <row r="2630" spans="24:28" x14ac:dyDescent="0.2">
      <c r="X2630" s="176" t="str">
        <f t="shared" si="74"/>
        <v>1w</v>
      </c>
      <c r="Y2630" s="164">
        <f>_xll.qlCalendarAdvance(Calendar,Y2629,X2630,"f",FALSE)</f>
        <v>57530</v>
      </c>
      <c r="Z2630" s="188">
        <f>_xll.qlCalendarAdvance(Calendar,Y2630,NDays&amp;"D")</f>
        <v>57532</v>
      </c>
      <c r="AA2630" s="163">
        <v>7.330263691901563E-3</v>
      </c>
      <c r="AB2630" s="172">
        <v>7.4119389254168055E-3</v>
      </c>
    </row>
    <row r="2631" spans="24:28" x14ac:dyDescent="0.2">
      <c r="X2631" s="176" t="str">
        <f t="shared" si="74"/>
        <v>1w</v>
      </c>
      <c r="Y2631" s="164">
        <f>_xll.qlCalendarAdvance(Calendar,Y2630,X2631,"f",FALSE)</f>
        <v>57537</v>
      </c>
      <c r="Z2631" s="188">
        <f>_xll.qlCalendarAdvance(Calendar,Y2631,NDays&amp;"D")</f>
        <v>57539</v>
      </c>
      <c r="AA2631" s="163">
        <v>7.3230322249044555E-3</v>
      </c>
      <c r="AB2631" s="172">
        <v>7.4044061709432896E-3</v>
      </c>
    </row>
    <row r="2632" spans="24:28" x14ac:dyDescent="0.2">
      <c r="X2632" s="176" t="str">
        <f t="shared" si="74"/>
        <v>1w</v>
      </c>
      <c r="Y2632" s="164">
        <f>_xll.qlCalendarAdvance(Calendar,Y2631,X2632,"f",FALSE)</f>
        <v>57544</v>
      </c>
      <c r="Z2632" s="188">
        <f>_xll.qlCalendarAdvance(Calendar,Y2632,NDays&amp;"D")</f>
        <v>57546</v>
      </c>
      <c r="AA2632" s="163">
        <v>7.3158261062439677E-3</v>
      </c>
      <c r="AB2632" s="172">
        <v>7.3968986452488394E-3</v>
      </c>
    </row>
    <row r="2633" spans="24:28" x14ac:dyDescent="0.2">
      <c r="X2633" s="176" t="str">
        <f t="shared" si="74"/>
        <v>1w</v>
      </c>
      <c r="Y2633" s="164">
        <f>_xll.qlCalendarAdvance(Calendar,Y2632,X2633,"f",FALSE)</f>
        <v>57551</v>
      </c>
      <c r="Z2633" s="188">
        <f>_xll.qlCalendarAdvance(Calendar,Y2633,NDays&amp;"D")</f>
        <v>57553</v>
      </c>
      <c r="AA2633" s="163">
        <v>7.30864533563881E-3</v>
      </c>
      <c r="AB2633" s="172">
        <v>7.3894163482535191E-3</v>
      </c>
    </row>
    <row r="2634" spans="24:28" x14ac:dyDescent="0.2">
      <c r="X2634" s="176" t="str">
        <f t="shared" si="74"/>
        <v>1w</v>
      </c>
      <c r="Y2634" s="164">
        <f>_xll.qlCalendarAdvance(Calendar,Y2633,X2634,"f",FALSE)</f>
        <v>57558</v>
      </c>
      <c r="Z2634" s="188">
        <f>_xll.qlCalendarAdvance(Calendar,Y2634,NDays&amp;"D")</f>
        <v>57560</v>
      </c>
      <c r="AA2634" s="163">
        <v>7.3014899128102861E-3</v>
      </c>
      <c r="AB2634" s="172">
        <v>7.38195928006391E-3</v>
      </c>
    </row>
    <row r="2635" spans="24:28" x14ac:dyDescent="0.2">
      <c r="X2635" s="176" t="str">
        <f t="shared" si="74"/>
        <v>1w</v>
      </c>
      <c r="Y2635" s="164">
        <f>_xll.qlCalendarAdvance(Calendar,Y2634,X2635,"f",FALSE)</f>
        <v>57565</v>
      </c>
      <c r="Z2635" s="188">
        <f>_xll.qlCalendarAdvance(Calendar,Y2635,NDays&amp;"D")</f>
        <v>57567</v>
      </c>
      <c r="AA2635" s="163">
        <v>7.2943598374797013E-3</v>
      </c>
      <c r="AB2635" s="172">
        <v>7.3745274405467853E-3</v>
      </c>
    </row>
    <row r="2636" spans="24:28" x14ac:dyDescent="0.2">
      <c r="X2636" s="176" t="str">
        <f t="shared" si="74"/>
        <v>1w</v>
      </c>
      <c r="Y2636" s="164">
        <f>_xll.qlCalendarAdvance(Calendar,Y2635,X2636,"f",FALSE)</f>
        <v>57572</v>
      </c>
      <c r="Z2636" s="188">
        <f>_xll.qlCalendarAdvance(Calendar,Y2636,NDays&amp;"D")</f>
        <v>57574</v>
      </c>
      <c r="AA2636" s="163">
        <v>7.2872551093700871E-3</v>
      </c>
      <c r="AB2636" s="172">
        <v>7.3671208298087265E-3</v>
      </c>
    </row>
    <row r="2637" spans="24:28" x14ac:dyDescent="0.2">
      <c r="X2637" s="176" t="str">
        <f t="shared" si="74"/>
        <v>1w</v>
      </c>
      <c r="Y2637" s="164">
        <f>_xll.qlCalendarAdvance(Calendar,Y2636,X2637,"f",FALSE)</f>
        <v>57579</v>
      </c>
      <c r="Z2637" s="188">
        <f>_xll.qlCalendarAdvance(Calendar,Y2637,NDays&amp;"D")</f>
        <v>57581</v>
      </c>
      <c r="AA2637" s="163">
        <v>7.2801757282040438E-3</v>
      </c>
      <c r="AB2637" s="172">
        <v>7.3597394477697975E-3</v>
      </c>
    </row>
    <row r="2638" spans="24:28" x14ac:dyDescent="0.2">
      <c r="X2638" s="176" t="str">
        <f t="shared" si="74"/>
        <v>1w</v>
      </c>
      <c r="Y2638" s="164">
        <f>_xll.qlCalendarAdvance(Calendar,Y2637,X2638,"f",FALSE)</f>
        <v>57586</v>
      </c>
      <c r="Z2638" s="188">
        <f>_xll.qlCalendarAdvance(Calendar,Y2638,NDays&amp;"D")</f>
        <v>57588</v>
      </c>
      <c r="AA2638" s="163">
        <v>7.2748093577214802E-3</v>
      </c>
      <c r="AB2638" s="172">
        <v>7.352383294483289E-3</v>
      </c>
    </row>
    <row r="2639" spans="24:28" x14ac:dyDescent="0.2">
      <c r="X2639" s="176" t="str">
        <f t="shared" si="74"/>
        <v>1w</v>
      </c>
      <c r="Y2639" s="164">
        <f>_xll.qlCalendarAdvance(Calendar,Y2638,X2639,"f",FALSE)</f>
        <v>57593</v>
      </c>
      <c r="Z2639" s="188">
        <f>_xll.qlCalendarAdvance(Calendar,Y2639,NDays&amp;"D")</f>
        <v>57595</v>
      </c>
      <c r="AA2639" s="163">
        <v>7.2677739953218648E-3</v>
      </c>
      <c r="AB2639" s="172">
        <v>7.3450523698959103E-3</v>
      </c>
    </row>
    <row r="2640" spans="24:28" x14ac:dyDescent="0.2">
      <c r="X2640" s="176" t="str">
        <f t="shared" si="74"/>
        <v>1w</v>
      </c>
      <c r="Y2640" s="164">
        <f>_xll.qlCalendarAdvance(Calendar,Y2639,X2640,"f",FALSE)</f>
        <v>57600</v>
      </c>
      <c r="Z2640" s="188">
        <f>_xll.qlCalendarAdvance(Calendar,Y2640,NDays&amp;"D")</f>
        <v>57602</v>
      </c>
      <c r="AA2640" s="163">
        <v>7.2607639765323324E-3</v>
      </c>
      <c r="AB2640" s="172">
        <v>7.3377466740343067E-3</v>
      </c>
    </row>
    <row r="2641" spans="24:28" x14ac:dyDescent="0.2">
      <c r="X2641" s="176" t="str">
        <f t="shared" si="74"/>
        <v>1w</v>
      </c>
      <c r="Y2641" s="164">
        <f>_xll.qlCalendarAdvance(Calendar,Y2640,X2641,"f",FALSE)</f>
        <v>57607</v>
      </c>
      <c r="Z2641" s="188">
        <f>_xll.qlCalendarAdvance(Calendar,Y2641,NDays&amp;"D")</f>
        <v>57609</v>
      </c>
      <c r="AA2641" s="163">
        <v>7.2537793010852523E-3</v>
      </c>
      <c r="AB2641" s="172">
        <v>7.3304662068718329E-3</v>
      </c>
    </row>
    <row r="2642" spans="24:28" x14ac:dyDescent="0.2">
      <c r="X2642" s="176" t="str">
        <f t="shared" si="74"/>
        <v>1w</v>
      </c>
      <c r="Y2642" s="164">
        <f>_xll.qlCalendarAdvance(Calendar,Y2641,X2642,"f",FALSE)</f>
        <v>57614</v>
      </c>
      <c r="Z2642" s="188">
        <f>_xll.qlCalendarAdvance(Calendar,Y2642,NDays&amp;"D")</f>
        <v>57616</v>
      </c>
      <c r="AA2642" s="163">
        <v>7.2464045001846009E-3</v>
      </c>
      <c r="AB2642" s="172">
        <v>7.3232109683818436E-3</v>
      </c>
    </row>
    <row r="2643" spans="24:28" x14ac:dyDescent="0.2">
      <c r="X2643" s="176" t="str">
        <f t="shared" si="74"/>
        <v>1w</v>
      </c>
      <c r="Y2643" s="164">
        <f>_xll.qlCalendarAdvance(Calendar,Y2642,X2643,"f",FALSE)</f>
        <v>57621</v>
      </c>
      <c r="Z2643" s="188">
        <f>_xll.qlCalendarAdvance(Calendar,Y2643,NDays&amp;"D")</f>
        <v>57623</v>
      </c>
      <c r="AA2643" s="163">
        <v>7.2394721815735802E-3</v>
      </c>
      <c r="AB2643" s="172">
        <v>7.3159809586975655E-3</v>
      </c>
    </row>
    <row r="2644" spans="24:28" x14ac:dyDescent="0.2">
      <c r="X2644" s="176" t="str">
        <f t="shared" si="74"/>
        <v>1w</v>
      </c>
      <c r="Y2644" s="164">
        <f>_xll.qlCalendarAdvance(Calendar,Y2643,X2644,"f",FALSE)</f>
        <v>57628</v>
      </c>
      <c r="Z2644" s="188">
        <f>_xll.qlCalendarAdvance(Calendar,Y2644,NDays&amp;"D")</f>
        <v>57630</v>
      </c>
      <c r="AA2644" s="163">
        <v>7.2309182410894056E-3</v>
      </c>
      <c r="AB2644" s="172">
        <v>7.3087761776058358E-3</v>
      </c>
    </row>
    <row r="2645" spans="24:28" x14ac:dyDescent="0.2">
      <c r="X2645" s="176" t="str">
        <f t="shared" ref="X2645:X2708" si="75">X2644</f>
        <v>1w</v>
      </c>
      <c r="Y2645" s="164">
        <f>_xll.qlCalendarAdvance(Calendar,Y2644,X2645,"f",FALSE)</f>
        <v>57635</v>
      </c>
      <c r="Z2645" s="188">
        <f>_xll.qlCalendarAdvance(Calendar,Y2645,NDays&amp;"D")</f>
        <v>57637</v>
      </c>
      <c r="AA2645" s="163">
        <v>7.2256835735986123E-3</v>
      </c>
      <c r="AB2645" s="172">
        <v>7.3015966252398812E-3</v>
      </c>
    </row>
    <row r="2646" spans="24:28" x14ac:dyDescent="0.2">
      <c r="X2646" s="176" t="str">
        <f t="shared" si="75"/>
        <v>1w</v>
      </c>
      <c r="Y2646" s="164">
        <f>_xll.qlCalendarAdvance(Calendar,Y2645,X2646,"f",FALSE)</f>
        <v>57642</v>
      </c>
      <c r="Z2646" s="188">
        <f>_xll.qlCalendarAdvance(Calendar,Y2646,NDays&amp;"D")</f>
        <v>57644</v>
      </c>
      <c r="AA2646" s="163">
        <v>7.2188272837071755E-3</v>
      </c>
      <c r="AB2646" s="172">
        <v>7.2944423015730564E-3</v>
      </c>
    </row>
    <row r="2647" spans="24:28" x14ac:dyDescent="0.2">
      <c r="X2647" s="176" t="str">
        <f t="shared" si="75"/>
        <v>1w</v>
      </c>
      <c r="Y2647" s="164">
        <f>_xll.qlCalendarAdvance(Calendar,Y2646,X2647,"f",FALSE)</f>
        <v>57649</v>
      </c>
      <c r="Z2647" s="188">
        <f>_xll.qlCalendarAdvance(Calendar,Y2647,NDays&amp;"D")</f>
        <v>57651</v>
      </c>
      <c r="AA2647" s="163">
        <v>7.2124034437826921E-3</v>
      </c>
      <c r="AB2647" s="172">
        <v>7.2873132065787161E-3</v>
      </c>
    </row>
    <row r="2648" spans="24:28" x14ac:dyDescent="0.2">
      <c r="X2648" s="176" t="str">
        <f t="shared" si="75"/>
        <v>1w</v>
      </c>
      <c r="Y2648" s="164">
        <f>_xll.qlCalendarAdvance(Calendar,Y2647,X2648,"f",FALSE)</f>
        <v>57656</v>
      </c>
      <c r="Z2648" s="188">
        <f>_xll.qlCalendarAdvance(Calendar,Y2648,NDays&amp;"D")</f>
        <v>57658</v>
      </c>
      <c r="AA2648" s="163">
        <v>7.2055961643459794E-3</v>
      </c>
      <c r="AB2648" s="172">
        <v>7.2802093402568602E-3</v>
      </c>
    </row>
    <row r="2649" spans="24:28" x14ac:dyDescent="0.2">
      <c r="X2649" s="176" t="str">
        <f t="shared" si="75"/>
        <v>1w</v>
      </c>
      <c r="Y2649" s="164">
        <f>_xll.qlCalendarAdvance(Calendar,Y2648,X2649,"f",FALSE)</f>
        <v>57663</v>
      </c>
      <c r="Z2649" s="188">
        <f>_xll.qlCalendarAdvance(Calendar,Y2649,NDays&amp;"D")</f>
        <v>57665</v>
      </c>
      <c r="AA2649" s="163">
        <v>7.1988142261517419E-3</v>
      </c>
      <c r="AB2649" s="172">
        <v>7.2731307025808434E-3</v>
      </c>
    </row>
    <row r="2650" spans="24:28" x14ac:dyDescent="0.2">
      <c r="X2650" s="176" t="str">
        <f t="shared" si="75"/>
        <v>1w</v>
      </c>
      <c r="Y2650" s="164">
        <f>_xll.qlCalendarAdvance(Calendar,Y2649,X2650,"f",FALSE)</f>
        <v>57670</v>
      </c>
      <c r="Z2650" s="188">
        <f>_xll.qlCalendarAdvance(Calendar,Y2650,NDays&amp;"D")</f>
        <v>57672</v>
      </c>
      <c r="AA2650" s="163">
        <v>7.1920576289425048E-3</v>
      </c>
      <c r="AB2650" s="172">
        <v>7.2660772936306017E-3</v>
      </c>
    </row>
    <row r="2651" spans="24:28" x14ac:dyDescent="0.2">
      <c r="X2651" s="176" t="str">
        <f t="shared" si="75"/>
        <v>1w</v>
      </c>
      <c r="Y2651" s="164">
        <f>_xll.qlCalendarAdvance(Calendar,Y2650,X2651,"f",FALSE)</f>
        <v>57677</v>
      </c>
      <c r="Z2651" s="188">
        <f>_xll.qlCalendarAdvance(Calendar,Y2651,NDays&amp;"D")</f>
        <v>57679</v>
      </c>
      <c r="AA2651" s="163">
        <v>7.184925964743666E-3</v>
      </c>
      <c r="AB2651" s="172">
        <v>7.2590491132995538E-3</v>
      </c>
    </row>
    <row r="2652" spans="24:28" x14ac:dyDescent="0.2">
      <c r="X2652" s="176" t="str">
        <f t="shared" si="75"/>
        <v>1w</v>
      </c>
      <c r="Y2652" s="164">
        <f>_xll.qlCalendarAdvance(Calendar,Y2651,X2652,"f",FALSE)</f>
        <v>57684</v>
      </c>
      <c r="Z2652" s="188">
        <f>_xll.qlCalendarAdvance(Calendar,Y2652,NDays&amp;"D")</f>
        <v>57686</v>
      </c>
      <c r="AA2652" s="163">
        <v>7.1782217252337457E-3</v>
      </c>
      <c r="AB2652" s="172">
        <v>7.2520461616676357E-3</v>
      </c>
    </row>
    <row r="2653" spans="24:28" x14ac:dyDescent="0.2">
      <c r="X2653" s="176" t="str">
        <f t="shared" si="75"/>
        <v>1w</v>
      </c>
      <c r="Y2653" s="164">
        <f>_xll.qlCalendarAdvance(Calendar,Y2652,X2653,"f",FALSE)</f>
        <v>57691</v>
      </c>
      <c r="Z2653" s="188">
        <f>_xll.qlCalendarAdvance(Calendar,Y2653,NDays&amp;"D")</f>
        <v>57693</v>
      </c>
      <c r="AA2653" s="163">
        <v>7.171542826549966E-3</v>
      </c>
      <c r="AB2653" s="172">
        <v>7.2450684386549113E-3</v>
      </c>
    </row>
    <row r="2654" spans="24:28" x14ac:dyDescent="0.2">
      <c r="X2654" s="176" t="str">
        <f t="shared" si="75"/>
        <v>1w</v>
      </c>
      <c r="Y2654" s="164">
        <f>_xll.qlCalendarAdvance(Calendar,Y2653,X2654,"f",FALSE)</f>
        <v>57698</v>
      </c>
      <c r="Z2654" s="188">
        <f>_xll.qlCalendarAdvance(Calendar,Y2654,NDays&amp;"D")</f>
        <v>57700</v>
      </c>
      <c r="AA2654" s="163">
        <v>7.1648892684362678E-3</v>
      </c>
      <c r="AB2654" s="172">
        <v>7.2381159442880261E-3</v>
      </c>
    </row>
    <row r="2655" spans="24:28" x14ac:dyDescent="0.2">
      <c r="X2655" s="176" t="str">
        <f t="shared" si="75"/>
        <v>1w</v>
      </c>
      <c r="Y2655" s="164">
        <f>_xll.qlCalendarAdvance(Calendar,Y2654,X2655,"f",FALSE)</f>
        <v>57706</v>
      </c>
      <c r="Z2655" s="188">
        <f>_xll.qlCalendarAdvance(Calendar,Y2655,NDays&amp;"D")</f>
        <v>57710</v>
      </c>
      <c r="AA2655" s="163">
        <v>7.1566075433967388E-3</v>
      </c>
      <c r="AB2655" s="172">
        <v>7.2286480883487769E-3</v>
      </c>
    </row>
    <row r="2656" spans="24:28" x14ac:dyDescent="0.2">
      <c r="X2656" s="176" t="str">
        <f t="shared" si="75"/>
        <v>1w</v>
      </c>
      <c r="Y2656" s="164">
        <f>_xll.qlCalendarAdvance(Calendar,Y2655,X2656,"f",FALSE)</f>
        <v>57713</v>
      </c>
      <c r="Z2656" s="188">
        <f>_xll.qlCalendarAdvance(Calendar,Y2656,NDays&amp;"D")</f>
        <v>57717</v>
      </c>
      <c r="AA2656" s="163">
        <v>7.1488361252610624E-3</v>
      </c>
      <c r="AB2656" s="172">
        <v>7.2221742038003356E-3</v>
      </c>
    </row>
    <row r="2657" spans="24:28" x14ac:dyDescent="0.2">
      <c r="X2657" s="176" t="str">
        <f t="shared" si="75"/>
        <v>1w</v>
      </c>
      <c r="Y2657" s="164">
        <f>_xll.qlCalendarAdvance(Calendar,Y2656,X2657,"f",FALSE)</f>
        <v>57720</v>
      </c>
      <c r="Z2657" s="188">
        <f>_xll.qlCalendarAdvance(Calendar,Y2657,NDays&amp;"D")</f>
        <v>57724</v>
      </c>
      <c r="AA2657" s="163">
        <v>7.142269447178007E-3</v>
      </c>
      <c r="AB2657" s="172">
        <v>7.2153048790912777E-3</v>
      </c>
    </row>
    <row r="2658" spans="24:28" x14ac:dyDescent="0.2">
      <c r="X2658" s="176" t="str">
        <f t="shared" si="75"/>
        <v>1w</v>
      </c>
      <c r="Y2658" s="164">
        <f>_xll.qlCalendarAdvance(Calendar,Y2657,X2658,"f",FALSE)</f>
        <v>57727</v>
      </c>
      <c r="Z2658" s="188">
        <f>_xll.qlCalendarAdvance(Calendar,Y2658,NDays&amp;"D")</f>
        <v>57731</v>
      </c>
      <c r="AA2658" s="163">
        <v>7.1357281085454886E-3</v>
      </c>
      <c r="AB2658" s="172">
        <v>7.2084607815625645E-3</v>
      </c>
    </row>
    <row r="2659" spans="24:28" x14ac:dyDescent="0.2">
      <c r="X2659" s="176" t="str">
        <f t="shared" si="75"/>
        <v>1w</v>
      </c>
      <c r="Y2659" s="164">
        <f>_xll.qlCalendarAdvance(Calendar,Y2658,X2659,"f",FALSE)</f>
        <v>57734</v>
      </c>
      <c r="Z2659" s="188">
        <f>_xll.qlCalendarAdvance(Calendar,Y2659,NDays&amp;"D")</f>
        <v>57738</v>
      </c>
      <c r="AA2659" s="163">
        <v>7.1292121091127208E-3</v>
      </c>
      <c r="AB2659" s="172">
        <v>7.2016419116138763E-3</v>
      </c>
    </row>
    <row r="2660" spans="24:28" x14ac:dyDescent="0.2">
      <c r="X2660" s="176" t="str">
        <f t="shared" si="75"/>
        <v>1w</v>
      </c>
      <c r="Y2660" s="164">
        <f>_xll.qlCalendarAdvance(Calendar,Y2659,X2660,"f",FALSE)</f>
        <v>57741</v>
      </c>
      <c r="Z2660" s="188">
        <f>_xll.qlCalendarAdvance(Calendar,Y2660,NDays&amp;"D")</f>
        <v>57745</v>
      </c>
      <c r="AA2660" s="163">
        <v>7.1227214486311091E-3</v>
      </c>
      <c r="AB2660" s="172">
        <v>7.1948482689254689E-3</v>
      </c>
    </row>
    <row r="2661" spans="24:28" x14ac:dyDescent="0.2">
      <c r="X2661" s="176" t="str">
        <f t="shared" si="75"/>
        <v>1w</v>
      </c>
      <c r="Y2661" s="164">
        <f>_xll.qlCalendarAdvance(Calendar,Y2660,X2661,"f",FALSE)</f>
        <v>57748</v>
      </c>
      <c r="Z2661" s="188">
        <f>_xll.qlCalendarAdvance(Calendar,Y2661,NDays&amp;"D")</f>
        <v>57752</v>
      </c>
      <c r="AA2661" s="163">
        <v>7.1162561268520623E-3</v>
      </c>
      <c r="AB2661" s="172">
        <v>7.1880798536572144E-3</v>
      </c>
    </row>
    <row r="2662" spans="24:28" x14ac:dyDescent="0.2">
      <c r="X2662" s="176" t="str">
        <f t="shared" si="75"/>
        <v>1w</v>
      </c>
      <c r="Y2662" s="164">
        <f>_xll.qlCalendarAdvance(Calendar,Y2661,X2662,"f",FALSE)</f>
        <v>57755</v>
      </c>
      <c r="Z2662" s="188">
        <f>_xll.qlCalendarAdvance(Calendar,Y2662,NDays&amp;"D")</f>
        <v>57759</v>
      </c>
      <c r="AA2662" s="163">
        <v>7.1098161435278664E-3</v>
      </c>
      <c r="AB2662" s="172">
        <v>7.1813366657291766E-3</v>
      </c>
    </row>
    <row r="2663" spans="24:28" x14ac:dyDescent="0.2">
      <c r="X2663" s="176" t="str">
        <f t="shared" si="75"/>
        <v>1w</v>
      </c>
      <c r="Y2663" s="164">
        <f>_xll.qlCalendarAdvance(Calendar,Y2662,X2663,"f",FALSE)</f>
        <v>57762</v>
      </c>
      <c r="Z2663" s="188">
        <f>_xll.qlCalendarAdvance(Calendar,Y2663,NDays&amp;"D")</f>
        <v>57766</v>
      </c>
      <c r="AA2663" s="163">
        <v>7.1034014984116857E-3</v>
      </c>
      <c r="AB2663" s="172">
        <v>7.1746187050614196E-3</v>
      </c>
    </row>
    <row r="2664" spans="24:28" x14ac:dyDescent="0.2">
      <c r="X2664" s="176" t="str">
        <f t="shared" si="75"/>
        <v>1w</v>
      </c>
      <c r="Y2664" s="164">
        <f>_xll.qlCalendarAdvance(Calendar,Y2663,X2664,"f",FALSE)</f>
        <v>57769</v>
      </c>
      <c r="Z2664" s="188">
        <f>_xll.qlCalendarAdvance(Calendar,Y2664,NDays&amp;"D")</f>
        <v>57773</v>
      </c>
      <c r="AA2664" s="163">
        <v>7.0962569696995399E-3</v>
      </c>
      <c r="AB2664" s="172">
        <v>7.1679259717338795E-3</v>
      </c>
    </row>
    <row r="2665" spans="24:28" x14ac:dyDescent="0.2">
      <c r="X2665" s="176" t="str">
        <f t="shared" si="75"/>
        <v>1w</v>
      </c>
      <c r="Y2665" s="164">
        <f>_xll.qlCalendarAdvance(Calendar,Y2664,X2665,"f",FALSE)</f>
        <v>57776</v>
      </c>
      <c r="Z2665" s="188">
        <f>_xll.qlCalendarAdvance(Calendar,Y2665,NDays&amp;"D")</f>
        <v>57780</v>
      </c>
      <c r="AA2665" s="163">
        <v>7.0898963696811165E-3</v>
      </c>
      <c r="AB2665" s="172">
        <v>7.1612584659064282E-3</v>
      </c>
    </row>
    <row r="2666" spans="24:28" x14ac:dyDescent="0.2">
      <c r="X2666" s="176" t="str">
        <f t="shared" si="75"/>
        <v>1w</v>
      </c>
      <c r="Y2666" s="164">
        <f>_xll.qlCalendarAdvance(Calendar,Y2665,X2666,"f",FALSE)</f>
        <v>57783</v>
      </c>
      <c r="Z2666" s="188">
        <f>_xll.qlCalendarAdvance(Calendar,Y2666,NDays&amp;"D")</f>
        <v>57787</v>
      </c>
      <c r="AA2666" s="163">
        <v>7.0835611083221242E-3</v>
      </c>
      <c r="AB2666" s="172">
        <v>7.1546161873392577E-3</v>
      </c>
    </row>
    <row r="2667" spans="24:28" x14ac:dyDescent="0.2">
      <c r="X2667" s="176" t="str">
        <f t="shared" si="75"/>
        <v>1w</v>
      </c>
      <c r="Y2667" s="164">
        <f>_xll.qlCalendarAdvance(Calendar,Y2666,X2667,"f",FALSE)</f>
        <v>57790</v>
      </c>
      <c r="Z2667" s="188">
        <f>_xll.qlCalendarAdvance(Calendar,Y2667,NDays&amp;"D")</f>
        <v>57794</v>
      </c>
      <c r="AA2667" s="163">
        <v>7.0772511853784102E-3</v>
      </c>
      <c r="AB2667" s="172">
        <v>7.147999136032368E-3</v>
      </c>
    </row>
    <row r="2668" spans="24:28" x14ac:dyDescent="0.2">
      <c r="X2668" s="176" t="str">
        <f t="shared" si="75"/>
        <v>1w</v>
      </c>
      <c r="Y2668" s="164">
        <f>_xll.qlCalendarAdvance(Calendar,Y2667,X2668,"f",FALSE)</f>
        <v>57797</v>
      </c>
      <c r="Z2668" s="188">
        <f>_xll.qlCalendarAdvance(Calendar,Y2668,NDays&amp;"D")</f>
        <v>57801</v>
      </c>
      <c r="AA2668" s="163">
        <v>7.071337391018645E-3</v>
      </c>
      <c r="AB2668" s="172">
        <v>7.1414073122255672E-3</v>
      </c>
    </row>
    <row r="2669" spans="24:28" x14ac:dyDescent="0.2">
      <c r="X2669" s="176" t="str">
        <f t="shared" si="75"/>
        <v>1w</v>
      </c>
      <c r="Y2669" s="164">
        <f>_xll.qlCalendarAdvance(Calendar,Y2668,X2669,"f",FALSE)</f>
        <v>57804</v>
      </c>
      <c r="Z2669" s="188">
        <f>_xll.qlCalendarAdvance(Calendar,Y2669,NDays&amp;"D")</f>
        <v>57808</v>
      </c>
      <c r="AA2669" s="163">
        <v>7.0650764570615717E-3</v>
      </c>
      <c r="AB2669" s="172">
        <v>7.1348407156790472E-3</v>
      </c>
    </row>
    <row r="2670" spans="24:28" x14ac:dyDescent="0.2">
      <c r="X2670" s="176" t="str">
        <f t="shared" si="75"/>
        <v>1w</v>
      </c>
      <c r="Y2670" s="164">
        <f>_xll.qlCalendarAdvance(Calendar,Y2669,X2670,"f",FALSE)</f>
        <v>57811</v>
      </c>
      <c r="Z2670" s="188">
        <f>_xll.qlCalendarAdvance(Calendar,Y2670,NDays&amp;"D")</f>
        <v>57817</v>
      </c>
      <c r="AA2670" s="163">
        <v>7.0570639148178869E-3</v>
      </c>
      <c r="AB2670" s="172">
        <v>7.1264350174615743E-3</v>
      </c>
    </row>
    <row r="2671" spans="24:28" x14ac:dyDescent="0.2">
      <c r="X2671" s="176" t="str">
        <f t="shared" si="75"/>
        <v>1w</v>
      </c>
      <c r="Y2671" s="164">
        <f>_xll.qlCalendarAdvance(Calendar,Y2670,X2671,"f",FALSE)</f>
        <v>57818</v>
      </c>
      <c r="Z2671" s="188">
        <f>_xll.qlCalendarAdvance(Calendar,Y2671,NDays&amp;"D")</f>
        <v>57822</v>
      </c>
      <c r="AA2671" s="163">
        <v>7.0526306002006147E-3</v>
      </c>
      <c r="AB2671" s="172">
        <v>7.1217832046865936E-3</v>
      </c>
    </row>
    <row r="2672" spans="24:28" x14ac:dyDescent="0.2">
      <c r="X2672" s="176" t="str">
        <f t="shared" si="75"/>
        <v>1w</v>
      </c>
      <c r="Y2672" s="164">
        <f>_xll.qlCalendarAdvance(Calendar,Y2671,X2672,"f",FALSE)</f>
        <v>57825</v>
      </c>
      <c r="Z2672" s="188">
        <f>_xll.qlCalendarAdvance(Calendar,Y2672,NDays&amp;"D")</f>
        <v>57829</v>
      </c>
      <c r="AA2672" s="163">
        <v>7.0464456768171146E-3</v>
      </c>
      <c r="AB2672" s="172">
        <v>7.115292290080788E-3</v>
      </c>
    </row>
    <row r="2673" spans="24:28" x14ac:dyDescent="0.2">
      <c r="X2673" s="176" t="str">
        <f t="shared" si="75"/>
        <v>1w</v>
      </c>
      <c r="Y2673" s="164">
        <f>_xll.qlCalendarAdvance(Calendar,Y2672,X2673,"f",FALSE)</f>
        <v>57832</v>
      </c>
      <c r="Z2673" s="188">
        <f>_xll.qlCalendarAdvance(Calendar,Y2673,NDays&amp;"D")</f>
        <v>57836</v>
      </c>
      <c r="AA2673" s="163">
        <v>7.0399237408170154E-3</v>
      </c>
      <c r="AB2673" s="172">
        <v>7.1088266029750713E-3</v>
      </c>
    </row>
    <row r="2674" spans="24:28" x14ac:dyDescent="0.2">
      <c r="X2674" s="176" t="str">
        <f t="shared" si="75"/>
        <v>1w</v>
      </c>
      <c r="Y2674" s="164">
        <f>_xll.qlCalendarAdvance(Calendar,Y2673,X2674,"f",FALSE)</f>
        <v>57839</v>
      </c>
      <c r="Z2674" s="188">
        <f>_xll.qlCalendarAdvance(Calendar,Y2674,NDays&amp;"D")</f>
        <v>57843</v>
      </c>
      <c r="AA2674" s="163">
        <v>7.033791179994379E-3</v>
      </c>
      <c r="AB2674" s="172">
        <v>7.1023861431296353E-3</v>
      </c>
    </row>
    <row r="2675" spans="24:28" x14ac:dyDescent="0.2">
      <c r="X2675" s="176" t="str">
        <f t="shared" si="75"/>
        <v>1w</v>
      </c>
      <c r="Y2675" s="164">
        <f>_xll.qlCalendarAdvance(Calendar,Y2674,X2675,"f",FALSE)</f>
        <v>57846</v>
      </c>
      <c r="Z2675" s="188">
        <f>_xll.qlCalendarAdvance(Calendar,Y2675,NDays&amp;"D")</f>
        <v>57850</v>
      </c>
      <c r="AA2675" s="163">
        <v>7.0276839556598679E-3</v>
      </c>
      <c r="AB2675" s="172">
        <v>7.0959709106244162E-3</v>
      </c>
    </row>
    <row r="2676" spans="24:28" x14ac:dyDescent="0.2">
      <c r="X2676" s="176" t="str">
        <f t="shared" si="75"/>
        <v>1w</v>
      </c>
      <c r="Y2676" s="164">
        <f>_xll.qlCalendarAdvance(Calendar,Y2675,X2676,"f",FALSE)</f>
        <v>57853</v>
      </c>
      <c r="Z2676" s="188">
        <f>_xll.qlCalendarAdvance(Calendar,Y2676,NDays&amp;"D")</f>
        <v>57857</v>
      </c>
      <c r="AA2676" s="163">
        <v>7.0216020675784516E-3</v>
      </c>
      <c r="AB2676" s="172">
        <v>7.0895809054594139E-3</v>
      </c>
    </row>
    <row r="2677" spans="24:28" x14ac:dyDescent="0.2">
      <c r="X2677" s="176" t="str">
        <f t="shared" si="75"/>
        <v>1w</v>
      </c>
      <c r="Y2677" s="164">
        <f>_xll.qlCalendarAdvance(Calendar,Y2676,X2677,"f",FALSE)</f>
        <v>57860</v>
      </c>
      <c r="Z2677" s="188">
        <f>_xll.qlCalendarAdvance(Calendar,Y2677,NDays&amp;"D")</f>
        <v>57864</v>
      </c>
      <c r="AA2677" s="163">
        <v>7.0159011008902048E-3</v>
      </c>
      <c r="AB2677" s="172">
        <v>7.0832161276346284E-3</v>
      </c>
    </row>
    <row r="2678" spans="24:28" x14ac:dyDescent="0.2">
      <c r="X2678" s="176" t="str">
        <f t="shared" si="75"/>
        <v>1w</v>
      </c>
      <c r="Y2678" s="164">
        <f>_xll.qlCalendarAdvance(Calendar,Y2677,X2678,"f",FALSE)</f>
        <v>57867</v>
      </c>
      <c r="Z2678" s="188">
        <f>_xll.qlCalendarAdvance(Calendar,Y2678,NDays&amp;"D")</f>
        <v>57871</v>
      </c>
      <c r="AA2678" s="163">
        <v>7.0098681922567824E-3</v>
      </c>
      <c r="AB2678" s="172">
        <v>7.0768765771500597E-3</v>
      </c>
    </row>
    <row r="2679" spans="24:28" x14ac:dyDescent="0.2">
      <c r="X2679" s="176" t="str">
        <f t="shared" si="75"/>
        <v>1w</v>
      </c>
      <c r="Y2679" s="164">
        <f>_xll.qlCalendarAdvance(Calendar,Y2678,X2679,"f",FALSE)</f>
        <v>57874</v>
      </c>
      <c r="Z2679" s="188">
        <f>_xll.qlCalendarAdvance(Calendar,Y2679,NDays&amp;"D")</f>
        <v>57878</v>
      </c>
      <c r="AA2679" s="163">
        <v>7.0038606185963857E-3</v>
      </c>
      <c r="AB2679" s="172">
        <v>7.0705622539257718E-3</v>
      </c>
    </row>
    <row r="2680" spans="24:28" x14ac:dyDescent="0.2">
      <c r="X2680" s="176" t="str">
        <f t="shared" si="75"/>
        <v>1w</v>
      </c>
      <c r="Y2680" s="164">
        <f>_xll.qlCalendarAdvance(Calendar,Y2679,X2680,"f",FALSE)</f>
        <v>57881</v>
      </c>
      <c r="Z2680" s="188">
        <f>_xll.qlCalendarAdvance(Calendar,Y2680,NDays&amp;"D")</f>
        <v>57885</v>
      </c>
      <c r="AA2680" s="163">
        <v>6.9978783796788178E-3</v>
      </c>
      <c r="AB2680" s="172">
        <v>7.0642731582015728E-3</v>
      </c>
    </row>
    <row r="2681" spans="24:28" x14ac:dyDescent="0.2">
      <c r="X2681" s="176" t="str">
        <f t="shared" si="75"/>
        <v>1w</v>
      </c>
      <c r="Y2681" s="164">
        <f>_xll.qlCalendarAdvance(Calendar,Y2680,X2681,"f",FALSE)</f>
        <v>57888</v>
      </c>
      <c r="Z2681" s="188">
        <f>_xll.qlCalendarAdvance(Calendar,Y2681,NDays&amp;"D")</f>
        <v>57892</v>
      </c>
      <c r="AA2681" s="163">
        <v>6.9912240072813612E-3</v>
      </c>
      <c r="AB2681" s="172">
        <v>7.0580092895777824E-3</v>
      </c>
    </row>
    <row r="2682" spans="24:28" x14ac:dyDescent="0.2">
      <c r="X2682" s="176" t="str">
        <f t="shared" si="75"/>
        <v>1w</v>
      </c>
      <c r="Y2682" s="164">
        <f>_xll.qlCalendarAdvance(Calendar,Y2681,X2682,"f",FALSE)</f>
        <v>57895</v>
      </c>
      <c r="Z2682" s="188">
        <f>_xll.qlCalendarAdvance(Calendar,Y2682,NDays&amp;"D")</f>
        <v>57899</v>
      </c>
      <c r="AA2682" s="163">
        <v>6.9856427872850221E-3</v>
      </c>
      <c r="AB2682" s="172">
        <v>7.051770648454081E-3</v>
      </c>
    </row>
    <row r="2683" spans="24:28" x14ac:dyDescent="0.2">
      <c r="X2683" s="176" t="str">
        <f t="shared" si="75"/>
        <v>1w</v>
      </c>
      <c r="Y2683" s="164">
        <f>_xll.qlCalendarAdvance(Calendar,Y2682,X2683,"f",FALSE)</f>
        <v>57902</v>
      </c>
      <c r="Z2683" s="188">
        <f>_xll.qlCalendarAdvance(Calendar,Y2683,NDays&amp;"D")</f>
        <v>57906</v>
      </c>
      <c r="AA2683" s="163">
        <v>6.9797382464378962E-3</v>
      </c>
      <c r="AB2683" s="172">
        <v>7.0455572345906603E-3</v>
      </c>
    </row>
    <row r="2684" spans="24:28" x14ac:dyDescent="0.2">
      <c r="X2684" s="176" t="str">
        <f t="shared" si="75"/>
        <v>1w</v>
      </c>
      <c r="Y2684" s="164">
        <f>_xll.qlCalendarAdvance(Calendar,Y2683,X2684,"f",FALSE)</f>
        <v>57909</v>
      </c>
      <c r="Z2684" s="188">
        <f>_xll.qlCalendarAdvance(Calendar,Y2684,NDays&amp;"D")</f>
        <v>57913</v>
      </c>
      <c r="AA2684" s="163">
        <v>6.9738590399883926E-3</v>
      </c>
      <c r="AB2684" s="172">
        <v>7.0393690479875204E-3</v>
      </c>
    </row>
    <row r="2685" spans="24:28" x14ac:dyDescent="0.2">
      <c r="X2685" s="176" t="str">
        <f t="shared" si="75"/>
        <v>1w</v>
      </c>
      <c r="Y2685" s="164">
        <f>_xll.qlCalendarAdvance(Calendar,Y2684,X2685,"f",FALSE)</f>
        <v>57916</v>
      </c>
      <c r="Z2685" s="188">
        <f>_xll.qlCalendarAdvance(Calendar,Y2685,NDays&amp;"D")</f>
        <v>57920</v>
      </c>
      <c r="AA2685" s="163">
        <v>6.9680051677093032E-3</v>
      </c>
      <c r="AB2685" s="172">
        <v>7.0332060888844694E-3</v>
      </c>
    </row>
    <row r="2686" spans="24:28" x14ac:dyDescent="0.2">
      <c r="X2686" s="176" t="str">
        <f t="shared" si="75"/>
        <v>1w</v>
      </c>
      <c r="Y2686" s="164">
        <f>_xll.qlCalendarAdvance(Calendar,Y2685,X2686,"f",FALSE)</f>
        <v>57923</v>
      </c>
      <c r="Z2686" s="188">
        <f>_xll.qlCalendarAdvance(Calendar,Y2686,NDays&amp;"D")</f>
        <v>57927</v>
      </c>
      <c r="AA2686" s="163">
        <v>6.9621766293738521E-3</v>
      </c>
      <c r="AB2686" s="172">
        <v>7.0270683569617631E-3</v>
      </c>
    </row>
    <row r="2687" spans="24:28" x14ac:dyDescent="0.2">
      <c r="X2687" s="176" t="str">
        <f t="shared" si="75"/>
        <v>1w</v>
      </c>
      <c r="Y2687" s="164">
        <f>_xll.qlCalendarAdvance(Calendar,Y2686,X2687,"f",FALSE)</f>
        <v>57930</v>
      </c>
      <c r="Z2687" s="188">
        <f>_xll.qlCalendarAdvance(Calendar,Y2687,NDays&amp;"D")</f>
        <v>57934</v>
      </c>
      <c r="AA2687" s="163">
        <v>6.956373424755264E-3</v>
      </c>
      <c r="AB2687" s="172">
        <v>7.0209558523792737E-3</v>
      </c>
    </row>
    <row r="2688" spans="24:28" x14ac:dyDescent="0.2">
      <c r="X2688" s="176" t="str">
        <f t="shared" si="75"/>
        <v>1w</v>
      </c>
      <c r="Y2688" s="164">
        <f>_xll.qlCalendarAdvance(Calendar,Y2687,X2688,"f",FALSE)</f>
        <v>57937</v>
      </c>
      <c r="Z2688" s="188">
        <f>_xll.qlCalendarAdvance(Calendar,Y2688,NDays&amp;"D")</f>
        <v>57941</v>
      </c>
      <c r="AA2688" s="163">
        <v>6.9505955536319783E-3</v>
      </c>
      <c r="AB2688" s="172">
        <v>7.014868575137001E-3</v>
      </c>
    </row>
    <row r="2689" spans="24:28" x14ac:dyDescent="0.2">
      <c r="X2689" s="176" t="str">
        <f t="shared" si="75"/>
        <v>1w</v>
      </c>
      <c r="Y2689" s="164">
        <f>_xll.qlCalendarAdvance(Calendar,Y2688,X2689,"f",FALSE)</f>
        <v>57944</v>
      </c>
      <c r="Z2689" s="188">
        <f>_xll.qlCalendarAdvance(Calendar,Y2689,NDays&amp;"D")</f>
        <v>57948</v>
      </c>
      <c r="AA2689" s="163">
        <v>6.9448430157780872E-3</v>
      </c>
      <c r="AB2689" s="172">
        <v>7.0088065252349452E-3</v>
      </c>
    </row>
    <row r="2690" spans="24:28" x14ac:dyDescent="0.2">
      <c r="X2690" s="176" t="str">
        <f t="shared" si="75"/>
        <v>1w</v>
      </c>
      <c r="Y2690" s="164">
        <f>_xll.qlCalendarAdvance(Calendar,Y2689,X2690,"f",FALSE)</f>
        <v>57951</v>
      </c>
      <c r="Z2690" s="188">
        <f>_xll.qlCalendarAdvance(Calendar,Y2690,NDays&amp;"D")</f>
        <v>57955</v>
      </c>
      <c r="AA2690" s="163">
        <v>6.9397830490971826E-3</v>
      </c>
      <c r="AB2690" s="172">
        <v>7.0027697025132341E-3</v>
      </c>
    </row>
    <row r="2691" spans="24:28" x14ac:dyDescent="0.2">
      <c r="X2691" s="176" t="str">
        <f t="shared" si="75"/>
        <v>1w</v>
      </c>
      <c r="Y2691" s="164">
        <f>_xll.qlCalendarAdvance(Calendar,Y2690,X2691,"f",FALSE)</f>
        <v>57958</v>
      </c>
      <c r="Z2691" s="188">
        <f>_xll.qlCalendarAdvance(Calendar,Y2691,NDays&amp;"D")</f>
        <v>57962</v>
      </c>
      <c r="AA2691" s="163">
        <v>6.9340777776928609E-3</v>
      </c>
      <c r="AB2691" s="172">
        <v>6.9967581072916119E-3</v>
      </c>
    </row>
    <row r="2692" spans="24:28" x14ac:dyDescent="0.2">
      <c r="X2692" s="176" t="str">
        <f t="shared" si="75"/>
        <v>1w</v>
      </c>
      <c r="Y2692" s="164">
        <f>_xll.qlCalendarAdvance(Calendar,Y2691,X2692,"f",FALSE)</f>
        <v>57965</v>
      </c>
      <c r="Z2692" s="188">
        <f>_xll.qlCalendarAdvance(Calendar,Y2692,NDays&amp;"D")</f>
        <v>57969</v>
      </c>
      <c r="AA2692" s="163">
        <v>6.9283978377718243E-3</v>
      </c>
      <c r="AB2692" s="172">
        <v>6.9907717392503343E-3</v>
      </c>
    </row>
    <row r="2693" spans="24:28" x14ac:dyDescent="0.2">
      <c r="X2693" s="176" t="str">
        <f t="shared" si="75"/>
        <v>1w</v>
      </c>
      <c r="Y2693" s="164">
        <f>_xll.qlCalendarAdvance(Calendar,Y2692,X2693,"f",FALSE)</f>
        <v>57972</v>
      </c>
      <c r="Z2693" s="188">
        <f>_xll.qlCalendarAdvance(Calendar,Y2693,NDays&amp;"D")</f>
        <v>57976</v>
      </c>
      <c r="AA2693" s="163">
        <v>6.9227432291162246E-3</v>
      </c>
      <c r="AB2693" s="172">
        <v>6.9848105986292097E-3</v>
      </c>
    </row>
    <row r="2694" spans="24:28" x14ac:dyDescent="0.2">
      <c r="X2694" s="176" t="str">
        <f t="shared" si="75"/>
        <v>1w</v>
      </c>
      <c r="Y2694" s="164">
        <f>_xll.qlCalendarAdvance(Calendar,Y2693,X2694,"f",FALSE)</f>
        <v>57979</v>
      </c>
      <c r="Z2694" s="188">
        <f>_xll.qlCalendarAdvance(Calendar,Y2694,NDays&amp;"D")</f>
        <v>57983</v>
      </c>
      <c r="AA2694" s="163">
        <v>6.9184231154132952E-3</v>
      </c>
      <c r="AB2694" s="172">
        <v>6.9788746852683659E-3</v>
      </c>
    </row>
    <row r="2695" spans="24:28" x14ac:dyDescent="0.2">
      <c r="X2695" s="176" t="str">
        <f t="shared" si="75"/>
        <v>1w</v>
      </c>
      <c r="Y2695" s="164">
        <f>_xll.qlCalendarAdvance(Calendar,Y2694,X2695,"f",FALSE)</f>
        <v>57986</v>
      </c>
      <c r="Z2695" s="188">
        <f>_xll.qlCalendarAdvance(Calendar,Y2695,NDays&amp;"D")</f>
        <v>57990</v>
      </c>
      <c r="AA2695" s="163">
        <v>6.9115100047378499E-3</v>
      </c>
      <c r="AB2695" s="172">
        <v>6.9729639992477388E-3</v>
      </c>
    </row>
    <row r="2696" spans="24:28" x14ac:dyDescent="0.2">
      <c r="X2696" s="176" t="str">
        <f t="shared" si="75"/>
        <v>1w</v>
      </c>
      <c r="Y2696" s="164">
        <f>_xll.qlCalendarAdvance(Calendar,Y2695,X2696,"f",FALSE)</f>
        <v>57993</v>
      </c>
      <c r="Z2696" s="188">
        <f>_xll.qlCalendarAdvance(Calendar,Y2696,NDays&amp;"D")</f>
        <v>57997</v>
      </c>
      <c r="AA2696" s="163">
        <v>6.9059313885846511E-3</v>
      </c>
      <c r="AB2696" s="172">
        <v>6.9670785404873925E-3</v>
      </c>
    </row>
    <row r="2697" spans="24:28" x14ac:dyDescent="0.2">
      <c r="X2697" s="176" t="str">
        <f t="shared" si="75"/>
        <v>1w</v>
      </c>
      <c r="Y2697" s="164">
        <f>_xll.qlCalendarAdvance(Calendar,Y2696,X2697,"f",FALSE)</f>
        <v>58000</v>
      </c>
      <c r="Z2697" s="188">
        <f>_xll.qlCalendarAdvance(Calendar,Y2697,NDays&amp;"D")</f>
        <v>58004</v>
      </c>
      <c r="AA2697" s="163">
        <v>6.9003781028373562E-3</v>
      </c>
      <c r="AB2697" s="172">
        <v>6.9612183091471991E-3</v>
      </c>
    </row>
    <row r="2698" spans="24:28" x14ac:dyDescent="0.2">
      <c r="X2698" s="176" t="str">
        <f t="shared" si="75"/>
        <v>1w</v>
      </c>
      <c r="Y2698" s="164">
        <f>_xll.qlCalendarAdvance(Calendar,Y2697,X2698,"f",FALSE)</f>
        <v>58007</v>
      </c>
      <c r="Z2698" s="188">
        <f>_xll.qlCalendarAdvance(Calendar,Y2698,NDays&amp;"D")</f>
        <v>58011</v>
      </c>
      <c r="AA2698" s="163">
        <v>6.8948501472829498E-3</v>
      </c>
      <c r="AB2698" s="172">
        <v>6.9553833049074143E-3</v>
      </c>
    </row>
    <row r="2699" spans="24:28" x14ac:dyDescent="0.2">
      <c r="X2699" s="176" t="str">
        <f t="shared" si="75"/>
        <v>1w</v>
      </c>
      <c r="Y2699" s="164">
        <f>_xll.qlCalendarAdvance(Calendar,Y2698,X2699,"f",FALSE)</f>
        <v>58014</v>
      </c>
      <c r="Z2699" s="188">
        <f>_xll.qlCalendarAdvance(Calendar,Y2699,NDays&amp;"D")</f>
        <v>58018</v>
      </c>
      <c r="AA2699" s="163">
        <v>6.8893475217110508E-3</v>
      </c>
      <c r="AB2699" s="172">
        <v>6.9495735280877824E-3</v>
      </c>
    </row>
    <row r="2700" spans="24:28" x14ac:dyDescent="0.2">
      <c r="X2700" s="176" t="str">
        <f t="shared" si="75"/>
        <v>1w</v>
      </c>
      <c r="Y2700" s="164">
        <f>_xll.qlCalendarAdvance(Calendar,Y2699,X2700,"f",FALSE)</f>
        <v>58021</v>
      </c>
      <c r="Z2700" s="188">
        <f>_xll.qlCalendarAdvance(Calendar,Y2700,NDays&amp;"D")</f>
        <v>58025</v>
      </c>
      <c r="AA2700" s="163">
        <v>6.8838702259103992E-3</v>
      </c>
      <c r="AB2700" s="172">
        <v>6.9437889786083673E-3</v>
      </c>
    </row>
    <row r="2701" spans="24:28" x14ac:dyDescent="0.2">
      <c r="X2701" s="176" t="str">
        <f t="shared" si="75"/>
        <v>1w</v>
      </c>
      <c r="Y2701" s="164">
        <f>_xll.qlCalendarAdvance(Calendar,Y2700,X2701,"f",FALSE)</f>
        <v>58028</v>
      </c>
      <c r="Z2701" s="188">
        <f>_xll.qlCalendarAdvance(Calendar,Y2701,NDays&amp;"D")</f>
        <v>58032</v>
      </c>
      <c r="AA2701" s="163">
        <v>6.8784182596710527E-3</v>
      </c>
      <c r="AB2701" s="172">
        <v>6.938029656389233E-3</v>
      </c>
    </row>
    <row r="2702" spans="24:28" x14ac:dyDescent="0.2">
      <c r="X2702" s="176" t="str">
        <f t="shared" si="75"/>
        <v>1w</v>
      </c>
      <c r="Y2702" s="164">
        <f>_xll.qlCalendarAdvance(Calendar,Y2701,X2702,"f",FALSE)</f>
        <v>58035</v>
      </c>
      <c r="Z2702" s="188">
        <f>_xll.qlCalendarAdvance(Calendar,Y2702,NDays&amp;"D")</f>
        <v>58039</v>
      </c>
      <c r="AA2702" s="163">
        <v>6.8729916227843876E-3</v>
      </c>
      <c r="AB2702" s="172">
        <v>6.9322955614303794E-3</v>
      </c>
    </row>
    <row r="2703" spans="24:28" x14ac:dyDescent="0.2">
      <c r="X2703" s="176" t="str">
        <f t="shared" si="75"/>
        <v>1w</v>
      </c>
      <c r="Y2703" s="164">
        <f>_xll.qlCalendarAdvance(Calendar,Y2702,X2703,"f",FALSE)</f>
        <v>58042</v>
      </c>
      <c r="Z2703" s="188">
        <f>_xll.qlCalendarAdvance(Calendar,Y2703,NDays&amp;"D")</f>
        <v>58046</v>
      </c>
      <c r="AA2703" s="163">
        <v>6.867590315043976E-3</v>
      </c>
      <c r="AB2703" s="172">
        <v>6.9265866938916787E-3</v>
      </c>
    </row>
    <row r="2704" spans="24:28" x14ac:dyDescent="0.2">
      <c r="X2704" s="176" t="str">
        <f t="shared" si="75"/>
        <v>1w</v>
      </c>
      <c r="Y2704" s="164">
        <f>_xll.qlCalendarAdvance(Calendar,Y2703,X2704,"f",FALSE)</f>
        <v>58049</v>
      </c>
      <c r="Z2704" s="188">
        <f>_xll.qlCalendarAdvance(Calendar,Y2704,NDays&amp;"D")</f>
        <v>58053</v>
      </c>
      <c r="AA2704" s="163">
        <v>6.8622143362411922E-3</v>
      </c>
      <c r="AB2704" s="172">
        <v>6.9209030534533866E-3</v>
      </c>
    </row>
    <row r="2705" spans="24:28" x14ac:dyDescent="0.2">
      <c r="X2705" s="176" t="str">
        <f t="shared" si="75"/>
        <v>1w</v>
      </c>
      <c r="Y2705" s="164">
        <f>_xll.qlCalendarAdvance(Calendar,Y2704,X2705,"f",FALSE)</f>
        <v>58056</v>
      </c>
      <c r="Z2705" s="188">
        <f>_xll.qlCalendarAdvance(Calendar,Y2705,NDays&amp;"D")</f>
        <v>58060</v>
      </c>
      <c r="AA2705" s="163">
        <v>6.8568636861722444E-3</v>
      </c>
      <c r="AB2705" s="172">
        <v>6.9152446403553114E-3</v>
      </c>
    </row>
    <row r="2706" spans="24:28" x14ac:dyDescent="0.2">
      <c r="X2706" s="176" t="str">
        <f t="shared" si="75"/>
        <v>1w</v>
      </c>
      <c r="Y2706" s="164">
        <f>_xll.qlCalendarAdvance(Calendar,Y2705,X2706,"f",FALSE)</f>
        <v>58063</v>
      </c>
      <c r="Z2706" s="188">
        <f>_xll.qlCalendarAdvance(Calendar,Y2706,NDays&amp;"D")</f>
        <v>58067</v>
      </c>
      <c r="AA2706" s="163">
        <v>6.8515383646315826E-3</v>
      </c>
      <c r="AB2706" s="172">
        <v>6.9096114547573251E-3</v>
      </c>
    </row>
    <row r="2707" spans="24:28" x14ac:dyDescent="0.2">
      <c r="X2707" s="176" t="str">
        <f t="shared" si="75"/>
        <v>1w</v>
      </c>
      <c r="Y2707" s="164">
        <f>_xll.qlCalendarAdvance(Calendar,Y2706,X2707,"f",FALSE)</f>
        <v>58071</v>
      </c>
      <c r="Z2707" s="188">
        <f>_xll.qlCalendarAdvance(Calendar,Y2707,NDays&amp;"D")</f>
        <v>58075</v>
      </c>
      <c r="AA2707" s="163">
        <v>6.8457879400118512E-3</v>
      </c>
      <c r="AB2707" s="172">
        <v>6.9028713161500832E-3</v>
      </c>
    </row>
    <row r="2708" spans="24:28" x14ac:dyDescent="0.2">
      <c r="X2708" s="176" t="str">
        <f t="shared" si="75"/>
        <v>1w</v>
      </c>
      <c r="Y2708" s="164">
        <f>_xll.qlCalendarAdvance(Calendar,Y2707,X2708,"f",FALSE)</f>
        <v>58078</v>
      </c>
      <c r="Z2708" s="188">
        <f>_xll.qlCalendarAdvance(Calendar,Y2708,NDays&amp;"D")</f>
        <v>58082</v>
      </c>
      <c r="AA2708" s="163">
        <v>6.8405151841388259E-3</v>
      </c>
      <c r="AB2708" s="172">
        <v>6.8976252914954017E-3</v>
      </c>
    </row>
    <row r="2709" spans="24:28" x14ac:dyDescent="0.2">
      <c r="X2709" s="176" t="str">
        <f t="shared" ref="X2709:X2772" si="76">X2708</f>
        <v>1w</v>
      </c>
      <c r="Y2709" s="164">
        <f>_xll.qlCalendarAdvance(Calendar,Y2708,X2709,"f",FALSE)</f>
        <v>58085</v>
      </c>
      <c r="Z2709" s="188">
        <f>_xll.qlCalendarAdvance(Calendar,Y2709,NDays&amp;"D")</f>
        <v>58089</v>
      </c>
      <c r="AA2709" s="163">
        <v>6.835267755613092E-3</v>
      </c>
      <c r="AB2709" s="172">
        <v>6.8920713915154863E-3</v>
      </c>
    </row>
    <row r="2710" spans="24:28" x14ac:dyDescent="0.2">
      <c r="X2710" s="176" t="str">
        <f t="shared" si="76"/>
        <v>1w</v>
      </c>
      <c r="Y2710" s="164">
        <f>_xll.qlCalendarAdvance(Calendar,Y2709,X2710,"f",FALSE)</f>
        <v>58092</v>
      </c>
      <c r="Z2710" s="188">
        <f>_xll.qlCalendarAdvance(Calendar,Y2710,NDays&amp;"D")</f>
        <v>58096</v>
      </c>
      <c r="AA2710" s="163">
        <v>6.830045654237238E-3</v>
      </c>
      <c r="AB2710" s="172">
        <v>6.8865427189557238E-3</v>
      </c>
    </row>
    <row r="2711" spans="24:28" x14ac:dyDescent="0.2">
      <c r="X2711" s="176" t="str">
        <f t="shared" si="76"/>
        <v>1w</v>
      </c>
      <c r="Y2711" s="164">
        <f>_xll.qlCalendarAdvance(Calendar,Y2710,X2711,"f",FALSE)</f>
        <v>58099</v>
      </c>
      <c r="Z2711" s="188">
        <f>_xll.qlCalendarAdvance(Calendar,Y2711,NDays&amp;"D")</f>
        <v>58103</v>
      </c>
      <c r="AA2711" s="163">
        <v>6.8248488798098783E-3</v>
      </c>
      <c r="AB2711" s="172">
        <v>6.881039273576306E-3</v>
      </c>
    </row>
    <row r="2712" spans="24:28" x14ac:dyDescent="0.2">
      <c r="X2712" s="176" t="str">
        <f t="shared" si="76"/>
        <v>1w</v>
      </c>
      <c r="Y2712" s="164">
        <f>_xll.qlCalendarAdvance(Calendar,Y2711,X2712,"f",FALSE)</f>
        <v>58106</v>
      </c>
      <c r="Z2712" s="188">
        <f>_xll.qlCalendarAdvance(Calendar,Y2712,NDays&amp;"D")</f>
        <v>58110</v>
      </c>
      <c r="AA2712" s="163">
        <v>6.8196774321349265E-3</v>
      </c>
      <c r="AB2712" s="172">
        <v>6.8755610554571689E-3</v>
      </c>
    </row>
    <row r="2713" spans="24:28" x14ac:dyDescent="0.2">
      <c r="X2713" s="176" t="str">
        <f t="shared" si="76"/>
        <v>1w</v>
      </c>
      <c r="Y2713" s="164">
        <f>_xll.qlCalendarAdvance(Calendar,Y2712,X2713,"f",FALSE)</f>
        <v>58113</v>
      </c>
      <c r="Z2713" s="188">
        <f>_xll.qlCalendarAdvance(Calendar,Y2713,NDays&amp;"D")</f>
        <v>58117</v>
      </c>
      <c r="AA2713" s="163">
        <v>6.8145313110149711E-3</v>
      </c>
      <c r="AB2713" s="172">
        <v>6.8701080645983126E-3</v>
      </c>
    </row>
    <row r="2714" spans="24:28" x14ac:dyDescent="0.2">
      <c r="X2714" s="176" t="str">
        <f t="shared" si="76"/>
        <v>1w</v>
      </c>
      <c r="Y2714" s="164">
        <f>_xll.qlCalendarAdvance(Calendar,Y2713,X2714,"f",FALSE)</f>
        <v>58120</v>
      </c>
      <c r="Z2714" s="188">
        <f>_xll.qlCalendarAdvance(Calendar,Y2714,NDays&amp;"D")</f>
        <v>58124</v>
      </c>
      <c r="AA2714" s="163">
        <v>6.8094105162548107E-3</v>
      </c>
      <c r="AB2714" s="172">
        <v>6.8646803012395452E-3</v>
      </c>
    </row>
    <row r="2715" spans="24:28" x14ac:dyDescent="0.2">
      <c r="X2715" s="176" t="str">
        <f t="shared" si="76"/>
        <v>1w</v>
      </c>
      <c r="Y2715" s="164">
        <f>_xll.qlCalendarAdvance(Calendar,Y2714,X2715,"f",FALSE)</f>
        <v>58127</v>
      </c>
      <c r="Z2715" s="188">
        <f>_xll.qlCalendarAdvance(Calendar,Y2715,NDays&amp;"D")</f>
        <v>58131</v>
      </c>
      <c r="AA2715" s="163">
        <v>6.8043150476592403E-3</v>
      </c>
      <c r="AB2715" s="172">
        <v>6.8592777649811865E-3</v>
      </c>
    </row>
    <row r="2716" spans="24:28" x14ac:dyDescent="0.2">
      <c r="X2716" s="176" t="str">
        <f t="shared" si="76"/>
        <v>1w</v>
      </c>
      <c r="Y2716" s="164">
        <f>_xll.qlCalendarAdvance(Calendar,Y2715,X2716,"f",FALSE)</f>
        <v>58134</v>
      </c>
      <c r="Z2716" s="188">
        <f>_xll.qlCalendarAdvance(Calendar,Y2716,NDays&amp;"D")</f>
        <v>58138</v>
      </c>
      <c r="AA2716" s="163">
        <v>6.7983776587510689E-3</v>
      </c>
      <c r="AB2716" s="172">
        <v>6.8539004559831085E-3</v>
      </c>
    </row>
    <row r="2717" spans="24:28" x14ac:dyDescent="0.2">
      <c r="X2717" s="176" t="str">
        <f t="shared" si="76"/>
        <v>1w</v>
      </c>
      <c r="Y2717" s="164">
        <f>_xll.qlCalendarAdvance(Calendar,Y2716,X2717,"f",FALSE)</f>
        <v>58141</v>
      </c>
      <c r="Z2717" s="188">
        <f>_xll.qlCalendarAdvance(Calendar,Y2717,NDays&amp;"D")</f>
        <v>58145</v>
      </c>
      <c r="AA2717" s="163">
        <v>6.7933379838658334E-3</v>
      </c>
      <c r="AB2717" s="172">
        <v>6.8485483744051834E-3</v>
      </c>
    </row>
    <row r="2718" spans="24:28" x14ac:dyDescent="0.2">
      <c r="X2718" s="176" t="str">
        <f t="shared" si="76"/>
        <v>1w</v>
      </c>
      <c r="Y2718" s="164">
        <f>_xll.qlCalendarAdvance(Calendar,Y2717,X2718,"f",FALSE)</f>
        <v>58148</v>
      </c>
      <c r="Z2718" s="188">
        <f>_xll.qlCalendarAdvance(Calendar,Y2718,NDays&amp;"D")</f>
        <v>58152</v>
      </c>
      <c r="AA2718" s="163">
        <v>6.7883236361674665E-3</v>
      </c>
      <c r="AB2718" s="172">
        <v>6.843221520007603E-3</v>
      </c>
    </row>
    <row r="2719" spans="24:28" x14ac:dyDescent="0.2">
      <c r="X2719" s="176" t="str">
        <f t="shared" si="76"/>
        <v>1w</v>
      </c>
      <c r="Y2719" s="164">
        <f>_xll.qlCalendarAdvance(Calendar,Y2718,X2719,"f",FALSE)</f>
        <v>58155</v>
      </c>
      <c r="Z2719" s="188">
        <f>_xll.qlCalendarAdvance(Calendar,Y2719,NDays&amp;"D")</f>
        <v>58159</v>
      </c>
      <c r="AA2719" s="163">
        <v>6.7833346154600391E-3</v>
      </c>
      <c r="AB2719" s="172">
        <v>6.8379198929502394E-3</v>
      </c>
    </row>
    <row r="2720" spans="24:28" x14ac:dyDescent="0.2">
      <c r="X2720" s="176" t="str">
        <f t="shared" si="76"/>
        <v>1w</v>
      </c>
      <c r="Y2720" s="164">
        <f>_xll.qlCalendarAdvance(Calendar,Y2719,X2720,"f",FALSE)</f>
        <v>58166</v>
      </c>
      <c r="Z2720" s="188">
        <f>_xll.qlCalendarAdvance(Calendar,Y2720,NDays&amp;"D")</f>
        <v>58168</v>
      </c>
      <c r="AA2720" s="163">
        <v>6.7772389477325631E-3</v>
      </c>
      <c r="AB2720" s="172">
        <v>6.8311405839160955E-3</v>
      </c>
    </row>
    <row r="2721" spans="24:28" x14ac:dyDescent="0.2">
      <c r="X2721" s="176" t="str">
        <f t="shared" si="76"/>
        <v>1w</v>
      </c>
      <c r="Y2721" s="164">
        <f>_xll.qlCalendarAdvance(Calendar,Y2720,X2721,"f",FALSE)</f>
        <v>58173</v>
      </c>
      <c r="Z2721" s="188">
        <f>_xll.qlCalendarAdvance(Calendar,Y2721,NDays&amp;"D")</f>
        <v>58175</v>
      </c>
      <c r="AA2721" s="163">
        <v>6.7723061002285421E-3</v>
      </c>
      <c r="AB2721" s="172">
        <v>6.8258966192136228E-3</v>
      </c>
    </row>
    <row r="2722" spans="24:28" x14ac:dyDescent="0.2">
      <c r="X2722" s="176" t="str">
        <f t="shared" si="76"/>
        <v>1w</v>
      </c>
      <c r="Y2722" s="164">
        <f>_xll.qlCalendarAdvance(Calendar,Y2721,X2722,"f",FALSE)</f>
        <v>58180</v>
      </c>
      <c r="Z2722" s="188">
        <f>_xll.qlCalendarAdvance(Calendar,Y2722,NDays&amp;"D")</f>
        <v>58182</v>
      </c>
      <c r="AA2722" s="163">
        <v>6.7673985785564449E-3</v>
      </c>
      <c r="AB2722" s="172">
        <v>6.8206778818513669E-3</v>
      </c>
    </row>
    <row r="2723" spans="24:28" x14ac:dyDescent="0.2">
      <c r="X2723" s="176" t="str">
        <f t="shared" si="76"/>
        <v>1w</v>
      </c>
      <c r="Y2723" s="164">
        <f>_xll.qlCalendarAdvance(Calendar,Y2722,X2723,"f",FALSE)</f>
        <v>58187</v>
      </c>
      <c r="Z2723" s="188">
        <f>_xll.qlCalendarAdvance(Calendar,Y2723,NDays&amp;"D")</f>
        <v>58189</v>
      </c>
      <c r="AA2723" s="163">
        <v>6.762516382527132E-3</v>
      </c>
      <c r="AB2723" s="172">
        <v>6.8154843715895197E-3</v>
      </c>
    </row>
    <row r="2724" spans="24:28" x14ac:dyDescent="0.2">
      <c r="X2724" s="176" t="str">
        <f t="shared" si="76"/>
        <v>1w</v>
      </c>
      <c r="Y2724" s="164">
        <f>_xll.qlCalendarAdvance(Calendar,Y2723,X2724,"f",FALSE)</f>
        <v>58194</v>
      </c>
      <c r="Z2724" s="188">
        <f>_xll.qlCalendarAdvance(Calendar,Y2724,NDays&amp;"D")</f>
        <v>58197</v>
      </c>
      <c r="AA2724" s="163">
        <v>6.7564189838558407E-3</v>
      </c>
      <c r="AB2724" s="172">
        <v>6.808973021223963E-3</v>
      </c>
    </row>
    <row r="2725" spans="24:28" x14ac:dyDescent="0.2">
      <c r="X2725" s="176" t="str">
        <f t="shared" si="76"/>
        <v>1w</v>
      </c>
      <c r="Y2725" s="164">
        <f>_xll.qlCalendarAdvance(Calendar,Y2724,X2725,"f",FALSE)</f>
        <v>58201</v>
      </c>
      <c r="Z2725" s="188">
        <f>_xll.qlCalendarAdvance(Calendar,Y2725,NDays&amp;"D")</f>
        <v>58203</v>
      </c>
      <c r="AA2725" s="163">
        <v>6.7520094911929689E-3</v>
      </c>
      <c r="AB2725" s="172">
        <v>6.8051730330065396E-3</v>
      </c>
    </row>
    <row r="2726" spans="24:28" x14ac:dyDescent="0.2">
      <c r="X2726" s="176" t="str">
        <f t="shared" si="76"/>
        <v>1w</v>
      </c>
      <c r="Y2726" s="164">
        <f>_xll.qlCalendarAdvance(Calendar,Y2725,X2726,"f",FALSE)</f>
        <v>58208</v>
      </c>
      <c r="Z2726" s="188">
        <f>_xll.qlCalendarAdvance(Calendar,Y2726,NDays&amp;"D")</f>
        <v>58210</v>
      </c>
      <c r="AA2726" s="163">
        <v>6.7472084281258631E-3</v>
      </c>
      <c r="AB2726" s="172">
        <v>6.8000552046054707E-3</v>
      </c>
    </row>
    <row r="2727" spans="24:28" x14ac:dyDescent="0.2">
      <c r="X2727" s="176" t="str">
        <f t="shared" si="76"/>
        <v>1w</v>
      </c>
      <c r="Y2727" s="164">
        <f>_xll.qlCalendarAdvance(Calendar,Y2726,X2727,"f",FALSE)</f>
        <v>58215</v>
      </c>
      <c r="Z2727" s="188">
        <f>_xll.qlCalendarAdvance(Calendar,Y2727,NDays&amp;"D")</f>
        <v>58217</v>
      </c>
      <c r="AA2727" s="163">
        <v>6.7424326915300004E-3</v>
      </c>
      <c r="AB2727" s="172">
        <v>6.7949626035446187E-3</v>
      </c>
    </row>
    <row r="2728" spans="24:28" x14ac:dyDescent="0.2">
      <c r="X2728" s="176" t="str">
        <f t="shared" si="76"/>
        <v>1w</v>
      </c>
      <c r="Y2728" s="164">
        <f>_xll.qlCalendarAdvance(Calendar,Y2727,X2728,"f",FALSE)</f>
        <v>58222</v>
      </c>
      <c r="Z2728" s="188">
        <f>_xll.qlCalendarAdvance(Calendar,Y2728,NDays&amp;"D")</f>
        <v>58224</v>
      </c>
      <c r="AA2728" s="163">
        <v>6.7384852804968564E-3</v>
      </c>
      <c r="AB2728" s="172">
        <v>6.7898952299039195E-3</v>
      </c>
    </row>
    <row r="2729" spans="24:28" x14ac:dyDescent="0.2">
      <c r="X2729" s="176" t="str">
        <f t="shared" si="76"/>
        <v>1w</v>
      </c>
      <c r="Y2729" s="164">
        <f>_xll.qlCalendarAdvance(Calendar,Y2728,X2729,"f",FALSE)</f>
        <v>58229</v>
      </c>
      <c r="Z2729" s="188">
        <f>_xll.qlCalendarAdvance(Calendar,Y2729,NDays&amp;"D")</f>
        <v>58231</v>
      </c>
      <c r="AA2729" s="163">
        <v>6.7337550344187449E-3</v>
      </c>
      <c r="AB2729" s="172">
        <v>6.7848530832836929E-3</v>
      </c>
    </row>
    <row r="2730" spans="24:28" x14ac:dyDescent="0.2">
      <c r="X2730" s="176" t="str">
        <f t="shared" si="76"/>
        <v>1w</v>
      </c>
      <c r="Y2730" s="164">
        <f>_xll.qlCalendarAdvance(Calendar,Y2729,X2730,"f",FALSE)</f>
        <v>58236</v>
      </c>
      <c r="Z2730" s="188">
        <f>_xll.qlCalendarAdvance(Calendar,Y2730,NDays&amp;"D")</f>
        <v>58238</v>
      </c>
      <c r="AA2730" s="163">
        <v>6.7290501126895897E-3</v>
      </c>
      <c r="AB2730" s="172">
        <v>6.7798361640036831E-3</v>
      </c>
    </row>
    <row r="2731" spans="24:28" x14ac:dyDescent="0.2">
      <c r="X2731" s="176" t="str">
        <f t="shared" si="76"/>
        <v>1w</v>
      </c>
      <c r="Y2731" s="164">
        <f>_xll.qlCalendarAdvance(Calendar,Y2730,X2731,"f",FALSE)</f>
        <v>58243</v>
      </c>
      <c r="Z2731" s="188">
        <f>_xll.qlCalendarAdvance(Calendar,Y2731,NDays&amp;"D")</f>
        <v>58245</v>
      </c>
      <c r="AA2731" s="163">
        <v>6.7243705151281159E-3</v>
      </c>
      <c r="AB2731" s="172">
        <v>6.774844471983954E-3</v>
      </c>
    </row>
    <row r="2732" spans="24:28" x14ac:dyDescent="0.2">
      <c r="X2732" s="176" t="str">
        <f t="shared" si="76"/>
        <v>1w</v>
      </c>
      <c r="Y2732" s="164">
        <f>_xll.qlCalendarAdvance(Calendar,Y2731,X2732,"f",FALSE)</f>
        <v>58250</v>
      </c>
      <c r="Z2732" s="188">
        <f>_xll.qlCalendarAdvance(Calendar,Y2732,NDays&amp;"D")</f>
        <v>58252</v>
      </c>
      <c r="AA2732" s="163">
        <v>6.7189338991084056E-3</v>
      </c>
      <c r="AB2732" s="172">
        <v>6.7698780073843778E-3</v>
      </c>
    </row>
    <row r="2733" spans="24:28" x14ac:dyDescent="0.2">
      <c r="X2733" s="176" t="str">
        <f t="shared" si="76"/>
        <v>1w</v>
      </c>
      <c r="Y2733" s="164">
        <f>_xll.qlCalendarAdvance(Calendar,Y2732,X2733,"f",FALSE)</f>
        <v>58257</v>
      </c>
      <c r="Z2733" s="188">
        <f>_xll.qlCalendarAdvance(Calendar,Y2733,NDays&amp;"D")</f>
        <v>58259</v>
      </c>
      <c r="AA2733" s="163">
        <v>6.714310117448918E-3</v>
      </c>
      <c r="AB2733" s="172">
        <v>6.7649367698052743E-3</v>
      </c>
    </row>
    <row r="2734" spans="24:28" x14ac:dyDescent="0.2">
      <c r="X2734" s="176" t="str">
        <f t="shared" si="76"/>
        <v>1w</v>
      </c>
      <c r="Y2734" s="164">
        <f>_xll.qlCalendarAdvance(Calendar,Y2733,X2734,"f",FALSE)</f>
        <v>58264</v>
      </c>
      <c r="Z2734" s="188">
        <f>_xll.qlCalendarAdvance(Calendar,Y2734,NDays&amp;"D")</f>
        <v>58266</v>
      </c>
      <c r="AA2734" s="163">
        <v>6.7097116609739615E-3</v>
      </c>
      <c r="AB2734" s="172">
        <v>6.7600207596463235E-3</v>
      </c>
    </row>
    <row r="2735" spans="24:28" x14ac:dyDescent="0.2">
      <c r="X2735" s="176" t="str">
        <f t="shared" si="76"/>
        <v>1w</v>
      </c>
      <c r="Y2735" s="164">
        <f>_xll.qlCalendarAdvance(Calendar,Y2734,X2735,"f",FALSE)</f>
        <v>58271</v>
      </c>
      <c r="Z2735" s="188">
        <f>_xll.qlCalendarAdvance(Calendar,Y2735,NDays&amp;"D")</f>
        <v>58273</v>
      </c>
      <c r="AA2735" s="163">
        <v>6.7051385295030337E-3</v>
      </c>
      <c r="AB2735" s="172">
        <v>6.7551299766677175E-3</v>
      </c>
    </row>
    <row r="2736" spans="24:28" x14ac:dyDescent="0.2">
      <c r="X2736" s="176" t="str">
        <f t="shared" si="76"/>
        <v>1w</v>
      </c>
      <c r="Y2736" s="164">
        <f>_xll.qlCalendarAdvance(Calendar,Y2735,X2736,"f",FALSE)</f>
        <v>58278</v>
      </c>
      <c r="Z2736" s="188">
        <f>_xll.qlCalendarAdvance(Calendar,Y2736,NDays&amp;"D")</f>
        <v>58280</v>
      </c>
      <c r="AA2736" s="163">
        <v>6.7005907228573532E-3</v>
      </c>
      <c r="AB2736" s="172">
        <v>6.7502644209493923E-3</v>
      </c>
    </row>
    <row r="2737" spans="24:28" x14ac:dyDescent="0.2">
      <c r="X2737" s="176" t="str">
        <f t="shared" si="76"/>
        <v>1w</v>
      </c>
      <c r="Y2737" s="164">
        <f>_xll.qlCalendarAdvance(Calendar,Y2736,X2737,"f",FALSE)</f>
        <v>58285</v>
      </c>
      <c r="Z2737" s="188">
        <f>_xll.qlCalendarAdvance(Calendar,Y2737,NDays&amp;"D")</f>
        <v>58287</v>
      </c>
      <c r="AA2737" s="163">
        <v>6.6968247272741485E-3</v>
      </c>
      <c r="AB2737" s="172">
        <v>6.7454240926512199E-3</v>
      </c>
    </row>
    <row r="2738" spans="24:28" x14ac:dyDescent="0.2">
      <c r="X2738" s="176" t="str">
        <f t="shared" si="76"/>
        <v>1w</v>
      </c>
      <c r="Y2738" s="164">
        <f>_xll.qlCalendarAdvance(Calendar,Y2737,X2738,"f",FALSE)</f>
        <v>58292</v>
      </c>
      <c r="Z2738" s="188">
        <f>_xll.qlCalendarAdvance(Calendar,Y2738,NDays&amp;"D")</f>
        <v>58294</v>
      </c>
      <c r="AA2738" s="163">
        <v>6.691571083332625E-3</v>
      </c>
      <c r="AB2738" s="172">
        <v>6.7406089914534562E-3</v>
      </c>
    </row>
    <row r="2739" spans="24:28" x14ac:dyDescent="0.2">
      <c r="X2739" s="176" t="str">
        <f t="shared" si="76"/>
        <v>1w</v>
      </c>
      <c r="Y2739" s="164">
        <f>_xll.qlCalendarAdvance(Calendar,Y2738,X2739,"f",FALSE)</f>
        <v>58299</v>
      </c>
      <c r="Z2739" s="188">
        <f>_xll.qlCalendarAdvance(Calendar,Y2739,NDays&amp;"D")</f>
        <v>58301</v>
      </c>
      <c r="AA2739" s="163">
        <v>6.6870992501003122E-3</v>
      </c>
      <c r="AB2739" s="172">
        <v>6.7358191175959092E-3</v>
      </c>
    </row>
    <row r="2740" spans="24:28" x14ac:dyDescent="0.2">
      <c r="X2740" s="176" t="str">
        <f t="shared" si="76"/>
        <v>1w</v>
      </c>
      <c r="Y2740" s="164">
        <f>_xll.qlCalendarAdvance(Calendar,Y2739,X2740,"f",FALSE)</f>
        <v>58306</v>
      </c>
      <c r="Z2740" s="188">
        <f>_xll.qlCalendarAdvance(Calendar,Y2740,NDays&amp;"D")</f>
        <v>58308</v>
      </c>
      <c r="AA2740" s="163">
        <v>6.6826527409880035E-3</v>
      </c>
      <c r="AB2740" s="172">
        <v>6.7310544709986431E-3</v>
      </c>
    </row>
    <row r="2741" spans="24:28" x14ac:dyDescent="0.2">
      <c r="X2741" s="176" t="str">
        <f t="shared" si="76"/>
        <v>1w</v>
      </c>
      <c r="Y2741" s="164">
        <f>_xll.qlCalendarAdvance(Calendar,Y2740,X2741,"f",FALSE)</f>
        <v>58313</v>
      </c>
      <c r="Z2741" s="188">
        <f>_xll.qlCalendarAdvance(Calendar,Y2741,NDays&amp;"D")</f>
        <v>58315</v>
      </c>
      <c r="AA2741" s="163">
        <v>6.6789673296269994E-3</v>
      </c>
      <c r="AB2741" s="172">
        <v>6.7263150515817216E-3</v>
      </c>
    </row>
    <row r="2742" spans="24:28" x14ac:dyDescent="0.2">
      <c r="X2742" s="176" t="str">
        <f t="shared" si="76"/>
        <v>1w</v>
      </c>
      <c r="Y2742" s="164">
        <f>_xll.qlCalendarAdvance(Calendar,Y2741,X2742,"f",FALSE)</f>
        <v>58320</v>
      </c>
      <c r="Z2742" s="188">
        <f>_xll.qlCalendarAdvance(Calendar,Y2742,NDays&amp;"D")</f>
        <v>58322</v>
      </c>
      <c r="AA2742" s="163">
        <v>6.6748101402449682E-3</v>
      </c>
      <c r="AB2742" s="172">
        <v>6.721600859505017E-3</v>
      </c>
    </row>
    <row r="2743" spans="24:28" x14ac:dyDescent="0.2">
      <c r="X2743" s="176" t="str">
        <f t="shared" si="76"/>
        <v>1w</v>
      </c>
      <c r="Y2743" s="164">
        <f>_xll.qlCalendarAdvance(Calendar,Y2742,X2743,"f",FALSE)</f>
        <v>58327</v>
      </c>
      <c r="Z2743" s="188">
        <f>_xll.qlCalendarAdvance(Calendar,Y2743,NDays&amp;"D")</f>
        <v>58329</v>
      </c>
      <c r="AA2743" s="163">
        <v>6.6704326912386145E-3</v>
      </c>
      <c r="AB2743" s="172">
        <v>6.716911894608657E-3</v>
      </c>
    </row>
    <row r="2744" spans="24:28" x14ac:dyDescent="0.2">
      <c r="X2744" s="176" t="str">
        <f t="shared" si="76"/>
        <v>1w</v>
      </c>
      <c r="Y2744" s="164">
        <f>_xll.qlCalendarAdvance(Calendar,Y2743,X2744,"f",FALSE)</f>
        <v>58334</v>
      </c>
      <c r="Z2744" s="188">
        <f>_xll.qlCalendarAdvance(Calendar,Y2744,NDays&amp;"D")</f>
        <v>58336</v>
      </c>
      <c r="AA2744" s="163">
        <v>6.6660805636260343E-3</v>
      </c>
      <c r="AB2744" s="172">
        <v>6.7122481569725778E-3</v>
      </c>
    </row>
    <row r="2745" spans="24:28" x14ac:dyDescent="0.2">
      <c r="X2745" s="176" t="str">
        <f t="shared" si="76"/>
        <v>1w</v>
      </c>
      <c r="Y2745" s="164">
        <f>_xll.qlCalendarAdvance(Calendar,Y2744,X2745,"f",FALSE)</f>
        <v>58341</v>
      </c>
      <c r="Z2745" s="188">
        <f>_xll.qlCalendarAdvance(Calendar,Y2745,NDays&amp;"D")</f>
        <v>58343</v>
      </c>
      <c r="AA2745" s="163">
        <v>6.6617537572407669E-3</v>
      </c>
      <c r="AB2745" s="172">
        <v>6.7076096465967794E-3</v>
      </c>
    </row>
    <row r="2746" spans="24:28" x14ac:dyDescent="0.2">
      <c r="X2746" s="176" t="str">
        <f t="shared" si="76"/>
        <v>1w</v>
      </c>
      <c r="Y2746" s="164">
        <f>_xll.qlCalendarAdvance(Calendar,Y2745,X2746,"f",FALSE)</f>
        <v>58348</v>
      </c>
      <c r="Z2746" s="188">
        <f>_xll.qlCalendarAdvance(Calendar,Y2746,NDays&amp;"D")</f>
        <v>58350</v>
      </c>
      <c r="AA2746" s="163">
        <v>6.6572154194038131E-3</v>
      </c>
      <c r="AB2746" s="172">
        <v>6.7029963634812617E-3</v>
      </c>
    </row>
    <row r="2747" spans="24:28" x14ac:dyDescent="0.2">
      <c r="X2747" s="176" t="str">
        <f t="shared" si="76"/>
        <v>1w</v>
      </c>
      <c r="Y2747" s="164">
        <f>_xll.qlCalendarAdvance(Calendar,Y2746,X2747,"f",FALSE)</f>
        <v>58355</v>
      </c>
      <c r="Z2747" s="188">
        <f>_xll.qlCalendarAdvance(Calendar,Y2747,NDays&amp;"D")</f>
        <v>58357</v>
      </c>
      <c r="AA2747" s="163">
        <v>6.6529414748285132E-3</v>
      </c>
      <c r="AB2747" s="172">
        <v>6.6984083077059609E-3</v>
      </c>
    </row>
    <row r="2748" spans="24:28" x14ac:dyDescent="0.2">
      <c r="X2748" s="176" t="str">
        <f t="shared" si="76"/>
        <v>1w</v>
      </c>
      <c r="Y2748" s="164">
        <f>_xll.qlCalendarAdvance(Calendar,Y2747,X2748,"f",FALSE)</f>
        <v>58362</v>
      </c>
      <c r="Z2748" s="188">
        <f>_xll.qlCalendarAdvance(Calendar,Y2748,NDays&amp;"D")</f>
        <v>58364</v>
      </c>
      <c r="AA2748" s="163">
        <v>6.6477624288060711E-3</v>
      </c>
      <c r="AB2748" s="172">
        <v>6.6938454791110047E-3</v>
      </c>
    </row>
    <row r="2749" spans="24:28" x14ac:dyDescent="0.2">
      <c r="X2749" s="176" t="str">
        <f t="shared" si="76"/>
        <v>1w</v>
      </c>
      <c r="Y2749" s="164">
        <f>_xll.qlCalendarAdvance(Calendar,Y2748,X2749,"f",FALSE)</f>
        <v>58369</v>
      </c>
      <c r="Z2749" s="188">
        <f>_xll.qlCalendarAdvance(Calendar,Y2749,NDays&amp;"D")</f>
        <v>58371</v>
      </c>
      <c r="AA2749" s="163">
        <v>6.6444721663971142E-3</v>
      </c>
      <c r="AB2749" s="172">
        <v>6.6893078776963932E-3</v>
      </c>
    </row>
    <row r="2750" spans="24:28" x14ac:dyDescent="0.2">
      <c r="X2750" s="176" t="str">
        <f t="shared" si="76"/>
        <v>1w</v>
      </c>
      <c r="Y2750" s="164">
        <f>_xll.qlCalendarAdvance(Calendar,Y2749,X2750,"f",FALSE)</f>
        <v>58376</v>
      </c>
      <c r="Z2750" s="188">
        <f>_xll.qlCalendarAdvance(Calendar,Y2750,NDays&amp;"D")</f>
        <v>58378</v>
      </c>
      <c r="AA2750" s="163">
        <v>6.6402775068257315E-3</v>
      </c>
      <c r="AB2750" s="172">
        <v>6.6847955036219986E-3</v>
      </c>
    </row>
    <row r="2751" spans="24:28" x14ac:dyDescent="0.2">
      <c r="X2751" s="176" t="str">
        <f t="shared" si="76"/>
        <v>1w</v>
      </c>
      <c r="Y2751" s="164">
        <f>_xll.qlCalendarAdvance(Calendar,Y2750,X2751,"f",FALSE)</f>
        <v>58383</v>
      </c>
      <c r="Z2751" s="188">
        <f>_xll.qlCalendarAdvance(Calendar,Y2751,NDays&amp;"D")</f>
        <v>58385</v>
      </c>
      <c r="AA2751" s="163">
        <v>6.6363374081187202E-3</v>
      </c>
      <c r="AB2751" s="172">
        <v>6.6803083568078847E-3</v>
      </c>
    </row>
    <row r="2752" spans="24:28" x14ac:dyDescent="0.2">
      <c r="X2752" s="176" t="str">
        <f t="shared" si="76"/>
        <v>1w</v>
      </c>
      <c r="Y2752" s="164">
        <f>_xll.qlCalendarAdvance(Calendar,Y2751,X2752,"f",FALSE)</f>
        <v>58390</v>
      </c>
      <c r="Z2752" s="188">
        <f>_xll.qlCalendarAdvance(Calendar,Y2752,NDays&amp;"D")</f>
        <v>58392</v>
      </c>
      <c r="AA2752" s="163">
        <v>6.6321953437656744E-3</v>
      </c>
      <c r="AB2752" s="172">
        <v>6.6758464370941795E-3</v>
      </c>
    </row>
    <row r="2753" spans="24:28" x14ac:dyDescent="0.2">
      <c r="X2753" s="176" t="str">
        <f t="shared" si="76"/>
        <v>1w</v>
      </c>
      <c r="Y2753" s="164">
        <f>_xll.qlCalendarAdvance(Calendar,Y2752,X2753,"f",FALSE)</f>
        <v>58397</v>
      </c>
      <c r="Z2753" s="188">
        <f>_xll.qlCalendarAdvance(Calendar,Y2753,NDays&amp;"D")</f>
        <v>58399</v>
      </c>
      <c r="AA2753" s="163">
        <v>6.6280810789770368E-3</v>
      </c>
      <c r="AB2753" s="172">
        <v>6.6714097448006271E-3</v>
      </c>
    </row>
    <row r="2754" spans="24:28" x14ac:dyDescent="0.2">
      <c r="X2754" s="176" t="str">
        <f t="shared" si="76"/>
        <v>1w</v>
      </c>
      <c r="Y2754" s="164">
        <f>_xll.qlCalendarAdvance(Calendar,Y2753,X2754,"f",FALSE)</f>
        <v>58404</v>
      </c>
      <c r="Z2754" s="188">
        <f>_xll.qlCalendarAdvance(Calendar,Y2754,NDays&amp;"D")</f>
        <v>58406</v>
      </c>
      <c r="AA2754" s="163">
        <v>6.6239949678168391E-3</v>
      </c>
      <c r="AB2754" s="172">
        <v>6.6669982796874194E-3</v>
      </c>
    </row>
    <row r="2755" spans="24:28" x14ac:dyDescent="0.2">
      <c r="X2755" s="176" t="str">
        <f t="shared" si="76"/>
        <v>1w</v>
      </c>
      <c r="Y2755" s="164">
        <f>_xll.qlCalendarAdvance(Calendar,Y2754,X2755,"f",FALSE)</f>
        <v>58411</v>
      </c>
      <c r="Z2755" s="188">
        <f>_xll.qlCalendarAdvance(Calendar,Y2755,NDays&amp;"D")</f>
        <v>58413</v>
      </c>
      <c r="AA2755" s="163">
        <v>6.6197182409242078E-3</v>
      </c>
      <c r="AB2755" s="172">
        <v>6.6626120419144286E-3</v>
      </c>
    </row>
    <row r="2756" spans="24:28" x14ac:dyDescent="0.2">
      <c r="X2756" s="176" t="str">
        <f t="shared" si="76"/>
        <v>1w</v>
      </c>
      <c r="Y2756" s="164">
        <f>_xll.qlCalendarAdvance(Calendar,Y2755,X2756,"f",FALSE)</f>
        <v>58418</v>
      </c>
      <c r="Z2756" s="188">
        <f>_xll.qlCalendarAdvance(Calendar,Y2756,NDays&amp;"D")</f>
        <v>58420</v>
      </c>
      <c r="AA2756" s="163">
        <v>6.6156916590719992E-3</v>
      </c>
      <c r="AB2756" s="172">
        <v>6.6582510312418464E-3</v>
      </c>
    </row>
    <row r="2757" spans="24:28" x14ac:dyDescent="0.2">
      <c r="X2757" s="176" t="str">
        <f t="shared" si="76"/>
        <v>1w</v>
      </c>
      <c r="Y2757" s="164">
        <f>_xll.qlCalendarAdvance(Calendar,Y2756,X2757,"f",FALSE)</f>
        <v>58425</v>
      </c>
      <c r="Z2757" s="188">
        <f>_xll.qlCalendarAdvance(Calendar,Y2757,NDays&amp;"D")</f>
        <v>58427</v>
      </c>
      <c r="AA2757" s="163">
        <v>6.6116943226333146E-3</v>
      </c>
      <c r="AB2757" s="172">
        <v>6.6539152478295449E-3</v>
      </c>
    </row>
    <row r="2758" spans="24:28" x14ac:dyDescent="0.2">
      <c r="X2758" s="176" t="str">
        <f t="shared" si="76"/>
        <v>1w</v>
      </c>
      <c r="Y2758" s="164">
        <f>_xll.qlCalendarAdvance(Calendar,Y2757,X2758,"f",FALSE)</f>
        <v>58432</v>
      </c>
      <c r="Z2758" s="188">
        <f>_xll.qlCalendarAdvance(Calendar,Y2758,NDays&amp;"D")</f>
        <v>58438</v>
      </c>
      <c r="AA2758" s="163">
        <v>6.6054727285688964E-3</v>
      </c>
      <c r="AB2758" s="172">
        <v>6.6471528432732185E-3</v>
      </c>
    </row>
    <row r="2759" spans="24:28" x14ac:dyDescent="0.2">
      <c r="X2759" s="176" t="str">
        <f t="shared" si="76"/>
        <v>1w</v>
      </c>
      <c r="Y2759" s="164">
        <f>_xll.qlCalendarAdvance(Calendar,Y2758,X2759,"f",FALSE)</f>
        <v>58439</v>
      </c>
      <c r="Z2759" s="188">
        <f>_xll.qlCalendarAdvance(Calendar,Y2759,NDays&amp;"D")</f>
        <v>58442</v>
      </c>
      <c r="AA2759" s="163">
        <v>6.6034387102376323E-3</v>
      </c>
      <c r="AB2759" s="172">
        <v>6.6442224114560133E-3</v>
      </c>
    </row>
    <row r="2760" spans="24:28" x14ac:dyDescent="0.2">
      <c r="X2760" s="176" t="str">
        <f t="shared" si="76"/>
        <v>1w</v>
      </c>
      <c r="Y2760" s="164">
        <f>_xll.qlCalendarAdvance(Calendar,Y2759,X2760,"f",FALSE)</f>
        <v>58446</v>
      </c>
      <c r="Z2760" s="188">
        <f>_xll.qlCalendarAdvance(Calendar,Y2760,NDays&amp;"D")</f>
        <v>58448</v>
      </c>
      <c r="AA2760" s="163">
        <v>6.6000893544150519E-3</v>
      </c>
      <c r="AB2760" s="172">
        <v>6.6410592611543251E-3</v>
      </c>
    </row>
    <row r="2761" spans="24:28" x14ac:dyDescent="0.2">
      <c r="X2761" s="176" t="str">
        <f t="shared" si="76"/>
        <v>1w</v>
      </c>
      <c r="Y2761" s="164">
        <f>_xll.qlCalendarAdvance(Calendar,Y2760,X2761,"f",FALSE)</f>
        <v>58453</v>
      </c>
      <c r="Z2761" s="188">
        <f>_xll.qlCalendarAdvance(Calendar,Y2761,NDays&amp;"D")</f>
        <v>58455</v>
      </c>
      <c r="AA2761" s="163">
        <v>6.5962102323058082E-3</v>
      </c>
      <c r="AB2761" s="172">
        <v>6.6368243867032106E-3</v>
      </c>
    </row>
    <row r="2762" spans="24:28" x14ac:dyDescent="0.2">
      <c r="X2762" s="176" t="str">
        <f t="shared" si="76"/>
        <v>1w</v>
      </c>
      <c r="Y2762" s="164">
        <f>_xll.qlCalendarAdvance(Calendar,Y2761,X2762,"f",FALSE)</f>
        <v>58460</v>
      </c>
      <c r="Z2762" s="188">
        <f>_xll.qlCalendarAdvance(Calendar,Y2762,NDays&amp;"D")</f>
        <v>58462</v>
      </c>
      <c r="AA2762" s="163">
        <v>6.592362096280154E-3</v>
      </c>
      <c r="AB2762" s="172">
        <v>6.6326147395123769E-3</v>
      </c>
    </row>
    <row r="2763" spans="24:28" x14ac:dyDescent="0.2">
      <c r="X2763" s="176" t="str">
        <f t="shared" si="76"/>
        <v>1w</v>
      </c>
      <c r="Y2763" s="164">
        <f>_xll.qlCalendarAdvance(Calendar,Y2762,X2763,"f",FALSE)</f>
        <v>58467</v>
      </c>
      <c r="Z2763" s="188">
        <f>_xll.qlCalendarAdvance(Calendar,Y2763,NDays&amp;"D")</f>
        <v>58469</v>
      </c>
      <c r="AA2763" s="163">
        <v>6.5885453003880646E-3</v>
      </c>
      <c r="AB2763" s="172">
        <v>6.6284303195018879E-3</v>
      </c>
    </row>
    <row r="2764" spans="24:28" x14ac:dyDescent="0.2">
      <c r="X2764" s="176" t="str">
        <f t="shared" si="76"/>
        <v>1w</v>
      </c>
      <c r="Y2764" s="164">
        <f>_xll.qlCalendarAdvance(Calendar,Y2763,X2764,"f",FALSE)</f>
        <v>58474</v>
      </c>
      <c r="Z2764" s="188">
        <f>_xll.qlCalendarAdvance(Calendar,Y2764,NDays&amp;"D")</f>
        <v>58476</v>
      </c>
      <c r="AA2764" s="163">
        <v>6.5847601986790769E-3</v>
      </c>
      <c r="AB2764" s="172">
        <v>6.6242711269115517E-3</v>
      </c>
    </row>
    <row r="2765" spans="24:28" x14ac:dyDescent="0.2">
      <c r="X2765" s="176" t="str">
        <f t="shared" si="76"/>
        <v>1w</v>
      </c>
      <c r="Y2765" s="164">
        <f>_xll.qlCalendarAdvance(Calendar,Y2764,X2765,"f",FALSE)</f>
        <v>58481</v>
      </c>
      <c r="Z2765" s="188">
        <f>_xll.qlCalendarAdvance(Calendar,Y2765,NDays&amp;"D")</f>
        <v>58483</v>
      </c>
      <c r="AA2765" s="163">
        <v>6.5810071452009726E-3</v>
      </c>
      <c r="AB2765" s="172">
        <v>6.6201371614216242E-3</v>
      </c>
    </row>
    <row r="2766" spans="24:28" x14ac:dyDescent="0.2">
      <c r="X2766" s="176" t="str">
        <f t="shared" si="76"/>
        <v>1w</v>
      </c>
      <c r="Y2766" s="164">
        <f>_xll.qlCalendarAdvance(Calendar,Y2765,X2766,"f",FALSE)</f>
        <v>58488</v>
      </c>
      <c r="Z2766" s="188">
        <f>_xll.qlCalendarAdvance(Calendar,Y2766,NDays&amp;"D")</f>
        <v>58490</v>
      </c>
      <c r="AA2766" s="163">
        <v>6.5772864940010908E-3</v>
      </c>
      <c r="AB2766" s="172">
        <v>6.6160284231120414E-3</v>
      </c>
    </row>
    <row r="2767" spans="24:28" x14ac:dyDescent="0.2">
      <c r="X2767" s="176" t="str">
        <f t="shared" si="76"/>
        <v>1w</v>
      </c>
      <c r="Y2767" s="164">
        <f>_xll.qlCalendarAdvance(Calendar,Y2766,X2767,"f",FALSE)</f>
        <v>58495</v>
      </c>
      <c r="Z2767" s="188">
        <f>_xll.qlCalendarAdvance(Calendar,Y2767,NDays&amp;"D")</f>
        <v>58497</v>
      </c>
      <c r="AA2767" s="163">
        <v>6.5735985991245771E-3</v>
      </c>
      <c r="AB2767" s="172">
        <v>6.6119449120627394E-3</v>
      </c>
    </row>
    <row r="2768" spans="24:28" x14ac:dyDescent="0.2">
      <c r="X2768" s="176" t="str">
        <f t="shared" si="76"/>
        <v>1w</v>
      </c>
      <c r="Y2768" s="164">
        <f>_xll.qlCalendarAdvance(Calendar,Y2767,X2768,"f",FALSE)</f>
        <v>58502</v>
      </c>
      <c r="Z2768" s="188">
        <f>_xll.qlCalendarAdvance(Calendar,Y2768,NDays&amp;"D")</f>
        <v>58504</v>
      </c>
      <c r="AA2768" s="163">
        <v>6.5691880207049518E-3</v>
      </c>
      <c r="AB2768" s="172">
        <v>6.6078866283536541E-3</v>
      </c>
    </row>
    <row r="2769" spans="24:28" x14ac:dyDescent="0.2">
      <c r="X2769" s="176" t="str">
        <f t="shared" si="76"/>
        <v>1w</v>
      </c>
      <c r="Y2769" s="164">
        <f>_xll.qlCalendarAdvance(Calendar,Y2768,X2769,"f",FALSE)</f>
        <v>58509</v>
      </c>
      <c r="Z2769" s="188">
        <f>_xll.qlCalendarAdvance(Calendar,Y2769,NDays&amp;"D")</f>
        <v>58511</v>
      </c>
      <c r="AA2769" s="163">
        <v>6.5655762781624905E-3</v>
      </c>
      <c r="AB2769" s="172">
        <v>6.6038535718249136E-3</v>
      </c>
    </row>
    <row r="2770" spans="24:28" x14ac:dyDescent="0.2">
      <c r="X2770" s="176" t="str">
        <f t="shared" si="76"/>
        <v>1w</v>
      </c>
      <c r="Y2770" s="164">
        <f>_xll.qlCalendarAdvance(Calendar,Y2769,X2770,"f",FALSE)</f>
        <v>58516</v>
      </c>
      <c r="Z2770" s="188">
        <f>_xll.qlCalendarAdvance(Calendar,Y2770,NDays&amp;"D")</f>
        <v>58518</v>
      </c>
      <c r="AA2770" s="163">
        <v>6.5619983718643729E-3</v>
      </c>
      <c r="AB2770" s="172">
        <v>6.5998457425564538E-3</v>
      </c>
    </row>
    <row r="2771" spans="24:28" x14ac:dyDescent="0.2">
      <c r="X2771" s="176" t="str">
        <f t="shared" si="76"/>
        <v>1w</v>
      </c>
      <c r="Y2771" s="164">
        <f>_xll.qlCalendarAdvance(Calendar,Y2770,X2771,"f",FALSE)</f>
        <v>58523</v>
      </c>
      <c r="Z2771" s="188">
        <f>_xll.qlCalendarAdvance(Calendar,Y2771,NDays&amp;"D")</f>
        <v>58525</v>
      </c>
      <c r="AA2771" s="163">
        <v>6.5584546482586308E-3</v>
      </c>
      <c r="AB2771" s="172">
        <v>6.5958631717233374E-3</v>
      </c>
    </row>
    <row r="2772" spans="24:28" x14ac:dyDescent="0.2">
      <c r="X2772" s="176" t="str">
        <f t="shared" si="76"/>
        <v>1w</v>
      </c>
      <c r="Y2772" s="164">
        <f>_xll.qlCalendarAdvance(Calendar,Y2771,X2772,"f",FALSE)</f>
        <v>58530</v>
      </c>
      <c r="Z2772" s="188">
        <f>_xll.qlCalendarAdvance(Calendar,Y2772,NDays&amp;"D")</f>
        <v>58532</v>
      </c>
      <c r="AA2772" s="163">
        <v>6.5554831102281443E-3</v>
      </c>
      <c r="AB2772" s="172">
        <v>6.5919110422996141E-3</v>
      </c>
    </row>
    <row r="2773" spans="24:28" x14ac:dyDescent="0.2">
      <c r="X2773" s="176" t="str">
        <f t="shared" ref="X2773:X2836" si="77">X2772</f>
        <v>1w</v>
      </c>
      <c r="Y2773" s="164">
        <f>_xll.qlCalendarAdvance(Calendar,Y2772,X2773,"f",FALSE)</f>
        <v>58537</v>
      </c>
      <c r="Z2773" s="188">
        <f>_xll.qlCalendarAdvance(Calendar,Y2773,NDays&amp;"D")</f>
        <v>58539</v>
      </c>
      <c r="AA2773" s="163">
        <v>6.5520011778022608E-3</v>
      </c>
      <c r="AB2773" s="172">
        <v>6.5879933198331742E-3</v>
      </c>
    </row>
    <row r="2774" spans="24:28" x14ac:dyDescent="0.2">
      <c r="X2774" s="176" t="str">
        <f t="shared" si="77"/>
        <v>1w</v>
      </c>
      <c r="Y2774" s="164">
        <f>_xll.qlCalendarAdvance(Calendar,Y2773,X2774,"f",FALSE)</f>
        <v>58544</v>
      </c>
      <c r="Z2774" s="188">
        <f>_xll.qlCalendarAdvance(Calendar,Y2774,NDays&amp;"D")</f>
        <v>58546</v>
      </c>
      <c r="AA2774" s="163">
        <v>6.5485537721971243E-3</v>
      </c>
      <c r="AB2774" s="172">
        <v>6.5832482669225811E-3</v>
      </c>
    </row>
    <row r="2775" spans="24:28" x14ac:dyDescent="0.2">
      <c r="X2775" s="176" t="str">
        <f t="shared" si="77"/>
        <v>1w</v>
      </c>
      <c r="Y2775" s="164">
        <f>_xll.qlCalendarAdvance(Calendar,Y2774,X2775,"f",FALSE)</f>
        <v>58551</v>
      </c>
      <c r="Z2775" s="188">
        <f>_xll.qlCalendarAdvance(Calendar,Y2775,NDays&amp;"D")</f>
        <v>58553</v>
      </c>
      <c r="AA2775" s="163">
        <v>6.5451408932327686E-3</v>
      </c>
      <c r="AB2775" s="172">
        <v>6.5802610951326557E-3</v>
      </c>
    </row>
    <row r="2776" spans="24:28" x14ac:dyDescent="0.2">
      <c r="X2776" s="176" t="str">
        <f t="shared" si="77"/>
        <v>1w</v>
      </c>
      <c r="Y2776" s="164">
        <f>_xll.qlCalendarAdvance(Calendar,Y2775,X2776,"f",FALSE)</f>
        <v>58558</v>
      </c>
      <c r="Z2776" s="188">
        <f>_xll.qlCalendarAdvance(Calendar,Y2776,NDays&amp;"D")</f>
        <v>58560</v>
      </c>
      <c r="AA2776" s="163">
        <v>6.5417625407296663E-3</v>
      </c>
      <c r="AB2776" s="172">
        <v>6.5764465929785132E-3</v>
      </c>
    </row>
    <row r="2777" spans="24:28" x14ac:dyDescent="0.2">
      <c r="X2777" s="176" t="str">
        <f t="shared" si="77"/>
        <v>1w</v>
      </c>
      <c r="Y2777" s="164">
        <f>_xll.qlCalendarAdvance(Calendar,Y2776,X2777,"f",FALSE)</f>
        <v>58565</v>
      </c>
      <c r="Z2777" s="188">
        <f>_xll.qlCalendarAdvance(Calendar,Y2777,NDays&amp;"D")</f>
        <v>58567</v>
      </c>
      <c r="AA2777" s="163">
        <v>6.537917065369242E-3</v>
      </c>
      <c r="AB2777" s="172">
        <v>6.572666497701718E-3</v>
      </c>
    </row>
    <row r="2778" spans="24:28" x14ac:dyDescent="0.2">
      <c r="X2778" s="176" t="str">
        <f t="shared" si="77"/>
        <v>1w</v>
      </c>
      <c r="Y2778" s="164">
        <f>_xll.qlCalendarAdvance(Calendar,Y2777,X2778,"f",FALSE)</f>
        <v>58572</v>
      </c>
      <c r="Z2778" s="188">
        <f>_xll.qlCalendarAdvance(Calendar,Y2778,NDays&amp;"D")</f>
        <v>58574</v>
      </c>
      <c r="AA2778" s="163">
        <v>6.5346149840804094E-3</v>
      </c>
      <c r="AB2778" s="172">
        <v>6.56892080930227E-3</v>
      </c>
    </row>
    <row r="2779" spans="24:28" x14ac:dyDescent="0.2">
      <c r="X2779" s="176" t="str">
        <f t="shared" si="77"/>
        <v>1w</v>
      </c>
      <c r="Y2779" s="164">
        <f>_xll.qlCalendarAdvance(Calendar,Y2778,X2779,"f",FALSE)</f>
        <v>58579</v>
      </c>
      <c r="Z2779" s="188">
        <f>_xll.qlCalendarAdvance(Calendar,Y2779,NDays&amp;"D")</f>
        <v>58581</v>
      </c>
      <c r="AA2779" s="163">
        <v>6.5313474306577341E-3</v>
      </c>
      <c r="AB2779" s="172">
        <v>6.5652095276202971E-3</v>
      </c>
    </row>
    <row r="2780" spans="24:28" x14ac:dyDescent="0.2">
      <c r="X2780" s="176" t="str">
        <f t="shared" si="77"/>
        <v>1w</v>
      </c>
      <c r="Y2780" s="164">
        <f>_xll.qlCalendarAdvance(Calendar,Y2779,X2780,"f",FALSE)</f>
        <v>58586</v>
      </c>
      <c r="Z2780" s="188">
        <f>_xll.qlCalendarAdvance(Calendar,Y2780,NDays&amp;"D")</f>
        <v>58588</v>
      </c>
      <c r="AA2780" s="163">
        <v>6.5281144049245832E-3</v>
      </c>
      <c r="AB2780" s="172">
        <v>6.5615326527357354E-3</v>
      </c>
    </row>
    <row r="2781" spans="24:28" x14ac:dyDescent="0.2">
      <c r="X2781" s="176" t="str">
        <f t="shared" si="77"/>
        <v>1w</v>
      </c>
      <c r="Y2781" s="164">
        <f>_xll.qlCalendarAdvance(Calendar,Y2780,X2781,"f",FALSE)</f>
        <v>58593</v>
      </c>
      <c r="Z2781" s="188">
        <f>_xll.qlCalendarAdvance(Calendar,Y2781,NDays&amp;"D")</f>
        <v>58595</v>
      </c>
      <c r="AA2781" s="163">
        <v>6.5253886689927224E-3</v>
      </c>
      <c r="AB2781" s="172">
        <v>6.5578901847285209E-3</v>
      </c>
    </row>
    <row r="2782" spans="24:28" x14ac:dyDescent="0.2">
      <c r="X2782" s="176" t="str">
        <f t="shared" si="77"/>
        <v>1w</v>
      </c>
      <c r="Y2782" s="164">
        <f>_xll.qlCalendarAdvance(Calendar,Y2781,X2782,"f",FALSE)</f>
        <v>58600</v>
      </c>
      <c r="Z2782" s="188">
        <f>_xll.qlCalendarAdvance(Calendar,Y2782,NDays&amp;"D")</f>
        <v>58602</v>
      </c>
      <c r="AA2782" s="163">
        <v>6.5222174715984238E-3</v>
      </c>
      <c r="AB2782" s="172">
        <v>6.5542821235187176E-3</v>
      </c>
    </row>
    <row r="2783" spans="24:28" x14ac:dyDescent="0.2">
      <c r="X2783" s="176" t="str">
        <f t="shared" si="77"/>
        <v>1w</v>
      </c>
      <c r="Y2783" s="164">
        <f>_xll.qlCalendarAdvance(Calendar,Y2782,X2783,"f",FALSE)</f>
        <v>58607</v>
      </c>
      <c r="Z2783" s="188">
        <f>_xll.qlCalendarAdvance(Calendar,Y2783,NDays&amp;"D")</f>
        <v>58609</v>
      </c>
      <c r="AA2783" s="163">
        <v>6.5190807994619697E-3</v>
      </c>
      <c r="AB2783" s="172">
        <v>6.5507084690263895E-3</v>
      </c>
    </row>
    <row r="2784" spans="24:28" x14ac:dyDescent="0.2">
      <c r="X2784" s="176" t="str">
        <f t="shared" si="77"/>
        <v>1w</v>
      </c>
      <c r="Y2784" s="164">
        <f>_xll.qlCalendarAdvance(Calendar,Y2783,X2784,"f",FALSE)</f>
        <v>58614</v>
      </c>
      <c r="Z2784" s="188">
        <f>_xll.qlCalendarAdvance(Calendar,Y2784,NDays&amp;"D")</f>
        <v>58616</v>
      </c>
      <c r="AA2784" s="163">
        <v>6.5159786524199934E-3</v>
      </c>
      <c r="AB2784" s="172">
        <v>6.5471692214114086E-3</v>
      </c>
    </row>
    <row r="2785" spans="24:28" x14ac:dyDescent="0.2">
      <c r="X2785" s="176" t="str">
        <f t="shared" si="77"/>
        <v>1w</v>
      </c>
      <c r="Y2785" s="164">
        <f>_xll.qlCalendarAdvance(Calendar,Y2784,X2785,"f",FALSE)</f>
        <v>58621</v>
      </c>
      <c r="Z2785" s="188">
        <f>_xll.qlCalendarAdvance(Calendar,Y2785,NDays&amp;"D")</f>
        <v>58623</v>
      </c>
      <c r="AA2785" s="163">
        <v>6.5124671856554885E-3</v>
      </c>
      <c r="AB2785" s="172">
        <v>6.5436643806737749E-3</v>
      </c>
    </row>
    <row r="2786" spans="24:28" x14ac:dyDescent="0.2">
      <c r="X2786" s="176" t="str">
        <f t="shared" si="77"/>
        <v>1w</v>
      </c>
      <c r="Y2786" s="164">
        <f>_xll.qlCalendarAdvance(Calendar,Y2785,X2786,"f",FALSE)</f>
        <v>58628</v>
      </c>
      <c r="Z2786" s="188">
        <f>_xll.qlCalendarAdvance(Calendar,Y2786,NDays&amp;"D")</f>
        <v>58630</v>
      </c>
      <c r="AA2786" s="163">
        <v>6.5094413225113565E-3</v>
      </c>
      <c r="AB2786" s="172">
        <v>6.5401939466536163E-3</v>
      </c>
    </row>
    <row r="2787" spans="24:28" x14ac:dyDescent="0.2">
      <c r="X2787" s="176" t="str">
        <f t="shared" si="77"/>
        <v>1w</v>
      </c>
      <c r="Y2787" s="164">
        <f>_xll.qlCalendarAdvance(Calendar,Y2786,X2787,"f",FALSE)</f>
        <v>58635</v>
      </c>
      <c r="Z2787" s="188">
        <f>_xll.qlCalendarAdvance(Calendar,Y2787,NDays&amp;"D")</f>
        <v>58637</v>
      </c>
      <c r="AA2787" s="163">
        <v>6.5064499858903703E-3</v>
      </c>
      <c r="AB2787" s="172">
        <v>6.536757919510805E-3</v>
      </c>
    </row>
    <row r="2788" spans="24:28" x14ac:dyDescent="0.2">
      <c r="X2788" s="176" t="str">
        <f t="shared" si="77"/>
        <v>1w</v>
      </c>
      <c r="Y2788" s="164">
        <f>_xll.qlCalendarAdvance(Calendar,Y2787,X2788,"f",FALSE)</f>
        <v>58642</v>
      </c>
      <c r="Z2788" s="188">
        <f>_xll.qlCalendarAdvance(Calendar,Y2788,NDays&amp;"D")</f>
        <v>58644</v>
      </c>
      <c r="AA2788" s="163">
        <v>6.503493175631799E-3</v>
      </c>
      <c r="AB2788" s="172">
        <v>6.5333562990854688E-3</v>
      </c>
    </row>
    <row r="2789" spans="24:28" x14ac:dyDescent="0.2">
      <c r="X2789" s="176" t="str">
        <f t="shared" si="77"/>
        <v>1w</v>
      </c>
      <c r="Y2789" s="164">
        <f>_xll.qlCalendarAdvance(Calendar,Y2788,X2789,"f",FALSE)</f>
        <v>58649</v>
      </c>
      <c r="Z2789" s="188">
        <f>_xll.qlCalendarAdvance(Calendar,Y2789,NDays&amp;"D")</f>
        <v>58651</v>
      </c>
      <c r="AA2789" s="163">
        <v>6.500570891579207E-3</v>
      </c>
      <c r="AB2789" s="172">
        <v>6.5299890854575438E-3</v>
      </c>
    </row>
    <row r="2790" spans="24:28" x14ac:dyDescent="0.2">
      <c r="X2790" s="176" t="str">
        <f t="shared" si="77"/>
        <v>1w</v>
      </c>
      <c r="Y2790" s="164">
        <f>_xll.qlCalendarAdvance(Calendar,Y2789,X2790,"f",FALSE)</f>
        <v>58656</v>
      </c>
      <c r="Z2790" s="188">
        <f>_xll.qlCalendarAdvance(Calendar,Y2790,NDays&amp;"D")</f>
        <v>58658</v>
      </c>
      <c r="AA2790" s="163">
        <v>6.497683133576162E-3</v>
      </c>
      <c r="AB2790" s="172">
        <v>6.5266562786270299E-3</v>
      </c>
    </row>
    <row r="2791" spans="24:28" x14ac:dyDescent="0.2">
      <c r="X2791" s="176" t="str">
        <f t="shared" si="77"/>
        <v>1w</v>
      </c>
      <c r="Y2791" s="164">
        <f>_xll.qlCalendarAdvance(Calendar,Y2790,X2791,"f",FALSE)</f>
        <v>58663</v>
      </c>
      <c r="Z2791" s="188">
        <f>_xll.qlCalendarAdvance(Calendar,Y2791,NDays&amp;"D")</f>
        <v>58665</v>
      </c>
      <c r="AA2791" s="163">
        <v>6.4948299014683771E-3</v>
      </c>
      <c r="AB2791" s="172">
        <v>6.5233578786738633E-3</v>
      </c>
    </row>
    <row r="2792" spans="24:28" x14ac:dyDescent="0.2">
      <c r="X2792" s="176" t="str">
        <f t="shared" si="77"/>
        <v>1w</v>
      </c>
      <c r="Y2792" s="164">
        <f>_xll.qlCalendarAdvance(Calendar,Y2791,X2792,"f",FALSE)</f>
        <v>58670</v>
      </c>
      <c r="Z2792" s="188">
        <f>_xll.qlCalendarAdvance(Calendar,Y2792,NDays&amp;"D")</f>
        <v>58672</v>
      </c>
      <c r="AA2792" s="163">
        <v>6.4920111951037177E-3</v>
      </c>
      <c r="AB2792" s="172">
        <v>6.5200938855181079E-3</v>
      </c>
    </row>
    <row r="2793" spans="24:28" x14ac:dyDescent="0.2">
      <c r="X2793" s="176" t="str">
        <f t="shared" si="77"/>
        <v>1w</v>
      </c>
      <c r="Y2793" s="164">
        <f>_xll.qlCalendarAdvance(Calendar,Y2792,X2793,"f",FALSE)</f>
        <v>58677</v>
      </c>
      <c r="Z2793" s="188">
        <f>_xll.qlCalendarAdvance(Calendar,Y2793,NDays&amp;"D")</f>
        <v>58679</v>
      </c>
      <c r="AA2793" s="163">
        <v>6.4892270143321953E-3</v>
      </c>
      <c r="AB2793" s="172">
        <v>6.5168642990798276E-3</v>
      </c>
    </row>
    <row r="2794" spans="24:28" x14ac:dyDescent="0.2">
      <c r="X2794" s="176" t="str">
        <f t="shared" si="77"/>
        <v>1w</v>
      </c>
      <c r="Y2794" s="164">
        <f>_xll.qlCalendarAdvance(Calendar,Y2793,X2794,"f",FALSE)</f>
        <v>58684</v>
      </c>
      <c r="Z2794" s="188">
        <f>_xll.qlCalendarAdvance(Calendar,Y2794,NDays&amp;"D")</f>
        <v>58686</v>
      </c>
      <c r="AA2794" s="163">
        <v>6.4871096172166845E-3</v>
      </c>
      <c r="AB2794" s="172">
        <v>6.5136691195188945E-3</v>
      </c>
    </row>
    <row r="2795" spans="24:28" x14ac:dyDescent="0.2">
      <c r="X2795" s="176" t="str">
        <f t="shared" si="77"/>
        <v>1w</v>
      </c>
      <c r="Y2795" s="164">
        <f>_xll.qlCalendarAdvance(Calendar,Y2794,X2795,"f",FALSE)</f>
        <v>58691</v>
      </c>
      <c r="Z2795" s="188">
        <f>_xll.qlCalendarAdvance(Calendar,Y2795,NDays&amp;"D")</f>
        <v>58693</v>
      </c>
      <c r="AA2795" s="163">
        <v>6.4843824020946635E-3</v>
      </c>
      <c r="AB2795" s="172">
        <v>6.5105083467553726E-3</v>
      </c>
    </row>
    <row r="2796" spans="24:28" x14ac:dyDescent="0.2">
      <c r="X2796" s="176" t="str">
        <f t="shared" si="77"/>
        <v>1w</v>
      </c>
      <c r="Y2796" s="164">
        <f>_xll.qlCalendarAdvance(Calendar,Y2795,X2796,"f",FALSE)</f>
        <v>58698</v>
      </c>
      <c r="Z2796" s="188">
        <f>_xll.qlCalendarAdvance(Calendar,Y2796,NDays&amp;"D")</f>
        <v>58700</v>
      </c>
      <c r="AA2796" s="163">
        <v>6.481689708970278E-3</v>
      </c>
      <c r="AB2796" s="172">
        <v>6.5073819807892619E-3</v>
      </c>
    </row>
    <row r="2797" spans="24:28" x14ac:dyDescent="0.2">
      <c r="X2797" s="176" t="str">
        <f t="shared" si="77"/>
        <v>1w</v>
      </c>
      <c r="Y2797" s="164">
        <f>_xll.qlCalendarAdvance(Calendar,Y2796,X2797,"f",FALSE)</f>
        <v>58705</v>
      </c>
      <c r="Z2797" s="188">
        <f>_xll.qlCalendarAdvance(Calendar,Y2797,NDays&amp;"D")</f>
        <v>58707</v>
      </c>
      <c r="AA2797" s="163">
        <v>6.4790315377044145E-3</v>
      </c>
      <c r="AB2797" s="172">
        <v>6.5042900215406263E-3</v>
      </c>
    </row>
    <row r="2798" spans="24:28" x14ac:dyDescent="0.2">
      <c r="X2798" s="176" t="str">
        <f t="shared" si="77"/>
        <v>1w</v>
      </c>
      <c r="Y2798" s="164">
        <f>_xll.qlCalendarAdvance(Calendar,Y2797,X2798,"f",FALSE)</f>
        <v>58712</v>
      </c>
      <c r="Z2798" s="188">
        <f>_xll.qlCalendarAdvance(Calendar,Y2798,NDays&amp;"D")</f>
        <v>58714</v>
      </c>
      <c r="AA2798" s="163">
        <v>6.4762906498750323E-3</v>
      </c>
      <c r="AB2798" s="172">
        <v>6.5012324691693379E-3</v>
      </c>
    </row>
    <row r="2799" spans="24:28" x14ac:dyDescent="0.2">
      <c r="X2799" s="176" t="str">
        <f t="shared" si="77"/>
        <v>1w</v>
      </c>
      <c r="Y2799" s="164">
        <f>_xll.qlCalendarAdvance(Calendar,Y2798,X2799,"f",FALSE)</f>
        <v>58719</v>
      </c>
      <c r="Z2799" s="188">
        <f>_xll.qlCalendarAdvance(Calendar,Y2799,NDays&amp;"D")</f>
        <v>58721</v>
      </c>
      <c r="AA2799" s="163">
        <v>6.4737039412725529E-3</v>
      </c>
      <c r="AB2799" s="172">
        <v>6.4982093235155247E-3</v>
      </c>
    </row>
    <row r="2800" spans="24:28" x14ac:dyDescent="0.2">
      <c r="X2800" s="176" t="str">
        <f t="shared" si="77"/>
        <v>1w</v>
      </c>
      <c r="Y2800" s="164">
        <f>_xll.qlCalendarAdvance(Calendar,Y2799,X2800,"f",FALSE)</f>
        <v>58726</v>
      </c>
      <c r="Z2800" s="188">
        <f>_xll.qlCalendarAdvance(Calendar,Y2800,NDays&amp;"D")</f>
        <v>58728</v>
      </c>
      <c r="AA2800" s="163">
        <v>6.4711517547484561E-3</v>
      </c>
      <c r="AB2800" s="172">
        <v>6.4952205846591227E-3</v>
      </c>
    </row>
    <row r="2801" spans="24:28" x14ac:dyDescent="0.2">
      <c r="X2801" s="176" t="str">
        <f t="shared" si="77"/>
        <v>1w</v>
      </c>
      <c r="Y2801" s="164">
        <f>_xll.qlCalendarAdvance(Calendar,Y2800,X2801,"f",FALSE)</f>
        <v>58733</v>
      </c>
      <c r="Z2801" s="188">
        <f>_xll.qlCalendarAdvance(Calendar,Y2801,NDays&amp;"D")</f>
        <v>58735</v>
      </c>
      <c r="AA2801" s="163">
        <v>6.4686340901696617E-3</v>
      </c>
      <c r="AB2801" s="172">
        <v>6.4922662526800679E-3</v>
      </c>
    </row>
    <row r="2802" spans="24:28" x14ac:dyDescent="0.2">
      <c r="X2802" s="176" t="str">
        <f t="shared" si="77"/>
        <v>1w</v>
      </c>
      <c r="Y2802" s="164">
        <f>_xll.qlCalendarAdvance(Calendar,Y2801,X2802,"f",FALSE)</f>
        <v>58740</v>
      </c>
      <c r="Z2802" s="188">
        <f>_xll.qlCalendarAdvance(Calendar,Y2802,NDays&amp;"D")</f>
        <v>58742</v>
      </c>
      <c r="AA2802" s="163">
        <v>6.4661509474048468E-3</v>
      </c>
      <c r="AB2802" s="172">
        <v>6.4893463274184882E-3</v>
      </c>
    </row>
    <row r="2803" spans="24:28" x14ac:dyDescent="0.2">
      <c r="X2803" s="176" t="str">
        <f t="shared" si="77"/>
        <v>1w</v>
      </c>
      <c r="Y2803" s="164">
        <f>_xll.qlCalendarAdvance(Calendar,Y2802,X2803,"f",FALSE)</f>
        <v>58747</v>
      </c>
      <c r="Z2803" s="188">
        <f>_xll.qlCalendarAdvance(Calendar,Y2803,NDays&amp;"D")</f>
        <v>58749</v>
      </c>
      <c r="AA2803" s="163">
        <v>6.463807461525699E-3</v>
      </c>
      <c r="AB2803" s="172">
        <v>6.4864608089543196E-3</v>
      </c>
    </row>
    <row r="2804" spans="24:28" x14ac:dyDescent="0.2">
      <c r="X2804" s="176" t="str">
        <f t="shared" si="77"/>
        <v>1w</v>
      </c>
      <c r="Y2804" s="164">
        <f>_xll.qlCalendarAdvance(Calendar,Y2803,X2804,"f",FALSE)</f>
        <v>58754</v>
      </c>
      <c r="Z2804" s="188">
        <f>_xll.qlCalendarAdvance(Calendar,Y2804,NDays&amp;"D")</f>
        <v>58756</v>
      </c>
      <c r="AA2804" s="163">
        <v>6.4613909395032131E-3</v>
      </c>
      <c r="AB2804" s="172">
        <v>6.4836096972875623E-3</v>
      </c>
    </row>
    <row r="2805" spans="24:28" x14ac:dyDescent="0.2">
      <c r="X2805" s="176" t="str">
        <f t="shared" si="77"/>
        <v>1w</v>
      </c>
      <c r="Y2805" s="164">
        <f>_xll.qlCalendarAdvance(Calendar,Y2804,X2805,"f",FALSE)</f>
        <v>58761</v>
      </c>
      <c r="Z2805" s="188">
        <f>_xll.qlCalendarAdvance(Calendar,Y2805,NDays&amp;"D")</f>
        <v>58763</v>
      </c>
      <c r="AA2805" s="163">
        <v>6.4590089382855053E-3</v>
      </c>
      <c r="AB2805" s="172">
        <v>6.4807929924182162E-3</v>
      </c>
    </row>
    <row r="2806" spans="24:28" x14ac:dyDescent="0.2">
      <c r="X2806" s="176" t="str">
        <f t="shared" si="77"/>
        <v>1w</v>
      </c>
      <c r="Y2806" s="164">
        <f>_xll.qlCalendarAdvance(Calendar,Y2805,X2806,"f",FALSE)</f>
        <v>58768</v>
      </c>
      <c r="Z2806" s="188">
        <f>_xll.qlCalendarAdvance(Calendar,Y2806,NDays&amp;"D")</f>
        <v>58770</v>
      </c>
      <c r="AA2806" s="163">
        <v>6.4566614577480346E-3</v>
      </c>
      <c r="AB2806" s="172">
        <v>6.4780106943462812E-3</v>
      </c>
    </row>
    <row r="2807" spans="24:28" x14ac:dyDescent="0.2">
      <c r="X2807" s="176" t="str">
        <f t="shared" si="77"/>
        <v>1w</v>
      </c>
      <c r="Y2807" s="164">
        <f>_xll.qlCalendarAdvance(Calendar,Y2806,X2807,"f",FALSE)</f>
        <v>58775</v>
      </c>
      <c r="Z2807" s="188">
        <f>_xll.qlCalendarAdvance(Calendar,Y2807,NDays&amp;"D")</f>
        <v>58777</v>
      </c>
      <c r="AA2807" s="163">
        <v>6.4542530563113992E-3</v>
      </c>
      <c r="AB2807" s="172">
        <v>6.4752628029918213E-3</v>
      </c>
    </row>
    <row r="2808" spans="24:28" x14ac:dyDescent="0.2">
      <c r="X2808" s="176" t="str">
        <f t="shared" si="77"/>
        <v>1w</v>
      </c>
      <c r="Y2808" s="164">
        <f>_xll.qlCalendarAdvance(Calendar,Y2807,X2808,"f",FALSE)</f>
        <v>58782</v>
      </c>
      <c r="Z2808" s="188">
        <f>_xll.qlCalendarAdvance(Calendar,Y2808,NDays&amp;"D")</f>
        <v>58784</v>
      </c>
      <c r="AA2808" s="163">
        <v>6.4519770417701674E-3</v>
      </c>
      <c r="AB2808" s="172">
        <v>6.4725493185147087E-3</v>
      </c>
    </row>
    <row r="2809" spans="24:28" x14ac:dyDescent="0.2">
      <c r="X2809" s="176" t="str">
        <f t="shared" si="77"/>
        <v>1w</v>
      </c>
      <c r="Y2809" s="164">
        <f>_xll.qlCalendarAdvance(Calendar,Y2808,X2809,"f",FALSE)</f>
        <v>58789</v>
      </c>
      <c r="Z2809" s="188">
        <f>_xll.qlCalendarAdvance(Calendar,Y2809,NDays&amp;"D")</f>
        <v>58791</v>
      </c>
      <c r="AA2809" s="163">
        <v>6.4497355481732809E-3</v>
      </c>
      <c r="AB2809" s="172">
        <v>6.4698702407550712E-3</v>
      </c>
    </row>
    <row r="2810" spans="24:28" x14ac:dyDescent="0.2">
      <c r="X2810" s="176" t="str">
        <f t="shared" si="77"/>
        <v>1w</v>
      </c>
      <c r="Y2810" s="164">
        <f>_xll.qlCalendarAdvance(Calendar,Y2809,X2810,"f",FALSE)</f>
        <v>58796</v>
      </c>
      <c r="Z2810" s="188">
        <f>_xll.qlCalendarAdvance(Calendar,Y2810,NDays&amp;"D")</f>
        <v>58798</v>
      </c>
      <c r="AA2810" s="163">
        <v>6.4475285754039095E-3</v>
      </c>
      <c r="AB2810" s="172">
        <v>6.467225569872781E-3</v>
      </c>
    </row>
    <row r="2811" spans="24:28" x14ac:dyDescent="0.2">
      <c r="X2811" s="176" t="str">
        <f t="shared" si="77"/>
        <v>1w</v>
      </c>
      <c r="Y2811" s="164">
        <f>_xll.qlCalendarAdvance(Calendar,Y2810,X2811,"f",FALSE)</f>
        <v>58803</v>
      </c>
      <c r="Z2811" s="188">
        <f>_xll.qlCalendarAdvance(Calendar,Y2811,NDays&amp;"D")</f>
        <v>58805</v>
      </c>
      <c r="AA2811" s="163">
        <v>6.4453561233465415E-3</v>
      </c>
      <c r="AB2811" s="172">
        <v>6.4646153056280298E-3</v>
      </c>
    </row>
    <row r="2812" spans="24:28" x14ac:dyDescent="0.2">
      <c r="X2812" s="176" t="str">
        <f t="shared" si="77"/>
        <v>1w</v>
      </c>
      <c r="Y2812" s="164">
        <f>_xll.qlCalendarAdvance(Calendar,Y2811,X2812,"f",FALSE)</f>
        <v>58810</v>
      </c>
      <c r="Z2812" s="188">
        <f>_xll.qlCalendarAdvance(Calendar,Y2812,NDays&amp;"D")</f>
        <v>58812</v>
      </c>
      <c r="AA2812" s="163">
        <v>6.4433015021293314E-3</v>
      </c>
      <c r="AB2812" s="172">
        <v>6.4620394483405619E-3</v>
      </c>
    </row>
    <row r="2813" spans="24:28" x14ac:dyDescent="0.2">
      <c r="X2813" s="176" t="str">
        <f t="shared" si="77"/>
        <v>1w</v>
      </c>
      <c r="Y2813" s="164">
        <f>_xll.qlCalendarAdvance(Calendar,Y2812,X2813,"f",FALSE)</f>
        <v>58817</v>
      </c>
      <c r="Z2813" s="188">
        <f>_xll.qlCalendarAdvance(Calendar,Y2813,NDays&amp;"D")</f>
        <v>58819</v>
      </c>
      <c r="AA2813" s="163">
        <v>6.4411956630483188E-3</v>
      </c>
      <c r="AB2813" s="172">
        <v>6.459497997690633E-3</v>
      </c>
    </row>
    <row r="2814" spans="24:28" x14ac:dyDescent="0.2">
      <c r="X2814" s="176" t="str">
        <f t="shared" si="77"/>
        <v>1w</v>
      </c>
      <c r="Y2814" s="164">
        <f>_xll.qlCalendarAdvance(Calendar,Y2813,X2814,"f",FALSE)</f>
        <v>58824</v>
      </c>
      <c r="Z2814" s="188">
        <f>_xll.qlCalendarAdvance(Calendar,Y2814,NDays&amp;"D")</f>
        <v>58826</v>
      </c>
      <c r="AA2814" s="163">
        <v>6.4391243437240822E-3</v>
      </c>
      <c r="AB2814" s="172">
        <v>6.4569909539979875E-3</v>
      </c>
    </row>
    <row r="2815" spans="24:28" x14ac:dyDescent="0.2">
      <c r="X2815" s="176" t="str">
        <f t="shared" si="77"/>
        <v>1w</v>
      </c>
      <c r="Y2815" s="164">
        <f>_xll.qlCalendarAdvance(Calendar,Y2814,X2815,"f",FALSE)</f>
        <v>58831</v>
      </c>
      <c r="Z2815" s="188">
        <f>_xll.qlCalendarAdvance(Calendar,Y2815,NDays&amp;"D")</f>
        <v>58833</v>
      </c>
      <c r="AA2815" s="163">
        <v>6.4370875440479805E-3</v>
      </c>
      <c r="AB2815" s="172">
        <v>6.454518316942881E-3</v>
      </c>
    </row>
    <row r="2816" spans="24:28" x14ac:dyDescent="0.2">
      <c r="X2816" s="176" t="str">
        <f t="shared" si="77"/>
        <v>1w</v>
      </c>
      <c r="Y2816" s="164">
        <f>_xll.qlCalendarAdvance(Calendar,Y2815,X2816,"f",FALSE)</f>
        <v>58838</v>
      </c>
      <c r="Z2816" s="188">
        <f>_xll.qlCalendarAdvance(Calendar,Y2816,NDays&amp;"D")</f>
        <v>58840</v>
      </c>
      <c r="AA2816" s="163">
        <v>6.4350852639153454E-3</v>
      </c>
      <c r="AB2816" s="172">
        <v>6.4520800866052497E-3</v>
      </c>
    </row>
    <row r="2817" spans="24:28" x14ac:dyDescent="0.2">
      <c r="X2817" s="176" t="str">
        <f t="shared" si="77"/>
        <v>1w</v>
      </c>
      <c r="Y2817" s="164">
        <f>_xll.qlCalendarAdvance(Calendar,Y2816,X2817,"f",FALSE)</f>
        <v>58845</v>
      </c>
      <c r="Z2817" s="188">
        <f>_xll.qlCalendarAdvance(Calendar,Y2817,NDays&amp;"D")</f>
        <v>58847</v>
      </c>
      <c r="AA2817" s="163">
        <v>6.4331175032223929E-3</v>
      </c>
      <c r="AB2817" s="172">
        <v>6.4496762631449656E-3</v>
      </c>
    </row>
    <row r="2818" spans="24:28" x14ac:dyDescent="0.2">
      <c r="X2818" s="176" t="str">
        <f t="shared" si="77"/>
        <v>1w</v>
      </c>
      <c r="Y2818" s="164">
        <f>_xll.qlCalendarAdvance(Calendar,Y2817,X2818,"f",FALSE)</f>
        <v>58852</v>
      </c>
      <c r="Z2818" s="188">
        <f>_xll.qlCalendarAdvance(Calendar,Y2818,NDays&amp;"D")</f>
        <v>58854</v>
      </c>
      <c r="AA2818" s="163">
        <v>6.4311842618662218E-3</v>
      </c>
      <c r="AB2818" s="172">
        <v>6.4473068464021566E-3</v>
      </c>
    </row>
    <row r="2819" spans="24:28" x14ac:dyDescent="0.2">
      <c r="X2819" s="176" t="str">
        <f t="shared" si="77"/>
        <v>1w</v>
      </c>
      <c r="Y2819" s="164">
        <f>_xll.qlCalendarAdvance(Calendar,Y2818,X2819,"f",FALSE)</f>
        <v>58859</v>
      </c>
      <c r="Z2819" s="188">
        <f>_xll.qlCalendarAdvance(Calendar,Y2819,NDays&amp;"D")</f>
        <v>58861</v>
      </c>
      <c r="AA2819" s="163">
        <v>6.4292855397474636E-3</v>
      </c>
      <c r="AB2819" s="172">
        <v>6.4449718366166309E-3</v>
      </c>
    </row>
    <row r="2820" spans="24:28" x14ac:dyDescent="0.2">
      <c r="X2820" s="176" t="str">
        <f t="shared" si="77"/>
        <v>1w</v>
      </c>
      <c r="Y2820" s="164">
        <f>_xll.qlCalendarAdvance(Calendar,Y2819,X2820,"f",FALSE)</f>
        <v>58866</v>
      </c>
      <c r="Z2820" s="188">
        <f>_xll.qlCalendarAdvance(Calendar,Y2820,NDays&amp;"D")</f>
        <v>58868</v>
      </c>
      <c r="AA2820" s="163">
        <v>6.4271043088212536E-3</v>
      </c>
      <c r="AB2820" s="172">
        <v>6.4426712334686442E-3</v>
      </c>
    </row>
    <row r="2821" spans="24:28" x14ac:dyDescent="0.2">
      <c r="X2821" s="176" t="str">
        <f t="shared" si="77"/>
        <v>1w</v>
      </c>
      <c r="Y2821" s="164">
        <f>_xll.qlCalendarAdvance(Calendar,Y2820,X2821,"f",FALSE)</f>
        <v>58873</v>
      </c>
      <c r="Z2821" s="188">
        <f>_xll.qlCalendarAdvance(Calendar,Y2821,NDays&amp;"D")</f>
        <v>58875</v>
      </c>
      <c r="AA2821" s="163">
        <v>6.4252867910974034E-3</v>
      </c>
      <c r="AB2821" s="172">
        <v>6.4404050370381327E-3</v>
      </c>
    </row>
    <row r="2822" spans="24:28" x14ac:dyDescent="0.2">
      <c r="X2822" s="176" t="str">
        <f t="shared" si="77"/>
        <v>1w</v>
      </c>
      <c r="Y2822" s="164">
        <f>_xll.qlCalendarAdvance(Calendar,Y2821,X2822,"f",FALSE)</f>
        <v>58880</v>
      </c>
      <c r="Z2822" s="188">
        <f>_xll.qlCalendarAdvance(Calendar,Y2822,NDays&amp;"D")</f>
        <v>58882</v>
      </c>
      <c r="AA2822" s="163">
        <v>6.423503795406957E-3</v>
      </c>
      <c r="AB2822" s="172">
        <v>6.4381732474050324E-3</v>
      </c>
    </row>
    <row r="2823" spans="24:28" x14ac:dyDescent="0.2">
      <c r="X2823" s="176" t="str">
        <f t="shared" si="77"/>
        <v>1w</v>
      </c>
      <c r="Y2823" s="164">
        <f>_xll.qlCalendarAdvance(Calendar,Y2822,X2823,"f",FALSE)</f>
        <v>58887</v>
      </c>
      <c r="Z2823" s="188">
        <f>_xll.qlCalendarAdvance(Calendar,Y2823,NDays&amp;"D")</f>
        <v>58889</v>
      </c>
      <c r="AA2823" s="163">
        <v>6.4217553216566565E-3</v>
      </c>
      <c r="AB2823" s="172">
        <v>6.4359758646492793E-3</v>
      </c>
    </row>
    <row r="2824" spans="24:28" x14ac:dyDescent="0.2">
      <c r="X2824" s="176" t="str">
        <f t="shared" si="77"/>
        <v>1w</v>
      </c>
      <c r="Y2824" s="164">
        <f>_xll.qlCalendarAdvance(Calendar,Y2823,X2824,"f",FALSE)</f>
        <v>58894</v>
      </c>
      <c r="Z2824" s="188">
        <f>_xll.qlCalendarAdvance(Calendar,Y2824,NDays&amp;"D")</f>
        <v>58896</v>
      </c>
      <c r="AA2824" s="163">
        <v>6.4202016818220133E-3</v>
      </c>
      <c r="AB2824" s="172">
        <v>6.4338128885310653E-3</v>
      </c>
    </row>
    <row r="2825" spans="24:28" x14ac:dyDescent="0.2">
      <c r="X2825" s="176" t="str">
        <f t="shared" si="77"/>
        <v>1w</v>
      </c>
      <c r="Y2825" s="164">
        <f>_xll.qlCalendarAdvance(Calendar,Y2824,X2825,"f",FALSE)</f>
        <v>58901</v>
      </c>
      <c r="Z2825" s="188">
        <f>_xll.qlCalendarAdvance(Calendar,Y2825,NDays&amp;"D")</f>
        <v>58903</v>
      </c>
      <c r="AA2825" s="163">
        <v>6.4185149442767481E-3</v>
      </c>
      <c r="AB2825" s="172">
        <v>6.4313129538398073E-3</v>
      </c>
    </row>
    <row r="2826" spans="24:28" x14ac:dyDescent="0.2">
      <c r="X2826" s="176" t="str">
        <f t="shared" si="77"/>
        <v>1w</v>
      </c>
      <c r="Y2826" s="164">
        <f>_xll.qlCalendarAdvance(Calendar,Y2825,X2826,"f",FALSE)</f>
        <v>58908</v>
      </c>
      <c r="Z2826" s="188">
        <f>_xll.qlCalendarAdvance(Calendar,Y2826,NDays&amp;"D")</f>
        <v>58910</v>
      </c>
      <c r="AA2826" s="163">
        <v>6.4168627265479969E-3</v>
      </c>
      <c r="AB2826" s="172">
        <v>6.4295901568467428E-3</v>
      </c>
    </row>
    <row r="2827" spans="24:28" x14ac:dyDescent="0.2">
      <c r="X2827" s="176" t="str">
        <f t="shared" si="77"/>
        <v>1w</v>
      </c>
      <c r="Y2827" s="164">
        <f>_xll.qlCalendarAdvance(Calendar,Y2826,X2827,"f",FALSE)</f>
        <v>58915</v>
      </c>
      <c r="Z2827" s="188">
        <f>_xll.qlCalendarAdvance(Calendar,Y2827,NDays&amp;"D")</f>
        <v>58917</v>
      </c>
      <c r="AA2827" s="163">
        <v>6.4152450285497068E-3</v>
      </c>
      <c r="AB2827" s="172">
        <v>6.4275304011207623E-3</v>
      </c>
    </row>
    <row r="2828" spans="24:28" x14ac:dyDescent="0.2">
      <c r="X2828" s="176" t="str">
        <f t="shared" si="77"/>
        <v>1w</v>
      </c>
      <c r="Y2828" s="164">
        <f>_xll.qlCalendarAdvance(Calendar,Y2827,X2828,"f",FALSE)</f>
        <v>58922</v>
      </c>
      <c r="Z2828" s="188">
        <f>_xll.qlCalendarAdvance(Calendar,Y2828,NDays&amp;"D")</f>
        <v>58924</v>
      </c>
      <c r="AA2828" s="163">
        <v>6.4136618501971386E-3</v>
      </c>
      <c r="AB2828" s="172">
        <v>6.425505052112257E-3</v>
      </c>
    </row>
    <row r="2829" spans="24:28" x14ac:dyDescent="0.2">
      <c r="X2829" s="176" t="str">
        <f t="shared" si="77"/>
        <v>1w</v>
      </c>
      <c r="Y2829" s="164">
        <f>_xll.qlCalendarAdvance(Calendar,Y2828,X2829,"f",FALSE)</f>
        <v>58929</v>
      </c>
      <c r="Z2829" s="188">
        <f>_xll.qlCalendarAdvance(Calendar,Y2829,NDays&amp;"D")</f>
        <v>58931</v>
      </c>
      <c r="AA2829" s="163">
        <v>6.4119894347888689E-3</v>
      </c>
      <c r="AB2829" s="172">
        <v>6.4235141100610349E-3</v>
      </c>
    </row>
    <row r="2830" spans="24:28" x14ac:dyDescent="0.2">
      <c r="X2830" s="176" t="str">
        <f t="shared" si="77"/>
        <v>1w</v>
      </c>
      <c r="Y2830" s="164">
        <f>_xll.qlCalendarAdvance(Calendar,Y2829,X2830,"f",FALSE)</f>
        <v>58936</v>
      </c>
      <c r="Z2830" s="188">
        <f>_xll.qlCalendarAdvance(Calendar,Y2830,NDays&amp;"D")</f>
        <v>58938</v>
      </c>
      <c r="AA2830" s="163">
        <v>6.4104826121067562E-3</v>
      </c>
      <c r="AB2830" s="172">
        <v>6.4215575745674158E-3</v>
      </c>
    </row>
    <row r="2831" spans="24:28" x14ac:dyDescent="0.2">
      <c r="X2831" s="176" t="str">
        <f t="shared" si="77"/>
        <v>1w</v>
      </c>
      <c r="Y2831" s="164">
        <f>_xll.qlCalendarAdvance(Calendar,Y2830,X2831,"f",FALSE)</f>
        <v>58943</v>
      </c>
      <c r="Z2831" s="188">
        <f>_xll.qlCalendarAdvance(Calendar,Y2831,NDays&amp;"D")</f>
        <v>58945</v>
      </c>
      <c r="AA2831" s="163">
        <v>6.40901031066943E-3</v>
      </c>
      <c r="AB2831" s="172">
        <v>6.419635445951144E-3</v>
      </c>
    </row>
    <row r="2832" spans="24:28" x14ac:dyDescent="0.2">
      <c r="X2832" s="176" t="str">
        <f t="shared" si="77"/>
        <v>1w</v>
      </c>
      <c r="Y2832" s="164">
        <f>_xll.qlCalendarAdvance(Calendar,Y2831,X2832,"f",FALSE)</f>
        <v>58950</v>
      </c>
      <c r="Z2832" s="188">
        <f>_xll.qlCalendarAdvance(Calendar,Y2832,NDays&amp;"D")</f>
        <v>58952</v>
      </c>
      <c r="AA2832" s="163">
        <v>6.4075725303978162E-3</v>
      </c>
      <c r="AB2832" s="172">
        <v>6.4177477240523473E-3</v>
      </c>
    </row>
    <row r="2833" spans="24:28" x14ac:dyDescent="0.2">
      <c r="X2833" s="176" t="str">
        <f t="shared" si="77"/>
        <v>1w</v>
      </c>
      <c r="Y2833" s="164">
        <f>_xll.qlCalendarAdvance(Calendar,Y2832,X2833,"f",FALSE)</f>
        <v>58957</v>
      </c>
      <c r="Z2833" s="188">
        <f>_xll.qlCalendarAdvance(Calendar,Y2833,NDays&amp;"D")</f>
        <v>58959</v>
      </c>
      <c r="AA2833" s="163">
        <v>6.4062637502721176E-3</v>
      </c>
      <c r="AB2833" s="172">
        <v>6.4158944089509617E-3</v>
      </c>
    </row>
    <row r="2834" spans="24:28" x14ac:dyDescent="0.2">
      <c r="X2834" s="176" t="str">
        <f t="shared" si="77"/>
        <v>1w</v>
      </c>
      <c r="Y2834" s="164">
        <f>_xll.qlCalendarAdvance(Calendar,Y2833,X2834,"f",FALSE)</f>
        <v>58964</v>
      </c>
      <c r="Z2834" s="188">
        <f>_xll.qlCalendarAdvance(Calendar,Y2834,NDays&amp;"D")</f>
        <v>58966</v>
      </c>
      <c r="AA2834" s="163">
        <v>6.4048876881117236E-3</v>
      </c>
      <c r="AB2834" s="172">
        <v>6.4140755006469874E-3</v>
      </c>
    </row>
    <row r="2835" spans="24:28" x14ac:dyDescent="0.2">
      <c r="X2835" s="176" t="str">
        <f t="shared" si="77"/>
        <v>1w</v>
      </c>
      <c r="Y2835" s="164">
        <f>_xll.qlCalendarAdvance(Calendar,Y2834,X2835,"f",FALSE)</f>
        <v>58971</v>
      </c>
      <c r="Z2835" s="188">
        <f>_xll.qlCalendarAdvance(Calendar,Y2835,NDays&amp;"D")</f>
        <v>58973</v>
      </c>
      <c r="AA2835" s="163">
        <v>6.4035461450527879E-3</v>
      </c>
      <c r="AB2835" s="172">
        <v>6.4122909990604882E-3</v>
      </c>
    </row>
    <row r="2836" spans="24:28" x14ac:dyDescent="0.2">
      <c r="X2836" s="176" t="str">
        <f t="shared" si="77"/>
        <v>1w</v>
      </c>
      <c r="Y2836" s="164">
        <f>_xll.qlCalendarAdvance(Calendar,Y2835,X2836,"f",FALSE)</f>
        <v>58978</v>
      </c>
      <c r="Z2836" s="188">
        <f>_xll.qlCalendarAdvance(Calendar,Y2836,NDays&amp;"D")</f>
        <v>58980</v>
      </c>
      <c r="AA2836" s="163">
        <v>6.402239121026292E-3</v>
      </c>
      <c r="AB2836" s="172">
        <v>6.4105409043513362E-3</v>
      </c>
    </row>
    <row r="2837" spans="24:28" x14ac:dyDescent="0.2">
      <c r="X2837" s="176" t="str">
        <f t="shared" ref="X2837:X2900" si="78">X2836</f>
        <v>1w</v>
      </c>
      <c r="Y2837" s="164">
        <f>_xll.qlCalendarAdvance(Calendar,Y2836,X2837,"f",FALSE)</f>
        <v>58985</v>
      </c>
      <c r="Z2837" s="188">
        <f>_xll.qlCalendarAdvance(Calendar,Y2837,NDays&amp;"D")</f>
        <v>58987</v>
      </c>
      <c r="AA2837" s="163">
        <v>6.400966615962349E-3</v>
      </c>
      <c r="AB2837" s="172">
        <v>6.4088252163596593E-3</v>
      </c>
    </row>
    <row r="2838" spans="24:28" x14ac:dyDescent="0.2">
      <c r="X2838" s="176" t="str">
        <f t="shared" si="78"/>
        <v>1w</v>
      </c>
      <c r="Y2838" s="164">
        <f>_xll.qlCalendarAdvance(Calendar,Y2837,X2838,"f",FALSE)</f>
        <v>58992</v>
      </c>
      <c r="Z2838" s="188">
        <f>_xll.qlCalendarAdvance(Calendar,Y2838,NDays&amp;"D")</f>
        <v>58994</v>
      </c>
      <c r="AA2838" s="163">
        <v>6.399670789103847E-3</v>
      </c>
      <c r="AB2838" s="172">
        <v>6.4071439350055215E-3</v>
      </c>
    </row>
    <row r="2839" spans="24:28" x14ac:dyDescent="0.2">
      <c r="X2839" s="176" t="str">
        <f t="shared" si="78"/>
        <v>1w</v>
      </c>
      <c r="Y2839" s="164">
        <f>_xll.qlCalendarAdvance(Calendar,Y2838,X2839,"f",FALSE)</f>
        <v>58999</v>
      </c>
      <c r="Z2839" s="188">
        <f>_xll.qlCalendarAdvance(Calendar,Y2839,NDays&amp;"D")</f>
        <v>59001</v>
      </c>
      <c r="AA2839" s="163">
        <v>6.3984746549546993E-3</v>
      </c>
      <c r="AB2839" s="172">
        <v>6.4054970605287309E-3</v>
      </c>
    </row>
    <row r="2840" spans="24:28" x14ac:dyDescent="0.2">
      <c r="X2840" s="176" t="str">
        <f t="shared" si="78"/>
        <v>1w</v>
      </c>
      <c r="Y2840" s="164">
        <f>_xll.qlCalendarAdvance(Calendar,Y2839,X2840,"f",FALSE)</f>
        <v>59006</v>
      </c>
      <c r="Z2840" s="188">
        <f>_xll.qlCalendarAdvance(Calendar,Y2840,NDays&amp;"D")</f>
        <v>59008</v>
      </c>
      <c r="AA2840" s="163">
        <v>6.3973130414095606E-3</v>
      </c>
      <c r="AB2840" s="172">
        <v>6.4038845927694155E-3</v>
      </c>
    </row>
    <row r="2841" spans="24:28" x14ac:dyDescent="0.2">
      <c r="X2841" s="176" t="str">
        <f t="shared" si="78"/>
        <v>1w</v>
      </c>
      <c r="Y2841" s="164">
        <f>_xll.qlCalendarAdvance(Calendar,Y2840,X2841,"f",FALSE)</f>
        <v>59013</v>
      </c>
      <c r="Z2841" s="188">
        <f>_xll.qlCalendarAdvance(Calendar,Y2841,NDays&amp;"D")</f>
        <v>59015</v>
      </c>
      <c r="AA2841" s="163">
        <v>6.3961859484078362E-3</v>
      </c>
      <c r="AB2841" s="172">
        <v>6.4023065318874472E-3</v>
      </c>
    </row>
    <row r="2842" spans="24:28" x14ac:dyDescent="0.2">
      <c r="X2842" s="176" t="str">
        <f t="shared" si="78"/>
        <v>1w</v>
      </c>
      <c r="Y2842" s="164">
        <f>_xll.qlCalendarAdvance(Calendar,Y2841,X2842,"f",FALSE)</f>
        <v>59020</v>
      </c>
      <c r="Z2842" s="188">
        <f>_xll.qlCalendarAdvance(Calendar,Y2842,NDays&amp;"D")</f>
        <v>59022</v>
      </c>
      <c r="AA2842" s="163">
        <v>6.3950933758880682E-3</v>
      </c>
      <c r="AB2842" s="172">
        <v>6.4007628776430181E-3</v>
      </c>
    </row>
    <row r="2843" spans="24:28" x14ac:dyDescent="0.2">
      <c r="X2843" s="176" t="str">
        <f t="shared" si="78"/>
        <v>1w</v>
      </c>
      <c r="Y2843" s="164">
        <f>_xll.qlCalendarAdvance(Calendar,Y2842,X2843,"f",FALSE)</f>
        <v>59027</v>
      </c>
      <c r="Z2843" s="188">
        <f>_xll.qlCalendarAdvance(Calendar,Y2843,NDays&amp;"D")</f>
        <v>59029</v>
      </c>
      <c r="AA2843" s="163">
        <v>6.3940353237930975E-3</v>
      </c>
      <c r="AB2843" s="172">
        <v>6.3992536301960001E-3</v>
      </c>
    </row>
    <row r="2844" spans="24:28" x14ac:dyDescent="0.2">
      <c r="X2844" s="176" t="str">
        <f t="shared" si="78"/>
        <v>1w</v>
      </c>
      <c r="Y2844" s="164">
        <f>_xll.qlCalendarAdvance(Calendar,Y2843,X2844,"f",FALSE)</f>
        <v>59034</v>
      </c>
      <c r="Z2844" s="188">
        <f>_xll.qlCalendarAdvance(Calendar,Y2844,NDays&amp;"D")</f>
        <v>59036</v>
      </c>
      <c r="AA2844" s="163">
        <v>6.3930117920653375E-3</v>
      </c>
      <c r="AB2844" s="172">
        <v>6.3977787895463933E-3</v>
      </c>
    </row>
    <row r="2845" spans="24:28" x14ac:dyDescent="0.2">
      <c r="X2845" s="176" t="str">
        <f t="shared" si="78"/>
        <v>1w</v>
      </c>
      <c r="Y2845" s="164">
        <f>_xll.qlCalendarAdvance(Calendar,Y2844,X2845,"f",FALSE)</f>
        <v>59041</v>
      </c>
      <c r="Z2845" s="188">
        <f>_xll.qlCalendarAdvance(Calendar,Y2845,NDays&amp;"D")</f>
        <v>59043</v>
      </c>
      <c r="AA2845" s="163">
        <v>6.3920227806519266E-3</v>
      </c>
      <c r="AB2845" s="172">
        <v>6.3963383556941977E-3</v>
      </c>
    </row>
    <row r="2846" spans="24:28" x14ac:dyDescent="0.2">
      <c r="X2846" s="176" t="str">
        <f t="shared" si="78"/>
        <v>1w</v>
      </c>
      <c r="Y2846" s="164">
        <f>_xll.qlCalendarAdvance(Calendar,Y2845,X2846,"f",FALSE)</f>
        <v>59048</v>
      </c>
      <c r="Z2846" s="188">
        <f>_xll.qlCalendarAdvance(Calendar,Y2846,NDays&amp;"D")</f>
        <v>59050</v>
      </c>
      <c r="AA2846" s="163">
        <v>6.3910679965837403E-3</v>
      </c>
      <c r="AB2846" s="172">
        <v>6.3949323286394133E-3</v>
      </c>
    </row>
    <row r="2847" spans="24:28" x14ac:dyDescent="0.2">
      <c r="X2847" s="176" t="str">
        <f t="shared" si="78"/>
        <v>1w</v>
      </c>
      <c r="Y2847" s="164">
        <f>_xll.qlCalendarAdvance(Calendar,Y2846,X2847,"f",FALSE)</f>
        <v>59055</v>
      </c>
      <c r="Z2847" s="188">
        <f>_xll.qlCalendarAdvance(Calendar,Y2847,NDays&amp;"D")</f>
        <v>59057</v>
      </c>
      <c r="AA2847" s="163">
        <v>6.3901357796378932E-3</v>
      </c>
      <c r="AB2847" s="172">
        <v>6.3935607081422319E-3</v>
      </c>
    </row>
    <row r="2848" spans="24:28" x14ac:dyDescent="0.2">
      <c r="X2848" s="176" t="str">
        <f t="shared" si="78"/>
        <v>1w</v>
      </c>
      <c r="Y2848" s="164">
        <f>_xll.qlCalendarAdvance(Calendar,Y2847,X2848,"f",FALSE)</f>
        <v>59062</v>
      </c>
      <c r="Z2848" s="188">
        <f>_xll.qlCalendarAdvance(Calendar,Y2848,NDays&amp;"D")</f>
        <v>59064</v>
      </c>
      <c r="AA2848" s="163">
        <v>6.3892380797990088E-3</v>
      </c>
      <c r="AB2848" s="172">
        <v>6.3922234945223977E-3</v>
      </c>
    </row>
    <row r="2849" spans="24:28" x14ac:dyDescent="0.2">
      <c r="X2849" s="176" t="str">
        <f t="shared" si="78"/>
        <v>1w</v>
      </c>
      <c r="Y2849" s="164">
        <f>_xll.qlCalendarAdvance(Calendar,Y2848,X2849,"f",FALSE)</f>
        <v>59069</v>
      </c>
      <c r="Z2849" s="188">
        <f>_xll.qlCalendarAdvance(Calendar,Y2849,NDays&amp;"D")</f>
        <v>59071</v>
      </c>
      <c r="AA2849" s="163">
        <v>6.3883748970193907E-3</v>
      </c>
      <c r="AB2849" s="172">
        <v>6.3909206876200386E-3</v>
      </c>
    </row>
    <row r="2850" spans="24:28" x14ac:dyDescent="0.2">
      <c r="X2850" s="176" t="str">
        <f t="shared" si="78"/>
        <v>1w</v>
      </c>
      <c r="Y2850" s="164">
        <f>_xll.qlCalendarAdvance(Calendar,Y2849,X2850,"f",FALSE)</f>
        <v>59076</v>
      </c>
      <c r="Z2850" s="188">
        <f>_xll.qlCalendarAdvance(Calendar,Y2850,NDays&amp;"D")</f>
        <v>59078</v>
      </c>
      <c r="AA2850" s="163">
        <v>6.3875462312566415E-3</v>
      </c>
      <c r="AB2850" s="172">
        <v>6.3896522875950268E-3</v>
      </c>
    </row>
    <row r="2851" spans="24:28" x14ac:dyDescent="0.2">
      <c r="X2851" s="176" t="str">
        <f t="shared" si="78"/>
        <v>1w</v>
      </c>
      <c r="Y2851" s="164">
        <f>_xll.qlCalendarAdvance(Calendar,Y2850,X2851,"f",FALSE)</f>
        <v>59083</v>
      </c>
      <c r="Z2851" s="188">
        <f>_xll.qlCalendarAdvance(Calendar,Y2851,NDays&amp;"D")</f>
        <v>59085</v>
      </c>
      <c r="AA2851" s="163">
        <v>6.3867639253322554E-3</v>
      </c>
      <c r="AB2851" s="172">
        <v>6.3884182942874901E-3</v>
      </c>
    </row>
    <row r="2852" spans="24:28" x14ac:dyDescent="0.2">
      <c r="X2852" s="176" t="str">
        <f t="shared" si="78"/>
        <v>1w</v>
      </c>
      <c r="Y2852" s="164">
        <f>_xll.qlCalendarAdvance(Calendar,Y2851,X2852,"f",FALSE)</f>
        <v>59090</v>
      </c>
      <c r="Z2852" s="188">
        <f>_xll.qlCalendarAdvance(Calendar,Y2852,NDays&amp;"D")</f>
        <v>59092</v>
      </c>
      <c r="AA2852" s="163">
        <v>6.3860067455509635E-3</v>
      </c>
      <c r="AB2852" s="172">
        <v>6.3872187076174924E-3</v>
      </c>
    </row>
    <row r="2853" spans="24:28" x14ac:dyDescent="0.2">
      <c r="X2853" s="176" t="str">
        <f t="shared" si="78"/>
        <v>1w</v>
      </c>
      <c r="Y2853" s="164">
        <f>_xll.qlCalendarAdvance(Calendar,Y2852,X2853,"f",FALSE)</f>
        <v>59097</v>
      </c>
      <c r="Z2853" s="188">
        <f>_xll.qlCalendarAdvance(Calendar,Y2853,NDays&amp;"D")</f>
        <v>59099</v>
      </c>
      <c r="AA2853" s="163">
        <v>6.3852840832710556E-3</v>
      </c>
      <c r="AB2853" s="172">
        <v>6.386053527824842E-3</v>
      </c>
    </row>
    <row r="2854" spans="24:28" x14ac:dyDescent="0.2">
      <c r="X2854" s="176" t="str">
        <f t="shared" si="78"/>
        <v>1w</v>
      </c>
      <c r="Y2854" s="164">
        <f>_xll.qlCalendarAdvance(Calendar,Y2853,X2854,"f",FALSE)</f>
        <v>59104</v>
      </c>
      <c r="Z2854" s="188">
        <f>_xll.qlCalendarAdvance(Calendar,Y2854,NDays&amp;"D")</f>
        <v>59106</v>
      </c>
      <c r="AA2854" s="163">
        <v>6.3845959384560792E-3</v>
      </c>
      <c r="AB2854" s="172">
        <v>6.3849227549095389E-3</v>
      </c>
    </row>
    <row r="2855" spans="24:28" x14ac:dyDescent="0.2">
      <c r="X2855" s="176" t="str">
        <f t="shared" si="78"/>
        <v>1w</v>
      </c>
      <c r="Y2855" s="164">
        <f>_xll.qlCalendarAdvance(Calendar,Y2854,X2855,"f",FALSE)</f>
        <v>59111</v>
      </c>
      <c r="Z2855" s="188">
        <f>_xll.qlCalendarAdvance(Calendar,Y2855,NDays&amp;"D")</f>
        <v>59113</v>
      </c>
      <c r="AA2855" s="163">
        <v>6.3839206562244016E-3</v>
      </c>
      <c r="AB2855" s="172">
        <v>6.3838263885518387E-3</v>
      </c>
    </row>
    <row r="2856" spans="24:28" x14ac:dyDescent="0.2">
      <c r="X2856" s="176" t="str">
        <f t="shared" si="78"/>
        <v>1w</v>
      </c>
      <c r="Y2856" s="164">
        <f>_xll.qlCalendarAdvance(Calendar,Y2855,X2856,"f",FALSE)</f>
        <v>59118</v>
      </c>
      <c r="Z2856" s="188">
        <f>_xll.qlCalendarAdvance(Calendar,Y2856,NDays&amp;"D")</f>
        <v>59120</v>
      </c>
      <c r="AA2856" s="163">
        <v>6.3832990917122769E-3</v>
      </c>
      <c r="AB2856" s="172">
        <v>6.3827644289915497E-3</v>
      </c>
    </row>
    <row r="2857" spans="24:28" x14ac:dyDescent="0.2">
      <c r="X2857" s="176" t="str">
        <f t="shared" si="78"/>
        <v>1w</v>
      </c>
      <c r="Y2857" s="164">
        <f>_xll.qlCalendarAdvance(Calendar,Y2856,X2857,"f",FALSE)</f>
        <v>59125</v>
      </c>
      <c r="Z2857" s="188">
        <f>_xll.qlCalendarAdvance(Calendar,Y2857,NDays&amp;"D")</f>
        <v>59127</v>
      </c>
      <c r="AA2857" s="163">
        <v>6.3827120439515972E-3</v>
      </c>
      <c r="AB2857" s="172">
        <v>6.3817368762286719E-3</v>
      </c>
    </row>
    <row r="2858" spans="24:28" x14ac:dyDescent="0.2">
      <c r="X2858" s="176" t="str">
        <f t="shared" si="78"/>
        <v>1w</v>
      </c>
      <c r="Y2858" s="164">
        <f>_xll.qlCalendarAdvance(Calendar,Y2857,X2858,"f",FALSE)</f>
        <v>59132</v>
      </c>
      <c r="Z2858" s="188">
        <f>_xll.qlCalendarAdvance(Calendar,Y2858,NDays&amp;"D")</f>
        <v>59134</v>
      </c>
      <c r="AA2858" s="163">
        <v>6.3821595129123334E-3</v>
      </c>
      <c r="AB2858" s="172">
        <v>6.3807437301832692E-3</v>
      </c>
    </row>
    <row r="2859" spans="24:28" x14ac:dyDescent="0.2">
      <c r="X2859" s="176" t="str">
        <f t="shared" si="78"/>
        <v>1w</v>
      </c>
      <c r="Y2859" s="164">
        <f>_xll.qlCalendarAdvance(Calendar,Y2858,X2859,"f",FALSE)</f>
        <v>59139</v>
      </c>
      <c r="Z2859" s="188">
        <f>_xll.qlCalendarAdvance(Calendar,Y2859,NDays&amp;"D")</f>
        <v>59141</v>
      </c>
      <c r="AA2859" s="163">
        <v>6.3816729751477617E-3</v>
      </c>
      <c r="AB2859" s="172">
        <v>6.3797849910152138E-3</v>
      </c>
    </row>
    <row r="2860" spans="24:28" x14ac:dyDescent="0.2">
      <c r="X2860" s="176" t="str">
        <f t="shared" si="78"/>
        <v>1w</v>
      </c>
      <c r="Y2860" s="164">
        <f>_xll.qlCalendarAdvance(Calendar,Y2859,X2860,"f",FALSE)</f>
        <v>59146</v>
      </c>
      <c r="Z2860" s="188">
        <f>_xll.qlCalendarAdvance(Calendar,Y2860,NDays&amp;"D")</f>
        <v>59148</v>
      </c>
      <c r="AA2860" s="163">
        <v>6.3811919344270987E-3</v>
      </c>
      <c r="AB2860" s="172">
        <v>6.3788606584846974E-3</v>
      </c>
    </row>
    <row r="2861" spans="24:28" x14ac:dyDescent="0.2">
      <c r="X2861" s="176" t="str">
        <f t="shared" si="78"/>
        <v>1w</v>
      </c>
      <c r="Y2861" s="164">
        <f>_xll.qlCalendarAdvance(Calendar,Y2860,X2861,"f",FALSE)</f>
        <v>59153</v>
      </c>
      <c r="Z2861" s="188">
        <f>_xll.qlCalendarAdvance(Calendar,Y2861,NDays&amp;"D")</f>
        <v>59155</v>
      </c>
      <c r="AA2861" s="163">
        <v>6.380745410956153E-3</v>
      </c>
      <c r="AB2861" s="172">
        <v>6.3779707327515922E-3</v>
      </c>
    </row>
    <row r="2862" spans="24:28" x14ac:dyDescent="0.2">
      <c r="X2862" s="176" t="str">
        <f t="shared" si="78"/>
        <v>1w</v>
      </c>
      <c r="Y2862" s="164">
        <f>_xll.qlCalendarAdvance(Calendar,Y2861,X2862,"f",FALSE)</f>
        <v>59160</v>
      </c>
      <c r="Z2862" s="188">
        <f>_xll.qlCalendarAdvance(Calendar,Y2862,NDays&amp;"D")</f>
        <v>59162</v>
      </c>
      <c r="AA2862" s="163">
        <v>6.3803334047125258E-3</v>
      </c>
      <c r="AB2862" s="172">
        <v>6.3771152138158982E-3</v>
      </c>
    </row>
    <row r="2863" spans="24:28" x14ac:dyDescent="0.2">
      <c r="X2863" s="176" t="str">
        <f t="shared" si="78"/>
        <v>1w</v>
      </c>
      <c r="Y2863" s="164">
        <f>_xll.qlCalendarAdvance(Calendar,Y2862,X2863,"f",FALSE)</f>
        <v>59167</v>
      </c>
      <c r="Z2863" s="188">
        <f>_xll.qlCalendarAdvance(Calendar,Y2863,NDays&amp;"D")</f>
        <v>59169</v>
      </c>
      <c r="AA2863" s="163">
        <v>6.3799559156751343E-3</v>
      </c>
      <c r="AB2863" s="172">
        <v>6.3762941015177432E-3</v>
      </c>
    </row>
    <row r="2864" spans="24:28" x14ac:dyDescent="0.2">
      <c r="X2864" s="176" t="str">
        <f t="shared" si="78"/>
        <v>1w</v>
      </c>
      <c r="Y2864" s="164">
        <f>_xll.qlCalendarAdvance(Calendar,Y2863,X2864,"f",FALSE)</f>
        <v>59174</v>
      </c>
      <c r="Z2864" s="188">
        <f>_xll.qlCalendarAdvance(Calendar,Y2864,NDays&amp;"D")</f>
        <v>59176</v>
      </c>
      <c r="AA2864" s="163">
        <v>6.3795691763456532E-3</v>
      </c>
      <c r="AB2864" s="172">
        <v>6.3755073960969355E-3</v>
      </c>
    </row>
    <row r="2865" spans="24:28" x14ac:dyDescent="0.2">
      <c r="X2865" s="176" t="str">
        <f t="shared" si="78"/>
        <v>1w</v>
      </c>
      <c r="Y2865" s="164">
        <f>_xll.qlCalendarAdvance(Calendar,Y2864,X2865,"f",FALSE)</f>
        <v>59181</v>
      </c>
      <c r="Z2865" s="188">
        <f>_xll.qlCalendarAdvance(Calendar,Y2865,NDays&amp;"D")</f>
        <v>59183</v>
      </c>
      <c r="AA2865" s="163">
        <v>6.3792582616536498E-3</v>
      </c>
      <c r="AB2865" s="172">
        <v>6.374755097473539E-3</v>
      </c>
    </row>
    <row r="2866" spans="24:28" x14ac:dyDescent="0.2">
      <c r="X2866" s="176" t="str">
        <f t="shared" si="78"/>
        <v>1w</v>
      </c>
      <c r="Y2866" s="164">
        <f>_xll.qlCalendarAdvance(Calendar,Y2865,X2866,"f",FALSE)</f>
        <v>59188</v>
      </c>
      <c r="Z2866" s="188">
        <f>_xll.qlCalendarAdvance(Calendar,Y2866,NDays&amp;"D")</f>
        <v>59190</v>
      </c>
      <c r="AA2866" s="163">
        <v>6.3789818635041993E-3</v>
      </c>
      <c r="AB2866" s="172">
        <v>6.3740372054077454E-3</v>
      </c>
    </row>
    <row r="2867" spans="24:28" x14ac:dyDescent="0.2">
      <c r="X2867" s="176" t="str">
        <f t="shared" si="78"/>
        <v>1w</v>
      </c>
      <c r="Y2867" s="164">
        <f>_xll.qlCalendarAdvance(Calendar,Y2866,X2867,"f",FALSE)</f>
        <v>59195</v>
      </c>
      <c r="Z2867" s="188">
        <f>_xll.qlCalendarAdvance(Calendar,Y2867,NDays&amp;"D")</f>
        <v>59197</v>
      </c>
      <c r="AA2867" s="163">
        <v>6.3787399818814013E-3</v>
      </c>
      <c r="AB2867" s="172">
        <v>6.3733537202192991E-3</v>
      </c>
    </row>
    <row r="2868" spans="24:28" x14ac:dyDescent="0.2">
      <c r="X2868" s="176" t="str">
        <f t="shared" si="78"/>
        <v>1w</v>
      </c>
      <c r="Y2868" s="164">
        <f>_xll.qlCalendarAdvance(Calendar,Y2867,X2868,"f",FALSE)</f>
        <v>59202</v>
      </c>
      <c r="Z2868" s="188">
        <f>_xll.qlCalendarAdvance(Calendar,Y2868,NDays&amp;"D")</f>
        <v>59204</v>
      </c>
      <c r="AA2868" s="163">
        <v>6.3785326167746584E-3</v>
      </c>
      <c r="AB2868" s="172">
        <v>6.372704641828264E-3</v>
      </c>
    </row>
    <row r="2869" spans="24:28" x14ac:dyDescent="0.2">
      <c r="X2869" s="176" t="str">
        <f t="shared" si="78"/>
        <v>1w</v>
      </c>
      <c r="Y2869" s="164">
        <f>_xll.qlCalendarAdvance(Calendar,Y2868,X2869,"f",FALSE)</f>
        <v>59209</v>
      </c>
      <c r="Z2869" s="188">
        <f>_xll.qlCalendarAdvance(Calendar,Y2869,NDays&amp;"D")</f>
        <v>59211</v>
      </c>
      <c r="AA2869" s="163">
        <v>6.3783597681724867E-3</v>
      </c>
      <c r="AB2869" s="172">
        <v>6.372089970154704E-3</v>
      </c>
    </row>
    <row r="2870" spans="24:28" x14ac:dyDescent="0.2">
      <c r="X2870" s="176" t="str">
        <f t="shared" si="78"/>
        <v>1w</v>
      </c>
      <c r="Y2870" s="164">
        <f>_xll.qlCalendarAdvance(Calendar,Y2869,X2870,"f",FALSE)</f>
        <v>59216</v>
      </c>
      <c r="Z2870" s="188">
        <f>_xll.qlCalendarAdvance(Calendar,Y2870,NDays&amp;"D")</f>
        <v>59218</v>
      </c>
      <c r="AA2870" s="163">
        <v>6.3782214360651708E-3</v>
      </c>
      <c r="AB2870" s="172">
        <v>6.3715097052785552E-3</v>
      </c>
    </row>
    <row r="2871" spans="24:28" x14ac:dyDescent="0.2">
      <c r="X2871" s="176" t="str">
        <f t="shared" si="78"/>
        <v>1w</v>
      </c>
      <c r="Y2871" s="164">
        <f>_xll.qlCalendarAdvance(Calendar,Y2870,X2871,"f",FALSE)</f>
        <v>59223</v>
      </c>
      <c r="Z2871" s="188">
        <f>_xll.qlCalendarAdvance(Calendar,Y2871,NDays&amp;"D")</f>
        <v>59225</v>
      </c>
      <c r="AA2871" s="163">
        <v>6.3781176204465275E-3</v>
      </c>
      <c r="AB2871" s="172">
        <v>6.3709638471198815E-3</v>
      </c>
    </row>
    <row r="2872" spans="24:28" x14ac:dyDescent="0.2">
      <c r="X2872" s="176" t="str">
        <f t="shared" si="78"/>
        <v>1w</v>
      </c>
      <c r="Y2872" s="164">
        <f>_xll.qlCalendarAdvance(Calendar,Y2871,X2872,"f",FALSE)</f>
        <v>59230</v>
      </c>
      <c r="Z2872" s="188">
        <f>_xll.qlCalendarAdvance(Calendar,Y2872,NDays&amp;"D")</f>
        <v>59232</v>
      </c>
      <c r="AA2872" s="163">
        <v>6.3783680018887484E-3</v>
      </c>
      <c r="AB2872" s="172">
        <v>6.3704523956786829E-3</v>
      </c>
    </row>
    <row r="2873" spans="24:28" x14ac:dyDescent="0.2">
      <c r="X2873" s="176" t="str">
        <f t="shared" si="78"/>
        <v>1w</v>
      </c>
      <c r="Y2873" s="164">
        <f>_xll.qlCalendarAdvance(Calendar,Y2872,X2873,"f",FALSE)</f>
        <v>59237</v>
      </c>
      <c r="Z2873" s="188">
        <f>_xll.qlCalendarAdvance(Calendar,Y2873,NDays&amp;"D")</f>
        <v>59239</v>
      </c>
      <c r="AA2873" s="163">
        <v>6.3783455445589887E-3</v>
      </c>
      <c r="AB2873" s="172">
        <v>6.3699753509549595E-3</v>
      </c>
    </row>
    <row r="2874" spans="24:28" x14ac:dyDescent="0.2">
      <c r="X2874" s="176" t="str">
        <f t="shared" si="78"/>
        <v>1w</v>
      </c>
      <c r="Y2874" s="164">
        <f>_xll.qlCalendarAdvance(Calendar,Y2873,X2874,"f",FALSE)</f>
        <v>59244</v>
      </c>
      <c r="Z2874" s="188">
        <f>_xll.qlCalendarAdvance(Calendar,Y2874,NDays&amp;"D")</f>
        <v>59246</v>
      </c>
      <c r="AA2874" s="163">
        <v>6.3783576067609786E-3</v>
      </c>
      <c r="AB2874" s="172">
        <v>6.3695327131085833E-3</v>
      </c>
    </row>
    <row r="2875" spans="24:28" x14ac:dyDescent="0.2">
      <c r="X2875" s="176" t="str">
        <f t="shared" si="78"/>
        <v>1w</v>
      </c>
      <c r="Y2875" s="164">
        <f>_xll.qlCalendarAdvance(Calendar,Y2874,X2875,"f",FALSE)</f>
        <v>59251</v>
      </c>
      <c r="Z2875" s="188">
        <f>_xll.qlCalendarAdvance(Calendar,Y2875,NDays&amp;"D")</f>
        <v>59253</v>
      </c>
      <c r="AA2875" s="163">
        <v>6.3784041884938584E-3</v>
      </c>
      <c r="AB2875" s="172">
        <v>6.3692402277926163E-3</v>
      </c>
    </row>
    <row r="2876" spans="24:28" x14ac:dyDescent="0.2">
      <c r="X2876" s="176" t="str">
        <f t="shared" si="78"/>
        <v>1w</v>
      </c>
      <c r="Y2876" s="164">
        <f>_xll.qlCalendarAdvance(Calendar,Y2875,X2876,"f",FALSE)</f>
        <v>59258</v>
      </c>
      <c r="Z2876" s="188">
        <f>_xll.qlCalendarAdvance(Calendar,Y2876,NDays&amp;"D")</f>
        <v>59260</v>
      </c>
      <c r="AA2876" s="163">
        <v>6.3782631813537579E-3</v>
      </c>
      <c r="AB2876" s="172">
        <v>6.3687506575682562E-3</v>
      </c>
    </row>
    <row r="2877" spans="24:28" x14ac:dyDescent="0.2">
      <c r="X2877" s="176" t="str">
        <f t="shared" si="78"/>
        <v>1w</v>
      </c>
      <c r="Y2877" s="164">
        <f>_xll.qlCalendarAdvance(Calendar,Y2876,X2877,"f",FALSE)</f>
        <v>59265</v>
      </c>
      <c r="Z2877" s="188">
        <f>_xll.qlCalendarAdvance(Calendar,Y2877,NDays&amp;"D")</f>
        <v>59267</v>
      </c>
      <c r="AA2877" s="163">
        <v>6.3783713993706007E-3</v>
      </c>
      <c r="AB2877" s="172">
        <v>6.3684112399542414E-3</v>
      </c>
    </row>
    <row r="2878" spans="24:28" x14ac:dyDescent="0.2">
      <c r="X2878" s="176" t="str">
        <f t="shared" si="78"/>
        <v>1w</v>
      </c>
      <c r="Y2878" s="164">
        <f>_xll.qlCalendarAdvance(Calendar,Y2877,X2878,"f",FALSE)</f>
        <v>59272</v>
      </c>
      <c r="Z2878" s="188">
        <f>_xll.qlCalendarAdvance(Calendar,Y2878,NDays&amp;"D")</f>
        <v>59274</v>
      </c>
      <c r="AA2878" s="163">
        <v>6.3785141350981003E-3</v>
      </c>
      <c r="AB2878" s="172">
        <v>6.3681062290577017E-3</v>
      </c>
    </row>
    <row r="2879" spans="24:28" x14ac:dyDescent="0.2">
      <c r="X2879" s="176" t="str">
        <f t="shared" si="78"/>
        <v>1w</v>
      </c>
      <c r="Y2879" s="164">
        <f>_xll.qlCalendarAdvance(Calendar,Y2878,X2879,"f",FALSE)</f>
        <v>59279</v>
      </c>
      <c r="Z2879" s="188">
        <f>_xll.qlCalendarAdvance(Calendar,Y2879,NDays&amp;"D")</f>
        <v>59281</v>
      </c>
      <c r="AA2879" s="163">
        <v>6.3786913885449936E-3</v>
      </c>
      <c r="AB2879" s="172">
        <v>6.3678356249585732E-3</v>
      </c>
    </row>
    <row r="2880" spans="24:28" x14ac:dyDescent="0.2">
      <c r="X2880" s="176" t="str">
        <f t="shared" si="78"/>
        <v>1w</v>
      </c>
      <c r="Y2880" s="164">
        <f>_xll.qlCalendarAdvance(Calendar,Y2879,X2880,"f",FALSE)</f>
        <v>59286</v>
      </c>
      <c r="Z2880" s="188">
        <f>_xll.qlCalendarAdvance(Calendar,Y2880,NDays&amp;"D")</f>
        <v>59288</v>
      </c>
      <c r="AA2880" s="163">
        <v>6.3789031597182681E-3</v>
      </c>
      <c r="AB2880" s="172">
        <v>6.3675994275769199E-3</v>
      </c>
    </row>
    <row r="2881" spans="24:28" x14ac:dyDescent="0.2">
      <c r="X2881" s="176" t="str">
        <f t="shared" si="78"/>
        <v>1w</v>
      </c>
      <c r="Y2881" s="164">
        <f>_xll.qlCalendarAdvance(Calendar,Y2880,X2881,"f",FALSE)</f>
        <v>59293</v>
      </c>
      <c r="Z2881" s="188">
        <f>_xll.qlCalendarAdvance(Calendar,Y2881,NDays&amp;"D")</f>
        <v>59295</v>
      </c>
      <c r="AA2881" s="163">
        <v>6.3794085893303385E-3</v>
      </c>
      <c r="AB2881" s="172">
        <v>6.3673976369926777E-3</v>
      </c>
    </row>
    <row r="2882" spans="24:28" x14ac:dyDescent="0.2">
      <c r="X2882" s="176" t="str">
        <f t="shared" si="78"/>
        <v>1w</v>
      </c>
      <c r="Y2882" s="164">
        <f>_xll.qlCalendarAdvance(Calendar,Y2881,X2882,"f",FALSE)</f>
        <v>59300</v>
      </c>
      <c r="Z2882" s="188">
        <f>_xll.qlCalendarAdvance(Calendar,Y2882,NDays&amp;"D")</f>
        <v>59302</v>
      </c>
      <c r="AA2882" s="163">
        <v>6.3796968079586572E-3</v>
      </c>
      <c r="AB2882" s="172">
        <v>6.3672302532058467E-3</v>
      </c>
    </row>
    <row r="2883" spans="24:28" x14ac:dyDescent="0.2">
      <c r="X2883" s="176" t="str">
        <f t="shared" si="78"/>
        <v>1w</v>
      </c>
      <c r="Y2883" s="164">
        <f>_xll.qlCalendarAdvance(Calendar,Y2882,X2883,"f",FALSE)</f>
        <v>59307</v>
      </c>
      <c r="Z2883" s="188">
        <f>_xll.qlCalendarAdvance(Calendar,Y2883,NDays&amp;"D")</f>
        <v>59309</v>
      </c>
      <c r="AA2883" s="163">
        <v>6.3800195461904954E-3</v>
      </c>
      <c r="AB2883" s="172">
        <v>6.3670972760565547E-3</v>
      </c>
    </row>
    <row r="2884" spans="24:28" x14ac:dyDescent="0.2">
      <c r="X2884" s="176" t="str">
        <f t="shared" si="78"/>
        <v>1w</v>
      </c>
      <c r="Y2884" s="164">
        <f>_xll.qlCalendarAdvance(Calendar,Y2883,X2884,"f",FALSE)</f>
        <v>59314</v>
      </c>
      <c r="Z2884" s="188">
        <f>_xll.qlCalendarAdvance(Calendar,Y2884,NDays&amp;"D")</f>
        <v>59316</v>
      </c>
      <c r="AA2884" s="163">
        <v>6.3803768040430441E-3</v>
      </c>
      <c r="AB2884" s="172">
        <v>6.36699870578461E-3</v>
      </c>
    </row>
    <row r="2885" spans="24:28" x14ac:dyDescent="0.2">
      <c r="X2885" s="176" t="str">
        <f t="shared" si="78"/>
        <v>1w</v>
      </c>
      <c r="Y2885" s="164">
        <f>_xll.qlCalendarAdvance(Calendar,Y2884,X2885,"f",FALSE)</f>
        <v>59321</v>
      </c>
      <c r="Z2885" s="188">
        <f>_xll.qlCalendarAdvance(Calendar,Y2885,NDays&amp;"D")</f>
        <v>59323</v>
      </c>
      <c r="AA2885" s="163">
        <v>6.3804797819525657E-3</v>
      </c>
      <c r="AB2885" s="172">
        <v>6.3669345421502044E-3</v>
      </c>
    </row>
    <row r="2886" spans="24:28" x14ac:dyDescent="0.2">
      <c r="X2886" s="176" t="str">
        <f t="shared" si="78"/>
        <v>1w</v>
      </c>
      <c r="Y2886" s="164">
        <f>_xll.qlCalendarAdvance(Calendar,Y2885,X2886,"f",FALSE)</f>
        <v>59328</v>
      </c>
      <c r="Z2886" s="188">
        <f>_xll.qlCalendarAdvance(Calendar,Y2886,NDays&amp;"D")</f>
        <v>59330</v>
      </c>
      <c r="AA2886" s="163">
        <v>6.3808986597881524E-3</v>
      </c>
      <c r="AB2886" s="172">
        <v>6.3669047851533378E-3</v>
      </c>
    </row>
    <row r="2887" spans="24:28" x14ac:dyDescent="0.2">
      <c r="X2887" s="176" t="str">
        <f t="shared" si="78"/>
        <v>1w</v>
      </c>
      <c r="Y2887" s="164">
        <f>_xll.qlCalendarAdvance(Calendar,Y2886,X2887,"f",FALSE)</f>
        <v>59335</v>
      </c>
      <c r="Z2887" s="188">
        <f>_xll.qlCalendarAdvance(Calendar,Y2887,NDays&amp;"D")</f>
        <v>59337</v>
      </c>
      <c r="AA2887" s="163">
        <v>6.3813520554676234E-3</v>
      </c>
      <c r="AB2887" s="172">
        <v>6.3669094351936906E-3</v>
      </c>
    </row>
    <row r="2888" spans="24:28" x14ac:dyDescent="0.2">
      <c r="X2888" s="176" t="str">
        <f t="shared" si="78"/>
        <v>1w</v>
      </c>
      <c r="Y2888" s="164">
        <f>_xll.qlCalendarAdvance(Calendar,Y2887,X2888,"f",FALSE)</f>
        <v>59342</v>
      </c>
      <c r="Z2888" s="188">
        <f>_xll.qlCalendarAdvance(Calendar,Y2888,NDays&amp;"D")</f>
        <v>59344</v>
      </c>
      <c r="AA2888" s="163">
        <v>6.3818399690136916E-3</v>
      </c>
      <c r="AB2888" s="172">
        <v>6.3669484918715824E-3</v>
      </c>
    </row>
    <row r="2889" spans="24:28" x14ac:dyDescent="0.2">
      <c r="X2889" s="176" t="str">
        <f t="shared" si="78"/>
        <v>1w</v>
      </c>
      <c r="Y2889" s="164">
        <f>_xll.qlCalendarAdvance(Calendar,Y2888,X2889,"f",FALSE)</f>
        <v>59349</v>
      </c>
      <c r="Z2889" s="188">
        <f>_xll.qlCalendarAdvance(Calendar,Y2889,NDays&amp;"D")</f>
        <v>59351</v>
      </c>
      <c r="AA2889" s="163">
        <v>6.3823624004521289E-3</v>
      </c>
      <c r="AB2889" s="172">
        <v>6.3670219552669494E-3</v>
      </c>
    </row>
    <row r="2890" spans="24:28" x14ac:dyDescent="0.2">
      <c r="X2890" s="176" t="str">
        <f t="shared" si="78"/>
        <v>1w</v>
      </c>
      <c r="Y2890" s="164">
        <f>_xll.qlCalendarAdvance(Calendar,Y2889,X2890,"f",FALSE)</f>
        <v>59356</v>
      </c>
      <c r="Z2890" s="188">
        <f>_xll.qlCalendarAdvance(Calendar,Y2890,NDays&amp;"D")</f>
        <v>59358</v>
      </c>
      <c r="AA2890" s="163">
        <v>6.3832452643798289E-3</v>
      </c>
      <c r="AB2890" s="172">
        <v>6.3671298254597275E-3</v>
      </c>
    </row>
    <row r="2891" spans="24:28" x14ac:dyDescent="0.2">
      <c r="X2891" s="176" t="str">
        <f t="shared" si="78"/>
        <v>1w</v>
      </c>
      <c r="Y2891" s="164">
        <f>_xll.qlCalendarAdvance(Calendar,Y2890,X2891,"f",FALSE)</f>
        <v>59363</v>
      </c>
      <c r="Z2891" s="188">
        <f>_xll.qlCalendarAdvance(Calendar,Y2891,NDays&amp;"D")</f>
        <v>59365</v>
      </c>
      <c r="AA2891" s="163">
        <v>6.3838441602116804E-3</v>
      </c>
      <c r="AB2891" s="172">
        <v>6.3672721024499168E-3</v>
      </c>
    </row>
    <row r="2892" spans="24:28" x14ac:dyDescent="0.2">
      <c r="X2892" s="176" t="str">
        <f t="shared" si="78"/>
        <v>1w</v>
      </c>
      <c r="Y2892" s="164">
        <f>_xll.qlCalendarAdvance(Calendar,Y2891,X2892,"f",FALSE)</f>
        <v>59370</v>
      </c>
      <c r="Z2892" s="188">
        <f>_xll.qlCalendarAdvance(Calendar,Y2892,NDays&amp;"D")</f>
        <v>59372</v>
      </c>
      <c r="AA2892" s="163">
        <v>6.3844775758675207E-3</v>
      </c>
      <c r="AB2892" s="172">
        <v>6.3674487860776452E-3</v>
      </c>
    </row>
    <row r="2893" spans="24:28" x14ac:dyDescent="0.2">
      <c r="X2893" s="176" t="str">
        <f t="shared" si="78"/>
        <v>1w</v>
      </c>
      <c r="Y2893" s="164">
        <f>_xll.qlCalendarAdvance(Calendar,Y2892,X2893,"f",FALSE)</f>
        <v>59377</v>
      </c>
      <c r="Z2893" s="188">
        <f>_xll.qlCalendarAdvance(Calendar,Y2893,NDays&amp;"D")</f>
        <v>59379</v>
      </c>
      <c r="AA2893" s="163">
        <v>6.3851455113813011E-3</v>
      </c>
      <c r="AB2893" s="172">
        <v>6.3676598765827208E-3</v>
      </c>
    </row>
    <row r="2894" spans="24:28" x14ac:dyDescent="0.2">
      <c r="X2894" s="176" t="str">
        <f t="shared" si="78"/>
        <v>1w</v>
      </c>
      <c r="Y2894" s="164">
        <f>_xll.qlCalendarAdvance(Calendar,Y2893,X2894,"f",FALSE)</f>
        <v>59384</v>
      </c>
      <c r="Z2894" s="188">
        <f>_xll.qlCalendarAdvance(Calendar,Y2894,NDays&amp;"D")</f>
        <v>59386</v>
      </c>
      <c r="AA2894" s="163">
        <v>6.3858479667886917E-3</v>
      </c>
      <c r="AB2894" s="172">
        <v>6.3679053738052716E-3</v>
      </c>
    </row>
    <row r="2895" spans="24:28" x14ac:dyDescent="0.2">
      <c r="X2895" s="176" t="str">
        <f t="shared" si="78"/>
        <v>1w</v>
      </c>
      <c r="Y2895" s="164">
        <f>_xll.qlCalendarAdvance(Calendar,Y2894,X2895,"f",FALSE)</f>
        <v>59391</v>
      </c>
      <c r="Z2895" s="188">
        <f>_xll.qlCalendarAdvance(Calendar,Y2895,NDays&amp;"D")</f>
        <v>59393</v>
      </c>
      <c r="AA2895" s="163">
        <v>6.3865849421283708E-3</v>
      </c>
      <c r="AB2895" s="172">
        <v>6.3681852777452974E-3</v>
      </c>
    </row>
    <row r="2896" spans="24:28" x14ac:dyDescent="0.2">
      <c r="X2896" s="176" t="str">
        <f t="shared" si="78"/>
        <v>1w</v>
      </c>
      <c r="Y2896" s="164">
        <f>_xll.qlCalendarAdvance(Calendar,Y2895,X2896,"f",FALSE)</f>
        <v>59398</v>
      </c>
      <c r="Z2896" s="188">
        <f>_xll.qlCalendarAdvance(Calendar,Y2896,NDays&amp;"D")</f>
        <v>59400</v>
      </c>
      <c r="AA2896" s="163">
        <v>6.3873564374372993E-3</v>
      </c>
      <c r="AB2896" s="172">
        <v>6.3684995884027984E-3</v>
      </c>
    </row>
    <row r="2897" spans="24:28" x14ac:dyDescent="0.2">
      <c r="X2897" s="176" t="str">
        <f t="shared" si="78"/>
        <v>1w</v>
      </c>
      <c r="Y2897" s="164">
        <f>_xll.qlCalendarAdvance(Calendar,Y2896,X2897,"f",FALSE)</f>
        <v>59405</v>
      </c>
      <c r="Z2897" s="188">
        <f>_xll.qlCalendarAdvance(Calendar,Y2897,NDays&amp;"D")</f>
        <v>59407</v>
      </c>
      <c r="AA2897" s="163">
        <v>6.3881624527588818E-3</v>
      </c>
      <c r="AB2897" s="172">
        <v>6.3688483058577106E-3</v>
      </c>
    </row>
    <row r="2898" spans="24:28" x14ac:dyDescent="0.2">
      <c r="X2898" s="176" t="str">
        <f t="shared" si="78"/>
        <v>1w</v>
      </c>
      <c r="Y2898" s="164">
        <f>_xll.qlCalendarAdvance(Calendar,Y2897,X2898,"f",FALSE)</f>
        <v>59412</v>
      </c>
      <c r="Z2898" s="188">
        <f>_xll.qlCalendarAdvance(Calendar,Y2898,NDays&amp;"D")</f>
        <v>59414</v>
      </c>
      <c r="AA2898" s="163">
        <v>6.3883618541951117E-3</v>
      </c>
      <c r="AB2898" s="172">
        <v>6.3692314301100339E-3</v>
      </c>
    </row>
    <row r="2899" spans="24:28" x14ac:dyDescent="0.2">
      <c r="X2899" s="176" t="str">
        <f t="shared" si="78"/>
        <v>1w</v>
      </c>
      <c r="Y2899" s="164">
        <f>_xll.qlCalendarAdvance(Calendar,Y2898,X2899,"f",FALSE)</f>
        <v>59419</v>
      </c>
      <c r="Z2899" s="188">
        <f>_xll.qlCalendarAdvance(Calendar,Y2899,NDays&amp;"D")</f>
        <v>59421</v>
      </c>
      <c r="AA2899" s="163">
        <v>6.3892245046076514E-3</v>
      </c>
      <c r="AB2899" s="172">
        <v>6.3696489610798324E-3</v>
      </c>
    </row>
    <row r="2900" spans="24:28" x14ac:dyDescent="0.2">
      <c r="X2900" s="176" t="str">
        <f t="shared" si="78"/>
        <v>1w</v>
      </c>
      <c r="Y2900" s="164">
        <f>_xll.qlCalendarAdvance(Calendar,Y2899,X2900,"f",FALSE)</f>
        <v>59426</v>
      </c>
      <c r="Z2900" s="188">
        <f>_xll.qlCalendarAdvance(Calendar,Y2900,NDays&amp;"D")</f>
        <v>59428</v>
      </c>
      <c r="AA2900" s="163">
        <v>6.3901216720794567E-3</v>
      </c>
      <c r="AB2900" s="172">
        <v>6.3701008987671059E-3</v>
      </c>
    </row>
    <row r="2901" spans="24:28" x14ac:dyDescent="0.2">
      <c r="X2901" s="176" t="str">
        <f t="shared" ref="X2901:X2964" si="79">X2900</f>
        <v>1w</v>
      </c>
      <c r="Y2901" s="164">
        <f>_xll.qlCalendarAdvance(Calendar,Y2900,X2901,"f",FALSE)</f>
        <v>59433</v>
      </c>
      <c r="Z2901" s="188">
        <f>_xll.qlCalendarAdvance(Calendar,Y2901,NDays&amp;"D")</f>
        <v>59435</v>
      </c>
      <c r="AA2901" s="163">
        <v>6.3910533566582254E-3</v>
      </c>
      <c r="AB2901" s="172">
        <v>6.3705872433317268E-3</v>
      </c>
    </row>
    <row r="2902" spans="24:28" x14ac:dyDescent="0.2">
      <c r="X2902" s="176" t="str">
        <f t="shared" si="79"/>
        <v>1w</v>
      </c>
      <c r="Y2902" s="164">
        <f>_xll.qlCalendarAdvance(Calendar,Y2901,X2902,"f",FALSE)</f>
        <v>59440</v>
      </c>
      <c r="Z2902" s="188">
        <f>_xll.qlCalendarAdvance(Calendar,Y2902,NDays&amp;"D")</f>
        <v>59442</v>
      </c>
      <c r="AA2902" s="163">
        <v>6.3920195583903276E-3</v>
      </c>
      <c r="AB2902" s="172">
        <v>6.3711079945338867E-3</v>
      </c>
    </row>
    <row r="2903" spans="24:28" x14ac:dyDescent="0.2">
      <c r="X2903" s="176" t="str">
        <f t="shared" si="79"/>
        <v>1w</v>
      </c>
      <c r="Y2903" s="164">
        <f>_xll.qlCalendarAdvance(Calendar,Y2902,X2903,"f",FALSE)</f>
        <v>59447</v>
      </c>
      <c r="Z2903" s="188">
        <f>_xll.qlCalendarAdvance(Calendar,Y2903,NDays&amp;"D")</f>
        <v>59449</v>
      </c>
      <c r="AA2903" s="163">
        <v>6.3931604384312299E-3</v>
      </c>
      <c r="AB2903" s="172">
        <v>6.3716631525334577E-3</v>
      </c>
    </row>
    <row r="2904" spans="24:28" x14ac:dyDescent="0.2">
      <c r="X2904" s="176" t="str">
        <f t="shared" si="79"/>
        <v>1w</v>
      </c>
      <c r="Y2904" s="164">
        <f>_xll.qlCalendarAdvance(Calendar,Y2903,X2904,"f",FALSE)</f>
        <v>59454</v>
      </c>
      <c r="Z2904" s="188">
        <f>_xll.qlCalendarAdvance(Calendar,Y2904,NDays&amp;"D")</f>
        <v>59456</v>
      </c>
      <c r="AA2904" s="163">
        <v>6.3941981585498558E-3</v>
      </c>
      <c r="AB2904" s="172">
        <v>6.3722527171705678E-3</v>
      </c>
    </row>
    <row r="2905" spans="24:28" x14ac:dyDescent="0.2">
      <c r="X2905" s="176" t="str">
        <f t="shared" si="79"/>
        <v>1w</v>
      </c>
      <c r="Y2905" s="164">
        <f>_xll.qlCalendarAdvance(Calendar,Y2904,X2905,"f",FALSE)</f>
        <v>59461</v>
      </c>
      <c r="Z2905" s="188">
        <f>_xll.qlCalendarAdvance(Calendar,Y2905,NDays&amp;"D")</f>
        <v>59463</v>
      </c>
      <c r="AA2905" s="163">
        <v>6.3952703965989739E-3</v>
      </c>
      <c r="AB2905" s="172">
        <v>6.3728766888448973E-3</v>
      </c>
    </row>
    <row r="2906" spans="24:28" x14ac:dyDescent="0.2">
      <c r="X2906" s="176" t="str">
        <f t="shared" si="79"/>
        <v>1w</v>
      </c>
      <c r="Y2906" s="164">
        <f>_xll.qlCalendarAdvance(Calendar,Y2905,X2906,"f",FALSE)</f>
        <v>59468</v>
      </c>
      <c r="Z2906" s="188">
        <f>_xll.qlCalendarAdvance(Calendar,Y2906,NDays&amp;"D")</f>
        <v>59470</v>
      </c>
      <c r="AA2906" s="163">
        <v>6.396377152632607E-3</v>
      </c>
      <c r="AB2906" s="172">
        <v>6.3735350670768298E-3</v>
      </c>
    </row>
    <row r="2907" spans="24:28" x14ac:dyDescent="0.2">
      <c r="X2907" s="176" t="str">
        <f t="shared" si="79"/>
        <v>1w</v>
      </c>
      <c r="Y2907" s="164">
        <f>_xll.qlCalendarAdvance(Calendar,Y2906,X2907,"f",FALSE)</f>
        <v>59475</v>
      </c>
      <c r="Z2907" s="188">
        <f>_xll.qlCalendarAdvance(Calendar,Y2907,NDays&amp;"D")</f>
        <v>59477</v>
      </c>
      <c r="AA2907" s="163">
        <v>6.3973683261832051E-3</v>
      </c>
      <c r="AB2907" s="172">
        <v>6.3742278521061735E-3</v>
      </c>
    </row>
    <row r="2908" spans="24:28" x14ac:dyDescent="0.2">
      <c r="X2908" s="176" t="str">
        <f t="shared" si="79"/>
        <v>1w</v>
      </c>
      <c r="Y2908" s="164">
        <f>_xll.qlCalendarAdvance(Calendar,Y2907,X2908,"f",FALSE)</f>
        <v>59482</v>
      </c>
      <c r="Z2908" s="188">
        <f>_xll.qlCalendarAdvance(Calendar,Y2908,NDays&amp;"D")</f>
        <v>59484</v>
      </c>
      <c r="AA2908" s="163">
        <v>6.3985416319575113E-3</v>
      </c>
      <c r="AB2908" s="172">
        <v>6.3749550439329283E-3</v>
      </c>
    </row>
    <row r="2909" spans="24:28" x14ac:dyDescent="0.2">
      <c r="X2909" s="176" t="str">
        <f t="shared" si="79"/>
        <v>1w</v>
      </c>
      <c r="Y2909" s="164">
        <f>_xll.qlCalendarAdvance(Calendar,Y2908,X2909,"f",FALSE)</f>
        <v>59489</v>
      </c>
      <c r="Z2909" s="188">
        <f>_xll.qlCalendarAdvance(Calendar,Y2909,NDays&amp;"D")</f>
        <v>59491</v>
      </c>
      <c r="AA2909" s="163">
        <v>6.3997494552733491E-3</v>
      </c>
      <c r="AB2909" s="172">
        <v>6.3757166424771583E-3</v>
      </c>
    </row>
    <row r="2910" spans="24:28" x14ac:dyDescent="0.2">
      <c r="X2910" s="176" t="str">
        <f t="shared" si="79"/>
        <v>1w</v>
      </c>
      <c r="Y2910" s="164">
        <f>_xll.qlCalendarAdvance(Calendar,Y2909,X2910,"f",FALSE)</f>
        <v>59496</v>
      </c>
      <c r="Z2910" s="188">
        <f>_xll.qlCalendarAdvance(Calendar,Y2910,NDays&amp;"D")</f>
        <v>59498</v>
      </c>
      <c r="AA2910" s="163">
        <v>6.4009917961956406E-3</v>
      </c>
      <c r="AB2910" s="172">
        <v>6.3765126477388634E-3</v>
      </c>
    </row>
    <row r="2911" spans="24:28" x14ac:dyDescent="0.2">
      <c r="X2911" s="176" t="str">
        <f t="shared" si="79"/>
        <v>1w</v>
      </c>
      <c r="Y2911" s="164">
        <f>_xll.qlCalendarAdvance(Calendar,Y2910,X2911,"f",FALSE)</f>
        <v>59503</v>
      </c>
      <c r="Z2911" s="188">
        <f>_xll.qlCalendarAdvance(Calendar,Y2911,NDays&amp;"D")</f>
        <v>59505</v>
      </c>
      <c r="AA2911" s="163">
        <v>6.4024287046657155E-3</v>
      </c>
      <c r="AB2911" s="172">
        <v>6.3773430597180436E-3</v>
      </c>
    </row>
    <row r="2912" spans="24:28" x14ac:dyDescent="0.2">
      <c r="X2912" s="176" t="str">
        <f t="shared" si="79"/>
        <v>1w</v>
      </c>
      <c r="Y2912" s="164">
        <f>_xll.qlCalendarAdvance(Calendar,Y2911,X2912,"f",FALSE)</f>
        <v>59510</v>
      </c>
      <c r="Z2912" s="188">
        <f>_xll.qlCalendarAdvance(Calendar,Y2912,NDays&amp;"D")</f>
        <v>59512</v>
      </c>
      <c r="AA2912" s="163">
        <v>6.4037425698876089E-3</v>
      </c>
      <c r="AB2912" s="172">
        <v>6.3782078786545071E-3</v>
      </c>
    </row>
    <row r="2913" spans="24:28" x14ac:dyDescent="0.2">
      <c r="X2913" s="176" t="str">
        <f t="shared" si="79"/>
        <v>1w</v>
      </c>
      <c r="Y2913" s="164">
        <f>_xll.qlCalendarAdvance(Calendar,Y2912,X2913,"f",FALSE)</f>
        <v>59517</v>
      </c>
      <c r="Z2913" s="188">
        <f>_xll.qlCalendarAdvance(Calendar,Y2913,NDays&amp;"D")</f>
        <v>59519</v>
      </c>
      <c r="AA2913" s="163">
        <v>6.4050909535363016E-3</v>
      </c>
      <c r="AB2913" s="172">
        <v>6.3791071042285097E-3</v>
      </c>
    </row>
    <row r="2914" spans="24:28" x14ac:dyDescent="0.2">
      <c r="X2914" s="176" t="str">
        <f t="shared" si="79"/>
        <v>1w</v>
      </c>
      <c r="Y2914" s="164">
        <f>_xll.qlCalendarAdvance(Calendar,Y2913,X2914,"f",FALSE)</f>
        <v>59524</v>
      </c>
      <c r="Z2914" s="188">
        <f>_xll.qlCalendarAdvance(Calendar,Y2914,NDays&amp;"D")</f>
        <v>59526</v>
      </c>
      <c r="AA2914" s="163">
        <v>6.4064738556825042E-3</v>
      </c>
      <c r="AB2914" s="172">
        <v>6.3800407365199874E-3</v>
      </c>
    </row>
    <row r="2915" spans="24:28" x14ac:dyDescent="0.2">
      <c r="X2915" s="176" t="str">
        <f t="shared" si="79"/>
        <v>1w</v>
      </c>
      <c r="Y2915" s="164">
        <f>_xll.qlCalendarAdvance(Calendar,Y2914,X2915,"f",FALSE)</f>
        <v>59532</v>
      </c>
      <c r="Z2915" s="188">
        <f>_xll.qlCalendarAdvance(Calendar,Y2915,NDays&amp;"D")</f>
        <v>59534</v>
      </c>
      <c r="AA2915" s="163">
        <v>6.4080965829199218E-3</v>
      </c>
      <c r="AB2915" s="172">
        <v>6.3815329572469714E-3</v>
      </c>
    </row>
    <row r="2916" spans="24:28" x14ac:dyDescent="0.2">
      <c r="X2916" s="176" t="str">
        <f t="shared" si="79"/>
        <v>1w</v>
      </c>
      <c r="Y2916" s="164">
        <f>_xll.qlCalendarAdvance(Calendar,Y2915,X2916,"f",FALSE)</f>
        <v>59539</v>
      </c>
      <c r="Z2916" s="188">
        <f>_xll.qlCalendarAdvance(Calendar,Y2916,NDays&amp;"D")</f>
        <v>59541</v>
      </c>
      <c r="AA2916" s="163">
        <v>6.4093805969785015E-3</v>
      </c>
      <c r="AB2916" s="172">
        <v>6.3824173383419947E-3</v>
      </c>
    </row>
    <row r="2917" spans="24:28" x14ac:dyDescent="0.2">
      <c r="X2917" s="176" t="str">
        <f t="shared" si="79"/>
        <v>1w</v>
      </c>
      <c r="Y2917" s="164">
        <f>_xll.qlCalendarAdvance(Calendar,Y2916,X2917,"f",FALSE)</f>
        <v>59546</v>
      </c>
      <c r="Z2917" s="188">
        <f>_xll.qlCalendarAdvance(Calendar,Y2917,NDays&amp;"D")</f>
        <v>59548</v>
      </c>
      <c r="AA2917" s="163">
        <v>6.4108694942080968E-3</v>
      </c>
      <c r="AB2917" s="172">
        <v>6.3834640585991309E-3</v>
      </c>
    </row>
    <row r="2918" spans="24:28" x14ac:dyDescent="0.2">
      <c r="X2918" s="176" t="str">
        <f t="shared" si="79"/>
        <v>1w</v>
      </c>
      <c r="Y2918" s="164">
        <f>_xll.qlCalendarAdvance(Calendar,Y2917,X2918,"f",FALSE)</f>
        <v>59553</v>
      </c>
      <c r="Z2918" s="188">
        <f>_xll.qlCalendarAdvance(Calendar,Y2918,NDays&amp;"D")</f>
        <v>59555</v>
      </c>
      <c r="AA2918" s="163">
        <v>6.4123929096191546E-3</v>
      </c>
      <c r="AB2918" s="172">
        <v>6.3845451867727832E-3</v>
      </c>
    </row>
    <row r="2919" spans="24:28" x14ac:dyDescent="0.2">
      <c r="X2919" s="176" t="str">
        <f t="shared" si="79"/>
        <v>1w</v>
      </c>
      <c r="Y2919" s="164">
        <f>_xll.qlCalendarAdvance(Calendar,Y2918,X2919,"f",FALSE)</f>
        <v>59560</v>
      </c>
      <c r="Z2919" s="188">
        <f>_xll.qlCalendarAdvance(Calendar,Y2919,NDays&amp;"D")</f>
        <v>59562</v>
      </c>
      <c r="AA2919" s="163">
        <v>6.413950843292493E-3</v>
      </c>
      <c r="AB2919" s="172">
        <v>6.3856607229695328E-3</v>
      </c>
    </row>
    <row r="2920" spans="24:28" x14ac:dyDescent="0.2">
      <c r="X2920" s="176" t="str">
        <f t="shared" si="79"/>
        <v>1w</v>
      </c>
      <c r="Y2920" s="164">
        <f>_xll.qlCalendarAdvance(Calendar,Y2919,X2920,"f",FALSE)</f>
        <v>59567</v>
      </c>
      <c r="Z2920" s="188">
        <f>_xll.qlCalendarAdvance(Calendar,Y2920,NDays&amp;"D")</f>
        <v>59569</v>
      </c>
      <c r="AA2920" s="163">
        <v>6.4155432953084922E-3</v>
      </c>
      <c r="AB2920" s="172">
        <v>6.3868106671360891E-3</v>
      </c>
    </row>
    <row r="2921" spans="24:28" x14ac:dyDescent="0.2">
      <c r="X2921" s="176" t="str">
        <f t="shared" si="79"/>
        <v>1w</v>
      </c>
      <c r="Y2921" s="164">
        <f>_xll.qlCalendarAdvance(Calendar,Y2920,X2921,"f",FALSE)</f>
        <v>59574</v>
      </c>
      <c r="Z2921" s="188">
        <f>_xll.qlCalendarAdvance(Calendar,Y2921,NDays&amp;"D")</f>
        <v>59576</v>
      </c>
      <c r="AA2921" s="163">
        <v>6.4171702657506192E-3</v>
      </c>
      <c r="AB2921" s="172">
        <v>6.3879950193523882E-3</v>
      </c>
    </row>
    <row r="2922" spans="24:28" x14ac:dyDescent="0.2">
      <c r="X2922" s="176" t="str">
        <f t="shared" si="79"/>
        <v>1w</v>
      </c>
      <c r="Y2922" s="164">
        <f>_xll.qlCalendarAdvance(Calendar,Y2921,X2922,"f",FALSE)</f>
        <v>59581</v>
      </c>
      <c r="Z2922" s="188">
        <f>_xll.qlCalendarAdvance(Calendar,Y2922,NDays&amp;"D")</f>
        <v>59583</v>
      </c>
      <c r="AA2922" s="163">
        <v>6.418831754700577E-3</v>
      </c>
      <c r="AB2922" s="172">
        <v>6.3892137794852033E-3</v>
      </c>
    </row>
    <row r="2923" spans="24:28" x14ac:dyDescent="0.2">
      <c r="X2923" s="176" t="str">
        <f t="shared" si="79"/>
        <v>1w</v>
      </c>
      <c r="Y2923" s="164">
        <f>_xll.qlCalendarAdvance(Calendar,Y2922,X2923,"f",FALSE)</f>
        <v>59588</v>
      </c>
      <c r="Z2923" s="188">
        <f>_xll.qlCalendarAdvance(Calendar,Y2923,NDays&amp;"D")</f>
        <v>59590</v>
      </c>
      <c r="AA2923" s="163">
        <v>6.4205277622475763E-3</v>
      </c>
      <c r="AB2923" s="172">
        <v>6.3904669476144704E-3</v>
      </c>
    </row>
    <row r="2924" spans="24:28" x14ac:dyDescent="0.2">
      <c r="X2924" s="176" t="str">
        <f t="shared" si="79"/>
        <v>1w</v>
      </c>
      <c r="Y2924" s="164">
        <f>_xll.qlCalendarAdvance(Calendar,Y2923,X2924,"f",FALSE)</f>
        <v>59595</v>
      </c>
      <c r="Z2924" s="188">
        <f>_xll.qlCalendarAdvance(Calendar,Y2924,NDays&amp;"D")</f>
        <v>59597</v>
      </c>
      <c r="AA2924" s="163">
        <v>6.4230309742451409E-3</v>
      </c>
      <c r="AB2924" s="172">
        <v>6.3917545237934803E-3</v>
      </c>
    </row>
    <row r="2925" spans="24:28" x14ac:dyDescent="0.2">
      <c r="X2925" s="176" t="str">
        <f t="shared" si="79"/>
        <v>1w</v>
      </c>
      <c r="Y2925" s="164">
        <f>_xll.qlCalendarAdvance(Calendar,Y2924,X2925,"f",FALSE)</f>
        <v>59602</v>
      </c>
      <c r="Z2925" s="188">
        <f>_xll.qlCalendarAdvance(Calendar,Y2925,NDays&amp;"D")</f>
        <v>59604</v>
      </c>
      <c r="AA2925" s="163">
        <v>6.4248060082943998E-3</v>
      </c>
      <c r="AB2925" s="172">
        <v>6.3930765079422969E-3</v>
      </c>
    </row>
    <row r="2926" spans="24:28" x14ac:dyDescent="0.2">
      <c r="X2926" s="176" t="str">
        <f t="shared" si="79"/>
        <v>1w</v>
      </c>
      <c r="Y2926" s="164">
        <f>_xll.qlCalendarAdvance(Calendar,Y2925,X2926,"f",FALSE)</f>
        <v>59609</v>
      </c>
      <c r="Z2926" s="188">
        <f>_xll.qlCalendarAdvance(Calendar,Y2926,NDays&amp;"D")</f>
        <v>59611</v>
      </c>
      <c r="AA2926" s="163">
        <v>6.4266155637317844E-3</v>
      </c>
      <c r="AB2926" s="172">
        <v>6.3944329000609201E-3</v>
      </c>
    </row>
    <row r="2927" spans="24:28" x14ac:dyDescent="0.2">
      <c r="X2927" s="176" t="str">
        <f t="shared" si="79"/>
        <v>1w</v>
      </c>
      <c r="Y2927" s="164">
        <f>_xll.qlCalendarAdvance(Calendar,Y2926,X2927,"f",FALSE)</f>
        <v>59616</v>
      </c>
      <c r="Z2927" s="188">
        <f>_xll.qlCalendarAdvance(Calendar,Y2927,NDays&amp;"D")</f>
        <v>59618</v>
      </c>
      <c r="AA2927" s="163">
        <v>6.4284596406540837E-3</v>
      </c>
      <c r="AB2927" s="172">
        <v>6.3958237002026408E-3</v>
      </c>
    </row>
    <row r="2928" spans="24:28" x14ac:dyDescent="0.2">
      <c r="X2928" s="176" t="str">
        <f t="shared" si="79"/>
        <v>1w</v>
      </c>
      <c r="Y2928" s="164">
        <f>_xll.qlCalendarAdvance(Calendar,Y2927,X2928,"f",FALSE)</f>
        <v>59623</v>
      </c>
      <c r="Z2928" s="188">
        <f>_xll.qlCalendarAdvance(Calendar,Y2928,NDays&amp;"D")</f>
        <v>59625</v>
      </c>
      <c r="AA2928" s="163">
        <v>6.4297283852728111E-3</v>
      </c>
      <c r="AB2928" s="172">
        <v>6.3972489083141681E-3</v>
      </c>
    </row>
    <row r="2929" spans="24:28" x14ac:dyDescent="0.2">
      <c r="X2929" s="176" t="str">
        <f t="shared" si="79"/>
        <v>1w</v>
      </c>
      <c r="Y2929" s="164">
        <f>_xll.qlCalendarAdvance(Calendar,Y2928,X2929,"f",FALSE)</f>
        <v>59630</v>
      </c>
      <c r="Z2929" s="188">
        <f>_xll.qlCalendarAdvance(Calendar,Y2929,NDays&amp;"D")</f>
        <v>59632</v>
      </c>
      <c r="AA2929" s="163">
        <v>6.4322513593435974E-3</v>
      </c>
      <c r="AB2929" s="172">
        <v>6.3987085244487929E-3</v>
      </c>
    </row>
    <row r="2930" spans="24:28" x14ac:dyDescent="0.2">
      <c r="X2930" s="176" t="str">
        <f t="shared" si="79"/>
        <v>1w</v>
      </c>
      <c r="Y2930" s="164">
        <f>_xll.qlCalendarAdvance(Calendar,Y2929,X2930,"f",FALSE)</f>
        <v>59637</v>
      </c>
      <c r="Z2930" s="188">
        <f>_xll.qlCalendarAdvance(Calendar,Y2930,NDays&amp;"D")</f>
        <v>59643</v>
      </c>
      <c r="AA2930" s="163">
        <v>6.4349077701420137E-3</v>
      </c>
      <c r="AB2930" s="172">
        <v>6.4007393388720857E-3</v>
      </c>
    </row>
    <row r="2931" spans="24:28" x14ac:dyDescent="0.2">
      <c r="X2931" s="176" t="str">
        <f t="shared" si="79"/>
        <v>1w</v>
      </c>
      <c r="Y2931" s="164">
        <f>_xll.qlCalendarAdvance(Calendar,Y2930,X2931,"f",FALSE)</f>
        <v>59644</v>
      </c>
      <c r="Z2931" s="188">
        <f>_xll.qlCalendarAdvance(Calendar,Y2931,NDays&amp;"D")</f>
        <v>59646</v>
      </c>
      <c r="AA2931" s="163">
        <v>6.4361811651683512E-3</v>
      </c>
      <c r="AB2931" s="172">
        <v>6.4017309807073985E-3</v>
      </c>
    </row>
    <row r="2932" spans="24:28" x14ac:dyDescent="0.2">
      <c r="X2932" s="176" t="str">
        <f t="shared" si="79"/>
        <v>1w</v>
      </c>
      <c r="Y2932" s="164">
        <f>_xll.qlCalendarAdvance(Calendar,Y2931,X2932,"f",FALSE)</f>
        <v>59651</v>
      </c>
      <c r="Z2932" s="188">
        <f>_xll.qlCalendarAdvance(Calendar,Y2932,NDays&amp;"D")</f>
        <v>59653</v>
      </c>
      <c r="AA2932" s="163">
        <v>6.4381978510158573E-3</v>
      </c>
      <c r="AB2932" s="172">
        <v>6.4032938208313794E-3</v>
      </c>
    </row>
    <row r="2933" spans="24:28" x14ac:dyDescent="0.2">
      <c r="X2933" s="176" t="str">
        <f t="shared" si="79"/>
        <v>1w</v>
      </c>
      <c r="Y2933" s="164">
        <f>_xll.qlCalendarAdvance(Calendar,Y2932,X2933,"f",FALSE)</f>
        <v>59658</v>
      </c>
      <c r="Z2933" s="188">
        <f>_xll.qlCalendarAdvance(Calendar,Y2933,NDays&amp;"D")</f>
        <v>59660</v>
      </c>
      <c r="AA2933" s="163">
        <v>6.4402490589618409E-3</v>
      </c>
      <c r="AB2933" s="172">
        <v>6.404891068925167E-3</v>
      </c>
    </row>
    <row r="2934" spans="24:28" x14ac:dyDescent="0.2">
      <c r="X2934" s="176" t="str">
        <f t="shared" si="79"/>
        <v>1w</v>
      </c>
      <c r="Y2934" s="164">
        <f>_xll.qlCalendarAdvance(Calendar,Y2933,X2934,"f",FALSE)</f>
        <v>59665</v>
      </c>
      <c r="Z2934" s="188">
        <f>_xll.qlCalendarAdvance(Calendar,Y2934,NDays&amp;"D")</f>
        <v>59667</v>
      </c>
      <c r="AA2934" s="163">
        <v>6.4423347891147545E-3</v>
      </c>
      <c r="AB2934" s="172">
        <v>6.4065227250686974E-3</v>
      </c>
    </row>
    <row r="2935" spans="24:28" x14ac:dyDescent="0.2">
      <c r="X2935" s="176" t="str">
        <f t="shared" si="79"/>
        <v>1w</v>
      </c>
      <c r="Y2935" s="164">
        <f>_xll.qlCalendarAdvance(Calendar,Y2934,X2935,"f",FALSE)</f>
        <v>59672</v>
      </c>
      <c r="Z2935" s="188">
        <f>_xll.qlCalendarAdvance(Calendar,Y2935,NDays&amp;"D")</f>
        <v>59674</v>
      </c>
      <c r="AA2935" s="163">
        <v>6.4444550415869422E-3</v>
      </c>
      <c r="AB2935" s="172">
        <v>6.4081887892086797E-3</v>
      </c>
    </row>
    <row r="2936" spans="24:28" x14ac:dyDescent="0.2">
      <c r="X2936" s="176" t="str">
        <f t="shared" si="79"/>
        <v>1w</v>
      </c>
      <c r="Y2936" s="164">
        <f>_xll.qlCalendarAdvance(Calendar,Y2935,X2936,"f",FALSE)</f>
        <v>59679</v>
      </c>
      <c r="Z2936" s="188">
        <f>_xll.qlCalendarAdvance(Calendar,Y2936,NDays&amp;"D")</f>
        <v>59681</v>
      </c>
      <c r="AA2936" s="163">
        <v>6.4466098164885858E-3</v>
      </c>
      <c r="AB2936" s="172">
        <v>6.4098892613451142E-3</v>
      </c>
    </row>
    <row r="2937" spans="24:28" x14ac:dyDescent="0.2">
      <c r="X2937" s="176" t="str">
        <f t="shared" si="79"/>
        <v>1w</v>
      </c>
      <c r="Y2937" s="164">
        <f>_xll.qlCalendarAdvance(Calendar,Y2936,X2937,"f",FALSE)</f>
        <v>59686</v>
      </c>
      <c r="Z2937" s="188">
        <f>_xll.qlCalendarAdvance(Calendar,Y2937,NDays&amp;"D")</f>
        <v>59688</v>
      </c>
      <c r="AA2937" s="163">
        <v>6.4487991139363481E-3</v>
      </c>
      <c r="AB2937" s="172">
        <v>6.411624141504646E-3</v>
      </c>
    </row>
    <row r="2938" spans="24:28" x14ac:dyDescent="0.2">
      <c r="X2938" s="176" t="str">
        <f t="shared" si="79"/>
        <v>1w</v>
      </c>
      <c r="Y2938" s="164">
        <f>_xll.qlCalendarAdvance(Calendar,Y2937,X2938,"f",FALSE)</f>
        <v>59693</v>
      </c>
      <c r="Z2938" s="188">
        <f>_xll.qlCalendarAdvance(Calendar,Y2938,NDays&amp;"D")</f>
        <v>59695</v>
      </c>
      <c r="AA2938" s="163">
        <v>6.4510229340443001E-3</v>
      </c>
      <c r="AB2938" s="172">
        <v>6.4133934296872752E-3</v>
      </c>
    </row>
    <row r="2939" spans="24:28" x14ac:dyDescent="0.2">
      <c r="X2939" s="176" t="str">
        <f t="shared" si="79"/>
        <v>1w</v>
      </c>
      <c r="Y2939" s="164">
        <f>_xll.qlCalendarAdvance(Calendar,Y2938,X2939,"f",FALSE)</f>
        <v>59700</v>
      </c>
      <c r="Z2939" s="188">
        <f>_xll.qlCalendarAdvance(Calendar,Y2939,NDays&amp;"D")</f>
        <v>59702</v>
      </c>
      <c r="AA2939" s="163">
        <v>6.453281276930835E-3</v>
      </c>
      <c r="AB2939" s="172">
        <v>6.4151971258130658E-3</v>
      </c>
    </row>
    <row r="2940" spans="24:28" x14ac:dyDescent="0.2">
      <c r="X2940" s="176" t="str">
        <f t="shared" si="79"/>
        <v>1w</v>
      </c>
      <c r="Y2940" s="164">
        <f>_xll.qlCalendarAdvance(Calendar,Y2939,X2940,"f",FALSE)</f>
        <v>59707</v>
      </c>
      <c r="Z2940" s="188">
        <f>_xll.qlCalendarAdvance(Calendar,Y2940,NDays&amp;"D")</f>
        <v>59709</v>
      </c>
      <c r="AA2940" s="163">
        <v>6.455574142717367E-3</v>
      </c>
      <c r="AB2940" s="172">
        <v>6.4170352300418898E-3</v>
      </c>
    </row>
    <row r="2941" spans="24:28" x14ac:dyDescent="0.2">
      <c r="X2941" s="176" t="str">
        <f t="shared" si="79"/>
        <v>1w</v>
      </c>
      <c r="Y2941" s="164">
        <f>_xll.qlCalendarAdvance(Calendar,Y2940,X2941,"f",FALSE)</f>
        <v>59714</v>
      </c>
      <c r="Z2941" s="188">
        <f>_xll.qlCalendarAdvance(Calendar,Y2941,NDays&amp;"D")</f>
        <v>59716</v>
      </c>
      <c r="AA2941" s="163">
        <v>6.4579015315235858E-3</v>
      </c>
      <c r="AB2941" s="172">
        <v>6.4189077422405205E-3</v>
      </c>
    </row>
    <row r="2942" spans="24:28" x14ac:dyDescent="0.2">
      <c r="X2942" s="176" t="str">
        <f t="shared" si="79"/>
        <v>1w</v>
      </c>
      <c r="Y2942" s="164">
        <f>_xll.qlCalendarAdvance(Calendar,Y2941,X2942,"f",FALSE)</f>
        <v>59721</v>
      </c>
      <c r="Z2942" s="188">
        <f>_xll.qlCalendarAdvance(Calendar,Y2942,NDays&amp;"D")</f>
        <v>59723</v>
      </c>
      <c r="AA2942" s="163">
        <v>6.4602634434734992E-3</v>
      </c>
      <c r="AB2942" s="172">
        <v>6.4208146624622486E-3</v>
      </c>
    </row>
    <row r="2943" spans="24:28" x14ac:dyDescent="0.2">
      <c r="X2943" s="176" t="str">
        <f t="shared" si="79"/>
        <v>1w</v>
      </c>
      <c r="Y2943" s="164">
        <f>_xll.qlCalendarAdvance(Calendar,Y2942,X2943,"f",FALSE)</f>
        <v>59728</v>
      </c>
      <c r="Z2943" s="188">
        <f>_xll.qlCalendarAdvance(Calendar,Y2943,NDays&amp;"D")</f>
        <v>59730</v>
      </c>
      <c r="AA2943" s="163">
        <v>6.4626598786928459E-3</v>
      </c>
      <c r="AB2943" s="172">
        <v>6.4227559907070741E-3</v>
      </c>
    </row>
    <row r="2944" spans="24:28" x14ac:dyDescent="0.2">
      <c r="X2944" s="176" t="str">
        <f t="shared" si="79"/>
        <v>1w</v>
      </c>
      <c r="Y2944" s="164">
        <f>_xll.qlCalendarAdvance(Calendar,Y2943,X2944,"f",FALSE)</f>
        <v>59735</v>
      </c>
      <c r="Z2944" s="188">
        <f>_xll.qlCalendarAdvance(Calendar,Y2944,NDays&amp;"D")</f>
        <v>59737</v>
      </c>
      <c r="AA2944" s="163">
        <v>6.465090837308226E-3</v>
      </c>
      <c r="AB2944" s="172">
        <v>6.4247317269483517E-3</v>
      </c>
    </row>
    <row r="2945" spans="24:28" x14ac:dyDescent="0.2">
      <c r="X2945" s="176" t="str">
        <f t="shared" si="79"/>
        <v>1w</v>
      </c>
      <c r="Y2945" s="164">
        <f>_xll.qlCalendarAdvance(Calendar,Y2944,X2945,"f",FALSE)</f>
        <v>59742</v>
      </c>
      <c r="Z2945" s="188">
        <f>_xll.qlCalendarAdvance(Calendar,Y2945,NDays&amp;"D")</f>
        <v>59744</v>
      </c>
      <c r="AA2945" s="163">
        <v>6.467556319449265E-3</v>
      </c>
      <c r="AB2945" s="172">
        <v>6.426741871239372E-3</v>
      </c>
    </row>
    <row r="2946" spans="24:28" x14ac:dyDescent="0.2">
      <c r="X2946" s="176" t="str">
        <f t="shared" si="79"/>
        <v>1w</v>
      </c>
      <c r="Y2946" s="164">
        <f>_xll.qlCalendarAdvance(Calendar,Y2945,X2946,"f",FALSE)</f>
        <v>59749</v>
      </c>
      <c r="Z2946" s="188">
        <f>_xll.qlCalendarAdvance(Calendar,Y2946,NDays&amp;"D")</f>
        <v>59751</v>
      </c>
      <c r="AA2946" s="163">
        <v>6.4700563252455909E-3</v>
      </c>
      <c r="AB2946" s="172">
        <v>6.4287864235268444E-3</v>
      </c>
    </row>
    <row r="2947" spans="24:28" x14ac:dyDescent="0.2">
      <c r="X2947" s="176" t="str">
        <f t="shared" si="79"/>
        <v>1w</v>
      </c>
      <c r="Y2947" s="164">
        <f>_xll.qlCalendarAdvance(Calendar,Y2946,X2947,"f",FALSE)</f>
        <v>59756</v>
      </c>
      <c r="Z2947" s="188">
        <f>_xll.qlCalendarAdvance(Calendar,Y2947,NDays&amp;"D")</f>
        <v>59758</v>
      </c>
      <c r="AA2947" s="163">
        <v>6.4725908548307178E-3</v>
      </c>
      <c r="AB2947" s="172">
        <v>6.4308653838374141E-3</v>
      </c>
    </row>
    <row r="2948" spans="24:28" x14ac:dyDescent="0.2">
      <c r="X2948" s="176" t="str">
        <f t="shared" si="79"/>
        <v>1w</v>
      </c>
      <c r="Y2948" s="164">
        <f>_xll.qlCalendarAdvance(Calendar,Y2947,X2948,"f",FALSE)</f>
        <v>59763</v>
      </c>
      <c r="Z2948" s="188">
        <f>_xll.qlCalendarAdvance(Calendar,Y2948,NDays&amp;"D")</f>
        <v>59765</v>
      </c>
      <c r="AA2948" s="163">
        <v>6.475159908339888E-3</v>
      </c>
      <c r="AB2948" s="172">
        <v>6.432978752224372E-3</v>
      </c>
    </row>
    <row r="2949" spans="24:28" x14ac:dyDescent="0.2">
      <c r="X2949" s="176" t="str">
        <f t="shared" si="79"/>
        <v>1w</v>
      </c>
      <c r="Y2949" s="164">
        <f>_xll.qlCalendarAdvance(Calendar,Y2948,X2949,"f",FALSE)</f>
        <v>59770</v>
      </c>
      <c r="Z2949" s="188">
        <f>_xll.qlCalendarAdvance(Calendar,Y2949,NDays&amp;"D")</f>
        <v>59772</v>
      </c>
      <c r="AA2949" s="163">
        <v>6.477763485907481E-3</v>
      </c>
      <c r="AB2949" s="172">
        <v>6.4351265286344272E-3</v>
      </c>
    </row>
    <row r="2950" spans="24:28" x14ac:dyDescent="0.2">
      <c r="X2950" s="176" t="str">
        <f t="shared" si="79"/>
        <v>1w</v>
      </c>
      <c r="Y2950" s="164">
        <f>_xll.qlCalendarAdvance(Calendar,Y2949,X2950,"f",FALSE)</f>
        <v>59777</v>
      </c>
      <c r="Z2950" s="188">
        <f>_xll.qlCalendarAdvance(Calendar,Y2950,NDays&amp;"D")</f>
        <v>59779</v>
      </c>
      <c r="AA2950" s="163">
        <v>6.4796263023800113E-3</v>
      </c>
      <c r="AB2950" s="172">
        <v>6.4373087130142892E-3</v>
      </c>
    </row>
    <row r="2951" spans="24:28" x14ac:dyDescent="0.2">
      <c r="X2951" s="176" t="str">
        <f t="shared" si="79"/>
        <v>1w</v>
      </c>
      <c r="Y2951" s="164">
        <f>_xll.qlCalendarAdvance(Calendar,Y2950,X2951,"f",FALSE)</f>
        <v>59784</v>
      </c>
      <c r="Z2951" s="188">
        <f>_xll.qlCalendarAdvance(Calendar,Y2951,NDays&amp;"D")</f>
        <v>59786</v>
      </c>
      <c r="AA2951" s="163">
        <v>6.4822913866502043E-3</v>
      </c>
      <c r="AB2951" s="172">
        <v>6.4395253054705393E-3</v>
      </c>
    </row>
    <row r="2952" spans="24:28" x14ac:dyDescent="0.2">
      <c r="X2952" s="176" t="str">
        <f t="shared" si="79"/>
        <v>1w</v>
      </c>
      <c r="Y2952" s="164">
        <f>_xll.qlCalendarAdvance(Calendar,Y2951,X2952,"f",FALSE)</f>
        <v>59791</v>
      </c>
      <c r="Z2952" s="188">
        <f>_xll.qlCalendarAdvance(Calendar,Y2952,NDays&amp;"D")</f>
        <v>59793</v>
      </c>
      <c r="AA2952" s="163">
        <v>6.4849909934458954E-3</v>
      </c>
      <c r="AB2952" s="172">
        <v>6.4417763059232414E-3</v>
      </c>
    </row>
    <row r="2953" spans="24:28" x14ac:dyDescent="0.2">
      <c r="X2953" s="176" t="str">
        <f t="shared" si="79"/>
        <v>1w</v>
      </c>
      <c r="Y2953" s="164">
        <f>_xll.qlCalendarAdvance(Calendar,Y2952,X2953,"f",FALSE)</f>
        <v>59798</v>
      </c>
      <c r="Z2953" s="188">
        <f>_xll.qlCalendarAdvance(Calendar,Y2953,NDays&amp;"D")</f>
        <v>59800</v>
      </c>
      <c r="AA2953" s="163">
        <v>6.4877251229085095E-3</v>
      </c>
      <c r="AB2953" s="172">
        <v>6.4440617144256862E-3</v>
      </c>
    </row>
    <row r="2954" spans="24:28" x14ac:dyDescent="0.2">
      <c r="X2954" s="176" t="str">
        <f t="shared" si="79"/>
        <v>1w</v>
      </c>
      <c r="Y2954" s="164">
        <f>_xll.qlCalendarAdvance(Calendar,Y2953,X2954,"f",FALSE)</f>
        <v>59805</v>
      </c>
      <c r="Z2954" s="188">
        <f>_xll.qlCalendarAdvance(Calendar,Y2954,NDays&amp;"D")</f>
        <v>59807</v>
      </c>
      <c r="AA2954" s="163">
        <v>6.4912992395324571E-3</v>
      </c>
      <c r="AB2954" s="172">
        <v>6.4463815310045192E-3</v>
      </c>
    </row>
    <row r="2955" spans="24:28" x14ac:dyDescent="0.2">
      <c r="X2955" s="176" t="str">
        <f t="shared" si="79"/>
        <v>1w</v>
      </c>
      <c r="Y2955" s="164">
        <f>_xll.qlCalendarAdvance(Calendar,Y2954,X2955,"f",FALSE)</f>
        <v>59812</v>
      </c>
      <c r="Z2955" s="188">
        <f>_xll.qlCalendarAdvance(Calendar,Y2955,NDays&amp;"D")</f>
        <v>59814</v>
      </c>
      <c r="AA2955" s="163">
        <v>6.4943814555307889E-3</v>
      </c>
      <c r="AB2955" s="172">
        <v>6.4487357555798042E-3</v>
      </c>
    </row>
    <row r="2956" spans="24:28" x14ac:dyDescent="0.2">
      <c r="X2956" s="176" t="str">
        <f t="shared" si="79"/>
        <v>1w</v>
      </c>
      <c r="Y2956" s="164">
        <f>_xll.qlCalendarAdvance(Calendar,Y2955,X2956,"f",FALSE)</f>
        <v>59819</v>
      </c>
      <c r="Z2956" s="188">
        <f>_xll.qlCalendarAdvance(Calendar,Y2956,NDays&amp;"D")</f>
        <v>59821</v>
      </c>
      <c r="AA2956" s="163">
        <v>6.4969552143725046E-3</v>
      </c>
      <c r="AB2956" s="172">
        <v>6.4511243882314773E-3</v>
      </c>
    </row>
    <row r="2957" spans="24:28" x14ac:dyDescent="0.2">
      <c r="X2957" s="176" t="str">
        <f t="shared" si="79"/>
        <v>1w</v>
      </c>
      <c r="Y2957" s="164">
        <f>_xll.qlCalendarAdvance(Calendar,Y2956,X2957,"f",FALSE)</f>
        <v>59826</v>
      </c>
      <c r="Z2957" s="188">
        <f>_xll.qlCalendarAdvance(Calendar,Y2957,NDays&amp;"D")</f>
        <v>59828</v>
      </c>
      <c r="AA2957" s="163">
        <v>6.499834989540672E-3</v>
      </c>
      <c r="AB2957" s="172">
        <v>6.4535474289062478E-3</v>
      </c>
    </row>
    <row r="2958" spans="24:28" x14ac:dyDescent="0.2">
      <c r="X2958" s="176" t="str">
        <f t="shared" si="79"/>
        <v>1w</v>
      </c>
      <c r="Y2958" s="164">
        <f>_xll.qlCalendarAdvance(Calendar,Y2957,X2958,"f",FALSE)</f>
        <v>59833</v>
      </c>
      <c r="Z2958" s="188">
        <f>_xll.qlCalendarAdvance(Calendar,Y2958,NDays&amp;"D")</f>
        <v>59835</v>
      </c>
      <c r="AA2958" s="163">
        <v>6.5027492900760538E-3</v>
      </c>
      <c r="AB2958" s="172">
        <v>6.456004877630761E-3</v>
      </c>
    </row>
    <row r="2959" spans="24:28" x14ac:dyDescent="0.2">
      <c r="X2959" s="176" t="str">
        <f t="shared" si="79"/>
        <v>1w</v>
      </c>
      <c r="Y2959" s="164">
        <f>_xll.qlCalendarAdvance(Calendar,Y2958,X2959,"f",FALSE)</f>
        <v>59840</v>
      </c>
      <c r="Z2959" s="188">
        <f>_xll.qlCalendarAdvance(Calendar,Y2959,NDays&amp;"D")</f>
        <v>59842</v>
      </c>
      <c r="AA2959" s="163">
        <v>6.5048548838171402E-3</v>
      </c>
      <c r="AB2959" s="172">
        <v>6.458496734405017E-3</v>
      </c>
    </row>
    <row r="2960" spans="24:28" x14ac:dyDescent="0.2">
      <c r="X2960" s="176" t="str">
        <f t="shared" si="79"/>
        <v>1w</v>
      </c>
      <c r="Y2960" s="164">
        <f>_xll.qlCalendarAdvance(Calendar,Y2959,X2960,"f",FALSE)</f>
        <v>59847</v>
      </c>
      <c r="Z2960" s="188">
        <f>_xll.qlCalendarAdvance(Calendar,Y2960,NDays&amp;"D")</f>
        <v>59849</v>
      </c>
      <c r="AA2960" s="163">
        <v>6.5078306760469138E-3</v>
      </c>
      <c r="AB2960" s="172">
        <v>6.4610229992023704E-3</v>
      </c>
    </row>
    <row r="2961" spans="24:28" x14ac:dyDescent="0.2">
      <c r="X2961" s="176" t="str">
        <f t="shared" si="79"/>
        <v>1w</v>
      </c>
      <c r="Y2961" s="164">
        <f>_xll.qlCalendarAdvance(Calendar,Y2960,X2961,"f",FALSE)</f>
        <v>59854</v>
      </c>
      <c r="Z2961" s="188">
        <f>_xll.qlCalendarAdvance(Calendar,Y2961,NDays&amp;"D")</f>
        <v>59856</v>
      </c>
      <c r="AA2961" s="163">
        <v>6.5108409921365035E-3</v>
      </c>
      <c r="AB2961" s="172">
        <v>6.4635836721027573E-3</v>
      </c>
    </row>
    <row r="2962" spans="24:28" x14ac:dyDescent="0.2">
      <c r="X2962" s="176" t="str">
        <f t="shared" si="79"/>
        <v>1w</v>
      </c>
      <c r="Y2962" s="164">
        <f>_xll.qlCalendarAdvance(Calendar,Y2961,X2962,"f",FALSE)</f>
        <v>59861</v>
      </c>
      <c r="Z2962" s="188">
        <f>_xll.qlCalendarAdvance(Calendar,Y2962,NDays&amp;"D")</f>
        <v>59863</v>
      </c>
      <c r="AA2962" s="163">
        <v>6.5138858322413874E-3</v>
      </c>
      <c r="AB2962" s="172">
        <v>6.4661787530262416E-3</v>
      </c>
    </row>
    <row r="2963" spans="24:28" x14ac:dyDescent="0.2">
      <c r="X2963" s="176" t="str">
        <f t="shared" si="79"/>
        <v>1w</v>
      </c>
      <c r="Y2963" s="164">
        <f>_xll.qlCalendarAdvance(Calendar,Y2962,X2963,"f",FALSE)</f>
        <v>59868</v>
      </c>
      <c r="Z2963" s="188">
        <f>_xll.qlCalendarAdvance(Calendar,Y2963,NDays&amp;"D")</f>
        <v>59870</v>
      </c>
      <c r="AA2963" s="163">
        <v>6.5169651965218773E-3</v>
      </c>
      <c r="AB2963" s="172">
        <v>6.4688082420261139E-3</v>
      </c>
    </row>
    <row r="2964" spans="24:28" x14ac:dyDescent="0.2">
      <c r="X2964" s="176" t="str">
        <f t="shared" si="79"/>
        <v>1w</v>
      </c>
      <c r="Y2964" s="164">
        <f>_xll.qlCalendarAdvance(Calendar,Y2963,X2964,"f",FALSE)</f>
        <v>59875</v>
      </c>
      <c r="Z2964" s="188">
        <f>_xll.qlCalendarAdvance(Calendar,Y2964,NDays&amp;"D")</f>
        <v>59877</v>
      </c>
      <c r="AA2964" s="163">
        <v>6.5209601348092177E-3</v>
      </c>
      <c r="AB2964" s="172">
        <v>6.471472139075729E-3</v>
      </c>
    </row>
    <row r="2965" spans="24:28" x14ac:dyDescent="0.2">
      <c r="X2965" s="176" t="str">
        <f t="shared" ref="X2965:X3028" si="80">X2964</f>
        <v>1w</v>
      </c>
      <c r="Y2965" s="164">
        <f>_xll.qlCalendarAdvance(Calendar,Y2964,X2965,"f",FALSE)</f>
        <v>59882</v>
      </c>
      <c r="Z2965" s="188">
        <f>_xll.qlCalendarAdvance(Calendar,Y2965,NDays&amp;"D")</f>
        <v>59884</v>
      </c>
      <c r="AA2965" s="163">
        <v>6.5241161173539234E-3</v>
      </c>
      <c r="AB2965" s="172">
        <v>6.4741704441750869E-3</v>
      </c>
    </row>
    <row r="2966" spans="24:28" x14ac:dyDescent="0.2">
      <c r="X2966" s="176" t="str">
        <f t="shared" si="80"/>
        <v>1w</v>
      </c>
      <c r="Y2966" s="164">
        <f>_xll.qlCalendarAdvance(Calendar,Y2965,X2966,"f",FALSE)</f>
        <v>59889</v>
      </c>
      <c r="Z2966" s="188">
        <f>_xll.qlCalendarAdvance(Calendar,Y2966,NDays&amp;"D")</f>
        <v>59891</v>
      </c>
      <c r="AA2966" s="163">
        <v>6.527306626553893E-3</v>
      </c>
      <c r="AB2966" s="172">
        <v>6.4769031573508329E-3</v>
      </c>
    </row>
    <row r="2967" spans="24:28" x14ac:dyDescent="0.2">
      <c r="X2967" s="176" t="str">
        <f t="shared" si="80"/>
        <v>1w</v>
      </c>
      <c r="Y2967" s="164">
        <f>_xll.qlCalendarAdvance(Calendar,Y2966,X2967,"f",FALSE)</f>
        <v>59897</v>
      </c>
      <c r="Z2967" s="188">
        <f>_xll.qlCalendarAdvance(Calendar,Y2967,NDays&amp;"D")</f>
        <v>59901</v>
      </c>
      <c r="AA2967" s="163">
        <v>6.5310173800481198E-3</v>
      </c>
      <c r="AB2967" s="172">
        <v>6.4806083979984663E-3</v>
      </c>
    </row>
    <row r="2968" spans="24:28" x14ac:dyDescent="0.2">
      <c r="X2968" s="176" t="str">
        <f t="shared" si="80"/>
        <v>1w</v>
      </c>
      <c r="Y2968" s="164">
        <f>_xll.qlCalendarAdvance(Calendar,Y2967,X2968,"f",FALSE)</f>
        <v>59904</v>
      </c>
      <c r="Z2968" s="188">
        <f>_xll.qlCalendarAdvance(Calendar,Y2968,NDays&amp;"D")</f>
        <v>59908</v>
      </c>
      <c r="AA2968" s="163">
        <v>6.5342841641291682E-3</v>
      </c>
      <c r="AB2968" s="172">
        <v>6.4831615761473671E-3</v>
      </c>
    </row>
    <row r="2969" spans="24:28" x14ac:dyDescent="0.2">
      <c r="X2969" s="176" t="str">
        <f t="shared" si="80"/>
        <v>1w</v>
      </c>
      <c r="Y2969" s="164">
        <f>_xll.qlCalendarAdvance(Calendar,Y2968,X2969,"f",FALSE)</f>
        <v>59911</v>
      </c>
      <c r="Z2969" s="188">
        <f>_xll.qlCalendarAdvance(Calendar,Y2969,NDays&amp;"D")</f>
        <v>59915</v>
      </c>
      <c r="AA2969" s="163">
        <v>6.5375854734504657E-3</v>
      </c>
      <c r="AB2969" s="172">
        <v>6.4860072418504444E-3</v>
      </c>
    </row>
    <row r="2970" spans="24:28" x14ac:dyDescent="0.2">
      <c r="X2970" s="176" t="str">
        <f t="shared" si="80"/>
        <v>1w</v>
      </c>
      <c r="Y2970" s="164">
        <f>_xll.qlCalendarAdvance(Calendar,Y2969,X2970,"f",FALSE)</f>
        <v>59918</v>
      </c>
      <c r="Z2970" s="188">
        <f>_xll.qlCalendarAdvance(Calendar,Y2970,NDays&amp;"D")</f>
        <v>59922</v>
      </c>
      <c r="AA2970" s="163">
        <v>6.5409213081833043E-3</v>
      </c>
      <c r="AB2970" s="172">
        <v>6.4888873143509329E-3</v>
      </c>
    </row>
    <row r="2971" spans="24:28" x14ac:dyDescent="0.2">
      <c r="X2971" s="176" t="str">
        <f t="shared" si="80"/>
        <v>1w</v>
      </c>
      <c r="Y2971" s="164">
        <f>_xll.qlCalendarAdvance(Calendar,Y2970,X2971,"f",FALSE)</f>
        <v>59925</v>
      </c>
      <c r="Z2971" s="188">
        <f>_xll.qlCalendarAdvance(Calendar,Y2971,NDays&amp;"D")</f>
        <v>59929</v>
      </c>
      <c r="AA2971" s="163">
        <v>6.5442916685020495E-3</v>
      </c>
      <c r="AB2971" s="172">
        <v>6.4918017936488326E-3</v>
      </c>
    </row>
    <row r="2972" spans="24:28" x14ac:dyDescent="0.2">
      <c r="X2972" s="176" t="str">
        <f t="shared" si="80"/>
        <v>1w</v>
      </c>
      <c r="Y2972" s="164">
        <f>_xll.qlCalendarAdvance(Calendar,Y2971,X2972,"f",FALSE)</f>
        <v>59932</v>
      </c>
      <c r="Z2972" s="188">
        <f>_xll.qlCalendarAdvance(Calendar,Y2972,NDays&amp;"D")</f>
        <v>59936</v>
      </c>
      <c r="AA2972" s="163">
        <v>6.5476965545828237E-3</v>
      </c>
      <c r="AB2972" s="172">
        <v>6.4947506798240795E-3</v>
      </c>
    </row>
    <row r="2973" spans="24:28" x14ac:dyDescent="0.2">
      <c r="X2973" s="176" t="str">
        <f t="shared" si="80"/>
        <v>1w</v>
      </c>
      <c r="Y2973" s="164">
        <f>_xll.qlCalendarAdvance(Calendar,Y2972,X2973,"f",FALSE)</f>
        <v>59939</v>
      </c>
      <c r="Z2973" s="188">
        <f>_xll.qlCalendarAdvance(Calendar,Y2973,NDays&amp;"D")</f>
        <v>59943</v>
      </c>
      <c r="AA2973" s="163">
        <v>6.5511359666035078E-3</v>
      </c>
      <c r="AB2973" s="172">
        <v>6.4977339727168015E-3</v>
      </c>
    </row>
    <row r="2974" spans="24:28" x14ac:dyDescent="0.2">
      <c r="X2974" s="176" t="str">
        <f t="shared" si="80"/>
        <v>1w</v>
      </c>
      <c r="Y2974" s="164">
        <f>_xll.qlCalendarAdvance(Calendar,Y2973,X2974,"f",FALSE)</f>
        <v>59946</v>
      </c>
      <c r="Z2974" s="188">
        <f>_xll.qlCalendarAdvance(Calendar,Y2974,NDays&amp;"D")</f>
        <v>59950</v>
      </c>
      <c r="AA2974" s="163">
        <v>6.5546099047428591E-3</v>
      </c>
      <c r="AB2974" s="172">
        <v>6.5007516723269987E-3</v>
      </c>
    </row>
    <row r="2975" spans="24:28" x14ac:dyDescent="0.2">
      <c r="X2975" s="176" t="str">
        <f t="shared" si="80"/>
        <v>1w</v>
      </c>
      <c r="Y2975" s="164">
        <f>_xll.qlCalendarAdvance(Calendar,Y2974,X2975,"f",FALSE)</f>
        <v>59953</v>
      </c>
      <c r="Z2975" s="188">
        <f>_xll.qlCalendarAdvance(Calendar,Y2975,NDays&amp;"D")</f>
        <v>59957</v>
      </c>
      <c r="AA2975" s="163">
        <v>6.5581183691822706E-3</v>
      </c>
      <c r="AB2975" s="172">
        <v>6.5038037788944791E-3</v>
      </c>
    </row>
    <row r="2976" spans="24:28" x14ac:dyDescent="0.2">
      <c r="X2976" s="176" t="str">
        <f t="shared" si="80"/>
        <v>1w</v>
      </c>
      <c r="Y2976" s="164">
        <f>_xll.qlCalendarAdvance(Calendar,Y2975,X2976,"f",FALSE)</f>
        <v>59960</v>
      </c>
      <c r="Z2976" s="188">
        <f>_xll.qlCalendarAdvance(Calendar,Y2976,NDays&amp;"D")</f>
        <v>59964</v>
      </c>
      <c r="AA2976" s="163">
        <v>6.5623112943447512E-3</v>
      </c>
      <c r="AB2976" s="172">
        <v>6.5068902920994987E-3</v>
      </c>
    </row>
    <row r="2977" spans="24:28" x14ac:dyDescent="0.2">
      <c r="X2977" s="176" t="str">
        <f t="shared" si="80"/>
        <v>1w</v>
      </c>
      <c r="Y2977" s="164">
        <f>_xll.qlCalendarAdvance(Calendar,Y2976,X2977,"f",FALSE)</f>
        <v>59967</v>
      </c>
      <c r="Z2977" s="188">
        <f>_xll.qlCalendarAdvance(Calendar,Y2977,NDays&amp;"D")</f>
        <v>59971</v>
      </c>
      <c r="AA2977" s="163">
        <v>6.5658938747970505E-3</v>
      </c>
      <c r="AB2977" s="172">
        <v>6.5100112122618015E-3</v>
      </c>
    </row>
    <row r="2978" spans="24:28" x14ac:dyDescent="0.2">
      <c r="X2978" s="176" t="str">
        <f t="shared" si="80"/>
        <v>1w</v>
      </c>
      <c r="Y2978" s="164">
        <f>_xll.qlCalendarAdvance(Calendar,Y2977,X2978,"f",FALSE)</f>
        <v>59974</v>
      </c>
      <c r="Z2978" s="188">
        <f>_xll.qlCalendarAdvance(Calendar,Y2978,NDays&amp;"D")</f>
        <v>59978</v>
      </c>
      <c r="AA2978" s="163">
        <v>6.5695109834605098E-3</v>
      </c>
      <c r="AB2978" s="172">
        <v>6.5131665391415794E-3</v>
      </c>
    </row>
    <row r="2979" spans="24:28" x14ac:dyDescent="0.2">
      <c r="X2979" s="176" t="str">
        <f t="shared" si="80"/>
        <v>1w</v>
      </c>
      <c r="Y2979" s="164">
        <f>_xll.qlCalendarAdvance(Calendar,Y2978,X2979,"f",FALSE)</f>
        <v>59981</v>
      </c>
      <c r="Z2979" s="188">
        <f>_xll.qlCalendarAdvance(Calendar,Y2979,NDays&amp;"D")</f>
        <v>59985</v>
      </c>
      <c r="AA2979" s="163">
        <v>6.5731626205267147E-3</v>
      </c>
      <c r="AB2979" s="172">
        <v>6.5163562727388324E-3</v>
      </c>
    </row>
    <row r="2980" spans="24:28" x14ac:dyDescent="0.2">
      <c r="X2980" s="176" t="str">
        <f t="shared" si="80"/>
        <v>1w</v>
      </c>
      <c r="Y2980" s="164">
        <f>_xll.qlCalendarAdvance(Calendar,Y2979,X2980,"f",FALSE)</f>
        <v>59988</v>
      </c>
      <c r="Z2980" s="188">
        <f>_xll.qlCalendarAdvance(Calendar,Y2980,NDays&amp;"D")</f>
        <v>59992</v>
      </c>
      <c r="AA2980" s="163">
        <v>6.5765135664518385E-3</v>
      </c>
      <c r="AB2980" s="172">
        <v>6.5195804132933688E-3</v>
      </c>
    </row>
    <row r="2981" spans="24:28" x14ac:dyDescent="0.2">
      <c r="X2981" s="176" t="str">
        <f t="shared" si="80"/>
        <v>1w</v>
      </c>
      <c r="Y2981" s="164">
        <f>_xll.qlCalendarAdvance(Calendar,Y2980,X2981,"f",FALSE)</f>
        <v>59995</v>
      </c>
      <c r="Z2981" s="188">
        <f>_xll.qlCalendarAdvance(Calendar,Y2981,NDays&amp;"D")</f>
        <v>60001</v>
      </c>
      <c r="AA2981" s="163">
        <v>6.5813004001279455E-3</v>
      </c>
      <c r="AB2981" s="172">
        <v>6.5237762935765886E-3</v>
      </c>
    </row>
    <row r="2982" spans="24:28" x14ac:dyDescent="0.2">
      <c r="X2982" s="176" t="str">
        <f t="shared" si="80"/>
        <v>1w</v>
      </c>
      <c r="Y2982" s="164">
        <f>_xll.qlCalendarAdvance(Calendar,Y2981,X2982,"f",FALSE)</f>
        <v>60002</v>
      </c>
      <c r="Z2982" s="188">
        <f>_xll.qlCalendarAdvance(Calendar,Y2982,NDays&amp;"D")</f>
        <v>60006</v>
      </c>
      <c r="AA2982" s="163">
        <v>6.5839844152561292E-3</v>
      </c>
      <c r="AB2982" s="172">
        <v>6.5261319145548669E-3</v>
      </c>
    </row>
    <row r="2983" spans="24:28" x14ac:dyDescent="0.2">
      <c r="X2983" s="176" t="str">
        <f t="shared" si="80"/>
        <v>1w</v>
      </c>
      <c r="Y2983" s="164">
        <f>_xll.qlCalendarAdvance(Calendar,Y2982,X2983,"f",FALSE)</f>
        <v>60009</v>
      </c>
      <c r="Z2983" s="188">
        <f>_xll.qlCalendarAdvance(Calendar,Y2983,NDays&amp;"D")</f>
        <v>60013</v>
      </c>
      <c r="AA2983" s="163">
        <v>6.5877716323088807E-3</v>
      </c>
      <c r="AB2983" s="172">
        <v>6.5294592754217007E-3</v>
      </c>
    </row>
    <row r="2984" spans="24:28" x14ac:dyDescent="0.2">
      <c r="X2984" s="176" t="str">
        <f t="shared" si="80"/>
        <v>1w</v>
      </c>
      <c r="Y2984" s="164">
        <f>_xll.qlCalendarAdvance(Calendar,Y2983,X2984,"f",FALSE)</f>
        <v>60016</v>
      </c>
      <c r="Z2984" s="188">
        <f>_xll.qlCalendarAdvance(Calendar,Y2984,NDays&amp;"D")</f>
        <v>60020</v>
      </c>
      <c r="AA2984" s="163">
        <v>6.59159337806022E-3</v>
      </c>
      <c r="AB2984" s="172">
        <v>6.5328210430859457E-3</v>
      </c>
    </row>
    <row r="2985" spans="24:28" x14ac:dyDescent="0.2">
      <c r="X2985" s="176" t="str">
        <f t="shared" si="80"/>
        <v>1w</v>
      </c>
      <c r="Y2985" s="164">
        <f>_xll.qlCalendarAdvance(Calendar,Y2984,X2985,"f",FALSE)</f>
        <v>60024</v>
      </c>
      <c r="Z2985" s="188">
        <f>_xll.qlCalendarAdvance(Calendar,Y2985,NDays&amp;"D")</f>
        <v>60028</v>
      </c>
      <c r="AA2985" s="163">
        <v>6.5963516278345485E-3</v>
      </c>
      <c r="AB2985" s="172">
        <v>6.5367051940867782E-3</v>
      </c>
    </row>
    <row r="2986" spans="24:28" x14ac:dyDescent="0.2">
      <c r="X2986" s="176" t="str">
        <f t="shared" si="80"/>
        <v>1w</v>
      </c>
      <c r="Y2986" s="164">
        <f>_xll.qlCalendarAdvance(Calendar,Y2985,X2986,"f",FALSE)</f>
        <v>60031</v>
      </c>
      <c r="Z2986" s="188">
        <f>_xll.qlCalendarAdvance(Calendar,Y2986,NDays&amp;"D")</f>
        <v>60035</v>
      </c>
      <c r="AA2986" s="163">
        <v>6.6002499020558006E-3</v>
      </c>
      <c r="AB2986" s="172">
        <v>6.540140690614038E-3</v>
      </c>
    </row>
    <row r="2987" spans="24:28" x14ac:dyDescent="0.2">
      <c r="X2987" s="176" t="str">
        <f t="shared" si="80"/>
        <v>1w</v>
      </c>
      <c r="Y2987" s="164">
        <f>_xll.qlCalendarAdvance(Calendar,Y2986,X2987,"f",FALSE)</f>
        <v>60038</v>
      </c>
      <c r="Z2987" s="188">
        <f>_xll.qlCalendarAdvance(Calendar,Y2987,NDays&amp;"D")</f>
        <v>60042</v>
      </c>
      <c r="AA2987" s="163">
        <v>6.6041827063002406E-3</v>
      </c>
      <c r="AB2987" s="172">
        <v>6.543610593938709E-3</v>
      </c>
    </row>
    <row r="2988" spans="24:28" x14ac:dyDescent="0.2">
      <c r="X2988" s="176" t="str">
        <f t="shared" si="80"/>
        <v>1w</v>
      </c>
      <c r="Y2988" s="164">
        <f>_xll.qlCalendarAdvance(Calendar,Y2987,X2988,"f",FALSE)</f>
        <v>60045</v>
      </c>
      <c r="Z2988" s="188">
        <f>_xll.qlCalendarAdvance(Calendar,Y2988,NDays&amp;"D")</f>
        <v>60049</v>
      </c>
      <c r="AA2988" s="163">
        <v>6.6081500407768326E-3</v>
      </c>
      <c r="AB2988" s="172">
        <v>6.5471149040607912E-3</v>
      </c>
    </row>
    <row r="2989" spans="24:28" x14ac:dyDescent="0.2">
      <c r="X2989" s="176" t="str">
        <f t="shared" si="80"/>
        <v>1w</v>
      </c>
      <c r="Y2989" s="164">
        <f>_xll.qlCalendarAdvance(Calendar,Y2988,X2989,"f",FALSE)</f>
        <v>60052</v>
      </c>
      <c r="Z2989" s="188">
        <f>_xll.qlCalendarAdvance(Calendar,Y2989,NDays&amp;"D")</f>
        <v>60056</v>
      </c>
      <c r="AA2989" s="163">
        <v>6.6117934906055088E-3</v>
      </c>
      <c r="AB2989" s="172">
        <v>6.5506536209802846E-3</v>
      </c>
    </row>
    <row r="2990" spans="24:28" x14ac:dyDescent="0.2">
      <c r="X2990" s="176" t="str">
        <f t="shared" si="80"/>
        <v>1w</v>
      </c>
      <c r="Y2990" s="164">
        <f>_xll.qlCalendarAdvance(Calendar,Y2989,X2990,"f",FALSE)</f>
        <v>60059</v>
      </c>
      <c r="Z2990" s="188">
        <f>_xll.qlCalendarAdvance(Calendar,Y2990,NDays&amp;"D")</f>
        <v>60063</v>
      </c>
      <c r="AA2990" s="163">
        <v>6.6158273456854199E-3</v>
      </c>
      <c r="AB2990" s="172">
        <v>6.5542267447771252E-3</v>
      </c>
    </row>
    <row r="2991" spans="24:28" x14ac:dyDescent="0.2">
      <c r="X2991" s="176" t="str">
        <f t="shared" si="80"/>
        <v>1w</v>
      </c>
      <c r="Y2991" s="164">
        <f>_xll.qlCalendarAdvance(Calendar,Y2990,X2991,"f",FALSE)</f>
        <v>60066</v>
      </c>
      <c r="Z2991" s="188">
        <f>_xll.qlCalendarAdvance(Calendar,Y2991,NDays&amp;"D")</f>
        <v>60070</v>
      </c>
      <c r="AA2991" s="163">
        <v>6.6198957309355298E-3</v>
      </c>
      <c r="AB2991" s="172">
        <v>6.5578342752914409E-3</v>
      </c>
    </row>
    <row r="2992" spans="24:28" x14ac:dyDescent="0.2">
      <c r="X2992" s="176" t="str">
        <f t="shared" si="80"/>
        <v>1w</v>
      </c>
      <c r="Y2992" s="164">
        <f>_xll.qlCalendarAdvance(Calendar,Y2991,X2992,"f",FALSE)</f>
        <v>60073</v>
      </c>
      <c r="Z2992" s="188">
        <f>_xll.qlCalendarAdvance(Calendar,Y2992,NDays&amp;"D")</f>
        <v>60077</v>
      </c>
      <c r="AA2992" s="163">
        <v>6.6239986465690005E-3</v>
      </c>
      <c r="AB2992" s="172">
        <v>6.5614762126831039E-3</v>
      </c>
    </row>
    <row r="2993" spans="24:28" x14ac:dyDescent="0.2">
      <c r="X2993" s="176" t="str">
        <f t="shared" si="80"/>
        <v>1w</v>
      </c>
      <c r="Y2993" s="164">
        <f>_xll.qlCalendarAdvance(Calendar,Y2992,X2993,"f",FALSE)</f>
        <v>60080</v>
      </c>
      <c r="Z2993" s="188">
        <f>_xll.qlCalendarAdvance(Calendar,Y2993,NDays&amp;"D")</f>
        <v>60084</v>
      </c>
      <c r="AA2993" s="163">
        <v>6.6288735021950273E-3</v>
      </c>
      <c r="AB2993" s="172">
        <v>6.565152556872178E-3</v>
      </c>
    </row>
    <row r="2994" spans="24:28" x14ac:dyDescent="0.2">
      <c r="X2994" s="176" t="str">
        <f t="shared" si="80"/>
        <v>1w</v>
      </c>
      <c r="Y2994" s="164">
        <f>_xll.qlCalendarAdvance(Calendar,Y2993,X2994,"f",FALSE)</f>
        <v>60087</v>
      </c>
      <c r="Z2994" s="188">
        <f>_xll.qlCalendarAdvance(Calendar,Y2994,NDays&amp;"D")</f>
        <v>60091</v>
      </c>
      <c r="AA2994" s="163">
        <v>6.6326791943434153E-3</v>
      </c>
      <c r="AB2994" s="172">
        <v>6.5688633077787273E-3</v>
      </c>
    </row>
    <row r="2995" spans="24:28" x14ac:dyDescent="0.2">
      <c r="X2995" s="176" t="str">
        <f t="shared" si="80"/>
        <v>1w</v>
      </c>
      <c r="Y2995" s="164">
        <f>_xll.qlCalendarAdvance(Calendar,Y2994,X2995,"f",FALSE)</f>
        <v>60094</v>
      </c>
      <c r="Z2995" s="188">
        <f>_xll.qlCalendarAdvance(Calendar,Y2995,NDays&amp;"D")</f>
        <v>60098</v>
      </c>
      <c r="AA2995" s="163">
        <v>6.6368882464033479E-3</v>
      </c>
      <c r="AB2995" s="172">
        <v>6.5726084656425598E-3</v>
      </c>
    </row>
    <row r="2996" spans="24:28" x14ac:dyDescent="0.2">
      <c r="X2996" s="176" t="str">
        <f t="shared" si="80"/>
        <v>1w</v>
      </c>
      <c r="Y2996" s="164">
        <f>_xll.qlCalendarAdvance(Calendar,Y2995,X2996,"f",FALSE)</f>
        <v>60101</v>
      </c>
      <c r="Z2996" s="188">
        <f>_xll.qlCalendarAdvance(Calendar,Y2996,NDays&amp;"D")</f>
        <v>60105</v>
      </c>
      <c r="AA2996" s="163">
        <v>6.641131830419705E-3</v>
      </c>
      <c r="AB2996" s="172">
        <v>6.5763880303038036E-3</v>
      </c>
    </row>
    <row r="2997" spans="24:28" x14ac:dyDescent="0.2">
      <c r="X2997" s="176" t="str">
        <f t="shared" si="80"/>
        <v>1w</v>
      </c>
      <c r="Y2997" s="164">
        <f>_xll.qlCalendarAdvance(Calendar,Y2996,X2997,"f",FALSE)</f>
        <v>60108</v>
      </c>
      <c r="Z2997" s="188">
        <f>_xll.qlCalendarAdvance(Calendar,Y2997,NDays&amp;"D")</f>
        <v>60112</v>
      </c>
      <c r="AA2997" s="163">
        <v>6.6454099466162217E-3</v>
      </c>
      <c r="AB2997" s="172">
        <v>6.5802020017624585E-3</v>
      </c>
    </row>
    <row r="2998" spans="24:28" x14ac:dyDescent="0.2">
      <c r="X2998" s="176" t="str">
        <f t="shared" si="80"/>
        <v>1w</v>
      </c>
      <c r="Y2998" s="164">
        <f>_xll.qlCalendarAdvance(Calendar,Y2997,X2998,"f",FALSE)</f>
        <v>60115</v>
      </c>
      <c r="Z2998" s="188">
        <f>_xll.qlCalendarAdvance(Calendar,Y2998,NDays&amp;"D")</f>
        <v>60119</v>
      </c>
      <c r="AA2998" s="163">
        <v>6.6497225952201061E-3</v>
      </c>
      <c r="AB2998" s="172">
        <v>6.5840503799385885E-3</v>
      </c>
    </row>
    <row r="2999" spans="24:28" x14ac:dyDescent="0.2">
      <c r="X2999" s="176" t="str">
        <f t="shared" si="80"/>
        <v>1w</v>
      </c>
      <c r="Y2999" s="164">
        <f>_xll.qlCalendarAdvance(Calendar,Y2998,X2999,"f",FALSE)</f>
        <v>60122</v>
      </c>
      <c r="Z2999" s="188">
        <f>_xll.qlCalendarAdvance(Calendar,Y2999,NDays&amp;"D")</f>
        <v>60126</v>
      </c>
      <c r="AA2999" s="163">
        <v>6.6540697764581342E-3</v>
      </c>
      <c r="AB2999" s="172">
        <v>6.5879331650720019E-3</v>
      </c>
    </row>
    <row r="3000" spans="24:28" x14ac:dyDescent="0.2">
      <c r="X3000" s="176" t="str">
        <f t="shared" si="80"/>
        <v>1w</v>
      </c>
      <c r="Y3000" s="164">
        <f>_xll.qlCalendarAdvance(Calendar,Y2999,X3000,"f",FALSE)</f>
        <v>60129</v>
      </c>
      <c r="Z3000" s="188">
        <f>_xll.qlCalendarAdvance(Calendar,Y3000,NDays&amp;"D")</f>
        <v>60133</v>
      </c>
      <c r="AA3000" s="163">
        <v>6.6584514905592531E-3</v>
      </c>
      <c r="AB3000" s="172">
        <v>6.5918503570028264E-3</v>
      </c>
    </row>
    <row r="3001" spans="24:28" x14ac:dyDescent="0.2">
      <c r="X3001" s="176" t="str">
        <f t="shared" si="80"/>
        <v>1w</v>
      </c>
      <c r="Y3001" s="164">
        <f>_xll.qlCalendarAdvance(Calendar,Y3000,X3001,"f",FALSE)</f>
        <v>60136</v>
      </c>
      <c r="Z3001" s="188">
        <f>_xll.qlCalendarAdvance(Calendar,Y3001,NDays&amp;"D")</f>
        <v>60140</v>
      </c>
      <c r="AA3001" s="163">
        <v>6.6628677377545825E-3</v>
      </c>
      <c r="AB3001" s="172">
        <v>6.595801955651126E-3</v>
      </c>
    </row>
    <row r="3002" spans="24:28" x14ac:dyDescent="0.2">
      <c r="X3002" s="176" t="str">
        <f t="shared" si="80"/>
        <v>1w</v>
      </c>
      <c r="Y3002" s="164">
        <f>_xll.qlCalendarAdvance(Calendar,Y3001,X3002,"f",FALSE)</f>
        <v>60143</v>
      </c>
      <c r="Z3002" s="188">
        <f>_xll.qlCalendarAdvance(Calendar,Y3002,NDays&amp;"D")</f>
        <v>60147</v>
      </c>
      <c r="AA3002" s="163">
        <v>6.6661447738477139E-3</v>
      </c>
      <c r="AB3002" s="172">
        <v>6.5997879610968369E-3</v>
      </c>
    </row>
    <row r="3003" spans="24:28" x14ac:dyDescent="0.2">
      <c r="X3003" s="176" t="str">
        <f t="shared" si="80"/>
        <v>1w</v>
      </c>
      <c r="Y3003" s="164">
        <f>_xll.qlCalendarAdvance(Calendar,Y3002,X3003,"f",FALSE)</f>
        <v>60150</v>
      </c>
      <c r="Z3003" s="188">
        <f>_xll.qlCalendarAdvance(Calendar,Y3003,NDays&amp;"D")</f>
        <v>60154</v>
      </c>
      <c r="AA3003" s="163">
        <v>6.6706224393771199E-3</v>
      </c>
      <c r="AB3003" s="172">
        <v>6.603808373499831E-3</v>
      </c>
    </row>
    <row r="3004" spans="24:28" x14ac:dyDescent="0.2">
      <c r="X3004" s="176" t="str">
        <f t="shared" si="80"/>
        <v>1w</v>
      </c>
      <c r="Y3004" s="164">
        <f>_xll.qlCalendarAdvance(Calendar,Y3003,X3004,"f",FALSE)</f>
        <v>60157</v>
      </c>
      <c r="Z3004" s="188">
        <f>_xll.qlCalendarAdvance(Calendar,Y3004,NDays&amp;"D")</f>
        <v>60161</v>
      </c>
      <c r="AA3004" s="163">
        <v>6.6751346365706843E-3</v>
      </c>
      <c r="AB3004" s="172">
        <v>6.6078631926203002E-3</v>
      </c>
    </row>
    <row r="3005" spans="24:28" x14ac:dyDescent="0.2">
      <c r="X3005" s="176" t="str">
        <f t="shared" si="80"/>
        <v>1w</v>
      </c>
      <c r="Y3005" s="164">
        <f>_xll.qlCalendarAdvance(Calendar,Y3004,X3005,"f",FALSE)</f>
        <v>60164</v>
      </c>
      <c r="Z3005" s="188">
        <f>_xll.qlCalendarAdvance(Calendar,Y3005,NDays&amp;"D")</f>
        <v>60168</v>
      </c>
      <c r="AA3005" s="163">
        <v>6.6796813656620317E-3</v>
      </c>
      <c r="AB3005" s="172">
        <v>6.6119524186181167E-3</v>
      </c>
    </row>
    <row r="3006" spans="24:28" x14ac:dyDescent="0.2">
      <c r="X3006" s="176" t="str">
        <f t="shared" si="80"/>
        <v>1w</v>
      </c>
      <c r="Y3006" s="164">
        <f>_xll.qlCalendarAdvance(Calendar,Y3005,X3006,"f",FALSE)</f>
        <v>60171</v>
      </c>
      <c r="Z3006" s="188">
        <f>_xll.qlCalendarAdvance(Calendar,Y3006,NDays&amp;"D")</f>
        <v>60175</v>
      </c>
      <c r="AA3006" s="163">
        <v>6.6846635325343148E-3</v>
      </c>
      <c r="AB3006" s="172">
        <v>6.6160760515732164E-3</v>
      </c>
    </row>
    <row r="3007" spans="24:28" x14ac:dyDescent="0.2">
      <c r="X3007" s="176" t="str">
        <f t="shared" si="80"/>
        <v>1w</v>
      </c>
      <c r="Y3007" s="164">
        <f>_xll.qlCalendarAdvance(Calendar,Y3006,X3007,"f",FALSE)</f>
        <v>60178</v>
      </c>
      <c r="Z3007" s="188">
        <f>_xll.qlCalendarAdvance(Calendar,Y3007,NDays&amp;"D")</f>
        <v>60182</v>
      </c>
      <c r="AA3007" s="163">
        <v>6.6892798022550812E-3</v>
      </c>
      <c r="AB3007" s="172">
        <v>6.6202340911658553E-3</v>
      </c>
    </row>
    <row r="3008" spans="24:28" x14ac:dyDescent="0.2">
      <c r="X3008" s="176" t="str">
        <f t="shared" si="80"/>
        <v>1w</v>
      </c>
      <c r="Y3008" s="164">
        <f>_xll.qlCalendarAdvance(Calendar,Y3007,X3008,"f",FALSE)</f>
        <v>60185</v>
      </c>
      <c r="Z3008" s="188">
        <f>_xll.qlCalendarAdvance(Calendar,Y3008,NDays&amp;"D")</f>
        <v>60189</v>
      </c>
      <c r="AA3008" s="163">
        <v>6.6939270461770731E-3</v>
      </c>
      <c r="AB3008" s="172">
        <v>6.6244265375559053E-3</v>
      </c>
    </row>
    <row r="3009" spans="24:28" x14ac:dyDescent="0.2">
      <c r="X3009" s="176" t="str">
        <f t="shared" si="80"/>
        <v>1w</v>
      </c>
      <c r="Y3009" s="164">
        <f>_xll.qlCalendarAdvance(Calendar,Y3008,X3009,"f",FALSE)</f>
        <v>60192</v>
      </c>
      <c r="Z3009" s="188">
        <f>_xll.qlCalendarAdvance(Calendar,Y3009,NDays&amp;"D")</f>
        <v>60196</v>
      </c>
      <c r="AA3009" s="163">
        <v>6.6986034849557076E-3</v>
      </c>
      <c r="AB3009" s="172">
        <v>6.6286533908233025E-3</v>
      </c>
    </row>
    <row r="3010" spans="24:28" x14ac:dyDescent="0.2">
      <c r="X3010" s="176" t="str">
        <f t="shared" si="80"/>
        <v>1w</v>
      </c>
      <c r="Y3010" s="164">
        <f>_xll.qlCalendarAdvance(Calendar,Y3009,X3010,"f",FALSE)</f>
        <v>60199</v>
      </c>
      <c r="Z3010" s="188">
        <f>_xll.qlCalendarAdvance(Calendar,Y3010,NDays&amp;"D")</f>
        <v>60203</v>
      </c>
      <c r="AA3010" s="163">
        <v>6.7033073392301495E-3</v>
      </c>
      <c r="AB3010" s="172">
        <v>6.6329146510479831E-3</v>
      </c>
    </row>
    <row r="3011" spans="24:28" x14ac:dyDescent="0.2">
      <c r="X3011" s="176" t="str">
        <f t="shared" si="80"/>
        <v>1w</v>
      </c>
      <c r="Y3011" s="164">
        <f>_xll.qlCalendarAdvance(Calendar,Y3010,X3011,"f",FALSE)</f>
        <v>60206</v>
      </c>
      <c r="Z3011" s="188">
        <f>_xll.qlCalendarAdvance(Calendar,Y3011,NDays&amp;"D")</f>
        <v>60210</v>
      </c>
      <c r="AA3011" s="163">
        <v>6.7076269986516002E-3</v>
      </c>
      <c r="AB3011" s="172">
        <v>6.6372103179901387E-3</v>
      </c>
    </row>
    <row r="3012" spans="24:28" x14ac:dyDescent="0.2">
      <c r="X3012" s="176" t="str">
        <f t="shared" si="80"/>
        <v>1w</v>
      </c>
      <c r="Y3012" s="164">
        <f>_xll.qlCalendarAdvance(Calendar,Y3011,X3012,"f",FALSE)</f>
        <v>60213</v>
      </c>
      <c r="Z3012" s="188">
        <f>_xll.qlCalendarAdvance(Calendar,Y3012,NDays&amp;"D")</f>
        <v>60217</v>
      </c>
      <c r="AA3012" s="163">
        <v>6.7123792258158704E-3</v>
      </c>
      <c r="AB3012" s="172">
        <v>6.6415403917297056E-3</v>
      </c>
    </row>
    <row r="3013" spans="24:28" x14ac:dyDescent="0.2">
      <c r="X3013" s="176" t="str">
        <f t="shared" si="80"/>
        <v>1w</v>
      </c>
      <c r="Y3013" s="164">
        <f>_xll.qlCalendarAdvance(Calendar,Y3012,X3013,"f",FALSE)</f>
        <v>60220</v>
      </c>
      <c r="Z3013" s="188">
        <f>_xll.qlCalendarAdvance(Calendar,Y3013,NDays&amp;"D")</f>
        <v>60224</v>
      </c>
      <c r="AA3013" s="163">
        <v>6.7171537166203542E-3</v>
      </c>
      <c r="AB3013" s="172">
        <v>6.6459048724265557E-3</v>
      </c>
    </row>
    <row r="3014" spans="24:28" x14ac:dyDescent="0.2">
      <c r="X3014" s="176" t="str">
        <f t="shared" si="80"/>
        <v>1w</v>
      </c>
      <c r="Y3014" s="164">
        <f>_xll.qlCalendarAdvance(Calendar,Y3013,X3014,"f",FALSE)</f>
        <v>60227</v>
      </c>
      <c r="Z3014" s="188">
        <f>_xll.qlCalendarAdvance(Calendar,Y3014,NDays&amp;"D")</f>
        <v>60231</v>
      </c>
      <c r="AA3014" s="163">
        <v>6.7219486818416952E-3</v>
      </c>
      <c r="AB3014" s="172">
        <v>6.650303759840881E-3</v>
      </c>
    </row>
    <row r="3015" spans="24:28" x14ac:dyDescent="0.2">
      <c r="X3015" s="176" t="str">
        <f t="shared" si="80"/>
        <v>1w</v>
      </c>
      <c r="Y3015" s="164">
        <f>_xll.qlCalendarAdvance(Calendar,Y3014,X3015,"f",FALSE)</f>
        <v>60234</v>
      </c>
      <c r="Z3015" s="188">
        <f>_xll.qlCalendarAdvance(Calendar,Y3015,NDays&amp;"D")</f>
        <v>60238</v>
      </c>
      <c r="AA3015" s="163">
        <v>6.7271755643126836E-3</v>
      </c>
      <c r="AB3015" s="172">
        <v>6.6547370541325535E-3</v>
      </c>
    </row>
    <row r="3016" spans="24:28" x14ac:dyDescent="0.2">
      <c r="X3016" s="176" t="str">
        <f t="shared" si="80"/>
        <v>1w</v>
      </c>
      <c r="Y3016" s="164">
        <f>_xll.qlCalendarAdvance(Calendar,Y3015,X3016,"f",FALSE)</f>
        <v>60241</v>
      </c>
      <c r="Z3016" s="188">
        <f>_xll.qlCalendarAdvance(Calendar,Y3016,NDays&amp;"D")</f>
        <v>60245</v>
      </c>
      <c r="AA3016" s="163">
        <v>6.7320065440963656E-3</v>
      </c>
      <c r="AB3016" s="172">
        <v>6.6592047553015732E-3</v>
      </c>
    </row>
    <row r="3017" spans="24:28" x14ac:dyDescent="0.2">
      <c r="X3017" s="176" t="str">
        <f t="shared" si="80"/>
        <v>1w</v>
      </c>
      <c r="Y3017" s="164">
        <f>_xll.qlCalendarAdvance(Calendar,Y3016,X3017,"f",FALSE)</f>
        <v>60248</v>
      </c>
      <c r="Z3017" s="188">
        <f>_xll.qlCalendarAdvance(Calendar,Y3017,NDays&amp;"D")</f>
        <v>60252</v>
      </c>
      <c r="AA3017" s="163">
        <v>6.7368524834015816E-3</v>
      </c>
      <c r="AB3017" s="172">
        <v>6.6637068632680041E-3</v>
      </c>
    </row>
    <row r="3018" spans="24:28" x14ac:dyDescent="0.2">
      <c r="X3018" s="176" t="str">
        <f t="shared" si="80"/>
        <v>1w</v>
      </c>
      <c r="Y3018" s="164">
        <f>_xll.qlCalendarAdvance(Calendar,Y3017,X3018,"f",FALSE)</f>
        <v>60255</v>
      </c>
      <c r="Z3018" s="188">
        <f>_xll.qlCalendarAdvance(Calendar,Y3018,NDays&amp;"D")</f>
        <v>60259</v>
      </c>
      <c r="AA3018" s="163">
        <v>6.741711602734856E-3</v>
      </c>
      <c r="AB3018" s="172">
        <v>6.6682433781117822E-3</v>
      </c>
    </row>
    <row r="3019" spans="24:28" x14ac:dyDescent="0.2">
      <c r="X3019" s="176" t="str">
        <f t="shared" si="80"/>
        <v>1w</v>
      </c>
      <c r="Y3019" s="164">
        <f>_xll.qlCalendarAdvance(Calendar,Y3018,X3019,"f",FALSE)</f>
        <v>60265</v>
      </c>
      <c r="Z3019" s="188">
        <f>_xll.qlCalendarAdvance(Calendar,Y3019,NDays&amp;"D")</f>
        <v>60267</v>
      </c>
      <c r="AA3019" s="163">
        <v>6.74686462246864E-3</v>
      </c>
      <c r="AB3019" s="172">
        <v>6.6738602076732434E-3</v>
      </c>
    </row>
    <row r="3020" spans="24:28" x14ac:dyDescent="0.2">
      <c r="X3020" s="176" t="str">
        <f t="shared" si="80"/>
        <v>1w</v>
      </c>
      <c r="Y3020" s="164">
        <f>_xll.qlCalendarAdvance(Calendar,Y3019,X3020,"f",FALSE)</f>
        <v>60272</v>
      </c>
      <c r="Z3020" s="188">
        <f>_xll.qlCalendarAdvance(Calendar,Y3020,NDays&amp;"D")</f>
        <v>60274</v>
      </c>
      <c r="AA3020" s="163">
        <v>6.7517461047615001E-3</v>
      </c>
      <c r="AB3020" s="172">
        <v>6.6780803409560718E-3</v>
      </c>
    </row>
    <row r="3021" spans="24:28" x14ac:dyDescent="0.2">
      <c r="X3021" s="176" t="str">
        <f t="shared" si="80"/>
        <v>1w</v>
      </c>
      <c r="Y3021" s="164">
        <f>_xll.qlCalendarAdvance(Calendar,Y3020,X3021,"f",FALSE)</f>
        <v>60279</v>
      </c>
      <c r="Z3021" s="188">
        <f>_xll.qlCalendarAdvance(Calendar,Y3021,NDays&amp;"D")</f>
        <v>60281</v>
      </c>
      <c r="AA3021" s="163">
        <v>6.7566352808217508E-3</v>
      </c>
      <c r="AB3021" s="172">
        <v>6.6827249916201481E-3</v>
      </c>
    </row>
    <row r="3022" spans="24:28" x14ac:dyDescent="0.2">
      <c r="X3022" s="176" t="str">
        <f t="shared" si="80"/>
        <v>1w</v>
      </c>
      <c r="Y3022" s="164">
        <f>_xll.qlCalendarAdvance(Calendar,Y3021,X3022,"f",FALSE)</f>
        <v>60286</v>
      </c>
      <c r="Z3022" s="188">
        <f>_xll.qlCalendarAdvance(Calendar,Y3022,NDays&amp;"D")</f>
        <v>60288</v>
      </c>
      <c r="AA3022" s="163">
        <v>6.7615303612869222E-3</v>
      </c>
      <c r="AB3022" s="172">
        <v>6.6874040490816355E-3</v>
      </c>
    </row>
    <row r="3023" spans="24:28" x14ac:dyDescent="0.2">
      <c r="X3023" s="176" t="str">
        <f t="shared" si="80"/>
        <v>1w</v>
      </c>
      <c r="Y3023" s="164">
        <f>_xll.qlCalendarAdvance(Calendar,Y3022,X3023,"f",FALSE)</f>
        <v>60293</v>
      </c>
      <c r="Z3023" s="188">
        <f>_xll.qlCalendarAdvance(Calendar,Y3023,NDays&amp;"D")</f>
        <v>60295</v>
      </c>
      <c r="AA3023" s="163">
        <v>6.7664295567782034E-3</v>
      </c>
      <c r="AB3023" s="172">
        <v>6.6921175133405342E-3</v>
      </c>
    </row>
    <row r="3024" spans="24:28" x14ac:dyDescent="0.2">
      <c r="X3024" s="176" t="str">
        <f t="shared" si="80"/>
        <v>1w</v>
      </c>
      <c r="Y3024" s="164">
        <f>_xll.qlCalendarAdvance(Calendar,Y3023,X3024,"f",FALSE)</f>
        <v>60300</v>
      </c>
      <c r="Z3024" s="188">
        <f>_xll.qlCalendarAdvance(Calendar,Y3024,NDays&amp;"D")</f>
        <v>60302</v>
      </c>
      <c r="AA3024" s="163">
        <v>6.7713310778995603E-3</v>
      </c>
      <c r="AB3024" s="172">
        <v>6.69686538447678E-3</v>
      </c>
    </row>
    <row r="3025" spans="24:28" x14ac:dyDescent="0.2">
      <c r="X3025" s="176" t="str">
        <f t="shared" si="80"/>
        <v>1w</v>
      </c>
      <c r="Y3025" s="164">
        <f>_xll.qlCalendarAdvance(Calendar,Y3024,X3025,"f",FALSE)</f>
        <v>60307</v>
      </c>
      <c r="Z3025" s="188">
        <f>_xll.qlCalendarAdvance(Calendar,Y3025,NDays&amp;"D")</f>
        <v>60309</v>
      </c>
      <c r="AA3025" s="163">
        <v>6.7762331352364093E-3</v>
      </c>
      <c r="AB3025" s="172">
        <v>6.7016476624903731E-3</v>
      </c>
    </row>
    <row r="3026" spans="24:28" x14ac:dyDescent="0.2">
      <c r="X3026" s="176" t="str">
        <f t="shared" si="80"/>
        <v>1w</v>
      </c>
      <c r="Y3026" s="164">
        <f>_xll.qlCalendarAdvance(Calendar,Y3025,X3026,"f",FALSE)</f>
        <v>60314</v>
      </c>
      <c r="Z3026" s="188">
        <f>_xll.qlCalendarAdvance(Calendar,Y3026,NDays&amp;"D")</f>
        <v>60316</v>
      </c>
      <c r="AA3026" s="163">
        <v>6.7811339393591503E-3</v>
      </c>
      <c r="AB3026" s="172">
        <v>6.7064643473013774E-3</v>
      </c>
    </row>
    <row r="3027" spans="24:28" x14ac:dyDescent="0.2">
      <c r="X3027" s="176" t="str">
        <f t="shared" si="80"/>
        <v>1w</v>
      </c>
      <c r="Y3027" s="164">
        <f>_xll.qlCalendarAdvance(Calendar,Y3026,X3027,"f",FALSE)</f>
        <v>60321</v>
      </c>
      <c r="Z3027" s="188">
        <f>_xll.qlCalendarAdvance(Calendar,Y3027,NDays&amp;"D")</f>
        <v>60323</v>
      </c>
      <c r="AA3027" s="163">
        <v>6.7860317008169874E-3</v>
      </c>
      <c r="AB3027" s="172">
        <v>6.7113154389897289E-3</v>
      </c>
    </row>
    <row r="3028" spans="24:28" x14ac:dyDescent="0.2">
      <c r="X3028" s="176" t="str">
        <f t="shared" si="80"/>
        <v>1w</v>
      </c>
      <c r="Y3028" s="164">
        <f>_xll.qlCalendarAdvance(Calendar,Y3027,X3028,"f",FALSE)</f>
        <v>60328</v>
      </c>
      <c r="Z3028" s="188">
        <f>_xll.qlCalendarAdvance(Calendar,Y3028,NDays&amp;"D")</f>
        <v>60330</v>
      </c>
      <c r="AA3028" s="163">
        <v>6.7921547111859945E-3</v>
      </c>
      <c r="AB3028" s="172">
        <v>6.7162009375554277E-3</v>
      </c>
    </row>
    <row r="3029" spans="24:28" x14ac:dyDescent="0.2">
      <c r="X3029" s="176" t="str">
        <f t="shared" ref="X3029:X3092" si="81">X3028</f>
        <v>1w</v>
      </c>
      <c r="Y3029" s="164">
        <f>_xll.qlCalendarAdvance(Calendar,Y3028,X3029,"f",FALSE)</f>
        <v>60335</v>
      </c>
      <c r="Z3029" s="188">
        <f>_xll.qlCalendarAdvance(Calendar,Y3029,NDays&amp;"D")</f>
        <v>60337</v>
      </c>
      <c r="AA3029" s="163">
        <v>6.7970388626992237E-3</v>
      </c>
      <c r="AB3029" s="172">
        <v>6.7211208429984737E-3</v>
      </c>
    </row>
    <row r="3030" spans="24:28" x14ac:dyDescent="0.2">
      <c r="X3030" s="176" t="str">
        <f t="shared" si="81"/>
        <v>1w</v>
      </c>
      <c r="Y3030" s="164">
        <f>_xll.qlCalendarAdvance(Calendar,Y3029,X3030,"f",FALSE)</f>
        <v>60342</v>
      </c>
      <c r="Z3030" s="188">
        <f>_xll.qlCalendarAdvance(Calendar,Y3030,NDays&amp;"D")</f>
        <v>60344</v>
      </c>
      <c r="AA3030" s="163">
        <v>6.8019145486146642E-3</v>
      </c>
      <c r="AB3030" s="172">
        <v>6.7260751552389308E-3</v>
      </c>
    </row>
    <row r="3031" spans="24:28" x14ac:dyDescent="0.2">
      <c r="X3031" s="176" t="str">
        <f t="shared" si="81"/>
        <v>1w</v>
      </c>
      <c r="Y3031" s="164">
        <f>_xll.qlCalendarAdvance(Calendar,Y3030,X3031,"f",FALSE)</f>
        <v>60349</v>
      </c>
      <c r="Z3031" s="188">
        <f>_xll.qlCalendarAdvance(Calendar,Y3031,NDays&amp;"D")</f>
        <v>60351</v>
      </c>
      <c r="AA3031" s="163">
        <v>6.8067800093428868E-3</v>
      </c>
      <c r="AB3031" s="172">
        <v>6.7310627764349817E-3</v>
      </c>
    </row>
    <row r="3032" spans="24:28" x14ac:dyDescent="0.2">
      <c r="X3032" s="176" t="str">
        <f t="shared" si="81"/>
        <v>1w</v>
      </c>
      <c r="Y3032" s="164">
        <f>_xll.qlCalendarAdvance(Calendar,Y3031,X3032,"f",FALSE)</f>
        <v>60357</v>
      </c>
      <c r="Z3032" s="188">
        <f>_xll.qlCalendarAdvance(Calendar,Y3032,NDays&amp;"D")</f>
        <v>60359</v>
      </c>
      <c r="AA3032" s="163">
        <v>6.8119194709145353E-3</v>
      </c>
      <c r="AB3032" s="172">
        <v>6.736764892654179E-3</v>
      </c>
    </row>
    <row r="3033" spans="24:28" x14ac:dyDescent="0.2">
      <c r="X3033" s="176" t="str">
        <f t="shared" si="81"/>
        <v>1w</v>
      </c>
      <c r="Y3033" s="164">
        <f>_xll.qlCalendarAdvance(Calendar,Y3032,X3033,"f",FALSE)</f>
        <v>60364</v>
      </c>
      <c r="Z3033" s="188">
        <f>_xll.qlCalendarAdvance(Calendar,Y3033,NDays&amp;"D")</f>
        <v>60366</v>
      </c>
      <c r="AA3033" s="163">
        <v>6.8167607165807468E-3</v>
      </c>
      <c r="AB3033" s="172">
        <v>6.7417417017789916E-3</v>
      </c>
    </row>
    <row r="3034" spans="24:28" x14ac:dyDescent="0.2">
      <c r="X3034" s="176" t="str">
        <f t="shared" si="81"/>
        <v>1w</v>
      </c>
      <c r="Y3034" s="164">
        <f>_xll.qlCalendarAdvance(Calendar,Y3033,X3034,"f",FALSE)</f>
        <v>60371</v>
      </c>
      <c r="Z3034" s="188">
        <f>_xll.qlCalendarAdvance(Calendar,Y3034,NDays&amp;"D")</f>
        <v>60373</v>
      </c>
      <c r="AA3034" s="163">
        <v>6.8215902272038579E-3</v>
      </c>
      <c r="AB3034" s="172">
        <v>6.7467068042681433E-3</v>
      </c>
    </row>
    <row r="3035" spans="24:28" x14ac:dyDescent="0.2">
      <c r="X3035" s="176" t="str">
        <f t="shared" si="81"/>
        <v>1w</v>
      </c>
      <c r="Y3035" s="164">
        <f>_xll.qlCalendarAdvance(Calendar,Y3034,X3035,"f",FALSE)</f>
        <v>60378</v>
      </c>
      <c r="Z3035" s="188">
        <f>_xll.qlCalendarAdvance(Calendar,Y3035,NDays&amp;"D")</f>
        <v>60380</v>
      </c>
      <c r="AA3035" s="163">
        <v>6.8264080026969416E-3</v>
      </c>
      <c r="AB3035" s="172">
        <v>6.7516602004413784E-3</v>
      </c>
    </row>
    <row r="3036" spans="24:28" x14ac:dyDescent="0.2">
      <c r="X3036" s="176" t="str">
        <f t="shared" si="81"/>
        <v>1w</v>
      </c>
      <c r="Y3036" s="164">
        <f>_xll.qlCalendarAdvance(Calendar,Y3035,X3036,"f",FALSE)</f>
        <v>60385</v>
      </c>
      <c r="Z3036" s="188">
        <f>_xll.qlCalendarAdvance(Calendar,Y3036,NDays&amp;"D")</f>
        <v>60387</v>
      </c>
      <c r="AA3036" s="163">
        <v>6.8312140429743857E-3</v>
      </c>
      <c r="AB3036" s="172">
        <v>6.7578494283715429E-3</v>
      </c>
    </row>
    <row r="3037" spans="24:28" x14ac:dyDescent="0.2">
      <c r="X3037" s="176" t="str">
        <f t="shared" si="81"/>
        <v>1w</v>
      </c>
      <c r="Y3037" s="164">
        <f>_xll.qlCalendarAdvance(Calendar,Y3036,X3037,"f",FALSE)</f>
        <v>60392</v>
      </c>
      <c r="Z3037" s="188">
        <f>_xll.qlCalendarAdvance(Calendar,Y3037,NDays&amp;"D")</f>
        <v>60394</v>
      </c>
      <c r="AA3037" s="163">
        <v>6.8372176632466048E-3</v>
      </c>
      <c r="AB3037" s="172">
        <v>6.7615318732006102E-3</v>
      </c>
    </row>
    <row r="3038" spans="24:28" x14ac:dyDescent="0.2">
      <c r="X3038" s="176" t="str">
        <f t="shared" si="81"/>
        <v>1w</v>
      </c>
      <c r="Y3038" s="164">
        <f>_xll.qlCalendarAdvance(Calendar,Y3037,X3038,"f",FALSE)</f>
        <v>60399</v>
      </c>
      <c r="Z3038" s="188">
        <f>_xll.qlCalendarAdvance(Calendar,Y3038,NDays&amp;"D")</f>
        <v>60401</v>
      </c>
      <c r="AA3038" s="163">
        <v>6.8419979900472437E-3</v>
      </c>
      <c r="AB3038" s="172">
        <v>6.766450149866543E-3</v>
      </c>
    </row>
    <row r="3039" spans="24:28" x14ac:dyDescent="0.2">
      <c r="X3039" s="176" t="str">
        <f t="shared" si="81"/>
        <v>1w</v>
      </c>
      <c r="Y3039" s="164">
        <f>_xll.qlCalendarAdvance(Calendar,Y3038,X3039,"f",FALSE)</f>
        <v>60406</v>
      </c>
      <c r="Z3039" s="188">
        <f>_xll.qlCalendarAdvance(Calendar,Y3039,NDays&amp;"D")</f>
        <v>60408</v>
      </c>
      <c r="AA3039" s="163">
        <v>6.8467665808791258E-3</v>
      </c>
      <c r="AB3039" s="172">
        <v>6.7713567200566871E-3</v>
      </c>
    </row>
    <row r="3040" spans="24:28" x14ac:dyDescent="0.2">
      <c r="X3040" s="176" t="str">
        <f t="shared" si="81"/>
        <v>1w</v>
      </c>
      <c r="Y3040" s="164">
        <f>_xll.qlCalendarAdvance(Calendar,Y3039,X3040,"f",FALSE)</f>
        <v>60413</v>
      </c>
      <c r="Z3040" s="188">
        <f>_xll.qlCalendarAdvance(Calendar,Y3040,NDays&amp;"D")</f>
        <v>60415</v>
      </c>
      <c r="AA3040" s="163">
        <v>6.8515234356558699E-3</v>
      </c>
      <c r="AB3040" s="172">
        <v>6.7762515838509785E-3</v>
      </c>
    </row>
    <row r="3041" spans="24:28" x14ac:dyDescent="0.2">
      <c r="X3041" s="176" t="str">
        <f t="shared" si="81"/>
        <v>1w</v>
      </c>
      <c r="Y3041" s="164">
        <f>_xll.qlCalendarAdvance(Calendar,Y3040,X3041,"f",FALSE)</f>
        <v>60420</v>
      </c>
      <c r="Z3041" s="188">
        <f>_xll.qlCalendarAdvance(Calendar,Y3041,NDays&amp;"D")</f>
        <v>60422</v>
      </c>
      <c r="AA3041" s="163">
        <v>6.8550682131357241E-3</v>
      </c>
      <c r="AB3041" s="172">
        <v>6.7811347410895451E-3</v>
      </c>
    </row>
    <row r="3042" spans="24:28" x14ac:dyDescent="0.2">
      <c r="X3042" s="176" t="str">
        <f t="shared" si="81"/>
        <v>1w</v>
      </c>
      <c r="Y3042" s="164">
        <f>_xll.qlCalendarAdvance(Calendar,Y3041,X3042,"f",FALSE)</f>
        <v>60427</v>
      </c>
      <c r="Z3042" s="188">
        <f>_xll.qlCalendarAdvance(Calendar,Y3042,NDays&amp;"D")</f>
        <v>60429</v>
      </c>
      <c r="AA3042" s="163">
        <v>6.8598038403262221E-3</v>
      </c>
      <c r="AB3042" s="172">
        <v>6.7860061918523229E-3</v>
      </c>
    </row>
    <row r="3043" spans="24:28" x14ac:dyDescent="0.2">
      <c r="X3043" s="176" t="str">
        <f t="shared" si="81"/>
        <v>1w</v>
      </c>
      <c r="Y3043" s="164">
        <f>_xll.qlCalendarAdvance(Calendar,Y3042,X3043,"f",FALSE)</f>
        <v>60434</v>
      </c>
      <c r="Z3043" s="188">
        <f>_xll.qlCalendarAdvance(Calendar,Y3043,NDays&amp;"D")</f>
        <v>60436</v>
      </c>
      <c r="AA3043" s="163">
        <v>6.8645277317061449E-3</v>
      </c>
      <c r="AB3043" s="172">
        <v>6.7908659362192481E-3</v>
      </c>
    </row>
    <row r="3044" spans="24:28" x14ac:dyDescent="0.2">
      <c r="X3044" s="176" t="str">
        <f t="shared" si="81"/>
        <v>1w</v>
      </c>
      <c r="Y3044" s="164">
        <f>_xll.qlCalendarAdvance(Calendar,Y3043,X3044,"f",FALSE)</f>
        <v>60441</v>
      </c>
      <c r="Z3044" s="188">
        <f>_xll.qlCalendarAdvance(Calendar,Y3044,NDays&amp;"D")</f>
        <v>60443</v>
      </c>
      <c r="AA3044" s="163">
        <v>6.8704334924829516E-3</v>
      </c>
      <c r="AB3044" s="172">
        <v>6.7957139739505124E-3</v>
      </c>
    </row>
    <row r="3045" spans="24:28" x14ac:dyDescent="0.2">
      <c r="X3045" s="176" t="str">
        <f t="shared" si="81"/>
        <v>1w</v>
      </c>
      <c r="Y3045" s="164">
        <f>_xll.qlCalendarAdvance(Calendar,Y3044,X3045,"f",FALSE)</f>
        <v>60448</v>
      </c>
      <c r="Z3045" s="188">
        <f>_xll.qlCalendarAdvance(Calendar,Y3045,NDays&amp;"D")</f>
        <v>60450</v>
      </c>
      <c r="AA3045" s="163">
        <v>6.8751316656917036E-3</v>
      </c>
      <c r="AB3045" s="172">
        <v>6.800550305285924E-3</v>
      </c>
    </row>
    <row r="3046" spans="24:28" x14ac:dyDescent="0.2">
      <c r="X3046" s="176" t="str">
        <f t="shared" si="81"/>
        <v>1w</v>
      </c>
      <c r="Y3046" s="164">
        <f>_xll.qlCalendarAdvance(Calendar,Y3045,X3046,"f",FALSE)</f>
        <v>60455</v>
      </c>
      <c r="Z3046" s="188">
        <f>_xll.qlCalendarAdvance(Calendar,Y3046,NDays&amp;"D")</f>
        <v>60457</v>
      </c>
      <c r="AA3046" s="163">
        <v>6.8798181023304603E-3</v>
      </c>
      <c r="AB3046" s="172">
        <v>6.8053749302254829E-3</v>
      </c>
    </row>
    <row r="3047" spans="24:28" x14ac:dyDescent="0.2">
      <c r="X3047" s="176" t="str">
        <f t="shared" si="81"/>
        <v>1w</v>
      </c>
      <c r="Y3047" s="164">
        <f>_xll.qlCalendarAdvance(Calendar,Y3046,X3047,"f",FALSE)</f>
        <v>60462</v>
      </c>
      <c r="Z3047" s="188">
        <f>_xll.qlCalendarAdvance(Calendar,Y3047,NDays&amp;"D")</f>
        <v>60464</v>
      </c>
      <c r="AA3047" s="163">
        <v>6.8844928023141282E-3</v>
      </c>
      <c r="AB3047" s="172">
        <v>6.810187848529381E-3</v>
      </c>
    </row>
    <row r="3048" spans="24:28" x14ac:dyDescent="0.2">
      <c r="X3048" s="176" t="str">
        <f t="shared" si="81"/>
        <v>1w</v>
      </c>
      <c r="Y3048" s="164">
        <f>_xll.qlCalendarAdvance(Calendar,Y3047,X3048,"f",FALSE)</f>
        <v>60469</v>
      </c>
      <c r="Z3048" s="188">
        <f>_xll.qlCalendarAdvance(Calendar,Y3048,NDays&amp;"D")</f>
        <v>60471</v>
      </c>
      <c r="AA3048" s="163">
        <v>6.8891557655576148E-3</v>
      </c>
      <c r="AB3048" s="172">
        <v>6.8149890604374264E-3</v>
      </c>
    </row>
    <row r="3049" spans="24:28" x14ac:dyDescent="0.2">
      <c r="X3049" s="176" t="str">
        <f t="shared" si="81"/>
        <v>1w</v>
      </c>
      <c r="Y3049" s="164">
        <f>_xll.qlCalendarAdvance(Calendar,Y3048,X3049,"f",FALSE)</f>
        <v>60476</v>
      </c>
      <c r="Z3049" s="188">
        <f>_xll.qlCalendarAdvance(Calendar,Y3049,NDays&amp;"D")</f>
        <v>60478</v>
      </c>
      <c r="AA3049" s="163">
        <v>6.8926246232338464E-3</v>
      </c>
      <c r="AB3049" s="172">
        <v>6.819778565869683E-3</v>
      </c>
    </row>
    <row r="3050" spans="24:28" x14ac:dyDescent="0.2">
      <c r="X3050" s="176" t="str">
        <f t="shared" si="81"/>
        <v>1w</v>
      </c>
      <c r="Y3050" s="164">
        <f>_xll.qlCalendarAdvance(Calendar,Y3049,X3050,"f",FALSE)</f>
        <v>60483</v>
      </c>
      <c r="Z3050" s="188">
        <f>_xll.qlCalendarAdvance(Calendar,Y3050,NDays&amp;"D")</f>
        <v>60485</v>
      </c>
      <c r="AA3050" s="163">
        <v>6.8984464814871062E-3</v>
      </c>
      <c r="AB3050" s="172">
        <v>6.8245563648261509E-3</v>
      </c>
    </row>
    <row r="3051" spans="24:28" x14ac:dyDescent="0.2">
      <c r="X3051" s="176" t="str">
        <f t="shared" si="81"/>
        <v>1w</v>
      </c>
      <c r="Y3051" s="164">
        <f>_xll.qlCalendarAdvance(Calendar,Y3050,X3051,"f",FALSE)</f>
        <v>60490</v>
      </c>
      <c r="Z3051" s="188">
        <f>_xll.qlCalendarAdvance(Calendar,Y3051,NDays&amp;"D")</f>
        <v>60492</v>
      </c>
      <c r="AA3051" s="163">
        <v>6.9030742340042148E-3</v>
      </c>
      <c r="AB3051" s="172">
        <v>6.829322457226894E-3</v>
      </c>
    </row>
    <row r="3052" spans="24:28" x14ac:dyDescent="0.2">
      <c r="X3052" s="176" t="str">
        <f t="shared" si="81"/>
        <v>1w</v>
      </c>
      <c r="Y3052" s="164">
        <f>_xll.qlCalendarAdvance(Calendar,Y3051,X3052,"f",FALSE)</f>
        <v>60497</v>
      </c>
      <c r="Z3052" s="188">
        <f>_xll.qlCalendarAdvance(Calendar,Y3052,NDays&amp;"D")</f>
        <v>60499</v>
      </c>
      <c r="AA3052" s="163">
        <v>6.9076902494454966E-3</v>
      </c>
      <c r="AB3052" s="172">
        <v>6.8340768433916566E-3</v>
      </c>
    </row>
    <row r="3053" spans="24:28" x14ac:dyDescent="0.2">
      <c r="X3053" s="176" t="str">
        <f t="shared" si="81"/>
        <v>1w</v>
      </c>
      <c r="Y3053" s="164">
        <f>_xll.qlCalendarAdvance(Calendar,Y3052,X3053,"f",FALSE)</f>
        <v>60504</v>
      </c>
      <c r="Z3053" s="188">
        <f>_xll.qlCalendarAdvance(Calendar,Y3053,NDays&amp;"D")</f>
        <v>60506</v>
      </c>
      <c r="AA3053" s="163">
        <v>6.9111211574235934E-3</v>
      </c>
      <c r="AB3053" s="172">
        <v>6.8388195227608861E-3</v>
      </c>
    </row>
    <row r="3054" spans="24:28" x14ac:dyDescent="0.2">
      <c r="X3054" s="176" t="str">
        <f t="shared" si="81"/>
        <v>1w</v>
      </c>
      <c r="Y3054" s="164">
        <f>_xll.qlCalendarAdvance(Calendar,Y3053,X3054,"f",FALSE)</f>
        <v>60511</v>
      </c>
      <c r="Z3054" s="188">
        <f>_xll.qlCalendarAdvance(Calendar,Y3054,NDays&amp;"D")</f>
        <v>60513</v>
      </c>
      <c r="AA3054" s="163">
        <v>6.9149348701749757E-3</v>
      </c>
      <c r="AB3054" s="172">
        <v>6.843550495734263E-3</v>
      </c>
    </row>
    <row r="3055" spans="24:28" x14ac:dyDescent="0.2">
      <c r="X3055" s="176" t="str">
        <f t="shared" si="81"/>
        <v>1w</v>
      </c>
      <c r="Y3055" s="164">
        <f>_xll.qlCalendarAdvance(Calendar,Y3054,X3055,"f",FALSE)</f>
        <v>60518</v>
      </c>
      <c r="Z3055" s="188">
        <f>_xll.qlCalendarAdvance(Calendar,Y3055,NDays&amp;"D")</f>
        <v>60520</v>
      </c>
      <c r="AA3055" s="163">
        <v>6.9195194261319412E-3</v>
      </c>
      <c r="AB3055" s="172">
        <v>6.8482697623917232E-3</v>
      </c>
    </row>
    <row r="3056" spans="24:28" x14ac:dyDescent="0.2">
      <c r="X3056" s="176" t="str">
        <f t="shared" si="81"/>
        <v>1w</v>
      </c>
      <c r="Y3056" s="164">
        <f>_xll.qlCalendarAdvance(Calendar,Y3055,X3056,"f",FALSE)</f>
        <v>60525</v>
      </c>
      <c r="Z3056" s="188">
        <f>_xll.qlCalendarAdvance(Calendar,Y3056,NDays&amp;"D")</f>
        <v>60527</v>
      </c>
      <c r="AA3056" s="163">
        <v>6.9240922455430275E-3</v>
      </c>
      <c r="AB3056" s="172">
        <v>6.8529773223335866E-3</v>
      </c>
    </row>
    <row r="3057" spans="24:28" x14ac:dyDescent="0.2">
      <c r="X3057" s="176" t="str">
        <f t="shared" si="81"/>
        <v>1w</v>
      </c>
      <c r="Y3057" s="164">
        <f>_xll.qlCalendarAdvance(Calendar,Y3056,X3057,"f",FALSE)</f>
        <v>60532</v>
      </c>
      <c r="Z3057" s="188">
        <f>_xll.qlCalendarAdvance(Calendar,Y3057,NDays&amp;"D")</f>
        <v>60534</v>
      </c>
      <c r="AA3057" s="163">
        <v>6.9286533283287408E-3</v>
      </c>
      <c r="AB3057" s="172">
        <v>6.8576731758795972E-3</v>
      </c>
    </row>
    <row r="3058" spans="24:28" x14ac:dyDescent="0.2">
      <c r="X3058" s="176" t="str">
        <f t="shared" si="81"/>
        <v>1w</v>
      </c>
      <c r="Y3058" s="164">
        <f>_xll.qlCalendarAdvance(Calendar,Y3057,X3058,"f",FALSE)</f>
        <v>60539</v>
      </c>
      <c r="Z3058" s="188">
        <f>_xll.qlCalendarAdvance(Calendar,Y3058,NDays&amp;"D")</f>
        <v>60541</v>
      </c>
      <c r="AA3058" s="163">
        <v>6.9335902446323447E-3</v>
      </c>
      <c r="AB3058" s="172">
        <v>6.8623573228698831E-3</v>
      </c>
    </row>
    <row r="3059" spans="24:28" x14ac:dyDescent="0.2">
      <c r="X3059" s="176" t="str">
        <f t="shared" si="81"/>
        <v>1w</v>
      </c>
      <c r="Y3059" s="164">
        <f>_xll.qlCalendarAdvance(Calendar,Y3058,X3059,"f",FALSE)</f>
        <v>60546</v>
      </c>
      <c r="Z3059" s="188">
        <f>_xll.qlCalendarAdvance(Calendar,Y3059,NDays&amp;"D")</f>
        <v>60548</v>
      </c>
      <c r="AA3059" s="163">
        <v>6.9381271028260867E-3</v>
      </c>
      <c r="AB3059" s="172">
        <v>6.8670297634643163E-3</v>
      </c>
    </row>
    <row r="3060" spans="24:28" x14ac:dyDescent="0.2">
      <c r="X3060" s="176" t="str">
        <f t="shared" si="81"/>
        <v>1w</v>
      </c>
      <c r="Y3060" s="164">
        <f>_xll.qlCalendarAdvance(Calendar,Y3059,X3060,"f",FALSE)</f>
        <v>60553</v>
      </c>
      <c r="Z3060" s="188">
        <f>_xll.qlCalendarAdvance(Calendar,Y3060,NDays&amp;"D")</f>
        <v>60555</v>
      </c>
      <c r="AA3060" s="163">
        <v>6.942652223979039E-3</v>
      </c>
      <c r="AB3060" s="172">
        <v>6.8716904976628967E-3</v>
      </c>
    </row>
    <row r="3061" spans="24:28" x14ac:dyDescent="0.2">
      <c r="X3061" s="176" t="str">
        <f t="shared" si="81"/>
        <v>1w</v>
      </c>
      <c r="Y3061" s="164">
        <f>_xll.qlCalendarAdvance(Calendar,Y3060,X3061,"f",FALSE)</f>
        <v>60560</v>
      </c>
      <c r="Z3061" s="188">
        <f>_xll.qlCalendarAdvance(Calendar,Y3061,NDays&amp;"D")</f>
        <v>60562</v>
      </c>
      <c r="AA3061" s="163">
        <v>6.947165608009509E-3</v>
      </c>
      <c r="AB3061" s="172">
        <v>6.8763395253057524E-3</v>
      </c>
    </row>
    <row r="3062" spans="24:28" x14ac:dyDescent="0.2">
      <c r="X3062" s="176" t="str">
        <f t="shared" si="81"/>
        <v>1w</v>
      </c>
      <c r="Y3062" s="164">
        <f>_xll.qlCalendarAdvance(Calendar,Y3061,X3062,"f",FALSE)</f>
        <v>60567</v>
      </c>
      <c r="Z3062" s="188">
        <f>_xll.qlCalendarAdvance(Calendar,Y3062,NDays&amp;"D")</f>
        <v>60569</v>
      </c>
      <c r="AA3062" s="163">
        <v>6.9516672548384376E-3</v>
      </c>
      <c r="AB3062" s="172">
        <v>6.8809768463928833E-3</v>
      </c>
    </row>
    <row r="3063" spans="24:28" x14ac:dyDescent="0.2">
      <c r="X3063" s="176" t="str">
        <f t="shared" si="81"/>
        <v>1w</v>
      </c>
      <c r="Y3063" s="164">
        <f>_xll.qlCalendarAdvance(Calendar,Y3062,X3063,"f",FALSE)</f>
        <v>60574</v>
      </c>
      <c r="Z3063" s="188">
        <f>_xll.qlCalendarAdvance(Calendar,Y3063,NDays&amp;"D")</f>
        <v>60576</v>
      </c>
      <c r="AA3063" s="163">
        <v>6.9557733514041733E-3</v>
      </c>
      <c r="AB3063" s="172">
        <v>6.8856024610841615E-3</v>
      </c>
    </row>
    <row r="3064" spans="24:28" x14ac:dyDescent="0.2">
      <c r="X3064" s="176" t="str">
        <f t="shared" si="81"/>
        <v>1w</v>
      </c>
      <c r="Y3064" s="164">
        <f>_xll.qlCalendarAdvance(Calendar,Y3063,X3064,"f",FALSE)</f>
        <v>60581</v>
      </c>
      <c r="Z3064" s="188">
        <f>_xll.qlCalendarAdvance(Calendar,Y3064,NDays&amp;"D")</f>
        <v>60583</v>
      </c>
      <c r="AA3064" s="163">
        <v>6.9602522755665558E-3</v>
      </c>
      <c r="AB3064" s="172">
        <v>6.8902163692197149E-3</v>
      </c>
    </row>
    <row r="3065" spans="24:28" x14ac:dyDescent="0.2">
      <c r="X3065" s="176" t="str">
        <f t="shared" si="81"/>
        <v>1w</v>
      </c>
      <c r="Y3065" s="164">
        <f>_xll.qlCalendarAdvance(Calendar,Y3064,X3065,"f",FALSE)</f>
        <v>60588</v>
      </c>
      <c r="Z3065" s="188">
        <f>_xll.qlCalendarAdvance(Calendar,Y3065,NDays&amp;"D")</f>
        <v>60590</v>
      </c>
      <c r="AA3065" s="163">
        <v>6.9647194624636354E-3</v>
      </c>
      <c r="AB3065" s="172">
        <v>6.8948185708794796E-3</v>
      </c>
    </row>
    <row r="3066" spans="24:28" x14ac:dyDescent="0.2">
      <c r="X3066" s="176" t="str">
        <f t="shared" si="81"/>
        <v>1w</v>
      </c>
      <c r="Y3066" s="164">
        <f>_xll.qlCalendarAdvance(Calendar,Y3065,X3066,"f",FALSE)</f>
        <v>60595</v>
      </c>
      <c r="Z3066" s="188">
        <f>_xll.qlCalendarAdvance(Calendar,Y3066,NDays&amp;"D")</f>
        <v>60597</v>
      </c>
      <c r="AA3066" s="163">
        <v>6.9691749120181258E-3</v>
      </c>
      <c r="AB3066" s="172">
        <v>6.8994090660634555E-3</v>
      </c>
    </row>
    <row r="3067" spans="24:28" x14ac:dyDescent="0.2">
      <c r="X3067" s="176" t="str">
        <f t="shared" si="81"/>
        <v>1w</v>
      </c>
      <c r="Y3067" s="164">
        <f>_xll.qlCalendarAdvance(Calendar,Y3066,X3067,"f",FALSE)</f>
        <v>60602</v>
      </c>
      <c r="Z3067" s="188">
        <f>_xll.qlCalendarAdvance(Calendar,Y3067,NDays&amp;"D")</f>
        <v>60604</v>
      </c>
      <c r="AA3067" s="163">
        <v>6.9739994281644117E-3</v>
      </c>
      <c r="AB3067" s="172">
        <v>6.9039878547716427E-3</v>
      </c>
    </row>
    <row r="3068" spans="24:28" x14ac:dyDescent="0.2">
      <c r="X3068" s="176" t="str">
        <f t="shared" si="81"/>
        <v>1w</v>
      </c>
      <c r="Y3068" s="164">
        <f>_xll.qlCalendarAdvance(Calendar,Y3067,X3068,"f",FALSE)</f>
        <v>60609</v>
      </c>
      <c r="Z3068" s="188">
        <f>_xll.qlCalendarAdvance(Calendar,Y3068,NDays&amp;"D")</f>
        <v>60611</v>
      </c>
      <c r="AA3068" s="163">
        <v>6.9784306501111514E-3</v>
      </c>
      <c r="AB3068" s="172">
        <v>6.908554936924105E-3</v>
      </c>
    </row>
    <row r="3069" spans="24:28" x14ac:dyDescent="0.2">
      <c r="X3069" s="176" t="str">
        <f t="shared" si="81"/>
        <v>1w</v>
      </c>
      <c r="Y3069" s="164">
        <f>_xll.qlCalendarAdvance(Calendar,Y3068,X3069,"f",FALSE)</f>
        <v>60616</v>
      </c>
      <c r="Z3069" s="188">
        <f>_xll.qlCalendarAdvance(Calendar,Y3069,NDays&amp;"D")</f>
        <v>60618</v>
      </c>
      <c r="AA3069" s="163">
        <v>6.9828501343003118E-3</v>
      </c>
      <c r="AB3069" s="172">
        <v>6.9131103126007787E-3</v>
      </c>
    </row>
    <row r="3070" spans="24:28" x14ac:dyDescent="0.2">
      <c r="X3070" s="176" t="str">
        <f t="shared" si="81"/>
        <v>1w</v>
      </c>
      <c r="Y3070" s="164">
        <f>_xll.qlCalendarAdvance(Calendar,Y3069,X3070,"f",FALSE)</f>
        <v>60623</v>
      </c>
      <c r="Z3070" s="188">
        <f>_xll.qlCalendarAdvance(Calendar,Y3070,NDays&amp;"D")</f>
        <v>60625</v>
      </c>
      <c r="AA3070" s="163">
        <v>6.9872578806550317E-3</v>
      </c>
      <c r="AB3070" s="172">
        <v>6.9188254029017848E-3</v>
      </c>
    </row>
    <row r="3071" spans="24:28" x14ac:dyDescent="0.2">
      <c r="X3071" s="176" t="str">
        <f t="shared" si="81"/>
        <v>1w</v>
      </c>
      <c r="Y3071" s="164">
        <f>_xll.qlCalendarAdvance(Calendar,Y3070,X3071,"f",FALSE)</f>
        <v>60630</v>
      </c>
      <c r="Z3071" s="188">
        <f>_xll.qlCalendarAdvance(Calendar,Y3071,NDays&amp;"D")</f>
        <v>60632</v>
      </c>
      <c r="AA3071" s="163">
        <v>6.9912760968994601E-3</v>
      </c>
      <c r="AB3071" s="172">
        <v>6.9233551183445208E-3</v>
      </c>
    </row>
    <row r="3072" spans="24:28" x14ac:dyDescent="0.2">
      <c r="X3072" s="176" t="str">
        <f t="shared" si="81"/>
        <v>1w</v>
      </c>
      <c r="Y3072" s="164">
        <f>_xll.qlCalendarAdvance(Calendar,Y3071,X3072,"f",FALSE)</f>
        <v>60637</v>
      </c>
      <c r="Z3072" s="188">
        <f>_xll.qlCalendarAdvance(Calendar,Y3072,NDays&amp;"D")</f>
        <v>60639</v>
      </c>
      <c r="AA3072" s="163">
        <v>6.9956611207506701E-3</v>
      </c>
      <c r="AB3072" s="172">
        <v>6.9267062007760671E-3</v>
      </c>
    </row>
    <row r="3073" spans="24:28" x14ac:dyDescent="0.2">
      <c r="X3073" s="176" t="str">
        <f t="shared" si="81"/>
        <v>1w</v>
      </c>
      <c r="Y3073" s="164">
        <f>_xll.qlCalendarAdvance(Calendar,Y3072,X3073,"f",FALSE)</f>
        <v>60644</v>
      </c>
      <c r="Z3073" s="188">
        <f>_xll.qlCalendarAdvance(Calendar,Y3073,NDays&amp;"D")</f>
        <v>60646</v>
      </c>
      <c r="AA3073" s="163">
        <v>7.0000344067138705E-3</v>
      </c>
      <c r="AB3073" s="172">
        <v>6.9312147506295219E-3</v>
      </c>
    </row>
    <row r="3074" spans="24:28" x14ac:dyDescent="0.2">
      <c r="X3074" s="176" t="str">
        <f t="shared" si="81"/>
        <v>1w</v>
      </c>
      <c r="Y3074" s="164">
        <f>_xll.qlCalendarAdvance(Calendar,Y3073,X3074,"f",FALSE)</f>
        <v>60651</v>
      </c>
      <c r="Z3074" s="188">
        <f>_xll.qlCalendarAdvance(Calendar,Y3074,NDays&amp;"D")</f>
        <v>60653</v>
      </c>
      <c r="AA3074" s="163">
        <v>7.0043959547095667E-3</v>
      </c>
      <c r="AB3074" s="172">
        <v>6.9357115937673797E-3</v>
      </c>
    </row>
    <row r="3075" spans="24:28" x14ac:dyDescent="0.2">
      <c r="X3075" s="176" t="str">
        <f t="shared" si="81"/>
        <v>1w</v>
      </c>
      <c r="Y3075" s="164">
        <f>_xll.qlCalendarAdvance(Calendar,Y3074,X3075,"f",FALSE)</f>
        <v>60658</v>
      </c>
      <c r="Z3075" s="188">
        <f>_xll.qlCalendarAdvance(Calendar,Y3075,NDays&amp;"D")</f>
        <v>60660</v>
      </c>
      <c r="AA3075" s="163">
        <v>7.0087457646626815E-3</v>
      </c>
      <c r="AB3075" s="172">
        <v>6.9401967305893209E-3</v>
      </c>
    </row>
    <row r="3076" spans="24:28" x14ac:dyDescent="0.2">
      <c r="X3076" s="176" t="str">
        <f t="shared" si="81"/>
        <v>1w</v>
      </c>
      <c r="Y3076" s="164">
        <f>_xll.qlCalendarAdvance(Calendar,Y3075,X3076,"f",FALSE)</f>
        <v>60665</v>
      </c>
      <c r="Z3076" s="188">
        <f>_xll.qlCalendarAdvance(Calendar,Y3076,NDays&amp;"D")</f>
        <v>60667</v>
      </c>
      <c r="AA3076" s="163">
        <v>7.0130838364954855E-3</v>
      </c>
      <c r="AB3076" s="172">
        <v>6.9446701608555372E-3</v>
      </c>
    </row>
    <row r="3077" spans="24:28" x14ac:dyDescent="0.2">
      <c r="X3077" s="176" t="str">
        <f t="shared" si="81"/>
        <v>1w</v>
      </c>
      <c r="Y3077" s="164">
        <f>_xll.qlCalendarAdvance(Calendar,Y3076,X3077,"f",FALSE)</f>
        <v>60672</v>
      </c>
      <c r="Z3077" s="188">
        <f>_xll.qlCalendarAdvance(Calendar,Y3077,NDays&amp;"D")</f>
        <v>60674</v>
      </c>
      <c r="AA3077" s="163">
        <v>7.0174101701311348E-3</v>
      </c>
      <c r="AB3077" s="172">
        <v>6.9491318846459649E-3</v>
      </c>
    </row>
    <row r="3078" spans="24:28" x14ac:dyDescent="0.2">
      <c r="X3078" s="176" t="str">
        <f t="shared" si="81"/>
        <v>1w</v>
      </c>
      <c r="Y3078" s="164">
        <f>_xll.qlCalendarAdvance(Calendar,Y3077,X3078,"f",FALSE)</f>
        <v>60679</v>
      </c>
      <c r="Z3078" s="188">
        <f>_xll.qlCalendarAdvance(Calendar,Y3078,NDays&amp;"D")</f>
        <v>60681</v>
      </c>
      <c r="AA3078" s="163">
        <v>7.0217247654941108E-3</v>
      </c>
      <c r="AB3078" s="172">
        <v>6.9535819019606038E-3</v>
      </c>
    </row>
    <row r="3079" spans="24:28" x14ac:dyDescent="0.2">
      <c r="X3079" s="176" t="str">
        <f t="shared" si="81"/>
        <v>1w</v>
      </c>
      <c r="Y3079" s="164">
        <f>_xll.qlCalendarAdvance(Calendar,Y3078,X3079,"f",FALSE)</f>
        <v>60686</v>
      </c>
      <c r="Z3079" s="188">
        <f>_xll.qlCalendarAdvance(Calendar,Y3079,NDays&amp;"D")</f>
        <v>60688</v>
      </c>
      <c r="AA3079" s="163">
        <v>7.026027622507567E-3</v>
      </c>
      <c r="AB3079" s="172">
        <v>6.9580202127994539E-3</v>
      </c>
    </row>
    <row r="3080" spans="24:28" x14ac:dyDescent="0.2">
      <c r="X3080" s="176" t="str">
        <f t="shared" si="81"/>
        <v>1w</v>
      </c>
      <c r="Y3080" s="164">
        <f>_xll.qlCalendarAdvance(Calendar,Y3079,X3080,"f",FALSE)</f>
        <v>60693</v>
      </c>
      <c r="Z3080" s="188">
        <f>_xll.qlCalendarAdvance(Calendar,Y3080,NDays&amp;"D")</f>
        <v>60695</v>
      </c>
      <c r="AA3080" s="163">
        <v>7.0321730944426552E-3</v>
      </c>
      <c r="AB3080" s="172">
        <v>6.9624468169227072E-3</v>
      </c>
    </row>
    <row r="3081" spans="24:28" x14ac:dyDescent="0.2">
      <c r="X3081" s="176" t="str">
        <f t="shared" si="81"/>
        <v>1w</v>
      </c>
      <c r="Y3081" s="164">
        <f>_xll.qlCalendarAdvance(Calendar,Y3080,X3081,"f",FALSE)</f>
        <v>60700</v>
      </c>
      <c r="Z3081" s="188">
        <f>_xll.qlCalendarAdvance(Calendar,Y3081,NDays&amp;"D")</f>
        <v>60702</v>
      </c>
      <c r="AA3081" s="163">
        <v>7.0364486990949172E-3</v>
      </c>
      <c r="AB3081" s="172">
        <v>6.9668617148099798E-3</v>
      </c>
    </row>
    <row r="3082" spans="24:28" x14ac:dyDescent="0.2">
      <c r="X3082" s="176" t="str">
        <f t="shared" si="81"/>
        <v>1w</v>
      </c>
      <c r="Y3082" s="164">
        <f>_xll.qlCalendarAdvance(Calendar,Y3081,X3082,"f",FALSE)</f>
        <v>60707</v>
      </c>
      <c r="Z3082" s="188">
        <f>_xll.qlCalendarAdvance(Calendar,Y3082,NDays&amp;"D")</f>
        <v>60709</v>
      </c>
      <c r="AA3082" s="163">
        <v>7.0407125642500627E-3</v>
      </c>
      <c r="AB3082" s="172">
        <v>6.9712649060615917E-3</v>
      </c>
    </row>
    <row r="3083" spans="24:28" x14ac:dyDescent="0.2">
      <c r="X3083" s="176" t="str">
        <f t="shared" si="81"/>
        <v>1w</v>
      </c>
      <c r="Y3083" s="164">
        <f>_xll.qlCalendarAdvance(Calendar,Y3082,X3083,"f",FALSE)</f>
        <v>60714</v>
      </c>
      <c r="Z3083" s="188">
        <f>_xll.qlCalendarAdvance(Calendar,Y3083,NDays&amp;"D")</f>
        <v>60716</v>
      </c>
      <c r="AA3083" s="163">
        <v>7.0449646898315937E-3</v>
      </c>
      <c r="AB3083" s="172">
        <v>6.9756563909173508E-3</v>
      </c>
    </row>
    <row r="3084" spans="24:28" x14ac:dyDescent="0.2">
      <c r="X3084" s="176" t="str">
        <f t="shared" si="81"/>
        <v>1w</v>
      </c>
      <c r="Y3084" s="164">
        <f>_xll.qlCalendarAdvance(Calendar,Y3083,X3084,"f",FALSE)</f>
        <v>60721</v>
      </c>
      <c r="Z3084" s="188">
        <f>_xll.qlCalendarAdvance(Calendar,Y3084,NDays&amp;"D")</f>
        <v>60723</v>
      </c>
      <c r="AA3084" s="163">
        <v>7.0481017299919256E-3</v>
      </c>
      <c r="AB3084" s="172">
        <v>6.9800361691374491E-3</v>
      </c>
    </row>
    <row r="3085" spans="24:28" x14ac:dyDescent="0.2">
      <c r="X3085" s="176" t="str">
        <f t="shared" si="81"/>
        <v>1w</v>
      </c>
      <c r="Y3085" s="164">
        <f>_xll.qlCalendarAdvance(Calendar,Y3084,X3085,"f",FALSE)</f>
        <v>60728</v>
      </c>
      <c r="Z3085" s="188">
        <f>_xll.qlCalendarAdvance(Calendar,Y3085,NDays&amp;"D")</f>
        <v>60730</v>
      </c>
      <c r="AA3085" s="163">
        <v>7.0523326437450413E-3</v>
      </c>
      <c r="AB3085" s="172">
        <v>6.9859209849880699E-3</v>
      </c>
    </row>
    <row r="3086" spans="24:28" x14ac:dyDescent="0.2">
      <c r="X3086" s="176" t="str">
        <f t="shared" si="81"/>
        <v>1w</v>
      </c>
      <c r="Y3086" s="164">
        <f>_xll.qlCalendarAdvance(Calendar,Y3085,X3086,"f",FALSE)</f>
        <v>60735</v>
      </c>
      <c r="Z3086" s="188">
        <f>_xll.qlCalendarAdvance(Calendar,Y3086,NDays&amp;"D")</f>
        <v>60737</v>
      </c>
      <c r="AA3086" s="163">
        <v>7.0565518182503315E-3</v>
      </c>
      <c r="AB3086" s="172">
        <v>6.9887606063900876E-3</v>
      </c>
    </row>
    <row r="3087" spans="24:28" x14ac:dyDescent="0.2">
      <c r="X3087" s="176" t="str">
        <f t="shared" si="81"/>
        <v>1w</v>
      </c>
      <c r="Y3087" s="164">
        <f>_xll.qlCalendarAdvance(Calendar,Y3086,X3087,"f",FALSE)</f>
        <v>60742</v>
      </c>
      <c r="Z3087" s="188">
        <f>_xll.qlCalendarAdvance(Calendar,Y3087,NDays&amp;"D")</f>
        <v>60744</v>
      </c>
      <c r="AA3087" s="163">
        <v>7.0607592534326653E-3</v>
      </c>
      <c r="AB3087" s="172">
        <v>6.9931052651028835E-3</v>
      </c>
    </row>
    <row r="3088" spans="24:28" x14ac:dyDescent="0.2">
      <c r="X3088" s="176" t="str">
        <f t="shared" si="81"/>
        <v>1w</v>
      </c>
      <c r="Y3088" s="164">
        <f>_xll.qlCalendarAdvance(Calendar,Y3087,X3088,"f",FALSE)</f>
        <v>60749</v>
      </c>
      <c r="Z3088" s="188">
        <f>_xll.qlCalendarAdvance(Calendar,Y3088,NDays&amp;"D")</f>
        <v>60751</v>
      </c>
      <c r="AA3088" s="163">
        <v>7.0649549492173488E-3</v>
      </c>
      <c r="AB3088" s="172">
        <v>6.9974382174997629E-3</v>
      </c>
    </row>
    <row r="3089" spans="24:28" x14ac:dyDescent="0.2">
      <c r="X3089" s="176" t="str">
        <f t="shared" si="81"/>
        <v>1w</v>
      </c>
      <c r="Y3089" s="164">
        <f>_xll.qlCalendarAdvance(Calendar,Y3088,X3089,"f",FALSE)</f>
        <v>60756</v>
      </c>
      <c r="Z3089" s="188">
        <f>_xll.qlCalendarAdvance(Calendar,Y3089,NDays&amp;"D")</f>
        <v>60758</v>
      </c>
      <c r="AA3089" s="163">
        <v>7.0702309079712262E-3</v>
      </c>
      <c r="AB3089" s="172">
        <v>7.0017594634208535E-3</v>
      </c>
    </row>
    <row r="3090" spans="24:28" x14ac:dyDescent="0.2">
      <c r="X3090" s="176" t="str">
        <f t="shared" si="81"/>
        <v>1w</v>
      </c>
      <c r="Y3090" s="164">
        <f>_xll.qlCalendarAdvance(Calendar,Y3089,X3090,"f",FALSE)</f>
        <v>60763</v>
      </c>
      <c r="Z3090" s="188">
        <f>_xll.qlCalendarAdvance(Calendar,Y3090,NDays&amp;"D")</f>
        <v>60765</v>
      </c>
      <c r="AA3090" s="163">
        <v>7.074400854389068E-3</v>
      </c>
      <c r="AB3090" s="172">
        <v>7.0060690026263472E-3</v>
      </c>
    </row>
    <row r="3091" spans="24:28" x14ac:dyDescent="0.2">
      <c r="X3091" s="176" t="str">
        <f t="shared" si="81"/>
        <v>1w</v>
      </c>
      <c r="Y3091" s="164">
        <f>_xll.qlCalendarAdvance(Calendar,Y3090,X3091,"f",FALSE)</f>
        <v>60770</v>
      </c>
      <c r="Z3091" s="188">
        <f>_xll.qlCalendarAdvance(Calendar,Y3091,NDays&amp;"D")</f>
        <v>60772</v>
      </c>
      <c r="AA3091" s="163">
        <v>7.078559060623461E-3</v>
      </c>
      <c r="AB3091" s="172">
        <v>7.0103668355159243E-3</v>
      </c>
    </row>
    <row r="3092" spans="24:28" x14ac:dyDescent="0.2">
      <c r="X3092" s="176" t="str">
        <f t="shared" si="81"/>
        <v>1w</v>
      </c>
      <c r="Y3092" s="164">
        <f>_xll.qlCalendarAdvance(Calendar,Y3091,X3092,"f",FALSE)</f>
        <v>60777</v>
      </c>
      <c r="Z3092" s="188">
        <f>_xll.qlCalendarAdvance(Calendar,Y3092,NDays&amp;"D")</f>
        <v>60779</v>
      </c>
      <c r="AA3092" s="163">
        <v>7.082705526597048E-3</v>
      </c>
      <c r="AB3092" s="172">
        <v>7.0146529617698405E-3</v>
      </c>
    </row>
    <row r="3093" spans="24:28" x14ac:dyDescent="0.2">
      <c r="X3093" s="176" t="str">
        <f t="shared" ref="X3093:X3156" si="82">X3092</f>
        <v>1w</v>
      </c>
      <c r="Y3093" s="164">
        <f>_xll.qlCalendarAdvance(Calendar,Y3092,X3093,"f",FALSE)</f>
        <v>60784</v>
      </c>
      <c r="Z3093" s="188">
        <f>_xll.qlCalendarAdvance(Calendar,Y3093,NDays&amp;"D")</f>
        <v>60786</v>
      </c>
      <c r="AA3093" s="163">
        <v>7.0857573345577702E-3</v>
      </c>
      <c r="AB3093" s="172">
        <v>7.0189273816279041E-3</v>
      </c>
    </row>
    <row r="3094" spans="24:28" x14ac:dyDescent="0.2">
      <c r="X3094" s="176" t="str">
        <f t="shared" si="82"/>
        <v>1w</v>
      </c>
      <c r="Y3094" s="164">
        <f>_xll.qlCalendarAdvance(Calendar,Y3093,X3094,"f",FALSE)</f>
        <v>60791</v>
      </c>
      <c r="Z3094" s="188">
        <f>_xll.qlCalendarAdvance(Calendar,Y3094,NDays&amp;"D")</f>
        <v>60793</v>
      </c>
      <c r="AA3094" s="163">
        <v>7.0898825923892779E-3</v>
      </c>
      <c r="AB3094" s="172">
        <v>7.0231900949302428E-3</v>
      </c>
    </row>
    <row r="3095" spans="24:28" x14ac:dyDescent="0.2">
      <c r="X3095" s="176" t="str">
        <f t="shared" si="82"/>
        <v>1w</v>
      </c>
      <c r="Y3095" s="164">
        <f>_xll.qlCalendarAdvance(Calendar,Y3094,X3095,"f",FALSE)</f>
        <v>60798</v>
      </c>
      <c r="Z3095" s="188">
        <f>_xll.qlCalendarAdvance(Calendar,Y3095,NDays&amp;"D")</f>
        <v>60800</v>
      </c>
      <c r="AA3095" s="163">
        <v>7.0939961103033333E-3</v>
      </c>
      <c r="AB3095" s="172">
        <v>7.0274411016768568E-3</v>
      </c>
    </row>
    <row r="3096" spans="24:28" x14ac:dyDescent="0.2">
      <c r="X3096" s="176" t="str">
        <f t="shared" si="82"/>
        <v>1w</v>
      </c>
      <c r="Y3096" s="164">
        <f>_xll.qlCalendarAdvance(Calendar,Y3095,X3096,"f",FALSE)</f>
        <v>60805</v>
      </c>
      <c r="Z3096" s="188">
        <f>_xll.qlCalendarAdvance(Calendar,Y3096,NDays&amp;"D")</f>
        <v>60807</v>
      </c>
      <c r="AA3096" s="163">
        <v>7.0980978882265499E-3</v>
      </c>
      <c r="AB3096" s="172">
        <v>7.0316804021075541E-3</v>
      </c>
    </row>
    <row r="3097" spans="24:28" x14ac:dyDescent="0.2">
      <c r="X3097" s="176" t="str">
        <f t="shared" si="82"/>
        <v>1w</v>
      </c>
      <c r="Y3097" s="164">
        <f>_xll.qlCalendarAdvance(Calendar,Y3096,X3097,"f",FALSE)</f>
        <v>60812</v>
      </c>
      <c r="Z3097" s="188">
        <f>_xll.qlCalendarAdvance(Calendar,Y3097,NDays&amp;"D")</f>
        <v>60814</v>
      </c>
      <c r="AA3097" s="163">
        <v>7.1032617499381988E-3</v>
      </c>
      <c r="AB3097" s="172">
        <v>7.0359079959025905E-3</v>
      </c>
    </row>
    <row r="3098" spans="24:28" x14ac:dyDescent="0.2">
      <c r="X3098" s="176" t="str">
        <f t="shared" si="82"/>
        <v>1w</v>
      </c>
      <c r="Y3098" s="164">
        <f>_xll.qlCalendarAdvance(Calendar,Y3097,X3098,"f",FALSE)</f>
        <v>60819</v>
      </c>
      <c r="Z3098" s="188">
        <f>_xll.qlCalendarAdvance(Calendar,Y3098,NDays&amp;"D")</f>
        <v>60821</v>
      </c>
      <c r="AA3098" s="163">
        <v>7.1073377727787386E-3</v>
      </c>
      <c r="AB3098" s="172">
        <v>7.0401238832218382E-3</v>
      </c>
    </row>
    <row r="3099" spans="24:28" x14ac:dyDescent="0.2">
      <c r="X3099" s="176" t="str">
        <f t="shared" si="82"/>
        <v>1w</v>
      </c>
      <c r="Y3099" s="164">
        <f>_xll.qlCalendarAdvance(Calendar,Y3098,X3099,"f",FALSE)</f>
        <v>60826</v>
      </c>
      <c r="Z3099" s="188">
        <f>_xll.qlCalendarAdvance(Calendar,Y3099,NDays&amp;"D")</f>
        <v>60828</v>
      </c>
      <c r="AA3099" s="163">
        <v>7.1114020548375973E-3</v>
      </c>
      <c r="AB3099" s="172">
        <v>7.0443280640652972E-3</v>
      </c>
    </row>
    <row r="3100" spans="24:28" x14ac:dyDescent="0.2">
      <c r="X3100" s="176" t="str">
        <f t="shared" si="82"/>
        <v>1w</v>
      </c>
      <c r="Y3100" s="164">
        <f>_xll.qlCalendarAdvance(Calendar,Y3099,X3100,"f",FALSE)</f>
        <v>60833</v>
      </c>
      <c r="Z3100" s="188">
        <f>_xll.qlCalendarAdvance(Calendar,Y3100,NDays&amp;"D")</f>
        <v>60835</v>
      </c>
      <c r="AA3100" s="163">
        <v>7.115454596039998E-3</v>
      </c>
      <c r="AB3100" s="172">
        <v>7.0485205382730953E-3</v>
      </c>
    </row>
    <row r="3101" spans="24:28" x14ac:dyDescent="0.2">
      <c r="X3101" s="176" t="str">
        <f t="shared" si="82"/>
        <v>1w</v>
      </c>
      <c r="Y3101" s="164">
        <f>_xll.qlCalendarAdvance(Calendar,Y3100,X3101,"f",FALSE)</f>
        <v>60840</v>
      </c>
      <c r="Z3101" s="188">
        <f>_xll.qlCalendarAdvance(Calendar,Y3101,NDays&amp;"D")</f>
        <v>60842</v>
      </c>
      <c r="AA3101" s="163">
        <v>7.1194953963133085E-3</v>
      </c>
      <c r="AB3101" s="172">
        <v>7.0527013060850408E-3</v>
      </c>
    </row>
    <row r="3102" spans="24:28" x14ac:dyDescent="0.2">
      <c r="X3102" s="176" t="str">
        <f t="shared" si="82"/>
        <v>1w</v>
      </c>
      <c r="Y3102" s="164">
        <f>_xll.qlCalendarAdvance(Calendar,Y3101,X3102,"f",FALSE)</f>
        <v>60847</v>
      </c>
      <c r="Z3102" s="188">
        <f>_xll.qlCalendarAdvance(Calendar,Y3102,NDays&amp;"D")</f>
        <v>60849</v>
      </c>
      <c r="AA3102" s="163">
        <v>7.1235244555836108E-3</v>
      </c>
      <c r="AB3102" s="172">
        <v>7.0568703674211974E-3</v>
      </c>
    </row>
    <row r="3103" spans="24:28" x14ac:dyDescent="0.2">
      <c r="X3103" s="176" t="str">
        <f t="shared" si="82"/>
        <v>1w</v>
      </c>
      <c r="Y3103" s="164">
        <f>_xll.qlCalendarAdvance(Calendar,Y3102,X3103,"f",FALSE)</f>
        <v>60854</v>
      </c>
      <c r="Z3103" s="188">
        <f>_xll.qlCalendarAdvance(Calendar,Y3103,NDays&amp;"D")</f>
        <v>60856</v>
      </c>
      <c r="AA3103" s="163">
        <v>7.1275417737782744E-3</v>
      </c>
      <c r="AB3103" s="172">
        <v>7.0610277222815654E-3</v>
      </c>
    </row>
    <row r="3104" spans="24:28" x14ac:dyDescent="0.2">
      <c r="X3104" s="176" t="str">
        <f t="shared" si="82"/>
        <v>1w</v>
      </c>
      <c r="Y3104" s="164">
        <f>_xll.qlCalendarAdvance(Calendar,Y3103,X3104,"f",FALSE)</f>
        <v>60861</v>
      </c>
      <c r="Z3104" s="188">
        <f>_xll.qlCalendarAdvance(Calendar,Y3104,NDays&amp;"D")</f>
        <v>60863</v>
      </c>
      <c r="AA3104" s="163">
        <v>7.1315473508238095E-3</v>
      </c>
      <c r="AB3104" s="172">
        <v>7.0651733705062725E-3</v>
      </c>
    </row>
    <row r="3105" spans="24:28" x14ac:dyDescent="0.2">
      <c r="X3105" s="176" t="str">
        <f t="shared" si="82"/>
        <v>1w</v>
      </c>
      <c r="Y3105" s="164">
        <f>_xll.qlCalendarAdvance(Calendar,Y3104,X3105,"f",FALSE)</f>
        <v>60868</v>
      </c>
      <c r="Z3105" s="188">
        <f>_xll.qlCalendarAdvance(Calendar,Y3105,NDays&amp;"D")</f>
        <v>60870</v>
      </c>
      <c r="AA3105" s="163">
        <v>7.1355411866484463E-3</v>
      </c>
      <c r="AB3105" s="172">
        <v>7.0693073123351269E-3</v>
      </c>
    </row>
    <row r="3106" spans="24:28" x14ac:dyDescent="0.2">
      <c r="X3106" s="176" t="str">
        <f t="shared" si="82"/>
        <v>1w</v>
      </c>
      <c r="Y3106" s="164">
        <f>_xll.qlCalendarAdvance(Calendar,Y3105,X3106,"f",FALSE)</f>
        <v>60875</v>
      </c>
      <c r="Z3106" s="188">
        <f>_xll.qlCalendarAdvance(Calendar,Y3106,NDays&amp;"D")</f>
        <v>60877</v>
      </c>
      <c r="AA3106" s="163">
        <v>7.1377673932087639E-3</v>
      </c>
      <c r="AB3106" s="172">
        <v>7.0734295476082565E-3</v>
      </c>
    </row>
    <row r="3107" spans="24:28" x14ac:dyDescent="0.2">
      <c r="X3107" s="176" t="str">
        <f t="shared" si="82"/>
        <v>1w</v>
      </c>
      <c r="Y3107" s="164">
        <f>_xll.qlCalendarAdvance(Calendar,Y3106,X3107,"f",FALSE)</f>
        <v>60882</v>
      </c>
      <c r="Z3107" s="188">
        <f>_xll.qlCalendarAdvance(Calendar,Y3107,NDays&amp;"D")</f>
        <v>60884</v>
      </c>
      <c r="AA3107" s="163">
        <v>7.1417415463603008E-3</v>
      </c>
      <c r="AB3107" s="172">
        <v>7.0775400764055973E-3</v>
      </c>
    </row>
    <row r="3108" spans="24:28" x14ac:dyDescent="0.2">
      <c r="X3108" s="176" t="str">
        <f t="shared" si="82"/>
        <v>1w</v>
      </c>
      <c r="Y3108" s="164">
        <f>_xll.qlCalendarAdvance(Calendar,Y3107,X3108,"f",FALSE)</f>
        <v>60889</v>
      </c>
      <c r="Z3108" s="188">
        <f>_xll.qlCalendarAdvance(Calendar,Y3108,NDays&amp;"D")</f>
        <v>60891</v>
      </c>
      <c r="AA3108" s="163">
        <v>7.1457039590437929E-3</v>
      </c>
      <c r="AB3108" s="172">
        <v>7.0816388986472134E-3</v>
      </c>
    </row>
    <row r="3109" spans="24:28" x14ac:dyDescent="0.2">
      <c r="X3109" s="176" t="str">
        <f t="shared" si="82"/>
        <v>1w</v>
      </c>
      <c r="Y3109" s="164">
        <f>_xll.qlCalendarAdvance(Calendar,Y3108,X3109,"f",FALSE)</f>
        <v>60896</v>
      </c>
      <c r="Z3109" s="188">
        <f>_xll.qlCalendarAdvance(Calendar,Y3109,NDays&amp;"D")</f>
        <v>60898</v>
      </c>
      <c r="AA3109" s="163">
        <v>7.1496546311899025E-3</v>
      </c>
      <c r="AB3109" s="172">
        <v>7.0857260144130407E-3</v>
      </c>
    </row>
    <row r="3110" spans="24:28" x14ac:dyDescent="0.2">
      <c r="X3110" s="176" t="str">
        <f t="shared" si="82"/>
        <v>1w</v>
      </c>
      <c r="Y3110" s="164">
        <f>_xll.qlCalendarAdvance(Calendar,Y3109,X3110,"f",FALSE)</f>
        <v>60903</v>
      </c>
      <c r="Z3110" s="188">
        <f>_xll.qlCalendarAdvance(Calendar,Y3110,NDays&amp;"D")</f>
        <v>60905</v>
      </c>
      <c r="AA3110" s="163">
        <v>7.1539418350663343E-3</v>
      </c>
      <c r="AB3110" s="172">
        <v>7.0898014236231433E-3</v>
      </c>
    </row>
    <row r="3111" spans="24:28" x14ac:dyDescent="0.2">
      <c r="X3111" s="176" t="str">
        <f t="shared" si="82"/>
        <v>1w</v>
      </c>
      <c r="Y3111" s="164">
        <f>_xll.qlCalendarAdvance(Calendar,Y3110,X3111,"f",FALSE)</f>
        <v>60910</v>
      </c>
      <c r="Z3111" s="188">
        <f>_xll.qlCalendarAdvance(Calendar,Y3111,NDays&amp;"D")</f>
        <v>60912</v>
      </c>
      <c r="AA3111" s="163">
        <v>7.1578682652042817E-3</v>
      </c>
      <c r="AB3111" s="172">
        <v>7.093865126357457E-3</v>
      </c>
    </row>
    <row r="3112" spans="24:28" x14ac:dyDescent="0.2">
      <c r="X3112" s="176" t="str">
        <f t="shared" si="82"/>
        <v>1w</v>
      </c>
      <c r="Y3112" s="164">
        <f>_xll.qlCalendarAdvance(Calendar,Y3111,X3112,"f",FALSE)</f>
        <v>60917</v>
      </c>
      <c r="Z3112" s="188">
        <f>_xll.qlCalendarAdvance(Calendar,Y3112,NDays&amp;"D")</f>
        <v>60919</v>
      </c>
      <c r="AA3112" s="163">
        <v>7.1617829543999438E-3</v>
      </c>
      <c r="AB3112" s="172">
        <v>7.0979171226159821E-3</v>
      </c>
    </row>
    <row r="3113" spans="24:28" x14ac:dyDescent="0.2">
      <c r="X3113" s="176" t="str">
        <f t="shared" si="82"/>
        <v>1w</v>
      </c>
      <c r="Y3113" s="164">
        <f>_xll.qlCalendarAdvance(Calendar,Y3112,X3113,"f",FALSE)</f>
        <v>60924</v>
      </c>
      <c r="Z3113" s="188">
        <f>_xll.qlCalendarAdvance(Calendar,Y3113,NDays&amp;"D")</f>
        <v>60926</v>
      </c>
      <c r="AA3113" s="163">
        <v>7.1656859025839275E-3</v>
      </c>
      <c r="AB3113" s="172">
        <v>7.1019574123987184E-3</v>
      </c>
    </row>
    <row r="3114" spans="24:28" x14ac:dyDescent="0.2">
      <c r="X3114" s="176" t="str">
        <f t="shared" si="82"/>
        <v>1w</v>
      </c>
      <c r="Y3114" s="164">
        <f>_xll.qlCalendarAdvance(Calendar,Y3113,X3114,"f",FALSE)</f>
        <v>60931</v>
      </c>
      <c r="Z3114" s="188">
        <f>_xll.qlCalendarAdvance(Calendar,Y3114,NDays&amp;"D")</f>
        <v>60933</v>
      </c>
      <c r="AA3114" s="163">
        <v>7.1695771096881534E-3</v>
      </c>
      <c r="AB3114" s="172">
        <v>7.1059859956257299E-3</v>
      </c>
    </row>
    <row r="3115" spans="24:28" x14ac:dyDescent="0.2">
      <c r="X3115" s="176" t="str">
        <f t="shared" si="82"/>
        <v>1w</v>
      </c>
      <c r="Y3115" s="164">
        <f>_xll.qlCalendarAdvance(Calendar,Y3114,X3115,"f",FALSE)</f>
        <v>60938</v>
      </c>
      <c r="Z3115" s="188">
        <f>_xll.qlCalendarAdvance(Calendar,Y3115,NDays&amp;"D")</f>
        <v>60940</v>
      </c>
      <c r="AA3115" s="163">
        <v>7.1731121088788033E-3</v>
      </c>
      <c r="AB3115" s="172">
        <v>7.1100028723769526E-3</v>
      </c>
    </row>
    <row r="3116" spans="24:28" x14ac:dyDescent="0.2">
      <c r="X3116" s="176" t="str">
        <f t="shared" si="82"/>
        <v>1w</v>
      </c>
      <c r="Y3116" s="164">
        <f>_xll.qlCalendarAdvance(Calendar,Y3115,X3116,"f",FALSE)</f>
        <v>60945</v>
      </c>
      <c r="Z3116" s="188">
        <f>_xll.qlCalendarAdvance(Calendar,Y3116,NDays&amp;"D")</f>
        <v>60947</v>
      </c>
      <c r="AA3116" s="163">
        <v>7.1769805953173921E-3</v>
      </c>
      <c r="AB3116" s="172">
        <v>7.1140080424125784E-3</v>
      </c>
    </row>
    <row r="3117" spans="24:28" x14ac:dyDescent="0.2">
      <c r="X3117" s="176" t="str">
        <f t="shared" si="82"/>
        <v>1w</v>
      </c>
      <c r="Y3117" s="164">
        <f>_xll.qlCalendarAdvance(Calendar,Y3116,X3117,"f",FALSE)</f>
        <v>60952</v>
      </c>
      <c r="Z3117" s="188">
        <f>_xll.qlCalendarAdvance(Calendar,Y3117,NDays&amp;"D")</f>
        <v>60954</v>
      </c>
      <c r="AA3117" s="163">
        <v>7.1808373406678783E-3</v>
      </c>
      <c r="AB3117" s="172">
        <v>7.1180015062921598E-3</v>
      </c>
    </row>
    <row r="3118" spans="24:28" x14ac:dyDescent="0.2">
      <c r="X3118" s="176" t="str">
        <f t="shared" si="82"/>
        <v>1w</v>
      </c>
      <c r="Y3118" s="164">
        <f>_xll.qlCalendarAdvance(Calendar,Y3117,X3118,"f",FALSE)</f>
        <v>60959</v>
      </c>
      <c r="Z3118" s="188">
        <f>_xll.qlCalendarAdvance(Calendar,Y3118,NDays&amp;"D")</f>
        <v>60961</v>
      </c>
      <c r="AA3118" s="163">
        <v>7.1846823448587184E-3</v>
      </c>
      <c r="AB3118" s="172">
        <v>7.1219832633762081E-3</v>
      </c>
    </row>
    <row r="3119" spans="24:28" x14ac:dyDescent="0.2">
      <c r="X3119" s="176" t="str">
        <f t="shared" si="82"/>
        <v>1w</v>
      </c>
      <c r="Y3119" s="164">
        <f>_xll.qlCalendarAdvance(Calendar,Y3118,X3119,"f",FALSE)</f>
        <v>60966</v>
      </c>
      <c r="Z3119" s="188">
        <f>_xll.qlCalendarAdvance(Calendar,Y3119,NDays&amp;"D")</f>
        <v>60968</v>
      </c>
      <c r="AA3119" s="163">
        <v>7.1888570265858645E-3</v>
      </c>
      <c r="AB3119" s="172">
        <v>7.1259533141443399E-3</v>
      </c>
    </row>
    <row r="3120" spans="24:28" x14ac:dyDescent="0.2">
      <c r="X3120" s="176" t="str">
        <f t="shared" si="82"/>
        <v>1w</v>
      </c>
      <c r="Y3120" s="164">
        <f>_xll.qlCalendarAdvance(Calendar,Y3119,X3120,"f",FALSE)</f>
        <v>60973</v>
      </c>
      <c r="Z3120" s="188">
        <f>_xll.qlCalendarAdvance(Calendar,Y3120,NDays&amp;"D")</f>
        <v>60975</v>
      </c>
      <c r="AA3120" s="163">
        <v>7.19267778576216E-3</v>
      </c>
      <c r="AB3120" s="172">
        <v>7.1299116582768107E-3</v>
      </c>
    </row>
    <row r="3121" spans="24:28" x14ac:dyDescent="0.2">
      <c r="X3121" s="176" t="str">
        <f t="shared" si="82"/>
        <v>1w</v>
      </c>
      <c r="Y3121" s="164">
        <f>_xll.qlCalendarAdvance(Calendar,Y3120,X3121,"f",FALSE)</f>
        <v>60980</v>
      </c>
      <c r="Z3121" s="188">
        <f>_xll.qlCalendarAdvance(Calendar,Y3121,NDays&amp;"D")</f>
        <v>60982</v>
      </c>
      <c r="AA3121" s="163">
        <v>7.1964868033790822E-3</v>
      </c>
      <c r="AB3121" s="172">
        <v>7.1338582959334929E-3</v>
      </c>
    </row>
    <row r="3122" spans="24:28" x14ac:dyDescent="0.2">
      <c r="X3122" s="176" t="str">
        <f t="shared" si="82"/>
        <v>1w</v>
      </c>
      <c r="Y3122" s="164">
        <f>_xll.qlCalendarAdvance(Calendar,Y3121,X3122,"f",FALSE)</f>
        <v>60987</v>
      </c>
      <c r="Z3122" s="188">
        <f>_xll.qlCalendarAdvance(Calendar,Y3122,NDays&amp;"D")</f>
        <v>60989</v>
      </c>
      <c r="AA3122" s="163">
        <v>7.2002840793681149E-3</v>
      </c>
      <c r="AB3122" s="172">
        <v>7.1377932270344502E-3</v>
      </c>
    </row>
    <row r="3123" spans="24:28" x14ac:dyDescent="0.2">
      <c r="X3123" s="176" t="str">
        <f t="shared" si="82"/>
        <v>1w</v>
      </c>
      <c r="Y3123" s="164">
        <f>_xll.qlCalendarAdvance(Calendar,Y3122,X3123,"f",FALSE)</f>
        <v>60994</v>
      </c>
      <c r="Z3123" s="188">
        <f>_xll.qlCalendarAdvance(Calendar,Y3123,NDays&amp;"D")</f>
        <v>60996</v>
      </c>
      <c r="AA3123" s="163">
        <v>7.204069613662498E-3</v>
      </c>
      <c r="AB3123" s="172">
        <v>7.1417164516596188E-3</v>
      </c>
    </row>
    <row r="3124" spans="24:28" x14ac:dyDescent="0.2">
      <c r="X3124" s="176" t="str">
        <f t="shared" si="82"/>
        <v>1w</v>
      </c>
      <c r="Y3124" s="164">
        <f>_xll.qlCalendarAdvance(Calendar,Y3123,X3124,"f",FALSE)</f>
        <v>61001</v>
      </c>
      <c r="Z3124" s="188">
        <f>_xll.qlCalendarAdvance(Calendar,Y3124,NDays&amp;"D")</f>
        <v>61003</v>
      </c>
      <c r="AA3124" s="163">
        <v>7.2075058019008065E-3</v>
      </c>
      <c r="AB3124" s="172">
        <v>7.1456279698089986E-3</v>
      </c>
    </row>
    <row r="3125" spans="24:28" x14ac:dyDescent="0.2">
      <c r="X3125" s="176" t="str">
        <f t="shared" si="82"/>
        <v>1w</v>
      </c>
      <c r="Y3125" s="164">
        <f>_xll.qlCalendarAdvance(Calendar,Y3124,X3125,"f",FALSE)</f>
        <v>61008</v>
      </c>
      <c r="Z3125" s="188">
        <f>_xll.qlCalendarAdvance(Calendar,Y3125,NDays&amp;"D")</f>
        <v>61010</v>
      </c>
      <c r="AA3125" s="163">
        <v>7.2112686160958426E-3</v>
      </c>
      <c r="AB3125" s="172">
        <v>7.1495277814026537E-3</v>
      </c>
    </row>
    <row r="3126" spans="24:28" x14ac:dyDescent="0.2">
      <c r="X3126" s="176" t="str">
        <f t="shared" si="82"/>
        <v>1w</v>
      </c>
      <c r="Y3126" s="164">
        <f>_xll.qlCalendarAdvance(Calendar,Y3125,X3126,"f",FALSE)</f>
        <v>61015</v>
      </c>
      <c r="Z3126" s="188">
        <f>_xll.qlCalendarAdvance(Calendar,Y3126,NDays&amp;"D")</f>
        <v>61017</v>
      </c>
      <c r="AA3126" s="163">
        <v>7.2150196885968536E-3</v>
      </c>
      <c r="AB3126" s="172">
        <v>7.1534158864405839E-3</v>
      </c>
    </row>
    <row r="3127" spans="24:28" x14ac:dyDescent="0.2">
      <c r="X3127" s="176" t="str">
        <f t="shared" si="82"/>
        <v>1w</v>
      </c>
      <c r="Y3127" s="164">
        <f>_xll.qlCalendarAdvance(Calendar,Y3126,X3127,"f",FALSE)</f>
        <v>61022</v>
      </c>
      <c r="Z3127" s="188">
        <f>_xll.qlCalendarAdvance(Calendar,Y3127,NDays&amp;"D")</f>
        <v>61024</v>
      </c>
      <c r="AA3127" s="163">
        <v>7.2187590193362678E-3</v>
      </c>
      <c r="AB3127" s="172">
        <v>7.1572922850826615E-3</v>
      </c>
    </row>
    <row r="3128" spans="24:28" x14ac:dyDescent="0.2">
      <c r="X3128" s="176" t="str">
        <f t="shared" si="82"/>
        <v>1w</v>
      </c>
      <c r="Y3128" s="164">
        <f>_xll.qlCalendarAdvance(Calendar,Y3127,X3128,"f",FALSE)</f>
        <v>61029</v>
      </c>
      <c r="Z3128" s="188">
        <f>_xll.qlCalendarAdvance(Calendar,Y3128,NDays&amp;"D")</f>
        <v>61031</v>
      </c>
      <c r="AA3128" s="163">
        <v>7.2224866082473988E-3</v>
      </c>
      <c r="AB3128" s="172">
        <v>7.1611569771690142E-3</v>
      </c>
    </row>
    <row r="3129" spans="24:28" x14ac:dyDescent="0.2">
      <c r="X3129" s="176" t="str">
        <f t="shared" si="82"/>
        <v>1w</v>
      </c>
      <c r="Y3129" s="164">
        <f>_xll.qlCalendarAdvance(Calendar,Y3128,X3129,"f",FALSE)</f>
        <v>61036</v>
      </c>
      <c r="Z3129" s="188">
        <f>_xll.qlCalendarAdvance(Calendar,Y3129,NDays&amp;"D")</f>
        <v>61038</v>
      </c>
      <c r="AA3129" s="163">
        <v>7.2262024552648841E-3</v>
      </c>
      <c r="AB3129" s="172">
        <v>7.1650099626197061E-3</v>
      </c>
    </row>
    <row r="3130" spans="24:28" x14ac:dyDescent="0.2">
      <c r="X3130" s="176" t="str">
        <f t="shared" si="82"/>
        <v>1w</v>
      </c>
      <c r="Y3130" s="164">
        <f>_xll.qlCalendarAdvance(Calendar,Y3129,X3130,"f",FALSE)</f>
        <v>61043</v>
      </c>
      <c r="Z3130" s="188">
        <f>_xll.qlCalendarAdvance(Calendar,Y3130,NDays&amp;"D")</f>
        <v>61045</v>
      </c>
      <c r="AA3130" s="163">
        <v>7.2299065603242466E-3</v>
      </c>
      <c r="AB3130" s="172">
        <v>7.1688512416745453E-3</v>
      </c>
    </row>
    <row r="3131" spans="24:28" x14ac:dyDescent="0.2">
      <c r="X3131" s="176" t="str">
        <f t="shared" si="82"/>
        <v>1w</v>
      </c>
      <c r="Y3131" s="164">
        <f>_xll.qlCalendarAdvance(Calendar,Y3130,X3131,"f",FALSE)</f>
        <v>61050</v>
      </c>
      <c r="Z3131" s="188">
        <f>_xll.qlCalendarAdvance(Calendar,Y3131,NDays&amp;"D")</f>
        <v>61052</v>
      </c>
      <c r="AA3131" s="163">
        <v>7.2335989233592388E-3</v>
      </c>
      <c r="AB3131" s="172">
        <v>7.1726808141736598E-3</v>
      </c>
    </row>
    <row r="3132" spans="24:28" x14ac:dyDescent="0.2">
      <c r="X3132" s="176" t="str">
        <f t="shared" si="82"/>
        <v>1w</v>
      </c>
      <c r="Y3132" s="164">
        <f>_xll.qlCalendarAdvance(Calendar,Y3131,X3132,"f",FALSE)</f>
        <v>61057</v>
      </c>
      <c r="Z3132" s="188">
        <f>_xll.qlCalendarAdvance(Calendar,Y3132,NDays&amp;"D")</f>
        <v>61059</v>
      </c>
      <c r="AA3132" s="163">
        <v>7.2389363125542477E-3</v>
      </c>
      <c r="AB3132" s="172">
        <v>7.1764986802769215E-3</v>
      </c>
    </row>
    <row r="3133" spans="24:28" x14ac:dyDescent="0.2">
      <c r="X3133" s="176" t="str">
        <f t="shared" si="82"/>
        <v>1w</v>
      </c>
      <c r="Y3133" s="164">
        <f>_xll.qlCalendarAdvance(Calendar,Y3132,X3133,"f",FALSE)</f>
        <v>61064</v>
      </c>
      <c r="Z3133" s="188">
        <f>_xll.qlCalendarAdvance(Calendar,Y3133,NDays&amp;"D")</f>
        <v>61066</v>
      </c>
      <c r="AA3133" s="163">
        <v>7.2426013655430884E-3</v>
      </c>
      <c r="AB3133" s="172">
        <v>7.1803048396645863E-3</v>
      </c>
    </row>
    <row r="3134" spans="24:28" x14ac:dyDescent="0.2">
      <c r="X3134" s="176" t="str">
        <f t="shared" si="82"/>
        <v>1w</v>
      </c>
      <c r="Y3134" s="164">
        <f>_xll.qlCalendarAdvance(Calendar,Y3133,X3134,"f",FALSE)</f>
        <v>61071</v>
      </c>
      <c r="Z3134" s="188">
        <f>_xll.qlCalendarAdvance(Calendar,Y3134,NDays&amp;"D")</f>
        <v>61073</v>
      </c>
      <c r="AA3134" s="163">
        <v>7.2462546752962986E-3</v>
      </c>
      <c r="AB3134" s="172">
        <v>7.1840992926563985E-3</v>
      </c>
    </row>
    <row r="3135" spans="24:28" x14ac:dyDescent="0.2">
      <c r="X3135" s="176" t="str">
        <f t="shared" si="82"/>
        <v>1w</v>
      </c>
      <c r="Y3135" s="164">
        <f>_xll.qlCalendarAdvance(Calendar,Y3134,X3135,"f",FALSE)</f>
        <v>61078</v>
      </c>
      <c r="Z3135" s="188">
        <f>_xll.qlCalendarAdvance(Calendar,Y3135,NDays&amp;"D")</f>
        <v>61080</v>
      </c>
      <c r="AA3135" s="163">
        <v>7.2498962417472642E-3</v>
      </c>
      <c r="AB3135" s="172">
        <v>7.1878820391724219E-3</v>
      </c>
    </row>
    <row r="3136" spans="24:28" x14ac:dyDescent="0.2">
      <c r="X3136" s="176" t="str">
        <f t="shared" si="82"/>
        <v>1w</v>
      </c>
      <c r="Y3136" s="164">
        <f>_xll.qlCalendarAdvance(Calendar,Y3135,X3136,"f",FALSE)</f>
        <v>61085</v>
      </c>
      <c r="Z3136" s="188">
        <f>_xll.qlCalendarAdvance(Calendar,Y3136,NDays&amp;"D")</f>
        <v>61087</v>
      </c>
      <c r="AA3136" s="163">
        <v>7.2525413954132329E-3</v>
      </c>
      <c r="AB3136" s="172">
        <v>7.1930155542414553E-3</v>
      </c>
    </row>
    <row r="3137" spans="24:28" x14ac:dyDescent="0.2">
      <c r="X3137" s="176" t="str">
        <f t="shared" si="82"/>
        <v>1w</v>
      </c>
      <c r="Y3137" s="164">
        <f>_xll.qlCalendarAdvance(Calendar,Y3136,X3137,"f",FALSE)</f>
        <v>61092</v>
      </c>
      <c r="Z3137" s="188">
        <f>_xll.qlCalendarAdvance(Calendar,Y3137,NDays&amp;"D")</f>
        <v>61094</v>
      </c>
      <c r="AA3137" s="163">
        <v>7.2561617730707885E-3</v>
      </c>
      <c r="AB3137" s="172">
        <v>7.1954124125372942E-3</v>
      </c>
    </row>
    <row r="3138" spans="24:28" x14ac:dyDescent="0.2">
      <c r="X3138" s="176" t="str">
        <f t="shared" si="82"/>
        <v>1w</v>
      </c>
      <c r="Y3138" s="164">
        <f>_xll.qlCalendarAdvance(Calendar,Y3137,X3138,"f",FALSE)</f>
        <v>61099</v>
      </c>
      <c r="Z3138" s="188">
        <f>_xll.qlCalendarAdvance(Calendar,Y3138,NDays&amp;"D")</f>
        <v>61101</v>
      </c>
      <c r="AA3138" s="163">
        <v>7.2597704078440836E-3</v>
      </c>
      <c r="AB3138" s="172">
        <v>7.1991600393062072E-3</v>
      </c>
    </row>
    <row r="3139" spans="24:28" x14ac:dyDescent="0.2">
      <c r="X3139" s="176" t="str">
        <f t="shared" si="82"/>
        <v>1w</v>
      </c>
      <c r="Y3139" s="164">
        <f>_xll.qlCalendarAdvance(Calendar,Y3138,X3139,"f",FALSE)</f>
        <v>61106</v>
      </c>
      <c r="Z3139" s="188">
        <f>_xll.qlCalendarAdvance(Calendar,Y3139,NDays&amp;"D")</f>
        <v>61108</v>
      </c>
      <c r="AA3139" s="163">
        <v>7.2633672996667235E-3</v>
      </c>
      <c r="AB3139" s="172">
        <v>7.2028959597592035E-3</v>
      </c>
    </row>
    <row r="3140" spans="24:28" x14ac:dyDescent="0.2">
      <c r="X3140" s="176" t="str">
        <f t="shared" si="82"/>
        <v>1w</v>
      </c>
      <c r="Y3140" s="164">
        <f>_xll.qlCalendarAdvance(Calendar,Y3139,X3140,"f",FALSE)</f>
        <v>61113</v>
      </c>
      <c r="Z3140" s="188">
        <f>_xll.qlCalendarAdvance(Calendar,Y3140,NDays&amp;"D")</f>
        <v>61115</v>
      </c>
      <c r="AA3140" s="163">
        <v>7.2669524484749327E-3</v>
      </c>
      <c r="AB3140" s="172">
        <v>7.2066201735765389E-3</v>
      </c>
    </row>
    <row r="3141" spans="24:28" x14ac:dyDescent="0.2">
      <c r="X3141" s="176" t="str">
        <f t="shared" si="82"/>
        <v>1w</v>
      </c>
      <c r="Y3141" s="164">
        <f>_xll.qlCalendarAdvance(Calendar,Y3140,X3141,"f",FALSE)</f>
        <v>61120</v>
      </c>
      <c r="Z3141" s="188">
        <f>_xll.qlCalendarAdvance(Calendar,Y3141,NDays&amp;"D")</f>
        <v>61122</v>
      </c>
      <c r="AA3141" s="163">
        <v>7.2714990274206958E-3</v>
      </c>
      <c r="AB3141" s="172">
        <v>7.2103326809180857E-3</v>
      </c>
    </row>
    <row r="3142" spans="24:28" x14ac:dyDescent="0.2">
      <c r="X3142" s="176" t="str">
        <f t="shared" si="82"/>
        <v>1w</v>
      </c>
      <c r="Y3142" s="164">
        <f>_xll.qlCalendarAdvance(Calendar,Y3141,X3142,"f",FALSE)</f>
        <v>61127</v>
      </c>
      <c r="Z3142" s="188">
        <f>_xll.qlCalendarAdvance(Calendar,Y3142,NDays&amp;"D")</f>
        <v>61129</v>
      </c>
      <c r="AA3142" s="163">
        <v>7.2750583889178494E-3</v>
      </c>
      <c r="AB3142" s="172">
        <v>7.2140334817039076E-3</v>
      </c>
    </row>
    <row r="3143" spans="24:28" x14ac:dyDescent="0.2">
      <c r="X3143" s="176" t="str">
        <f t="shared" si="82"/>
        <v>1w</v>
      </c>
      <c r="Y3143" s="164">
        <f>_xll.qlCalendarAdvance(Calendar,Y3142,X3143,"f",FALSE)</f>
        <v>61134</v>
      </c>
      <c r="Z3143" s="188">
        <f>_xll.qlCalendarAdvance(Calendar,Y3143,NDays&amp;"D")</f>
        <v>61136</v>
      </c>
      <c r="AA3143" s="163">
        <v>7.2786060065905961E-3</v>
      </c>
      <c r="AB3143" s="172">
        <v>7.2177225760938768E-3</v>
      </c>
    </row>
    <row r="3144" spans="24:28" x14ac:dyDescent="0.2">
      <c r="X3144" s="176" t="str">
        <f t="shared" si="82"/>
        <v>1w</v>
      </c>
      <c r="Y3144" s="164">
        <f>_xll.qlCalendarAdvance(Calendar,Y3143,X3144,"f",FALSE)</f>
        <v>61141</v>
      </c>
      <c r="Z3144" s="188">
        <f>_xll.qlCalendarAdvance(Calendar,Y3144,NDays&amp;"D")</f>
        <v>61143</v>
      </c>
      <c r="AA3144" s="163">
        <v>7.2821418803731804E-3</v>
      </c>
      <c r="AB3144" s="172">
        <v>7.2213999638481852E-3</v>
      </c>
    </row>
    <row r="3145" spans="24:28" x14ac:dyDescent="0.2">
      <c r="X3145" s="176" t="str">
        <f t="shared" si="82"/>
        <v>1w</v>
      </c>
      <c r="Y3145" s="164">
        <f>_xll.qlCalendarAdvance(Calendar,Y3144,X3145,"f",FALSE)</f>
        <v>61148</v>
      </c>
      <c r="Z3145" s="188">
        <f>_xll.qlCalendarAdvance(Calendar,Y3145,NDays&amp;"D")</f>
        <v>61150</v>
      </c>
      <c r="AA3145" s="163">
        <v>7.2847020450744308E-3</v>
      </c>
      <c r="AB3145" s="172">
        <v>7.2250656451267048E-3</v>
      </c>
    </row>
    <row r="3146" spans="24:28" x14ac:dyDescent="0.2">
      <c r="X3146" s="176" t="str">
        <f t="shared" si="82"/>
        <v>1w</v>
      </c>
      <c r="Y3146" s="164">
        <f>_xll.qlCalendarAdvance(Calendar,Y3145,X3146,"f",FALSE)</f>
        <v>61155</v>
      </c>
      <c r="Z3146" s="188">
        <f>_xll.qlCalendarAdvance(Calendar,Y3146,NDays&amp;"D")</f>
        <v>61157</v>
      </c>
      <c r="AA3146" s="163">
        <v>7.2882167344616106E-3</v>
      </c>
      <c r="AB3146" s="172">
        <v>7.2287196198494996E-3</v>
      </c>
    </row>
    <row r="3147" spans="24:28" x14ac:dyDescent="0.2">
      <c r="X3147" s="176" t="str">
        <f t="shared" si="82"/>
        <v>1w</v>
      </c>
      <c r="Y3147" s="164">
        <f>_xll.qlCalendarAdvance(Calendar,Y3146,X3147,"f",FALSE)</f>
        <v>61162</v>
      </c>
      <c r="Z3147" s="188">
        <f>_xll.qlCalendarAdvance(Calendar,Y3147,NDays&amp;"D")</f>
        <v>61164</v>
      </c>
      <c r="AA3147" s="163">
        <v>7.2917196803905628E-3</v>
      </c>
      <c r="AB3147" s="172">
        <v>7.2323618880965057E-3</v>
      </c>
    </row>
    <row r="3148" spans="24:28" x14ac:dyDescent="0.2">
      <c r="X3148" s="176" t="str">
        <f t="shared" si="82"/>
        <v>1w</v>
      </c>
      <c r="Y3148" s="164">
        <f>_xll.qlCalendarAdvance(Calendar,Y3147,X3148,"f",FALSE)</f>
        <v>61169</v>
      </c>
      <c r="Z3148" s="188">
        <f>_xll.qlCalendarAdvance(Calendar,Y3148,NDays&amp;"D")</f>
        <v>61171</v>
      </c>
      <c r="AA3148" s="163">
        <v>7.2952108828005712E-3</v>
      </c>
      <c r="AB3148" s="172">
        <v>7.2359924498677231E-3</v>
      </c>
    </row>
    <row r="3149" spans="24:28" x14ac:dyDescent="0.2">
      <c r="X3149" s="176" t="str">
        <f t="shared" si="82"/>
        <v>1w</v>
      </c>
      <c r="Y3149" s="164">
        <f>_xll.qlCalendarAdvance(Calendar,Y3148,X3149,"f",FALSE)</f>
        <v>61176</v>
      </c>
      <c r="Z3149" s="188">
        <f>_xll.qlCalendarAdvance(Calendar,Y3149,NDays&amp;"D")</f>
        <v>61178</v>
      </c>
      <c r="AA3149" s="163">
        <v>7.2986903416274234E-3</v>
      </c>
      <c r="AB3149" s="172">
        <v>7.2396113050032795E-3</v>
      </c>
    </row>
    <row r="3150" spans="24:28" x14ac:dyDescent="0.2">
      <c r="X3150" s="176" t="str">
        <f t="shared" si="82"/>
        <v>1w</v>
      </c>
      <c r="Y3150" s="164">
        <f>_xll.qlCalendarAdvance(Calendar,Y3149,X3150,"f",FALSE)</f>
        <v>61183</v>
      </c>
      <c r="Z3150" s="188">
        <f>_xll.qlCalendarAdvance(Calendar,Y3150,NDays&amp;"D")</f>
        <v>61185</v>
      </c>
      <c r="AA3150" s="163">
        <v>7.3031104978233015E-3</v>
      </c>
      <c r="AB3150" s="172">
        <v>7.2432184536630473E-3</v>
      </c>
    </row>
    <row r="3151" spans="24:28" x14ac:dyDescent="0.2">
      <c r="X3151" s="176" t="str">
        <f t="shared" si="82"/>
        <v>1w</v>
      </c>
      <c r="Y3151" s="164">
        <f>_xll.qlCalendarAdvance(Calendar,Y3150,X3151,"f",FALSE)</f>
        <v>61190</v>
      </c>
      <c r="Z3151" s="188">
        <f>_xll.qlCalendarAdvance(Calendar,Y3151,NDays&amp;"D")</f>
        <v>61192</v>
      </c>
      <c r="AA3151" s="163">
        <v>7.3065641625981127E-3</v>
      </c>
      <c r="AB3151" s="172">
        <v>7.2468138957670902E-3</v>
      </c>
    </row>
    <row r="3152" spans="24:28" x14ac:dyDescent="0.2">
      <c r="X3152" s="176" t="str">
        <f t="shared" si="82"/>
        <v>1w</v>
      </c>
      <c r="Y3152" s="164">
        <f>_xll.qlCalendarAdvance(Calendar,Y3151,X3152,"f",FALSE)</f>
        <v>61197</v>
      </c>
      <c r="Z3152" s="188">
        <f>_xll.qlCalendarAdvance(Calendar,Y3152,NDays&amp;"D")</f>
        <v>61199</v>
      </c>
      <c r="AA3152" s="163">
        <v>7.3100060829765006E-3</v>
      </c>
      <c r="AB3152" s="172">
        <v>7.2503976313154084E-3</v>
      </c>
    </row>
    <row r="3153" spans="24:28" x14ac:dyDescent="0.2">
      <c r="X3153" s="176" t="str">
        <f t="shared" si="82"/>
        <v>1w</v>
      </c>
      <c r="Y3153" s="164">
        <f>_xll.qlCalendarAdvance(Calendar,Y3152,X3153,"f",FALSE)</f>
        <v>61204</v>
      </c>
      <c r="Z3153" s="188">
        <f>_xll.qlCalendarAdvance(Calendar,Y3153,NDays&amp;"D")</f>
        <v>61206</v>
      </c>
      <c r="AA3153" s="163">
        <v>7.3134362588965799E-3</v>
      </c>
      <c r="AB3153" s="172">
        <v>7.2539696604678738E-3</v>
      </c>
    </row>
    <row r="3154" spans="24:28" x14ac:dyDescent="0.2">
      <c r="X3154" s="176" t="str">
        <f t="shared" si="82"/>
        <v>1w</v>
      </c>
      <c r="Y3154" s="164">
        <f>_xll.qlCalendarAdvance(Calendar,Y3153,X3154,"f",FALSE)</f>
        <v>61211</v>
      </c>
      <c r="Z3154" s="188">
        <f>_xll.qlCalendarAdvance(Calendar,Y3154,NDays&amp;"D")</f>
        <v>61213</v>
      </c>
      <c r="AA3154" s="163">
        <v>7.3168546902956048E-3</v>
      </c>
      <c r="AB3154" s="172">
        <v>7.2575299831445506E-3</v>
      </c>
    </row>
    <row r="3155" spans="24:28" x14ac:dyDescent="0.2">
      <c r="X3155" s="176" t="str">
        <f t="shared" si="82"/>
        <v>1w</v>
      </c>
      <c r="Y3155" s="164">
        <f>_xll.qlCalendarAdvance(Calendar,Y3154,X3155,"f",FALSE)</f>
        <v>61218</v>
      </c>
      <c r="Z3155" s="188">
        <f>_xll.qlCalendarAdvance(Calendar,Y3155,NDays&amp;"D")</f>
        <v>61220</v>
      </c>
      <c r="AA3155" s="163">
        <v>7.3202613771112587E-3</v>
      </c>
      <c r="AB3155" s="172">
        <v>7.2610785991056304E-3</v>
      </c>
    </row>
    <row r="3156" spans="24:28" x14ac:dyDescent="0.2">
      <c r="X3156" s="176" t="str">
        <f t="shared" si="82"/>
        <v>1w</v>
      </c>
      <c r="Y3156" s="164">
        <f>_xll.qlCalendarAdvance(Calendar,Y3155,X3156,"f",FALSE)</f>
        <v>61225</v>
      </c>
      <c r="Z3156" s="188">
        <f>_xll.qlCalendarAdvance(Calendar,Y3156,NDays&amp;"D")</f>
        <v>61227</v>
      </c>
      <c r="AA3156" s="163">
        <v>7.3236563192816571E-3</v>
      </c>
      <c r="AB3156" s="172">
        <v>7.2646155085909214E-3</v>
      </c>
    </row>
    <row r="3157" spans="24:28" x14ac:dyDescent="0.2">
      <c r="X3157" s="176" t="str">
        <f t="shared" ref="X3157:X3220" si="83">X3156</f>
        <v>1w</v>
      </c>
      <c r="Y3157" s="164">
        <f>_xll.qlCalendarAdvance(Calendar,Y3156,X3157,"f",FALSE)</f>
        <v>61232</v>
      </c>
      <c r="Z3157" s="188">
        <f>_xll.qlCalendarAdvance(Calendar,Y3157,NDays&amp;"D")</f>
        <v>61234</v>
      </c>
      <c r="AA3157" s="163">
        <v>7.3270395167457716E-3</v>
      </c>
      <c r="AB3157" s="172">
        <v>7.2681407116004237E-3</v>
      </c>
    </row>
    <row r="3158" spans="24:28" x14ac:dyDescent="0.2">
      <c r="X3158" s="176" t="str">
        <f t="shared" si="83"/>
        <v>1w</v>
      </c>
      <c r="Y3158" s="164">
        <f>_xll.qlCalendarAdvance(Calendar,Y3157,X3158,"f",FALSE)</f>
        <v>61239</v>
      </c>
      <c r="Z3158" s="188">
        <f>_xll.qlCalendarAdvance(Calendar,Y3158,NDays&amp;"D")</f>
        <v>61241</v>
      </c>
      <c r="AA3158" s="163">
        <v>7.3291655378893523E-3</v>
      </c>
      <c r="AB3158" s="172">
        <v>7.2716542080542013E-3</v>
      </c>
    </row>
    <row r="3159" spans="24:28" x14ac:dyDescent="0.2">
      <c r="X3159" s="176" t="str">
        <f t="shared" si="83"/>
        <v>1w</v>
      </c>
      <c r="Y3159" s="164">
        <f>_xll.qlCalendarAdvance(Calendar,Y3158,X3159,"f",FALSE)</f>
        <v>61246</v>
      </c>
      <c r="Z3159" s="188">
        <f>_xll.qlCalendarAdvance(Calendar,Y3159,NDays&amp;"D")</f>
        <v>61248</v>
      </c>
      <c r="AA3159" s="163">
        <v>7.3325283280367935E-3</v>
      </c>
      <c r="AB3159" s="172">
        <v>7.27515599803219E-3</v>
      </c>
    </row>
    <row r="3160" spans="24:28" x14ac:dyDescent="0.2">
      <c r="X3160" s="176" t="str">
        <f t="shared" si="83"/>
        <v>1w</v>
      </c>
      <c r="Y3160" s="164">
        <f>_xll.qlCalendarAdvance(Calendar,Y3159,X3160,"f",FALSE)</f>
        <v>61253</v>
      </c>
      <c r="Z3160" s="188">
        <f>_xll.qlCalendarAdvance(Calendar,Y3160,NDays&amp;"D")</f>
        <v>61255</v>
      </c>
      <c r="AA3160" s="163">
        <v>7.3358793741420134E-3</v>
      </c>
      <c r="AB3160" s="172">
        <v>7.278646081374518E-3</v>
      </c>
    </row>
    <row r="3161" spans="24:28" x14ac:dyDescent="0.2">
      <c r="X3161" s="176" t="str">
        <f t="shared" si="83"/>
        <v>1w</v>
      </c>
      <c r="Y3161" s="164">
        <f>_xll.qlCalendarAdvance(Calendar,Y3160,X3161,"f",FALSE)</f>
        <v>61260</v>
      </c>
      <c r="Z3161" s="188">
        <f>_xll.qlCalendarAdvance(Calendar,Y3161,NDays&amp;"D")</f>
        <v>61262</v>
      </c>
      <c r="AA3161" s="163">
        <v>7.3392186761457182E-3</v>
      </c>
      <c r="AB3161" s="172">
        <v>7.2821244584009293E-3</v>
      </c>
    </row>
    <row r="3162" spans="24:28" x14ac:dyDescent="0.2">
      <c r="X3162" s="176" t="str">
        <f t="shared" si="83"/>
        <v>1w</v>
      </c>
      <c r="Y3162" s="164">
        <f>_xll.qlCalendarAdvance(Calendar,Y3161,X3162,"f",FALSE)</f>
        <v>61267</v>
      </c>
      <c r="Z3162" s="188">
        <f>_xll.qlCalendarAdvance(Calendar,Y3162,NDays&amp;"D")</f>
        <v>61269</v>
      </c>
      <c r="AA3162" s="163">
        <v>7.3425462339881745E-3</v>
      </c>
      <c r="AB3162" s="172">
        <v>7.2855911287117436E-3</v>
      </c>
    </row>
    <row r="3163" spans="24:28" x14ac:dyDescent="0.2">
      <c r="X3163" s="176" t="str">
        <f t="shared" si="83"/>
        <v>1w</v>
      </c>
      <c r="Y3163" s="164">
        <f>_xll.qlCalendarAdvance(Calendar,Y3162,X3163,"f",FALSE)</f>
        <v>61274</v>
      </c>
      <c r="Z3163" s="188">
        <f>_xll.qlCalendarAdvance(Calendar,Y3163,NDays&amp;"D")</f>
        <v>61276</v>
      </c>
      <c r="AA3163" s="163">
        <v>7.3461696546428179E-3</v>
      </c>
      <c r="AB3163" s="172">
        <v>7.2890460924668332E-3</v>
      </c>
    </row>
    <row r="3164" spans="24:28" x14ac:dyDescent="0.2">
      <c r="X3164" s="176" t="str">
        <f t="shared" si="83"/>
        <v>1w</v>
      </c>
      <c r="Y3164" s="164">
        <f>_xll.qlCalendarAdvance(Calendar,Y3163,X3164,"f",FALSE)</f>
        <v>61281</v>
      </c>
      <c r="Z3164" s="188">
        <f>_xll.qlCalendarAdvance(Calendar,Y3164,NDays&amp;"D")</f>
        <v>61283</v>
      </c>
      <c r="AA3164" s="163">
        <v>7.3494729523966192E-3</v>
      </c>
      <c r="AB3164" s="172">
        <v>7.2924893498260701E-3</v>
      </c>
    </row>
    <row r="3165" spans="24:28" x14ac:dyDescent="0.2">
      <c r="X3165" s="176" t="str">
        <f t="shared" si="83"/>
        <v>1w</v>
      </c>
      <c r="Y3165" s="164">
        <f>_xll.qlCalendarAdvance(Calendar,Y3164,X3165,"f",FALSE)</f>
        <v>61288</v>
      </c>
      <c r="Z3165" s="188">
        <f>_xll.qlCalendarAdvance(Calendar,Y3165,NDays&amp;"D")</f>
        <v>61290</v>
      </c>
      <c r="AA3165" s="163">
        <v>7.3539880654587874E-3</v>
      </c>
      <c r="AB3165" s="172">
        <v>7.2959209005496461E-3</v>
      </c>
    </row>
    <row r="3166" spans="24:28" x14ac:dyDescent="0.2">
      <c r="X3166" s="176" t="str">
        <f t="shared" si="83"/>
        <v>1w</v>
      </c>
      <c r="Y3166" s="164">
        <f>_xll.qlCalendarAdvance(Calendar,Y3165,X3166,"f",FALSE)</f>
        <v>61295</v>
      </c>
      <c r="Z3166" s="188">
        <f>_xll.qlCalendarAdvance(Calendar,Y3166,NDays&amp;"D")</f>
        <v>61297</v>
      </c>
      <c r="AA3166" s="163">
        <v>7.3560443141923179E-3</v>
      </c>
      <c r="AB3166" s="172">
        <v>7.2993407447974334E-3</v>
      </c>
    </row>
    <row r="3167" spans="24:28" x14ac:dyDescent="0.2">
      <c r="X3167" s="176" t="str">
        <f t="shared" si="83"/>
        <v>1w</v>
      </c>
      <c r="Y3167" s="164">
        <f>_xll.qlCalendarAdvance(Calendar,Y3166,X3167,"f",FALSE)</f>
        <v>61302</v>
      </c>
      <c r="Z3167" s="188">
        <f>_xll.qlCalendarAdvance(Calendar,Y3167,NDays&amp;"D")</f>
        <v>61304</v>
      </c>
      <c r="AA3167" s="163">
        <v>7.359007858724044E-3</v>
      </c>
      <c r="AB3167" s="172">
        <v>7.3027488826493681E-3</v>
      </c>
    </row>
    <row r="3168" spans="24:28" x14ac:dyDescent="0.2">
      <c r="X3168" s="176" t="str">
        <f t="shared" si="83"/>
        <v>1w</v>
      </c>
      <c r="Y3168" s="164">
        <f>_xll.qlCalendarAdvance(Calendar,Y3167,X3168,"f",FALSE)</f>
        <v>61309</v>
      </c>
      <c r="Z3168" s="188">
        <f>_xll.qlCalendarAdvance(Calendar,Y3168,NDays&amp;"D")</f>
        <v>61311</v>
      </c>
      <c r="AA3168" s="163">
        <v>7.3622649503661533E-3</v>
      </c>
      <c r="AB3168" s="172">
        <v>7.3061453137857058E-3</v>
      </c>
    </row>
    <row r="3169" spans="24:28" x14ac:dyDescent="0.2">
      <c r="X3169" s="176" t="str">
        <f t="shared" si="83"/>
        <v>1w</v>
      </c>
      <c r="Y3169" s="164">
        <f>_xll.qlCalendarAdvance(Calendar,Y3168,X3169,"f",FALSE)</f>
        <v>61316</v>
      </c>
      <c r="Z3169" s="188">
        <f>_xll.qlCalendarAdvance(Calendar,Y3169,NDays&amp;"D")</f>
        <v>61318</v>
      </c>
      <c r="AA3169" s="163">
        <v>7.3655102974394277E-3</v>
      </c>
      <c r="AB3169" s="172">
        <v>7.3095300385261908E-3</v>
      </c>
    </row>
    <row r="3170" spans="24:28" x14ac:dyDescent="0.2">
      <c r="X3170" s="176" t="str">
        <f t="shared" si="83"/>
        <v>1w</v>
      </c>
      <c r="Y3170" s="164">
        <f>_xll.qlCalendarAdvance(Calendar,Y3169,X3170,"f",FALSE)</f>
        <v>61323</v>
      </c>
      <c r="Z3170" s="188">
        <f>_xll.qlCalendarAdvance(Calendar,Y3170,NDays&amp;"D")</f>
        <v>61325</v>
      </c>
      <c r="AA3170" s="163">
        <v>7.3687438998841373E-3</v>
      </c>
      <c r="AB3170" s="172">
        <v>7.3129030565510789E-3</v>
      </c>
    </row>
    <row r="3171" spans="24:28" x14ac:dyDescent="0.2">
      <c r="X3171" s="176" t="str">
        <f t="shared" si="83"/>
        <v>1w</v>
      </c>
      <c r="Y3171" s="164">
        <f>_xll.qlCalendarAdvance(Calendar,Y3170,X3171,"f",FALSE)</f>
        <v>61330</v>
      </c>
      <c r="Z3171" s="188">
        <f>_xll.qlCalendarAdvance(Calendar,Y3171,NDays&amp;"D")</f>
        <v>61332</v>
      </c>
      <c r="AA3171" s="163">
        <v>7.3722671859696226E-3</v>
      </c>
      <c r="AB3171" s="172">
        <v>7.3162643682600503E-3</v>
      </c>
    </row>
    <row r="3172" spans="24:28" x14ac:dyDescent="0.2">
      <c r="X3172" s="176" t="str">
        <f t="shared" si="83"/>
        <v>1w</v>
      </c>
      <c r="Y3172" s="164">
        <f>_xll.qlCalendarAdvance(Calendar,Y3171,X3172,"f",FALSE)</f>
        <v>61337</v>
      </c>
      <c r="Z3172" s="188">
        <f>_xll.qlCalendarAdvance(Calendar,Y3172,NDays&amp;"D")</f>
        <v>61339</v>
      </c>
      <c r="AA3172" s="163">
        <v>7.3754765256820766E-3</v>
      </c>
      <c r="AB3172" s="172">
        <v>7.3196139733333609E-3</v>
      </c>
    </row>
    <row r="3173" spans="24:28" x14ac:dyDescent="0.2">
      <c r="X3173" s="176" t="str">
        <f t="shared" si="83"/>
        <v>1w</v>
      </c>
      <c r="Y3173" s="164">
        <f>_xll.qlCalendarAdvance(Calendar,Y3172,X3173,"f",FALSE)</f>
        <v>61344</v>
      </c>
      <c r="Z3173" s="188">
        <f>_xll.qlCalendarAdvance(Calendar,Y3173,NDays&amp;"D")</f>
        <v>61346</v>
      </c>
      <c r="AA3173" s="163">
        <v>7.3786741203786419E-3</v>
      </c>
      <c r="AB3173" s="172">
        <v>7.3229518717710107E-3</v>
      </c>
    </row>
    <row r="3174" spans="24:28" x14ac:dyDescent="0.2">
      <c r="X3174" s="176" t="str">
        <f t="shared" si="83"/>
        <v>1w</v>
      </c>
      <c r="Y3174" s="164">
        <f>_xll.qlCalendarAdvance(Calendar,Y3173,X3174,"f",FALSE)</f>
        <v>61351</v>
      </c>
      <c r="Z3174" s="188">
        <f>_xll.qlCalendarAdvance(Calendar,Y3174,NDays&amp;"D")</f>
        <v>61353</v>
      </c>
      <c r="AA3174" s="163">
        <v>7.3818599700038439E-3</v>
      </c>
      <c r="AB3174" s="172">
        <v>7.3262780638927438E-3</v>
      </c>
    </row>
    <row r="3175" spans="24:28" x14ac:dyDescent="0.2">
      <c r="X3175" s="176" t="str">
        <f t="shared" si="83"/>
        <v>1w</v>
      </c>
      <c r="Y3175" s="164">
        <f>_xll.qlCalendarAdvance(Calendar,Y3174,X3175,"f",FALSE)</f>
        <v>61358</v>
      </c>
      <c r="Z3175" s="188">
        <f>_xll.qlCalendarAdvance(Calendar,Y3175,NDays&amp;"D")</f>
        <v>61360</v>
      </c>
      <c r="AA3175" s="163">
        <v>7.3850340744991503E-3</v>
      </c>
      <c r="AB3175" s="172">
        <v>7.3295925493788161E-3</v>
      </c>
    </row>
    <row r="3176" spans="24:28" x14ac:dyDescent="0.2">
      <c r="X3176" s="176" t="str">
        <f t="shared" si="83"/>
        <v>1w</v>
      </c>
      <c r="Y3176" s="164">
        <f>_xll.qlCalendarAdvance(Calendar,Y3175,X3176,"f",FALSE)</f>
        <v>61365</v>
      </c>
      <c r="Z3176" s="188">
        <f>_xll.qlCalendarAdvance(Calendar,Y3176,NDays&amp;"D")</f>
        <v>61367</v>
      </c>
      <c r="AA3176" s="163">
        <v>7.3878988741686693E-3</v>
      </c>
      <c r="AB3176" s="172">
        <v>7.3328953283091636E-3</v>
      </c>
    </row>
    <row r="3177" spans="24:28" x14ac:dyDescent="0.2">
      <c r="X3177" s="176" t="str">
        <f t="shared" si="83"/>
        <v>1w</v>
      </c>
      <c r="Y3177" s="164">
        <f>_xll.qlCalendarAdvance(Calendar,Y3176,X3177,"f",FALSE)</f>
        <v>61372</v>
      </c>
      <c r="Z3177" s="188">
        <f>_xll.qlCalendarAdvance(Calendar,Y3177,NDays&amp;"D")</f>
        <v>61374</v>
      </c>
      <c r="AA3177" s="163">
        <v>7.3910502626239154E-3</v>
      </c>
      <c r="AB3177" s="172">
        <v>7.3361864007637223E-3</v>
      </c>
    </row>
    <row r="3178" spans="24:28" x14ac:dyDescent="0.2">
      <c r="X3178" s="176" t="str">
        <f t="shared" si="83"/>
        <v>1w</v>
      </c>
      <c r="Y3178" s="164">
        <f>_xll.qlCalendarAdvance(Calendar,Y3177,X3178,"f",FALSE)</f>
        <v>61379</v>
      </c>
      <c r="Z3178" s="188">
        <f>_xll.qlCalendarAdvance(Calendar,Y3178,NDays&amp;"D")</f>
        <v>61381</v>
      </c>
      <c r="AA3178" s="163">
        <v>7.3941899059973316E-3</v>
      </c>
      <c r="AB3178" s="172">
        <v>7.3394657666625562E-3</v>
      </c>
    </row>
    <row r="3179" spans="24:28" x14ac:dyDescent="0.2">
      <c r="X3179" s="176" t="str">
        <f t="shared" si="83"/>
        <v>1w</v>
      </c>
      <c r="Y3179" s="164">
        <f>_xll.qlCalendarAdvance(Calendar,Y3178,X3179,"f",FALSE)</f>
        <v>61386</v>
      </c>
      <c r="Z3179" s="188">
        <f>_xll.qlCalendarAdvance(Calendar,Y3179,NDays&amp;"D")</f>
        <v>61388</v>
      </c>
      <c r="AA3179" s="163">
        <v>7.3973178042340167E-3</v>
      </c>
      <c r="AB3179" s="172">
        <v>7.3427334260056654E-3</v>
      </c>
    </row>
    <row r="3180" spans="24:28" x14ac:dyDescent="0.2">
      <c r="X3180" s="176" t="str">
        <f t="shared" si="83"/>
        <v>1w</v>
      </c>
      <c r="Y3180" s="164">
        <f>_xll.qlCalendarAdvance(Calendar,Y3179,X3180,"f",FALSE)</f>
        <v>61393</v>
      </c>
      <c r="Z3180" s="188">
        <f>_xll.qlCalendarAdvance(Calendar,Y3180,NDays&amp;"D")</f>
        <v>61395</v>
      </c>
      <c r="AA3180" s="163">
        <v>7.4004339572777515E-3</v>
      </c>
      <c r="AB3180" s="172">
        <v>7.3459893788729858E-3</v>
      </c>
    </row>
    <row r="3181" spans="24:28" x14ac:dyDescent="0.2">
      <c r="X3181" s="176" t="str">
        <f t="shared" si="83"/>
        <v>1w</v>
      </c>
      <c r="Y3181" s="164">
        <f>_xll.qlCalendarAdvance(Calendar,Y3180,X3181,"f",FALSE)</f>
        <v>61400</v>
      </c>
      <c r="Z3181" s="188">
        <f>_xll.qlCalendarAdvance(Calendar,Y3181,NDays&amp;"D")</f>
        <v>61402</v>
      </c>
      <c r="AA3181" s="163">
        <v>7.4035383650736348E-3</v>
      </c>
      <c r="AB3181" s="172">
        <v>7.3492336251046453E-3</v>
      </c>
    </row>
    <row r="3182" spans="24:28" x14ac:dyDescent="0.2">
      <c r="X3182" s="176" t="str">
        <f t="shared" si="83"/>
        <v>1w</v>
      </c>
      <c r="Y3182" s="164">
        <f>_xll.qlCalendarAdvance(Calendar,Y3181,X3182,"f",FALSE)</f>
        <v>61407</v>
      </c>
      <c r="Z3182" s="188">
        <f>_xll.qlCalendarAdvance(Calendar,Y3182,NDays&amp;"D")</f>
        <v>61409</v>
      </c>
      <c r="AA3182" s="163">
        <v>7.4066310275676447E-3</v>
      </c>
      <c r="AB3182" s="172">
        <v>7.3524661649404521E-3</v>
      </c>
    </row>
    <row r="3183" spans="24:28" x14ac:dyDescent="0.2">
      <c r="X3183" s="176" t="str">
        <f t="shared" si="83"/>
        <v>1w</v>
      </c>
      <c r="Y3183" s="164">
        <f>_xll.qlCalendarAdvance(Calendar,Y3182,X3183,"f",FALSE)</f>
        <v>61414</v>
      </c>
      <c r="Z3183" s="188">
        <f>_xll.qlCalendarAdvance(Calendar,Y3183,NDays&amp;"D")</f>
        <v>61416</v>
      </c>
      <c r="AA3183" s="163">
        <v>7.4097119447026826E-3</v>
      </c>
      <c r="AB3183" s="172">
        <v>7.3556869981405981E-3</v>
      </c>
    </row>
    <row r="3184" spans="24:28" x14ac:dyDescent="0.2">
      <c r="X3184" s="176" t="str">
        <f t="shared" si="83"/>
        <v>1w</v>
      </c>
      <c r="Y3184" s="164">
        <f>_xll.qlCalendarAdvance(Calendar,Y3183,X3184,"f",FALSE)</f>
        <v>61421</v>
      </c>
      <c r="Z3184" s="188">
        <f>_xll.qlCalendarAdvance(Calendar,Y3184,NDays&amp;"D")</f>
        <v>61423</v>
      </c>
      <c r="AA3184" s="163">
        <v>7.4139461300313661E-3</v>
      </c>
      <c r="AB3184" s="172">
        <v>7.3588961248649554E-3</v>
      </c>
    </row>
    <row r="3185" spans="24:28" x14ac:dyDescent="0.2">
      <c r="X3185" s="176" t="str">
        <f t="shared" si="83"/>
        <v>1w</v>
      </c>
      <c r="Y3185" s="164">
        <f>_xll.qlCalendarAdvance(Calendar,Y3184,X3185,"f",FALSE)</f>
        <v>61428</v>
      </c>
      <c r="Z3185" s="188">
        <f>_xll.qlCalendarAdvance(Calendar,Y3185,NDays&amp;"D")</f>
        <v>61430</v>
      </c>
      <c r="AA3185" s="163">
        <v>7.4170004515737168E-3</v>
      </c>
      <c r="AB3185" s="172">
        <v>7.3620935450335878E-3</v>
      </c>
    </row>
    <row r="3186" spans="24:28" x14ac:dyDescent="0.2">
      <c r="X3186" s="176" t="str">
        <f t="shared" si="83"/>
        <v>1w</v>
      </c>
      <c r="Y3186" s="164">
        <f>_xll.qlCalendarAdvance(Calendar,Y3185,X3186,"f",FALSE)</f>
        <v>61435</v>
      </c>
      <c r="Z3186" s="188">
        <f>_xll.qlCalendarAdvance(Calendar,Y3186,NDays&amp;"D")</f>
        <v>61437</v>
      </c>
      <c r="AA3186" s="163">
        <v>7.4200430267169449E-3</v>
      </c>
      <c r="AB3186" s="172">
        <v>7.3652792586464955E-3</v>
      </c>
    </row>
    <row r="3187" spans="24:28" x14ac:dyDescent="0.2">
      <c r="X3187" s="176" t="str">
        <f t="shared" si="83"/>
        <v>1w</v>
      </c>
      <c r="Y3187" s="164">
        <f>_xll.qlCalendarAdvance(Calendar,Y3186,X3187,"f",FALSE)</f>
        <v>61442</v>
      </c>
      <c r="Z3187" s="188">
        <f>_xll.qlCalendarAdvance(Calendar,Y3187,NDays&amp;"D")</f>
        <v>61444</v>
      </c>
      <c r="AA3187" s="163">
        <v>7.4230738554056114E-3</v>
      </c>
      <c r="AB3187" s="172">
        <v>7.3684532657836144E-3</v>
      </c>
    </row>
    <row r="3188" spans="24:28" x14ac:dyDescent="0.2">
      <c r="X3188" s="176" t="str">
        <f t="shared" si="83"/>
        <v>1w</v>
      </c>
      <c r="Y3188" s="164">
        <f>_xll.qlCalendarAdvance(Calendar,Y3187,X3188,"f",FALSE)</f>
        <v>61449</v>
      </c>
      <c r="Z3188" s="188">
        <f>_xll.qlCalendarAdvance(Calendar,Y3188,NDays&amp;"D")</f>
        <v>61451</v>
      </c>
      <c r="AA3188" s="163">
        <v>7.4252286006974907E-3</v>
      </c>
      <c r="AB3188" s="172">
        <v>7.3716155663650085E-3</v>
      </c>
    </row>
    <row r="3189" spans="24:28" x14ac:dyDescent="0.2">
      <c r="X3189" s="176" t="str">
        <f t="shared" si="83"/>
        <v>1w</v>
      </c>
      <c r="Y3189" s="164">
        <f>_xll.qlCalendarAdvance(Calendar,Y3188,X3189,"f",FALSE)</f>
        <v>61456</v>
      </c>
      <c r="Z3189" s="188">
        <f>_xll.qlCalendarAdvance(Calendar,Y3189,NDays&amp;"D")</f>
        <v>61458</v>
      </c>
      <c r="AA3189" s="163">
        <v>7.4282382675314954E-3</v>
      </c>
      <c r="AB3189" s="172">
        <v>7.3747661603107417E-3</v>
      </c>
    </row>
    <row r="3190" spans="24:28" x14ac:dyDescent="0.2">
      <c r="X3190" s="176" t="str">
        <f t="shared" si="83"/>
        <v>1w</v>
      </c>
      <c r="Y3190" s="164">
        <f>_xll.qlCalendarAdvance(Calendar,Y3189,X3190,"f",FALSE)</f>
        <v>61463</v>
      </c>
      <c r="Z3190" s="188">
        <f>_xll.qlCalendarAdvance(Calendar,Y3190,NDays&amp;"D")</f>
        <v>61465</v>
      </c>
      <c r="AA3190" s="163">
        <v>7.4312361884091606E-3</v>
      </c>
      <c r="AB3190" s="172">
        <v>7.3779050478606223E-3</v>
      </c>
    </row>
    <row r="3191" spans="24:28" x14ac:dyDescent="0.2">
      <c r="X3191" s="176" t="str">
        <f t="shared" si="83"/>
        <v>1w</v>
      </c>
      <c r="Y3191" s="164">
        <f>_xll.qlCalendarAdvance(Calendar,Y3190,X3191,"f",FALSE)</f>
        <v>61470</v>
      </c>
      <c r="Z3191" s="188">
        <f>_xll.qlCalendarAdvance(Calendar,Y3191,NDays&amp;"D")</f>
        <v>61472</v>
      </c>
      <c r="AA3191" s="163">
        <v>7.4342223632754495E-3</v>
      </c>
      <c r="AB3191" s="172">
        <v>7.3822260639655468E-3</v>
      </c>
    </row>
    <row r="3192" spans="24:28" x14ac:dyDescent="0.2">
      <c r="X3192" s="176" t="str">
        <f t="shared" si="83"/>
        <v>1w</v>
      </c>
      <c r="Y3192" s="164">
        <f>_xll.qlCalendarAdvance(Calendar,Y3191,X3192,"f",FALSE)</f>
        <v>61477</v>
      </c>
      <c r="Z3192" s="188">
        <f>_xll.qlCalendarAdvance(Calendar,Y3192,NDays&amp;"D")</f>
        <v>61479</v>
      </c>
      <c r="AA3192" s="163">
        <v>7.437196792077945E-3</v>
      </c>
      <c r="AB3192" s="172">
        <v>7.384147703213273E-3</v>
      </c>
    </row>
    <row r="3193" spans="24:28" x14ac:dyDescent="0.2">
      <c r="X3193" s="176" t="str">
        <f t="shared" si="83"/>
        <v>1w</v>
      </c>
      <c r="Y3193" s="164">
        <f>_xll.qlCalendarAdvance(Calendar,Y3192,X3193,"f",FALSE)</f>
        <v>61485</v>
      </c>
      <c r="Z3193" s="188">
        <f>_xll.qlCalendarAdvance(Calendar,Y3193,NDays&amp;"D")</f>
        <v>61487</v>
      </c>
      <c r="AA3193" s="163">
        <v>7.4411500537058051E-3</v>
      </c>
      <c r="AB3193" s="172">
        <v>7.3882876569264511E-3</v>
      </c>
    </row>
    <row r="3194" spans="24:28" x14ac:dyDescent="0.2">
      <c r="X3194" s="176" t="str">
        <f t="shared" si="83"/>
        <v>1w</v>
      </c>
      <c r="Y3194" s="164">
        <f>_xll.qlCalendarAdvance(Calendar,Y3193,X3194,"f",FALSE)</f>
        <v>61492</v>
      </c>
      <c r="Z3194" s="188">
        <f>_xll.qlCalendarAdvance(Calendar,Y3194,NDays&amp;"D")</f>
        <v>61494</v>
      </c>
      <c r="AA3194" s="163">
        <v>7.4440977557994623E-3</v>
      </c>
      <c r="AB3194" s="172">
        <v>7.3913765003741361E-3</v>
      </c>
    </row>
    <row r="3195" spans="24:28" x14ac:dyDescent="0.2">
      <c r="X3195" s="176" t="str">
        <f t="shared" si="83"/>
        <v>1w</v>
      </c>
      <c r="Y3195" s="164">
        <f>_xll.qlCalendarAdvance(Calendar,Y3194,X3195,"f",FALSE)</f>
        <v>61499</v>
      </c>
      <c r="Z3195" s="188">
        <f>_xll.qlCalendarAdvance(Calendar,Y3195,NDays&amp;"D")</f>
        <v>61501</v>
      </c>
      <c r="AA3195" s="163">
        <v>7.4470337112181352E-3</v>
      </c>
      <c r="AB3195" s="172">
        <v>7.3944536368131253E-3</v>
      </c>
    </row>
    <row r="3196" spans="24:28" x14ac:dyDescent="0.2">
      <c r="X3196" s="176" t="str">
        <f t="shared" si="83"/>
        <v>1w</v>
      </c>
      <c r="Y3196" s="164">
        <f>_xll.qlCalendarAdvance(Calendar,Y3195,X3196,"f",FALSE)</f>
        <v>61506</v>
      </c>
      <c r="Z3196" s="188">
        <f>_xll.qlCalendarAdvance(Calendar,Y3196,NDays&amp;"D")</f>
        <v>61508</v>
      </c>
      <c r="AA3196" s="163">
        <v>7.4499579199099747E-3</v>
      </c>
      <c r="AB3196" s="172">
        <v>7.3975190663233548E-3</v>
      </c>
    </row>
    <row r="3197" spans="24:28" x14ac:dyDescent="0.2">
      <c r="X3197" s="176" t="str">
        <f t="shared" si="83"/>
        <v>1w</v>
      </c>
      <c r="Y3197" s="164">
        <f>_xll.qlCalendarAdvance(Calendar,Y3196,X3197,"f",FALSE)</f>
        <v>61513</v>
      </c>
      <c r="Z3197" s="188">
        <f>_xll.qlCalendarAdvance(Calendar,Y3197,NDays&amp;"D")</f>
        <v>61515</v>
      </c>
      <c r="AA3197" s="163">
        <v>7.4528703818218323E-3</v>
      </c>
      <c r="AB3197" s="172">
        <v>7.4005727888515338E-3</v>
      </c>
    </row>
    <row r="3198" spans="24:28" x14ac:dyDescent="0.2">
      <c r="X3198" s="176" t="str">
        <f t="shared" si="83"/>
        <v>1w</v>
      </c>
      <c r="Y3198" s="164">
        <f>_xll.qlCalendarAdvance(Calendar,Y3197,X3198,"f",FALSE)</f>
        <v>61520</v>
      </c>
      <c r="Z3198" s="188">
        <f>_xll.qlCalendarAdvance(Calendar,Y3198,NDays&amp;"D")</f>
        <v>61522</v>
      </c>
      <c r="AA3198" s="163">
        <v>7.4557710969001293E-3</v>
      </c>
      <c r="AB3198" s="172">
        <v>7.4036148044243077E-3</v>
      </c>
    </row>
    <row r="3199" spans="24:28" x14ac:dyDescent="0.2">
      <c r="X3199" s="176" t="str">
        <f t="shared" si="83"/>
        <v>1w</v>
      </c>
      <c r="Y3199" s="164">
        <f>_xll.qlCalendarAdvance(Calendar,Y3198,X3199,"f",FALSE)</f>
        <v>61527</v>
      </c>
      <c r="Z3199" s="188">
        <f>_xll.qlCalendarAdvance(Calendar,Y3199,NDays&amp;"D")</f>
        <v>61529</v>
      </c>
      <c r="AA3199" s="163">
        <v>7.4586600650943134E-3</v>
      </c>
      <c r="AB3199" s="172">
        <v>7.4066451130416766E-3</v>
      </c>
    </row>
    <row r="3200" spans="24:28" x14ac:dyDescent="0.2">
      <c r="X3200" s="176" t="str">
        <f t="shared" si="83"/>
        <v>1w</v>
      </c>
      <c r="Y3200" s="164">
        <f>_xll.qlCalendarAdvance(Calendar,Y3199,X3200,"f",FALSE)</f>
        <v>61534</v>
      </c>
      <c r="Z3200" s="188">
        <f>_xll.qlCalendarAdvance(Calendar,Y3200,NDays&amp;"D")</f>
        <v>61536</v>
      </c>
      <c r="AA3200" s="163">
        <v>7.4615372863503721E-3</v>
      </c>
      <c r="AB3200" s="172">
        <v>7.4096637146503497E-3</v>
      </c>
    </row>
    <row r="3201" spans="24:28" x14ac:dyDescent="0.2">
      <c r="X3201" s="176" t="str">
        <f t="shared" si="83"/>
        <v>1w</v>
      </c>
      <c r="Y3201" s="164">
        <f>_xll.qlCalendarAdvance(Calendar,Y3200,X3201,"f",FALSE)</f>
        <v>61541</v>
      </c>
      <c r="Z3201" s="188">
        <f>_xll.qlCalendarAdvance(Calendar,Y3201,NDays&amp;"D")</f>
        <v>61543</v>
      </c>
      <c r="AA3201" s="163">
        <v>7.4644027606181841E-3</v>
      </c>
      <c r="AB3201" s="172">
        <v>7.4126706093036177E-3</v>
      </c>
    </row>
    <row r="3202" spans="24:28" x14ac:dyDescent="0.2">
      <c r="X3202" s="176" t="str">
        <f t="shared" si="83"/>
        <v>1w</v>
      </c>
      <c r="Y3202" s="164">
        <f>_xll.qlCalendarAdvance(Calendar,Y3201,X3202,"f",FALSE)</f>
        <v>61548</v>
      </c>
      <c r="Z3202" s="188">
        <f>_xll.qlCalendarAdvance(Calendar,Y3202,NDays&amp;"D")</f>
        <v>61550</v>
      </c>
      <c r="AA3202" s="163">
        <v>7.4672564878450337E-3</v>
      </c>
      <c r="AB3202" s="172">
        <v>7.4156657970281259E-3</v>
      </c>
    </row>
    <row r="3203" spans="24:28" x14ac:dyDescent="0.2">
      <c r="X3203" s="176" t="str">
        <f t="shared" si="83"/>
        <v>1w</v>
      </c>
      <c r="Y3203" s="164">
        <f>_xll.qlCalendarAdvance(Calendar,Y3202,X3203,"f",FALSE)</f>
        <v>61555</v>
      </c>
      <c r="Z3203" s="188">
        <f>_xll.qlCalendarAdvance(Calendar,Y3203,NDays&amp;"D")</f>
        <v>61557</v>
      </c>
      <c r="AA3203" s="163">
        <v>7.4700984679795046E-3</v>
      </c>
      <c r="AB3203" s="172">
        <v>7.418649277717293E-3</v>
      </c>
    </row>
    <row r="3204" spans="24:28" x14ac:dyDescent="0.2">
      <c r="X3204" s="176" t="str">
        <f t="shared" si="83"/>
        <v>1w</v>
      </c>
      <c r="Y3204" s="164">
        <f>_xll.qlCalendarAdvance(Calendar,Y3203,X3204,"f",FALSE)</f>
        <v>61562</v>
      </c>
      <c r="Z3204" s="188">
        <f>_xll.qlCalendarAdvance(Calendar,Y3204,NDays&amp;"D")</f>
        <v>61564</v>
      </c>
      <c r="AA3204" s="163">
        <v>7.4729287009706082E-3</v>
      </c>
      <c r="AB3204" s="172">
        <v>7.421621051451055E-3</v>
      </c>
    </row>
    <row r="3205" spans="24:28" x14ac:dyDescent="0.2">
      <c r="X3205" s="176" t="str">
        <f t="shared" si="83"/>
        <v>1w</v>
      </c>
      <c r="Y3205" s="164">
        <f>_xll.qlCalendarAdvance(Calendar,Y3204,X3205,"f",FALSE)</f>
        <v>61569</v>
      </c>
      <c r="Z3205" s="188">
        <f>_xll.qlCalendarAdvance(Calendar,Y3205,NDays&amp;"D")</f>
        <v>61571</v>
      </c>
      <c r="AA3205" s="163">
        <v>7.475747186766496E-3</v>
      </c>
      <c r="AB3205" s="172">
        <v>7.4245811182294119E-3</v>
      </c>
    </row>
    <row r="3206" spans="24:28" x14ac:dyDescent="0.2">
      <c r="X3206" s="176" t="str">
        <f t="shared" si="83"/>
        <v>1w</v>
      </c>
      <c r="Y3206" s="164">
        <f>_xll.qlCalendarAdvance(Calendar,Y3205,X3206,"f",FALSE)</f>
        <v>61576</v>
      </c>
      <c r="Z3206" s="188">
        <f>_xll.qlCalendarAdvance(Calendar,Y3206,NDays&amp;"D")</f>
        <v>61578</v>
      </c>
      <c r="AA3206" s="163">
        <v>7.4785539253174769E-3</v>
      </c>
      <c r="AB3206" s="172">
        <v>7.4275294780257184E-3</v>
      </c>
    </row>
    <row r="3207" spans="24:28" x14ac:dyDescent="0.2">
      <c r="X3207" s="176" t="str">
        <f t="shared" si="83"/>
        <v>1w</v>
      </c>
      <c r="Y3207" s="164">
        <f>_xll.qlCalendarAdvance(Calendar,Y3206,X3207,"f",FALSE)</f>
        <v>61583</v>
      </c>
      <c r="Z3207" s="188">
        <f>_xll.qlCalendarAdvance(Calendar,Y3207,NDays&amp;"D")</f>
        <v>61585</v>
      </c>
      <c r="AA3207" s="163">
        <v>7.4813489165721329E-3</v>
      </c>
      <c r="AB3207" s="172">
        <v>7.4304661308399744E-3</v>
      </c>
    </row>
    <row r="3208" spans="24:28" x14ac:dyDescent="0.2">
      <c r="X3208" s="176" t="str">
        <f t="shared" si="83"/>
        <v>1w</v>
      </c>
      <c r="Y3208" s="164">
        <f>_xll.qlCalendarAdvance(Calendar,Y3207,X3208,"f",FALSE)</f>
        <v>61590</v>
      </c>
      <c r="Z3208" s="188">
        <f>_xll.qlCalendarAdvance(Calendar,Y3208,NDays&amp;"D")</f>
        <v>61592</v>
      </c>
      <c r="AA3208" s="163">
        <v>7.4841321604803418E-3</v>
      </c>
      <c r="AB3208" s="172">
        <v>7.4333910766988254E-3</v>
      </c>
    </row>
    <row r="3209" spans="24:28" x14ac:dyDescent="0.2">
      <c r="X3209" s="176" t="str">
        <f t="shared" si="83"/>
        <v>1w</v>
      </c>
      <c r="Y3209" s="164">
        <f>_xll.qlCalendarAdvance(Calendar,Y3208,X3209,"f",FALSE)</f>
        <v>61597</v>
      </c>
      <c r="Z3209" s="188">
        <f>_xll.qlCalendarAdvance(Calendar,Y3209,NDays&amp;"D")</f>
        <v>61599</v>
      </c>
      <c r="AA3209" s="163">
        <v>7.4869036569915502E-3</v>
      </c>
      <c r="AB3209" s="172">
        <v>7.4363043155489805E-3</v>
      </c>
    </row>
    <row r="3210" spans="24:28" x14ac:dyDescent="0.2">
      <c r="X3210" s="176" t="str">
        <f t="shared" si="83"/>
        <v>1w</v>
      </c>
      <c r="Y3210" s="164">
        <f>_xll.qlCalendarAdvance(Calendar,Y3209,X3210,"f",FALSE)</f>
        <v>61604</v>
      </c>
      <c r="Z3210" s="188">
        <f>_xll.qlCalendarAdvance(Calendar,Y3210,NDays&amp;"D")</f>
        <v>61606</v>
      </c>
      <c r="AA3210" s="163">
        <v>7.488579566937892E-3</v>
      </c>
      <c r="AB3210" s="172">
        <v>7.4392058474437306E-3</v>
      </c>
    </row>
    <row r="3211" spans="24:28" x14ac:dyDescent="0.2">
      <c r="X3211" s="176" t="str">
        <f t="shared" si="83"/>
        <v>1w</v>
      </c>
      <c r="Y3211" s="164">
        <f>_xll.qlCalendarAdvance(Calendar,Y3210,X3211,"f",FALSE)</f>
        <v>61611</v>
      </c>
      <c r="Z3211" s="188">
        <f>_xll.qlCalendarAdvance(Calendar,Y3211,NDays&amp;"D")</f>
        <v>61613</v>
      </c>
      <c r="AA3211" s="163">
        <v>7.4913306964252075E-3</v>
      </c>
      <c r="AB3211" s="172">
        <v>7.4420956723297849E-3</v>
      </c>
    </row>
    <row r="3212" spans="24:28" x14ac:dyDescent="0.2">
      <c r="X3212" s="176" t="str">
        <f t="shared" si="83"/>
        <v>1w</v>
      </c>
      <c r="Y3212" s="164">
        <f>_xll.qlCalendarAdvance(Calendar,Y3211,X3212,"f",FALSE)</f>
        <v>61618</v>
      </c>
      <c r="Z3212" s="188">
        <f>_xll.qlCalendarAdvance(Calendar,Y3212,NDays&amp;"D")</f>
        <v>61620</v>
      </c>
      <c r="AA3212" s="163">
        <v>7.4940700792739444E-3</v>
      </c>
      <c r="AB3212" s="172">
        <v>7.444973790260434E-3</v>
      </c>
    </row>
    <row r="3213" spans="24:28" x14ac:dyDescent="0.2">
      <c r="X3213" s="176" t="str">
        <f t="shared" si="83"/>
        <v>1w</v>
      </c>
      <c r="Y3213" s="164">
        <f>_xll.qlCalendarAdvance(Calendar,Y3212,X3213,"f",FALSE)</f>
        <v>61625</v>
      </c>
      <c r="Z3213" s="188">
        <f>_xll.qlCalendarAdvance(Calendar,Y3213,NDays&amp;"D")</f>
        <v>61627</v>
      </c>
      <c r="AA3213" s="163">
        <v>7.496797715433756E-3</v>
      </c>
      <c r="AB3213" s="172">
        <v>7.4478402012356781E-3</v>
      </c>
    </row>
    <row r="3214" spans="24:28" x14ac:dyDescent="0.2">
      <c r="X3214" s="176" t="str">
        <f t="shared" si="83"/>
        <v>1w</v>
      </c>
      <c r="Y3214" s="164">
        <f>_xll.qlCalendarAdvance(Calendar,Y3213,X3214,"f",FALSE)</f>
        <v>61632</v>
      </c>
      <c r="Z3214" s="188">
        <f>_xll.qlCalendarAdvance(Calendar,Y3214,NDays&amp;"D")</f>
        <v>61634</v>
      </c>
      <c r="AA3214" s="163">
        <v>7.4997815417717321E-3</v>
      </c>
      <c r="AB3214" s="172">
        <v>7.4506949051755811E-3</v>
      </c>
    </row>
    <row r="3215" spans="24:28" x14ac:dyDescent="0.2">
      <c r="X3215" s="176" t="str">
        <f t="shared" si="83"/>
        <v>1w</v>
      </c>
      <c r="Y3215" s="164">
        <f>_xll.qlCalendarAdvance(Calendar,Y3214,X3215,"f",FALSE)</f>
        <v>61639</v>
      </c>
      <c r="Z3215" s="188">
        <f>_xll.qlCalendarAdvance(Calendar,Y3215,NDays&amp;"D")</f>
        <v>61641</v>
      </c>
      <c r="AA3215" s="163">
        <v>7.5024849015701668E-3</v>
      </c>
      <c r="AB3215" s="172">
        <v>7.4535379021600789E-3</v>
      </c>
    </row>
    <row r="3216" spans="24:28" x14ac:dyDescent="0.2">
      <c r="X3216" s="176" t="str">
        <f t="shared" si="83"/>
        <v>1w</v>
      </c>
      <c r="Y3216" s="164">
        <f>_xll.qlCalendarAdvance(Calendar,Y3215,X3216,"f",FALSE)</f>
        <v>61646</v>
      </c>
      <c r="Z3216" s="188">
        <f>_xll.qlCalendarAdvance(Calendar,Y3216,NDays&amp;"D")</f>
        <v>61648</v>
      </c>
      <c r="AA3216" s="163">
        <v>7.5062412882515202E-3</v>
      </c>
      <c r="AB3216" s="172">
        <v>7.456369192135881E-3</v>
      </c>
    </row>
    <row r="3217" spans="24:28" x14ac:dyDescent="0.2">
      <c r="X3217" s="176" t="str">
        <f t="shared" si="83"/>
        <v>1w</v>
      </c>
      <c r="Y3217" s="164">
        <f>_xll.qlCalendarAdvance(Calendar,Y3216,X3217,"f",FALSE)</f>
        <v>61653</v>
      </c>
      <c r="Z3217" s="188">
        <f>_xll.qlCalendarAdvance(Calendar,Y3217,NDays&amp;"D")</f>
        <v>61655</v>
      </c>
      <c r="AA3217" s="163">
        <v>7.5078563799421535E-3</v>
      </c>
      <c r="AB3217" s="172">
        <v>7.4591887752095687E-3</v>
      </c>
    </row>
    <row r="3218" spans="24:28" x14ac:dyDescent="0.2">
      <c r="X3218" s="176" t="str">
        <f t="shared" si="83"/>
        <v>1w</v>
      </c>
      <c r="Y3218" s="164">
        <f>_xll.qlCalendarAdvance(Calendar,Y3217,X3218,"f",FALSE)</f>
        <v>61660</v>
      </c>
      <c r="Z3218" s="188">
        <f>_xll.qlCalendarAdvance(Calendar,Y3218,NDays&amp;"D")</f>
        <v>61662</v>
      </c>
      <c r="AA3218" s="163">
        <v>7.5105244984195177E-3</v>
      </c>
      <c r="AB3218" s="172">
        <v>7.4619966512212699E-3</v>
      </c>
    </row>
    <row r="3219" spans="24:28" x14ac:dyDescent="0.2">
      <c r="X3219" s="176" t="str">
        <f t="shared" si="83"/>
        <v>1w</v>
      </c>
      <c r="Y3219" s="164">
        <f>_xll.qlCalendarAdvance(Calendar,Y3218,X3219,"f",FALSE)</f>
        <v>61667</v>
      </c>
      <c r="Z3219" s="188">
        <f>_xll.qlCalendarAdvance(Calendar,Y3219,NDays&amp;"D")</f>
        <v>61669</v>
      </c>
      <c r="AA3219" s="163">
        <v>7.5129168492661007E-3</v>
      </c>
      <c r="AB3219" s="172">
        <v>7.464792820277566E-3</v>
      </c>
    </row>
    <row r="3220" spans="24:28" x14ac:dyDescent="0.2">
      <c r="X3220" s="176" t="str">
        <f t="shared" si="83"/>
        <v>1w</v>
      </c>
      <c r="Y3220" s="164">
        <f>_xll.qlCalendarAdvance(Calendar,Y3219,X3220,"f",FALSE)</f>
        <v>61674</v>
      </c>
      <c r="Z3220" s="188">
        <f>_xll.qlCalendarAdvance(Calendar,Y3220,NDays&amp;"D")</f>
        <v>61676</v>
      </c>
      <c r="AA3220" s="163">
        <v>7.5155622572736693E-3</v>
      </c>
      <c r="AB3220" s="172">
        <v>7.4675772823251663E-3</v>
      </c>
    </row>
    <row r="3221" spans="24:28" x14ac:dyDescent="0.2">
      <c r="X3221" s="176" t="str">
        <f t="shared" ref="X3221:X3284" si="84">X3220</f>
        <v>1w</v>
      </c>
      <c r="Y3221" s="164">
        <f>_xll.qlCalendarAdvance(Calendar,Y3220,X3221,"f",FALSE)</f>
        <v>61681</v>
      </c>
      <c r="Z3221" s="188">
        <f>_xll.qlCalendarAdvance(Calendar,Y3221,NDays&amp;"D")</f>
        <v>61683</v>
      </c>
      <c r="AA3221" s="163">
        <v>7.5181959182142712E-3</v>
      </c>
      <c r="AB3221" s="172">
        <v>7.4703500374173615E-3</v>
      </c>
    </row>
    <row r="3222" spans="24:28" x14ac:dyDescent="0.2">
      <c r="X3222" s="176" t="str">
        <f t="shared" si="84"/>
        <v>1w</v>
      </c>
      <c r="Y3222" s="164">
        <f>_xll.qlCalendarAdvance(Calendar,Y3221,X3222,"f",FALSE)</f>
        <v>61688</v>
      </c>
      <c r="Z3222" s="188">
        <f>_xll.qlCalendarAdvance(Calendar,Y3222,NDays&amp;"D")</f>
        <v>61690</v>
      </c>
      <c r="AA3222" s="163">
        <v>7.5208178320402119E-3</v>
      </c>
      <c r="AB3222" s="172">
        <v>7.4731110855008609E-3</v>
      </c>
    </row>
    <row r="3223" spans="24:28" x14ac:dyDescent="0.2">
      <c r="X3223" s="176" t="str">
        <f t="shared" si="84"/>
        <v>1w</v>
      </c>
      <c r="Y3223" s="164">
        <f>_xll.qlCalendarAdvance(Calendar,Y3222,X3223,"f",FALSE)</f>
        <v>61695</v>
      </c>
      <c r="Z3223" s="188">
        <f>_xll.qlCalendarAdvance(Calendar,Y3223,NDays&amp;"D")</f>
        <v>61697</v>
      </c>
      <c r="AA3223" s="163">
        <v>7.5236888818332138E-3</v>
      </c>
      <c r="AB3223" s="172">
        <v>7.4758604265756645E-3</v>
      </c>
    </row>
    <row r="3224" spans="24:28" x14ac:dyDescent="0.2">
      <c r="X3224" s="176" t="str">
        <f t="shared" si="84"/>
        <v>1w</v>
      </c>
      <c r="Y3224" s="164">
        <f>_xll.qlCalendarAdvance(Calendar,Y3223,X3224,"f",FALSE)</f>
        <v>61702</v>
      </c>
      <c r="Z3224" s="188">
        <f>_xll.qlCalendarAdvance(Calendar,Y3224,NDays&amp;"D")</f>
        <v>61704</v>
      </c>
      <c r="AA3224" s="163">
        <v>7.5262865163947318E-3</v>
      </c>
      <c r="AB3224" s="172">
        <v>7.4785980606684177E-3</v>
      </c>
    </row>
    <row r="3225" spans="24:28" x14ac:dyDescent="0.2">
      <c r="X3225" s="176" t="str">
        <f t="shared" si="84"/>
        <v>1w</v>
      </c>
      <c r="Y3225" s="164">
        <f>_xll.qlCalendarAdvance(Calendar,Y3224,X3225,"f",FALSE)</f>
        <v>61709</v>
      </c>
      <c r="Z3225" s="188">
        <f>_xll.qlCalendarAdvance(Calendar,Y3225,NDays&amp;"D")</f>
        <v>61711</v>
      </c>
      <c r="AA3225" s="163">
        <v>7.5288724034737022E-3</v>
      </c>
      <c r="AB3225" s="172">
        <v>7.4813239878057658E-3</v>
      </c>
    </row>
    <row r="3226" spans="24:28" x14ac:dyDescent="0.2">
      <c r="X3226" s="176" t="str">
        <f t="shared" si="84"/>
        <v>1w</v>
      </c>
      <c r="Y3226" s="164">
        <f>_xll.qlCalendarAdvance(Calendar,Y3225,X3226,"f",FALSE)</f>
        <v>61716</v>
      </c>
      <c r="Z3226" s="188">
        <f>_xll.qlCalendarAdvance(Calendar,Y3226,NDays&amp;"D")</f>
        <v>61718</v>
      </c>
      <c r="AA3226" s="163">
        <v>7.5314465430253268E-3</v>
      </c>
      <c r="AB3226" s="172">
        <v>7.4840382079077727E-3</v>
      </c>
    </row>
    <row r="3227" spans="24:28" x14ac:dyDescent="0.2">
      <c r="X3227" s="176" t="str">
        <f t="shared" si="84"/>
        <v>1w</v>
      </c>
      <c r="Y3227" s="164">
        <f>_xll.qlCalendarAdvance(Calendar,Y3226,X3227,"f",FALSE)</f>
        <v>61724</v>
      </c>
      <c r="Z3227" s="188">
        <f>_xll.qlCalendarAdvance(Calendar,Y3227,NDays&amp;"D")</f>
        <v>61728</v>
      </c>
      <c r="AA3227" s="163">
        <v>7.5343310765123659E-3</v>
      </c>
      <c r="AB3227" s="172">
        <v>7.4876252500644114E-3</v>
      </c>
    </row>
    <row r="3228" spans="24:28" x14ac:dyDescent="0.2">
      <c r="X3228" s="176" t="str">
        <f t="shared" si="84"/>
        <v>1w</v>
      </c>
      <c r="Y3228" s="164">
        <f>_xll.qlCalendarAdvance(Calendar,Y3227,X3228,"f",FALSE)</f>
        <v>61731</v>
      </c>
      <c r="Z3228" s="188">
        <f>_xll.qlCalendarAdvance(Calendar,Y3228,NDays&amp;"D")</f>
        <v>61735</v>
      </c>
      <c r="AA3228" s="163">
        <v>7.5376491164375736E-3</v>
      </c>
      <c r="AB3228" s="172">
        <v>7.4900424218871109E-3</v>
      </c>
    </row>
    <row r="3229" spans="24:28" x14ac:dyDescent="0.2">
      <c r="X3229" s="176" t="str">
        <f t="shared" si="84"/>
        <v>1w</v>
      </c>
      <c r="Y3229" s="164">
        <f>_xll.qlCalendarAdvance(Calendar,Y3228,X3229,"f",FALSE)</f>
        <v>61738</v>
      </c>
      <c r="Z3229" s="188">
        <f>_xll.qlCalendarAdvance(Calendar,Y3229,NDays&amp;"D")</f>
        <v>61742</v>
      </c>
      <c r="AA3229" s="163">
        <v>7.540182978405292E-3</v>
      </c>
      <c r="AB3229" s="172">
        <v>7.4927180648742819E-3</v>
      </c>
    </row>
    <row r="3230" spans="24:28" x14ac:dyDescent="0.2">
      <c r="X3230" s="176" t="str">
        <f t="shared" si="84"/>
        <v>1w</v>
      </c>
      <c r="Y3230" s="164">
        <f>_xll.qlCalendarAdvance(Calendar,Y3229,X3230,"f",FALSE)</f>
        <v>61745</v>
      </c>
      <c r="Z3230" s="188">
        <f>_xll.qlCalendarAdvance(Calendar,Y3230,NDays&amp;"D")</f>
        <v>61749</v>
      </c>
      <c r="AA3230" s="163">
        <v>7.5427050926436283E-3</v>
      </c>
      <c r="AB3230" s="172">
        <v>7.4953820011458561E-3</v>
      </c>
    </row>
    <row r="3231" spans="24:28" x14ac:dyDescent="0.2">
      <c r="X3231" s="176" t="str">
        <f t="shared" si="84"/>
        <v>1w</v>
      </c>
      <c r="Y3231" s="164">
        <f>_xll.qlCalendarAdvance(Calendar,Y3230,X3231,"f",FALSE)</f>
        <v>61752</v>
      </c>
      <c r="Z3231" s="188">
        <f>_xll.qlCalendarAdvance(Calendar,Y3231,NDays&amp;"D")</f>
        <v>61756</v>
      </c>
      <c r="AA3231" s="163">
        <v>7.5452154591090998E-3</v>
      </c>
      <c r="AB3231" s="172">
        <v>7.4980342310215775E-3</v>
      </c>
    </row>
    <row r="3232" spans="24:28" x14ac:dyDescent="0.2">
      <c r="X3232" s="176" t="str">
        <f t="shared" si="84"/>
        <v>1w</v>
      </c>
      <c r="Y3232" s="164">
        <f>_xll.qlCalendarAdvance(Calendar,Y3231,X3232,"f",FALSE)</f>
        <v>61759</v>
      </c>
      <c r="Z3232" s="188">
        <f>_xll.qlCalendarAdvance(Calendar,Y3232,NDays&amp;"D")</f>
        <v>61763</v>
      </c>
      <c r="AA3232" s="163">
        <v>7.5477140777560296E-3</v>
      </c>
      <c r="AB3232" s="172">
        <v>7.5006747543415742E-3</v>
      </c>
    </row>
    <row r="3233" spans="24:28" x14ac:dyDescent="0.2">
      <c r="X3233" s="176" t="str">
        <f t="shared" si="84"/>
        <v>1w</v>
      </c>
      <c r="Y3233" s="164">
        <f>_xll.qlCalendarAdvance(Calendar,Y3232,X3233,"f",FALSE)</f>
        <v>61766</v>
      </c>
      <c r="Z3233" s="188">
        <f>_xll.qlCalendarAdvance(Calendar,Y3233,NDays&amp;"D")</f>
        <v>61770</v>
      </c>
      <c r="AA3233" s="163">
        <v>7.550200948540935E-3</v>
      </c>
      <c r="AB3233" s="172">
        <v>7.5033035711857821E-3</v>
      </c>
    </row>
    <row r="3234" spans="24:28" x14ac:dyDescent="0.2">
      <c r="X3234" s="176" t="str">
        <f t="shared" si="84"/>
        <v>1w</v>
      </c>
      <c r="Y3234" s="164">
        <f>_xll.qlCalendarAdvance(Calendar,Y3233,X3234,"f",FALSE)</f>
        <v>61773</v>
      </c>
      <c r="Z3234" s="188">
        <f>_xll.qlCalendarAdvance(Calendar,Y3234,NDays&amp;"D")</f>
        <v>61777</v>
      </c>
      <c r="AA3234" s="163">
        <v>7.5526760714194566E-3</v>
      </c>
      <c r="AB3234" s="172">
        <v>7.5059206813143931E-3</v>
      </c>
    </row>
    <row r="3235" spans="24:28" x14ac:dyDescent="0.2">
      <c r="X3235" s="176" t="str">
        <f t="shared" si="84"/>
        <v>1w</v>
      </c>
      <c r="Y3235" s="164">
        <f>_xll.qlCalendarAdvance(Calendar,Y3234,X3235,"f",FALSE)</f>
        <v>61780</v>
      </c>
      <c r="Z3235" s="188">
        <f>_xll.qlCalendarAdvance(Calendar,Y3235,NDays&amp;"D")</f>
        <v>61784</v>
      </c>
      <c r="AA3235" s="163">
        <v>7.5551394463467952E-3</v>
      </c>
      <c r="AB3235" s="172">
        <v>7.5085260848872792E-3</v>
      </c>
    </row>
    <row r="3236" spans="24:28" x14ac:dyDescent="0.2">
      <c r="X3236" s="176" t="str">
        <f t="shared" si="84"/>
        <v>1w</v>
      </c>
      <c r="Y3236" s="164">
        <f>_xll.qlCalendarAdvance(Calendar,Y3235,X3236,"f",FALSE)</f>
        <v>61787</v>
      </c>
      <c r="Z3236" s="188">
        <f>_xll.qlCalendarAdvance(Calendar,Y3236,NDays&amp;"D")</f>
        <v>61791</v>
      </c>
      <c r="AA3236" s="163">
        <v>7.558091505951727E-3</v>
      </c>
      <c r="AB3236" s="172">
        <v>7.5111197821442488E-3</v>
      </c>
    </row>
    <row r="3237" spans="24:28" x14ac:dyDescent="0.2">
      <c r="X3237" s="176" t="str">
        <f t="shared" si="84"/>
        <v>1w</v>
      </c>
      <c r="Y3237" s="164">
        <f>_xll.qlCalendarAdvance(Calendar,Y3236,X3237,"f",FALSE)</f>
        <v>61794</v>
      </c>
      <c r="Z3237" s="188">
        <f>_xll.qlCalendarAdvance(Calendar,Y3237,NDays&amp;"D")</f>
        <v>61798</v>
      </c>
      <c r="AA3237" s="163">
        <v>7.5605298087435746E-3</v>
      </c>
      <c r="AB3237" s="172">
        <v>7.5137017725257493E-3</v>
      </c>
    </row>
    <row r="3238" spans="24:28" x14ac:dyDescent="0.2">
      <c r="X3238" s="176" t="str">
        <f t="shared" si="84"/>
        <v>1w</v>
      </c>
      <c r="Y3238" s="164">
        <f>_xll.qlCalendarAdvance(Calendar,Y3237,X3238,"f",FALSE)</f>
        <v>61801</v>
      </c>
      <c r="Z3238" s="188">
        <f>_xll.qlCalendarAdvance(Calendar,Y3238,NDays&amp;"D")</f>
        <v>61805</v>
      </c>
      <c r="AA3238" s="163">
        <v>7.5629563629889393E-3</v>
      </c>
      <c r="AB3238" s="172">
        <v>7.5162720565113972E-3</v>
      </c>
    </row>
    <row r="3239" spans="24:28" x14ac:dyDescent="0.2">
      <c r="X3239" s="176" t="str">
        <f t="shared" si="84"/>
        <v>1w</v>
      </c>
      <c r="Y3239" s="164">
        <f>_xll.qlCalendarAdvance(Calendar,Y3238,X3239,"f",FALSE)</f>
        <v>61808</v>
      </c>
      <c r="Z3239" s="188">
        <f>_xll.qlCalendarAdvance(Calendar,Y3239,NDays&amp;"D")</f>
        <v>61812</v>
      </c>
      <c r="AA3239" s="163">
        <v>7.5653711686439421E-3</v>
      </c>
      <c r="AB3239" s="172">
        <v>7.5188306341011923E-3</v>
      </c>
    </row>
    <row r="3240" spans="24:28" x14ac:dyDescent="0.2">
      <c r="X3240" s="176" t="str">
        <f t="shared" si="84"/>
        <v>1w</v>
      </c>
      <c r="Y3240" s="164">
        <f>_xll.qlCalendarAdvance(Calendar,Y3239,X3240,"f",FALSE)</f>
        <v>61815</v>
      </c>
      <c r="Z3240" s="188">
        <f>_xll.qlCalendarAdvance(Calendar,Y3240,NDays&amp;"D")</f>
        <v>61819</v>
      </c>
      <c r="AA3240" s="163">
        <v>7.567527198826288E-3</v>
      </c>
      <c r="AB3240" s="172">
        <v>7.5213775049753906E-3</v>
      </c>
    </row>
    <row r="3241" spans="24:28" x14ac:dyDescent="0.2">
      <c r="X3241" s="176" t="str">
        <f t="shared" si="84"/>
        <v>1w</v>
      </c>
      <c r="Y3241" s="164">
        <f>_xll.qlCalendarAdvance(Calendar,Y3240,X3241,"f",FALSE)</f>
        <v>61822</v>
      </c>
      <c r="Z3241" s="188">
        <f>_xll.qlCalendarAdvance(Calendar,Y3241,NDays&amp;"D")</f>
        <v>61826</v>
      </c>
      <c r="AA3241" s="163">
        <v>7.5699192961718488E-3</v>
      </c>
      <c r="AB3241" s="172">
        <v>7.523912669213928E-3</v>
      </c>
    </row>
    <row r="3242" spans="24:28" x14ac:dyDescent="0.2">
      <c r="X3242" s="176" t="str">
        <f t="shared" si="84"/>
        <v>1w</v>
      </c>
      <c r="Y3242" s="164">
        <f>_xll.qlCalendarAdvance(Calendar,Y3241,X3242,"f",FALSE)</f>
        <v>61829</v>
      </c>
      <c r="Z3242" s="188">
        <f>_xll.qlCalendarAdvance(Calendar,Y3242,NDays&amp;"D")</f>
        <v>61835</v>
      </c>
      <c r="AA3242" s="163">
        <v>7.572977586813784E-3</v>
      </c>
      <c r="AB3242" s="172">
        <v>7.5271549649258418E-3</v>
      </c>
    </row>
    <row r="3243" spans="24:28" x14ac:dyDescent="0.2">
      <c r="X3243" s="176" t="str">
        <f t="shared" si="84"/>
        <v>1w</v>
      </c>
      <c r="Y3243" s="164">
        <f>_xll.qlCalendarAdvance(Calendar,Y3242,X3243,"f",FALSE)</f>
        <v>61836</v>
      </c>
      <c r="Z3243" s="188">
        <f>_xll.qlCalendarAdvance(Calendar,Y3243,NDays&amp;"D")</f>
        <v>61840</v>
      </c>
      <c r="AA3243" s="163">
        <v>7.5746682453611512E-3</v>
      </c>
      <c r="AB3243" s="172">
        <v>7.5289478784235087E-3</v>
      </c>
    </row>
    <row r="3244" spans="24:28" x14ac:dyDescent="0.2">
      <c r="X3244" s="176" t="str">
        <f t="shared" si="84"/>
        <v>1w</v>
      </c>
      <c r="Y3244" s="164">
        <f>_xll.qlCalendarAdvance(Calendar,Y3243,X3244,"f",FALSE)</f>
        <v>61843</v>
      </c>
      <c r="Z3244" s="188">
        <f>_xll.qlCalendarAdvance(Calendar,Y3244,NDays&amp;"D")</f>
        <v>61847</v>
      </c>
      <c r="AA3244" s="163">
        <v>7.5770250971205896E-3</v>
      </c>
      <c r="AB3244" s="172">
        <v>7.5314479229948716E-3</v>
      </c>
    </row>
    <row r="3245" spans="24:28" x14ac:dyDescent="0.2">
      <c r="X3245" s="176" t="str">
        <f t="shared" si="84"/>
        <v>1w</v>
      </c>
      <c r="Y3245" s="164">
        <f>_xll.qlCalendarAdvance(Calendar,Y3244,X3245,"f",FALSE)</f>
        <v>61850</v>
      </c>
      <c r="Z3245" s="188">
        <f>_xll.qlCalendarAdvance(Calendar,Y3245,NDays&amp;"D")</f>
        <v>61854</v>
      </c>
      <c r="AA3245" s="163">
        <v>7.5796132797604759E-3</v>
      </c>
      <c r="AB3245" s="172">
        <v>7.533936261170382E-3</v>
      </c>
    </row>
    <row r="3246" spans="24:28" x14ac:dyDescent="0.2">
      <c r="X3246" s="176" t="str">
        <f t="shared" si="84"/>
        <v>1w</v>
      </c>
      <c r="Y3246" s="164">
        <f>_xll.qlCalendarAdvance(Calendar,Y3245,X3246,"f",FALSE)</f>
        <v>61857</v>
      </c>
      <c r="Z3246" s="188">
        <f>_xll.qlCalendarAdvance(Calendar,Y3246,NDays&amp;"D")</f>
        <v>61861</v>
      </c>
      <c r="AA3246" s="163">
        <v>7.5819458440804319E-3</v>
      </c>
      <c r="AB3246" s="172">
        <v>7.5364128928701035E-3</v>
      </c>
    </row>
    <row r="3247" spans="24:28" x14ac:dyDescent="0.2">
      <c r="X3247" s="176" t="str">
        <f t="shared" si="84"/>
        <v>1w</v>
      </c>
      <c r="Y3247" s="164">
        <f>_xll.qlCalendarAdvance(Calendar,Y3246,X3247,"f",FALSE)</f>
        <v>61864</v>
      </c>
      <c r="Z3247" s="188">
        <f>_xll.qlCalendarAdvance(Calendar,Y3247,NDays&amp;"D")</f>
        <v>61868</v>
      </c>
      <c r="AA3247" s="163">
        <v>7.5842666594694306E-3</v>
      </c>
      <c r="AB3247" s="172">
        <v>7.5388778179341642E-3</v>
      </c>
    </row>
    <row r="3248" spans="24:28" x14ac:dyDescent="0.2">
      <c r="X3248" s="176" t="str">
        <f t="shared" si="84"/>
        <v>1w</v>
      </c>
      <c r="Y3248" s="164">
        <f>_xll.qlCalendarAdvance(Calendar,Y3247,X3248,"f",FALSE)</f>
        <v>61871</v>
      </c>
      <c r="Z3248" s="188">
        <f>_xll.qlCalendarAdvance(Calendar,Y3248,NDays&amp;"D")</f>
        <v>61875</v>
      </c>
      <c r="AA3248" s="163">
        <v>7.5865757258840264E-3</v>
      </c>
      <c r="AB3248" s="172">
        <v>7.5413310364425001E-3</v>
      </c>
    </row>
    <row r="3249" spans="24:28" x14ac:dyDescent="0.2">
      <c r="X3249" s="176" t="str">
        <f t="shared" si="84"/>
        <v>1w</v>
      </c>
      <c r="Y3249" s="164">
        <f>_xll.qlCalendarAdvance(Calendar,Y3248,X3249,"f",FALSE)</f>
        <v>61878</v>
      </c>
      <c r="Z3249" s="188">
        <f>_xll.qlCalendarAdvance(Calendar,Y3249,NDays&amp;"D")</f>
        <v>61882</v>
      </c>
      <c r="AA3249" s="163">
        <v>7.5886331258931093E-3</v>
      </c>
      <c r="AB3249" s="172">
        <v>7.5437725483151752E-3</v>
      </c>
    </row>
    <row r="3250" spans="24:28" x14ac:dyDescent="0.2">
      <c r="X3250" s="176" t="str">
        <f t="shared" si="84"/>
        <v>1w</v>
      </c>
      <c r="Y3250" s="164">
        <f>_xll.qlCalendarAdvance(Calendar,Y3249,X3250,"f",FALSE)</f>
        <v>61885</v>
      </c>
      <c r="Z3250" s="188">
        <f>_xll.qlCalendarAdvance(Calendar,Y3250,NDays&amp;"D")</f>
        <v>61889</v>
      </c>
      <c r="AA3250" s="163">
        <v>7.5909194853524629E-3</v>
      </c>
      <c r="AB3250" s="172">
        <v>7.5462023537919976E-3</v>
      </c>
    </row>
    <row r="3251" spans="24:28" x14ac:dyDescent="0.2">
      <c r="X3251" s="176" t="str">
        <f t="shared" si="84"/>
        <v>1w</v>
      </c>
      <c r="Y3251" s="164">
        <f>_xll.qlCalendarAdvance(Calendar,Y3250,X3251,"f",FALSE)</f>
        <v>61892</v>
      </c>
      <c r="Z3251" s="188">
        <f>_xll.qlCalendarAdvance(Calendar,Y3251,NDays&amp;"D")</f>
        <v>61896</v>
      </c>
      <c r="AA3251" s="163">
        <v>7.5931940959498238E-3</v>
      </c>
      <c r="AB3251" s="172">
        <v>7.548620452553223E-3</v>
      </c>
    </row>
    <row r="3252" spans="24:28" x14ac:dyDescent="0.2">
      <c r="X3252" s="176" t="str">
        <f t="shared" si="84"/>
        <v>1w</v>
      </c>
      <c r="Y3252" s="164">
        <f>_xll.qlCalendarAdvance(Calendar,Y3251,X3252,"f",FALSE)</f>
        <v>61899</v>
      </c>
      <c r="Z3252" s="188">
        <f>_xll.qlCalendarAdvance(Calendar,Y3252,NDays&amp;"D")</f>
        <v>61903</v>
      </c>
      <c r="AA3252" s="163">
        <v>7.5954569576467531E-3</v>
      </c>
      <c r="AB3252" s="172">
        <v>7.5510268447587237E-3</v>
      </c>
    </row>
    <row r="3253" spans="24:28" x14ac:dyDescent="0.2">
      <c r="X3253" s="176" t="str">
        <f t="shared" si="84"/>
        <v>1w</v>
      </c>
      <c r="Y3253" s="164">
        <f>_xll.qlCalendarAdvance(Calendar,Y3252,X3253,"f",FALSE)</f>
        <v>61906</v>
      </c>
      <c r="Z3253" s="188">
        <f>_xll.qlCalendarAdvance(Calendar,Y3253,NDays&amp;"D")</f>
        <v>61910</v>
      </c>
      <c r="AA3253" s="163">
        <v>7.598181501238796E-3</v>
      </c>
      <c r="AB3253" s="172">
        <v>7.5534215305683716E-3</v>
      </c>
    </row>
    <row r="3254" spans="24:28" x14ac:dyDescent="0.2">
      <c r="X3254" s="176" t="str">
        <f t="shared" si="84"/>
        <v>1w</v>
      </c>
      <c r="Y3254" s="164">
        <f>_xll.qlCalendarAdvance(Calendar,Y3253,X3254,"f",FALSE)</f>
        <v>61913</v>
      </c>
      <c r="Z3254" s="188">
        <f>_xll.qlCalendarAdvance(Calendar,Y3254,NDays&amp;"D")</f>
        <v>61917</v>
      </c>
      <c r="AA3254" s="163">
        <v>7.6001833936388003E-3</v>
      </c>
      <c r="AB3254" s="172">
        <v>7.5558045098222948E-3</v>
      </c>
    </row>
    <row r="3255" spans="24:28" x14ac:dyDescent="0.2">
      <c r="X3255" s="176" t="str">
        <f t="shared" si="84"/>
        <v>1w</v>
      </c>
      <c r="Y3255" s="164">
        <f>_xll.qlCalendarAdvance(Calendar,Y3254,X3255,"f",FALSE)</f>
        <v>61920</v>
      </c>
      <c r="Z3255" s="188">
        <f>_xll.qlCalendarAdvance(Calendar,Y3255,NDays&amp;"D")</f>
        <v>61924</v>
      </c>
      <c r="AA3255" s="163">
        <v>7.6024102160947961E-3</v>
      </c>
      <c r="AB3255" s="172">
        <v>7.558175782360621E-3</v>
      </c>
    </row>
    <row r="3256" spans="24:28" x14ac:dyDescent="0.2">
      <c r="X3256" s="176" t="str">
        <f t="shared" si="84"/>
        <v>1w</v>
      </c>
      <c r="Y3256" s="164">
        <f>_xll.qlCalendarAdvance(Calendar,Y3255,X3256,"f",FALSE)</f>
        <v>61927</v>
      </c>
      <c r="Z3256" s="188">
        <f>_xll.qlCalendarAdvance(Calendar,Y3256,NDays&amp;"D")</f>
        <v>61931</v>
      </c>
      <c r="AA3256" s="163">
        <v>7.6046252892523012E-3</v>
      </c>
      <c r="AB3256" s="172">
        <v>7.5605353484231586E-3</v>
      </c>
    </row>
    <row r="3257" spans="24:28" x14ac:dyDescent="0.2">
      <c r="X3257" s="176" t="str">
        <f t="shared" si="84"/>
        <v>1w</v>
      </c>
      <c r="Y3257" s="164">
        <f>_xll.qlCalendarAdvance(Calendar,Y3256,X3257,"f",FALSE)</f>
        <v>61934</v>
      </c>
      <c r="Z3257" s="188">
        <f>_xll.qlCalendarAdvance(Calendar,Y3257,NDays&amp;"D")</f>
        <v>61938</v>
      </c>
      <c r="AA3257" s="163">
        <v>7.606828613071783E-3</v>
      </c>
      <c r="AB3257" s="172">
        <v>7.5628832080099073E-3</v>
      </c>
    </row>
    <row r="3258" spans="24:28" x14ac:dyDescent="0.2">
      <c r="X3258" s="176" t="str">
        <f t="shared" si="84"/>
        <v>1w</v>
      </c>
      <c r="Y3258" s="164">
        <f>_xll.qlCalendarAdvance(Calendar,Y3257,X3258,"f",FALSE)</f>
        <v>61941</v>
      </c>
      <c r="Z3258" s="188">
        <f>_xll.qlCalendarAdvance(Calendar,Y3258,NDays&amp;"D")</f>
        <v>61945</v>
      </c>
      <c r="AA3258" s="163">
        <v>7.609020187512837E-3</v>
      </c>
      <c r="AB3258" s="172">
        <v>7.5652193609609952E-3</v>
      </c>
    </row>
    <row r="3259" spans="24:28" x14ac:dyDescent="0.2">
      <c r="X3259" s="176" t="str">
        <f t="shared" si="84"/>
        <v>1w</v>
      </c>
      <c r="Y3259" s="164">
        <f>_xll.qlCalendarAdvance(Calendar,Y3258,X3259,"f",FALSE)</f>
        <v>61948</v>
      </c>
      <c r="Z3259" s="188">
        <f>_xll.qlCalendarAdvance(Calendar,Y3259,NDays&amp;"D")</f>
        <v>61952</v>
      </c>
      <c r="AA3259" s="163">
        <v>7.6112000125368E-3</v>
      </c>
      <c r="AB3259" s="172">
        <v>7.5675438074362944E-3</v>
      </c>
    </row>
    <row r="3260" spans="24:28" x14ac:dyDescent="0.2">
      <c r="X3260" s="176" t="str">
        <f t="shared" si="84"/>
        <v>1w</v>
      </c>
      <c r="Y3260" s="164">
        <f>_xll.qlCalendarAdvance(Calendar,Y3259,X3260,"f",FALSE)</f>
        <v>61955</v>
      </c>
      <c r="Z3260" s="188">
        <f>_xll.qlCalendarAdvance(Calendar,Y3260,NDays&amp;"D")</f>
        <v>61959</v>
      </c>
      <c r="AA3260" s="163">
        <v>7.6133680881045719E-3</v>
      </c>
      <c r="AB3260" s="172">
        <v>7.5698565472759327E-3</v>
      </c>
    </row>
    <row r="3261" spans="24:28" x14ac:dyDescent="0.2">
      <c r="X3261" s="176" t="str">
        <f t="shared" si="84"/>
        <v>1w</v>
      </c>
      <c r="Y3261" s="164">
        <f>_xll.qlCalendarAdvance(Calendar,Y3260,X3261,"f",FALSE)</f>
        <v>61962</v>
      </c>
      <c r="Z3261" s="188">
        <f>_xll.qlCalendarAdvance(Calendar,Y3261,NDays&amp;"D")</f>
        <v>61966</v>
      </c>
      <c r="AA3261" s="163">
        <v>7.6155244141770549E-3</v>
      </c>
      <c r="AB3261" s="172">
        <v>7.5721575806397823E-3</v>
      </c>
    </row>
    <row r="3262" spans="24:28" x14ac:dyDescent="0.2">
      <c r="X3262" s="176" t="str">
        <f t="shared" si="84"/>
        <v>1w</v>
      </c>
      <c r="Y3262" s="164">
        <f>_xll.qlCalendarAdvance(Calendar,Y3261,X3262,"f",FALSE)</f>
        <v>61969</v>
      </c>
      <c r="Z3262" s="188">
        <f>_xll.qlCalendarAdvance(Calendar,Y3262,NDays&amp;"D")</f>
        <v>61973</v>
      </c>
      <c r="AA3262" s="163">
        <v>7.6172096892808423E-3</v>
      </c>
      <c r="AB3262" s="172">
        <v>7.574446907367971E-3</v>
      </c>
    </row>
    <row r="3263" spans="24:28" x14ac:dyDescent="0.2">
      <c r="X3263" s="176" t="str">
        <f t="shared" si="84"/>
        <v>1w</v>
      </c>
      <c r="Y3263" s="164">
        <f>_xll.qlCalendarAdvance(Calendar,Y3262,X3263,"f",FALSE)</f>
        <v>61976</v>
      </c>
      <c r="Z3263" s="188">
        <f>_xll.qlCalendarAdvance(Calendar,Y3263,NDays&amp;"D")</f>
        <v>61980</v>
      </c>
      <c r="AA3263" s="163">
        <v>7.6193441046026912E-3</v>
      </c>
      <c r="AB3263" s="172">
        <v>7.5767245275404349E-3</v>
      </c>
    </row>
    <row r="3264" spans="24:28" x14ac:dyDescent="0.2">
      <c r="X3264" s="176" t="str">
        <f t="shared" si="84"/>
        <v>1w</v>
      </c>
      <c r="Y3264" s="164">
        <f>_xll.qlCalendarAdvance(Calendar,Y3263,X3264,"f",FALSE)</f>
        <v>61983</v>
      </c>
      <c r="Z3264" s="188">
        <f>_xll.qlCalendarAdvance(Calendar,Y3264,NDays&amp;"D")</f>
        <v>61987</v>
      </c>
      <c r="AA3264" s="163">
        <v>7.6214667707905663E-3</v>
      </c>
      <c r="AB3264" s="172">
        <v>7.5789904412371101E-3</v>
      </c>
    </row>
    <row r="3265" spans="24:28" x14ac:dyDescent="0.2">
      <c r="X3265" s="176" t="str">
        <f t="shared" si="84"/>
        <v>1w</v>
      </c>
      <c r="Y3265" s="164">
        <f>_xll.qlCalendarAdvance(Calendar,Y3264,X3265,"f",FALSE)</f>
        <v>61990</v>
      </c>
      <c r="Z3265" s="188">
        <f>_xll.qlCalendarAdvance(Calendar,Y3265,NDays&amp;"D")</f>
        <v>61994</v>
      </c>
      <c r="AA3265" s="163">
        <v>7.6235776878062567E-3</v>
      </c>
      <c r="AB3265" s="172">
        <v>7.5812446483780604E-3</v>
      </c>
    </row>
    <row r="3266" spans="24:28" x14ac:dyDescent="0.2">
      <c r="X3266" s="176" t="str">
        <f t="shared" si="84"/>
        <v>1w</v>
      </c>
      <c r="Y3266" s="164">
        <f>_xll.qlCalendarAdvance(Calendar,Y3265,X3266,"f",FALSE)</f>
        <v>61997</v>
      </c>
      <c r="Z3266" s="188">
        <f>_xll.qlCalendarAdvance(Calendar,Y3266,NDays&amp;"D")</f>
        <v>62001</v>
      </c>
      <c r="AA3266" s="163">
        <v>7.6247700939273862E-3</v>
      </c>
      <c r="AB3266" s="172">
        <v>7.5834871488034139E-3</v>
      </c>
    </row>
    <row r="3267" spans="24:28" x14ac:dyDescent="0.2">
      <c r="X3267" s="176" t="str">
        <f t="shared" si="84"/>
        <v>1w</v>
      </c>
      <c r="Y3267" s="164">
        <f>_xll.qlCalendarAdvance(Calendar,Y3266,X3267,"f",FALSE)</f>
        <v>62004</v>
      </c>
      <c r="Z3267" s="188">
        <f>_xll.qlCalendarAdvance(Calendar,Y3267,NDays&amp;"D")</f>
        <v>62008</v>
      </c>
      <c r="AA3267" s="163">
        <v>7.6277644122678817E-3</v>
      </c>
      <c r="AB3267" s="172">
        <v>7.5857179428329147E-3</v>
      </c>
    </row>
    <row r="3268" spans="24:28" x14ac:dyDescent="0.2">
      <c r="X3268" s="176" t="str">
        <f t="shared" si="84"/>
        <v>1w</v>
      </c>
      <c r="Y3268" s="164">
        <f>_xll.qlCalendarAdvance(Calendar,Y3267,X3268,"f",FALSE)</f>
        <v>62011</v>
      </c>
      <c r="Z3268" s="188">
        <f>_xll.qlCalendarAdvance(Calendar,Y3268,NDays&amp;"D")</f>
        <v>62015</v>
      </c>
      <c r="AA3268" s="163">
        <v>7.6298404915952339E-3</v>
      </c>
      <c r="AB3268" s="172">
        <v>7.5879370302267546E-3</v>
      </c>
    </row>
    <row r="3269" spans="24:28" x14ac:dyDescent="0.2">
      <c r="X3269" s="176" t="str">
        <f t="shared" si="84"/>
        <v>1w</v>
      </c>
      <c r="Y3269" s="164">
        <f>_xll.qlCalendarAdvance(Calendar,Y3268,X3269,"f",FALSE)</f>
        <v>62018</v>
      </c>
      <c r="Z3269" s="188">
        <f>_xll.qlCalendarAdvance(Calendar,Y3269,NDays&amp;"D")</f>
        <v>62022</v>
      </c>
      <c r="AA3269" s="163">
        <v>7.6319052680158435E-3</v>
      </c>
      <c r="AB3269" s="172">
        <v>7.5901444110648697E-3</v>
      </c>
    </row>
    <row r="3270" spans="24:28" x14ac:dyDescent="0.2">
      <c r="X3270" s="176" t="str">
        <f t="shared" si="84"/>
        <v>1w</v>
      </c>
      <c r="Y3270" s="164">
        <f>_xll.qlCalendarAdvance(Calendar,Y3269,X3270,"f",FALSE)</f>
        <v>62025</v>
      </c>
      <c r="Z3270" s="188">
        <f>_xll.qlCalendarAdvance(Calendar,Y3270,NDays&amp;"D")</f>
        <v>62029</v>
      </c>
      <c r="AA3270" s="163">
        <v>7.6339589059621349E-3</v>
      </c>
      <c r="AB3270" s="172">
        <v>7.5923400854271961E-3</v>
      </c>
    </row>
    <row r="3271" spans="24:28" x14ac:dyDescent="0.2">
      <c r="X3271" s="176" t="str">
        <f t="shared" si="84"/>
        <v>1w</v>
      </c>
      <c r="Y3271" s="164">
        <f>_xll.qlCalendarAdvance(Calendar,Y3270,X3271,"f",FALSE)</f>
        <v>62032</v>
      </c>
      <c r="Z3271" s="188">
        <f>_xll.qlCalendarAdvance(Calendar,Y3271,NDays&amp;"D")</f>
        <v>62036</v>
      </c>
      <c r="AA3271" s="163">
        <v>7.6360015698682879E-3</v>
      </c>
      <c r="AB3271" s="172">
        <v>7.5945240532337976E-3</v>
      </c>
    </row>
    <row r="3272" spans="24:28" x14ac:dyDescent="0.2">
      <c r="X3272" s="176" t="str">
        <f t="shared" si="84"/>
        <v>1w</v>
      </c>
      <c r="Y3272" s="164">
        <f>_xll.qlCalendarAdvance(Calendar,Y3271,X3272,"f",FALSE)</f>
        <v>62039</v>
      </c>
      <c r="Z3272" s="188">
        <f>_xll.qlCalendarAdvance(Calendar,Y3272,NDays&amp;"D")</f>
        <v>62043</v>
      </c>
      <c r="AA3272" s="163">
        <v>7.6380334241684831E-3</v>
      </c>
      <c r="AB3272" s="172">
        <v>7.5966963144047384E-3</v>
      </c>
    </row>
    <row r="3273" spans="24:28" x14ac:dyDescent="0.2">
      <c r="X3273" s="176" t="str">
        <f t="shared" si="84"/>
        <v>1w</v>
      </c>
      <c r="Y3273" s="164">
        <f>_xll.qlCalendarAdvance(Calendar,Y3272,X3273,"f",FALSE)</f>
        <v>62046</v>
      </c>
      <c r="Z3273" s="188">
        <f>_xll.qlCalendarAdvance(Calendar,Y3273,NDays&amp;"D")</f>
        <v>62050</v>
      </c>
      <c r="AA3273" s="163">
        <v>7.6400546332977791E-3</v>
      </c>
      <c r="AB3273" s="172">
        <v>7.5988568690199543E-3</v>
      </c>
    </row>
    <row r="3274" spans="24:28" x14ac:dyDescent="0.2">
      <c r="X3274" s="176" t="str">
        <f t="shared" si="84"/>
        <v>1w</v>
      </c>
      <c r="Y3274" s="164">
        <f>_xll.qlCalendarAdvance(Calendar,Y3273,X3274,"f",FALSE)</f>
        <v>62053</v>
      </c>
      <c r="Z3274" s="188">
        <f>_xll.qlCalendarAdvance(Calendar,Y3274,NDays&amp;"D")</f>
        <v>62057</v>
      </c>
      <c r="AA3274" s="163">
        <v>7.6420653616925543E-3</v>
      </c>
      <c r="AB3274" s="172">
        <v>7.6010057169995093E-3</v>
      </c>
    </row>
    <row r="3275" spans="24:28" x14ac:dyDescent="0.2">
      <c r="X3275" s="176" t="str">
        <f t="shared" si="84"/>
        <v>1w</v>
      </c>
      <c r="Y3275" s="164">
        <f>_xll.qlCalendarAdvance(Calendar,Y3274,X3275,"f",FALSE)</f>
        <v>62060</v>
      </c>
      <c r="Z3275" s="188">
        <f>_xll.qlCalendarAdvance(Calendar,Y3275,NDays&amp;"D")</f>
        <v>62064</v>
      </c>
      <c r="AA3275" s="163">
        <v>7.6440657737900618E-3</v>
      </c>
      <c r="AB3275" s="172">
        <v>7.6031428586631478E-3</v>
      </c>
    </row>
    <row r="3276" spans="24:28" x14ac:dyDescent="0.2">
      <c r="X3276" s="176" t="str">
        <f t="shared" si="84"/>
        <v>1w</v>
      </c>
      <c r="Y3276" s="164">
        <f>_xll.qlCalendarAdvance(Calendar,Y3275,X3276,"f",FALSE)</f>
        <v>62067</v>
      </c>
      <c r="Z3276" s="188">
        <f>_xll.qlCalendarAdvance(Calendar,Y3276,NDays&amp;"D")</f>
        <v>62071</v>
      </c>
      <c r="AA3276" s="163">
        <v>7.6460560340284364E-3</v>
      </c>
      <c r="AB3276" s="172">
        <v>7.6052682936911253E-3</v>
      </c>
    </row>
    <row r="3277" spans="24:28" x14ac:dyDescent="0.2">
      <c r="X3277" s="176" t="str">
        <f t="shared" si="84"/>
        <v>1w</v>
      </c>
      <c r="Y3277" s="164">
        <f>_xll.qlCalendarAdvance(Calendar,Y3276,X3277,"f",FALSE)</f>
        <v>62074</v>
      </c>
      <c r="Z3277" s="188">
        <f>_xll.qlCalendarAdvance(Calendar,Y3277,NDays&amp;"D")</f>
        <v>62078</v>
      </c>
      <c r="AA3277" s="163">
        <v>7.6480363068453707E-3</v>
      </c>
      <c r="AB3277" s="172">
        <v>7.607382022003506E-3</v>
      </c>
    </row>
    <row r="3278" spans="24:28" x14ac:dyDescent="0.2">
      <c r="X3278" s="176" t="str">
        <f t="shared" si="84"/>
        <v>1w</v>
      </c>
      <c r="Y3278" s="164">
        <f>_xll.qlCalendarAdvance(Calendar,Y3277,X3278,"f",FALSE)</f>
        <v>62081</v>
      </c>
      <c r="Z3278" s="188">
        <f>_xll.qlCalendarAdvance(Calendar,Y3278,NDays&amp;"D")</f>
        <v>62085</v>
      </c>
      <c r="AA3278" s="163">
        <v>7.6500067566807562E-3</v>
      </c>
      <c r="AB3278" s="172">
        <v>7.6094840438400979E-3</v>
      </c>
    </row>
    <row r="3279" spans="24:28" x14ac:dyDescent="0.2">
      <c r="X3279" s="176" t="str">
        <f t="shared" si="84"/>
        <v>1w</v>
      </c>
      <c r="Y3279" s="164">
        <f>_xll.qlCalendarAdvance(Calendar,Y3278,X3279,"f",FALSE)</f>
        <v>62089</v>
      </c>
      <c r="Z3279" s="188">
        <f>_xll.qlCalendarAdvance(Calendar,Y3279,NDays&amp;"D")</f>
        <v>62093</v>
      </c>
      <c r="AA3279" s="163">
        <v>7.6520289259113588E-3</v>
      </c>
      <c r="AB3279" s="172">
        <v>7.6121012071661553E-3</v>
      </c>
    </row>
    <row r="3280" spans="24:28" x14ac:dyDescent="0.2">
      <c r="X3280" s="176" t="str">
        <f t="shared" si="84"/>
        <v>1w</v>
      </c>
      <c r="Y3280" s="164">
        <f>_xll.qlCalendarAdvance(Calendar,Y3279,X3280,"f",FALSE)</f>
        <v>62096</v>
      </c>
      <c r="Z3280" s="188">
        <f>_xll.qlCalendarAdvance(Calendar,Y3280,NDays&amp;"D")</f>
        <v>62100</v>
      </c>
      <c r="AA3280" s="163">
        <v>7.6539794342933504E-3</v>
      </c>
      <c r="AB3280" s="172">
        <v>7.6139489563598062E-3</v>
      </c>
    </row>
    <row r="3281" spans="24:28" x14ac:dyDescent="0.2">
      <c r="X3281" s="176" t="str">
        <f t="shared" si="84"/>
        <v>1w</v>
      </c>
      <c r="Y3281" s="164">
        <f>_xll.qlCalendarAdvance(Calendar,Y3280,X3281,"f",FALSE)</f>
        <v>62103</v>
      </c>
      <c r="Z3281" s="188">
        <f>_xll.qlCalendarAdvance(Calendar,Y3281,NDays&amp;"D")</f>
        <v>62107</v>
      </c>
      <c r="AA3281" s="163">
        <v>7.6559206265725361E-3</v>
      </c>
      <c r="AB3281" s="172">
        <v>7.616014186186959E-3</v>
      </c>
    </row>
    <row r="3282" spans="24:28" x14ac:dyDescent="0.2">
      <c r="X3282" s="176" t="str">
        <f t="shared" si="84"/>
        <v>1w</v>
      </c>
      <c r="Y3282" s="164">
        <f>_xll.qlCalendarAdvance(Calendar,Y3281,X3282,"f",FALSE)</f>
        <v>62110</v>
      </c>
      <c r="Z3282" s="188">
        <f>_xll.qlCalendarAdvance(Calendar,Y3282,NDays&amp;"D")</f>
        <v>62114</v>
      </c>
      <c r="AA3282" s="163">
        <v>7.6578526680968709E-3</v>
      </c>
      <c r="AB3282" s="172">
        <v>7.618067709378451E-3</v>
      </c>
    </row>
    <row r="3283" spans="24:28" x14ac:dyDescent="0.2">
      <c r="X3283" s="176" t="str">
        <f t="shared" si="84"/>
        <v>1w</v>
      </c>
      <c r="Y3283" s="164">
        <f>_xll.qlCalendarAdvance(Calendar,Y3282,X3283,"f",FALSE)</f>
        <v>62117</v>
      </c>
      <c r="Z3283" s="188">
        <f>_xll.qlCalendarAdvance(Calendar,Y3283,NDays&amp;"D")</f>
        <v>62121</v>
      </c>
      <c r="AA3283" s="163">
        <v>7.6597757242156377E-3</v>
      </c>
      <c r="AB3283" s="172">
        <v>7.6201095260941543E-3</v>
      </c>
    </row>
    <row r="3284" spans="24:28" x14ac:dyDescent="0.2">
      <c r="X3284" s="176" t="str">
        <f t="shared" si="84"/>
        <v>1w</v>
      </c>
      <c r="Y3284" s="164">
        <f>_xll.qlCalendarAdvance(Calendar,Y3283,X3284,"f",FALSE)</f>
        <v>62124</v>
      </c>
      <c r="Z3284" s="188">
        <f>_xll.qlCalendarAdvance(Calendar,Y3284,NDays&amp;"D")</f>
        <v>62128</v>
      </c>
      <c r="AA3284" s="163">
        <v>7.6616899602772329E-3</v>
      </c>
      <c r="AB3284" s="172">
        <v>7.6221396361741967E-3</v>
      </c>
    </row>
    <row r="3285" spans="24:28" x14ac:dyDescent="0.2">
      <c r="X3285" s="176" t="str">
        <f t="shared" ref="X3285:X3348" si="85">X3284</f>
        <v>1w</v>
      </c>
      <c r="Y3285" s="164">
        <f>_xll.qlCalendarAdvance(Calendar,Y3284,X3285,"f",FALSE)</f>
        <v>62131</v>
      </c>
      <c r="Z3285" s="188">
        <f>_xll.qlCalendarAdvance(Calendar,Y3285,NDays&amp;"D")</f>
        <v>62135</v>
      </c>
      <c r="AA3285" s="163">
        <v>7.6635955416331477E-3</v>
      </c>
      <c r="AB3285" s="172">
        <v>7.6241580398583864E-3</v>
      </c>
    </row>
    <row r="3286" spans="24:28" x14ac:dyDescent="0.2">
      <c r="X3286" s="176" t="str">
        <f t="shared" si="85"/>
        <v>1w</v>
      </c>
      <c r="Y3286" s="164">
        <f>_xll.qlCalendarAdvance(Calendar,Y3285,X3286,"f",FALSE)</f>
        <v>62138</v>
      </c>
      <c r="Z3286" s="188">
        <f>_xll.qlCalendarAdvance(Calendar,Y3286,NDays&amp;"D")</f>
        <v>62142</v>
      </c>
      <c r="AA3286" s="163">
        <v>7.6654926336339867E-3</v>
      </c>
      <c r="AB3286" s="172">
        <v>7.6261647368269792E-3</v>
      </c>
    </row>
    <row r="3287" spans="24:28" x14ac:dyDescent="0.2">
      <c r="X3287" s="176" t="str">
        <f t="shared" si="85"/>
        <v>1w</v>
      </c>
      <c r="Y3287" s="164">
        <f>_xll.qlCalendarAdvance(Calendar,Y3286,X3287,"f",FALSE)</f>
        <v>62145</v>
      </c>
      <c r="Z3287" s="188">
        <f>_xll.qlCalendarAdvance(Calendar,Y3287,NDays&amp;"D")</f>
        <v>62149</v>
      </c>
      <c r="AA3287" s="163">
        <v>7.6673814016307981E-3</v>
      </c>
      <c r="AB3287" s="172">
        <v>7.6281597273197832E-3</v>
      </c>
    </row>
    <row r="3288" spans="24:28" x14ac:dyDescent="0.2">
      <c r="X3288" s="176" t="str">
        <f t="shared" si="85"/>
        <v>1w</v>
      </c>
      <c r="Y3288" s="164">
        <f>_xll.qlCalendarAdvance(Calendar,Y3287,X3288,"f",FALSE)</f>
        <v>62152</v>
      </c>
      <c r="Z3288" s="188">
        <f>_xll.qlCalendarAdvance(Calendar,Y3288,NDays&amp;"D")</f>
        <v>62156</v>
      </c>
      <c r="AA3288" s="163">
        <v>7.6699016325334204E-3</v>
      </c>
      <c r="AB3288" s="172">
        <v>7.6301430111769264E-3</v>
      </c>
    </row>
    <row r="3289" spans="24:28" x14ac:dyDescent="0.2">
      <c r="X3289" s="176" t="str">
        <f t="shared" si="85"/>
        <v>1w</v>
      </c>
      <c r="Y3289" s="164">
        <f>_xll.qlCalendarAdvance(Calendar,Y3288,X3289,"f",FALSE)</f>
        <v>62159</v>
      </c>
      <c r="Z3289" s="188">
        <f>_xll.qlCalendarAdvance(Calendar,Y3289,NDays&amp;"D")</f>
        <v>62163</v>
      </c>
      <c r="AA3289" s="163">
        <v>7.6717727569405756E-3</v>
      </c>
      <c r="AB3289" s="172">
        <v>7.6321145885582808E-3</v>
      </c>
    </row>
    <row r="3290" spans="24:28" x14ac:dyDescent="0.2">
      <c r="X3290" s="176" t="str">
        <f t="shared" si="85"/>
        <v>1w</v>
      </c>
      <c r="Y3290" s="164">
        <f>_xll.qlCalendarAdvance(Calendar,Y3289,X3290,"f",FALSE)</f>
        <v>62166</v>
      </c>
      <c r="Z3290" s="188">
        <f>_xll.qlCalendarAdvance(Calendar,Y3290,NDays&amp;"D")</f>
        <v>62170</v>
      </c>
      <c r="AA3290" s="163">
        <v>7.6736360587078027E-3</v>
      </c>
      <c r="AB3290" s="172">
        <v>7.6340744593039744E-3</v>
      </c>
    </row>
    <row r="3291" spans="24:28" x14ac:dyDescent="0.2">
      <c r="X3291" s="176" t="str">
        <f t="shared" si="85"/>
        <v>1w</v>
      </c>
      <c r="Y3291" s="164">
        <f>_xll.qlCalendarAdvance(Calendar,Y3290,X3291,"f",FALSE)</f>
        <v>62173</v>
      </c>
      <c r="Z3291" s="188">
        <f>_xll.qlCalendarAdvance(Calendar,Y3291,NDays&amp;"D")</f>
        <v>62177</v>
      </c>
      <c r="AA3291" s="163">
        <v>7.6754917005023744E-3</v>
      </c>
      <c r="AB3291" s="172">
        <v>7.6360226235738793E-3</v>
      </c>
    </row>
    <row r="3292" spans="24:28" x14ac:dyDescent="0.2">
      <c r="X3292" s="176" t="str">
        <f t="shared" si="85"/>
        <v>1w</v>
      </c>
      <c r="Y3292" s="164">
        <f>_xll.qlCalendarAdvance(Calendar,Y3291,X3292,"f",FALSE)</f>
        <v>62184</v>
      </c>
      <c r="Z3292" s="188">
        <f>_xll.qlCalendarAdvance(Calendar,Y3292,NDays&amp;"D")</f>
        <v>62186</v>
      </c>
      <c r="AA3292" s="163">
        <v>7.6776554515554686E-3</v>
      </c>
      <c r="AB3292" s="172">
        <v>7.6385133487200108E-3</v>
      </c>
    </row>
    <row r="3293" spans="24:28" x14ac:dyDescent="0.2">
      <c r="X3293" s="176" t="str">
        <f t="shared" si="85"/>
        <v>1w</v>
      </c>
      <c r="Y3293" s="164">
        <f>_xll.qlCalendarAdvance(Calendar,Y3292,X3293,"f",FALSE)</f>
        <v>62191</v>
      </c>
      <c r="Z3293" s="188">
        <f>_xll.qlCalendarAdvance(Calendar,Y3293,NDays&amp;"D")</f>
        <v>62193</v>
      </c>
      <c r="AA3293" s="163">
        <v>7.6794944640710718E-3</v>
      </c>
      <c r="AB3293" s="172">
        <v>7.6404420577524945E-3</v>
      </c>
    </row>
    <row r="3294" spans="24:28" x14ac:dyDescent="0.2">
      <c r="X3294" s="176" t="str">
        <f t="shared" si="85"/>
        <v>1w</v>
      </c>
      <c r="Y3294" s="164">
        <f>_xll.qlCalendarAdvance(Calendar,Y3293,X3294,"f",FALSE)</f>
        <v>62198</v>
      </c>
      <c r="Z3294" s="188">
        <f>_xll.qlCalendarAdvance(Calendar,Y3294,NDays&amp;"D")</f>
        <v>62200</v>
      </c>
      <c r="AA3294" s="163">
        <v>7.6813260026277362E-3</v>
      </c>
      <c r="AB3294" s="172">
        <v>7.6423633198619001E-3</v>
      </c>
    </row>
    <row r="3295" spans="24:28" x14ac:dyDescent="0.2">
      <c r="X3295" s="176" t="str">
        <f t="shared" si="85"/>
        <v>1w</v>
      </c>
      <c r="Y3295" s="164">
        <f>_xll.qlCalendarAdvance(Calendar,Y3294,X3295,"f",FALSE)</f>
        <v>62205</v>
      </c>
      <c r="Z3295" s="188">
        <f>_xll.qlCalendarAdvance(Calendar,Y3295,NDays&amp;"D")</f>
        <v>62207</v>
      </c>
      <c r="AA3295" s="163">
        <v>7.6831500672049332E-3</v>
      </c>
      <c r="AB3295" s="172">
        <v>7.6442771352880357E-3</v>
      </c>
    </row>
    <row r="3296" spans="24:28" x14ac:dyDescent="0.2">
      <c r="X3296" s="176" t="str">
        <f t="shared" si="85"/>
        <v>1w</v>
      </c>
      <c r="Y3296" s="164">
        <f>_xll.qlCalendarAdvance(Calendar,Y3295,X3296,"f",FALSE)</f>
        <v>62212</v>
      </c>
      <c r="Z3296" s="188">
        <f>_xll.qlCalendarAdvance(Calendar,Y3296,NDays&amp;"D")</f>
        <v>62215</v>
      </c>
      <c r="AA3296" s="163">
        <v>7.6856434951805552E-3</v>
      </c>
      <c r="AB3296" s="172">
        <v>7.6468891868763933E-3</v>
      </c>
    </row>
    <row r="3297" spans="24:28" x14ac:dyDescent="0.2">
      <c r="X3297" s="176" t="str">
        <f t="shared" si="85"/>
        <v>1w</v>
      </c>
      <c r="Y3297" s="164">
        <f>_xll.qlCalendarAdvance(Calendar,Y3296,X3297,"f",FALSE)</f>
        <v>62219</v>
      </c>
      <c r="Z3297" s="188">
        <f>_xll.qlCalendarAdvance(Calendar,Y3297,NDays&amp;"D")</f>
        <v>62221</v>
      </c>
      <c r="AA3297" s="163">
        <v>7.6874013360347477E-3</v>
      </c>
      <c r="AB3297" s="172">
        <v>7.6480824258506885E-3</v>
      </c>
    </row>
    <row r="3298" spans="24:28" x14ac:dyDescent="0.2">
      <c r="X3298" s="176" t="str">
        <f t="shared" si="85"/>
        <v>1w</v>
      </c>
      <c r="Y3298" s="164">
        <f>_xll.qlCalendarAdvance(Calendar,Y3297,X3298,"f",FALSE)</f>
        <v>62226</v>
      </c>
      <c r="Z3298" s="188">
        <f>_xll.qlCalendarAdvance(Calendar,Y3298,NDays&amp;"D")</f>
        <v>62228</v>
      </c>
      <c r="AA3298" s="163">
        <v>7.6892014920632908E-3</v>
      </c>
      <c r="AB3298" s="172">
        <v>7.6499739010671419E-3</v>
      </c>
    </row>
    <row r="3299" spans="24:28" x14ac:dyDescent="0.2">
      <c r="X3299" s="176" t="str">
        <f t="shared" si="85"/>
        <v>1w</v>
      </c>
      <c r="Y3299" s="164">
        <f>_xll.qlCalendarAdvance(Calendar,Y3298,X3299,"f",FALSE)</f>
        <v>62233</v>
      </c>
      <c r="Z3299" s="188">
        <f>_xll.qlCalendarAdvance(Calendar,Y3299,NDays&amp;"D")</f>
        <v>62235</v>
      </c>
      <c r="AA3299" s="163">
        <v>7.6909941735740549E-3</v>
      </c>
      <c r="AB3299" s="172">
        <v>7.6518579295203892E-3</v>
      </c>
    </row>
    <row r="3300" spans="24:28" x14ac:dyDescent="0.2">
      <c r="X3300" s="176" t="str">
        <f t="shared" si="85"/>
        <v>1w</v>
      </c>
      <c r="Y3300" s="164">
        <f>_xll.qlCalendarAdvance(Calendar,Y3299,X3300,"f",FALSE)</f>
        <v>62240</v>
      </c>
      <c r="Z3300" s="188">
        <f>_xll.qlCalendarAdvance(Calendar,Y3300,NDays&amp;"D")</f>
        <v>62242</v>
      </c>
      <c r="AA3300" s="163">
        <v>7.6921582796790353E-3</v>
      </c>
      <c r="AB3300" s="172">
        <v>7.6537345112104305E-3</v>
      </c>
    </row>
    <row r="3301" spans="24:28" x14ac:dyDescent="0.2">
      <c r="X3301" s="176" t="str">
        <f t="shared" si="85"/>
        <v>1w</v>
      </c>
      <c r="Y3301" s="164">
        <f>_xll.qlCalendarAdvance(Calendar,Y3300,X3301,"f",FALSE)</f>
        <v>62247</v>
      </c>
      <c r="Z3301" s="188">
        <f>_xll.qlCalendarAdvance(Calendar,Y3301,NDays&amp;"D")</f>
        <v>62249</v>
      </c>
      <c r="AA3301" s="163">
        <v>7.6939374999487296E-3</v>
      </c>
      <c r="AB3301" s="172">
        <v>7.6556036462971377E-3</v>
      </c>
    </row>
    <row r="3302" spans="24:28" x14ac:dyDescent="0.2">
      <c r="X3302" s="176" t="str">
        <f t="shared" si="85"/>
        <v>1w</v>
      </c>
      <c r="Y3302" s="164">
        <f>_xll.qlCalendarAdvance(Calendar,Y3301,X3302,"f",FALSE)</f>
        <v>62254</v>
      </c>
      <c r="Z3302" s="188">
        <f>_xll.qlCalendarAdvance(Calendar,Y3302,NDays&amp;"D")</f>
        <v>62256</v>
      </c>
      <c r="AA3302" s="163">
        <v>7.695709246095246E-3</v>
      </c>
      <c r="AB3302" s="172">
        <v>7.6574653345407029E-3</v>
      </c>
    </row>
    <row r="3303" spans="24:28" x14ac:dyDescent="0.2">
      <c r="X3303" s="176" t="str">
        <f t="shared" si="85"/>
        <v>1w</v>
      </c>
      <c r="Y3303" s="164">
        <f>_xll.qlCalendarAdvance(Calendar,Y3302,X3303,"f",FALSE)</f>
        <v>62261</v>
      </c>
      <c r="Z3303" s="188">
        <f>_xll.qlCalendarAdvance(Calendar,Y3303,NDays&amp;"D")</f>
        <v>62263</v>
      </c>
      <c r="AA3303" s="163">
        <v>7.6974735180989282E-3</v>
      </c>
      <c r="AB3303" s="172">
        <v>7.6593195758611898E-3</v>
      </c>
    </row>
    <row r="3304" spans="24:28" x14ac:dyDescent="0.2">
      <c r="X3304" s="176" t="str">
        <f t="shared" si="85"/>
        <v>1w</v>
      </c>
      <c r="Y3304" s="164">
        <f>_xll.qlCalendarAdvance(Calendar,Y3303,X3304,"f",FALSE)</f>
        <v>62268</v>
      </c>
      <c r="Z3304" s="188">
        <f>_xll.qlCalendarAdvance(Calendar,Y3304,NDays&amp;"D")</f>
        <v>62270</v>
      </c>
      <c r="AA3304" s="163">
        <v>7.6998454626495032E-3</v>
      </c>
      <c r="AB3304" s="172">
        <v>7.6611663705783428E-3</v>
      </c>
    </row>
    <row r="3305" spans="24:28" x14ac:dyDescent="0.2">
      <c r="X3305" s="176" t="str">
        <f t="shared" si="85"/>
        <v>1w</v>
      </c>
      <c r="Y3305" s="164">
        <f>_xll.qlCalendarAdvance(Calendar,Y3304,X3305,"f",FALSE)</f>
        <v>62275</v>
      </c>
      <c r="Z3305" s="188">
        <f>_xll.qlCalendarAdvance(Calendar,Y3305,NDays&amp;"D")</f>
        <v>62277</v>
      </c>
      <c r="AA3305" s="163">
        <v>7.7015932966255493E-3</v>
      </c>
      <c r="AB3305" s="172">
        <v>7.6630057186921618E-3</v>
      </c>
    </row>
    <row r="3306" spans="24:28" x14ac:dyDescent="0.2">
      <c r="X3306" s="176" t="str">
        <f t="shared" si="85"/>
        <v>1w</v>
      </c>
      <c r="Y3306" s="164">
        <f>_xll.qlCalendarAdvance(Calendar,Y3305,X3306,"f",FALSE)</f>
        <v>62282</v>
      </c>
      <c r="Z3306" s="188">
        <f>_xll.qlCalendarAdvance(Calendar,Y3306,NDays&amp;"D")</f>
        <v>62284</v>
      </c>
      <c r="AA3306" s="163">
        <v>7.7033336559411345E-3</v>
      </c>
      <c r="AB3306" s="172">
        <v>7.6648376199628387E-3</v>
      </c>
    </row>
    <row r="3307" spans="24:28" x14ac:dyDescent="0.2">
      <c r="X3307" s="176" t="str">
        <f t="shared" si="85"/>
        <v>1w</v>
      </c>
      <c r="Y3307" s="164">
        <f>_xll.qlCalendarAdvance(Calendar,Y3306,X3307,"f",FALSE)</f>
        <v>62289</v>
      </c>
      <c r="Z3307" s="188">
        <f>_xll.qlCalendarAdvance(Calendar,Y3307,NDays&amp;"D")</f>
        <v>62291</v>
      </c>
      <c r="AA3307" s="163">
        <v>7.70506654057692E-3</v>
      </c>
      <c r="AB3307" s="172">
        <v>7.6666620744703096E-3</v>
      </c>
    </row>
    <row r="3308" spans="24:28" x14ac:dyDescent="0.2">
      <c r="X3308" s="176" t="str">
        <f t="shared" si="85"/>
        <v>1w</v>
      </c>
      <c r="Y3308" s="164">
        <f>_xll.qlCalendarAdvance(Calendar,Y3307,X3308,"f",FALSE)</f>
        <v>62296</v>
      </c>
      <c r="Z3308" s="188">
        <f>_xll.qlCalendarAdvance(Calendar,Y3308,NDays&amp;"D")</f>
        <v>62298</v>
      </c>
      <c r="AA3308" s="163">
        <v>7.7067919505118473E-3</v>
      </c>
      <c r="AB3308" s="172">
        <v>7.6684790821346382E-3</v>
      </c>
    </row>
    <row r="3309" spans="24:28" x14ac:dyDescent="0.2">
      <c r="X3309" s="176" t="str">
        <f t="shared" si="85"/>
        <v>1w</v>
      </c>
      <c r="Y3309" s="164">
        <f>_xll.qlCalendarAdvance(Calendar,Y3308,X3309,"f",FALSE)</f>
        <v>62303</v>
      </c>
      <c r="Z3309" s="188">
        <f>_xll.qlCalendarAdvance(Calendar,Y3309,NDays&amp;"D")</f>
        <v>62305</v>
      </c>
      <c r="AA3309" s="163">
        <v>7.7079021920093728E-3</v>
      </c>
      <c r="AB3309" s="172">
        <v>7.670288643275569E-3</v>
      </c>
    </row>
    <row r="3310" spans="24:28" x14ac:dyDescent="0.2">
      <c r="X3310" s="176" t="str">
        <f t="shared" si="85"/>
        <v>1w</v>
      </c>
      <c r="Y3310" s="164">
        <f>_xll.qlCalendarAdvance(Calendar,Y3309,X3310,"f",FALSE)</f>
        <v>62310</v>
      </c>
      <c r="Z3310" s="188">
        <f>_xll.qlCalendarAdvance(Calendar,Y3310,NDays&amp;"D")</f>
        <v>62312</v>
      </c>
      <c r="AA3310" s="163">
        <v>7.7102203462013396E-3</v>
      </c>
      <c r="AB3310" s="172">
        <v>7.6720907574934216E-3</v>
      </c>
    </row>
    <row r="3311" spans="24:28" x14ac:dyDescent="0.2">
      <c r="X3311" s="176" t="str">
        <f t="shared" si="85"/>
        <v>1w</v>
      </c>
      <c r="Y3311" s="164">
        <f>_xll.qlCalendarAdvance(Calendar,Y3310,X3311,"f",FALSE)</f>
        <v>62317</v>
      </c>
      <c r="Z3311" s="188">
        <f>_xll.qlCalendarAdvance(Calendar,Y3311,NDays&amp;"D")</f>
        <v>62319</v>
      </c>
      <c r="AA3311" s="163">
        <v>7.7119233319163667E-3</v>
      </c>
      <c r="AB3311" s="172">
        <v>7.6738854251079403E-3</v>
      </c>
    </row>
    <row r="3312" spans="24:28" x14ac:dyDescent="0.2">
      <c r="X3312" s="176" t="str">
        <f t="shared" si="85"/>
        <v>1w</v>
      </c>
      <c r="Y3312" s="164">
        <f>_xll.qlCalendarAdvance(Calendar,Y3311,X3312,"f",FALSE)</f>
        <v>62324</v>
      </c>
      <c r="Z3312" s="188">
        <f>_xll.qlCalendarAdvance(Calendar,Y3312,NDays&amp;"D")</f>
        <v>62326</v>
      </c>
      <c r="AA3312" s="163">
        <v>7.7136188428518892E-3</v>
      </c>
      <c r="AB3312" s="172">
        <v>7.6756726457993807E-3</v>
      </c>
    </row>
    <row r="3313" spans="24:28" x14ac:dyDescent="0.2">
      <c r="X3313" s="176" t="str">
        <f t="shared" si="85"/>
        <v>1w</v>
      </c>
      <c r="Y3313" s="164">
        <f>_xll.qlCalendarAdvance(Calendar,Y3312,X3313,"f",FALSE)</f>
        <v>62331</v>
      </c>
      <c r="Z3313" s="188">
        <f>_xll.qlCalendarAdvance(Calendar,Y3313,NDays&amp;"D")</f>
        <v>62333</v>
      </c>
      <c r="AA3313" s="163">
        <v>7.7147051559235385E-3</v>
      </c>
      <c r="AB3313" s="172">
        <v>7.6774524198874872E-3</v>
      </c>
    </row>
    <row r="3314" spans="24:28" x14ac:dyDescent="0.2">
      <c r="X3314" s="176" t="str">
        <f t="shared" si="85"/>
        <v>1w</v>
      </c>
      <c r="Y3314" s="164">
        <f>_xll.qlCalendarAdvance(Calendar,Y3313,X3314,"f",FALSE)</f>
        <v>62338</v>
      </c>
      <c r="Z3314" s="188">
        <f>_xll.qlCalendarAdvance(Calendar,Y3314,NDays&amp;"D")</f>
        <v>62340</v>
      </c>
      <c r="AA3314" s="163">
        <v>7.715986835008834E-3</v>
      </c>
      <c r="AB3314" s="172">
        <v>7.6792247471324515E-3</v>
      </c>
    </row>
    <row r="3315" spans="24:28" x14ac:dyDescent="0.2">
      <c r="X3315" s="176" t="str">
        <f t="shared" si="85"/>
        <v>1w</v>
      </c>
      <c r="Y3315" s="164">
        <f>_xll.qlCalendarAdvance(Calendar,Y3314,X3315,"f",FALSE)</f>
        <v>62345</v>
      </c>
      <c r="Z3315" s="188">
        <f>_xll.qlCalendarAdvance(Calendar,Y3315,NDays&amp;"D")</f>
        <v>62347</v>
      </c>
      <c r="AA3315" s="163">
        <v>7.7176624118388262E-3</v>
      </c>
      <c r="AB3315" s="172">
        <v>7.6809896276941458E-3</v>
      </c>
    </row>
    <row r="3316" spans="24:28" x14ac:dyDescent="0.2">
      <c r="X3316" s="176" t="str">
        <f t="shared" si="85"/>
        <v>1w</v>
      </c>
      <c r="Y3316" s="164">
        <f>_xll.qlCalendarAdvance(Calendar,Y3315,X3316,"f",FALSE)</f>
        <v>62352</v>
      </c>
      <c r="Z3316" s="188">
        <f>_xll.qlCalendarAdvance(Calendar,Y3316,NDays&amp;"D")</f>
        <v>62354</v>
      </c>
      <c r="AA3316" s="163">
        <v>7.7193305145794042E-3</v>
      </c>
      <c r="AB3316" s="172">
        <v>7.6827470614926341E-3</v>
      </c>
    </row>
    <row r="3317" spans="24:28" x14ac:dyDescent="0.2">
      <c r="X3317" s="176" t="str">
        <f t="shared" si="85"/>
        <v>1w</v>
      </c>
      <c r="Y3317" s="164">
        <f>_xll.qlCalendarAdvance(Calendar,Y3316,X3317,"f",FALSE)</f>
        <v>62359</v>
      </c>
      <c r="Z3317" s="188">
        <f>_xll.qlCalendarAdvance(Calendar,Y3317,NDays&amp;"D")</f>
        <v>62361</v>
      </c>
      <c r="AA3317" s="163">
        <v>7.720991143211578E-3</v>
      </c>
      <c r="AB3317" s="172">
        <v>7.6844970486078523E-3</v>
      </c>
    </row>
    <row r="3318" spans="24:28" x14ac:dyDescent="0.2">
      <c r="X3318" s="176" t="str">
        <f t="shared" si="85"/>
        <v>1w</v>
      </c>
      <c r="Y3318" s="164">
        <f>_xll.qlCalendarAdvance(Calendar,Y3317,X3318,"f",FALSE)</f>
        <v>62366</v>
      </c>
      <c r="Z3318" s="188">
        <f>_xll.qlCalendarAdvance(Calendar,Y3318,NDays&amp;"D")</f>
        <v>62368</v>
      </c>
      <c r="AA3318" s="163">
        <v>7.7228425150257986E-3</v>
      </c>
      <c r="AB3318" s="172">
        <v>7.6862395888799284E-3</v>
      </c>
    </row>
    <row r="3319" spans="24:28" x14ac:dyDescent="0.2">
      <c r="X3319" s="176" t="str">
        <f t="shared" si="85"/>
        <v>1w</v>
      </c>
      <c r="Y3319" s="164">
        <f>_xll.qlCalendarAdvance(Calendar,Y3318,X3319,"f",FALSE)</f>
        <v>62373</v>
      </c>
      <c r="Z3319" s="188">
        <f>_xll.qlCalendarAdvance(Calendar,Y3319,NDays&amp;"D")</f>
        <v>62375</v>
      </c>
      <c r="AA3319" s="163">
        <v>7.7244876967432494E-3</v>
      </c>
      <c r="AB3319" s="172">
        <v>7.6879746824687345E-3</v>
      </c>
    </row>
    <row r="3320" spans="24:28" x14ac:dyDescent="0.2">
      <c r="X3320" s="176" t="str">
        <f t="shared" si="85"/>
        <v>1w</v>
      </c>
      <c r="Y3320" s="164">
        <f>_xll.qlCalendarAdvance(Calendar,Y3319,X3320,"f",FALSE)</f>
        <v>62380</v>
      </c>
      <c r="Z3320" s="188">
        <f>_xll.qlCalendarAdvance(Calendar,Y3320,NDays&amp;"D")</f>
        <v>62382</v>
      </c>
      <c r="AA3320" s="163">
        <v>7.7261254041432722E-3</v>
      </c>
      <c r="AB3320" s="172">
        <v>7.6897023292943345E-3</v>
      </c>
    </row>
    <row r="3321" spans="24:28" x14ac:dyDescent="0.2">
      <c r="X3321" s="176" t="str">
        <f t="shared" si="85"/>
        <v>1w</v>
      </c>
      <c r="Y3321" s="164">
        <f>_xll.qlCalendarAdvance(Calendar,Y3320,X3321,"f",FALSE)</f>
        <v>62387</v>
      </c>
      <c r="Z3321" s="188">
        <f>_xll.qlCalendarAdvance(Calendar,Y3321,NDays&amp;"D")</f>
        <v>62389</v>
      </c>
      <c r="AA3321" s="163">
        <v>7.7277556372056626E-3</v>
      </c>
      <c r="AB3321" s="172">
        <v>7.6914225292767924E-3</v>
      </c>
    </row>
    <row r="3322" spans="24:28" x14ac:dyDescent="0.2">
      <c r="X3322" s="176" t="str">
        <f t="shared" si="85"/>
        <v>1w</v>
      </c>
      <c r="Y3322" s="164">
        <f>_xll.qlCalendarAdvance(Calendar,Y3321,X3322,"f",FALSE)</f>
        <v>62394</v>
      </c>
      <c r="Z3322" s="188">
        <f>_xll.qlCalendarAdvance(Calendar,Y3322,NDays&amp;"D")</f>
        <v>62396</v>
      </c>
      <c r="AA3322" s="163">
        <v>7.7293783959146087E-3</v>
      </c>
      <c r="AB3322" s="172">
        <v>7.6931352827358523E-3</v>
      </c>
    </row>
    <row r="3323" spans="24:28" x14ac:dyDescent="0.2">
      <c r="X3323" s="176" t="str">
        <f t="shared" si="85"/>
        <v>1w</v>
      </c>
      <c r="Y3323" s="164">
        <f>_xll.qlCalendarAdvance(Calendar,Y3322,X3323,"f",FALSE)</f>
        <v>62401</v>
      </c>
      <c r="Z3323" s="188">
        <f>_xll.qlCalendarAdvance(Calendar,Y3323,NDays&amp;"D")</f>
        <v>62403</v>
      </c>
      <c r="AA3323" s="163">
        <v>7.7307979576942704E-3</v>
      </c>
      <c r="AB3323" s="172">
        <v>7.6948405892718341E-3</v>
      </c>
    </row>
    <row r="3324" spans="24:28" x14ac:dyDescent="0.2">
      <c r="X3324" s="176" t="str">
        <f t="shared" si="85"/>
        <v>1w</v>
      </c>
      <c r="Y3324" s="164">
        <f>_xll.qlCalendarAdvance(Calendar,Y3323,X3324,"f",FALSE)</f>
        <v>62408</v>
      </c>
      <c r="Z3324" s="188">
        <f>_xll.qlCalendarAdvance(Calendar,Y3324,NDays&amp;"D")</f>
        <v>62410</v>
      </c>
      <c r="AA3324" s="163">
        <v>7.7324062670513444E-3</v>
      </c>
      <c r="AB3324" s="172">
        <v>7.6965384490446098E-3</v>
      </c>
    </row>
    <row r="3325" spans="24:28" x14ac:dyDescent="0.2">
      <c r="X3325" s="176" t="str">
        <f t="shared" si="85"/>
        <v>1w</v>
      </c>
      <c r="Y3325" s="164">
        <f>_xll.qlCalendarAdvance(Calendar,Y3324,X3325,"f",FALSE)</f>
        <v>62415</v>
      </c>
      <c r="Z3325" s="188">
        <f>_xll.qlCalendarAdvance(Calendar,Y3325,NDays&amp;"D")</f>
        <v>62417</v>
      </c>
      <c r="AA3325" s="163">
        <v>7.7340071021538333E-3</v>
      </c>
      <c r="AB3325" s="172">
        <v>7.6982288622140516E-3</v>
      </c>
    </row>
    <row r="3326" spans="24:28" x14ac:dyDescent="0.2">
      <c r="X3326" s="176" t="str">
        <f t="shared" si="85"/>
        <v>1w</v>
      </c>
      <c r="Y3326" s="164">
        <f>_xll.qlCalendarAdvance(Calendar,Y3325,X3326,"f",FALSE)</f>
        <v>62422</v>
      </c>
      <c r="Z3326" s="188">
        <f>_xll.qlCalendarAdvance(Calendar,Y3326,NDays&amp;"D")</f>
        <v>62424</v>
      </c>
      <c r="AA3326" s="163">
        <v>7.7356004629831878E-3</v>
      </c>
      <c r="AB3326" s="172">
        <v>7.6999118286202872E-3</v>
      </c>
    </row>
    <row r="3327" spans="24:28" x14ac:dyDescent="0.2">
      <c r="X3327" s="176" t="str">
        <f t="shared" si="85"/>
        <v>1w</v>
      </c>
      <c r="Y3327" s="164">
        <f>_xll.qlCalendarAdvance(Calendar,Y3326,X3327,"f",FALSE)</f>
        <v>62429</v>
      </c>
      <c r="Z3327" s="188">
        <f>_xll.qlCalendarAdvance(Calendar,Y3327,NDays&amp;"D")</f>
        <v>62431</v>
      </c>
      <c r="AA3327" s="163">
        <v>7.7373800734988687E-3</v>
      </c>
      <c r="AB3327" s="172">
        <v>7.7015873481833808E-3</v>
      </c>
    </row>
    <row r="3328" spans="24:28" x14ac:dyDescent="0.2">
      <c r="X3328" s="176" t="str">
        <f t="shared" si="85"/>
        <v>1w</v>
      </c>
      <c r="Y3328" s="164">
        <f>_xll.qlCalendarAdvance(Calendar,Y3327,X3328,"f",FALSE)</f>
        <v>62436</v>
      </c>
      <c r="Z3328" s="188">
        <f>_xll.qlCalendarAdvance(Calendar,Y3328,NDays&amp;"D")</f>
        <v>62438</v>
      </c>
      <c r="AA3328" s="163">
        <v>7.7389579856975742E-3</v>
      </c>
      <c r="AB3328" s="172">
        <v>7.7032554211431403E-3</v>
      </c>
    </row>
    <row r="3329" spans="24:28" x14ac:dyDescent="0.2">
      <c r="X3329" s="176" t="str">
        <f t="shared" si="85"/>
        <v>1w</v>
      </c>
      <c r="Y3329" s="164">
        <f>_xll.qlCalendarAdvance(Calendar,Y3328,X3329,"f",FALSE)</f>
        <v>62443</v>
      </c>
      <c r="Z3329" s="188">
        <f>_xll.qlCalendarAdvance(Calendar,Y3329,NDays&amp;"D")</f>
        <v>62445</v>
      </c>
      <c r="AA3329" s="163">
        <v>7.7405284234145855E-3</v>
      </c>
      <c r="AB3329" s="172">
        <v>7.7049160471798217E-3</v>
      </c>
    </row>
    <row r="3330" spans="24:28" x14ac:dyDescent="0.2">
      <c r="X3330" s="176" t="str">
        <f t="shared" si="85"/>
        <v>1w</v>
      </c>
      <c r="Y3330" s="164">
        <f>_xll.qlCalendarAdvance(Calendar,Y3329,X3330,"f",FALSE)</f>
        <v>62450</v>
      </c>
      <c r="Z3330" s="188">
        <f>_xll.qlCalendarAdvance(Calendar,Y3330,NDays&amp;"D")</f>
        <v>62456</v>
      </c>
      <c r="AA3330" s="163">
        <v>7.7429811525675518E-3</v>
      </c>
      <c r="AB3330" s="172">
        <v>7.7075105569868185E-3</v>
      </c>
    </row>
    <row r="3331" spans="24:28" x14ac:dyDescent="0.2">
      <c r="X3331" s="176" t="str">
        <f t="shared" si="85"/>
        <v>1w</v>
      </c>
      <c r="Y3331" s="164">
        <f>_xll.qlCalendarAdvance(Calendar,Y3330,X3331,"f",FALSE)</f>
        <v>62457</v>
      </c>
      <c r="Z3331" s="188">
        <f>_xll.qlCalendarAdvance(Calendar,Y3331,NDays&amp;"D")</f>
        <v>62460</v>
      </c>
      <c r="AA3331" s="163">
        <v>7.743676826429494E-3</v>
      </c>
      <c r="AB3331" s="172">
        <v>7.7088488173426839E-3</v>
      </c>
    </row>
    <row r="3332" spans="24:28" x14ac:dyDescent="0.2">
      <c r="X3332" s="176" t="str">
        <f t="shared" si="85"/>
        <v>1w</v>
      </c>
      <c r="Y3332" s="164">
        <f>_xll.qlCalendarAdvance(Calendar,Y3331,X3332,"f",FALSE)</f>
        <v>62464</v>
      </c>
      <c r="Z3332" s="188">
        <f>_xll.qlCalendarAdvance(Calendar,Y3332,NDays&amp;"D")</f>
        <v>62466</v>
      </c>
      <c r="AA3332" s="163">
        <v>7.7450036672289356E-3</v>
      </c>
      <c r="AB3332" s="172">
        <v>7.7098532450303736E-3</v>
      </c>
    </row>
    <row r="3333" spans="24:28" x14ac:dyDescent="0.2">
      <c r="X3333" s="176" t="str">
        <f t="shared" si="85"/>
        <v>1w</v>
      </c>
      <c r="Y3333" s="164">
        <f>_xll.qlCalendarAdvance(Calendar,Y3332,X3333,"f",FALSE)</f>
        <v>62471</v>
      </c>
      <c r="Z3333" s="188">
        <f>_xll.qlCalendarAdvance(Calendar,Y3333,NDays&amp;"D")</f>
        <v>62473</v>
      </c>
      <c r="AA3333" s="163">
        <v>7.7465447076508365E-3</v>
      </c>
      <c r="AB3333" s="172">
        <v>7.7114840841741028E-3</v>
      </c>
    </row>
    <row r="3334" spans="24:28" x14ac:dyDescent="0.2">
      <c r="X3334" s="176" t="str">
        <f t="shared" si="85"/>
        <v>1w</v>
      </c>
      <c r="Y3334" s="164">
        <f>_xll.qlCalendarAdvance(Calendar,Y3333,X3334,"f",FALSE)</f>
        <v>62478</v>
      </c>
      <c r="Z3334" s="188">
        <f>_xll.qlCalendarAdvance(Calendar,Y3334,NDays&amp;"D")</f>
        <v>62480</v>
      </c>
      <c r="AA3334" s="163">
        <v>7.7480782736587209E-3</v>
      </c>
      <c r="AB3334" s="172">
        <v>7.7131074764746899E-3</v>
      </c>
    </row>
    <row r="3335" spans="24:28" x14ac:dyDescent="0.2">
      <c r="X3335" s="176" t="str">
        <f t="shared" si="85"/>
        <v>1w</v>
      </c>
      <c r="Y3335" s="164">
        <f>_xll.qlCalendarAdvance(Calendar,Y3334,X3335,"f",FALSE)</f>
        <v>62485</v>
      </c>
      <c r="Z3335" s="188">
        <f>_xll.qlCalendarAdvance(Calendar,Y3335,NDays&amp;"D")</f>
        <v>62487</v>
      </c>
      <c r="AA3335" s="163">
        <v>7.749604365235808E-3</v>
      </c>
      <c r="AB3335" s="172">
        <v>7.714723422171943E-3</v>
      </c>
    </row>
    <row r="3336" spans="24:28" x14ac:dyDescent="0.2">
      <c r="X3336" s="176" t="str">
        <f t="shared" si="85"/>
        <v>1w</v>
      </c>
      <c r="Y3336" s="164">
        <f>_xll.qlCalendarAdvance(Calendar,Y3335,X3336,"f",FALSE)</f>
        <v>62492</v>
      </c>
      <c r="Z3336" s="188">
        <f>_xll.qlCalendarAdvance(Calendar,Y3336,NDays&amp;"D")</f>
        <v>62494</v>
      </c>
      <c r="AA3336" s="163">
        <v>7.7511229823644303E-3</v>
      </c>
      <c r="AB3336" s="172">
        <v>7.7163319210260539E-3</v>
      </c>
    </row>
    <row r="3337" spans="24:28" x14ac:dyDescent="0.2">
      <c r="X3337" s="176" t="str">
        <f t="shared" si="85"/>
        <v>1w</v>
      </c>
      <c r="Y3337" s="164">
        <f>_xll.qlCalendarAdvance(Calendar,Y3336,X3337,"f",FALSE)</f>
        <v>62499</v>
      </c>
      <c r="Z3337" s="188">
        <f>_xll.qlCalendarAdvance(Calendar,Y3337,NDays&amp;"D")</f>
        <v>62501</v>
      </c>
      <c r="AA3337" s="163">
        <v>7.752634125027808E-3</v>
      </c>
      <c r="AB3337" s="172">
        <v>7.7179329731169588E-3</v>
      </c>
    </row>
    <row r="3338" spans="24:28" x14ac:dyDescent="0.2">
      <c r="X3338" s="176" t="str">
        <f t="shared" si="85"/>
        <v>1w</v>
      </c>
      <c r="Y3338" s="164">
        <f>_xll.qlCalendarAdvance(Calendar,Y3337,X3338,"f",FALSE)</f>
        <v>62506</v>
      </c>
      <c r="Z3338" s="188">
        <f>_xll.qlCalendarAdvance(Calendar,Y3338,NDays&amp;"D")</f>
        <v>62508</v>
      </c>
      <c r="AA3338" s="163">
        <v>7.7541377932087161E-3</v>
      </c>
      <c r="AB3338" s="172">
        <v>7.7195265786045297E-3</v>
      </c>
    </row>
    <row r="3339" spans="24:28" x14ac:dyDescent="0.2">
      <c r="X3339" s="176" t="str">
        <f t="shared" si="85"/>
        <v>1w</v>
      </c>
      <c r="Y3339" s="164">
        <f>_xll.qlCalendarAdvance(Calendar,Y3338,X3339,"f",FALSE)</f>
        <v>62513</v>
      </c>
      <c r="Z3339" s="188">
        <f>_xll.qlCalendarAdvance(Calendar,Y3339,NDays&amp;"D")</f>
        <v>62515</v>
      </c>
      <c r="AA3339" s="163">
        <v>7.7556339868908144E-3</v>
      </c>
      <c r="AB3339" s="172">
        <v>7.7211127372489585E-3</v>
      </c>
    </row>
    <row r="3340" spans="24:28" x14ac:dyDescent="0.2">
      <c r="X3340" s="176" t="str">
        <f t="shared" si="85"/>
        <v>1w</v>
      </c>
      <c r="Y3340" s="164">
        <f>_xll.qlCalendarAdvance(Calendar,Y3339,X3340,"f",FALSE)</f>
        <v>62520</v>
      </c>
      <c r="Z3340" s="188">
        <f>_xll.qlCalendarAdvance(Calendar,Y3340,NDays&amp;"D")</f>
        <v>62522</v>
      </c>
      <c r="AA3340" s="163">
        <v>7.7580583114815957E-3</v>
      </c>
      <c r="AB3340" s="172">
        <v>7.7226914491301812E-3</v>
      </c>
    </row>
    <row r="3341" spans="24:28" x14ac:dyDescent="0.2">
      <c r="X3341" s="176" t="str">
        <f t="shared" si="85"/>
        <v>1w</v>
      </c>
      <c r="Y3341" s="164">
        <f>_xll.qlCalendarAdvance(Calendar,Y3340,X3341,"f",FALSE)</f>
        <v>62527</v>
      </c>
      <c r="Z3341" s="188">
        <f>_xll.qlCalendarAdvance(Calendar,Y3341,NDays&amp;"D")</f>
        <v>62529</v>
      </c>
      <c r="AA3341" s="163">
        <v>7.759537045649828E-3</v>
      </c>
      <c r="AB3341" s="172">
        <v>7.7242627142481979E-3</v>
      </c>
    </row>
    <row r="3342" spans="24:28" x14ac:dyDescent="0.2">
      <c r="X3342" s="176" t="str">
        <f t="shared" si="85"/>
        <v>1w</v>
      </c>
      <c r="Y3342" s="164">
        <f>_xll.qlCalendarAdvance(Calendar,Y3341,X3342,"f",FALSE)</f>
        <v>62534</v>
      </c>
      <c r="Z3342" s="188">
        <f>_xll.qlCalendarAdvance(Calendar,Y3342,NDays&amp;"D")</f>
        <v>62536</v>
      </c>
      <c r="AA3342" s="163">
        <v>7.7610083044880283E-3</v>
      </c>
      <c r="AB3342" s="172">
        <v>7.7258265326829445E-3</v>
      </c>
    </row>
    <row r="3343" spans="24:28" x14ac:dyDescent="0.2">
      <c r="X3343" s="176" t="str">
        <f t="shared" si="85"/>
        <v>1w</v>
      </c>
      <c r="Y3343" s="164">
        <f>_xll.qlCalendarAdvance(Calendar,Y3342,X3343,"f",FALSE)</f>
        <v>62541</v>
      </c>
      <c r="Z3343" s="188">
        <f>_xll.qlCalendarAdvance(Calendar,Y3343,NDays&amp;"D")</f>
        <v>62543</v>
      </c>
      <c r="AA3343" s="163">
        <v>7.7624720879811548E-3</v>
      </c>
      <c r="AB3343" s="172">
        <v>7.727382904354485E-3</v>
      </c>
    </row>
    <row r="3344" spans="24:28" x14ac:dyDescent="0.2">
      <c r="X3344" s="176" t="str">
        <f t="shared" si="85"/>
        <v>1w</v>
      </c>
      <c r="Y3344" s="164">
        <f>_xll.qlCalendarAdvance(Calendar,Y3343,X3344,"f",FALSE)</f>
        <v>62548</v>
      </c>
      <c r="Z3344" s="188">
        <f>_xll.qlCalendarAdvance(Calendar,Y3344,NDays&amp;"D")</f>
        <v>62550</v>
      </c>
      <c r="AA3344" s="163">
        <v>7.7633731966292039E-3</v>
      </c>
      <c r="AB3344" s="172">
        <v>7.7289318292628195E-3</v>
      </c>
    </row>
    <row r="3345" spans="24:28" x14ac:dyDescent="0.2">
      <c r="X3345" s="176" t="str">
        <f t="shared" si="85"/>
        <v>1w</v>
      </c>
      <c r="Y3345" s="164">
        <f>_xll.qlCalendarAdvance(Calendar,Y3344,X3345,"f",FALSE)</f>
        <v>62555</v>
      </c>
      <c r="Z3345" s="188">
        <f>_xll.qlCalendarAdvance(Calendar,Y3345,NDays&amp;"D")</f>
        <v>62557</v>
      </c>
      <c r="AA3345" s="163">
        <v>7.7648235375965277E-3</v>
      </c>
      <c r="AB3345" s="172">
        <v>7.7304733074079479E-3</v>
      </c>
    </row>
    <row r="3346" spans="24:28" x14ac:dyDescent="0.2">
      <c r="X3346" s="176" t="str">
        <f t="shared" si="85"/>
        <v>1w</v>
      </c>
      <c r="Y3346" s="164">
        <f>_xll.qlCalendarAdvance(Calendar,Y3345,X3346,"f",FALSE)</f>
        <v>62562</v>
      </c>
      <c r="Z3346" s="188">
        <f>_xll.qlCalendarAdvance(Calendar,Y3346,NDays&amp;"D")</f>
        <v>62564</v>
      </c>
      <c r="AA3346" s="163">
        <v>7.7662664036360707E-3</v>
      </c>
      <c r="AB3346" s="172">
        <v>7.7327762914354281E-3</v>
      </c>
    </row>
    <row r="3347" spans="24:28" x14ac:dyDescent="0.2">
      <c r="X3347" s="176" t="str">
        <f t="shared" si="85"/>
        <v>1w</v>
      </c>
      <c r="Y3347" s="164">
        <f>_xll.qlCalendarAdvance(Calendar,Y3346,X3347,"f",FALSE)</f>
        <v>62569</v>
      </c>
      <c r="Z3347" s="188">
        <f>_xll.qlCalendarAdvance(Calendar,Y3347,NDays&amp;"D")</f>
        <v>62571</v>
      </c>
      <c r="AA3347" s="163">
        <v>7.7677017947325455E-3</v>
      </c>
      <c r="AB3347" s="172">
        <v>7.7335339234885225E-3</v>
      </c>
    </row>
    <row r="3348" spans="24:28" x14ac:dyDescent="0.2">
      <c r="X3348" s="176" t="str">
        <f t="shared" si="85"/>
        <v>1w</v>
      </c>
      <c r="Y3348" s="164">
        <f>_xll.qlCalendarAdvance(Calendar,Y3347,X3348,"f",FALSE)</f>
        <v>62576</v>
      </c>
      <c r="Z3348" s="188">
        <f>_xll.qlCalendarAdvance(Calendar,Y3348,NDays&amp;"D")</f>
        <v>62578</v>
      </c>
      <c r="AA3348" s="163">
        <v>7.7691297108676049E-3</v>
      </c>
      <c r="AB3348" s="172">
        <v>7.7356268476824752E-3</v>
      </c>
    </row>
    <row r="3349" spans="24:28" x14ac:dyDescent="0.2">
      <c r="X3349" s="176" t="str">
        <f t="shared" ref="X3349:X3412" si="86">X3348</f>
        <v>1w</v>
      </c>
      <c r="Y3349" s="164">
        <f>_xll.qlCalendarAdvance(Calendar,Y3348,X3349,"f",FALSE)</f>
        <v>62583</v>
      </c>
      <c r="Z3349" s="188">
        <f>_xll.qlCalendarAdvance(Calendar,Y3349,NDays&amp;"D")</f>
        <v>62585</v>
      </c>
      <c r="AA3349" s="163">
        <v>7.7710978057315425E-3</v>
      </c>
      <c r="AB3349" s="172">
        <v>7.7365647525962089E-3</v>
      </c>
    </row>
    <row r="3350" spans="24:28" x14ac:dyDescent="0.2">
      <c r="X3350" s="176" t="str">
        <f t="shared" si="86"/>
        <v>1w</v>
      </c>
      <c r="Y3350" s="164">
        <f>_xll.qlCalendarAdvance(Calendar,Y3349,X3350,"f",FALSE)</f>
        <v>62590</v>
      </c>
      <c r="Z3350" s="188">
        <f>_xll.qlCalendarAdvance(Calendar,Y3350,NDays&amp;"D")</f>
        <v>62592</v>
      </c>
      <c r="AA3350" s="163">
        <v>7.7725092613338308E-3</v>
      </c>
      <c r="AB3350" s="172">
        <v>7.738068997005243E-3</v>
      </c>
    </row>
    <row r="3351" spans="24:28" x14ac:dyDescent="0.2">
      <c r="X3351" s="176" t="str">
        <f t="shared" si="86"/>
        <v>1w</v>
      </c>
      <c r="Y3351" s="164">
        <f>_xll.qlCalendarAdvance(Calendar,Y3350,X3351,"f",FALSE)</f>
        <v>62597</v>
      </c>
      <c r="Z3351" s="188">
        <f>_xll.qlCalendarAdvance(Calendar,Y3351,NDays&amp;"D")</f>
        <v>62599</v>
      </c>
      <c r="AA3351" s="163">
        <v>7.7739132414573892E-3</v>
      </c>
      <c r="AB3351" s="172">
        <v>7.739565794651071E-3</v>
      </c>
    </row>
    <row r="3352" spans="24:28" x14ac:dyDescent="0.2">
      <c r="X3352" s="176" t="str">
        <f t="shared" si="86"/>
        <v>1w</v>
      </c>
      <c r="Y3352" s="164">
        <f>_xll.qlCalendarAdvance(Calendar,Y3351,X3352,"f",FALSE)</f>
        <v>62604</v>
      </c>
      <c r="Z3352" s="188">
        <f>_xll.qlCalendarAdvance(Calendar,Y3352,NDays&amp;"D")</f>
        <v>62606</v>
      </c>
      <c r="AA3352" s="163">
        <v>7.7753097460863145E-3</v>
      </c>
      <c r="AB3352" s="172">
        <v>7.741055145693565E-3</v>
      </c>
    </row>
    <row r="3353" spans="24:28" x14ac:dyDescent="0.2">
      <c r="X3353" s="176" t="str">
        <f t="shared" si="86"/>
        <v>1w</v>
      </c>
      <c r="Y3353" s="164">
        <f>_xll.qlCalendarAdvance(Calendar,Y3352,X3353,"f",FALSE)</f>
        <v>62611</v>
      </c>
      <c r="Z3353" s="188">
        <f>_xll.qlCalendarAdvance(Calendar,Y3353,NDays&amp;"D")</f>
        <v>62613</v>
      </c>
      <c r="AA3353" s="163">
        <v>7.776157166578289E-3</v>
      </c>
      <c r="AB3353" s="172">
        <v>7.7425370497330448E-3</v>
      </c>
    </row>
    <row r="3354" spans="24:28" x14ac:dyDescent="0.2">
      <c r="X3354" s="176" t="str">
        <f t="shared" si="86"/>
        <v>1w</v>
      </c>
      <c r="Y3354" s="164">
        <f>_xll.qlCalendarAdvance(Calendar,Y3353,X3354,"f",FALSE)</f>
        <v>62618</v>
      </c>
      <c r="Z3354" s="188">
        <f>_xll.qlCalendarAdvance(Calendar,Y3354,NDays&amp;"D")</f>
        <v>62620</v>
      </c>
      <c r="AA3354" s="163">
        <v>7.7775402326155053E-3</v>
      </c>
      <c r="AB3354" s="172">
        <v>7.7440115071691906E-3</v>
      </c>
    </row>
    <row r="3355" spans="24:28" x14ac:dyDescent="0.2">
      <c r="X3355" s="176" t="str">
        <f t="shared" si="86"/>
        <v>1w</v>
      </c>
      <c r="Y3355" s="164">
        <f>_xll.qlCalendarAdvance(Calendar,Y3354,X3355,"f",FALSE)</f>
        <v>62625</v>
      </c>
      <c r="Z3355" s="188">
        <f>_xll.qlCalendarAdvance(Calendar,Y3355,NDays&amp;"D")</f>
        <v>62627</v>
      </c>
      <c r="AA3355" s="163">
        <v>7.7789158235803575E-3</v>
      </c>
      <c r="AB3355" s="172">
        <v>7.7454785179220664E-3</v>
      </c>
    </row>
    <row r="3356" spans="24:28" x14ac:dyDescent="0.2">
      <c r="X3356" s="176" t="str">
        <f t="shared" si="86"/>
        <v>1w</v>
      </c>
      <c r="Y3356" s="164">
        <f>_xll.qlCalendarAdvance(Calendar,Y3355,X3356,"f",FALSE)</f>
        <v>62632</v>
      </c>
      <c r="Z3356" s="188">
        <f>_xll.qlCalendarAdvance(Calendar,Y3356,NDays&amp;"D")</f>
        <v>62634</v>
      </c>
      <c r="AA3356" s="163">
        <v>7.7808210093303675E-3</v>
      </c>
      <c r="AB3356" s="172">
        <v>7.7469380818318001E-3</v>
      </c>
    </row>
    <row r="3357" spans="24:28" x14ac:dyDescent="0.2">
      <c r="X3357" s="176" t="str">
        <f t="shared" si="86"/>
        <v>1w</v>
      </c>
      <c r="Y3357" s="164">
        <f>_xll.qlCalendarAdvance(Calendar,Y3356,X3357,"f",FALSE)</f>
        <v>62639</v>
      </c>
      <c r="Z3357" s="188">
        <f>_xll.qlCalendarAdvance(Calendar,Y3357,NDays&amp;"D")</f>
        <v>62641</v>
      </c>
      <c r="AA3357" s="163">
        <v>7.7821801362437468E-3</v>
      </c>
      <c r="AB3357" s="172">
        <v>7.7483901988983916E-3</v>
      </c>
    </row>
    <row r="3358" spans="24:28" x14ac:dyDescent="0.2">
      <c r="X3358" s="176" t="str">
        <f t="shared" si="86"/>
        <v>1w</v>
      </c>
      <c r="Y3358" s="164">
        <f>_xll.qlCalendarAdvance(Calendar,Y3357,X3358,"f",FALSE)</f>
        <v>62646</v>
      </c>
      <c r="Z3358" s="188">
        <f>_xll.qlCalendarAdvance(Calendar,Y3358,NDays&amp;"D")</f>
        <v>62648</v>
      </c>
      <c r="AA3358" s="163">
        <v>7.7835317875679464E-3</v>
      </c>
      <c r="AB3358" s="172">
        <v>7.7498348693616492E-3</v>
      </c>
    </row>
    <row r="3359" spans="24:28" x14ac:dyDescent="0.2">
      <c r="X3359" s="176" t="str">
        <f t="shared" si="86"/>
        <v>1w</v>
      </c>
      <c r="Y3359" s="164">
        <f>_xll.qlCalendarAdvance(Calendar,Y3358,X3359,"f",FALSE)</f>
        <v>62653</v>
      </c>
      <c r="Z3359" s="188">
        <f>_xll.qlCalendarAdvance(Calendar,Y3359,NDays&amp;"D")</f>
        <v>62655</v>
      </c>
      <c r="AA3359" s="163">
        <v>7.7848759632853457E-3</v>
      </c>
      <c r="AB3359" s="172">
        <v>7.7512720931416368E-3</v>
      </c>
    </row>
    <row r="3360" spans="24:28" x14ac:dyDescent="0.2">
      <c r="X3360" s="176" t="str">
        <f t="shared" si="86"/>
        <v>1w</v>
      </c>
      <c r="Y3360" s="164">
        <f>_xll.qlCalendarAdvance(Calendar,Y3359,X3360,"f",FALSE)</f>
        <v>62660</v>
      </c>
      <c r="Z3360" s="188">
        <f>_xll.qlCalendarAdvance(Calendar,Y3360,NDays&amp;"D")</f>
        <v>62662</v>
      </c>
      <c r="AA3360" s="163">
        <v>7.7862126633817625E-3</v>
      </c>
      <c r="AB3360" s="172">
        <v>7.7527018700784822E-3</v>
      </c>
    </row>
    <row r="3361" spans="24:28" x14ac:dyDescent="0.2">
      <c r="X3361" s="176" t="str">
        <f t="shared" si="86"/>
        <v>1w</v>
      </c>
      <c r="Y3361" s="164">
        <f>_xll.qlCalendarAdvance(Calendar,Y3360,X3361,"f",FALSE)</f>
        <v>62667</v>
      </c>
      <c r="Z3361" s="188">
        <f>_xll.qlCalendarAdvance(Calendar,Y3361,NDays&amp;"D")</f>
        <v>62669</v>
      </c>
      <c r="AA3361" s="163">
        <v>7.7870123919919244E-3</v>
      </c>
      <c r="AB3361" s="172">
        <v>7.7541242003320576E-3</v>
      </c>
    </row>
    <row r="3362" spans="24:28" x14ac:dyDescent="0.2">
      <c r="X3362" s="176" t="str">
        <f t="shared" si="86"/>
        <v>1w</v>
      </c>
      <c r="Y3362" s="164">
        <f>_xll.qlCalendarAdvance(Calendar,Y3361,X3362,"f",FALSE)</f>
        <v>62674</v>
      </c>
      <c r="Z3362" s="188">
        <f>_xll.qlCalendarAdvance(Calendar,Y3362,NDays&amp;"D")</f>
        <v>62676</v>
      </c>
      <c r="AA3362" s="163">
        <v>7.7888636366480442E-3</v>
      </c>
      <c r="AB3362" s="172">
        <v>7.7555390837424909E-3</v>
      </c>
    </row>
    <row r="3363" spans="24:28" x14ac:dyDescent="0.2">
      <c r="X3363" s="176" t="str">
        <f t="shared" si="86"/>
        <v>1w</v>
      </c>
      <c r="Y3363" s="164">
        <f>_xll.qlCalendarAdvance(Calendar,Y3362,X3363,"f",FALSE)</f>
        <v>62681</v>
      </c>
      <c r="Z3363" s="188">
        <f>_xll.qlCalendarAdvance(Calendar,Y3363,NDays&amp;"D")</f>
        <v>62683</v>
      </c>
      <c r="AA3363" s="163">
        <v>7.7901779097869659E-3</v>
      </c>
      <c r="AB3363" s="172">
        <v>7.756946520309782E-3</v>
      </c>
    </row>
    <row r="3364" spans="24:28" x14ac:dyDescent="0.2">
      <c r="X3364" s="176" t="str">
        <f t="shared" si="86"/>
        <v>1w</v>
      </c>
      <c r="Y3364" s="164">
        <f>_xll.qlCalendarAdvance(Calendar,Y3363,X3364,"f",FALSE)</f>
        <v>62688</v>
      </c>
      <c r="Z3364" s="188">
        <f>_xll.qlCalendarAdvance(Calendar,Y3364,NDays&amp;"D")</f>
        <v>62690</v>
      </c>
      <c r="AA3364" s="163">
        <v>7.7914847072438785E-3</v>
      </c>
      <c r="AB3364" s="172">
        <v>7.7583465102737392E-3</v>
      </c>
    </row>
    <row r="3365" spans="24:28" x14ac:dyDescent="0.2">
      <c r="X3365" s="176" t="str">
        <f t="shared" si="86"/>
        <v>1w</v>
      </c>
      <c r="Y3365" s="164">
        <f>_xll.qlCalendarAdvance(Calendar,Y3364,X3365,"f",FALSE)</f>
        <v>62695</v>
      </c>
      <c r="Z3365" s="188">
        <f>_xll.qlCalendarAdvance(Calendar,Y3365,NDays&amp;"D")</f>
        <v>62697</v>
      </c>
      <c r="AA3365" s="163">
        <v>7.7927840290028805E-3</v>
      </c>
      <c r="AB3365" s="172">
        <v>7.7597390535544264E-3</v>
      </c>
    </row>
    <row r="3366" spans="24:28" x14ac:dyDescent="0.2">
      <c r="X3366" s="176" t="str">
        <f t="shared" si="86"/>
        <v>1w</v>
      </c>
      <c r="Y3366" s="164">
        <f>_xll.qlCalendarAdvance(Calendar,Y3365,X3366,"f",FALSE)</f>
        <v>62702</v>
      </c>
      <c r="Z3366" s="188">
        <f>_xll.qlCalendarAdvance(Calendar,Y3366,NDays&amp;"D")</f>
        <v>62704</v>
      </c>
      <c r="AA3366" s="163">
        <v>7.7933799035164036E-3</v>
      </c>
      <c r="AB3366" s="172">
        <v>7.7611241499919714E-3</v>
      </c>
    </row>
    <row r="3367" spans="24:28" x14ac:dyDescent="0.2">
      <c r="X3367" s="176" t="str">
        <f t="shared" si="86"/>
        <v>1w</v>
      </c>
      <c r="Y3367" s="164">
        <f>_xll.qlCalendarAdvance(Calendar,Y3366,X3367,"f",FALSE)</f>
        <v>62709</v>
      </c>
      <c r="Z3367" s="188">
        <f>_xll.qlCalendarAdvance(Calendar,Y3367,NDays&amp;"D")</f>
        <v>62711</v>
      </c>
      <c r="AA3367" s="163">
        <v>7.7946662985767679E-3</v>
      </c>
      <c r="AB3367" s="172">
        <v>7.7625017996663104E-3</v>
      </c>
    </row>
    <row r="3368" spans="24:28" x14ac:dyDescent="0.2">
      <c r="X3368" s="176" t="str">
        <f t="shared" si="86"/>
        <v>1w</v>
      </c>
      <c r="Y3368" s="164">
        <f>_xll.qlCalendarAdvance(Calendar,Y3367,X3368,"f",FALSE)</f>
        <v>62716</v>
      </c>
      <c r="Z3368" s="188">
        <f>_xll.qlCalendarAdvance(Calendar,Y3368,NDays&amp;"D")</f>
        <v>62718</v>
      </c>
      <c r="AA3368" s="163">
        <v>7.7959452185264906E-3</v>
      </c>
      <c r="AB3368" s="172">
        <v>7.7638720025774433E-3</v>
      </c>
    </row>
    <row r="3369" spans="24:28" x14ac:dyDescent="0.2">
      <c r="X3369" s="176" t="str">
        <f t="shared" si="86"/>
        <v>1w</v>
      </c>
      <c r="Y3369" s="164">
        <f>_xll.qlCalendarAdvance(Calendar,Y3368,X3369,"f",FALSE)</f>
        <v>62723</v>
      </c>
      <c r="Z3369" s="188">
        <f>_xll.qlCalendarAdvance(Calendar,Y3369,NDays&amp;"D")</f>
        <v>62725</v>
      </c>
      <c r="AA3369" s="163">
        <v>7.7972166633519585E-3</v>
      </c>
      <c r="AB3369" s="172">
        <v>7.7652347588053061E-3</v>
      </c>
    </row>
    <row r="3370" spans="24:28" x14ac:dyDescent="0.2">
      <c r="X3370" s="176" t="str">
        <f t="shared" si="86"/>
        <v>1w</v>
      </c>
      <c r="Y3370" s="164">
        <f>_xll.qlCalendarAdvance(Calendar,Y3369,X3370,"f",FALSE)</f>
        <v>62730</v>
      </c>
      <c r="Z3370" s="188">
        <f>_xll.qlCalendarAdvance(Calendar,Y3370,NDays&amp;"D")</f>
        <v>62732</v>
      </c>
      <c r="AA3370" s="163">
        <v>7.7986526690048061E-3</v>
      </c>
      <c r="AB3370" s="172">
        <v>7.7665900681900268E-3</v>
      </c>
    </row>
    <row r="3371" spans="24:28" x14ac:dyDescent="0.2">
      <c r="X3371" s="176" t="str">
        <f t="shared" si="86"/>
        <v>1w</v>
      </c>
      <c r="Y3371" s="164">
        <f>_xll.qlCalendarAdvance(Calendar,Y3370,X3371,"f",FALSE)</f>
        <v>62737</v>
      </c>
      <c r="Z3371" s="188">
        <f>_xll.qlCalendarAdvance(Calendar,Y3371,NDays&amp;"D")</f>
        <v>62739</v>
      </c>
      <c r="AA3371" s="163">
        <v>7.8005943147555004E-3</v>
      </c>
      <c r="AB3371" s="172">
        <v>7.7679379308914775E-3</v>
      </c>
    </row>
    <row r="3372" spans="24:28" x14ac:dyDescent="0.2">
      <c r="X3372" s="176" t="str">
        <f t="shared" si="86"/>
        <v>1w</v>
      </c>
      <c r="Y3372" s="164">
        <f>_xll.qlCalendarAdvance(Calendar,Y3371,X3372,"f",FALSE)</f>
        <v>62744</v>
      </c>
      <c r="Z3372" s="188">
        <f>_xll.qlCalendarAdvance(Calendar,Y3372,NDays&amp;"D")</f>
        <v>62746</v>
      </c>
      <c r="AA3372" s="163">
        <v>7.8011571691744639E-3</v>
      </c>
      <c r="AB3372" s="172">
        <v>7.7692783468297222E-3</v>
      </c>
    </row>
    <row r="3373" spans="24:28" x14ac:dyDescent="0.2">
      <c r="X3373" s="176" t="str">
        <f t="shared" si="86"/>
        <v>1w</v>
      </c>
      <c r="Y3373" s="164">
        <f>_xll.qlCalendarAdvance(Calendar,Y3372,X3373,"f",FALSE)</f>
        <v>62751</v>
      </c>
      <c r="Z3373" s="188">
        <f>_xll.qlCalendarAdvance(Calendar,Y3373,NDays&amp;"D")</f>
        <v>62753</v>
      </c>
      <c r="AA3373" s="163">
        <v>7.8023982062560889E-3</v>
      </c>
      <c r="AB3373" s="172">
        <v>7.7706113160846968E-3</v>
      </c>
    </row>
    <row r="3374" spans="24:28" x14ac:dyDescent="0.2">
      <c r="X3374" s="176" t="str">
        <f t="shared" si="86"/>
        <v>1w</v>
      </c>
      <c r="Y3374" s="164">
        <f>_xll.qlCalendarAdvance(Calendar,Y3373,X3374,"f",FALSE)</f>
        <v>62758</v>
      </c>
      <c r="Z3374" s="188">
        <f>_xll.qlCalendarAdvance(Calendar,Y3374,NDays&amp;"D")</f>
        <v>62760</v>
      </c>
      <c r="AA3374" s="163">
        <v>7.8036317679827348E-3</v>
      </c>
      <c r="AB3374" s="172">
        <v>7.7719368384165932E-3</v>
      </c>
    </row>
    <row r="3375" spans="24:28" x14ac:dyDescent="0.2">
      <c r="X3375" s="176" t="str">
        <f t="shared" si="86"/>
        <v>1w</v>
      </c>
      <c r="Y3375" s="164">
        <f>_xll.qlCalendarAdvance(Calendar,Y3374,X3375,"f",FALSE)</f>
        <v>62765</v>
      </c>
      <c r="Z3375" s="188">
        <f>_xll.qlCalendarAdvance(Calendar,Y3375,NDays&amp;"D")</f>
        <v>62767</v>
      </c>
      <c r="AA3375" s="163">
        <v>7.8046883538841717E-3</v>
      </c>
      <c r="AB3375" s="172">
        <v>7.7732549141451557E-3</v>
      </c>
    </row>
    <row r="3376" spans="24:28" x14ac:dyDescent="0.2">
      <c r="X3376" s="176" t="str">
        <f t="shared" si="86"/>
        <v>1w</v>
      </c>
      <c r="Y3376" s="164">
        <f>_xll.qlCalendarAdvance(Calendar,Y3375,X3376,"f",FALSE)</f>
        <v>62772</v>
      </c>
      <c r="Z3376" s="188">
        <f>_xll.qlCalendarAdvance(Calendar,Y3376,NDays&amp;"D")</f>
        <v>62774</v>
      </c>
      <c r="AA3376" s="163">
        <v>7.8059074724384113E-3</v>
      </c>
      <c r="AB3376" s="172">
        <v>7.7745655431105121E-3</v>
      </c>
    </row>
    <row r="3377" spans="24:28" x14ac:dyDescent="0.2">
      <c r="X3377" s="176" t="str">
        <f t="shared" si="86"/>
        <v>1w</v>
      </c>
      <c r="Y3377" s="164">
        <f>_xll.qlCalendarAdvance(Calendar,Y3376,X3377,"f",FALSE)</f>
        <v>62779</v>
      </c>
      <c r="Z3377" s="188">
        <f>_xll.qlCalendarAdvance(Calendar,Y3377,NDays&amp;"D")</f>
        <v>62781</v>
      </c>
      <c r="AA3377" s="163">
        <v>7.8071191157550787E-3</v>
      </c>
      <c r="AB3377" s="172">
        <v>7.7758687253126624E-3</v>
      </c>
    </row>
    <row r="3378" spans="24:28" x14ac:dyDescent="0.2">
      <c r="X3378" s="176" t="str">
        <f t="shared" si="86"/>
        <v>1w</v>
      </c>
      <c r="Y3378" s="164">
        <f>_xll.qlCalendarAdvance(Calendar,Y3377,X3378,"f",FALSE)</f>
        <v>62786</v>
      </c>
      <c r="Z3378" s="188">
        <f>_xll.qlCalendarAdvance(Calendar,Y3378,NDays&amp;"D")</f>
        <v>62788</v>
      </c>
      <c r="AA3378" s="163">
        <v>7.8083232838214375E-3</v>
      </c>
      <c r="AB3378" s="172">
        <v>7.7771644607516066E-3</v>
      </c>
    </row>
    <row r="3379" spans="24:28" x14ac:dyDescent="0.2">
      <c r="X3379" s="176" t="str">
        <f t="shared" si="86"/>
        <v>1w</v>
      </c>
      <c r="Y3379" s="164">
        <f>_xll.qlCalendarAdvance(Calendar,Y3378,X3379,"f",FALSE)</f>
        <v>62793</v>
      </c>
      <c r="Z3379" s="188">
        <f>_xll.qlCalendarAdvance(Calendar,Y3379,NDays&amp;"D")</f>
        <v>62795</v>
      </c>
      <c r="AA3379" s="163">
        <v>7.8096874458195107E-3</v>
      </c>
      <c r="AB3379" s="172">
        <v>7.7784527494273448E-3</v>
      </c>
    </row>
    <row r="3380" spans="24:28" x14ac:dyDescent="0.2">
      <c r="X3380" s="176" t="str">
        <f t="shared" si="86"/>
        <v>1w</v>
      </c>
      <c r="Y3380" s="164">
        <f>_xll.qlCalendarAdvance(Calendar,Y3379,X3380,"f",FALSE)</f>
        <v>62800</v>
      </c>
      <c r="Z3380" s="188">
        <f>_xll.qlCalendarAdvance(Calendar,Y3380,NDays&amp;"D")</f>
        <v>62802</v>
      </c>
      <c r="AA3380" s="163">
        <v>7.810876155130167E-3</v>
      </c>
      <c r="AB3380" s="172">
        <v>7.7797335913398769E-3</v>
      </c>
    </row>
    <row r="3381" spans="24:28" x14ac:dyDescent="0.2">
      <c r="X3381" s="176" t="str">
        <f t="shared" si="86"/>
        <v>1w</v>
      </c>
      <c r="Y3381" s="164">
        <f>_xll.qlCalendarAdvance(Calendar,Y3380,X3381,"f",FALSE)</f>
        <v>62807</v>
      </c>
      <c r="Z3381" s="188">
        <f>_xll.qlCalendarAdvance(Calendar,Y3381,NDays&amp;"D")</f>
        <v>62809</v>
      </c>
      <c r="AA3381" s="163">
        <v>7.81205738899062E-3</v>
      </c>
      <c r="AB3381" s="172">
        <v>7.7810069864892029E-3</v>
      </c>
    </row>
    <row r="3382" spans="24:28" x14ac:dyDescent="0.2">
      <c r="X3382" s="176" t="str">
        <f t="shared" si="86"/>
        <v>1w</v>
      </c>
      <c r="Y3382" s="164">
        <f>_xll.qlCalendarAdvance(Calendar,Y3381,X3382,"f",FALSE)</f>
        <v>62814</v>
      </c>
      <c r="Z3382" s="188">
        <f>_xll.qlCalendarAdvance(Calendar,Y3382,NDays&amp;"D")</f>
        <v>62816</v>
      </c>
      <c r="AA3382" s="163">
        <v>7.8132311473873266E-3</v>
      </c>
      <c r="AB3382" s="172">
        <v>7.7827955159937012E-3</v>
      </c>
    </row>
    <row r="3383" spans="24:28" x14ac:dyDescent="0.2">
      <c r="X3383" s="176" t="str">
        <f t="shared" si="86"/>
        <v>1w</v>
      </c>
      <c r="Y3383" s="164">
        <f>_xll.qlCalendarAdvance(Calendar,Y3382,X3383,"f",FALSE)</f>
        <v>62821</v>
      </c>
      <c r="Z3383" s="188">
        <f>_xll.qlCalendarAdvance(Calendar,Y3383,NDays&amp;"D")</f>
        <v>62823</v>
      </c>
      <c r="AA3383" s="163">
        <v>7.814231994912834E-3</v>
      </c>
      <c r="AB3383" s="172">
        <v>7.7840525034478247E-3</v>
      </c>
    </row>
    <row r="3384" spans="24:28" x14ac:dyDescent="0.2">
      <c r="X3384" s="176" t="str">
        <f t="shared" si="86"/>
        <v>1w</v>
      </c>
      <c r="Y3384" s="164">
        <f>_xll.qlCalendarAdvance(Calendar,Y3383,X3384,"f",FALSE)</f>
        <v>62828</v>
      </c>
      <c r="Z3384" s="188">
        <f>_xll.qlCalendarAdvance(Calendar,Y3384,NDays&amp;"D")</f>
        <v>62830</v>
      </c>
      <c r="AA3384" s="163">
        <v>7.8153913111905365E-3</v>
      </c>
      <c r="AB3384" s="172">
        <v>7.7847824915977526E-3</v>
      </c>
    </row>
    <row r="3385" spans="24:28" x14ac:dyDescent="0.2">
      <c r="X3385" s="176" t="str">
        <f t="shared" si="86"/>
        <v>1w</v>
      </c>
      <c r="Y3385" s="164">
        <f>_xll.qlCalendarAdvance(Calendar,Y3384,X3385,"f",FALSE)</f>
        <v>62835</v>
      </c>
      <c r="Z3385" s="188">
        <f>_xll.qlCalendarAdvance(Calendar,Y3385,NDays&amp;"D")</f>
        <v>62837</v>
      </c>
      <c r="AA3385" s="163">
        <v>7.8165431521230594E-3</v>
      </c>
      <c r="AB3385" s="172">
        <v>7.7860260996942543E-3</v>
      </c>
    </row>
    <row r="3386" spans="24:28" x14ac:dyDescent="0.2">
      <c r="X3386" s="176" t="str">
        <f t="shared" si="86"/>
        <v>1w</v>
      </c>
      <c r="Y3386" s="164">
        <f>_xll.qlCalendarAdvance(Calendar,Y3385,X3386,"f",FALSE)</f>
        <v>62842</v>
      </c>
      <c r="Z3386" s="188">
        <f>_xll.qlCalendarAdvance(Calendar,Y3386,NDays&amp;"D")</f>
        <v>62844</v>
      </c>
      <c r="AA3386" s="163">
        <v>7.8176875176985475E-3</v>
      </c>
      <c r="AB3386" s="172">
        <v>7.787262261107486E-3</v>
      </c>
    </row>
    <row r="3387" spans="24:28" x14ac:dyDescent="0.2">
      <c r="X3387" s="176" t="str">
        <f t="shared" si="86"/>
        <v>1w</v>
      </c>
      <c r="Y3387" s="164">
        <f>_xll.qlCalendarAdvance(Calendar,Y3386,X3387,"f",FALSE)</f>
        <v>62849</v>
      </c>
      <c r="Z3387" s="188">
        <f>_xll.qlCalendarAdvance(Calendar,Y3387,NDays&amp;"D")</f>
        <v>62851</v>
      </c>
      <c r="AA3387" s="163">
        <v>7.8188244079033832E-3</v>
      </c>
      <c r="AB3387" s="172">
        <v>7.7884909757575116E-3</v>
      </c>
    </row>
    <row r="3388" spans="24:28" x14ac:dyDescent="0.2">
      <c r="X3388" s="176" t="str">
        <f t="shared" si="86"/>
        <v>1w</v>
      </c>
      <c r="Y3388" s="164">
        <f>_xll.qlCalendarAdvance(Calendar,Y3387,X3388,"f",FALSE)</f>
        <v>62856</v>
      </c>
      <c r="Z3388" s="188">
        <f>_xll.qlCalendarAdvance(Calendar,Y3388,NDays&amp;"D")</f>
        <v>62858</v>
      </c>
      <c r="AA3388" s="163">
        <v>7.8199538227257063E-3</v>
      </c>
      <c r="AB3388" s="172">
        <v>7.7897122437242672E-3</v>
      </c>
    </row>
    <row r="3389" spans="24:28" x14ac:dyDescent="0.2">
      <c r="X3389" s="176" t="str">
        <f t="shared" si="86"/>
        <v>1w</v>
      </c>
      <c r="Y3389" s="164">
        <f>_xll.qlCalendarAdvance(Calendar,Y3388,X3389,"f",FALSE)</f>
        <v>62863</v>
      </c>
      <c r="Z3389" s="188">
        <f>_xll.qlCalendarAdvance(Calendar,Y3389,NDays&amp;"D")</f>
        <v>62865</v>
      </c>
      <c r="AA3389" s="163">
        <v>7.821075762152345E-3</v>
      </c>
      <c r="AB3389" s="172">
        <v>7.7909260650077528E-3</v>
      </c>
    </row>
    <row r="3390" spans="24:28" x14ac:dyDescent="0.2">
      <c r="X3390" s="176" t="str">
        <f t="shared" si="86"/>
        <v>1w</v>
      </c>
      <c r="Y3390" s="164">
        <f>_xll.qlCalendarAdvance(Calendar,Y3389,X3390,"f",FALSE)</f>
        <v>62870</v>
      </c>
      <c r="Z3390" s="188">
        <f>_xll.qlCalendarAdvance(Calendar,Y3390,NDays&amp;"D")</f>
        <v>62872</v>
      </c>
      <c r="AA3390" s="163">
        <v>7.8221902261692393E-3</v>
      </c>
      <c r="AB3390" s="172">
        <v>7.7921324393681601E-3</v>
      </c>
    </row>
    <row r="3391" spans="24:28" x14ac:dyDescent="0.2">
      <c r="X3391" s="176" t="str">
        <f t="shared" si="86"/>
        <v>1w</v>
      </c>
      <c r="Y3391" s="164">
        <f>_xll.qlCalendarAdvance(Calendar,Y3390,X3391,"f",FALSE)</f>
        <v>62877</v>
      </c>
      <c r="Z3391" s="188">
        <f>_xll.qlCalendarAdvance(Calendar,Y3391,NDays&amp;"D")</f>
        <v>62879</v>
      </c>
      <c r="AA3391" s="163">
        <v>7.8232972147658526E-3</v>
      </c>
      <c r="AB3391" s="172">
        <v>7.7933313670452975E-3</v>
      </c>
    </row>
    <row r="3392" spans="24:28" x14ac:dyDescent="0.2">
      <c r="X3392" s="176" t="str">
        <f t="shared" si="86"/>
        <v>1w</v>
      </c>
      <c r="Y3392" s="164">
        <f>_xll.qlCalendarAdvance(Calendar,Y3391,X3392,"f",FALSE)</f>
        <v>62884</v>
      </c>
      <c r="Z3392" s="188">
        <f>_xll.qlCalendarAdvance(Calendar,Y3392,NDays&amp;"D")</f>
        <v>62886</v>
      </c>
      <c r="AA3392" s="163">
        <v>7.8250398499921364E-3</v>
      </c>
      <c r="AB3392" s="172">
        <v>7.7945228478792927E-3</v>
      </c>
    </row>
    <row r="3393" spans="24:28" x14ac:dyDescent="0.2">
      <c r="X3393" s="176" t="str">
        <f t="shared" si="86"/>
        <v>1w</v>
      </c>
      <c r="Y3393" s="164">
        <f>_xll.qlCalendarAdvance(Calendar,Y3392,X3393,"f",FALSE)</f>
        <v>62891</v>
      </c>
      <c r="Z3393" s="188">
        <f>_xll.qlCalendarAdvance(Calendar,Y3393,NDays&amp;"D")</f>
        <v>62893</v>
      </c>
      <c r="AA3393" s="163">
        <v>7.8261298464400754E-3</v>
      </c>
      <c r="AB3393" s="172">
        <v>7.795706882109954E-3</v>
      </c>
    </row>
    <row r="3394" spans="24:28" x14ac:dyDescent="0.2">
      <c r="X3394" s="176" t="str">
        <f t="shared" si="86"/>
        <v>1w</v>
      </c>
      <c r="Y3394" s="164">
        <f>_xll.qlCalendarAdvance(Calendar,Y3393,X3394,"f",FALSE)</f>
        <v>62898</v>
      </c>
      <c r="Z3394" s="188">
        <f>_xll.qlCalendarAdvance(Calendar,Y3394,NDays&amp;"D")</f>
        <v>62900</v>
      </c>
      <c r="AA3394" s="163">
        <v>7.8272123667912832E-3</v>
      </c>
      <c r="AB3394" s="172">
        <v>7.7968834694974731E-3</v>
      </c>
    </row>
    <row r="3395" spans="24:28" x14ac:dyDescent="0.2">
      <c r="X3395" s="176" t="str">
        <f t="shared" si="86"/>
        <v>1w</v>
      </c>
      <c r="Y3395" s="164">
        <f>_xll.qlCalendarAdvance(Calendar,Y3394,X3395,"f",FALSE)</f>
        <v>62905</v>
      </c>
      <c r="Z3395" s="188">
        <f>_xll.qlCalendarAdvance(Calendar,Y3395,NDays&amp;"D")</f>
        <v>62907</v>
      </c>
      <c r="AA3395" s="163">
        <v>7.8282874110311498E-3</v>
      </c>
      <c r="AB3395" s="172">
        <v>7.7980526101217862E-3</v>
      </c>
    </row>
    <row r="3396" spans="24:28" x14ac:dyDescent="0.2">
      <c r="X3396" s="176" t="str">
        <f t="shared" si="86"/>
        <v>1w</v>
      </c>
      <c r="Y3396" s="164">
        <f>_xll.qlCalendarAdvance(Calendar,Y3395,X3396,"f",FALSE)</f>
        <v>62912</v>
      </c>
      <c r="Z3396" s="188">
        <f>_xll.qlCalendarAdvance(Calendar,Y3396,NDays&amp;"D")</f>
        <v>62914</v>
      </c>
      <c r="AA3396" s="163">
        <v>7.8288788339213721E-3</v>
      </c>
      <c r="AB3396" s="172">
        <v>7.7992143042227013E-3</v>
      </c>
    </row>
    <row r="3397" spans="24:28" x14ac:dyDescent="0.2">
      <c r="X3397" s="176" t="str">
        <f t="shared" si="86"/>
        <v>1w</v>
      </c>
      <c r="Y3397" s="164">
        <f>_xll.qlCalendarAdvance(Calendar,Y3396,X3397,"f",FALSE)</f>
        <v>62919</v>
      </c>
      <c r="Z3397" s="188">
        <f>_xll.qlCalendarAdvance(Calendar,Y3397,NDays&amp;"D")</f>
        <v>62921</v>
      </c>
      <c r="AA3397" s="163">
        <v>7.8299404588077319E-3</v>
      </c>
      <c r="AB3397" s="172">
        <v>7.8010348841495158E-3</v>
      </c>
    </row>
    <row r="3398" spans="24:28" x14ac:dyDescent="0.2">
      <c r="X3398" s="176" t="str">
        <f t="shared" si="86"/>
        <v>1w</v>
      </c>
      <c r="Y3398" s="164">
        <f>_xll.qlCalendarAdvance(Calendar,Y3397,X3398,"f",FALSE)</f>
        <v>62926</v>
      </c>
      <c r="Z3398" s="188">
        <f>_xll.qlCalendarAdvance(Calendar,Y3398,NDays&amp;"D")</f>
        <v>62928</v>
      </c>
      <c r="AA3398" s="163">
        <v>7.8309946080272318E-3</v>
      </c>
      <c r="AB3398" s="172">
        <v>7.8015153517352331E-3</v>
      </c>
    </row>
    <row r="3399" spans="24:28" x14ac:dyDescent="0.2">
      <c r="X3399" s="176" t="str">
        <f t="shared" si="86"/>
        <v>1w</v>
      </c>
      <c r="Y3399" s="164">
        <f>_xll.qlCalendarAdvance(Calendar,Y3398,X3399,"f",FALSE)</f>
        <v>62933</v>
      </c>
      <c r="Z3399" s="188">
        <f>_xll.qlCalendarAdvance(Calendar,Y3399,NDays&amp;"D")</f>
        <v>62935</v>
      </c>
      <c r="AA3399" s="163">
        <v>7.8320412815667661E-3</v>
      </c>
      <c r="AB3399" s="172">
        <v>7.8026547053067219E-3</v>
      </c>
    </row>
    <row r="3400" spans="24:28" x14ac:dyDescent="0.2">
      <c r="X3400" s="176" t="str">
        <f t="shared" si="86"/>
        <v>1w</v>
      </c>
      <c r="Y3400" s="164">
        <f>_xll.qlCalendarAdvance(Calendar,Y3399,X3400,"f",FALSE)</f>
        <v>62940</v>
      </c>
      <c r="Z3400" s="188">
        <f>_xll.qlCalendarAdvance(Calendar,Y3400,NDays&amp;"D")</f>
        <v>62942</v>
      </c>
      <c r="AA3400" s="163">
        <v>7.8330804794162871E-3</v>
      </c>
      <c r="AB3400" s="172">
        <v>7.8037866121949406E-3</v>
      </c>
    </row>
    <row r="3401" spans="24:28" x14ac:dyDescent="0.2">
      <c r="X3401" s="176" t="str">
        <f t="shared" si="86"/>
        <v>1w</v>
      </c>
      <c r="Y3401" s="164">
        <f>_xll.qlCalendarAdvance(Calendar,Y3400,X3401,"f",FALSE)</f>
        <v>62947</v>
      </c>
      <c r="Z3401" s="188">
        <f>_xll.qlCalendarAdvance(Calendar,Y3401,NDays&amp;"D")</f>
        <v>62949</v>
      </c>
      <c r="AA3401" s="163">
        <v>7.8345806774728823E-3</v>
      </c>
      <c r="AB3401" s="172">
        <v>7.8049110723199533E-3</v>
      </c>
    </row>
    <row r="3402" spans="24:28" x14ac:dyDescent="0.2">
      <c r="X3402" s="176" t="str">
        <f t="shared" si="86"/>
        <v>1w</v>
      </c>
      <c r="Y3402" s="164">
        <f>_xll.qlCalendarAdvance(Calendar,Y3401,X3402,"f",FALSE)</f>
        <v>62954</v>
      </c>
      <c r="Z3402" s="188">
        <f>_xll.qlCalendarAdvance(Calendar,Y3402,NDays&amp;"D")</f>
        <v>62956</v>
      </c>
      <c r="AA3402" s="163">
        <v>7.835603388599852E-3</v>
      </c>
      <c r="AB3402" s="172">
        <v>7.8060280857616959E-3</v>
      </c>
    </row>
    <row r="3403" spans="24:28" x14ac:dyDescent="0.2">
      <c r="X3403" s="176" t="str">
        <f t="shared" si="86"/>
        <v>1w</v>
      </c>
      <c r="Y3403" s="164">
        <f>_xll.qlCalendarAdvance(Calendar,Y3402,X3403,"f",FALSE)</f>
        <v>62961</v>
      </c>
      <c r="Z3403" s="188">
        <f>_xll.qlCalendarAdvance(Calendar,Y3403,NDays&amp;"D")</f>
        <v>62963</v>
      </c>
      <c r="AA3403" s="163">
        <v>7.836618623520069E-3</v>
      </c>
      <c r="AB3403" s="172">
        <v>7.8071376524402325E-3</v>
      </c>
    </row>
    <row r="3404" spans="24:28" x14ac:dyDescent="0.2">
      <c r="X3404" s="176" t="str">
        <f t="shared" si="86"/>
        <v>1w</v>
      </c>
      <c r="Y3404" s="164">
        <f>_xll.qlCalendarAdvance(Calendar,Y3403,X3404,"f",FALSE)</f>
        <v>62968</v>
      </c>
      <c r="Z3404" s="188">
        <f>_xll.qlCalendarAdvance(Calendar,Y3404,NDays&amp;"D")</f>
        <v>62970</v>
      </c>
      <c r="AA3404" s="163">
        <v>7.837626382221503E-3</v>
      </c>
      <c r="AB3404" s="172">
        <v>7.8082397722756269E-3</v>
      </c>
    </row>
    <row r="3405" spans="24:28" x14ac:dyDescent="0.2">
      <c r="X3405" s="176" t="str">
        <f t="shared" si="86"/>
        <v>1w</v>
      </c>
      <c r="Y3405" s="164">
        <f>_xll.qlCalendarAdvance(Calendar,Y3404,X3405,"f",FALSE)</f>
        <v>62975</v>
      </c>
      <c r="Z3405" s="188">
        <f>_xll.qlCalendarAdvance(Calendar,Y3405,NDays&amp;"D")</f>
        <v>62977</v>
      </c>
      <c r="AA3405" s="163">
        <v>7.8381643328921877E-3</v>
      </c>
      <c r="AB3405" s="172">
        <v>7.8093344454277513E-3</v>
      </c>
    </row>
    <row r="3406" spans="24:28" x14ac:dyDescent="0.2">
      <c r="X3406" s="176" t="str">
        <f t="shared" si="86"/>
        <v>1w</v>
      </c>
      <c r="Y3406" s="164">
        <f>_xll.qlCalendarAdvance(Calendar,Y3405,X3406,"f",FALSE)</f>
        <v>62982</v>
      </c>
      <c r="Z3406" s="188">
        <f>_xll.qlCalendarAdvance(Calendar,Y3406,NDays&amp;"D")</f>
        <v>62984</v>
      </c>
      <c r="AA3406" s="163">
        <v>7.8391586763526533E-3</v>
      </c>
      <c r="AB3406" s="172">
        <v>7.8104216718166697E-3</v>
      </c>
    </row>
    <row r="3407" spans="24:28" x14ac:dyDescent="0.2">
      <c r="X3407" s="176" t="str">
        <f t="shared" si="86"/>
        <v>1w</v>
      </c>
      <c r="Y3407" s="164">
        <f>_xll.qlCalendarAdvance(Calendar,Y3406,X3407,"f",FALSE)</f>
        <v>62989</v>
      </c>
      <c r="Z3407" s="188">
        <f>_xll.qlCalendarAdvance(Calendar,Y3407,NDays&amp;"D")</f>
        <v>62991</v>
      </c>
      <c r="AA3407" s="163">
        <v>7.8401455440405502E-3</v>
      </c>
      <c r="AB3407" s="172">
        <v>7.8115014514423819E-3</v>
      </c>
    </row>
    <row r="3408" spans="24:28" x14ac:dyDescent="0.2">
      <c r="X3408" s="176" t="str">
        <f t="shared" si="86"/>
        <v>1w</v>
      </c>
      <c r="Y3408" s="164">
        <f>_xll.qlCalendarAdvance(Calendar,Y3407,X3408,"f",FALSE)</f>
        <v>62996</v>
      </c>
      <c r="Z3408" s="188">
        <f>_xll.qlCalendarAdvance(Calendar,Y3408,NDays&amp;"D")</f>
        <v>62998</v>
      </c>
      <c r="AA3408" s="163">
        <v>7.8411249359453938E-3</v>
      </c>
      <c r="AB3408" s="172">
        <v>7.8125737843048881E-3</v>
      </c>
    </row>
    <row r="3409" spans="24:28" x14ac:dyDescent="0.2">
      <c r="X3409" s="176" t="str">
        <f t="shared" si="86"/>
        <v>1w</v>
      </c>
      <c r="Y3409" s="164">
        <f>_xll.qlCalendarAdvance(Calendar,Y3408,X3409,"f",FALSE)</f>
        <v>63003</v>
      </c>
      <c r="Z3409" s="188">
        <f>_xll.qlCalendarAdvance(Calendar,Y3409,NDays&amp;"D")</f>
        <v>63005</v>
      </c>
      <c r="AA3409" s="163">
        <v>7.8420968520571382E-3</v>
      </c>
      <c r="AB3409" s="172">
        <v>7.8136386704841243E-3</v>
      </c>
    </row>
    <row r="3410" spans="24:28" x14ac:dyDescent="0.2">
      <c r="X3410" s="176" t="str">
        <f t="shared" si="86"/>
        <v>1w</v>
      </c>
      <c r="Y3410" s="164">
        <f>_xll.qlCalendarAdvance(Calendar,Y3409,X3410,"f",FALSE)</f>
        <v>63010</v>
      </c>
      <c r="Z3410" s="188">
        <f>_xll.qlCalendarAdvance(Calendar,Y3410,NDays&amp;"D")</f>
        <v>63012</v>
      </c>
      <c r="AA3410" s="163">
        <v>7.8435159331922914E-3</v>
      </c>
      <c r="AB3410" s="172">
        <v>7.8146961099001544E-3</v>
      </c>
    </row>
    <row r="3411" spans="24:28" x14ac:dyDescent="0.2">
      <c r="X3411" s="176" t="str">
        <f t="shared" si="86"/>
        <v>1w</v>
      </c>
      <c r="Y3411" s="164">
        <f>_xll.qlCalendarAdvance(Calendar,Y3410,X3411,"f",FALSE)</f>
        <v>63017</v>
      </c>
      <c r="Z3411" s="188">
        <f>_xll.qlCalendarAdvance(Calendar,Y3411,NDays&amp;"D")</f>
        <v>63019</v>
      </c>
      <c r="AA3411" s="163">
        <v>7.844471358041635E-3</v>
      </c>
      <c r="AB3411" s="172">
        <v>7.8157461024730424E-3</v>
      </c>
    </row>
    <row r="3412" spans="24:28" x14ac:dyDescent="0.2">
      <c r="X3412" s="176" t="str">
        <f t="shared" si="86"/>
        <v>1w</v>
      </c>
      <c r="Y3412" s="164">
        <f>_xll.qlCalendarAdvance(Calendar,Y3411,X3412,"f",FALSE)</f>
        <v>63024</v>
      </c>
      <c r="Z3412" s="188">
        <f>_xll.qlCalendarAdvance(Calendar,Y3412,NDays&amp;"D")</f>
        <v>63026</v>
      </c>
      <c r="AA3412" s="163">
        <v>7.8454193065819449E-3</v>
      </c>
      <c r="AB3412" s="172">
        <v>7.8167886482827242E-3</v>
      </c>
    </row>
    <row r="3413" spans="24:28" x14ac:dyDescent="0.2">
      <c r="X3413" s="176" t="str">
        <f t="shared" ref="X3413:X3476" si="87">X3412</f>
        <v>1w</v>
      </c>
      <c r="Y3413" s="164">
        <f>_xll.qlCalendarAdvance(Calendar,Y3412,X3413,"f",FALSE)</f>
        <v>63031</v>
      </c>
      <c r="Z3413" s="188">
        <f>_xll.qlCalendarAdvance(Calendar,Y3413,NDays&amp;"D")</f>
        <v>63033</v>
      </c>
      <c r="AA3413" s="163">
        <v>7.8463597788020461E-3</v>
      </c>
      <c r="AB3413" s="172">
        <v>7.8178237474890722E-3</v>
      </c>
    </row>
    <row r="3414" spans="24:28" x14ac:dyDescent="0.2">
      <c r="X3414" s="176" t="str">
        <f t="shared" si="87"/>
        <v>1w</v>
      </c>
      <c r="Y3414" s="164">
        <f>_xll.qlCalendarAdvance(Calendar,Y3413,X3414,"f",FALSE)</f>
        <v>63038</v>
      </c>
      <c r="Z3414" s="188">
        <f>_xll.qlCalendarAdvance(Calendar,Y3414,NDays&amp;"D")</f>
        <v>63040</v>
      </c>
      <c r="AA3414" s="163">
        <v>7.8472927746907652E-3</v>
      </c>
      <c r="AB3414" s="172">
        <v>7.818851399852278E-3</v>
      </c>
    </row>
    <row r="3415" spans="24:28" x14ac:dyDescent="0.2">
      <c r="X3415" s="176" t="str">
        <f t="shared" si="87"/>
        <v>1w</v>
      </c>
      <c r="Y3415" s="164">
        <f>_xll.qlCalendarAdvance(Calendar,Y3414,X3415,"f",FALSE)</f>
        <v>63045</v>
      </c>
      <c r="Z3415" s="188">
        <f>_xll.qlCalendarAdvance(Calendar,Y3415,NDays&amp;"D")</f>
        <v>63047</v>
      </c>
      <c r="AA3415" s="163">
        <v>7.8482182942377875E-3</v>
      </c>
      <c r="AB3415" s="172">
        <v>7.8198716053723416E-3</v>
      </c>
    </row>
    <row r="3416" spans="24:28" x14ac:dyDescent="0.2">
      <c r="X3416" s="176" t="str">
        <f t="shared" si="87"/>
        <v>1w</v>
      </c>
      <c r="Y3416" s="164">
        <f>_xll.qlCalendarAdvance(Calendar,Y3415,X3416,"f",FALSE)</f>
        <v>63052</v>
      </c>
      <c r="Z3416" s="188">
        <f>_xll.qlCalendarAdvance(Calendar,Y3416,NDays&amp;"D")</f>
        <v>63054</v>
      </c>
      <c r="AA3416" s="163">
        <v>7.8491363374323699E-3</v>
      </c>
      <c r="AB3416" s="172">
        <v>7.8208843642890713E-3</v>
      </c>
    </row>
    <row r="3417" spans="24:28" x14ac:dyDescent="0.2">
      <c r="X3417" s="176" t="str">
        <f t="shared" si="87"/>
        <v>1w</v>
      </c>
      <c r="Y3417" s="164">
        <f>_xll.qlCalendarAdvance(Calendar,Y3416,X3417,"f",FALSE)</f>
        <v>63059</v>
      </c>
      <c r="Z3417" s="188">
        <f>_xll.qlCalendarAdvance(Calendar,Y3417,NDays&amp;"D")</f>
        <v>63061</v>
      </c>
      <c r="AA3417" s="163">
        <v>7.850046904263339E-3</v>
      </c>
      <c r="AB3417" s="172">
        <v>7.8218896763626589E-3</v>
      </c>
    </row>
    <row r="3418" spans="24:28" x14ac:dyDescent="0.2">
      <c r="X3418" s="176" t="str">
        <f t="shared" si="87"/>
        <v>1w</v>
      </c>
      <c r="Y3418" s="164">
        <f>_xll.qlCalendarAdvance(Calendar,Y3417,X3418,"f",FALSE)</f>
        <v>63066</v>
      </c>
      <c r="Z3418" s="188">
        <f>_xll.qlCalendarAdvance(Calendar,Y3418,NDays&amp;"D")</f>
        <v>63068</v>
      </c>
      <c r="AA3418" s="163">
        <v>7.8502125764921861E-3</v>
      </c>
      <c r="AB3418" s="172">
        <v>7.8228875417529764E-3</v>
      </c>
    </row>
    <row r="3419" spans="24:28" x14ac:dyDescent="0.2">
      <c r="X3419" s="176" t="str">
        <f t="shared" si="87"/>
        <v>1w</v>
      </c>
      <c r="Y3419" s="164">
        <f>_xll.qlCalendarAdvance(Calendar,Y3418,X3419,"f",FALSE)</f>
        <v>63073</v>
      </c>
      <c r="Z3419" s="188">
        <f>_xll.qlCalendarAdvance(Calendar,Y3419,NDays&amp;"D")</f>
        <v>63075</v>
      </c>
      <c r="AA3419" s="163">
        <v>7.8511107629610343E-3</v>
      </c>
      <c r="AB3419" s="172">
        <v>7.8238779603001518E-3</v>
      </c>
    </row>
    <row r="3420" spans="24:28" x14ac:dyDescent="0.2">
      <c r="X3420" s="176" t="str">
        <f t="shared" si="87"/>
        <v>1w</v>
      </c>
      <c r="Y3420" s="164">
        <f>_xll.qlCalendarAdvance(Calendar,Y3419,X3420,"f",FALSE)</f>
        <v>63080</v>
      </c>
      <c r="Z3420" s="188">
        <f>_xll.qlCalendarAdvance(Calendar,Y3420,NDays&amp;"D")</f>
        <v>63082</v>
      </c>
      <c r="AA3420" s="163">
        <v>7.8520014738424383E-3</v>
      </c>
      <c r="AB3420" s="172">
        <v>7.8248609320841211E-3</v>
      </c>
    </row>
    <row r="3421" spans="24:28" x14ac:dyDescent="0.2">
      <c r="X3421" s="176" t="str">
        <f t="shared" si="87"/>
        <v>1w</v>
      </c>
      <c r="Y3421" s="164">
        <f>_xll.qlCalendarAdvance(Calendar,Y3420,X3421,"f",FALSE)</f>
        <v>63087</v>
      </c>
      <c r="Z3421" s="188">
        <f>_xll.qlCalendarAdvance(Calendar,Y3421,NDays&amp;"D")</f>
        <v>63089</v>
      </c>
      <c r="AA3421" s="163">
        <v>7.8528847091249195E-3</v>
      </c>
      <c r="AB3421" s="172">
        <v>7.8258364572647565E-3</v>
      </c>
    </row>
    <row r="3422" spans="24:28" x14ac:dyDescent="0.2">
      <c r="X3422" s="176" t="str">
        <f t="shared" si="87"/>
        <v>1w</v>
      </c>
      <c r="Y3422" s="164">
        <f>_xll.qlCalendarAdvance(Calendar,Y3421,X3422,"f",FALSE)</f>
        <v>63094</v>
      </c>
      <c r="Z3422" s="188">
        <f>_xll.qlCalendarAdvance(Calendar,Y3422,NDays&amp;"D")</f>
        <v>63096</v>
      </c>
      <c r="AA3422" s="163">
        <v>7.8537604687992021E-3</v>
      </c>
      <c r="AB3422" s="172">
        <v>7.8268045355223137E-3</v>
      </c>
    </row>
    <row r="3423" spans="24:28" x14ac:dyDescent="0.2">
      <c r="X3423" s="176" t="str">
        <f t="shared" si="87"/>
        <v>1w</v>
      </c>
      <c r="Y3423" s="164">
        <f>_xll.qlCalendarAdvance(Calendar,Y3422,X3423,"f",FALSE)</f>
        <v>63101</v>
      </c>
      <c r="Z3423" s="188">
        <f>_xll.qlCalendarAdvance(Calendar,Y3423,NDays&amp;"D")</f>
        <v>63103</v>
      </c>
      <c r="AA3423" s="163">
        <v>7.8547737565529529E-3</v>
      </c>
      <c r="AB3423" s="172">
        <v>7.8277651671765369E-3</v>
      </c>
    </row>
    <row r="3424" spans="24:28" x14ac:dyDescent="0.2">
      <c r="X3424" s="176" t="str">
        <f t="shared" si="87"/>
        <v>1w</v>
      </c>
      <c r="Y3424" s="164">
        <f>_xll.qlCalendarAdvance(Calendar,Y3423,X3424,"f",FALSE)</f>
        <v>63108</v>
      </c>
      <c r="Z3424" s="188">
        <f>_xll.qlCalendarAdvance(Calendar,Y3424,NDays&amp;"D")</f>
        <v>63110</v>
      </c>
      <c r="AA3424" s="163">
        <v>7.8556340497412877E-3</v>
      </c>
      <c r="AB3424" s="172">
        <v>7.8287183520675541E-3</v>
      </c>
    </row>
    <row r="3425" spans="24:28" x14ac:dyDescent="0.2">
      <c r="X3425" s="176" t="str">
        <f t="shared" si="87"/>
        <v>1w</v>
      </c>
      <c r="Y3425" s="164">
        <f>_xll.qlCalendarAdvance(Calendar,Y3424,X3425,"f",FALSE)</f>
        <v>63115</v>
      </c>
      <c r="Z3425" s="188">
        <f>_xll.qlCalendarAdvance(Calendar,Y3425,NDays&amp;"D")</f>
        <v>63117</v>
      </c>
      <c r="AA3425" s="163">
        <v>7.8564868671303044E-3</v>
      </c>
      <c r="AB3425" s="172">
        <v>7.829664090035493E-3</v>
      </c>
    </row>
    <row r="3426" spans="24:28" x14ac:dyDescent="0.2">
      <c r="X3426" s="176" t="str">
        <f t="shared" si="87"/>
        <v>1w</v>
      </c>
      <c r="Y3426" s="164">
        <f>_xll.qlCalendarAdvance(Calendar,Y3425,X3426,"f",FALSE)</f>
        <v>63122</v>
      </c>
      <c r="Z3426" s="188">
        <f>_xll.qlCalendarAdvance(Calendar,Y3426,NDays&amp;"D")</f>
        <v>63124</v>
      </c>
      <c r="AA3426" s="163">
        <v>7.857332208710776E-3</v>
      </c>
      <c r="AB3426" s="172">
        <v>7.830602381320162E-3</v>
      </c>
    </row>
    <row r="3427" spans="24:28" x14ac:dyDescent="0.2">
      <c r="X3427" s="176" t="str">
        <f t="shared" si="87"/>
        <v>1w</v>
      </c>
      <c r="Y3427" s="164">
        <f>_xll.qlCalendarAdvance(Calendar,Y3426,X3427,"f",FALSE)</f>
        <v>63129</v>
      </c>
      <c r="Z3427" s="188">
        <f>_xll.qlCalendarAdvance(Calendar,Y3427,NDays&amp;"D")</f>
        <v>63131</v>
      </c>
      <c r="AA3427" s="163">
        <v>7.8580271327071283E-3</v>
      </c>
      <c r="AB3427" s="172">
        <v>7.8315332258416248E-3</v>
      </c>
    </row>
    <row r="3428" spans="24:28" x14ac:dyDescent="0.2">
      <c r="X3428" s="176" t="str">
        <f t="shared" si="87"/>
        <v>1w</v>
      </c>
      <c r="Y3428" s="164">
        <f>_xll.qlCalendarAdvance(Calendar,Y3427,X3428,"f",FALSE)</f>
        <v>63136</v>
      </c>
      <c r="Z3428" s="188">
        <f>_xll.qlCalendarAdvance(Calendar,Y3428,NDays&amp;"D")</f>
        <v>63138</v>
      </c>
      <c r="AA3428" s="163">
        <v>7.8588580385286246E-3</v>
      </c>
      <c r="AB3428" s="172">
        <v>7.8324566236798177E-3</v>
      </c>
    </row>
    <row r="3429" spans="24:28" x14ac:dyDescent="0.2">
      <c r="X3429" s="176" t="str">
        <f t="shared" si="87"/>
        <v>1w</v>
      </c>
      <c r="Y3429" s="164">
        <f>_xll.qlCalendarAdvance(Calendar,Y3428,X3429,"f",FALSE)</f>
        <v>63143</v>
      </c>
      <c r="Z3429" s="188">
        <f>_xll.qlCalendarAdvance(Calendar,Y3429,NDays&amp;"D")</f>
        <v>63145</v>
      </c>
      <c r="AA3429" s="163">
        <v>7.8596814686752343E-3</v>
      </c>
      <c r="AB3429" s="172">
        <v>7.8333725747548044E-3</v>
      </c>
    </row>
    <row r="3430" spans="24:28" x14ac:dyDescent="0.2">
      <c r="X3430" s="176" t="str">
        <f t="shared" si="87"/>
        <v>1w</v>
      </c>
      <c r="Y3430" s="164">
        <f>_xll.qlCalendarAdvance(Calendar,Y3429,X3430,"f",FALSE)</f>
        <v>63150</v>
      </c>
      <c r="Z3430" s="188">
        <f>_xll.qlCalendarAdvance(Calendar,Y3430,NDays&amp;"D")</f>
        <v>63152</v>
      </c>
      <c r="AA3430" s="163">
        <v>7.8604974231367992E-3</v>
      </c>
      <c r="AB3430" s="172">
        <v>7.8342810790665851E-3</v>
      </c>
    </row>
    <row r="3431" spans="24:28" x14ac:dyDescent="0.2">
      <c r="X3431" s="176" t="str">
        <f t="shared" si="87"/>
        <v>1w</v>
      </c>
      <c r="Y3431" s="164">
        <f>_xll.qlCalendarAdvance(Calendar,Y3430,X3431,"f",FALSE)</f>
        <v>63157</v>
      </c>
      <c r="Z3431" s="188">
        <f>_xll.qlCalendarAdvance(Calendar,Y3431,NDays&amp;"D")</f>
        <v>63159</v>
      </c>
      <c r="AA3431" s="163">
        <v>7.861446779154695E-3</v>
      </c>
      <c r="AB3431" s="172">
        <v>7.8351821366151597E-3</v>
      </c>
    </row>
    <row r="3432" spans="24:28" x14ac:dyDescent="0.2">
      <c r="X3432" s="176" t="str">
        <f t="shared" si="87"/>
        <v>1w</v>
      </c>
      <c r="Y3432" s="164">
        <f>_xll.qlCalendarAdvance(Calendar,Y3431,X3432,"f",FALSE)</f>
        <v>63164</v>
      </c>
      <c r="Z3432" s="188">
        <f>_xll.qlCalendarAdvance(Calendar,Y3432,NDays&amp;"D")</f>
        <v>63166</v>
      </c>
      <c r="AA3432" s="163">
        <v>7.8622472656866994E-3</v>
      </c>
      <c r="AB3432" s="172">
        <v>7.8360757474804643E-3</v>
      </c>
    </row>
    <row r="3433" spans="24:28" x14ac:dyDescent="0.2">
      <c r="X3433" s="176" t="str">
        <f t="shared" si="87"/>
        <v>1w</v>
      </c>
      <c r="Y3433" s="164">
        <f>_xll.qlCalendarAdvance(Calendar,Y3432,X3433,"f",FALSE)</f>
        <v>63171</v>
      </c>
      <c r="Z3433" s="188">
        <f>_xll.qlCalendarAdvance(Calendar,Y3433,NDays&amp;"D")</f>
        <v>63173</v>
      </c>
      <c r="AA3433" s="163">
        <v>7.8630402763447179E-3</v>
      </c>
      <c r="AB3433" s="172">
        <v>7.8369619115026268E-3</v>
      </c>
    </row>
    <row r="3434" spans="24:28" x14ac:dyDescent="0.2">
      <c r="X3434" s="176" t="str">
        <f t="shared" si="87"/>
        <v>1w</v>
      </c>
      <c r="Y3434" s="164">
        <f>_xll.qlCalendarAdvance(Calendar,Y3433,X3434,"f",FALSE)</f>
        <v>63178</v>
      </c>
      <c r="Z3434" s="188">
        <f>_xll.qlCalendarAdvance(Calendar,Y3434,NDays&amp;"D")</f>
        <v>63180</v>
      </c>
      <c r="AA3434" s="163">
        <v>7.8638258111204066E-3</v>
      </c>
      <c r="AB3434" s="172">
        <v>7.8378406286816471E-3</v>
      </c>
    </row>
    <row r="3435" spans="24:28" x14ac:dyDescent="0.2">
      <c r="X3435" s="176" t="str">
        <f t="shared" si="87"/>
        <v>1w</v>
      </c>
      <c r="Y3435" s="164">
        <f>_xll.qlCalendarAdvance(Calendar,Y3434,X3435,"f",FALSE)</f>
        <v>63185</v>
      </c>
      <c r="Z3435" s="188">
        <f>_xll.qlCalendarAdvance(Calendar,Y3435,NDays&amp;"D")</f>
        <v>63187</v>
      </c>
      <c r="AA3435" s="163">
        <v>7.8646038700045419E-3</v>
      </c>
      <c r="AB3435" s="172">
        <v>7.8387118992573335E-3</v>
      </c>
    </row>
    <row r="3436" spans="24:28" x14ac:dyDescent="0.2">
      <c r="X3436" s="176" t="str">
        <f t="shared" si="87"/>
        <v>1w</v>
      </c>
      <c r="Y3436" s="164">
        <f>_xll.qlCalendarAdvance(Calendar,Y3435,X3436,"f",FALSE)</f>
        <v>63192</v>
      </c>
      <c r="Z3436" s="188">
        <f>_xll.qlCalendarAdvance(Calendar,Y3436,NDays&amp;"D")</f>
        <v>63194</v>
      </c>
      <c r="AA3436" s="163">
        <v>7.8652361600256536E-3</v>
      </c>
      <c r="AB3436" s="172">
        <v>7.8395757229898777E-3</v>
      </c>
    </row>
    <row r="3437" spans="24:28" x14ac:dyDescent="0.2">
      <c r="X3437" s="176" t="str">
        <f t="shared" si="87"/>
        <v>1w</v>
      </c>
      <c r="Y3437" s="164">
        <f>_xll.qlCalendarAdvance(Calendar,Y3436,X3437,"f",FALSE)</f>
        <v>63199</v>
      </c>
      <c r="Z3437" s="188">
        <f>_xll.qlCalendarAdvance(Calendar,Y3437,NDays&amp;"D")</f>
        <v>63201</v>
      </c>
      <c r="AA3437" s="163">
        <v>7.8659997844437168E-3</v>
      </c>
      <c r="AB3437" s="172">
        <v>7.8404321000391519E-3</v>
      </c>
    </row>
    <row r="3438" spans="24:28" x14ac:dyDescent="0.2">
      <c r="X3438" s="176" t="str">
        <f t="shared" si="87"/>
        <v>1w</v>
      </c>
      <c r="Y3438" s="164">
        <f>_xll.qlCalendarAdvance(Calendar,Y3437,X3438,"f",FALSE)</f>
        <v>63206</v>
      </c>
      <c r="Z3438" s="188">
        <f>_xll.qlCalendarAdvance(Calendar,Y3438,NDays&amp;"D")</f>
        <v>63208</v>
      </c>
      <c r="AA3438" s="163">
        <v>7.866755933106517E-3</v>
      </c>
      <c r="AB3438" s="172">
        <v>7.8412810304051561E-3</v>
      </c>
    </row>
    <row r="3439" spans="24:28" x14ac:dyDescent="0.2">
      <c r="X3439" s="176" t="str">
        <f t="shared" si="87"/>
        <v>1w</v>
      </c>
      <c r="Y3439" s="164">
        <f>_xll.qlCalendarAdvance(Calendar,Y3438,X3439,"f",FALSE)</f>
        <v>63213</v>
      </c>
      <c r="Z3439" s="188">
        <f>_xll.qlCalendarAdvance(Calendar,Y3439,NDays&amp;"D")</f>
        <v>63215</v>
      </c>
      <c r="AA3439" s="163">
        <v>7.8675046060052208E-3</v>
      </c>
      <c r="AB3439" s="172">
        <v>7.8421225138480821E-3</v>
      </c>
    </row>
    <row r="3440" spans="24:28" x14ac:dyDescent="0.2">
      <c r="X3440" s="176" t="str">
        <f t="shared" si="87"/>
        <v>1w</v>
      </c>
      <c r="Y3440" s="164">
        <f>_xll.qlCalendarAdvance(Calendar,Y3439,X3440,"f",FALSE)</f>
        <v>63220</v>
      </c>
      <c r="Z3440" s="188">
        <f>_xll.qlCalendarAdvance(Calendar,Y3440,NDays&amp;"D")</f>
        <v>63222</v>
      </c>
      <c r="AA3440" s="163">
        <v>7.8682458031314375E-3</v>
      </c>
      <c r="AB3440" s="172">
        <v>7.8429565506077381E-3</v>
      </c>
    </row>
    <row r="3441" spans="24:28" x14ac:dyDescent="0.2">
      <c r="X3441" s="176" t="str">
        <f t="shared" si="87"/>
        <v>1w</v>
      </c>
      <c r="Y3441" s="164">
        <f>_xll.qlCalendarAdvance(Calendar,Y3440,X3441,"f",FALSE)</f>
        <v>63227</v>
      </c>
      <c r="Z3441" s="188">
        <f>_xll.qlCalendarAdvance(Calendar,Y3441,NDays&amp;"D")</f>
        <v>63229</v>
      </c>
      <c r="AA3441" s="163">
        <v>7.8689795244767761E-3</v>
      </c>
      <c r="AB3441" s="172">
        <v>7.843783140604188E-3</v>
      </c>
    </row>
    <row r="3442" spans="24:28" x14ac:dyDescent="0.2">
      <c r="X3442" s="176" t="str">
        <f t="shared" si="87"/>
        <v>1w</v>
      </c>
      <c r="Y3442" s="164">
        <f>_xll.qlCalendarAdvance(Calendar,Y3441,X3442,"f",FALSE)</f>
        <v>63234</v>
      </c>
      <c r="Z3442" s="188">
        <f>_xll.qlCalendarAdvance(Calendar,Y3442,NDays&amp;"D")</f>
        <v>63236</v>
      </c>
      <c r="AA3442" s="163">
        <v>7.8697057700332865E-3</v>
      </c>
      <c r="AB3442" s="172">
        <v>7.8446022838374319E-3</v>
      </c>
    </row>
    <row r="3443" spans="24:28" x14ac:dyDescent="0.2">
      <c r="X3443" s="176" t="str">
        <f t="shared" si="87"/>
        <v>1w</v>
      </c>
      <c r="Y3443" s="164">
        <f>_xll.qlCalendarAdvance(Calendar,Y3442,X3443,"f",FALSE)</f>
        <v>63241</v>
      </c>
      <c r="Z3443" s="188">
        <f>_xll.qlCalendarAdvance(Calendar,Y3443,NDays&amp;"D")</f>
        <v>63243</v>
      </c>
      <c r="AA3443" s="163">
        <v>7.8704245397930184E-3</v>
      </c>
      <c r="AB3443" s="172">
        <v>7.8454139803874057E-3</v>
      </c>
    </row>
    <row r="3444" spans="24:28" x14ac:dyDescent="0.2">
      <c r="X3444" s="176" t="str">
        <f t="shared" si="87"/>
        <v>1w</v>
      </c>
      <c r="Y3444" s="164">
        <f>_xll.qlCalendarAdvance(Calendar,Y3443,X3444,"f",FALSE)</f>
        <v>63248</v>
      </c>
      <c r="Z3444" s="188">
        <f>_xll.qlCalendarAdvance(Calendar,Y3444,NDays&amp;"D")</f>
        <v>63250</v>
      </c>
      <c r="AA3444" s="163">
        <v>7.8718061070762266E-3</v>
      </c>
      <c r="AB3444" s="172">
        <v>7.8462182300143013E-3</v>
      </c>
    </row>
    <row r="3445" spans="24:28" x14ac:dyDescent="0.2">
      <c r="X3445" s="176" t="str">
        <f t="shared" si="87"/>
        <v>1w</v>
      </c>
      <c r="Y3445" s="164">
        <f>_xll.qlCalendarAdvance(Calendar,Y3444,X3445,"f",FALSE)</f>
        <v>63255</v>
      </c>
      <c r="Z3445" s="188">
        <f>_xll.qlCalendarAdvance(Calendar,Y3445,NDays&amp;"D")</f>
        <v>63257</v>
      </c>
      <c r="AA3445" s="163">
        <v>7.8725073317872114E-3</v>
      </c>
      <c r="AB3445" s="172">
        <v>7.847015033037863E-3</v>
      </c>
    </row>
    <row r="3446" spans="24:28" x14ac:dyDescent="0.2">
      <c r="X3446" s="176" t="str">
        <f t="shared" si="87"/>
        <v>1w</v>
      </c>
      <c r="Y3446" s="164">
        <f>_xll.qlCalendarAdvance(Calendar,Y3445,X3446,"f",FALSE)</f>
        <v>63262</v>
      </c>
      <c r="Z3446" s="188">
        <f>_xll.qlCalendarAdvance(Calendar,Y3446,NDays&amp;"D")</f>
        <v>63264</v>
      </c>
      <c r="AA3446" s="163">
        <v>7.8732010798655497E-3</v>
      </c>
      <c r="AB3446" s="172">
        <v>7.8478043892982186E-3</v>
      </c>
    </row>
    <row r="3447" spans="24:28" x14ac:dyDescent="0.2">
      <c r="X3447" s="176" t="str">
        <f t="shared" si="87"/>
        <v>1w</v>
      </c>
      <c r="Y3447" s="164">
        <f>_xll.qlCalendarAdvance(Calendar,Y3446,X3447,"f",FALSE)</f>
        <v>63269</v>
      </c>
      <c r="Z3447" s="188">
        <f>_xll.qlCalendarAdvance(Calendar,Y3447,NDays&amp;"D")</f>
        <v>63271</v>
      </c>
      <c r="AA3447" s="163">
        <v>7.8738873513017893E-3</v>
      </c>
      <c r="AB3447" s="172">
        <v>7.8491504324311734E-3</v>
      </c>
    </row>
    <row r="3448" spans="24:28" x14ac:dyDescent="0.2">
      <c r="X3448" s="176" t="str">
        <f t="shared" si="87"/>
        <v>1w</v>
      </c>
      <c r="Y3448" s="164">
        <f>_xll.qlCalendarAdvance(Calendar,Y3447,X3448,"f",FALSE)</f>
        <v>63276</v>
      </c>
      <c r="Z3448" s="188">
        <f>_xll.qlCalendarAdvance(Calendar,Y3448,NDays&amp;"D")</f>
        <v>63278</v>
      </c>
      <c r="AA3448" s="163">
        <v>7.8741703520463762E-3</v>
      </c>
      <c r="AB3448" s="172">
        <v>7.8493607614493754E-3</v>
      </c>
    </row>
    <row r="3449" spans="24:28" x14ac:dyDescent="0.2">
      <c r="X3449" s="176" t="str">
        <f t="shared" si="87"/>
        <v>1w</v>
      </c>
      <c r="Y3449" s="164">
        <f>_xll.qlCalendarAdvance(Calendar,Y3448,X3449,"f",FALSE)</f>
        <v>63283</v>
      </c>
      <c r="Z3449" s="188">
        <f>_xll.qlCalendarAdvance(Calendar,Y3449,NDays&amp;"D")</f>
        <v>63285</v>
      </c>
      <c r="AA3449" s="163">
        <v>7.8748432282535891E-3</v>
      </c>
      <c r="AB3449" s="172">
        <v>7.8501277774201128E-3</v>
      </c>
    </row>
    <row r="3450" spans="24:28" x14ac:dyDescent="0.2">
      <c r="X3450" s="176" t="str">
        <f t="shared" si="87"/>
        <v>1w</v>
      </c>
      <c r="Y3450" s="164">
        <f>_xll.qlCalendarAdvance(Calendar,Y3449,X3450,"f",FALSE)</f>
        <v>63290</v>
      </c>
      <c r="Z3450" s="188">
        <f>_xll.qlCalendarAdvance(Calendar,Y3450,NDays&amp;"D")</f>
        <v>63292</v>
      </c>
      <c r="AA3450" s="163">
        <v>7.8755086282841832E-3</v>
      </c>
      <c r="AB3450" s="172">
        <v>7.8508873466276441E-3</v>
      </c>
    </row>
    <row r="3451" spans="24:28" x14ac:dyDescent="0.2">
      <c r="X3451" s="176" t="str">
        <f t="shared" si="87"/>
        <v>1w</v>
      </c>
      <c r="Y3451" s="164">
        <f>_xll.qlCalendarAdvance(Calendar,Y3450,X3451,"f",FALSE)</f>
        <v>63297</v>
      </c>
      <c r="Z3451" s="188">
        <f>_xll.qlCalendarAdvance(Calendar,Y3451,NDays&amp;"D")</f>
        <v>63299</v>
      </c>
      <c r="AA3451" s="163">
        <v>7.8761665521298596E-3</v>
      </c>
      <c r="AB3451" s="172">
        <v>7.8516394690719693E-3</v>
      </c>
    </row>
    <row r="3452" spans="24:28" x14ac:dyDescent="0.2">
      <c r="X3452" s="176" t="str">
        <f t="shared" si="87"/>
        <v>1w</v>
      </c>
      <c r="Y3452" s="164">
        <f>_xll.qlCalendarAdvance(Calendar,Y3451,X3452,"f",FALSE)</f>
        <v>63304</v>
      </c>
      <c r="Z3452" s="188">
        <f>_xll.qlCalendarAdvance(Calendar,Y3452,NDays&amp;"D")</f>
        <v>63306</v>
      </c>
      <c r="AA3452" s="163">
        <v>7.8768169997845052E-3</v>
      </c>
      <c r="AB3452" s="172">
        <v>7.8523841447530884E-3</v>
      </c>
    </row>
    <row r="3453" spans="24:28" x14ac:dyDescent="0.2">
      <c r="X3453" s="176" t="str">
        <f t="shared" si="87"/>
        <v>1w</v>
      </c>
      <c r="Y3453" s="164">
        <f>_xll.qlCalendarAdvance(Calendar,Y3452,X3453,"f",FALSE)</f>
        <v>63311</v>
      </c>
      <c r="Z3453" s="188">
        <f>_xll.qlCalendarAdvance(Calendar,Y3453,NDays&amp;"D")</f>
        <v>63313</v>
      </c>
      <c r="AA3453" s="163">
        <v>7.8778479700272463E-3</v>
      </c>
      <c r="AB3453" s="172">
        <v>7.8531213737509376E-3</v>
      </c>
    </row>
    <row r="3454" spans="24:28" x14ac:dyDescent="0.2">
      <c r="X3454" s="176" t="str">
        <f t="shared" si="87"/>
        <v>1w</v>
      </c>
      <c r="Y3454" s="164">
        <f>_xll.qlCalendarAdvance(Calendar,Y3453,X3454,"f",FALSE)</f>
        <v>63318</v>
      </c>
      <c r="Z3454" s="188">
        <f>_xll.qlCalendarAdvance(Calendar,Y3454,NDays&amp;"D")</f>
        <v>63320</v>
      </c>
      <c r="AA3454" s="163">
        <v>7.8784819047607712E-3</v>
      </c>
      <c r="AB3454" s="172">
        <v>7.8538511559855806E-3</v>
      </c>
    </row>
    <row r="3455" spans="24:28" x14ac:dyDescent="0.2">
      <c r="X3455" s="176" t="str">
        <f t="shared" si="87"/>
        <v>1w</v>
      </c>
      <c r="Y3455" s="164">
        <f>_xll.qlCalendarAdvance(Calendar,Y3454,X3455,"f",FALSE)</f>
        <v>63325</v>
      </c>
      <c r="Z3455" s="188">
        <f>_xll.qlCalendarAdvance(Calendar,Y3455,NDays&amp;"D")</f>
        <v>63327</v>
      </c>
      <c r="AA3455" s="163">
        <v>7.8791083627920266E-3</v>
      </c>
      <c r="AB3455" s="172">
        <v>7.8545734913770815E-3</v>
      </c>
    </row>
    <row r="3456" spans="24:28" x14ac:dyDescent="0.2">
      <c r="X3456" s="176" t="str">
        <f t="shared" si="87"/>
        <v>1w</v>
      </c>
      <c r="Y3456" s="164">
        <f>_xll.qlCalendarAdvance(Calendar,Y3455,X3456,"f",FALSE)</f>
        <v>63332</v>
      </c>
      <c r="Z3456" s="188">
        <f>_xll.qlCalendarAdvance(Calendar,Y3456,NDays&amp;"D")</f>
        <v>63334</v>
      </c>
      <c r="AA3456" s="163">
        <v>7.8797273441149982E-3</v>
      </c>
      <c r="AB3456" s="172">
        <v>7.8552883799254403E-3</v>
      </c>
    </row>
    <row r="3457" spans="24:28" x14ac:dyDescent="0.2">
      <c r="X3457" s="176" t="str">
        <f t="shared" si="87"/>
        <v>1w</v>
      </c>
      <c r="Y3457" s="164">
        <f>_xll.qlCalendarAdvance(Calendar,Y3456,X3457,"f",FALSE)</f>
        <v>63339</v>
      </c>
      <c r="Z3457" s="188">
        <f>_xll.qlCalendarAdvance(Calendar,Y3457,NDays&amp;"D")</f>
        <v>63341</v>
      </c>
      <c r="AA3457" s="163">
        <v>7.8799570949196745E-3</v>
      </c>
      <c r="AB3457" s="172">
        <v>7.8559958218704651E-3</v>
      </c>
    </row>
    <row r="3458" spans="24:28" x14ac:dyDescent="0.2">
      <c r="X3458" s="176" t="str">
        <f t="shared" si="87"/>
        <v>1w</v>
      </c>
      <c r="Y3458" s="164">
        <f>_xll.qlCalendarAdvance(Calendar,Y3457,X3458,"f",FALSE)</f>
        <v>63346</v>
      </c>
      <c r="Z3458" s="188">
        <f>_xll.qlCalendarAdvance(Calendar,Y3458,NDays&amp;"D")</f>
        <v>63348</v>
      </c>
      <c r="AA3458" s="163">
        <v>7.8805626852704366E-3</v>
      </c>
      <c r="AB3458" s="172">
        <v>7.8566958171322199E-3</v>
      </c>
    </row>
    <row r="3459" spans="24:28" x14ac:dyDescent="0.2">
      <c r="X3459" s="176" t="str">
        <f t="shared" si="87"/>
        <v>1w</v>
      </c>
      <c r="Y3459" s="164">
        <f>_xll.qlCalendarAdvance(Calendar,Y3458,X3459,"f",FALSE)</f>
        <v>63353</v>
      </c>
      <c r="Z3459" s="188">
        <f>_xll.qlCalendarAdvance(Calendar,Y3459,NDays&amp;"D")</f>
        <v>63355</v>
      </c>
      <c r="AA3459" s="163">
        <v>7.8811607993794965E-3</v>
      </c>
      <c r="AB3459" s="172">
        <v>7.8573883654708965E-3</v>
      </c>
    </row>
    <row r="3460" spans="24:28" x14ac:dyDescent="0.2">
      <c r="X3460" s="176" t="str">
        <f t="shared" si="87"/>
        <v>1w</v>
      </c>
      <c r="Y3460" s="164">
        <f>_xll.qlCalendarAdvance(Calendar,Y3459,X3460,"f",FALSE)</f>
        <v>63360</v>
      </c>
      <c r="Z3460" s="188">
        <f>_xll.qlCalendarAdvance(Calendar,Y3460,NDays&amp;"D")</f>
        <v>63362</v>
      </c>
      <c r="AA3460" s="163">
        <v>7.881751437239428E-3</v>
      </c>
      <c r="AB3460" s="172">
        <v>7.858073467046367E-3</v>
      </c>
    </row>
    <row r="3461" spans="24:28" x14ac:dyDescent="0.2">
      <c r="X3461" s="176" t="str">
        <f t="shared" si="87"/>
        <v>1w</v>
      </c>
      <c r="Y3461" s="164">
        <f>_xll.qlCalendarAdvance(Calendar,Y3460,X3461,"f",FALSE)</f>
        <v>63367</v>
      </c>
      <c r="Z3461" s="188">
        <f>_xll.qlCalendarAdvance(Calendar,Y3461,NDays&amp;"D")</f>
        <v>63369</v>
      </c>
      <c r="AA3461" s="163">
        <v>7.8823345988441179E-3</v>
      </c>
      <c r="AB3461" s="172">
        <v>7.8587511220185036E-3</v>
      </c>
    </row>
    <row r="3462" spans="24:28" x14ac:dyDescent="0.2">
      <c r="X3462" s="176" t="str">
        <f t="shared" si="87"/>
        <v>1w</v>
      </c>
      <c r="Y3462" s="164">
        <f>_xll.qlCalendarAdvance(Calendar,Y3461,X3462,"f",FALSE)</f>
        <v>63374</v>
      </c>
      <c r="Z3462" s="188">
        <f>_xll.qlCalendarAdvance(Calendar,Y3462,NDays&amp;"D")</f>
        <v>63376</v>
      </c>
      <c r="AA3462" s="163">
        <v>7.8832842207641265E-3</v>
      </c>
      <c r="AB3462" s="172">
        <v>7.859421330147498E-3</v>
      </c>
    </row>
    <row r="3463" spans="24:28" x14ac:dyDescent="0.2">
      <c r="X3463" s="176" t="str">
        <f t="shared" si="87"/>
        <v>1w</v>
      </c>
      <c r="Y3463" s="164">
        <f>_xll.qlCalendarAdvance(Calendar,Y3462,X3463,"f",FALSE)</f>
        <v>63381</v>
      </c>
      <c r="Z3463" s="188">
        <f>_xll.qlCalendarAdvance(Calendar,Y3463,NDays&amp;"D")</f>
        <v>63383</v>
      </c>
      <c r="AA3463" s="163">
        <v>7.8838508649279743E-3</v>
      </c>
      <c r="AB3463" s="172">
        <v>7.8600840915132864E-3</v>
      </c>
    </row>
    <row r="3464" spans="24:28" x14ac:dyDescent="0.2">
      <c r="X3464" s="176" t="str">
        <f t="shared" si="87"/>
        <v>1w</v>
      </c>
      <c r="Y3464" s="164">
        <f>_xll.qlCalendarAdvance(Calendar,Y3463,X3464,"f",FALSE)</f>
        <v>63388</v>
      </c>
      <c r="Z3464" s="188">
        <f>_xll.qlCalendarAdvance(Calendar,Y3464,NDays&amp;"D")</f>
        <v>63390</v>
      </c>
      <c r="AA3464" s="163">
        <v>7.8844100323280999E-3</v>
      </c>
      <c r="AB3464" s="172">
        <v>7.8607394062757407E-3</v>
      </c>
    </row>
    <row r="3465" spans="24:28" x14ac:dyDescent="0.2">
      <c r="X3465" s="176" t="str">
        <f t="shared" si="87"/>
        <v>1w</v>
      </c>
      <c r="Y3465" s="164">
        <f>_xll.qlCalendarAdvance(Calendar,Y3464,X3465,"f",FALSE)</f>
        <v>63395</v>
      </c>
      <c r="Z3465" s="188">
        <f>_xll.qlCalendarAdvance(Calendar,Y3465,NDays&amp;"D")</f>
        <v>63397</v>
      </c>
      <c r="AA3465" s="163">
        <v>7.8849617229571935E-3</v>
      </c>
      <c r="AB3465" s="172">
        <v>7.8613872740351809E-3</v>
      </c>
    </row>
    <row r="3466" spans="24:28" x14ac:dyDescent="0.2">
      <c r="X3466" s="176" t="str">
        <f t="shared" si="87"/>
        <v>1w</v>
      </c>
      <c r="Y3466" s="164">
        <f>_xll.qlCalendarAdvance(Calendar,Y3465,X3466,"f",FALSE)</f>
        <v>63402</v>
      </c>
      <c r="Z3466" s="188">
        <f>_xll.qlCalendarAdvance(Calendar,Y3466,NDays&amp;"D")</f>
        <v>63404</v>
      </c>
      <c r="AA3466" s="163">
        <v>7.8855059368096708E-3</v>
      </c>
      <c r="AB3466" s="172">
        <v>7.8620276951912871E-3</v>
      </c>
    </row>
    <row r="3467" spans="24:28" x14ac:dyDescent="0.2">
      <c r="X3467" s="176" t="str">
        <f t="shared" si="87"/>
        <v>1w</v>
      </c>
      <c r="Y3467" s="164">
        <f>_xll.qlCalendarAdvance(Calendar,Y3466,X3467,"f",FALSE)</f>
        <v>63409</v>
      </c>
      <c r="Z3467" s="188">
        <f>_xll.qlCalendarAdvance(Calendar,Y3467,NDays&amp;"D")</f>
        <v>63411</v>
      </c>
      <c r="AA3467" s="163">
        <v>7.886042673879514E-3</v>
      </c>
      <c r="AB3467" s="172">
        <v>7.8626606694243151E-3</v>
      </c>
    </row>
    <row r="3468" spans="24:28" x14ac:dyDescent="0.2">
      <c r="X3468" s="176" t="str">
        <f t="shared" si="87"/>
        <v>1w</v>
      </c>
      <c r="Y3468" s="164">
        <f>_xll.qlCalendarAdvance(Calendar,Y3467,X3468,"f",FALSE)</f>
        <v>63416</v>
      </c>
      <c r="Z3468" s="188">
        <f>_xll.qlCalendarAdvance(Calendar,Y3468,NDays&amp;"D")</f>
        <v>63418</v>
      </c>
      <c r="AA3468" s="163">
        <v>7.8865719341598469E-3</v>
      </c>
      <c r="AB3468" s="172">
        <v>7.8632861971339452E-3</v>
      </c>
    </row>
    <row r="3469" spans="24:28" x14ac:dyDescent="0.2">
      <c r="X3469" s="176" t="str">
        <f t="shared" si="87"/>
        <v>1w</v>
      </c>
      <c r="Y3469" s="164">
        <f>_xll.qlCalendarAdvance(Calendar,Y3468,X3469,"f",FALSE)</f>
        <v>63423</v>
      </c>
      <c r="Z3469" s="188">
        <f>_xll.qlCalendarAdvance(Calendar,Y3469,NDays&amp;"D")</f>
        <v>63425</v>
      </c>
      <c r="AA3469" s="163">
        <v>7.8870937176455137E-3</v>
      </c>
      <c r="AB3469" s="172">
        <v>7.8639042779204971E-3</v>
      </c>
    </row>
    <row r="3470" spans="24:28" x14ac:dyDescent="0.2">
      <c r="X3470" s="176" t="str">
        <f t="shared" si="87"/>
        <v>1w</v>
      </c>
      <c r="Y3470" s="164">
        <f>_xll.qlCalendarAdvance(Calendar,Y3469,X3470,"f",FALSE)</f>
        <v>63430</v>
      </c>
      <c r="Z3470" s="188">
        <f>_xll.qlCalendarAdvance(Calendar,Y3470,NDays&amp;"D")</f>
        <v>63432</v>
      </c>
      <c r="AA3470" s="163">
        <v>7.8870054444780801E-3</v>
      </c>
      <c r="AB3470" s="172">
        <v>7.8645149120237789E-3</v>
      </c>
    </row>
    <row r="3471" spans="24:28" x14ac:dyDescent="0.2">
      <c r="X3471" s="176" t="str">
        <f t="shared" si="87"/>
        <v>1w</v>
      </c>
      <c r="Y3471" s="164">
        <f>_xll.qlCalendarAdvance(Calendar,Y3470,X3471,"f",FALSE)</f>
        <v>63437</v>
      </c>
      <c r="Z3471" s="188">
        <f>_xll.qlCalendarAdvance(Calendar,Y3471,NDays&amp;"D")</f>
        <v>63439</v>
      </c>
      <c r="AA3471" s="163">
        <v>7.8875148889470097E-3</v>
      </c>
      <c r="AB3471" s="172">
        <v>7.8651180994437908E-3</v>
      </c>
    </row>
    <row r="3472" spans="24:28" x14ac:dyDescent="0.2">
      <c r="X3472" s="176" t="str">
        <f t="shared" si="87"/>
        <v>1w</v>
      </c>
      <c r="Y3472" s="164">
        <f>_xll.qlCalendarAdvance(Calendar,Y3471,X3472,"f",FALSE)</f>
        <v>63444</v>
      </c>
      <c r="Z3472" s="188">
        <f>_xll.qlCalendarAdvance(Calendar,Y3472,NDays&amp;"D")</f>
        <v>63446</v>
      </c>
      <c r="AA3472" s="163">
        <v>7.8880168574191022E-3</v>
      </c>
      <c r="AB3472" s="172">
        <v>7.8657138400206605E-3</v>
      </c>
    </row>
    <row r="3473" spans="24:28" x14ac:dyDescent="0.2">
      <c r="X3473" s="176" t="str">
        <f t="shared" si="87"/>
        <v>1w</v>
      </c>
      <c r="Y3473" s="164">
        <f>_xll.qlCalendarAdvance(Calendar,Y3472,X3473,"f",FALSE)</f>
        <v>63451</v>
      </c>
      <c r="Z3473" s="188">
        <f>_xll.qlCalendarAdvance(Calendar,Y3473,NDays&amp;"D")</f>
        <v>63453</v>
      </c>
      <c r="AA3473" s="163">
        <v>7.8885113498877325E-3</v>
      </c>
      <c r="AB3473" s="172">
        <v>7.8663021337543881E-3</v>
      </c>
    </row>
    <row r="3474" spans="24:28" x14ac:dyDescent="0.2">
      <c r="X3474" s="176" t="str">
        <f t="shared" si="87"/>
        <v>1w</v>
      </c>
      <c r="Y3474" s="164">
        <f>_xll.qlCalendarAdvance(Calendar,Y3473,X3474,"f",FALSE)</f>
        <v>63458</v>
      </c>
      <c r="Z3474" s="188">
        <f>_xll.qlCalendarAdvance(Calendar,Y3474,NDays&amp;"D")</f>
        <v>63460</v>
      </c>
      <c r="AA3474" s="163">
        <v>7.8889983663480417E-3</v>
      </c>
      <c r="AB3474" s="172">
        <v>7.8668829808048457E-3</v>
      </c>
    </row>
    <row r="3475" spans="24:28" x14ac:dyDescent="0.2">
      <c r="X3475" s="176" t="str">
        <f t="shared" si="87"/>
        <v>1w</v>
      </c>
      <c r="Y3475" s="164">
        <f>_xll.qlCalendarAdvance(Calendar,Y3474,X3475,"f",FALSE)</f>
        <v>63465</v>
      </c>
      <c r="Z3475" s="188">
        <f>_xll.qlCalendarAdvance(Calendar,Y3475,NDays&amp;"D")</f>
        <v>63467</v>
      </c>
      <c r="AA3475" s="163">
        <v>7.8895959029786546E-3</v>
      </c>
      <c r="AB3475" s="172">
        <v>7.8674563810920972E-3</v>
      </c>
    </row>
    <row r="3476" spans="24:28" x14ac:dyDescent="0.2">
      <c r="X3476" s="176" t="str">
        <f t="shared" si="87"/>
        <v>1w</v>
      </c>
      <c r="Y3476" s="164">
        <f>_xll.qlCalendarAdvance(Calendar,Y3475,X3476,"f",FALSE)</f>
        <v>63472</v>
      </c>
      <c r="Z3476" s="188">
        <f>_xll.qlCalendarAdvance(Calendar,Y3476,NDays&amp;"D")</f>
        <v>63474</v>
      </c>
      <c r="AA3476" s="163">
        <v>7.8900674437182971E-3</v>
      </c>
      <c r="AB3476" s="172">
        <v>7.8680223346960787E-3</v>
      </c>
    </row>
    <row r="3477" spans="24:28" x14ac:dyDescent="0.2">
      <c r="X3477" s="176" t="str">
        <f t="shared" ref="X3477:X3540" si="88">X3476</f>
        <v>1w</v>
      </c>
      <c r="Y3477" s="164">
        <f>_xll.qlCalendarAdvance(Calendar,Y3476,X3477,"f",FALSE)</f>
        <v>63479</v>
      </c>
      <c r="Z3477" s="188">
        <f>_xll.qlCalendarAdvance(Calendar,Y3477,NDays&amp;"D")</f>
        <v>63481</v>
      </c>
      <c r="AA3477" s="163">
        <v>7.8905315082694796E-3</v>
      </c>
      <c r="AB3477" s="172">
        <v>7.8685808414569181E-3</v>
      </c>
    </row>
    <row r="3478" spans="24:28" x14ac:dyDescent="0.2">
      <c r="X3478" s="176" t="str">
        <f t="shared" si="88"/>
        <v>1w</v>
      </c>
      <c r="Y3478" s="164">
        <f>_xll.qlCalendarAdvance(Calendar,Y3477,X3478,"f",FALSE)</f>
        <v>63486</v>
      </c>
      <c r="Z3478" s="188">
        <f>_xll.qlCalendarAdvance(Calendar,Y3478,NDays&amp;"D")</f>
        <v>63488</v>
      </c>
      <c r="AA3478" s="163">
        <v>7.8909880966278097E-3</v>
      </c>
      <c r="AB3478" s="172">
        <v>7.8691319015344874E-3</v>
      </c>
    </row>
    <row r="3479" spans="24:28" x14ac:dyDescent="0.2">
      <c r="X3479" s="176" t="str">
        <f t="shared" si="88"/>
        <v>1w</v>
      </c>
      <c r="Y3479" s="164">
        <f>_xll.qlCalendarAdvance(Calendar,Y3478,X3479,"f",FALSE)</f>
        <v>63493</v>
      </c>
      <c r="Z3479" s="188">
        <f>_xll.qlCalendarAdvance(Calendar,Y3479,NDays&amp;"D")</f>
        <v>63495</v>
      </c>
      <c r="AA3479" s="163">
        <v>7.8913213083375237E-3</v>
      </c>
      <c r="AB3479" s="172">
        <v>7.8696755148488506E-3</v>
      </c>
    </row>
    <row r="3480" spans="24:28" x14ac:dyDescent="0.2">
      <c r="X3480" s="176" t="str">
        <f t="shared" si="88"/>
        <v>1w</v>
      </c>
      <c r="Y3480" s="164">
        <f>_xll.qlCalendarAdvance(Calendar,Y3479,X3480,"f",FALSE)</f>
        <v>63500</v>
      </c>
      <c r="Z3480" s="188">
        <f>_xll.qlCalendarAdvance(Calendar,Y3480,NDays&amp;"D")</f>
        <v>63502</v>
      </c>
      <c r="AA3480" s="163">
        <v>7.8917634686366152E-3</v>
      </c>
      <c r="AB3480" s="172">
        <v>7.8702116814000078E-3</v>
      </c>
    </row>
    <row r="3481" spans="24:28" x14ac:dyDescent="0.2">
      <c r="X3481" s="176" t="str">
        <f t="shared" si="88"/>
        <v>1w</v>
      </c>
      <c r="Y3481" s="164">
        <f>_xll.qlCalendarAdvance(Calendar,Y3480,X3481,"f",FALSE)</f>
        <v>63507</v>
      </c>
      <c r="Z3481" s="188">
        <f>_xll.qlCalendarAdvance(Calendar,Y3481,NDays&amp;"D")</f>
        <v>63509</v>
      </c>
      <c r="AA3481" s="163">
        <v>7.8921981528902903E-3</v>
      </c>
      <c r="AB3481" s="172">
        <v>7.8707404010280868E-3</v>
      </c>
    </row>
    <row r="3482" spans="24:28" x14ac:dyDescent="0.2">
      <c r="X3482" s="176" t="str">
        <f t="shared" si="88"/>
        <v>1w</v>
      </c>
      <c r="Y3482" s="164">
        <f>_xll.qlCalendarAdvance(Calendar,Y3481,X3482,"f",FALSE)</f>
        <v>63514</v>
      </c>
      <c r="Z3482" s="188">
        <f>_xll.qlCalendarAdvance(Calendar,Y3482,NDays&amp;"D")</f>
        <v>63516</v>
      </c>
      <c r="AA3482" s="163">
        <v>7.892625361094573E-3</v>
      </c>
      <c r="AB3482" s="172">
        <v>7.8712616741327679E-3</v>
      </c>
    </row>
    <row r="3483" spans="24:28" x14ac:dyDescent="0.2">
      <c r="X3483" s="176" t="str">
        <f t="shared" si="88"/>
        <v>1w</v>
      </c>
      <c r="Y3483" s="164">
        <f>_xll.qlCalendarAdvance(Calendar,Y3482,X3483,"f",FALSE)</f>
        <v>63521</v>
      </c>
      <c r="Z3483" s="188">
        <f>_xll.qlCalendarAdvance(Calendar,Y3483,NDays&amp;"D")</f>
        <v>63523</v>
      </c>
      <c r="AA3483" s="163">
        <v>7.8931588953470525E-3</v>
      </c>
      <c r="AB3483" s="172">
        <v>7.8717755003143708E-3</v>
      </c>
    </row>
    <row r="3484" spans="24:28" x14ac:dyDescent="0.2">
      <c r="X3484" s="176" t="str">
        <f t="shared" si="88"/>
        <v>1w</v>
      </c>
      <c r="Y3484" s="164">
        <f>_xll.qlCalendarAdvance(Calendar,Y3483,X3484,"f",FALSE)</f>
        <v>63528</v>
      </c>
      <c r="Z3484" s="188">
        <f>_xll.qlCalendarAdvance(Calendar,Y3484,NDays&amp;"D")</f>
        <v>63530</v>
      </c>
      <c r="AA3484" s="163">
        <v>7.8935706264415453E-3</v>
      </c>
      <c r="AB3484" s="172">
        <v>7.8722818798127037E-3</v>
      </c>
    </row>
    <row r="3485" spans="24:28" x14ac:dyDescent="0.2">
      <c r="X3485" s="176" t="str">
        <f t="shared" si="88"/>
        <v>1w</v>
      </c>
      <c r="Y3485" s="164">
        <f>_xll.qlCalendarAdvance(Calendar,Y3484,X3485,"f",FALSE)</f>
        <v>63535</v>
      </c>
      <c r="Z3485" s="188">
        <f>_xll.qlCalendarAdvance(Calendar,Y3485,NDays&amp;"D")</f>
        <v>63537</v>
      </c>
      <c r="AA3485" s="163">
        <v>7.8939748813093673E-3</v>
      </c>
      <c r="AB3485" s="172">
        <v>7.8727808126277665E-3</v>
      </c>
    </row>
    <row r="3486" spans="24:28" x14ac:dyDescent="0.2">
      <c r="X3486" s="176" t="str">
        <f t="shared" si="88"/>
        <v>1w</v>
      </c>
      <c r="Y3486" s="164">
        <f>_xll.qlCalendarAdvance(Calendar,Y3485,X3486,"f",FALSE)</f>
        <v>63542</v>
      </c>
      <c r="Z3486" s="188">
        <f>_xll.qlCalendarAdvance(Calendar,Y3486,NDays&amp;"D")</f>
        <v>63544</v>
      </c>
      <c r="AA3486" s="163">
        <v>7.8943716599452485E-3</v>
      </c>
      <c r="AB3486" s="172">
        <v>7.8732722986796233E-3</v>
      </c>
    </row>
    <row r="3487" spans="24:28" x14ac:dyDescent="0.2">
      <c r="X3487" s="176" t="str">
        <f t="shared" si="88"/>
        <v>1w</v>
      </c>
      <c r="Y3487" s="164">
        <f>_xll.qlCalendarAdvance(Calendar,Y3486,X3487,"f",FALSE)</f>
        <v>63550</v>
      </c>
      <c r="Z3487" s="188">
        <f>_xll.qlCalendarAdvance(Calendar,Y3487,NDays&amp;"D")</f>
        <v>63552</v>
      </c>
      <c r="AA3487" s="163">
        <v>7.8948159666672128E-3</v>
      </c>
      <c r="AB3487" s="172">
        <v>7.8741856411412847E-3</v>
      </c>
    </row>
    <row r="3488" spans="24:28" x14ac:dyDescent="0.2">
      <c r="X3488" s="176" t="str">
        <f t="shared" si="88"/>
        <v>1w</v>
      </c>
      <c r="Y3488" s="164">
        <f>_xll.qlCalendarAdvance(Calendar,Y3487,X3488,"f",FALSE)</f>
        <v>63557</v>
      </c>
      <c r="Z3488" s="188">
        <f>_xll.qlCalendarAdvance(Calendar,Y3488,NDays&amp;"D")</f>
        <v>63559</v>
      </c>
      <c r="AA3488" s="163">
        <v>7.8950856244052181E-3</v>
      </c>
      <c r="AB3488" s="172">
        <v>7.8745399203672406E-3</v>
      </c>
    </row>
    <row r="3489" spans="24:28" x14ac:dyDescent="0.2">
      <c r="X3489" s="176" t="str">
        <f t="shared" si="88"/>
        <v>1w</v>
      </c>
      <c r="Y3489" s="164">
        <f>_xll.qlCalendarAdvance(Calendar,Y3488,X3489,"f",FALSE)</f>
        <v>63564</v>
      </c>
      <c r="Z3489" s="188">
        <f>_xll.qlCalendarAdvance(Calendar,Y3489,NDays&amp;"D")</f>
        <v>63566</v>
      </c>
      <c r="AA3489" s="163">
        <v>7.8954594321188412E-3</v>
      </c>
      <c r="AB3489" s="172">
        <v>7.8750069588817695E-3</v>
      </c>
    </row>
    <row r="3490" spans="24:28" x14ac:dyDescent="0.2">
      <c r="X3490" s="176" t="str">
        <f t="shared" si="88"/>
        <v>1w</v>
      </c>
      <c r="Y3490" s="164">
        <f>_xll.qlCalendarAdvance(Calendar,Y3489,X3490,"f",FALSE)</f>
        <v>63571</v>
      </c>
      <c r="Z3490" s="188">
        <f>_xll.qlCalendarAdvance(Calendar,Y3490,NDays&amp;"D")</f>
        <v>63573</v>
      </c>
      <c r="AA3490" s="163">
        <v>7.8958257637472985E-3</v>
      </c>
      <c r="AB3490" s="172">
        <v>7.8754665503133481E-3</v>
      </c>
    </row>
    <row r="3491" spans="24:28" x14ac:dyDescent="0.2">
      <c r="X3491" s="176" t="str">
        <f t="shared" si="88"/>
        <v>1w</v>
      </c>
      <c r="Y3491" s="164">
        <f>_xll.qlCalendarAdvance(Calendar,Y3490,X3491,"f",FALSE)</f>
        <v>63578</v>
      </c>
      <c r="Z3491" s="188">
        <f>_xll.qlCalendarAdvance(Calendar,Y3491,NDays&amp;"D")</f>
        <v>63580</v>
      </c>
      <c r="AA3491" s="163">
        <v>7.8961846192839667E-3</v>
      </c>
      <c r="AB3491" s="172">
        <v>7.8759186946619764E-3</v>
      </c>
    </row>
    <row r="3492" spans="24:28" x14ac:dyDescent="0.2">
      <c r="X3492" s="176" t="str">
        <f t="shared" si="88"/>
        <v>1w</v>
      </c>
      <c r="Y3492" s="164">
        <f>_xll.qlCalendarAdvance(Calendar,Y3491,X3492,"f",FALSE)</f>
        <v>63585</v>
      </c>
      <c r="Z3492" s="188">
        <f>_xll.qlCalendarAdvance(Calendar,Y3492,NDays&amp;"D")</f>
        <v>63587</v>
      </c>
      <c r="AA3492" s="163">
        <v>7.8965359987266358E-3</v>
      </c>
      <c r="AB3492" s="172">
        <v>7.8763633918743636E-3</v>
      </c>
    </row>
    <row r="3493" spans="24:28" x14ac:dyDescent="0.2">
      <c r="X3493" s="176" t="str">
        <f t="shared" si="88"/>
        <v>1w</v>
      </c>
      <c r="Y3493" s="164">
        <f>_xll.qlCalendarAdvance(Calendar,Y3492,X3493,"f",FALSE)</f>
        <v>63592</v>
      </c>
      <c r="Z3493" s="188">
        <f>_xll.qlCalendarAdvance(Calendar,Y3493,NDays&amp;"D")</f>
        <v>63594</v>
      </c>
      <c r="AA3493" s="163">
        <v>7.896879902070891E-3</v>
      </c>
      <c r="AB3493" s="172">
        <v>7.8768006420837366E-3</v>
      </c>
    </row>
    <row r="3494" spans="24:28" x14ac:dyDescent="0.2">
      <c r="X3494" s="176" t="str">
        <f t="shared" si="88"/>
        <v>1w</v>
      </c>
      <c r="Y3494" s="164">
        <f>_xll.qlCalendarAdvance(Calendar,Y3493,X3494,"f",FALSE)</f>
        <v>63599</v>
      </c>
      <c r="Z3494" s="188">
        <f>_xll.qlCalendarAdvance(Calendar,Y3494,NDays&amp;"D")</f>
        <v>63601</v>
      </c>
      <c r="AA3494" s="163">
        <v>7.8972163293127562E-3</v>
      </c>
      <c r="AB3494" s="172">
        <v>7.8772304451568687E-3</v>
      </c>
    </row>
    <row r="3495" spans="24:28" x14ac:dyDescent="0.2">
      <c r="X3495" s="176" t="str">
        <f t="shared" si="88"/>
        <v>1w</v>
      </c>
      <c r="Y3495" s="164">
        <f>_xll.qlCalendarAdvance(Calendar,Y3494,X3495,"f",FALSE)</f>
        <v>63606</v>
      </c>
      <c r="Z3495" s="188">
        <f>_xll.qlCalendarAdvance(Calendar,Y3495,NDays&amp;"D")</f>
        <v>63608</v>
      </c>
      <c r="AA3495" s="163">
        <v>7.897545280448259E-3</v>
      </c>
      <c r="AB3495" s="172">
        <v>7.8776528012003411E-3</v>
      </c>
    </row>
    <row r="3496" spans="24:28" x14ac:dyDescent="0.2">
      <c r="X3496" s="176" t="str">
        <f t="shared" si="88"/>
        <v>1w</v>
      </c>
      <c r="Y3496" s="164">
        <f>_xll.qlCalendarAdvance(Calendar,Y3495,X3496,"f",FALSE)</f>
        <v>63613</v>
      </c>
      <c r="Z3496" s="188">
        <f>_xll.qlCalendarAdvance(Calendar,Y3496,NDays&amp;"D")</f>
        <v>63615</v>
      </c>
      <c r="AA3496" s="163">
        <v>7.8982940196952074E-3</v>
      </c>
      <c r="AB3496" s="172">
        <v>7.8780677101342178E-3</v>
      </c>
    </row>
    <row r="3497" spans="24:28" x14ac:dyDescent="0.2">
      <c r="X3497" s="176" t="str">
        <f t="shared" si="88"/>
        <v>1w</v>
      </c>
      <c r="Y3497" s="164">
        <f>_xll.qlCalendarAdvance(Calendar,Y3496,X3497,"f",FALSE)</f>
        <v>63620</v>
      </c>
      <c r="Z3497" s="188">
        <f>_xll.qlCalendarAdvance(Calendar,Y3497,NDays&amp;"D")</f>
        <v>63622</v>
      </c>
      <c r="AA3497" s="163">
        <v>7.8986059098875815E-3</v>
      </c>
      <c r="AB3497" s="172">
        <v>7.8784751719851442E-3</v>
      </c>
    </row>
    <row r="3498" spans="24:28" x14ac:dyDescent="0.2">
      <c r="X3498" s="176" t="str">
        <f t="shared" si="88"/>
        <v>1w</v>
      </c>
      <c r="Y3498" s="164">
        <f>_xll.qlCalendarAdvance(Calendar,Y3497,X3498,"f",FALSE)</f>
        <v>63627</v>
      </c>
      <c r="Z3498" s="188">
        <f>_xll.qlCalendarAdvance(Calendar,Y3498,NDays&amp;"D")</f>
        <v>63629</v>
      </c>
      <c r="AA3498" s="163">
        <v>7.898910323309187E-3</v>
      </c>
      <c r="AB3498" s="172">
        <v>7.878875186726475E-3</v>
      </c>
    </row>
    <row r="3499" spans="24:28" x14ac:dyDescent="0.2">
      <c r="X3499" s="176" t="str">
        <f t="shared" si="88"/>
        <v>1w</v>
      </c>
      <c r="Y3499" s="164">
        <f>_xll.qlCalendarAdvance(Calendar,Y3498,X3499,"f",FALSE)</f>
        <v>63634</v>
      </c>
      <c r="Z3499" s="188">
        <f>_xll.qlCalendarAdvance(Calendar,Y3499,NDays&amp;"D")</f>
        <v>63636</v>
      </c>
      <c r="AA3499" s="163">
        <v>7.8992072599548373E-3</v>
      </c>
      <c r="AB3499" s="172">
        <v>7.8792677544115008E-3</v>
      </c>
    </row>
    <row r="3500" spans="24:28" x14ac:dyDescent="0.2">
      <c r="X3500" s="176" t="str">
        <f t="shared" si="88"/>
        <v>1w</v>
      </c>
      <c r="Y3500" s="164">
        <f>_xll.qlCalendarAdvance(Calendar,Y3499,X3500,"f",FALSE)</f>
        <v>63641</v>
      </c>
      <c r="Z3500" s="188">
        <f>_xll.qlCalendarAdvance(Calendar,Y3500,NDays&amp;"D")</f>
        <v>63643</v>
      </c>
      <c r="AA3500" s="163">
        <v>7.8991826739618701E-3</v>
      </c>
      <c r="AB3500" s="172">
        <v>7.8796528750402217E-3</v>
      </c>
    </row>
    <row r="3501" spans="24:28" x14ac:dyDescent="0.2">
      <c r="X3501" s="176" t="str">
        <f t="shared" si="88"/>
        <v>1w</v>
      </c>
      <c r="Y3501" s="164">
        <f>_xll.qlCalendarAdvance(Calendar,Y3500,X3501,"f",FALSE)</f>
        <v>63648</v>
      </c>
      <c r="Z3501" s="188">
        <f>_xll.qlCalendarAdvance(Calendar,Y3501,NDays&amp;"D")</f>
        <v>63650</v>
      </c>
      <c r="AA3501" s="163">
        <v>7.8997787029083336E-3</v>
      </c>
      <c r="AB3501" s="172">
        <v>7.8800305485593469E-3</v>
      </c>
    </row>
    <row r="3502" spans="24:28" x14ac:dyDescent="0.2">
      <c r="X3502" s="176" t="str">
        <f t="shared" si="88"/>
        <v>1w</v>
      </c>
      <c r="Y3502" s="164">
        <f>_xll.qlCalendarAdvance(Calendar,Y3501,X3502,"f",FALSE)</f>
        <v>63655</v>
      </c>
      <c r="Z3502" s="188">
        <f>_xll.qlCalendarAdvance(Calendar,Y3502,NDays&amp;"D")</f>
        <v>63661</v>
      </c>
      <c r="AA3502" s="163">
        <v>7.9000001132811803E-3</v>
      </c>
      <c r="AB3502" s="172">
        <v>7.8803847117381309E-3</v>
      </c>
    </row>
    <row r="3503" spans="24:28" x14ac:dyDescent="0.2">
      <c r="X3503" s="176" t="str">
        <f t="shared" si="88"/>
        <v>1w</v>
      </c>
      <c r="Y3503" s="164">
        <f>_xll.qlCalendarAdvance(Calendar,Y3502,X3503,"f",FALSE)</f>
        <v>63662</v>
      </c>
      <c r="Z3503" s="188">
        <f>_xll.qlCalendarAdvance(Calendar,Y3503,NDays&amp;"D")</f>
        <v>63664</v>
      </c>
      <c r="AA3503" s="163">
        <v>7.9003202387212829E-3</v>
      </c>
      <c r="AB3503" s="172">
        <v>7.8807635543221011E-3</v>
      </c>
    </row>
    <row r="3504" spans="24:28" x14ac:dyDescent="0.2">
      <c r="X3504" s="176" t="str">
        <f t="shared" si="88"/>
        <v>1w</v>
      </c>
      <c r="Y3504" s="164">
        <f>_xll.qlCalendarAdvance(Calendar,Y3503,X3504,"f",FALSE)</f>
        <v>63669</v>
      </c>
      <c r="Z3504" s="188">
        <f>_xll.qlCalendarAdvance(Calendar,Y3504,NDays&amp;"D")</f>
        <v>63671</v>
      </c>
      <c r="AA3504" s="163">
        <v>7.9005797914417884E-3</v>
      </c>
      <c r="AB3504" s="172">
        <v>7.8811188866190207E-3</v>
      </c>
    </row>
    <row r="3505" spans="24:28" x14ac:dyDescent="0.2">
      <c r="X3505" s="176" t="str">
        <f t="shared" si="88"/>
        <v>1w</v>
      </c>
      <c r="Y3505" s="164">
        <f>_xll.qlCalendarAdvance(Calendar,Y3504,X3505,"f",FALSE)</f>
        <v>63676</v>
      </c>
      <c r="Z3505" s="188">
        <f>_xll.qlCalendarAdvance(Calendar,Y3505,NDays&amp;"D")</f>
        <v>63678</v>
      </c>
      <c r="AA3505" s="163">
        <v>7.9008318673677597E-3</v>
      </c>
      <c r="AB3505" s="172">
        <v>7.8814667718063447E-3</v>
      </c>
    </row>
    <row r="3506" spans="24:28" x14ac:dyDescent="0.2">
      <c r="X3506" s="176" t="str">
        <f t="shared" si="88"/>
        <v>1w</v>
      </c>
      <c r="Y3506" s="164">
        <f>_xll.qlCalendarAdvance(Calendar,Y3505,X3506,"f",FALSE)</f>
        <v>63683</v>
      </c>
      <c r="Z3506" s="188">
        <f>_xll.qlCalendarAdvance(Calendar,Y3506,NDays&amp;"D")</f>
        <v>63685</v>
      </c>
      <c r="AA3506" s="163">
        <v>7.9010764664974673E-3</v>
      </c>
      <c r="AB3506" s="172">
        <v>7.8818072099107184E-3</v>
      </c>
    </row>
    <row r="3507" spans="24:28" x14ac:dyDescent="0.2">
      <c r="X3507" s="176" t="str">
        <f t="shared" si="88"/>
        <v>1w</v>
      </c>
      <c r="Y3507" s="164">
        <f>_xll.qlCalendarAdvance(Calendar,Y3506,X3507,"f",FALSE)</f>
        <v>63690</v>
      </c>
      <c r="Z3507" s="188">
        <f>_xll.qlCalendarAdvance(Calendar,Y3507,NDays&amp;"D")</f>
        <v>63692</v>
      </c>
      <c r="AA3507" s="163">
        <v>7.9013135888257261E-3</v>
      </c>
      <c r="AB3507" s="172">
        <v>7.8821402009321417E-3</v>
      </c>
    </row>
    <row r="3508" spans="24:28" x14ac:dyDescent="0.2">
      <c r="X3508" s="176" t="str">
        <f t="shared" si="88"/>
        <v>1w</v>
      </c>
      <c r="Y3508" s="164">
        <f>_xll.qlCalendarAdvance(Calendar,Y3507,X3508,"f",FALSE)</f>
        <v>63697</v>
      </c>
      <c r="Z3508" s="188">
        <f>_xll.qlCalendarAdvance(Calendar,Y3508,NDays&amp;"D")</f>
        <v>63699</v>
      </c>
      <c r="AA3508" s="163">
        <v>7.9015432343529698E-3</v>
      </c>
      <c r="AB3508" s="172">
        <v>7.8824657448706148E-3</v>
      </c>
    </row>
    <row r="3509" spans="24:28" x14ac:dyDescent="0.2">
      <c r="X3509" s="176" t="str">
        <f t="shared" si="88"/>
        <v>1w</v>
      </c>
      <c r="Y3509" s="164">
        <f>_xll.qlCalendarAdvance(Calendar,Y3508,X3509,"f",FALSE)</f>
        <v>63704</v>
      </c>
      <c r="Z3509" s="188">
        <f>_xll.qlCalendarAdvance(Calendar,Y3509,NDays&amp;"D")</f>
        <v>63706</v>
      </c>
      <c r="AA3509" s="163">
        <v>7.9017654030735796E-3</v>
      </c>
      <c r="AB3509" s="172">
        <v>7.8827838417527829E-3</v>
      </c>
    </row>
    <row r="3510" spans="24:28" x14ac:dyDescent="0.2">
      <c r="X3510" s="176" t="str">
        <f t="shared" si="88"/>
        <v>1w</v>
      </c>
      <c r="Y3510" s="164">
        <f>_xll.qlCalendarAdvance(Calendar,Y3509,X3510,"f",FALSE)</f>
        <v>63711</v>
      </c>
      <c r="Z3510" s="188">
        <f>_xll.qlCalendarAdvance(Calendar,Y3510,NDays&amp;"D")</f>
        <v>63713</v>
      </c>
      <c r="AA3510" s="163">
        <v>7.9019800949866915E-3</v>
      </c>
      <c r="AB3510" s="172">
        <v>7.8830944915253554E-3</v>
      </c>
    </row>
    <row r="3511" spans="24:28" x14ac:dyDescent="0.2">
      <c r="X3511" s="176" t="str">
        <f t="shared" si="88"/>
        <v>1w</v>
      </c>
      <c r="Y3511" s="164">
        <f>_xll.qlCalendarAdvance(Calendar,Y3510,X3511,"f",FALSE)</f>
        <v>63718</v>
      </c>
      <c r="Z3511" s="188">
        <f>_xll.qlCalendarAdvance(Calendar,Y3511,NDays&amp;"D")</f>
        <v>63720</v>
      </c>
      <c r="AA3511" s="163">
        <v>7.9021873100897141E-3</v>
      </c>
      <c r="AB3511" s="172">
        <v>7.8833976942416228E-3</v>
      </c>
    </row>
    <row r="3512" spans="24:28" x14ac:dyDescent="0.2">
      <c r="X3512" s="176" t="str">
        <f t="shared" si="88"/>
        <v>1w</v>
      </c>
      <c r="Y3512" s="164">
        <f>_xll.qlCalendarAdvance(Calendar,Y3511,X3512,"f",FALSE)</f>
        <v>63725</v>
      </c>
      <c r="Z3512" s="188">
        <f>_xll.qlCalendarAdvance(Calendar,Y3512,NDays&amp;"D")</f>
        <v>63727</v>
      </c>
      <c r="AA3512" s="163">
        <v>7.9023870483791898E-3</v>
      </c>
      <c r="AB3512" s="172">
        <v>7.8836934498216493E-3</v>
      </c>
    </row>
    <row r="3513" spans="24:28" x14ac:dyDescent="0.2">
      <c r="X3513" s="176" t="str">
        <f t="shared" si="88"/>
        <v>1w</v>
      </c>
      <c r="Y3513" s="164">
        <f>_xll.qlCalendarAdvance(Calendar,Y3512,X3513,"f",FALSE)</f>
        <v>63732</v>
      </c>
      <c r="Z3513" s="188">
        <f>_xll.qlCalendarAdvance(Calendar,Y3513,NDays&amp;"D")</f>
        <v>63734</v>
      </c>
      <c r="AA3513" s="163">
        <v>7.9025793098533893E-3</v>
      </c>
      <c r="AB3513" s="172">
        <v>7.8839817583453708E-3</v>
      </c>
    </row>
    <row r="3514" spans="24:28" x14ac:dyDescent="0.2">
      <c r="X3514" s="176" t="str">
        <f t="shared" si="88"/>
        <v>1w</v>
      </c>
      <c r="Y3514" s="164">
        <f>_xll.qlCalendarAdvance(Calendar,Y3513,X3514,"f",FALSE)</f>
        <v>63739</v>
      </c>
      <c r="Z3514" s="188">
        <f>_xll.qlCalendarAdvance(Calendar,Y3514,NDays&amp;"D")</f>
        <v>63741</v>
      </c>
      <c r="AA3514" s="163">
        <v>7.9027640945110184E-3</v>
      </c>
      <c r="AB3514" s="172">
        <v>7.8842626197861421E-3</v>
      </c>
    </row>
    <row r="3515" spans="24:28" x14ac:dyDescent="0.2">
      <c r="X3515" s="176" t="str">
        <f t="shared" si="88"/>
        <v>1w</v>
      </c>
      <c r="Y3515" s="164">
        <f>_xll.qlCalendarAdvance(Calendar,Y3514,X3515,"f",FALSE)</f>
        <v>63746</v>
      </c>
      <c r="Z3515" s="188">
        <f>_xll.qlCalendarAdvance(Calendar,Y3515,NDays&amp;"D")</f>
        <v>63748</v>
      </c>
      <c r="AA3515" s="163">
        <v>7.9029414023494837E-3</v>
      </c>
      <c r="AB3515" s="172">
        <v>7.8845360341706083E-3</v>
      </c>
    </row>
    <row r="3516" spans="24:28" x14ac:dyDescent="0.2">
      <c r="X3516" s="176" t="str">
        <f t="shared" si="88"/>
        <v>1w</v>
      </c>
      <c r="Y3516" s="164">
        <f>_xll.qlCalendarAdvance(Calendar,Y3515,X3516,"f",FALSE)</f>
        <v>63753</v>
      </c>
      <c r="Z3516" s="188">
        <f>_xll.qlCalendarAdvance(Calendar,Y3516,NDays&amp;"D")</f>
        <v>63755</v>
      </c>
      <c r="AA3516" s="163">
        <v>7.9031112333657616E-3</v>
      </c>
      <c r="AB3516" s="172">
        <v>7.8848020014188336E-3</v>
      </c>
    </row>
    <row r="3517" spans="24:28" x14ac:dyDescent="0.2">
      <c r="X3517" s="176" t="str">
        <f t="shared" si="88"/>
        <v>1w</v>
      </c>
      <c r="Y3517" s="164">
        <f>_xll.qlCalendarAdvance(Calendar,Y3516,X3517,"f",FALSE)</f>
        <v>63760</v>
      </c>
      <c r="Z3517" s="188">
        <f>_xll.qlCalendarAdvance(Calendar,Y3517,NDays&amp;"D")</f>
        <v>63762</v>
      </c>
      <c r="AA3517" s="163">
        <v>7.9032735875589864E-3</v>
      </c>
      <c r="AB3517" s="172">
        <v>7.8850605216373992E-3</v>
      </c>
    </row>
    <row r="3518" spans="24:28" x14ac:dyDescent="0.2">
      <c r="X3518" s="176" t="str">
        <f t="shared" si="88"/>
        <v>1w</v>
      </c>
      <c r="Y3518" s="164">
        <f>_xll.qlCalendarAdvance(Calendar,Y3517,X3518,"f",FALSE)</f>
        <v>63767</v>
      </c>
      <c r="Z3518" s="188">
        <f>_xll.qlCalendarAdvance(Calendar,Y3518,NDays&amp;"D")</f>
        <v>63769</v>
      </c>
      <c r="AA3518" s="163">
        <v>7.9034284649274304E-3</v>
      </c>
      <c r="AB3518" s="172">
        <v>7.8853115947730146E-3</v>
      </c>
    </row>
    <row r="3519" spans="24:28" x14ac:dyDescent="0.2">
      <c r="X3519" s="176" t="str">
        <f t="shared" si="88"/>
        <v>1w</v>
      </c>
      <c r="Y3519" s="164">
        <f>_xll.qlCalendarAdvance(Calendar,Y3518,X3519,"f",FALSE)</f>
        <v>63774</v>
      </c>
      <c r="Z3519" s="188">
        <f>_xll.qlCalendarAdvance(Calendar,Y3519,NDays&amp;"D")</f>
        <v>63776</v>
      </c>
      <c r="AA3519" s="163">
        <v>7.9035758654676363E-3</v>
      </c>
      <c r="AB3519" s="172">
        <v>7.8855552207723889E-3</v>
      </c>
    </row>
    <row r="3520" spans="24:28" x14ac:dyDescent="0.2">
      <c r="X3520" s="176" t="str">
        <f t="shared" si="88"/>
        <v>1w</v>
      </c>
      <c r="Y3520" s="164">
        <f>_xll.qlCalendarAdvance(Calendar,Y3519,X3520,"f",FALSE)</f>
        <v>63781</v>
      </c>
      <c r="Z3520" s="188">
        <f>_xll.qlCalendarAdvance(Calendar,Y3520,NDays&amp;"D")</f>
        <v>63783</v>
      </c>
      <c r="AA3520" s="163">
        <v>7.9037157891800359E-3</v>
      </c>
      <c r="AB3520" s="172">
        <v>7.8857913997154583E-3</v>
      </c>
    </row>
    <row r="3521" spans="24:28" x14ac:dyDescent="0.2">
      <c r="X3521" s="176" t="str">
        <f t="shared" si="88"/>
        <v>1w</v>
      </c>
      <c r="Y3521" s="164">
        <f>_xll.qlCalendarAdvance(Calendar,Y3520,X3521,"f",FALSE)</f>
        <v>63788</v>
      </c>
      <c r="Z3521" s="188">
        <f>_xll.qlCalendarAdvance(Calendar,Y3521,NDays&amp;"D")</f>
        <v>63790</v>
      </c>
      <c r="AA3521" s="163">
        <v>7.9038482360620395E-3</v>
      </c>
      <c r="AB3521" s="172">
        <v>7.8860201315755774E-3</v>
      </c>
    </row>
    <row r="3522" spans="24:28" x14ac:dyDescent="0.2">
      <c r="X3522" s="176" t="str">
        <f t="shared" si="88"/>
        <v>1w</v>
      </c>
      <c r="Y3522" s="164">
        <f>_xll.qlCalendarAdvance(Calendar,Y3521,X3522,"f",FALSE)</f>
        <v>63795</v>
      </c>
      <c r="Z3522" s="188">
        <f>_xll.qlCalendarAdvance(Calendar,Y3522,NDays&amp;"D")</f>
        <v>63797</v>
      </c>
      <c r="AA3522" s="163">
        <v>7.9036009814907552E-3</v>
      </c>
      <c r="AB3522" s="172">
        <v>7.8862414163793915E-3</v>
      </c>
    </row>
    <row r="3523" spans="24:28" x14ac:dyDescent="0.2">
      <c r="X3523" s="176" t="str">
        <f t="shared" si="88"/>
        <v>1w</v>
      </c>
      <c r="Y3523" s="164">
        <f>_xll.qlCalendarAdvance(Calendar,Y3522,X3523,"f",FALSE)</f>
        <v>63802</v>
      </c>
      <c r="Z3523" s="188">
        <f>_xll.qlCalendarAdvance(Calendar,Y3523,NDays&amp;"D")</f>
        <v>63804</v>
      </c>
      <c r="AA3523" s="163">
        <v>7.903720600460953E-3</v>
      </c>
      <c r="AB3523" s="172">
        <v>7.8864552540469646E-3</v>
      </c>
    </row>
    <row r="3524" spans="24:28" x14ac:dyDescent="0.2">
      <c r="X3524" s="176" t="str">
        <f t="shared" si="88"/>
        <v>1w</v>
      </c>
      <c r="Y3524" s="164">
        <f>_xll.qlCalendarAdvance(Calendar,Y3523,X3524,"f",FALSE)</f>
        <v>63809</v>
      </c>
      <c r="Z3524" s="188">
        <f>_xll.qlCalendarAdvance(Calendar,Y3524,NDays&amp;"D")</f>
        <v>63811</v>
      </c>
      <c r="AA3524" s="163">
        <v>7.9038327432532432E-3</v>
      </c>
      <c r="AB3524" s="172">
        <v>7.8866616446848781E-3</v>
      </c>
    </row>
    <row r="3525" spans="24:28" x14ac:dyDescent="0.2">
      <c r="X3525" s="176" t="str">
        <f t="shared" si="88"/>
        <v>1w</v>
      </c>
      <c r="Y3525" s="164">
        <f>_xll.qlCalendarAdvance(Calendar,Y3524,X3525,"f",FALSE)</f>
        <v>63816</v>
      </c>
      <c r="Z3525" s="188">
        <f>_xll.qlCalendarAdvance(Calendar,Y3525,NDays&amp;"D")</f>
        <v>63818</v>
      </c>
      <c r="AA3525" s="163">
        <v>7.9039374098640921E-3</v>
      </c>
      <c r="AB3525" s="172">
        <v>7.8868605881599052E-3</v>
      </c>
    </row>
    <row r="3526" spans="24:28" x14ac:dyDescent="0.2">
      <c r="X3526" s="176" t="str">
        <f t="shared" si="88"/>
        <v>1w</v>
      </c>
      <c r="Y3526" s="164">
        <f>_xll.qlCalendarAdvance(Calendar,Y3525,X3526,"f",FALSE)</f>
        <v>63823</v>
      </c>
      <c r="Z3526" s="188">
        <f>_xll.qlCalendarAdvance(Calendar,Y3526,NDays&amp;"D")</f>
        <v>63825</v>
      </c>
      <c r="AA3526" s="163" t="e">
        <v>#N/A</v>
      </c>
      <c r="AB3526" s="172">
        <v>7.8870520846319181E-3</v>
      </c>
    </row>
    <row r="3527" spans="24:28" x14ac:dyDescent="0.2">
      <c r="X3527" s="176" t="str">
        <f t="shared" si="88"/>
        <v>1w</v>
      </c>
      <c r="Y3527" s="164">
        <f>_xll.qlCalendarAdvance(Calendar,Y3526,X3527,"f",FALSE)</f>
        <v>63830</v>
      </c>
      <c r="Z3527" s="188">
        <f>_xll.qlCalendarAdvance(Calendar,Y3527,NDays&amp;"D")</f>
        <v>63832</v>
      </c>
      <c r="AA3527" s="163" t="e">
        <v>#N/A</v>
      </c>
      <c r="AB3527" s="172">
        <v>7.8872361339943353E-3</v>
      </c>
    </row>
    <row r="3528" spans="24:28" x14ac:dyDescent="0.2">
      <c r="X3528" s="176" t="str">
        <f t="shared" si="88"/>
        <v>1w</v>
      </c>
      <c r="Y3528" s="164">
        <f>_xll.qlCalendarAdvance(Calendar,Y3527,X3528,"f",FALSE)</f>
        <v>63837</v>
      </c>
      <c r="Z3528" s="188">
        <f>_xll.qlCalendarAdvance(Calendar,Y3528,NDays&amp;"D")</f>
        <v>63839</v>
      </c>
      <c r="AA3528" s="163" t="e">
        <v>#N/A</v>
      </c>
      <c r="AB3528" s="172">
        <v>7.8874127362738022E-3</v>
      </c>
    </row>
    <row r="3529" spans="24:28" x14ac:dyDescent="0.2">
      <c r="X3529" s="176" t="str">
        <f t="shared" si="88"/>
        <v>1w</v>
      </c>
      <c r="Y3529" s="164">
        <f>_xll.qlCalendarAdvance(Calendar,Y3528,X3529,"f",FALSE)</f>
        <v>63844</v>
      </c>
      <c r="Z3529" s="188">
        <f>_xll.qlCalendarAdvance(Calendar,Y3529,NDays&amp;"D")</f>
        <v>63846</v>
      </c>
      <c r="AA3529" s="163" t="e">
        <v>#N/A</v>
      </c>
      <c r="AB3529" s="172">
        <v>7.8875818914969642E-3</v>
      </c>
    </row>
    <row r="3530" spans="24:28" x14ac:dyDescent="0.2">
      <c r="X3530" s="176" t="str">
        <f t="shared" si="88"/>
        <v>1w</v>
      </c>
      <c r="Y3530" s="164">
        <f>_xll.qlCalendarAdvance(Calendar,Y3529,X3530,"f",FALSE)</f>
        <v>63851</v>
      </c>
      <c r="Z3530" s="188">
        <f>_xll.qlCalendarAdvance(Calendar,Y3530,NDays&amp;"D")</f>
        <v>63853</v>
      </c>
      <c r="AA3530" s="163" t="e">
        <v>#N/A</v>
      </c>
      <c r="AB3530" s="172">
        <v>7.8877435995838852E-3</v>
      </c>
    </row>
    <row r="3531" spans="24:28" x14ac:dyDescent="0.2">
      <c r="X3531" s="176" t="str">
        <f t="shared" si="88"/>
        <v>1w</v>
      </c>
      <c r="Y3531" s="164">
        <f>_xll.qlCalendarAdvance(Calendar,Y3530,X3531,"f",FALSE)</f>
        <v>63858</v>
      </c>
      <c r="Z3531" s="188">
        <f>_xll.qlCalendarAdvance(Calendar,Y3531,NDays&amp;"D")</f>
        <v>63860</v>
      </c>
      <c r="AA3531" s="163" t="e">
        <v>#N/A</v>
      </c>
      <c r="AB3531" s="172">
        <v>7.8878978606145012E-3</v>
      </c>
    </row>
    <row r="3532" spans="24:28" x14ac:dyDescent="0.2">
      <c r="X3532" s="176" t="str">
        <f t="shared" si="88"/>
        <v>1w</v>
      </c>
      <c r="Y3532" s="164">
        <f>_xll.qlCalendarAdvance(Calendar,Y3531,X3532,"f",FALSE)</f>
        <v>63865</v>
      </c>
      <c r="Z3532" s="188">
        <f>_xll.qlCalendarAdvance(Calendar,Y3532,NDays&amp;"D")</f>
        <v>63867</v>
      </c>
      <c r="AA3532" s="163" t="e">
        <v>#N/A</v>
      </c>
      <c r="AB3532" s="172">
        <v>7.8880446745621668E-3</v>
      </c>
    </row>
    <row r="3533" spans="24:28" x14ac:dyDescent="0.2">
      <c r="X3533" s="176" t="str">
        <f t="shared" si="88"/>
        <v>1w</v>
      </c>
      <c r="Y3533" s="164">
        <f>_xll.qlCalendarAdvance(Calendar,Y3532,X3533,"f",FALSE)</f>
        <v>63872</v>
      </c>
      <c r="Z3533" s="188">
        <f>_xll.qlCalendarAdvance(Calendar,Y3533,NDays&amp;"D")</f>
        <v>63874</v>
      </c>
      <c r="AA3533" s="163" t="e">
        <v>#N/A</v>
      </c>
      <c r="AB3533" s="172">
        <v>7.8881840413735915E-3</v>
      </c>
    </row>
    <row r="3534" spans="24:28" x14ac:dyDescent="0.2">
      <c r="X3534" s="176" t="str">
        <f t="shared" si="88"/>
        <v>1w</v>
      </c>
      <c r="Y3534" s="164">
        <f>_xll.qlCalendarAdvance(Calendar,Y3533,X3534,"f",FALSE)</f>
        <v>63879</v>
      </c>
      <c r="Z3534" s="188">
        <f>_xll.qlCalendarAdvance(Calendar,Y3534,NDays&amp;"D")</f>
        <v>63881</v>
      </c>
      <c r="AA3534" s="163" t="e">
        <v>#N/A</v>
      </c>
      <c r="AB3534" s="172">
        <v>7.888315961182002E-3</v>
      </c>
    </row>
    <row r="3535" spans="24:28" x14ac:dyDescent="0.2">
      <c r="X3535" s="176" t="str">
        <f t="shared" si="88"/>
        <v>1w</v>
      </c>
      <c r="Y3535" s="164">
        <f>_xll.qlCalendarAdvance(Calendar,Y3534,X3535,"f",FALSE)</f>
        <v>63886</v>
      </c>
      <c r="Z3535" s="188">
        <f>_xll.qlCalendarAdvance(Calendar,Y3535,NDays&amp;"D")</f>
        <v>63888</v>
      </c>
      <c r="AA3535" s="163" t="e">
        <v>#N/A</v>
      </c>
      <c r="AB3535" s="172">
        <v>7.888440433827526E-3</v>
      </c>
    </row>
    <row r="3536" spans="24:28" x14ac:dyDescent="0.2">
      <c r="X3536" s="176" t="str">
        <f t="shared" si="88"/>
        <v>1w</v>
      </c>
      <c r="Y3536" s="164">
        <f>_xll.qlCalendarAdvance(Calendar,Y3535,X3536,"f",FALSE)</f>
        <v>63893</v>
      </c>
      <c r="Z3536" s="188">
        <f>_xll.qlCalendarAdvance(Calendar,Y3536,NDays&amp;"D")</f>
        <v>63895</v>
      </c>
      <c r="AA3536" s="163" t="e">
        <v>#N/A</v>
      </c>
      <c r="AB3536" s="172">
        <v>7.8885574594966812E-3</v>
      </c>
    </row>
    <row r="3537" spans="2:28" x14ac:dyDescent="0.2">
      <c r="X3537" s="176" t="str">
        <f t="shared" si="88"/>
        <v>1w</v>
      </c>
      <c r="Y3537" s="164">
        <f>_xll.qlCalendarAdvance(Calendar,Y3536,X3537,"f",FALSE)</f>
        <v>63900</v>
      </c>
      <c r="Z3537" s="188">
        <f>_xll.qlCalendarAdvance(Calendar,Y3537,NDays&amp;"D")</f>
        <v>63902</v>
      </c>
      <c r="AA3537" s="163" t="e">
        <v>#N/A</v>
      </c>
      <c r="AB3537" s="172">
        <v>7.88866703800295E-3</v>
      </c>
    </row>
    <row r="3538" spans="2:28" x14ac:dyDescent="0.2">
      <c r="X3538" s="176" t="str">
        <f t="shared" si="88"/>
        <v>1w</v>
      </c>
      <c r="Y3538" s="164">
        <f>_xll.qlCalendarAdvance(Calendar,Y3537,X3538,"f",FALSE)</f>
        <v>63907</v>
      </c>
      <c r="Z3538" s="188">
        <f>_xll.qlCalendarAdvance(Calendar,Y3538,NDays&amp;"D")</f>
        <v>63909</v>
      </c>
      <c r="AA3538" s="163" t="e">
        <v>#N/A</v>
      </c>
      <c r="AB3538" s="172">
        <v>7.8887691694529138E-3</v>
      </c>
    </row>
    <row r="3539" spans="2:28" x14ac:dyDescent="0.2">
      <c r="X3539" s="176" t="str">
        <f t="shared" si="88"/>
        <v>1w</v>
      </c>
      <c r="Y3539" s="164">
        <f>_xll.qlCalendarAdvance(Calendar,Y3538,X3539,"f",FALSE)</f>
        <v>63915</v>
      </c>
      <c r="Z3539" s="188">
        <f>_xll.qlCalendarAdvance(Calendar,Y3539,NDays&amp;"D")</f>
        <v>63919</v>
      </c>
      <c r="AA3539" s="163" t="e">
        <v>#N/A</v>
      </c>
      <c r="AB3539" s="172">
        <v>7.8888094620355176E-3</v>
      </c>
    </row>
    <row r="3540" spans="2:28" x14ac:dyDescent="0.2">
      <c r="B3540" s="164"/>
      <c r="C3540" s="188"/>
      <c r="D3540" s="163"/>
      <c r="E3540" s="163"/>
      <c r="X3540" s="176" t="str">
        <f t="shared" si="88"/>
        <v>1w</v>
      </c>
      <c r="Y3540" s="164">
        <f>_xll.qlCalendarAdvance(Calendar,Y3539,X3540,"f",FALSE)</f>
        <v>63922</v>
      </c>
      <c r="Z3540" s="188">
        <f>_xll.qlCalendarAdvance(Calendar,Y3540,NDays&amp;"D")</f>
        <v>63926</v>
      </c>
      <c r="AA3540" s="163" t="e">
        <v>#N/A</v>
      </c>
      <c r="AB3540" s="172">
        <v>7.8888018276224159E-3</v>
      </c>
    </row>
    <row r="3541" spans="2:28" x14ac:dyDescent="0.2">
      <c r="B3541" s="164"/>
      <c r="C3541" s="188"/>
      <c r="D3541" s="163"/>
      <c r="E3541" s="163"/>
      <c r="X3541" s="176" t="str">
        <f t="shared" ref="X3541:X3552" si="89">X3540</f>
        <v>1w</v>
      </c>
      <c r="Y3541" s="164">
        <f>_xll.qlCalendarAdvance(Calendar,Y3540,X3541,"f",FALSE)</f>
        <v>63929</v>
      </c>
      <c r="Z3541" s="188">
        <f>_xll.qlCalendarAdvance(Calendar,Y3541,NDays&amp;"D")</f>
        <v>63933</v>
      </c>
      <c r="AA3541" s="163" t="e">
        <v>#N/A</v>
      </c>
      <c r="AB3541" s="172">
        <v>7.8888794866216472E-3</v>
      </c>
    </row>
    <row r="3542" spans="2:28" x14ac:dyDescent="0.2">
      <c r="B3542" s="164"/>
      <c r="C3542" s="188"/>
      <c r="D3542" s="163"/>
      <c r="E3542" s="163"/>
      <c r="X3542" s="176" t="str">
        <f t="shared" si="89"/>
        <v>1w</v>
      </c>
      <c r="Y3542" s="164">
        <f>_xll.qlCalendarAdvance(Calendar,Y3541,X3542,"f",FALSE)</f>
        <v>63936</v>
      </c>
      <c r="Z3542" s="188">
        <f>_xll.qlCalendarAdvance(Calendar,Y3542,NDays&amp;"D")</f>
        <v>63940</v>
      </c>
      <c r="AA3542" s="163" t="e">
        <v>#N/A</v>
      </c>
      <c r="AB3542" s="172">
        <v>7.8889496989376084E-3</v>
      </c>
    </row>
    <row r="3543" spans="2:28" x14ac:dyDescent="0.2">
      <c r="B3543" s="164"/>
      <c r="C3543" s="188"/>
      <c r="D3543" s="163"/>
      <c r="E3543" s="163"/>
      <c r="X3543" s="176" t="str">
        <f t="shared" si="89"/>
        <v>1w</v>
      </c>
      <c r="Y3543" s="164">
        <f>_xll.qlCalendarAdvance(Calendar,Y3542,X3543,"f",FALSE)</f>
        <v>63943</v>
      </c>
      <c r="Z3543" s="188">
        <f>_xll.qlCalendarAdvance(Calendar,Y3543,NDays&amp;"D")</f>
        <v>63947</v>
      </c>
      <c r="AA3543" s="163" t="e">
        <v>#N/A</v>
      </c>
      <c r="AB3543" s="172">
        <v>7.8890124644104276E-3</v>
      </c>
    </row>
    <row r="3544" spans="2:28" x14ac:dyDescent="0.2">
      <c r="B3544" s="164"/>
      <c r="C3544" s="188"/>
      <c r="D3544" s="163"/>
      <c r="E3544" s="163"/>
      <c r="X3544" s="176" t="str">
        <f t="shared" si="89"/>
        <v>1w</v>
      </c>
      <c r="Y3544" s="164">
        <f>_xll.qlCalendarAdvance(Calendar,Y3543,X3544,"f",FALSE)</f>
        <v>63950</v>
      </c>
      <c r="Z3544" s="188">
        <f>_xll.qlCalendarAdvance(Calendar,Y3544,NDays&amp;"D")</f>
        <v>63954</v>
      </c>
      <c r="AA3544" s="163" t="e">
        <v>#N/A</v>
      </c>
      <c r="AB3544" s="172">
        <v>7.8890677831999767E-3</v>
      </c>
    </row>
    <row r="3545" spans="2:28" x14ac:dyDescent="0.2">
      <c r="B3545" s="164"/>
      <c r="C3545" s="188"/>
      <c r="D3545" s="163"/>
      <c r="E3545" s="163"/>
      <c r="X3545" s="176" t="str">
        <f t="shared" si="89"/>
        <v>1w</v>
      </c>
      <c r="Y3545" s="164">
        <f>_xll.qlCalendarAdvance(Calendar,Y3544,X3545,"f",FALSE)</f>
        <v>63957</v>
      </c>
      <c r="Z3545" s="188">
        <f>_xll.qlCalendarAdvance(Calendar,Y3545,NDays&amp;"D")</f>
        <v>63961</v>
      </c>
      <c r="AA3545" s="163" t="e">
        <v>#N/A</v>
      </c>
      <c r="AB3545" s="172">
        <v>7.8891156553062558E-3</v>
      </c>
    </row>
    <row r="3546" spans="2:28" x14ac:dyDescent="0.2">
      <c r="B3546" s="164"/>
      <c r="C3546" s="188"/>
      <c r="D3546" s="163"/>
      <c r="E3546" s="163"/>
      <c r="X3546" s="176" t="str">
        <f t="shared" si="89"/>
        <v>1w</v>
      </c>
      <c r="Y3546" s="164">
        <f>_xll.qlCalendarAdvance(Calendar,Y3545,X3546,"f",FALSE)</f>
        <v>63964</v>
      </c>
      <c r="Z3546" s="188">
        <f>_xll.qlCalendarAdvance(Calendar,Y3546,NDays&amp;"D")</f>
        <v>63968</v>
      </c>
      <c r="AA3546" s="163" t="e">
        <v>#N/A</v>
      </c>
      <c r="AB3546" s="172">
        <v>7.8891560804095207E-3</v>
      </c>
    </row>
    <row r="3547" spans="2:28" x14ac:dyDescent="0.2">
      <c r="B3547" s="164"/>
      <c r="C3547" s="188"/>
      <c r="D3547" s="163"/>
      <c r="E3547" s="163"/>
      <c r="X3547" s="176" t="str">
        <f t="shared" si="89"/>
        <v>1w</v>
      </c>
      <c r="Y3547" s="164">
        <f>_xll.qlCalendarAdvance(Calendar,Y3546,X3547,"f",FALSE)</f>
        <v>63971</v>
      </c>
      <c r="Z3547" s="188">
        <f>_xll.qlCalendarAdvance(Calendar,Y3547,NDays&amp;"D")</f>
        <v>63975</v>
      </c>
      <c r="AA3547" s="163" t="e">
        <v>#N/A</v>
      </c>
      <c r="AB3547" s="172">
        <v>7.8891890589893876E-3</v>
      </c>
    </row>
    <row r="3548" spans="2:28" x14ac:dyDescent="0.2">
      <c r="B3548" s="164"/>
      <c r="C3548" s="188"/>
      <c r="D3548" s="163"/>
      <c r="E3548" s="163"/>
      <c r="X3548" s="176" t="str">
        <f t="shared" si="89"/>
        <v>1w</v>
      </c>
      <c r="Y3548" s="164">
        <f>_xll.qlCalendarAdvance(Calendar,Y3547,X3548,"f",FALSE)</f>
        <v>63978</v>
      </c>
      <c r="Z3548" s="188">
        <f>_xll.qlCalendarAdvance(Calendar,Y3548,NDays&amp;"D")</f>
        <v>63982</v>
      </c>
      <c r="AA3548" s="163" t="e">
        <v>#N/A</v>
      </c>
      <c r="AB3548" s="172">
        <v>7.8892145907261124E-3</v>
      </c>
    </row>
    <row r="3549" spans="2:28" x14ac:dyDescent="0.2">
      <c r="B3549" s="164"/>
      <c r="C3549" s="188"/>
      <c r="D3549" s="163"/>
      <c r="E3549" s="163"/>
      <c r="X3549" s="176" t="str">
        <f t="shared" si="89"/>
        <v>1w</v>
      </c>
      <c r="Y3549" s="164">
        <f>_xll.qlCalendarAdvance(Calendar,Y3548,X3549,"f",FALSE)</f>
        <v>63985</v>
      </c>
      <c r="Z3549" s="188">
        <f>_xll.qlCalendarAdvance(Calendar,Y3549,NDays&amp;"D")</f>
        <v>63989</v>
      </c>
      <c r="AA3549" s="163" t="e">
        <v>#N/A</v>
      </c>
      <c r="AB3549" s="172">
        <v>7.8892326756996312E-3</v>
      </c>
    </row>
    <row r="3550" spans="2:28" x14ac:dyDescent="0.2">
      <c r="B3550" s="164"/>
      <c r="C3550" s="188"/>
      <c r="D3550" s="163"/>
      <c r="E3550" s="163"/>
      <c r="X3550" s="176" t="str">
        <f t="shared" si="89"/>
        <v>1w</v>
      </c>
      <c r="Y3550" s="164">
        <f>_xll.qlCalendarAdvance(Calendar,Y3549,X3550,"f",FALSE)</f>
        <v>63992</v>
      </c>
      <c r="Z3550" s="188">
        <f>_xll.qlCalendarAdvance(Calendar,Y3550,NDays&amp;"D")</f>
        <v>63996</v>
      </c>
      <c r="AA3550" s="163" t="e">
        <v>#N/A</v>
      </c>
      <c r="AB3550" s="172">
        <v>7.8892433138300078E-3</v>
      </c>
    </row>
    <row r="3551" spans="2:28" x14ac:dyDescent="0.2">
      <c r="B3551" s="164"/>
      <c r="C3551" s="188"/>
      <c r="D3551" s="163"/>
      <c r="E3551" s="163"/>
      <c r="X3551" s="176" t="str">
        <f t="shared" si="89"/>
        <v>1w</v>
      </c>
      <c r="Y3551" s="164">
        <f>_xll.qlCalendarAdvance(Calendar,Y3550,X3551,"f",FALSE)</f>
        <v>63999</v>
      </c>
      <c r="Z3551" s="188">
        <f>_xll.qlCalendarAdvance(Calendar,Y3551,NDays&amp;"D")</f>
        <v>64003</v>
      </c>
      <c r="AA3551" s="163" t="e">
        <v>#N/A</v>
      </c>
      <c r="AB3551" s="172" t="e">
        <v>#N/A</v>
      </c>
    </row>
    <row r="3552" spans="2:28" ht="12" thickBot="1" x14ac:dyDescent="0.25">
      <c r="B3552" s="164"/>
      <c r="C3552" s="188"/>
      <c r="D3552" s="163"/>
      <c r="E3552" s="163"/>
      <c r="X3552" s="177" t="str">
        <f t="shared" si="89"/>
        <v>1w</v>
      </c>
      <c r="Y3552" s="174">
        <f>_xll.qlCalendarAdvance(Calendar,Y3551,X3552,"f",FALSE)</f>
        <v>64006</v>
      </c>
      <c r="Z3552" s="197">
        <f>_xll.qlCalendarAdvance(Calendar,Y3552,NDays&amp;"D")</f>
        <v>64010</v>
      </c>
      <c r="AA3552" s="190" t="e">
        <v>#N/A</v>
      </c>
      <c r="AB3552" s="175" t="e">
        <v>#N/A</v>
      </c>
    </row>
    <row r="3553" spans="2:24" x14ac:dyDescent="0.2">
      <c r="B3553" s="164"/>
      <c r="C3553" s="188"/>
      <c r="D3553" s="163"/>
      <c r="E3553" s="163"/>
      <c r="X3553" s="165"/>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2015-03-20T10:34:52Z</dcterms:modified>
</cp:coreProperties>
</file>